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10_ihanseol - 2025\01_생활용 - 우성농공단지, 3개공 - 동해엔지니어링\"/>
    </mc:Choice>
  </mc:AlternateContent>
  <xr:revisionPtr revIDLastSave="0" documentId="13_ncr:1_{A1CFD209-93C9-4692-A323-3F570A8477E6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ss!$H$29</definedName>
    <definedName name="SUM_II">ss!$J$29</definedName>
    <definedName name="SUM_SS">ss!$F$29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8" l="1"/>
  <c r="M24" i="8"/>
  <c r="M12" i="10"/>
  <c r="M13" i="10"/>
  <c r="M14" i="10"/>
  <c r="M15" i="10"/>
  <c r="M16" i="10"/>
  <c r="M17" i="10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22" i="10" l="1"/>
  <c r="C22" i="10"/>
  <c r="D21" i="10"/>
  <c r="C21" i="10"/>
  <c r="H29" i="8" l="1"/>
  <c r="D23" i="10"/>
  <c r="F30" i="8" l="1"/>
  <c r="E30" i="8" s="1"/>
  <c r="F29" i="8"/>
  <c r="J9" i="12"/>
  <c r="E29" i="8" l="1"/>
  <c r="L28" i="8"/>
  <c r="D9" i="11"/>
  <c r="C9" i="11"/>
  <c r="D8" i="11"/>
  <c r="L5" i="11"/>
  <c r="M2" i="11"/>
  <c r="L29" i="8" l="1"/>
  <c r="C8" i="11"/>
  <c r="J30" i="8"/>
  <c r="I30" i="8" s="1"/>
  <c r="J29" i="8"/>
  <c r="I29" i="8" s="1"/>
  <c r="D10" i="11"/>
  <c r="H30" i="8" l="1"/>
  <c r="D30" i="8" l="1"/>
  <c r="G30" i="8"/>
  <c r="C30" i="8" s="1"/>
  <c r="D29" i="8"/>
  <c r="L31" i="8" s="1"/>
  <c r="G29" i="8"/>
  <c r="C29" i="8" s="1"/>
  <c r="L3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<sst xmlns="http://schemas.openxmlformats.org/spreadsheetml/2006/main" count="2110" uniqueCount="499">
  <si>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</si>
  <si>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</si>
  <si>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</si>
  <si>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</si>
  <si>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</si>
  <si>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</si>
  <si>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</si>
  <si>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</si>
  <si>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</si>
  <si>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</si>
  <si>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</si>
  <si>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</si>
  <si>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</si>
  <si>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</si>
  <si>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</si>
  <si>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</si>
  <si>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</si>
  <si>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</si>
  <si>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</si>
  <si>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</si>
  <si>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</si>
  <si>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</si>
  <si>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</si>
  <si>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</si>
  <si>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</si>
  <si>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</si>
  <si>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</si>
  <si>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</si>
  <si>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</si>
  <si>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</si>
  <si>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</si>
  <si>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</si>
  <si>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</si>
  <si>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</si>
  <si>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</si>
  <si>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</si>
  <si>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</si>
  <si>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</si>
  <si>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</si>
  <si>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</si>
  <si>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</si>
  <si>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</si>
  <si>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</si>
  <si>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</si>
  <si>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</si>
  <si>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</si>
  <si>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</si>
  <si>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</si>
  <si>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</si>
  <si>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</si>
  <si>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</si>
  <si>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</si>
  <si>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</si>
  <si>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</si>
  <si>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</si>
  <si>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</si>
  <si>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</si>
  <si>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</si>
  <si>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</si>
  <si>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</si>
  <si>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</si>
  <si>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</si>
  <si>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</si>
  <si>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</si>
  <si>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</si>
  <si>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</si>
  <si>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</si>
  <si>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</si>
  <si>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</si>
  <si>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</si>
  <si>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</si>
  <si>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</si>
  <si>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</si>
  <si>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</si>
  <si>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</si>
  <si>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</si>
  <si>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</si>
  <si>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</si>
  <si>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</si>
  <si>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</si>
  <si>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</si>
  <si>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</si>
  <si>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</si>
  <si>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</si>
  <si>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</si>
  <si>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</si>
  <si>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</si>
  <si>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</si>
  <si>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</si>
  <si>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</si>
  <si>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</si>
  <si>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</si>
  <si>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</si>
  <si>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</si>
  <si>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</si>
  <si>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</si>
  <si>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</si>
  <si>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</si>
  <si>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</si>
  <si>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</si>
  <si>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</si>
  <si>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</si>
  <si>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</si>
  <si>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</si>
  <si>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</si>
  <si>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</si>
  <si>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</si>
  <si>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</si>
  <si>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</si>
  <si>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</si>
  <si>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</si>
  <si>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</si>
  <si>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</si>
  <si>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</si>
  <si>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</si>
  <si>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</si>
  <si>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</si>
  <si>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</si>
  <si>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</si>
  <si>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</si>
  <si>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</si>
  <si>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</si>
  <si>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</si>
  <si>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</si>
  <si>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</si>
  <si>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</si>
  <si>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</si>
  <si>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</si>
  <si>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</si>
  <si>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</si>
  <si>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</si>
  <si>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</si>
  <si>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</si>
  <si>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</si>
  <si>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</si>
  <si>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</si>
  <si>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</si>
  <si>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</si>
  <si>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</si>
  <si>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</si>
  <si>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</si>
  <si>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</si>
  <si>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</si>
  <si>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</si>
  <si>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</si>
  <si>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</si>
  <si>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</si>
  <si>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</si>
  <si>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</si>
  <si>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</si>
  <si>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</si>
  <si>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</si>
  <si>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</si>
  <si>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</si>
  <si>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</si>
  <si>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</si>
  <si>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</si>
  <si>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</si>
  <si>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</si>
  <si>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</si>
  <si>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</si>
  <si>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</si>
  <si>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</si>
  <si>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</si>
  <si>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</si>
  <si>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</si>
  <si>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</si>
  <si>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</si>
  <si>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</si>
  <si>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</si>
  <si>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</si>
  <si>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</si>
  <si>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</si>
  <si>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</si>
  <si>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</si>
  <si>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</si>
  <si>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</si>
  <si>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</si>
  <si>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</si>
  <si>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</si>
  <si>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</si>
  <si>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</si>
  <si>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</si>
  <si>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</si>
  <si>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</si>
  <si>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</si>
  <si>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</si>
  <si>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</si>
  <si>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</si>
  <si>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</si>
  <si>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</si>
  <si>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</si>
  <si>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</si>
  <si>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</si>
  <si>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</si>
  <si>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</si>
  <si>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</si>
  <si>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</si>
  <si>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</si>
  <si>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</si>
  <si>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</si>
  <si>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</si>
  <si>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</si>
  <si>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</si>
  <si>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</si>
  <si>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</si>
  <si>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</si>
  <si>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</si>
  <si>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</si>
  <si>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</si>
  <si>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</si>
  <si>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</si>
  <si>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</si>
  <si>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</si>
  <si>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</si>
  <si>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</si>
  <si>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</si>
  <si>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</si>
  <si>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</si>
  <si>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</si>
  <si>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</si>
  <si>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</si>
  <si>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</si>
  <si>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</si>
  <si>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</si>
  <si>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</si>
  <si>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</si>
  <si>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</si>
  <si>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</si>
  <si>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</si>
  <si>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</si>
  <si>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</si>
  <si>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</si>
  <si>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</si>
  <si>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</si>
  <si>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</si>
  <si>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</si>
  <si>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</si>
  <si>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</si>
  <si>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</si>
  <si>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</si>
  <si>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</si>
  <si>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</si>
  <si>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</si>
  <si>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</si>
  <si>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</si>
  <si>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</si>
  <si>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</si>
  <si>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</si>
  <si>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</si>
  <si>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</si>
  <si>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</si>
  <si>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</si>
  <si>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</si>
  <si>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</si>
  <si>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</si>
  <si>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</si>
  <si>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</si>
  <si>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</si>
  <si>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</si>
  <si>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</si>
  <si>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</si>
  <si>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</si>
  <si>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</si>
  <si>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</si>
  <si>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</si>
  <si>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</si>
  <si>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</si>
  <si>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</si>
  <si>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</si>
  <si>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</si>
  <si>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</si>
  <si>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</si>
  <si>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</si>
  <si>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</si>
  <si>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</si>
  <si>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</si>
  <si>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</si>
  <si>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</si>
  <si>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</si>
  <si>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</si>
  <si>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</si>
  <si>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</si>
  <si>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</si>
  <si>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</si>
  <si>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</si>
  <si>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</si>
  <si>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</si>
  <si>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</si>
  <si>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</si>
  <si>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</si>
  <si>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</si>
  <si>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</si>
  <si>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</si>
  <si>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</si>
  <si>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</si>
  <si>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</si>
  <si>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</si>
  <si>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</si>
  <si>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</si>
  <si>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</si>
  <si>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</si>
  <si>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</si>
  <si>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</si>
  <si>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</si>
  <si>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</si>
  <si>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</si>
  <si>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</si>
  <si>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</si>
  <si>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</si>
  <si>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</si>
  <si>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</si>
  <si>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</si>
  <si>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</si>
  <si>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</si>
  <si>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</si>
  <si>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</si>
  <si>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</si>
  <si>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</si>
  <si>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</si>
  <si>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</si>
  <si>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</si>
  <si>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</si>
  <si>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</si>
  <si>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</si>
  <si>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</si>
  <si>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</si>
  <si>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</si>
  <si>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</si>
  <si>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</si>
  <si>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</si>
  <si>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</si>
  <si>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</si>
  <si>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</si>
  <si>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</si>
  <si>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</si>
  <si>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</si>
  <si>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</si>
  <si>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</si>
  <si>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</si>
  <si>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</si>
  <si>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</si>
  <si>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</si>
  <si>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</si>
  <si>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</si>
  <si>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</si>
  <si>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</si>
  <si>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</si>
  <si>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</si>
  <si>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</si>
  <si>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</si>
  <si>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</si>
  <si>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</si>
  <si>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</si>
  <si>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</si>
  <si>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</si>
  <si>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</si>
  <si>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</si>
  <si>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</si>
  <si>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  <phoneticPr fontId="19" type="noConversion"/>
  </si>
  <si>
    <t>신일동</t>
    <phoneticPr fontId="19" type="noConversion"/>
  </si>
  <si>
    <t>전작용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</si>
  <si>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</si>
  <si>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</si>
  <si>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</si>
  <si>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</si>
  <si>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</si>
  <si>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</si>
  <si>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</si>
  <si>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</si>
  <si>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</si>
  <si>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</si>
  <si>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</si>
  <si>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</si>
  <si>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</si>
  <si>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</si>
  <si>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</si>
  <si>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</si>
  <si>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</si>
  <si>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</si>
  <si>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</si>
  <si>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</si>
  <si>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</si>
  <si>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</si>
  <si>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</si>
  <si>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</si>
  <si>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</si>
  <si>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</si>
  <si>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</si>
  <si>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</si>
  <si>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</si>
  <si>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</si>
  <si>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</si>
  <si>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</si>
  <si>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</si>
  <si>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</si>
  <si>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</si>
  <si>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</si>
  <si>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</si>
  <si>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</si>
  <si>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</si>
  <si>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</si>
  <si>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</si>
  <si>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</si>
  <si>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</si>
  <si>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</si>
  <si>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</si>
  <si>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</si>
  <si>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</si>
  <si>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</si>
  <si>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</si>
  <si>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</si>
  <si>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</si>
  <si>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</si>
  <si>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</si>
  <si>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</si>
  <si>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</si>
  <si>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</si>
  <si>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</si>
  <si>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</si>
  <si>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</si>
  <si>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</si>
  <si>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</si>
  <si>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</si>
  <si>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</si>
  <si>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</si>
  <si>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</si>
  <si>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</si>
  <si>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</si>
  <si>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</si>
  <si>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</si>
  <si>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</si>
  <si>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</si>
  <si>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</si>
  <si>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</si>
  <si>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</si>
  <si>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</si>
  <si>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</si>
  <si>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s17</t>
  </si>
  <si>
    <t>s18</t>
  </si>
  <si>
    <t>s19</t>
  </si>
  <si>
    <t>s20</t>
  </si>
  <si>
    <t>s21</t>
  </si>
  <si>
    <t>a11</t>
  </si>
  <si>
    <t>a12</t>
  </si>
  <si>
    <t>a13</t>
  </si>
  <si>
    <t>a14</t>
  </si>
  <si>
    <t>a15</t>
  </si>
  <si>
    <t>a16</t>
  </si>
  <si>
    <t>ref2</t>
    <phoneticPr fontId="19" type="noConversion"/>
  </si>
  <si>
    <t>ref1</t>
    <phoneticPr fontId="19" type="noConversion"/>
  </si>
  <si>
    <t>s22</t>
  </si>
  <si>
    <t>s23</t>
  </si>
  <si>
    <t>우성면</t>
  </si>
  <si>
    <t>우성면</t>
    <phoneticPr fontId="19" type="noConversion"/>
  </si>
  <si>
    <t>보흥리</t>
  </si>
  <si>
    <t>보흥리</t>
    <phoneticPr fontId="19" type="noConversion"/>
  </si>
  <si>
    <t>581-3</t>
  </si>
  <si>
    <t>328</t>
  </si>
  <si>
    <t>284</t>
  </si>
  <si>
    <t>산28-1</t>
  </si>
  <si>
    <t>326-2</t>
  </si>
  <si>
    <t>325-2</t>
  </si>
  <si>
    <t>355-1</t>
  </si>
  <si>
    <t>293</t>
  </si>
  <si>
    <t>289-2</t>
  </si>
  <si>
    <t>443-1</t>
  </si>
  <si>
    <t>443-2</t>
  </si>
  <si>
    <t>412-2</t>
  </si>
  <si>
    <t>259-5</t>
  </si>
  <si>
    <t>259-3</t>
  </si>
  <si>
    <t>239-3</t>
  </si>
  <si>
    <t>239-1</t>
  </si>
  <si>
    <t>236-2</t>
  </si>
  <si>
    <t>237-5</t>
  </si>
  <si>
    <t>2</t>
  </si>
  <si>
    <t>4-4</t>
  </si>
  <si>
    <t>산2-1</t>
  </si>
  <si>
    <t>146</t>
  </si>
  <si>
    <t>146-2</t>
  </si>
  <si>
    <t>X</t>
    <phoneticPr fontId="19" type="noConversion"/>
  </si>
  <si>
    <t>539-1</t>
    <phoneticPr fontId="19" type="noConversion"/>
  </si>
  <si>
    <t>442</t>
    <phoneticPr fontId="19" type="noConversion"/>
  </si>
  <si>
    <t>404-2</t>
    <phoneticPr fontId="19" type="noConversion"/>
  </si>
  <si>
    <t>544-1</t>
    <phoneticPr fontId="19" type="noConversion"/>
  </si>
  <si>
    <t>405-1</t>
    <phoneticPr fontId="19" type="noConversion"/>
  </si>
  <si>
    <t>428-1</t>
    <phoneticPr fontId="19" type="noConversion"/>
  </si>
  <si>
    <t>107-10</t>
    <phoneticPr fontId="19" type="noConversion"/>
  </si>
  <si>
    <t>106-10</t>
  </si>
  <si>
    <t>106-28</t>
    <phoneticPr fontId="19" type="noConversion"/>
  </si>
  <si>
    <t>106-29</t>
    <phoneticPr fontId="19" type="noConversion"/>
  </si>
  <si>
    <t>213-6</t>
    <phoneticPr fontId="19" type="noConversion"/>
  </si>
  <si>
    <t>원예용</t>
    <phoneticPr fontId="19" type="noConversion"/>
  </si>
  <si>
    <t>581-3</t>
    <phoneticPr fontId="19" type="noConversion"/>
  </si>
  <si>
    <t>581-1</t>
    <phoneticPr fontId="19" type="noConversion"/>
  </si>
  <si>
    <t>297</t>
    <phoneticPr fontId="19" type="noConversion"/>
  </si>
  <si>
    <t>289-1</t>
    <phoneticPr fontId="19" type="noConversion"/>
  </si>
  <si>
    <t>451-2</t>
    <phoneticPr fontId="19" type="noConversion"/>
  </si>
  <si>
    <t>gongju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</si>
</sst>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4" dataDxfId="33">
  <autoFilter ref="B2:P25" xr:uid="{123FB0B2-C50F-4FE7-93B5-DE95F922DE44}"/>
  <tableColumns count="15">
    <tableColumn id="1" xr3:uid="{89731D60-C8C9-47C7-B7A4-E2F5EF58BF21}" name="Formula" dataDxfId="32"/>
    <tableColumn id="2" xr3:uid="{9D6B4C5E-CA7C-4AE7-AB86-8D1849DE472E}" name="default" dataDxfId="31"/>
    <tableColumn id="3" xr3:uid="{8B96CB70-D422-4CD0-83FB-078E7C628187}" name="nonsan" dataDxfId="30"/>
    <tableColumn id="4" xr3:uid="{CCFAC7DF-2CE0-4E08-BE53-E84748DDA1A7}" name="daejeon" dataDxfId="29"/>
    <tableColumn id="5" xr3:uid="{366D5D7C-9532-44C4-A1D5-7BF125E25A9F}" name="yeonki" dataDxfId="28"/>
    <tableColumn id="6" xr3:uid="{1994D4E0-8A83-4EB4-B964-F7F509A24B92}" name="boryoung" dataDxfId="27"/>
    <tableColumn id="7" xr3:uid="{1706C14C-015E-415E-8A69-C36F6E711045}" name="dangjin" dataDxfId="26"/>
    <tableColumn id="8" xr3:uid="{A176E1D7-8F43-46CB-B588-387913D781D4}" name="seosan" dataDxfId="25"/>
    <tableColumn id="9" xr3:uid="{A4165988-557D-42A9-8139-6B9E8318D589}" name="yesan" dataDxfId="24"/>
    <tableColumn id="10" xr3:uid="{4892EC8C-4EC4-4A88-956F-2CD247B07208}" name="sejong" dataDxfId="23"/>
    <tableColumn id="11" xr3:uid="{D75235A8-F174-4AEE-A793-5FC36829F163}" name="buyeo" dataDxfId="22"/>
    <tableColumn id="12" xr3:uid="{58E0AE34-2F71-46BB-9CCF-7D53E63504B2}" name="gyeryoung" dataDxfId="21"/>
    <tableColumn id="16" xr3:uid="{8803115B-7CBA-4F1B-9FDD-9F37EE3864C3}" name="gongju" dataDxfId="0"/>
    <tableColumn id="13" xr3:uid="{CA577761-2495-424C-A8F2-28193AE236D7}" name="ref1" dataDxfId="20"/>
    <tableColumn id="14" xr3:uid="{4A3005B2-C79A-43D8-BFEC-48349F679AEC}" name="ref2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8" dataDxfId="17">
  <autoFilter ref="B2:L25" xr:uid="{123FB0B2-C50F-4FE7-93B5-DE95F922DE44}"/>
  <tableColumns count="11">
    <tableColumn id="1" xr3:uid="{3F5E65CE-C86C-421A-A1D9-2119FDA28C62}" name="Formula" dataDxfId="16"/>
    <tableColumn id="11" xr3:uid="{AE5B0534-CE00-4B7E-ABD6-9131E8B08F53}" name="default" dataDxfId="15"/>
    <tableColumn id="2" xr3:uid="{E8B7DA24-3E22-4271-88DC-253B7B4A5C34}" name="mokpo" dataDxfId="14"/>
    <tableColumn id="3" xr3:uid="{CC9152AB-0AF0-4C75-B0ED-EFD464A0B03A}" name="ulsan" dataDxfId="13"/>
    <tableColumn id="4" xr3:uid="{AAE5EB2A-56DA-4265-8046-4860ABC0D9FA}" name="seoul" dataDxfId="12"/>
    <tableColumn id="5" xr3:uid="{E395FA4B-E35B-4802-ACBD-5FFBD0005189}" name="daegu" dataDxfId="11"/>
    <tableColumn id="6" xr3:uid="{3C970E27-93E5-4F57-8A44-A0ECC85E78D9}" name="sungnam" dataDxfId="10"/>
    <tableColumn id="7" xr3:uid="{5607C62F-B06E-4C37-AFEC-94324585396B}" name="busan" dataDxfId="9"/>
    <tableColumn id="8" xr3:uid="{1D1119BC-9A7E-4E88-93B0-8D17B8EEFC10}" name="suncheon" dataDxfId="8"/>
    <tableColumn id="9" xr3:uid="{E623F737-5ED8-43F6-8A98-C4D94B22FDBD}" name="def1" dataDxfId="7"/>
    <tableColumn id="10" xr3:uid="{AC06A800-65E7-4DF3-84A0-827BCEE82C60}" name="def2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5" dataDxfId="4">
  <autoFilter ref="C1:E55" xr:uid="{AD4C5E05-E960-4B79-9635-5A65688BA5DF}"/>
  <tableColumns count="3">
    <tableColumn id="1" xr3:uid="{B3B63425-4178-49D0-AE7E-46CF30A1CDA8}" name="key" dataDxfId="3"/>
    <tableColumn id="2" xr3:uid="{238E4E42-D0FF-426F-B3CC-0089504A20CC}" name="value" dataDxfId="2"/>
    <tableColumn id="3" xr3:uid="{47285310-1409-4A16-8098-1636AAD81DC4}" name="comm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 x14ac:dyDescent="0.3">
      <c r="B1" s="30" t="s">
        <v>217</v>
      </c>
    </row>
    <row r="2" spans="1:16" ht="34.5" customHeight="1" x14ac:dyDescent="0.3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  <c r="N2" s="29" t="s">
        <v>498</v>
      </c>
      <c r="O2" s="29" t="s">
        <v>450</v>
      </c>
      <c r="P2" s="29" t="s">
        <v>449</v>
      </c>
    </row>
    <row r="3" spans="1:16" ht="20.100000000000001" customHeight="1" x14ac:dyDescent="0.3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 x14ac:dyDescent="0.3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 x14ac:dyDescent="0.3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 x14ac:dyDescent="0.3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 x14ac:dyDescent="0.3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 x14ac:dyDescent="0.3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 x14ac:dyDescent="0.3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 x14ac:dyDescent="0.3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 x14ac:dyDescent="0.3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 x14ac:dyDescent="0.3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 x14ac:dyDescent="0.3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 x14ac:dyDescent="0.3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 x14ac:dyDescent="0.3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 x14ac:dyDescent="0.3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 x14ac:dyDescent="0.3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 x14ac:dyDescent="0.3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 x14ac:dyDescent="0.3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 x14ac:dyDescent="0.3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 x14ac:dyDescent="0.3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 x14ac:dyDescent="0.3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 x14ac:dyDescent="0.3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 x14ac:dyDescent="0.3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 x14ac:dyDescent="0.3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 x14ac:dyDescent="0.3">
      <c r="B1" s="30" t="s">
        <v>216</v>
      </c>
      <c r="C1" s="30"/>
    </row>
    <row r="2" spans="2:12" ht="34.5" customHeight="1" x14ac:dyDescent="0.3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 x14ac:dyDescent="0.3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 x14ac:dyDescent="0.3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 x14ac:dyDescent="0.3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 x14ac:dyDescent="0.3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 x14ac:dyDescent="0.3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 x14ac:dyDescent="0.3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 x14ac:dyDescent="0.3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 x14ac:dyDescent="0.3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 x14ac:dyDescent="0.3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 x14ac:dyDescent="0.3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 x14ac:dyDescent="0.3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 x14ac:dyDescent="0.3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 x14ac:dyDescent="0.3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 x14ac:dyDescent="0.3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 x14ac:dyDescent="0.3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 x14ac:dyDescent="0.3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 x14ac:dyDescent="0.3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 x14ac:dyDescent="0.3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 x14ac:dyDescent="0.3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 x14ac:dyDescent="0.3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 x14ac:dyDescent="0.3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 x14ac:dyDescent="0.3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 x14ac:dyDescent="0.3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8"/>
  <sheetViews>
    <sheetView tabSelected="1" workbookViewId="0">
      <selection activeCell="S28" sqref="S2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454</v>
      </c>
      <c r="D2" s="2" t="s">
        <v>456</v>
      </c>
      <c r="E2" s="4" t="s">
        <v>457</v>
      </c>
      <c r="F2" s="2">
        <v>20</v>
      </c>
      <c r="G2" s="2">
        <v>50</v>
      </c>
      <c r="H2" s="2">
        <v>0.3</v>
      </c>
      <c r="I2" s="2">
        <v>25</v>
      </c>
      <c r="J2" s="2">
        <v>30</v>
      </c>
      <c r="K2" s="2" t="s">
        <v>146</v>
      </c>
      <c r="L2" s="9">
        <v>0.68</v>
      </c>
      <c r="M2" s="2" t="str">
        <f>D2&amp;" "&amp;E2&amp;" 번지"</f>
        <v>보흥리 581-3 번지</v>
      </c>
      <c r="S2" s="2" t="s">
        <v>480</v>
      </c>
    </row>
    <row r="3" spans="1:19" ht="21.75" customHeight="1" x14ac:dyDescent="0.3">
      <c r="A3" s="2" t="s">
        <v>25</v>
      </c>
      <c r="B3" s="1" t="s">
        <v>22</v>
      </c>
      <c r="C3" s="2" t="s">
        <v>453</v>
      </c>
      <c r="D3" s="2" t="s">
        <v>455</v>
      </c>
      <c r="E3" s="7" t="s">
        <v>458</v>
      </c>
      <c r="F3" s="2">
        <v>25</v>
      </c>
      <c r="G3" s="2">
        <v>50</v>
      </c>
      <c r="H3" s="2">
        <v>0.3</v>
      </c>
      <c r="I3" s="2">
        <v>25</v>
      </c>
      <c r="J3" s="2">
        <v>30</v>
      </c>
      <c r="K3" s="2" t="s">
        <v>147</v>
      </c>
      <c r="L3" s="9">
        <v>2.12</v>
      </c>
      <c r="M3" s="2" t="str">
        <f t="shared" ref="M3:M17" si="0">D3&amp;" "&amp;E3&amp;" 번지"</f>
        <v>보흥리 328 번지</v>
      </c>
      <c r="S3" s="2" t="s">
        <v>480</v>
      </c>
    </row>
    <row r="4" spans="1:19" ht="21.75" customHeight="1" x14ac:dyDescent="0.3">
      <c r="A4" s="2" t="s">
        <v>26</v>
      </c>
      <c r="B4" s="1" t="s">
        <v>22</v>
      </c>
      <c r="C4" s="2" t="s">
        <v>453</v>
      </c>
      <c r="D4" s="2" t="s">
        <v>455</v>
      </c>
      <c r="E4" s="4" t="s">
        <v>459</v>
      </c>
      <c r="F4" s="2">
        <v>20</v>
      </c>
      <c r="G4" s="2">
        <v>50</v>
      </c>
      <c r="H4" s="2">
        <v>0.3</v>
      </c>
      <c r="I4" s="2">
        <v>25</v>
      </c>
      <c r="J4" s="2">
        <v>30</v>
      </c>
      <c r="K4" s="2" t="s">
        <v>146</v>
      </c>
      <c r="L4" s="9">
        <v>0.68</v>
      </c>
      <c r="M4" s="2" t="str">
        <f t="shared" si="0"/>
        <v>보흥리 284 번지</v>
      </c>
      <c r="S4" s="2" t="s">
        <v>480</v>
      </c>
    </row>
    <row r="5" spans="1:19" ht="21.75" customHeight="1" x14ac:dyDescent="0.3">
      <c r="A5" s="2" t="s">
        <v>27</v>
      </c>
      <c r="B5" s="1" t="s">
        <v>22</v>
      </c>
      <c r="C5" s="2" t="s">
        <v>453</v>
      </c>
      <c r="D5" s="2" t="s">
        <v>455</v>
      </c>
      <c r="E5" s="4" t="s">
        <v>460</v>
      </c>
      <c r="F5" s="2">
        <v>20</v>
      </c>
      <c r="G5" s="2">
        <v>50</v>
      </c>
      <c r="H5" s="2">
        <v>0.3</v>
      </c>
      <c r="I5" s="2">
        <v>25</v>
      </c>
      <c r="J5" s="2">
        <v>30</v>
      </c>
      <c r="K5" s="2" t="s">
        <v>147</v>
      </c>
      <c r="L5" s="9">
        <v>2.12</v>
      </c>
      <c r="M5" s="2" t="str">
        <f t="shared" si="0"/>
        <v>보흥리 산28-1 번지</v>
      </c>
      <c r="S5" s="2" t="s">
        <v>480</v>
      </c>
    </row>
    <row r="6" spans="1:19" ht="21.75" customHeight="1" x14ac:dyDescent="0.3">
      <c r="A6" s="2" t="s">
        <v>28</v>
      </c>
      <c r="B6" s="1" t="s">
        <v>22</v>
      </c>
      <c r="C6" s="2" t="s">
        <v>453</v>
      </c>
      <c r="D6" s="2" t="s">
        <v>455</v>
      </c>
      <c r="E6" s="4" t="s">
        <v>461</v>
      </c>
      <c r="F6" s="2">
        <v>18</v>
      </c>
      <c r="G6" s="2">
        <v>50</v>
      </c>
      <c r="H6" s="2">
        <v>0.3</v>
      </c>
      <c r="I6" s="2">
        <v>25</v>
      </c>
      <c r="J6" s="2">
        <v>30</v>
      </c>
      <c r="K6" s="2" t="s">
        <v>147</v>
      </c>
      <c r="L6" s="9">
        <v>2.12</v>
      </c>
      <c r="M6" s="2" t="str">
        <f t="shared" si="0"/>
        <v>보흥리 326-2 번지</v>
      </c>
      <c r="S6" s="2" t="s">
        <v>480</v>
      </c>
    </row>
    <row r="7" spans="1:19" ht="21.75" customHeight="1" x14ac:dyDescent="0.3">
      <c r="A7" s="2" t="s">
        <v>261</v>
      </c>
      <c r="B7" s="1" t="s">
        <v>22</v>
      </c>
      <c r="C7" s="2" t="s">
        <v>453</v>
      </c>
      <c r="D7" s="2" t="s">
        <v>455</v>
      </c>
      <c r="E7" s="4" t="s">
        <v>462</v>
      </c>
      <c r="F7" s="2">
        <v>25</v>
      </c>
      <c r="G7" s="2">
        <v>50</v>
      </c>
      <c r="H7" s="2">
        <v>0.3</v>
      </c>
      <c r="I7" s="2">
        <v>25</v>
      </c>
      <c r="J7" s="2">
        <v>30</v>
      </c>
      <c r="K7" s="2" t="s">
        <v>153</v>
      </c>
      <c r="L7" s="9">
        <v>0.68</v>
      </c>
      <c r="M7" s="2" t="str">
        <f t="shared" si="0"/>
        <v>보흥리 325-2 번지</v>
      </c>
      <c r="S7" s="2" t="s">
        <v>480</v>
      </c>
    </row>
    <row r="8" spans="1:19" ht="21.75" customHeight="1" x14ac:dyDescent="0.3">
      <c r="A8" s="2" t="s">
        <v>262</v>
      </c>
      <c r="B8" s="1" t="s">
        <v>22</v>
      </c>
      <c r="C8" s="2" t="s">
        <v>453</v>
      </c>
      <c r="D8" s="2" t="s">
        <v>455</v>
      </c>
      <c r="E8" s="4" t="s">
        <v>463</v>
      </c>
      <c r="F8" s="2">
        <v>18</v>
      </c>
      <c r="G8" s="2">
        <v>50</v>
      </c>
      <c r="H8" s="2">
        <v>0.3</v>
      </c>
      <c r="I8" s="2">
        <v>25</v>
      </c>
      <c r="J8" s="2">
        <v>30</v>
      </c>
      <c r="K8" s="2" t="s">
        <v>146</v>
      </c>
      <c r="L8" s="9">
        <v>0.68</v>
      </c>
      <c r="M8" s="2" t="str">
        <f t="shared" si="0"/>
        <v>보흥리 355-1 번지</v>
      </c>
      <c r="S8" s="2" t="s">
        <v>480</v>
      </c>
    </row>
    <row r="9" spans="1:19" ht="21.75" customHeight="1" x14ac:dyDescent="0.3">
      <c r="A9" s="2" t="s">
        <v>263</v>
      </c>
      <c r="B9" s="1" t="s">
        <v>22</v>
      </c>
      <c r="C9" s="2" t="s">
        <v>453</v>
      </c>
      <c r="D9" s="2" t="s">
        <v>455</v>
      </c>
      <c r="E9" s="4" t="s">
        <v>464</v>
      </c>
      <c r="F9" s="2">
        <v>20</v>
      </c>
      <c r="G9" s="2">
        <v>50</v>
      </c>
      <c r="H9" s="2">
        <v>0.3</v>
      </c>
      <c r="I9" s="2">
        <v>25</v>
      </c>
      <c r="J9" s="2">
        <v>30</v>
      </c>
      <c r="K9" s="2" t="s">
        <v>147</v>
      </c>
      <c r="L9" s="9">
        <v>2.12</v>
      </c>
      <c r="M9" s="2" t="str">
        <f t="shared" si="0"/>
        <v>보흥리 293 번지</v>
      </c>
      <c r="S9" s="2" t="s">
        <v>480</v>
      </c>
    </row>
    <row r="10" spans="1:19" ht="21.75" customHeight="1" x14ac:dyDescent="0.3">
      <c r="A10" s="2" t="s">
        <v>319</v>
      </c>
      <c r="B10" s="1" t="s">
        <v>22</v>
      </c>
      <c r="C10" s="2" t="s">
        <v>453</v>
      </c>
      <c r="D10" s="2" t="s">
        <v>455</v>
      </c>
      <c r="E10" s="4" t="s">
        <v>465</v>
      </c>
      <c r="F10" s="2">
        <v>20</v>
      </c>
      <c r="G10" s="2">
        <v>50</v>
      </c>
      <c r="H10" s="2">
        <v>0.3</v>
      </c>
      <c r="I10" s="2">
        <v>25</v>
      </c>
      <c r="J10" s="2">
        <v>30</v>
      </c>
      <c r="K10" s="2" t="s">
        <v>153</v>
      </c>
      <c r="L10" s="9">
        <v>0.68</v>
      </c>
      <c r="M10" s="2" t="str">
        <f t="shared" si="0"/>
        <v>보흥리 289-2 번지</v>
      </c>
      <c r="S10" s="2" t="s">
        <v>480</v>
      </c>
    </row>
    <row r="11" spans="1:19" ht="21.75" customHeight="1" x14ac:dyDescent="0.3">
      <c r="A11" s="2" t="s">
        <v>320</v>
      </c>
      <c r="B11" s="1" t="s">
        <v>22</v>
      </c>
      <c r="C11" s="2" t="s">
        <v>453</v>
      </c>
      <c r="D11" s="2" t="s">
        <v>455</v>
      </c>
      <c r="E11" s="4" t="s">
        <v>466</v>
      </c>
      <c r="F11" s="2">
        <v>20</v>
      </c>
      <c r="G11" s="2">
        <v>50</v>
      </c>
      <c r="H11" s="2">
        <v>0.3</v>
      </c>
      <c r="I11" s="2">
        <v>25</v>
      </c>
      <c r="J11" s="2">
        <v>30</v>
      </c>
      <c r="K11" s="2" t="s">
        <v>146</v>
      </c>
      <c r="L11" s="9">
        <v>0.68</v>
      </c>
      <c r="M11" s="2" t="str">
        <f t="shared" si="0"/>
        <v>보흥리 443-1 번지</v>
      </c>
      <c r="S11" s="2" t="s">
        <v>480</v>
      </c>
    </row>
    <row r="12" spans="1:19" ht="21.75" customHeight="1" x14ac:dyDescent="0.3">
      <c r="A12" s="2" t="s">
        <v>321</v>
      </c>
      <c r="B12" s="1" t="s">
        <v>22</v>
      </c>
      <c r="C12" s="2" t="s">
        <v>453</v>
      </c>
      <c r="D12" s="2" t="s">
        <v>455</v>
      </c>
      <c r="E12" s="4" t="s">
        <v>467</v>
      </c>
      <c r="F12" s="2">
        <v>18</v>
      </c>
      <c r="G12" s="2">
        <v>50</v>
      </c>
      <c r="H12" s="2">
        <v>0.3</v>
      </c>
      <c r="I12" s="2">
        <v>25</v>
      </c>
      <c r="J12" s="2">
        <v>30</v>
      </c>
      <c r="K12" s="2" t="s">
        <v>147</v>
      </c>
      <c r="L12" s="9">
        <v>2.12</v>
      </c>
      <c r="M12" s="2" t="str">
        <f t="shared" si="0"/>
        <v>보흥리 443-2 번지</v>
      </c>
      <c r="S12" s="2" t="s">
        <v>11</v>
      </c>
    </row>
    <row r="13" spans="1:19" ht="21.75" customHeight="1" x14ac:dyDescent="0.3">
      <c r="A13" s="2" t="s">
        <v>322</v>
      </c>
      <c r="B13" s="1" t="s">
        <v>22</v>
      </c>
      <c r="C13" s="2" t="s">
        <v>453</v>
      </c>
      <c r="D13" s="2" t="s">
        <v>455</v>
      </c>
      <c r="E13" s="4" t="s">
        <v>468</v>
      </c>
      <c r="F13" s="2">
        <v>20</v>
      </c>
      <c r="G13" s="2">
        <v>50</v>
      </c>
      <c r="H13" s="2">
        <v>0.5</v>
      </c>
      <c r="I13" s="2">
        <v>25</v>
      </c>
      <c r="J13" s="2">
        <v>30</v>
      </c>
      <c r="K13" s="2" t="s">
        <v>147</v>
      </c>
      <c r="L13" s="9">
        <v>2.12</v>
      </c>
      <c r="M13" s="2" t="str">
        <f t="shared" si="0"/>
        <v>보흥리 412-2 번지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453</v>
      </c>
      <c r="D14" s="2" t="s">
        <v>455</v>
      </c>
      <c r="E14" s="4" t="s">
        <v>469</v>
      </c>
      <c r="F14" s="2">
        <v>20</v>
      </c>
      <c r="G14" s="2">
        <v>50</v>
      </c>
      <c r="H14" s="2">
        <v>0.5</v>
      </c>
      <c r="I14" s="2">
        <v>20</v>
      </c>
      <c r="J14" s="2">
        <v>30</v>
      </c>
      <c r="K14" s="2" t="s">
        <v>147</v>
      </c>
      <c r="L14" s="9">
        <v>2.12</v>
      </c>
      <c r="M14" s="2" t="str">
        <f t="shared" si="0"/>
        <v>보흥리 259-5 번지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453</v>
      </c>
      <c r="D15" s="2" t="s">
        <v>455</v>
      </c>
      <c r="E15" s="4" t="s">
        <v>470</v>
      </c>
      <c r="F15" s="2">
        <v>20</v>
      </c>
      <c r="G15" s="2">
        <v>50</v>
      </c>
      <c r="H15" s="2">
        <v>0.3</v>
      </c>
      <c r="I15" s="2">
        <v>25</v>
      </c>
      <c r="J15" s="2">
        <v>30</v>
      </c>
      <c r="K15" s="2" t="s">
        <v>147</v>
      </c>
      <c r="L15" s="9">
        <v>2.12</v>
      </c>
      <c r="M15" s="2" t="str">
        <f t="shared" si="0"/>
        <v>보흥리 259-3 번지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453</v>
      </c>
      <c r="D16" s="2" t="s">
        <v>455</v>
      </c>
      <c r="E16" s="4" t="s">
        <v>471</v>
      </c>
      <c r="F16" s="2">
        <v>25</v>
      </c>
      <c r="G16" s="2">
        <v>50</v>
      </c>
      <c r="H16" s="2">
        <v>0.3</v>
      </c>
      <c r="I16" s="2">
        <v>25</v>
      </c>
      <c r="J16" s="2">
        <v>30</v>
      </c>
      <c r="K16" s="2" t="s">
        <v>147</v>
      </c>
      <c r="L16" s="9">
        <v>2.12</v>
      </c>
      <c r="M16" s="2" t="str">
        <f t="shared" si="0"/>
        <v>보흥리 239-3 번지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453</v>
      </c>
      <c r="D17" s="2" t="s">
        <v>455</v>
      </c>
      <c r="E17" s="4" t="s">
        <v>472</v>
      </c>
      <c r="F17" s="2">
        <v>18</v>
      </c>
      <c r="G17" s="2">
        <v>50</v>
      </c>
      <c r="H17" s="2">
        <v>0.3</v>
      </c>
      <c r="I17" s="2">
        <v>25</v>
      </c>
      <c r="J17" s="2">
        <v>30</v>
      </c>
      <c r="K17" s="2" t="s">
        <v>147</v>
      </c>
      <c r="L17" s="9">
        <v>2.12</v>
      </c>
      <c r="M17" s="2" t="str">
        <f t="shared" si="0"/>
        <v>보흥리 239-1 번지</v>
      </c>
      <c r="S17" s="2" t="s">
        <v>11</v>
      </c>
    </row>
    <row r="18" spans="1:19" ht="21.75" customHeight="1" x14ac:dyDescent="0.3">
      <c r="A18" s="2" t="s">
        <v>438</v>
      </c>
      <c r="B18" s="1" t="s">
        <v>22</v>
      </c>
      <c r="C18" s="2" t="s">
        <v>453</v>
      </c>
      <c r="D18" s="2" t="s">
        <v>455</v>
      </c>
      <c r="E18" s="4" t="s">
        <v>473</v>
      </c>
      <c r="F18" s="2">
        <v>20</v>
      </c>
      <c r="G18" s="2">
        <v>50</v>
      </c>
      <c r="H18" s="2">
        <v>0.3</v>
      </c>
      <c r="I18" s="2">
        <v>25</v>
      </c>
      <c r="J18" s="2">
        <v>30</v>
      </c>
      <c r="K18" s="2" t="s">
        <v>147</v>
      </c>
      <c r="L18" s="9">
        <v>2.12</v>
      </c>
      <c r="M18" s="2" t="str">
        <f t="shared" ref="M18:M22" si="1">D18&amp;" "&amp;E18&amp;" 번지"</f>
        <v>보흥리 236-2 번지</v>
      </c>
      <c r="S18" s="2" t="s">
        <v>11</v>
      </c>
    </row>
    <row r="19" spans="1:19" ht="21.75" customHeight="1" x14ac:dyDescent="0.3">
      <c r="A19" s="2" t="s">
        <v>439</v>
      </c>
      <c r="B19" s="1" t="s">
        <v>22</v>
      </c>
      <c r="C19" s="2" t="s">
        <v>453</v>
      </c>
      <c r="D19" s="2" t="s">
        <v>455</v>
      </c>
      <c r="E19" s="4" t="s">
        <v>474</v>
      </c>
      <c r="F19" s="2">
        <v>19</v>
      </c>
      <c r="G19" s="2">
        <v>50</v>
      </c>
      <c r="H19" s="2">
        <v>0.3</v>
      </c>
      <c r="I19" s="2">
        <v>25</v>
      </c>
      <c r="J19" s="2">
        <v>30</v>
      </c>
      <c r="K19" s="2" t="s">
        <v>147</v>
      </c>
      <c r="L19" s="9">
        <v>2.12</v>
      </c>
      <c r="M19" s="2" t="str">
        <f t="shared" si="1"/>
        <v>보흥리 237-5 번지</v>
      </c>
      <c r="S19" s="2" t="s">
        <v>11</v>
      </c>
    </row>
    <row r="20" spans="1:19" ht="21.75" customHeight="1" x14ac:dyDescent="0.3">
      <c r="A20" s="2" t="s">
        <v>440</v>
      </c>
      <c r="B20" s="1" t="s">
        <v>22</v>
      </c>
      <c r="C20" s="2" t="s">
        <v>453</v>
      </c>
      <c r="D20" s="2" t="s">
        <v>455</v>
      </c>
      <c r="E20" s="4" t="s">
        <v>475</v>
      </c>
      <c r="F20" s="2">
        <v>18</v>
      </c>
      <c r="G20" s="2">
        <v>50</v>
      </c>
      <c r="H20" s="2">
        <v>0.3</v>
      </c>
      <c r="I20" s="2">
        <v>20</v>
      </c>
      <c r="J20" s="2">
        <v>30</v>
      </c>
      <c r="K20" s="2" t="s">
        <v>147</v>
      </c>
      <c r="L20" s="9">
        <v>2.12</v>
      </c>
      <c r="M20" s="2" t="str">
        <f t="shared" si="1"/>
        <v>보흥리 2 번지</v>
      </c>
      <c r="S20" s="2" t="s">
        <v>11</v>
      </c>
    </row>
    <row r="21" spans="1:19" ht="21.75" customHeight="1" x14ac:dyDescent="0.3">
      <c r="A21" s="2" t="s">
        <v>441</v>
      </c>
      <c r="B21" s="1" t="s">
        <v>22</v>
      </c>
      <c r="C21" s="2" t="s">
        <v>453</v>
      </c>
      <c r="D21" s="2" t="s">
        <v>455</v>
      </c>
      <c r="E21" s="4" t="s">
        <v>476</v>
      </c>
      <c r="F21" s="2">
        <v>100</v>
      </c>
      <c r="G21" s="2">
        <v>150</v>
      </c>
      <c r="H21" s="2">
        <v>1</v>
      </c>
      <c r="I21" s="2">
        <v>50</v>
      </c>
      <c r="J21" s="2">
        <v>30</v>
      </c>
      <c r="K21" s="2" t="s">
        <v>147</v>
      </c>
      <c r="L21" s="9">
        <v>2.12</v>
      </c>
      <c r="M21" s="2" t="str">
        <f t="shared" si="1"/>
        <v>보흥리 4-4 번지</v>
      </c>
      <c r="S21" s="2" t="s">
        <v>11</v>
      </c>
    </row>
    <row r="22" spans="1:19" ht="21.75" customHeight="1" x14ac:dyDescent="0.3">
      <c r="A22" s="2" t="s">
        <v>442</v>
      </c>
      <c r="B22" s="1" t="s">
        <v>22</v>
      </c>
      <c r="C22" s="2" t="s">
        <v>453</v>
      </c>
      <c r="D22" s="2" t="s">
        <v>455</v>
      </c>
      <c r="E22" s="4" t="s">
        <v>477</v>
      </c>
      <c r="F22" s="2">
        <v>25</v>
      </c>
      <c r="G22" s="2">
        <v>50</v>
      </c>
      <c r="H22" s="2">
        <v>0.3</v>
      </c>
      <c r="I22" s="2">
        <v>20</v>
      </c>
      <c r="J22" s="2">
        <v>30</v>
      </c>
      <c r="K22" s="2" t="s">
        <v>147</v>
      </c>
      <c r="L22" s="9">
        <v>2.12</v>
      </c>
      <c r="M22" s="2" t="str">
        <f t="shared" si="1"/>
        <v>보흥리 산2-1 번지</v>
      </c>
      <c r="S22" s="2" t="s">
        <v>11</v>
      </c>
    </row>
    <row r="23" spans="1:19" ht="21.75" customHeight="1" x14ac:dyDescent="0.3">
      <c r="A23" s="2" t="s">
        <v>451</v>
      </c>
      <c r="B23" s="1" t="s">
        <v>22</v>
      </c>
      <c r="C23" s="2" t="s">
        <v>453</v>
      </c>
      <c r="D23" s="2" t="s">
        <v>455</v>
      </c>
      <c r="E23" s="4" t="s">
        <v>478</v>
      </c>
      <c r="F23" s="2">
        <v>100</v>
      </c>
      <c r="G23" s="2">
        <v>150</v>
      </c>
      <c r="H23" s="2">
        <v>2</v>
      </c>
      <c r="I23" s="2">
        <v>70</v>
      </c>
      <c r="J23" s="2">
        <v>30</v>
      </c>
      <c r="K23" s="2" t="s">
        <v>147</v>
      </c>
      <c r="L23" s="9">
        <v>3.12</v>
      </c>
      <c r="M23" s="2" t="str">
        <f t="shared" ref="M23:M24" si="2">D23&amp;" "&amp;E23&amp;" 번지"</f>
        <v>보흥리 146 번지</v>
      </c>
      <c r="S23" s="2" t="s">
        <v>11</v>
      </c>
    </row>
    <row r="24" spans="1:19" ht="21.75" customHeight="1" x14ac:dyDescent="0.3">
      <c r="A24" s="2" t="s">
        <v>452</v>
      </c>
      <c r="B24" s="1" t="s">
        <v>22</v>
      </c>
      <c r="C24" s="2" t="s">
        <v>453</v>
      </c>
      <c r="D24" s="2" t="s">
        <v>455</v>
      </c>
      <c r="E24" s="4" t="s">
        <v>479</v>
      </c>
      <c r="F24" s="2">
        <v>32</v>
      </c>
      <c r="G24" s="2">
        <v>50</v>
      </c>
      <c r="H24" s="2">
        <v>0.2</v>
      </c>
      <c r="I24" s="2">
        <v>40</v>
      </c>
      <c r="J24" s="2">
        <v>30</v>
      </c>
      <c r="K24" s="2" t="s">
        <v>147</v>
      </c>
      <c r="L24" s="9">
        <v>4.12</v>
      </c>
      <c r="M24" s="2" t="str">
        <f t="shared" si="2"/>
        <v>보흥리 146-2 번지</v>
      </c>
      <c r="S24" s="2" t="s">
        <v>11</v>
      </c>
    </row>
    <row r="25" spans="1:19" ht="21.75" customHeight="1" x14ac:dyDescent="0.3">
      <c r="B25" s="1"/>
      <c r="L25" s="9"/>
    </row>
    <row r="26" spans="1:19" ht="21.75" customHeight="1" x14ac:dyDescent="0.3">
      <c r="B26" s="1"/>
      <c r="I26" s="2"/>
      <c r="J26" s="2"/>
      <c r="L26" s="9"/>
    </row>
    <row r="27" spans="1:19" ht="21.75" customHeight="1" thickBot="1" x14ac:dyDescent="0.35">
      <c r="B27" s="1"/>
      <c r="I27" s="2"/>
      <c r="J27" s="2"/>
      <c r="L27" s="9"/>
    </row>
    <row r="28" spans="1:19" ht="21.75" customHeight="1" x14ac:dyDescent="0.3">
      <c r="B28" s="10" t="s">
        <v>253</v>
      </c>
      <c r="C28" s="46" t="s">
        <v>254</v>
      </c>
      <c r="D28" s="47"/>
      <c r="E28" s="46" t="s">
        <v>257</v>
      </c>
      <c r="F28" s="47"/>
      <c r="G28" s="46" t="s">
        <v>258</v>
      </c>
      <c r="H28" s="47"/>
      <c r="I28" s="46" t="s">
        <v>259</v>
      </c>
      <c r="J28" s="48"/>
      <c r="K28" s="2" t="s">
        <v>33</v>
      </c>
      <c r="L28" s="44">
        <f ca="1">SUM_SS</f>
        <v>30.560000000000009</v>
      </c>
    </row>
    <row r="29" spans="1:19" ht="21.75" customHeight="1" x14ac:dyDescent="0.3">
      <c r="B29" s="15" t="s">
        <v>255</v>
      </c>
      <c r="C29" s="12">
        <f ca="1">E29+G29+I29</f>
        <v>25</v>
      </c>
      <c r="D29" s="12">
        <f ca="1">F29+H29+J29</f>
        <v>80.080000000000013</v>
      </c>
      <c r="E29" s="12">
        <f ca="1">IF(F29=0,0,COUNTIF(SS_INSIDE_AREA,"O"))</f>
        <v>13</v>
      </c>
      <c r="F29" s="12">
        <f ca="1">SUMIF(SS_INSIDE_AREA,"O",$L$2:$L$2)</f>
        <v>30.560000000000009</v>
      </c>
      <c r="G29" s="12">
        <f ca="1">IF(H29=0,0,COUNTIF(AA_INSIDE_AREA,"O"))</f>
        <v>12</v>
      </c>
      <c r="H29" s="12">
        <f ca="1">aa!$D$21</f>
        <v>49.519999999999996</v>
      </c>
      <c r="I29" s="12">
        <f ca="1">IF(J29=0,0,COUNTIF(II_INSIDE_AREA,"O"))</f>
        <v>0</v>
      </c>
      <c r="J29" s="16">
        <f ca="1">ii!$D$8</f>
        <v>0</v>
      </c>
      <c r="K29" s="2" t="s">
        <v>30</v>
      </c>
      <c r="L29" s="43">
        <f ca="1">L28+aa!D21+ii!L5</f>
        <v>80.080000000000013</v>
      </c>
    </row>
    <row r="30" spans="1:19" ht="21.75" customHeight="1" thickBot="1" x14ac:dyDescent="0.35">
      <c r="B30" s="11" t="s">
        <v>256</v>
      </c>
      <c r="C30" s="17">
        <f ca="1">E30+G30+I30</f>
        <v>14</v>
      </c>
      <c r="D30" s="17">
        <f ca="1">F30+H30+J30</f>
        <v>27.84</v>
      </c>
      <c r="E30" s="17">
        <f ca="1">IF(F30=0,0,COUNTIF(SS_INSIDE_AREA,"X"))</f>
        <v>10</v>
      </c>
      <c r="F30" s="17">
        <f ca="1">SUMIF(SS_INSIDE_AREA,"X",$L$2:$L$2)</f>
        <v>12.559999999999999</v>
      </c>
      <c r="G30" s="17">
        <f ca="1">IF(H30=0,0,COUNTIF(AA_INSIDE_AREA,"X"))</f>
        <v>4</v>
      </c>
      <c r="H30" s="17">
        <f ca="1">aa!$D$22</f>
        <v>15.280000000000001</v>
      </c>
      <c r="I30" s="17">
        <f ca="1">IF(J30=0,0,COUNTIF(II_INSIDE_AREA,"X"))</f>
        <v>0</v>
      </c>
      <c r="J30" s="18">
        <f ca="1">ii!$D$9</f>
        <v>0</v>
      </c>
    </row>
    <row r="31" spans="1:19" ht="21.75" customHeight="1" x14ac:dyDescent="0.3">
      <c r="B31"/>
      <c r="C31"/>
      <c r="D31"/>
      <c r="E31"/>
      <c r="F31"/>
      <c r="G31"/>
      <c r="H31"/>
      <c r="I31"/>
      <c r="K31" s="10" t="s">
        <v>31</v>
      </c>
      <c r="L31" s="32">
        <f ca="1">D29</f>
        <v>80.080000000000013</v>
      </c>
    </row>
    <row r="32" spans="1:19" ht="21.75" customHeight="1" thickBot="1" x14ac:dyDescent="0.35">
      <c r="B32"/>
      <c r="C32"/>
      <c r="D32"/>
      <c r="E32"/>
      <c r="F32"/>
      <c r="G32"/>
      <c r="H32"/>
      <c r="I32"/>
      <c r="K32" s="11" t="s">
        <v>32</v>
      </c>
      <c r="L32" s="33">
        <f ca="1">C29</f>
        <v>25</v>
      </c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0" spans="2:17" ht="21.75" customHeight="1" x14ac:dyDescent="0.3">
      <c r="B40"/>
      <c r="C40"/>
      <c r="D40"/>
      <c r="E40"/>
      <c r="F40"/>
      <c r="G40"/>
      <c r="H40"/>
      <c r="I40"/>
    </row>
    <row r="41" spans="2:17" ht="21.75" customHeight="1" x14ac:dyDescent="0.3">
      <c r="B41"/>
      <c r="C41"/>
      <c r="D41"/>
      <c r="E41"/>
      <c r="F41"/>
      <c r="G41"/>
      <c r="H41"/>
      <c r="I41"/>
    </row>
    <row r="46" spans="2:17" ht="21.75" customHeight="1" x14ac:dyDescent="0.3">
      <c r="K46"/>
      <c r="L46"/>
      <c r="M46"/>
      <c r="N46"/>
      <c r="O46"/>
      <c r="P46"/>
      <c r="Q46"/>
    </row>
    <row r="47" spans="2:17" ht="21.75" customHeight="1" x14ac:dyDescent="0.3">
      <c r="K47"/>
      <c r="L47"/>
      <c r="M47"/>
      <c r="N47"/>
      <c r="O47"/>
      <c r="P47"/>
      <c r="Q47"/>
    </row>
    <row r="48" spans="2:17" ht="21.75" customHeight="1" x14ac:dyDescent="0.3">
      <c r="K48"/>
      <c r="L48"/>
      <c r="M48"/>
      <c r="N48"/>
      <c r="O48"/>
      <c r="P48"/>
      <c r="Q48"/>
    </row>
  </sheetData>
  <dataConsolidate/>
  <mergeCells count="4">
    <mergeCell ref="C28:D28"/>
    <mergeCell ref="E28:F28"/>
    <mergeCell ref="G28:H28"/>
    <mergeCell ref="I28:J2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3"/>
  <sheetViews>
    <sheetView workbookViewId="0">
      <selection activeCell="M21" sqref="M2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454</v>
      </c>
      <c r="D2" s="2" t="s">
        <v>456</v>
      </c>
      <c r="E2" s="49" t="s">
        <v>493</v>
      </c>
      <c r="F2" s="50">
        <v>22</v>
      </c>
      <c r="G2" s="50">
        <v>50</v>
      </c>
      <c r="H2" s="50">
        <v>0.5</v>
      </c>
      <c r="I2" s="50">
        <v>50</v>
      </c>
      <c r="J2" s="2">
        <v>30</v>
      </c>
      <c r="K2" s="2" t="s">
        <v>329</v>
      </c>
      <c r="L2" s="2">
        <v>1.98</v>
      </c>
      <c r="M2" s="2" t="str">
        <f>D2&amp;" "&amp;E2&amp;" 번지"</f>
        <v>보흥리 581-3 번지</v>
      </c>
      <c r="S2" s="2" t="s">
        <v>480</v>
      </c>
    </row>
    <row r="3" spans="1:19" ht="21.75" customHeight="1" x14ac:dyDescent="0.3">
      <c r="A3" s="1" t="s">
        <v>351</v>
      </c>
      <c r="B3" s="1" t="s">
        <v>2</v>
      </c>
      <c r="C3" s="2" t="s">
        <v>453</v>
      </c>
      <c r="D3" s="2" t="s">
        <v>455</v>
      </c>
      <c r="E3" s="49" t="s">
        <v>494</v>
      </c>
      <c r="F3" s="50">
        <v>21</v>
      </c>
      <c r="G3" s="50">
        <v>50</v>
      </c>
      <c r="H3" s="50">
        <v>0.5</v>
      </c>
      <c r="I3" s="50">
        <v>50</v>
      </c>
      <c r="J3" s="2">
        <v>30</v>
      </c>
      <c r="K3" s="2" t="s">
        <v>361</v>
      </c>
      <c r="L3" s="2">
        <v>5.66</v>
      </c>
      <c r="M3" s="2" t="str">
        <f t="shared" ref="M3:M11" si="0">D3&amp;" "&amp;E3&amp;" 번지"</f>
        <v>보흥리 581-1 번지</v>
      </c>
      <c r="S3" s="2" t="s">
        <v>480</v>
      </c>
    </row>
    <row r="4" spans="1:19" ht="21.75" customHeight="1" x14ac:dyDescent="0.3">
      <c r="A4" s="1" t="s">
        <v>24</v>
      </c>
      <c r="B4" s="1" t="s">
        <v>2</v>
      </c>
      <c r="C4" s="2" t="s">
        <v>453</v>
      </c>
      <c r="D4" s="2" t="s">
        <v>455</v>
      </c>
      <c r="E4" s="49" t="s">
        <v>495</v>
      </c>
      <c r="F4" s="50">
        <v>25</v>
      </c>
      <c r="G4" s="50">
        <v>50</v>
      </c>
      <c r="H4" s="50">
        <v>0.5</v>
      </c>
      <c r="I4" s="50">
        <v>50</v>
      </c>
      <c r="J4" s="2">
        <v>30</v>
      </c>
      <c r="K4" s="2" t="s">
        <v>361</v>
      </c>
      <c r="L4" s="2">
        <v>5.66</v>
      </c>
      <c r="M4" s="2" t="str">
        <f t="shared" si="0"/>
        <v>보흥리 297 번지</v>
      </c>
      <c r="S4" s="2" t="s">
        <v>480</v>
      </c>
    </row>
    <row r="5" spans="1:19" ht="21.75" customHeight="1" x14ac:dyDescent="0.3">
      <c r="A5" s="1" t="s">
        <v>352</v>
      </c>
      <c r="B5" s="1" t="s">
        <v>2</v>
      </c>
      <c r="C5" s="2" t="s">
        <v>453</v>
      </c>
      <c r="D5" s="2" t="s">
        <v>455</v>
      </c>
      <c r="E5" s="49" t="s">
        <v>496</v>
      </c>
      <c r="F5" s="50">
        <v>19</v>
      </c>
      <c r="G5" s="50">
        <v>50</v>
      </c>
      <c r="H5" s="50">
        <v>0.5</v>
      </c>
      <c r="I5" s="50">
        <v>50</v>
      </c>
      <c r="J5" s="2">
        <v>30</v>
      </c>
      <c r="K5" s="2" t="s">
        <v>329</v>
      </c>
      <c r="L5" s="2">
        <v>1.98</v>
      </c>
      <c r="M5" s="2" t="str">
        <f t="shared" si="0"/>
        <v>보흥리 289-1 번지</v>
      </c>
      <c r="S5" s="2" t="s">
        <v>480</v>
      </c>
    </row>
    <row r="6" spans="1:19" ht="21.75" customHeight="1" x14ac:dyDescent="0.3">
      <c r="A6" s="1" t="s">
        <v>353</v>
      </c>
      <c r="B6" s="1" t="s">
        <v>2</v>
      </c>
      <c r="C6" s="2" t="s">
        <v>453</v>
      </c>
      <c r="D6" s="2" t="s">
        <v>455</v>
      </c>
      <c r="E6" s="49" t="s">
        <v>497</v>
      </c>
      <c r="F6" s="50">
        <v>18</v>
      </c>
      <c r="G6" s="50">
        <v>50</v>
      </c>
      <c r="H6" s="50">
        <v>0.5</v>
      </c>
      <c r="I6" s="50">
        <v>50</v>
      </c>
      <c r="J6" s="2">
        <v>30</v>
      </c>
      <c r="K6" s="2" t="s">
        <v>329</v>
      </c>
      <c r="L6" s="2">
        <v>1.98</v>
      </c>
      <c r="M6" s="2" t="str">
        <f t="shared" si="0"/>
        <v>보흥리 451-2 번지</v>
      </c>
      <c r="S6" s="2" t="s">
        <v>11</v>
      </c>
    </row>
    <row r="7" spans="1:19" ht="21.75" customHeight="1" x14ac:dyDescent="0.3">
      <c r="A7" s="1" t="s">
        <v>354</v>
      </c>
      <c r="B7" s="1" t="s">
        <v>2</v>
      </c>
      <c r="C7" s="2" t="s">
        <v>453</v>
      </c>
      <c r="D7" s="2" t="s">
        <v>455</v>
      </c>
      <c r="E7" s="49" t="s">
        <v>481</v>
      </c>
      <c r="F7" s="50">
        <v>21</v>
      </c>
      <c r="G7" s="50">
        <v>50</v>
      </c>
      <c r="H7" s="50">
        <v>0.5</v>
      </c>
      <c r="I7" s="50">
        <v>50</v>
      </c>
      <c r="J7" s="2">
        <v>30</v>
      </c>
      <c r="K7" s="2" t="s">
        <v>329</v>
      </c>
      <c r="L7" s="2">
        <v>1.98</v>
      </c>
      <c r="M7" s="2" t="str">
        <f t="shared" si="0"/>
        <v>보흥리 539-1 번지</v>
      </c>
      <c r="S7" s="2" t="s">
        <v>11</v>
      </c>
    </row>
    <row r="8" spans="1:19" ht="21.75" customHeight="1" x14ac:dyDescent="0.3">
      <c r="A8" s="1" t="s">
        <v>355</v>
      </c>
      <c r="B8" s="1" t="s">
        <v>2</v>
      </c>
      <c r="C8" s="2" t="s">
        <v>453</v>
      </c>
      <c r="D8" s="2" t="s">
        <v>455</v>
      </c>
      <c r="E8" s="49" t="s">
        <v>482</v>
      </c>
      <c r="F8" s="50">
        <v>20</v>
      </c>
      <c r="G8" s="50">
        <v>50</v>
      </c>
      <c r="H8" s="50">
        <v>0.3</v>
      </c>
      <c r="I8" s="50">
        <v>50</v>
      </c>
      <c r="J8" s="2">
        <v>30</v>
      </c>
      <c r="K8" s="2" t="s">
        <v>329</v>
      </c>
      <c r="L8" s="2">
        <v>1.98</v>
      </c>
      <c r="M8" s="2" t="str">
        <f t="shared" si="0"/>
        <v>보흥리 442 번지</v>
      </c>
      <c r="S8" s="2" t="s">
        <v>11</v>
      </c>
    </row>
    <row r="9" spans="1:19" ht="21.75" customHeight="1" x14ac:dyDescent="0.3">
      <c r="A9" s="1" t="s">
        <v>356</v>
      </c>
      <c r="B9" s="1" t="s">
        <v>2</v>
      </c>
      <c r="C9" s="2" t="s">
        <v>453</v>
      </c>
      <c r="D9" s="2" t="s">
        <v>455</v>
      </c>
      <c r="E9" s="49" t="s">
        <v>483</v>
      </c>
      <c r="F9" s="50">
        <v>30</v>
      </c>
      <c r="G9" s="50">
        <v>50</v>
      </c>
      <c r="H9" s="50">
        <v>0.3</v>
      </c>
      <c r="I9" s="50">
        <v>20</v>
      </c>
      <c r="J9" s="2">
        <v>30</v>
      </c>
      <c r="K9" s="2" t="s">
        <v>329</v>
      </c>
      <c r="L9" s="2">
        <v>1.98</v>
      </c>
      <c r="M9" s="2" t="str">
        <f t="shared" si="0"/>
        <v>보흥리 404-2 번지</v>
      </c>
      <c r="S9" s="2" t="s">
        <v>11</v>
      </c>
    </row>
    <row r="10" spans="1:19" ht="21.75" customHeight="1" x14ac:dyDescent="0.3">
      <c r="A10" s="1" t="s">
        <v>357</v>
      </c>
      <c r="B10" s="1" t="s">
        <v>2</v>
      </c>
      <c r="C10" s="2" t="s">
        <v>453</v>
      </c>
      <c r="D10" s="2" t="s">
        <v>455</v>
      </c>
      <c r="E10" s="49" t="s">
        <v>484</v>
      </c>
      <c r="F10" s="50">
        <v>20</v>
      </c>
      <c r="G10" s="50">
        <v>50</v>
      </c>
      <c r="H10" s="50">
        <v>0.3</v>
      </c>
      <c r="I10" s="50">
        <v>50</v>
      </c>
      <c r="J10" s="2">
        <v>30</v>
      </c>
      <c r="K10" s="2" t="s">
        <v>329</v>
      </c>
      <c r="L10" s="2">
        <v>1.98</v>
      </c>
      <c r="M10" s="2" t="str">
        <f t="shared" si="0"/>
        <v>보흥리 544-1 번지</v>
      </c>
      <c r="S10" s="2" t="s">
        <v>11</v>
      </c>
    </row>
    <row r="11" spans="1:19" ht="21.75" customHeight="1" x14ac:dyDescent="0.3">
      <c r="A11" s="1" t="s">
        <v>358</v>
      </c>
      <c r="B11" s="1" t="s">
        <v>2</v>
      </c>
      <c r="C11" s="2" t="s">
        <v>453</v>
      </c>
      <c r="D11" s="2" t="s">
        <v>455</v>
      </c>
      <c r="E11" s="49" t="s">
        <v>485</v>
      </c>
      <c r="F11" s="50">
        <v>80</v>
      </c>
      <c r="G11" s="50">
        <v>150</v>
      </c>
      <c r="H11" s="50">
        <v>2</v>
      </c>
      <c r="I11" s="50">
        <v>90</v>
      </c>
      <c r="J11" s="2">
        <v>30</v>
      </c>
      <c r="K11" s="2" t="s">
        <v>492</v>
      </c>
      <c r="L11" s="2">
        <v>5.66</v>
      </c>
      <c r="M11" s="2" t="str">
        <f t="shared" si="0"/>
        <v>보흥리 405-1 번지</v>
      </c>
      <c r="S11" s="2" t="s">
        <v>11</v>
      </c>
    </row>
    <row r="12" spans="1:19" ht="21.75" customHeight="1" x14ac:dyDescent="0.3">
      <c r="A12" s="1" t="s">
        <v>443</v>
      </c>
      <c r="B12" s="1" t="s">
        <v>2</v>
      </c>
      <c r="C12" s="2" t="s">
        <v>453</v>
      </c>
      <c r="D12" s="2" t="s">
        <v>455</v>
      </c>
      <c r="E12" s="49" t="s">
        <v>486</v>
      </c>
      <c r="F12" s="50">
        <v>21</v>
      </c>
      <c r="G12" s="50">
        <v>50</v>
      </c>
      <c r="H12" s="50">
        <v>0.5</v>
      </c>
      <c r="I12" s="50">
        <v>50</v>
      </c>
      <c r="J12" s="2">
        <v>30</v>
      </c>
      <c r="K12" s="2" t="s">
        <v>361</v>
      </c>
      <c r="L12" s="2">
        <v>5.66</v>
      </c>
      <c r="M12" s="2" t="str">
        <f t="shared" ref="M12:M17" si="1">D12&amp;" "&amp;E12&amp;" 번지"</f>
        <v>보흥리 428-1 번지</v>
      </c>
      <c r="S12" s="2" t="s">
        <v>11</v>
      </c>
    </row>
    <row r="13" spans="1:19" ht="21.75" customHeight="1" x14ac:dyDescent="0.3">
      <c r="A13" s="1" t="s">
        <v>444</v>
      </c>
      <c r="B13" s="1" t="s">
        <v>2</v>
      </c>
      <c r="C13" s="2" t="s">
        <v>453</v>
      </c>
      <c r="D13" s="2" t="s">
        <v>455</v>
      </c>
      <c r="E13" s="49" t="s">
        <v>487</v>
      </c>
      <c r="F13" s="50">
        <v>30</v>
      </c>
      <c r="G13" s="50">
        <v>50</v>
      </c>
      <c r="H13" s="50">
        <v>0.5</v>
      </c>
      <c r="I13" s="50">
        <v>50</v>
      </c>
      <c r="J13" s="2">
        <v>30</v>
      </c>
      <c r="K13" s="2" t="s">
        <v>361</v>
      </c>
      <c r="L13" s="2">
        <v>5.66</v>
      </c>
      <c r="M13" s="2" t="str">
        <f t="shared" si="1"/>
        <v>보흥리 107-10 번지</v>
      </c>
      <c r="S13" s="2" t="s">
        <v>11</v>
      </c>
    </row>
    <row r="14" spans="1:19" ht="21.75" customHeight="1" x14ac:dyDescent="0.3">
      <c r="A14" s="1" t="s">
        <v>445</v>
      </c>
      <c r="B14" s="1" t="s">
        <v>2</v>
      </c>
      <c r="C14" s="2" t="s">
        <v>453</v>
      </c>
      <c r="D14" s="2" t="s">
        <v>455</v>
      </c>
      <c r="E14" s="49" t="s">
        <v>488</v>
      </c>
      <c r="F14" s="50">
        <v>30</v>
      </c>
      <c r="G14" s="50">
        <v>50</v>
      </c>
      <c r="H14" s="50">
        <v>0.5</v>
      </c>
      <c r="I14" s="50">
        <v>30</v>
      </c>
      <c r="J14" s="2">
        <v>30</v>
      </c>
      <c r="K14" s="2" t="s">
        <v>361</v>
      </c>
      <c r="L14" s="2">
        <v>5.66</v>
      </c>
      <c r="M14" s="2" t="str">
        <f t="shared" si="1"/>
        <v>보흥리 106-10 번지</v>
      </c>
      <c r="S14" s="2" t="s">
        <v>11</v>
      </c>
    </row>
    <row r="15" spans="1:19" ht="21.75" customHeight="1" x14ac:dyDescent="0.3">
      <c r="A15" s="1" t="s">
        <v>446</v>
      </c>
      <c r="B15" s="1" t="s">
        <v>2</v>
      </c>
      <c r="C15" s="2" t="s">
        <v>453</v>
      </c>
      <c r="D15" s="2" t="s">
        <v>455</v>
      </c>
      <c r="E15" s="49" t="s">
        <v>489</v>
      </c>
      <c r="F15" s="50">
        <v>30</v>
      </c>
      <c r="G15" s="50">
        <v>50</v>
      </c>
      <c r="H15" s="50">
        <v>0.5</v>
      </c>
      <c r="I15" s="50">
        <v>15</v>
      </c>
      <c r="J15" s="2">
        <v>30</v>
      </c>
      <c r="K15" s="2" t="s">
        <v>361</v>
      </c>
      <c r="L15" s="2">
        <v>5.66</v>
      </c>
      <c r="M15" s="2" t="str">
        <f t="shared" si="1"/>
        <v>보흥리 106-28 번지</v>
      </c>
      <c r="S15" s="2" t="s">
        <v>11</v>
      </c>
    </row>
    <row r="16" spans="1:19" ht="21.75" customHeight="1" x14ac:dyDescent="0.3">
      <c r="A16" s="1" t="s">
        <v>447</v>
      </c>
      <c r="B16" s="1" t="s">
        <v>2</v>
      </c>
      <c r="C16" s="2" t="s">
        <v>453</v>
      </c>
      <c r="D16" s="2" t="s">
        <v>455</v>
      </c>
      <c r="E16" s="49" t="s">
        <v>490</v>
      </c>
      <c r="F16" s="50">
        <v>20</v>
      </c>
      <c r="G16" s="50">
        <v>50</v>
      </c>
      <c r="H16" s="50">
        <v>0.5</v>
      </c>
      <c r="I16" s="50">
        <v>50</v>
      </c>
      <c r="J16" s="2">
        <v>30</v>
      </c>
      <c r="K16" s="2" t="s">
        <v>361</v>
      </c>
      <c r="L16" s="2">
        <v>5.66</v>
      </c>
      <c r="M16" s="2" t="str">
        <f t="shared" si="1"/>
        <v>보흥리 106-29 번지</v>
      </c>
      <c r="S16" s="2" t="s">
        <v>11</v>
      </c>
    </row>
    <row r="17" spans="1:19" ht="21.75" customHeight="1" x14ac:dyDescent="0.3">
      <c r="A17" s="1" t="s">
        <v>448</v>
      </c>
      <c r="B17" s="1" t="s">
        <v>2</v>
      </c>
      <c r="C17" s="2" t="s">
        <v>453</v>
      </c>
      <c r="D17" s="2" t="s">
        <v>455</v>
      </c>
      <c r="E17" s="49" t="s">
        <v>491</v>
      </c>
      <c r="F17" s="50">
        <v>80</v>
      </c>
      <c r="G17" s="50">
        <v>150</v>
      </c>
      <c r="H17" s="50">
        <v>3</v>
      </c>
      <c r="I17" s="50">
        <v>120</v>
      </c>
      <c r="J17" s="2">
        <v>30</v>
      </c>
      <c r="K17" s="2" t="s">
        <v>361</v>
      </c>
      <c r="L17" s="2">
        <v>5.66</v>
      </c>
      <c r="M17" s="2" t="str">
        <f t="shared" si="1"/>
        <v>보흥리 213-6 번지</v>
      </c>
      <c r="S17" s="2" t="s">
        <v>11</v>
      </c>
    </row>
    <row r="18" spans="1:19" ht="21.75" customHeight="1" x14ac:dyDescent="0.3">
      <c r="A18" s="1"/>
      <c r="B18" s="1"/>
      <c r="E18" s="7"/>
    </row>
    <row r="19" spans="1:19" ht="21.75" customHeight="1" thickBot="1" x14ac:dyDescent="0.35">
      <c r="A19" s="1"/>
      <c r="B19" s="1"/>
      <c r="E19" s="7"/>
    </row>
    <row r="20" spans="1:19" ht="21.75" customHeight="1" x14ac:dyDescent="0.3">
      <c r="A20" s="1"/>
      <c r="B20" s="10" t="s">
        <v>21</v>
      </c>
      <c r="C20" s="13" t="s">
        <v>20</v>
      </c>
      <c r="D20" s="14" t="s">
        <v>5</v>
      </c>
      <c r="E20" s="7"/>
    </row>
    <row r="21" spans="1:19" ht="21.75" customHeight="1" x14ac:dyDescent="0.3">
      <c r="A21" s="1"/>
      <c r="B21" s="15" t="s">
        <v>18</v>
      </c>
      <c r="C21" s="12">
        <f ca="1">COUNTIF(AA_INSIDE_AREA,"O")</f>
        <v>12</v>
      </c>
      <c r="D21" s="16">
        <f ca="1">SUMIF(AA_INSIDE_AREA,"O",$L$2:$L$2)</f>
        <v>49.519999999999996</v>
      </c>
    </row>
    <row r="22" spans="1:19" ht="21.75" customHeight="1" x14ac:dyDescent="0.3">
      <c r="B22" s="15" t="s">
        <v>19</v>
      </c>
      <c r="C22" s="12">
        <f ca="1">COUNTIF(AA_INSIDE_AREA,"X")</f>
        <v>4</v>
      </c>
      <c r="D22" s="16">
        <f ca="1">SUMIF(AA_INSIDE_AREA,"X",$L$2:$L$2)</f>
        <v>15.280000000000001</v>
      </c>
      <c r="L22" s="45"/>
    </row>
    <row r="23" spans="1:19" ht="21.75" customHeight="1" thickBot="1" x14ac:dyDescent="0.35">
      <c r="B23" s="11"/>
      <c r="C23" s="17"/>
      <c r="D23" s="18">
        <f ca="1">D21+D22</f>
        <v>64.8</v>
      </c>
      <c r="L23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K19" sqref="K19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359</v>
      </c>
      <c r="D2" s="2" t="s">
        <v>360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5" t="s">
        <v>30</v>
      </c>
      <c r="L5" s="31">
        <f>SUM(L2:L4)</f>
        <v>0</v>
      </c>
      <c r="S5" s="8"/>
    </row>
    <row r="6" spans="1:19" ht="18.75" customHeight="1" thickBot="1" x14ac:dyDescent="0.35"/>
    <row r="7" spans="1:19" ht="18.75" customHeight="1" x14ac:dyDescent="0.3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 x14ac:dyDescent="0.3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 x14ac:dyDescent="0.3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 x14ac:dyDescent="0.35">
      <c r="B10" s="20"/>
      <c r="C10" s="17"/>
      <c r="D10" s="18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5" customWidth="1"/>
  </cols>
  <sheetData>
    <row r="1" spans="1:10" ht="21.75" customHeight="1" x14ac:dyDescent="0.3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 x14ac:dyDescent="0.3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 x14ac:dyDescent="0.3">
      <c r="C3" s="5" t="s">
        <v>88</v>
      </c>
      <c r="D3" s="5" t="s">
        <v>35</v>
      </c>
      <c r="E3" s="25" t="s">
        <v>142</v>
      </c>
    </row>
    <row r="4" spans="1:10" ht="20.100000000000001" customHeight="1" x14ac:dyDescent="0.3">
      <c r="C4" s="5" t="s">
        <v>140</v>
      </c>
      <c r="D4" s="5" t="s">
        <v>36</v>
      </c>
      <c r="E4" s="25" t="s">
        <v>143</v>
      </c>
    </row>
    <row r="5" spans="1:10" ht="20.100000000000001" customHeight="1" x14ac:dyDescent="0.3">
      <c r="C5" s="5" t="s">
        <v>24</v>
      </c>
      <c r="D5" s="5" t="s">
        <v>37</v>
      </c>
      <c r="E5" s="25" t="s">
        <v>144</v>
      </c>
    </row>
    <row r="6" spans="1:10" ht="20.100000000000001" customHeight="1" x14ac:dyDescent="0.3">
      <c r="C6" s="5" t="s">
        <v>89</v>
      </c>
      <c r="D6" s="5" t="s">
        <v>38</v>
      </c>
      <c r="E6" s="25" t="s">
        <v>145</v>
      </c>
    </row>
    <row r="7" spans="1:10" ht="20.100000000000001" customHeight="1" x14ac:dyDescent="0.3">
      <c r="C7" s="5" t="s">
        <v>90</v>
      </c>
      <c r="D7" s="5" t="s">
        <v>39</v>
      </c>
      <c r="E7" s="25" t="s">
        <v>33</v>
      </c>
    </row>
    <row r="8" spans="1:10" ht="20.100000000000001" customHeight="1" x14ac:dyDescent="0.3">
      <c r="C8" s="5" t="s">
        <v>91</v>
      </c>
      <c r="D8" s="5" t="s">
        <v>40</v>
      </c>
      <c r="E8" s="25" t="s">
        <v>146</v>
      </c>
    </row>
    <row r="9" spans="1:10" ht="20.100000000000001" customHeight="1" x14ac:dyDescent="0.3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5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5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5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5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5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5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5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5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5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5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5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5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5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5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5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5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5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5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5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5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5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5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7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7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5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5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7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7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7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7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5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5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5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5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5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5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5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7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7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7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7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7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 x14ac:dyDescent="0.3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 x14ac:dyDescent="0.3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 x14ac:dyDescent="0.3">
      <c r="A2" s="25" t="s">
        <v>23</v>
      </c>
      <c r="B2" s="25" t="s">
        <v>363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364</v>
      </c>
      <c r="J2" s="25">
        <v>0.68</v>
      </c>
      <c r="K2" s="25" t="s">
        <v>327</v>
      </c>
    </row>
    <row r="3" spans="1:11" ht="20.100000000000001" customHeight="1" x14ac:dyDescent="0.3">
      <c r="A3" s="25" t="s">
        <v>331</v>
      </c>
      <c r="B3" s="25" t="s">
        <v>365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 x14ac:dyDescent="0.3">
      <c r="A4" s="25" t="s">
        <v>332</v>
      </c>
      <c r="B4" s="25" t="s">
        <v>366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364</v>
      </c>
      <c r="J4" s="25">
        <v>0.68</v>
      </c>
      <c r="K4" s="25" t="s">
        <v>327</v>
      </c>
    </row>
    <row r="5" spans="1:11" ht="20.100000000000001" customHeight="1" x14ac:dyDescent="0.3">
      <c r="A5" s="25" t="s">
        <v>333</v>
      </c>
      <c r="B5" s="25" t="s">
        <v>367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 x14ac:dyDescent="0.3">
      <c r="A6" s="25" t="s">
        <v>334</v>
      </c>
      <c r="B6" s="25" t="s">
        <v>368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 x14ac:dyDescent="0.3">
      <c r="A7" s="25" t="s">
        <v>335</v>
      </c>
      <c r="B7" s="25" t="s">
        <v>369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 x14ac:dyDescent="0.3">
      <c r="A8" s="25" t="s">
        <v>336</v>
      </c>
      <c r="B8" s="25" t="s">
        <v>370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364</v>
      </c>
      <c r="J8" s="25">
        <v>0.68</v>
      </c>
      <c r="K8" s="25" t="s">
        <v>327</v>
      </c>
    </row>
    <row r="9" spans="1:11" ht="20.100000000000001" customHeight="1" x14ac:dyDescent="0.3">
      <c r="A9" s="25" t="s">
        <v>337</v>
      </c>
      <c r="B9" s="25" t="s">
        <v>371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 x14ac:dyDescent="0.3">
      <c r="A10" s="25" t="s">
        <v>338</v>
      </c>
      <c r="B10" s="25" t="s">
        <v>372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 x14ac:dyDescent="0.3">
      <c r="A11" s="25" t="s">
        <v>339</v>
      </c>
      <c r="B11" s="25" t="s">
        <v>373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364</v>
      </c>
      <c r="J11" s="25">
        <v>0.68</v>
      </c>
      <c r="K11" s="25" t="s">
        <v>327</v>
      </c>
    </row>
    <row r="12" spans="1:11" ht="20.100000000000001" customHeight="1" x14ac:dyDescent="0.3">
      <c r="A12" s="25" t="s">
        <v>340</v>
      </c>
      <c r="B12" s="25" t="s">
        <v>374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 x14ac:dyDescent="0.3">
      <c r="A13" s="25" t="s">
        <v>341</v>
      </c>
      <c r="B13" s="25" t="s">
        <v>375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 x14ac:dyDescent="0.3">
      <c r="A14" s="25" t="s">
        <v>342</v>
      </c>
      <c r="B14" s="25" t="s">
        <v>376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 x14ac:dyDescent="0.3">
      <c r="A15" s="25" t="s">
        <v>343</v>
      </c>
      <c r="B15" s="25" t="s">
        <v>377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 x14ac:dyDescent="0.3">
      <c r="A16" s="25" t="s">
        <v>344</v>
      </c>
      <c r="B16" s="25" t="s">
        <v>378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 x14ac:dyDescent="0.3">
      <c r="A17" s="25" t="s">
        <v>345</v>
      </c>
      <c r="B17" s="25" t="s">
        <v>379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 x14ac:dyDescent="0.3">
      <c r="A18" s="25" t="s">
        <v>4</v>
      </c>
      <c r="B18" s="25" t="s">
        <v>380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 x14ac:dyDescent="0.3">
      <c r="A19" s="25" t="s">
        <v>140</v>
      </c>
      <c r="B19" s="25" t="s">
        <v>381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382</v>
      </c>
      <c r="J19" s="25">
        <v>5.94</v>
      </c>
      <c r="K19" s="25" t="s">
        <v>327</v>
      </c>
    </row>
    <row r="20" spans="1:11" ht="20.100000000000001" customHeight="1" x14ac:dyDescent="0.3">
      <c r="A20" s="25" t="s">
        <v>383</v>
      </c>
      <c r="B20" s="25" t="s">
        <v>384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382</v>
      </c>
      <c r="J20" s="25">
        <v>6.08</v>
      </c>
      <c r="K20" s="25" t="s">
        <v>327</v>
      </c>
    </row>
    <row r="21" spans="1:11" ht="20.100000000000001" customHeight="1" x14ac:dyDescent="0.3">
      <c r="A21" s="25" t="s">
        <v>385</v>
      </c>
      <c r="B21" s="25" t="s">
        <v>386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 x14ac:dyDescent="0.3">
      <c r="A22" s="25" t="s">
        <v>387</v>
      </c>
      <c r="B22" s="25" t="s">
        <v>388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 x14ac:dyDescent="0.3">
      <c r="A23" s="25" t="s">
        <v>389</v>
      </c>
      <c r="B23" s="25" t="s">
        <v>390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 x14ac:dyDescent="0.3">
      <c r="A24" s="25" t="s">
        <v>391</v>
      </c>
      <c r="B24" s="25" t="s">
        <v>392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 x14ac:dyDescent="0.3">
      <c r="A25" s="25" t="s">
        <v>393</v>
      </c>
      <c r="B25" s="25" t="s">
        <v>394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 x14ac:dyDescent="0.3">
      <c r="A26" s="25" t="s">
        <v>395</v>
      </c>
      <c r="B26" s="25" t="s">
        <v>396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 x14ac:dyDescent="0.3">
      <c r="A27" s="25" t="s">
        <v>397</v>
      </c>
      <c r="B27" s="25" t="s">
        <v>398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382</v>
      </c>
      <c r="J27" s="25">
        <v>5.94</v>
      </c>
      <c r="K27" s="25" t="s">
        <v>327</v>
      </c>
    </row>
    <row r="28" spans="1:11" ht="20.100000000000001" customHeight="1" x14ac:dyDescent="0.3">
      <c r="A28" s="25" t="s">
        <v>9</v>
      </c>
      <c r="B28" s="25" t="s">
        <v>399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 x14ac:dyDescent="0.3">
      <c r="A29" s="25" t="s">
        <v>349</v>
      </c>
      <c r="B29" s="25" t="s">
        <v>400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401</v>
      </c>
      <c r="J29" s="25">
        <v>5</v>
      </c>
      <c r="K29" s="25" t="s">
        <v>327</v>
      </c>
    </row>
    <row r="30" spans="1:11" ht="20.100000000000001" customHeight="1" x14ac:dyDescent="0.3">
      <c r="A30" s="25" t="s">
        <v>350</v>
      </c>
      <c r="B30" s="25" t="s">
        <v>402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401</v>
      </c>
      <c r="J30" s="25">
        <v>15</v>
      </c>
      <c r="K30" s="25" t="s">
        <v>327</v>
      </c>
    </row>
    <row r="31" spans="1:11" ht="20.100000000000001" customHeight="1" x14ac:dyDescent="0.3">
      <c r="A31" s="25" t="s">
        <v>403</v>
      </c>
      <c r="B31" s="25" t="s">
        <v>404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362</v>
      </c>
      <c r="J31" s="25">
        <v>15</v>
      </c>
      <c r="K31" s="25" t="s">
        <v>327</v>
      </c>
    </row>
    <row r="32" spans="1:11" ht="20.100000000000001" customHeight="1" x14ac:dyDescent="0.3">
      <c r="A32" s="25" t="s">
        <v>405</v>
      </c>
      <c r="B32" s="25" t="s">
        <v>406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401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 x14ac:dyDescent="0.3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 x14ac:dyDescent="0.3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 x14ac:dyDescent="0.3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407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 x14ac:dyDescent="0.3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408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 x14ac:dyDescent="0.3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409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 x14ac:dyDescent="0.3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410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 x14ac:dyDescent="0.3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411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 x14ac:dyDescent="0.3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412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 x14ac:dyDescent="0.3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413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 x14ac:dyDescent="0.3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414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 x14ac:dyDescent="0.3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415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 x14ac:dyDescent="0.3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416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 x14ac:dyDescent="0.3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417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 x14ac:dyDescent="0.3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418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 x14ac:dyDescent="0.3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419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 x14ac:dyDescent="0.3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420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 x14ac:dyDescent="0.3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421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 x14ac:dyDescent="0.3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422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 x14ac:dyDescent="0.3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423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 x14ac:dyDescent="0.3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424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 x14ac:dyDescent="0.3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425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 x14ac:dyDescent="0.3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426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 x14ac:dyDescent="0.3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427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 x14ac:dyDescent="0.3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428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 x14ac:dyDescent="0.3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429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 x14ac:dyDescent="0.3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430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 x14ac:dyDescent="0.3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431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 x14ac:dyDescent="0.3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432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 x14ac:dyDescent="0.3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433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 x14ac:dyDescent="0.3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434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 x14ac:dyDescent="0.3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435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 x14ac:dyDescent="0.3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436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 x14ac:dyDescent="0.3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437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2025-02-11T01:28:44Z</dcterms:modified>
</cp:coreProperties>
</file>