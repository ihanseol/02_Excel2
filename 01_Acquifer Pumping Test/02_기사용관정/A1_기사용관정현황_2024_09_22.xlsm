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DF8DBC6-2EF4-412F-B40C-2D7684E4A07D}" xr6:coauthVersionLast="47" xr6:coauthVersionMax="47" xr10:uidLastSave="{00000000-0000-0000-0000-000000000000}"/>
  <bookViews>
    <workbookView xWindow="7065" yWindow="1425" windowWidth="27360" windowHeight="1957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16" i="10" l="1"/>
  <c r="C16" i="10"/>
  <c r="D15" i="10"/>
  <c r="C15" i="10"/>
  <c r="H22" i="8" l="1"/>
  <c r="D17" i="10"/>
  <c r="F23" i="8" l="1"/>
  <c r="E23" i="8" s="1"/>
  <c r="F22" i="8"/>
  <c r="J9" i="12"/>
  <c r="E22" i="8" l="1"/>
  <c r="L21" i="8"/>
  <c r="D9" i="11"/>
  <c r="C9" i="11"/>
  <c r="D8" i="11"/>
  <c r="L5" i="11"/>
  <c r="M2" i="11"/>
  <c r="L22" i="8" l="1"/>
  <c r="C8" i="11"/>
  <c r="J23" i="8"/>
  <c r="I23" i="8" s="1"/>
  <c r="J22" i="8"/>
  <c r="I22" i="8" s="1"/>
  <c r="D10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<sst xmlns="http://schemas.openxmlformats.org/spreadsheetml/2006/main" count="1991" uniqueCount="444">
  <si>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</si>
  <si>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</si>
  <si>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</si>
  <si>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</si>
  <si>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</si>
  <si>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</si>
  <si>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</si>
  <si>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</si>
  <si>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</si>
  <si>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</si>
  <si>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</si>
  <si>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</si>
  <si>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</si>
  <si>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</si>
  <si>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</si>
  <si>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</si>
  <si>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</si>
  <si>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</si>
  <si>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</si>
  <si>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</si>
  <si>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</si>
  <si>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</si>
  <si>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</si>
  <si>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</si>
  <si>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</si>
  <si>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</si>
  <si>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</si>
  <si>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</si>
  <si>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</si>
  <si>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</si>
  <si>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</si>
  <si>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</si>
  <si>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</si>
  <si>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</si>
  <si>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</si>
  <si>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</si>
  <si>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</si>
  <si>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</si>
  <si>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</si>
  <si>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</si>
  <si>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</si>
  <si>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</si>
  <si>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</si>
  <si>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</si>
  <si>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</si>
  <si>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</si>
  <si>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</si>
  <si>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</si>
  <si>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</si>
  <si>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</si>
  <si>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</si>
  <si>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</si>
  <si>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</si>
  <si>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</si>
  <si>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</si>
  <si>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</si>
  <si>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</si>
  <si>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</si>
  <si>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</si>
  <si>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</si>
  <si>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</si>
  <si>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</si>
  <si>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</si>
  <si>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</si>
  <si>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</si>
  <si>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</si>
  <si>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</si>
  <si>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</si>
  <si>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</si>
  <si>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</si>
  <si>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</si>
  <si>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</si>
  <si>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</si>
  <si>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</si>
  <si>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</si>
  <si>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</si>
  <si>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</si>
  <si>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</si>
  <si>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</si>
  <si>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</si>
  <si>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</si>
  <si>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</si>
  <si>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</si>
  <si>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</si>
  <si>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</si>
  <si>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</si>
  <si>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</si>
  <si>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</si>
  <si>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</si>
  <si>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</si>
  <si>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</si>
  <si>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</si>
  <si>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</si>
  <si>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</si>
  <si>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</si>
  <si>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</si>
  <si>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</si>
  <si>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</si>
  <si>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</si>
  <si>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</si>
  <si>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</si>
  <si>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</si>
  <si>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</si>
  <si>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</si>
  <si>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</si>
  <si>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</si>
  <si>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</si>
  <si>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</si>
  <si>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</si>
  <si>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</si>
  <si>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</si>
  <si>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</si>
  <si>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</si>
  <si>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</si>
  <si>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</si>
  <si>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</si>
  <si>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</si>
  <si>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</si>
  <si>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</si>
  <si>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</si>
  <si>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</si>
  <si>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</si>
  <si>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</si>
  <si>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</si>
  <si>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</si>
  <si>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</si>
  <si>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</si>
  <si>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</si>
  <si>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</si>
  <si>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</si>
  <si>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</si>
  <si>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</si>
  <si>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</si>
  <si>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</si>
  <si>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</si>
  <si>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</si>
  <si>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</si>
  <si>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</si>
  <si>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</si>
  <si>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</si>
  <si>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</si>
  <si>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</si>
  <si>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</si>
  <si>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</si>
  <si>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</si>
  <si>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</si>
  <si>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</si>
  <si>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</si>
  <si>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</si>
  <si>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</si>
  <si>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</si>
  <si>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</si>
  <si>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</si>
  <si>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</si>
  <si>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</si>
  <si>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</si>
  <si>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</si>
  <si>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</si>
  <si>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</si>
  <si>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</si>
  <si>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</si>
  <si>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</si>
  <si>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</si>
  <si>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</si>
  <si>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</si>
  <si>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</si>
  <si>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</si>
  <si>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</si>
  <si>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</si>
  <si>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</si>
  <si>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</si>
  <si>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</si>
  <si>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</si>
  <si>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</si>
  <si>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</si>
  <si>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</si>
  <si>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</si>
  <si>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</si>
  <si>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</si>
  <si>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</si>
  <si>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</si>
  <si>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</si>
  <si>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</si>
  <si>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</si>
  <si>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</si>
  <si>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</si>
  <si>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</si>
  <si>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</si>
  <si>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</si>
  <si>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</si>
  <si>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</si>
  <si>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</si>
  <si>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</si>
  <si>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</si>
  <si>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</si>
  <si>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</si>
  <si>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</si>
  <si>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</si>
  <si>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</si>
  <si>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</si>
  <si>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</si>
  <si>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</si>
  <si>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</si>
  <si>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</si>
  <si>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</si>
  <si>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</si>
  <si>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</si>
  <si>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</si>
  <si>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</si>
  <si>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</si>
  <si>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</si>
  <si>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</si>
  <si>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</si>
  <si>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</si>
  <si>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</si>
  <si>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</si>
  <si>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</si>
  <si>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</si>
  <si>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</si>
  <si>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</si>
  <si>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</si>
  <si>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</si>
  <si>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</si>
  <si>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</si>
  <si>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</si>
  <si>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</si>
  <si>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</si>
  <si>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</si>
  <si>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</si>
  <si>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</si>
  <si>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</si>
  <si>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</si>
  <si>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</si>
  <si>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</si>
  <si>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</si>
  <si>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</si>
  <si>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</si>
  <si>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</si>
  <si>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</si>
  <si>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</si>
  <si>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</si>
  <si>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</si>
  <si>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</si>
  <si>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</si>
  <si>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</si>
  <si>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</si>
  <si>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</si>
  <si>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</si>
  <si>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</si>
  <si>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</si>
  <si>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</si>
  <si>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</si>
  <si>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</si>
  <si>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</si>
  <si>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</si>
  <si>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</si>
  <si>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</si>
  <si>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</si>
  <si>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</si>
  <si>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</si>
  <si>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</si>
  <si>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</si>
  <si>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</si>
  <si>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</si>
  <si>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</si>
  <si>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</si>
  <si>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</si>
  <si>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</si>
  <si>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</si>
  <si>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</si>
  <si>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</si>
  <si>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</si>
  <si>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</si>
  <si>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</si>
  <si>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</si>
  <si>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</si>
  <si>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</si>
  <si>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</si>
  <si>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</si>
  <si>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</si>
  <si>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</si>
  <si>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</si>
  <si>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</si>
  <si>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</si>
  <si>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</si>
  <si>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</si>
  <si>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</si>
  <si>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</si>
  <si>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</si>
  <si>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</si>
  <si>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</si>
  <si>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</si>
  <si>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</si>
  <si>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</si>
  <si>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</si>
  <si>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</si>
  <si>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</si>
  <si>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</si>
  <si>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</si>
  <si>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</si>
  <si>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</si>
  <si>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</si>
  <si>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</si>
  <si>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</si>
  <si>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</si>
  <si>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</si>
  <si>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</si>
  <si>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</si>
  <si>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</si>
  <si>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</si>
  <si>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</si>
  <si>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</si>
  <si>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</si>
  <si>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</si>
  <si>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</si>
  <si>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</si>
  <si>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</si>
  <si>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</si>
  <si>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</si>
  <si>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</si>
  <si>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</si>
  <si>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</si>
  <si>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</si>
  <si>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</si>
  <si>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</si>
  <si>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</si>
  <si>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</si>
  <si>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</si>
  <si>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</si>
  <si>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</si>
  <si>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</si>
  <si>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</si>
  <si>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</si>
  <si>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</si>
  <si>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</si>
  <si>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</si>
  <si>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</si>
  <si>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</si>
  <si>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</si>
  <si>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</si>
  <si>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</si>
  <si>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</si>
  <si>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</si>
  <si>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</si>
  <si>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</si>
  <si>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</si>
  <si>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</si>
  <si>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</si>
  <si>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</si>
  <si>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</si>
  <si>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</si>
  <si>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</si>
  <si>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</si>
  <si>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</si>
  <si>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</si>
  <si>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</si>
  <si>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</si>
  <si>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</si>
  <si>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</si>
  <si>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</si>
  <si>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</si>
  <si>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</si>
  <si>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</si>
  <si>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</si>
  <si>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</si>
  <si>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</si>
  <si>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</si>
  <si>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</si>
  <si>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</si>
  <si>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</si>
  <si>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</si>
  <si>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</si>
  <si>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</si>
  <si>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</si>
  <si>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</si>
  <si>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</si>
  <si>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</si>
  <si>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</si>
  <si>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</si>
  <si>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</si>
  <si>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</si>
  <si>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</si>
  <si>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</si>
  <si>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</si>
  <si>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</si>
  <si>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</si>
  <si>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</si>
  <si>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</si>
  <si>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</si>
  <si>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</si>
  <si>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</si>
  <si>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</si>
  <si>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</si>
  <si>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</si>
  <si>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</si>
  <si>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</si>
  <si>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</si>
  <si>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</si>
  <si>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</si>
  <si>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</si>
  <si>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</si>
  <si>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</si>
  <si>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</si>
  <si>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</si>
  <si>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</si>
  <si>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</si>
  <si>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</si>
  <si>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</si>
  <si>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</si>
  <si>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</si>
  <si>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</si>
  <si>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</si>
  <si>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</si>
  <si>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</si>
  <si>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</si>
  <si>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</si>
  <si>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</si>
  <si>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</si>
  <si>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</si>
  <si>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</si>
  <si>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</si>
  <si>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</si>
  <si>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</si>
  <si>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</si>
  <si>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</si>
  <si>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</si>
  <si>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</si>
  <si>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</si>
  <si>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</si>
  <si>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</si>
  <si>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</si>
  <si>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</si>
  <si>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</si>
  <si>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</si>
  <si>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</si>
  <si>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</si>
  <si>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</si>
  <si>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</si>
  <si>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</si>
  <si>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</si>
  <si>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</si>
  <si>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</si>
  <si>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</si>
  <si>
    <t>555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</si>
</sst>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3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3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3" ht="36" customHeight="1">
      <c r="B1" s="30" t="s">
        <v>217</v>
      </c>
    </row>
    <row r="2" spans="1:13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</row>
    <row r="3" spans="1:13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</row>
    <row r="4" spans="1:13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</row>
    <row r="5" spans="1:13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</row>
    <row r="6" spans="1:13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</row>
    <row r="7" spans="1:13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</row>
    <row r="8" spans="1:13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</row>
    <row r="9" spans="1:13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</row>
    <row r="10" spans="1:13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</row>
    <row r="11" spans="1:13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</row>
    <row r="12" spans="1:13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</row>
    <row r="13" spans="1:13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</row>
    <row r="14" spans="1:13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</row>
    <row r="15" spans="1:13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</row>
    <row r="16" spans="1:13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</row>
    <row r="17" spans="1:13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</row>
    <row r="18" spans="1:13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1:13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1:13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1:13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1:13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1:13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1:13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1:13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Q8" sqref="Q8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E2" s="4" t="s">
        <v>443</v>
      </c>
      <c r="F2" s="2">
        <v>5</v>
      </c>
      <c r="G2" s="2">
        <v>5</v>
      </c>
      <c r="H2" s="2">
        <v>5</v>
      </c>
      <c r="I2" s="2">
        <v>5</v>
      </c>
      <c r="J2" s="2">
        <v>5</v>
      </c>
      <c r="K2" s="2" t="s">
        <v>146</v>
      </c>
      <c r="L2" s="9">
        <v>0.68</v>
      </c>
      <c r="M2" s="2" t="str">
        <f>D2&amp;" "&amp;E2&amp;" 번지"</f>
        <v>신일동 555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2.96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2.64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2.75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I7" s="2"/>
      <c r="J7" s="2"/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I9" s="2"/>
      <c r="J9" s="2"/>
      <c r="K9" s="2" t="s">
        <v>147</v>
      </c>
      <c r="L9" s="9">
        <v>2.54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4.01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4.8499999999999996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3.44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2.85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5.27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4.22</v>
      </c>
      <c r="M17" s="2" t="str">
        <f t="shared" si="0"/>
        <v>신일동  번지</v>
      </c>
      <c r="S17" s="2" t="s">
        <v>11</v>
      </c>
    </row>
    <row r="18" spans="1:19" ht="21.75" customHeight="1">
      <c r="B18" s="1"/>
      <c r="I18" s="2"/>
      <c r="J18" s="2"/>
      <c r="L18" s="9"/>
    </row>
    <row r="19" spans="1:19" ht="21.75" customHeight="1">
      <c r="B19" s="1"/>
      <c r="I19" s="2"/>
      <c r="J19" s="2"/>
      <c r="L19" s="9"/>
    </row>
    <row r="20" spans="1:19" ht="21.75" customHeight="1" thickBot="1">
      <c r="B20" s="1"/>
      <c r="I20" s="2"/>
      <c r="J20" s="2"/>
      <c r="L20" s="9"/>
    </row>
    <row r="21" spans="1:19" ht="21.75" customHeight="1">
      <c r="B21" s="10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4">
        <f ca="1">SUM_SS</f>
        <v>39.61</v>
      </c>
    </row>
    <row r="22" spans="1:19" ht="21.75" customHeight="1">
      <c r="B22" s="15" t="s">
        <v>255</v>
      </c>
      <c r="C22" s="12">
        <f ca="1">E22+G22+I22</f>
        <v>26</v>
      </c>
      <c r="D22" s="12">
        <f ca="1">F22+H22+J22</f>
        <v>91.669999999999987</v>
      </c>
      <c r="E22" s="12">
        <f ca="1">IF(F22=0,0,COUNTIF(SS_INSIDE_AREA,"O"))</f>
        <v>16</v>
      </c>
      <c r="F22" s="12">
        <f ca="1">SUMIF(SS_INSIDE_AREA,"O",$L$2:$L$2)</f>
        <v>39.61</v>
      </c>
      <c r="G22" s="12">
        <f ca="1">IF(H22=0,0,COUNTIF(AA_INSIDE_AREA,"O"))</f>
        <v>10</v>
      </c>
      <c r="H22" s="12">
        <f ca="1">aa!$D$15</f>
        <v>52.059999999999995</v>
      </c>
      <c r="I22" s="12">
        <f ca="1">IF(J22=0,0,COUNTIF(II_INSIDE_AREA,"O"))</f>
        <v>0</v>
      </c>
      <c r="J22" s="16">
        <f ca="1">ii!$D$8</f>
        <v>0</v>
      </c>
      <c r="K22" s="2" t="s">
        <v>30</v>
      </c>
      <c r="L22" s="43">
        <f ca="1">L21+aa!D15+ii!L5</f>
        <v>91.669999999999987</v>
      </c>
    </row>
    <row r="23" spans="1:19" ht="21.75" customHeight="1" thickBot="1">
      <c r="B23" s="11" t="s">
        <v>256</v>
      </c>
      <c r="C23" s="17">
        <f ca="1">E23+G23+I23</f>
        <v>0</v>
      </c>
      <c r="D23" s="17">
        <f ca="1">F23+H23+J23</f>
        <v>0</v>
      </c>
      <c r="E23" s="17">
        <f ca="1">IF(F23=0,0,COUNTIF(SS_INSIDE_AREA,"X"))</f>
        <v>0</v>
      </c>
      <c r="F23" s="17">
        <f ca="1">SUMIF(SS_INSIDE_AREA,"X",$L$2:$L$2)</f>
        <v>0</v>
      </c>
      <c r="G23" s="17">
        <f ca="1">IF(H23=0,0,COUNTIF(AA_INSIDE_AREA,"X"))</f>
        <v>0</v>
      </c>
      <c r="H23" s="17">
        <f ca="1">aa!$D$16</f>
        <v>0</v>
      </c>
      <c r="I23" s="17">
        <f ca="1">IF(J23=0,0,COUNTIF(II_INSIDE_AREA,"X"))</f>
        <v>0</v>
      </c>
      <c r="J23" s="18">
        <f ca="1">ii!$D$9</f>
        <v>0</v>
      </c>
    </row>
    <row r="24" spans="1:19" ht="21.75" customHeight="1">
      <c r="B24"/>
      <c r="C24"/>
      <c r="D24"/>
      <c r="E24"/>
      <c r="F24"/>
      <c r="G24"/>
      <c r="H24"/>
      <c r="I24"/>
      <c r="K24" s="10" t="s">
        <v>31</v>
      </c>
      <c r="L24" s="32">
        <f ca="1">D22</f>
        <v>91.669999999999987</v>
      </c>
    </row>
    <row r="25" spans="1:19" ht="21.75" customHeight="1" thickBot="1">
      <c r="B25"/>
      <c r="C25"/>
      <c r="D25"/>
      <c r="E25"/>
      <c r="F25"/>
      <c r="G25"/>
      <c r="H25"/>
      <c r="I25"/>
      <c r="K25" s="11" t="s">
        <v>32</v>
      </c>
      <c r="L25" s="33">
        <f ca="1">C22</f>
        <v>26</v>
      </c>
    </row>
    <row r="26" spans="1:19" ht="21.75" customHeight="1">
      <c r="B26"/>
      <c r="C26"/>
      <c r="D26"/>
      <c r="E26"/>
      <c r="F26"/>
      <c r="G26"/>
      <c r="H26"/>
      <c r="I26"/>
    </row>
    <row r="27" spans="1:19" ht="21.75" customHeight="1">
      <c r="B27"/>
      <c r="C27"/>
      <c r="D27"/>
      <c r="E27"/>
      <c r="F27"/>
      <c r="G27"/>
      <c r="H27"/>
      <c r="I27"/>
    </row>
    <row r="28" spans="1:19" ht="21.75" customHeight="1">
      <c r="B28"/>
      <c r="C28"/>
      <c r="D28"/>
      <c r="E28"/>
      <c r="F28"/>
      <c r="G28"/>
      <c r="H28"/>
      <c r="I28"/>
    </row>
    <row r="29" spans="1:19" ht="21.75" customHeight="1">
      <c r="B29"/>
      <c r="C29"/>
      <c r="D29"/>
      <c r="E29"/>
      <c r="F29"/>
      <c r="G29"/>
      <c r="H29"/>
      <c r="I29"/>
    </row>
    <row r="30" spans="1:19" ht="21.75" customHeight="1">
      <c r="B30"/>
      <c r="C30"/>
      <c r="D30"/>
      <c r="E30"/>
      <c r="F30"/>
      <c r="G30"/>
      <c r="H30"/>
      <c r="I30"/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9" spans="2:17" ht="21.75" customHeight="1">
      <c r="K39"/>
      <c r="L39"/>
      <c r="M39"/>
      <c r="N39"/>
      <c r="O39"/>
      <c r="P39"/>
      <c r="Q39"/>
    </row>
    <row r="40" spans="2:17" ht="21.75" customHeight="1">
      <c r="K40"/>
      <c r="L40"/>
      <c r="M40"/>
      <c r="N40"/>
      <c r="O40"/>
      <c r="P40"/>
      <c r="Q40"/>
    </row>
    <row r="41" spans="2:17" ht="21.75" customHeight="1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K2" s="2" t="s">
        <v>329</v>
      </c>
      <c r="L2" s="2">
        <v>3.08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K3" s="2" t="s">
        <v>365</v>
      </c>
      <c r="L3" s="2">
        <v>5.94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6.08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2.86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6.16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E7" s="7"/>
      <c r="K7" s="2" t="s">
        <v>329</v>
      </c>
      <c r="L7" s="2">
        <v>6.16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6.16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E9" s="7"/>
      <c r="K9" s="2" t="s">
        <v>329</v>
      </c>
      <c r="L9" s="2">
        <v>6.38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3.3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5.94</v>
      </c>
      <c r="M11" s="2" t="str">
        <f t="shared" si="0"/>
        <v>신일동  번지</v>
      </c>
      <c r="S11" s="2" t="s">
        <v>11</v>
      </c>
    </row>
    <row r="12" spans="1:19" ht="21.75" customHeight="1">
      <c r="A12" s="1"/>
      <c r="B12" s="1"/>
      <c r="E12" s="7"/>
    </row>
    <row r="13" spans="1:19" ht="21.75" customHeight="1" thickBot="1">
      <c r="A13" s="1"/>
      <c r="B13" s="1"/>
      <c r="E13" s="7"/>
    </row>
    <row r="14" spans="1:19" ht="21.75" customHeight="1">
      <c r="A14" s="1"/>
      <c r="B14" s="10" t="s">
        <v>21</v>
      </c>
      <c r="C14" s="13" t="s">
        <v>20</v>
      </c>
      <c r="D14" s="14" t="s">
        <v>5</v>
      </c>
      <c r="E14" s="7"/>
    </row>
    <row r="15" spans="1:19" ht="21.75" customHeight="1">
      <c r="A15" s="1"/>
      <c r="B15" s="15" t="s">
        <v>18</v>
      </c>
      <c r="C15" s="12">
        <f ca="1">COUNTIF(AA_INSIDE_AREA,"O")</f>
        <v>10</v>
      </c>
      <c r="D15" s="16">
        <f ca="1">SUMIF(AA_INSIDE_AREA,"O",$L$2:$L$2)</f>
        <v>52.059999999999995</v>
      </c>
      <c r="E15" s="7"/>
    </row>
    <row r="16" spans="1:19" ht="21.75" customHeight="1">
      <c r="B16" s="15" t="s">
        <v>19</v>
      </c>
      <c r="C16" s="12">
        <f ca="1">COUNTIF(AA_INSIDE_AREA,"X")</f>
        <v>0</v>
      </c>
      <c r="D16" s="16">
        <f ca="1">SUMIF(AA_INSIDE_AREA,"X",$L$2:$L$2)</f>
        <v>0</v>
      </c>
      <c r="L16" s="46"/>
    </row>
    <row r="17" spans="2:12" ht="21.75" customHeight="1" thickBot="1">
      <c r="B17" s="11"/>
      <c r="C17" s="17"/>
      <c r="D17" s="18">
        <f ca="1">D15+D16</f>
        <v>52.059999999999995</v>
      </c>
      <c r="L17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H14" sqref="H14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5" t="s">
        <v>30</v>
      </c>
      <c r="L5" s="31">
        <f>SUM(L2:L4)</f>
        <v>0</v>
      </c>
      <c r="S5" s="8"/>
    </row>
    <row r="6" spans="1:19" ht="18.75" customHeight="1" thickBot="1"/>
    <row r="7" spans="1:19" ht="18.75" customHeight="1">
      <c r="B7" s="21" t="s">
        <v>29</v>
      </c>
      <c r="C7" s="13" t="s">
        <v>20</v>
      </c>
      <c r="D7" s="14" t="s">
        <v>5</v>
      </c>
      <c r="L7" s="3"/>
      <c r="S7" s="3"/>
    </row>
    <row r="8" spans="1:19" ht="18.75" customHeight="1">
      <c r="B8" s="19" t="s">
        <v>18</v>
      </c>
      <c r="C8" s="12">
        <f>IF(L5=0,0,COUNTIF(II_INSIDE_AREA,"O"))</f>
        <v>0</v>
      </c>
      <c r="D8" s="16">
        <f ca="1">SUMIF(II_INSIDE_AREA,"O",$L$2:$L$2)</f>
        <v>0</v>
      </c>
      <c r="L8" s="3"/>
      <c r="S8" s="3"/>
    </row>
    <row r="9" spans="1:19" ht="18.75" customHeight="1">
      <c r="B9" s="19" t="s">
        <v>19</v>
      </c>
      <c r="C9" s="12">
        <f ca="1">COUNTIF(II_INSIDE_AREA,"X")</f>
        <v>0</v>
      </c>
      <c r="D9" s="16">
        <f ca="1">SUMIF(II_INSIDE_AREA,"X",$L$2:$L$2)</f>
        <v>0</v>
      </c>
    </row>
    <row r="10" spans="1:19" ht="18.75" customHeight="1" thickBot="1">
      <c r="B10" s="20"/>
      <c r="C10" s="17"/>
      <c r="D10" s="18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2024-09-22T05:36:48Z</dcterms:modified>
</cp:coreProperties>
</file>