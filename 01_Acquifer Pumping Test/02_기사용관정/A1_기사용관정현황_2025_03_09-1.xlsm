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10_ihanseol - 2025\06_지열공 - 광주시, 국립광주박물관 11개공 - 주식회사 한일지하수\"/>
    </mc:Choice>
  </mc:AlternateContent>
  <xr:revisionPtr revIDLastSave="0" documentId="13_ncr:1_{8689935F-FD64-44E8-B76E-E2E2DDAF4EE6}" xr6:coauthVersionLast="47" xr6:coauthVersionMax="47" xr10:uidLastSave="{00000000-0000-0000-0000-000000000000}"/>
  <bookViews>
    <workbookView xWindow="38280" yWindow="-120" windowWidth="38640" windowHeight="2112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0" l="1"/>
  <c r="M4" i="10"/>
  <c r="M5" i="10"/>
  <c r="M6" i="10"/>
  <c r="M7" i="10"/>
  <c r="M8" i="10"/>
  <c r="M9" i="10"/>
  <c r="M10" i="10"/>
  <c r="M11" i="10"/>
  <c r="M12" i="10"/>
  <c r="M13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1"/>
  <c r="M4" i="11"/>
  <c r="M5" i="11"/>
  <c r="M6" i="11"/>
  <c r="D18" i="10" l="1"/>
  <c r="C18" i="10"/>
  <c r="D17" i="10"/>
  <c r="C17" i="10"/>
  <c r="H27" i="8" l="1"/>
  <c r="D19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<sst xmlns="http://schemas.openxmlformats.org/spreadsheetml/2006/main" count="5283" uniqueCount="678">
  <si>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</si>
  <si>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</si>
  <si>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</si>
  <si>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</si>
  <si>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</si>
  <si>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</si>
  <si>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</si>
  <si>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</si>
  <si>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</si>
  <si>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</si>
  <si>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</si>
  <si>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</si>
  <si>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</si>
  <si>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</si>
  <si>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</si>
  <si>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</si>
  <si>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</si>
  <si>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</si>
  <si>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</si>
  <si>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</si>
  <si>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</si>
  <si>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</si>
  <si>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</si>
  <si>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</si>
  <si>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</si>
  <si>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</si>
  <si>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</si>
  <si>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</si>
  <si>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</si>
  <si>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</si>
  <si>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</si>
  <si>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</si>
  <si>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</si>
  <si>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</si>
  <si>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</si>
  <si>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</si>
  <si>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</si>
  <si>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</si>
  <si>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</si>
  <si>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</si>
  <si>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</si>
  <si>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</si>
  <si>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</si>
  <si>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</si>
  <si>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</si>
  <si>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</si>
  <si>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</si>
  <si>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</si>
  <si>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</si>
  <si>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</si>
  <si>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</si>
  <si>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</si>
  <si>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</si>
  <si>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</si>
  <si>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</si>
  <si>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</si>
  <si>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</si>
  <si>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</si>
  <si>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</si>
  <si>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</si>
  <si>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</si>
  <si>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</si>
  <si>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</si>
  <si>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</si>
  <si>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</si>
  <si>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</si>
  <si>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</si>
  <si>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</si>
  <si>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</si>
  <si>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</si>
  <si>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</si>
  <si>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</si>
  <si>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</si>
  <si>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</si>
  <si>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</si>
  <si>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</si>
  <si>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</si>
  <si>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</si>
  <si>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</si>
  <si>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</si>
  <si>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</si>
  <si>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</si>
  <si>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</si>
  <si>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</si>
  <si>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</si>
  <si>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</si>
  <si>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</si>
  <si>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</si>
  <si>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</si>
  <si>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</si>
  <si>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</si>
  <si>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</si>
  <si>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</si>
  <si>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</si>
  <si>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</si>
  <si>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</si>
  <si>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</si>
  <si>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</si>
  <si>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</si>
  <si>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</si>
  <si>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</si>
  <si>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</si>
  <si>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</si>
  <si>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</si>
  <si>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</si>
  <si>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</si>
  <si>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</si>
  <si>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</si>
  <si>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</si>
  <si>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</si>
  <si>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</si>
  <si>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</si>
  <si>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</si>
  <si>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</si>
  <si>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</si>
  <si>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</si>
  <si>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</si>
  <si>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</si>
  <si>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</si>
  <si>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</si>
  <si>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</si>
  <si>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</si>
  <si>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</si>
  <si>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</si>
  <si>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</si>
  <si>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</si>
  <si>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</si>
  <si>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</si>
  <si>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</si>
  <si>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</si>
  <si>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</si>
  <si>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</si>
  <si>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</si>
  <si>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</si>
  <si>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</si>
  <si>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</si>
  <si>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</si>
  <si>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</si>
  <si>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</si>
  <si>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</si>
  <si>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</si>
  <si>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</si>
  <si>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</si>
  <si>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</si>
  <si>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</si>
  <si>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</si>
  <si>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</si>
  <si>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</si>
  <si>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</si>
  <si>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</si>
  <si>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</si>
  <si>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</si>
  <si>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</si>
  <si>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</si>
  <si>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</si>
  <si>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</si>
  <si>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</si>
  <si>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</si>
  <si>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</si>
  <si>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</si>
  <si>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</si>
  <si>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</si>
  <si>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</si>
  <si>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</si>
  <si>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</si>
  <si>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</si>
  <si>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</si>
  <si>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</si>
  <si>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</si>
  <si>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</si>
  <si>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</si>
  <si>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</si>
  <si>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</si>
  <si>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</si>
  <si>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</si>
  <si>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</si>
  <si>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</si>
  <si>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</si>
  <si>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</si>
  <si>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</si>
  <si>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</si>
  <si>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</si>
  <si>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</si>
  <si>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</si>
  <si>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</si>
  <si>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</si>
  <si>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</si>
  <si>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</si>
  <si>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</si>
  <si>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</si>
  <si>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</si>
  <si>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</si>
  <si>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</si>
  <si>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</si>
  <si>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</si>
  <si>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</si>
  <si>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</si>
  <si>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</si>
  <si>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</si>
  <si>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</si>
  <si>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</si>
  <si>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</si>
  <si>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</si>
  <si>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</si>
  <si>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</si>
  <si>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</si>
  <si>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</si>
  <si>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</si>
  <si>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</si>
  <si>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</si>
  <si>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</si>
  <si>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</si>
  <si>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</si>
  <si>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</si>
  <si>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</si>
  <si>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</si>
  <si>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</si>
  <si>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</si>
  <si>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</si>
  <si>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</si>
  <si>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</si>
  <si>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</si>
  <si>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</si>
  <si>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</si>
  <si>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</si>
  <si>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</si>
  <si>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</si>
  <si>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</si>
  <si>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</si>
  <si>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</si>
  <si>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</si>
  <si>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</si>
  <si>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</si>
  <si>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</si>
  <si>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</si>
  <si>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</si>
  <si>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</si>
  <si>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</si>
  <si>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</si>
  <si>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</si>
  <si>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</si>
  <si>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</si>
  <si>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</si>
  <si>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</si>
  <si>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</si>
  <si>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</si>
  <si>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</si>
  <si>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</si>
  <si>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</si>
  <si>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</si>
  <si>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</si>
  <si>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</si>
  <si>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</si>
  <si>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</si>
  <si>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</si>
  <si>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</si>
  <si>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</si>
  <si>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</si>
  <si>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</si>
  <si>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</si>
  <si>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</si>
  <si>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</si>
  <si>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</si>
  <si>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</si>
  <si>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</si>
  <si>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</si>
  <si>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</si>
  <si>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</si>
  <si>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</si>
  <si>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</si>
  <si>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</si>
  <si>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</si>
  <si>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</si>
  <si>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</si>
  <si>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</si>
  <si>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</si>
  <si>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</si>
  <si>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</si>
  <si>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</si>
  <si>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</si>
  <si>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</si>
  <si>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</si>
  <si>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</si>
  <si>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</si>
  <si>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</si>
  <si>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</si>
  <si>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</si>
  <si>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</si>
  <si>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</si>
  <si>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</si>
  <si>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</si>
  <si>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</si>
  <si>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</si>
  <si>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</si>
  <si>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</si>
  <si>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</si>
  <si>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</si>
  <si>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</si>
  <si>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</si>
  <si>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</si>
  <si>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</si>
  <si>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</si>
  <si>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</si>
  <si>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</si>
  <si>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</si>
  <si>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</si>
  <si>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</si>
  <si>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</si>
  <si>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</si>
  <si>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</si>
  <si>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</si>
  <si>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</si>
  <si>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</si>
  <si>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</si>
  <si>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</si>
  <si>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</si>
  <si>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</si>
  <si>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</si>
  <si>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</si>
  <si>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</si>
  <si>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</si>
  <si>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</si>
  <si>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</si>
  <si>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</si>
  <si>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</si>
  <si>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</si>
  <si>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</si>
  <si>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</si>
  <si>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</si>
  <si>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</si>
  <si>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</si>
  <si>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</si>
  <si>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</si>
  <si>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</si>
  <si>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</si>
  <si>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</si>
  <si>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</si>
  <si>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</si>
  <si>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</si>
  <si>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</si>
  <si>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</si>
  <si>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</si>
  <si>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</si>
  <si>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</si>
  <si>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</si>
  <si>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</si>
  <si>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</si>
  <si>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</si>
  <si>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</si>
  <si>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</si>
  <si>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허가공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</si>
  <si>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</si>
  <si>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</si>
  <si>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</si>
  <si>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</si>
  <si>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</si>
  <si>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</si>
  <si>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</si>
  <si>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</si>
  <si>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</si>
  <si>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</si>
  <si>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</si>
  <si>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</si>
  <si>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</si>
  <si>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</si>
  <si>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</si>
  <si>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</si>
  <si>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</si>
  <si>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</si>
  <si>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</si>
  <si>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</si>
  <si>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</si>
  <si>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</si>
  <si>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</si>
  <si>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</si>
  <si>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</si>
  <si>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</si>
  <si>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</si>
  <si>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</si>
  <si>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</si>
  <si>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</si>
  <si>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</si>
  <si>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</si>
  <si>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</si>
  <si>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</si>
  <si>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</si>
  <si>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</si>
  <si>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</si>
  <si>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</si>
  <si>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</si>
  <si>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</si>
  <si>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</si>
  <si>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</si>
  <si>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</si>
  <si>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</si>
  <si>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</si>
  <si>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</si>
  <si>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</si>
  <si>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</si>
  <si>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</si>
  <si>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</si>
  <si>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</si>
  <si>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</si>
  <si>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</si>
  <si>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</si>
  <si>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</si>
  <si>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</si>
  <si>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</si>
  <si>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</si>
  <si>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</si>
  <si>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</si>
  <si>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</si>
  <si>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</si>
  <si>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</si>
  <si>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</si>
  <si>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</si>
  <si>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</si>
  <si>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</si>
  <si>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</si>
  <si>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</si>
  <si>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</si>
  <si>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</si>
  <si>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</si>
  <si>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</si>
  <si>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</si>
  <si>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</si>
  <si>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</si>
  <si>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</si>
  <si>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</si>
  <si>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</si>
  <si>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</si>
  <si>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</si>
  <si>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</si>
  <si>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</si>
  <si>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</si>
  <si>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</si>
  <si>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</si>
  <si>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</si>
  <si>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</si>
  <si>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</si>
  <si>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</si>
  <si>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</si>
  <si>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</si>
  <si>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</si>
  <si>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</si>
  <si>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</si>
  <si>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</si>
  <si>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</si>
  <si>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</si>
  <si>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</si>
  <si>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</si>
  <si>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</si>
  <si>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</si>
  <si>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</si>
  <si>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</si>
  <si>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</si>
  <si>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</si>
  <si>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</si>
  <si>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</si>
  <si>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</si>
  <si>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</si>
  <si>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</si>
  <si>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</si>
  <si>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</si>
  <si>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</si>
  <si>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</si>
  <si>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</si>
  <si>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</si>
  <si>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</si>
  <si>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</si>
  <si>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</si>
  <si>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</si>
  <si>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</si>
  <si>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</si>
  <si>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</si>
  <si>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</si>
  <si>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</si>
  <si>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</si>
  <si>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</si>
  <si>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</si>
  <si>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</si>
  <si>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</si>
  <si>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</si>
  <si>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</si>
  <si>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</si>
  <si>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</si>
  <si>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</si>
  <si>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</si>
  <si>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</si>
  <si>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</si>
  <si>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</si>
  <si>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</si>
  <si>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</si>
  <si>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</si>
  <si>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</si>
  <si>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</si>
  <si>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</si>
  <si>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</si>
  <si>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</si>
  <si>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</si>
  <si>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</si>
  <si>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</si>
  <si>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</si>
  <si>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</si>
  <si>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</si>
  <si>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</si>
  <si>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</si>
  <si>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</si>
  <si>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</si>
  <si>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</si>
  <si>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</si>
  <si>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</si>
  <si>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</si>
  <si>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</si>
  <si>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</si>
  <si>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</si>
  <si>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</si>
  <si>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</si>
  <si>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</si>
  <si>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</si>
  <si>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</si>
  <si>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</si>
  <si>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</si>
  <si>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</si>
  <si>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</si>
  <si>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</si>
  <si>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</si>
  <si>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</si>
  <si>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</si>
  <si>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</si>
  <si>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</si>
  <si>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</si>
  <si>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</si>
  <si>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</si>
  <si>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</si>
  <si>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</si>
  <si>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</si>
  <si>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</si>
  <si>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</si>
  <si>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</si>
  <si>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</si>
  <si>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</si>
  <si>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</si>
  <si>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</si>
  <si>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</si>
  <si>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</si>
  <si>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</si>
  <si>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</si>
  <si>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</si>
  <si>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</si>
  <si>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</si>
  <si>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</si>
  <si>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</si>
  <si>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</si>
  <si>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</si>
  <si>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</si>
  <si>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</si>
  <si>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</si>
  <si>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</si>
  <si>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</si>
  <si>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</si>
  <si>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</si>
  <si>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</si>
  <si>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</si>
  <si>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</si>
  <si>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</si>
  <si>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</si>
  <si>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</si>
  <si>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</si>
  <si>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</si>
  <si>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</si>
  <si>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</si>
  <si>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</si>
  <si>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</si>
  <si>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</si>
  <si>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</si>
  <si>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</si>
  <si>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</si>
  <si>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</si>
  <si>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</si>
  <si>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</si>
  <si>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</si>
  <si>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</si>
  <si>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</si>
  <si>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</si>
  <si>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</si>
  <si>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</si>
  <si>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</si>
  <si>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</si>
  <si>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</si>
  <si>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</si>
  <si>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</si>
  <si>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</si>
  <si>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</si>
  <si>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</si>
  <si>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</si>
  <si>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</si>
  <si>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</si>
  <si>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</si>
  <si>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</si>
  <si>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</si>
  <si>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</si>
  <si>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</si>
  <si>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</si>
  <si>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</si>
  <si>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</si>
  <si>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</si>
  <si>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</si>
  <si>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</si>
  <si>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</si>
  <si>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</si>
  <si>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</si>
  <si>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</si>
  <si>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</si>
  <si>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</si>
  <si>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</si>
  <si>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</si>
  <si>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</si>
  <si>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</si>
  <si>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</si>
  <si>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</si>
  <si>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</si>
  <si>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</si>
  <si>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</si>
  <si>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</si>
  <si>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</si>
  <si>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</si>
  <si>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</si>
  <si>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</si>
  <si>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</si>
  <si>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</si>
  <si>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</si>
  <si>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</si>
  <si>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</si>
  <si>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</si>
  <si>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</si>
  <si>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</si>
  <si>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</si>
  <si>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</si>
  <si>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</si>
  <si>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</si>
  <si>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</si>
  <si>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</si>
  <si>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</si>
  <si>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</si>
  <si>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</si>
  <si>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</si>
  <si>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</si>
  <si>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</si>
  <si>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</si>
  <si>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</si>
  <si>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</si>
  <si>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</si>
  <si>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</si>
  <si>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</si>
  <si>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</si>
  <si>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</si>
  <si>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</si>
  <si>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</si>
  <si>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</si>
  <si>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</si>
  <si>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</si>
  <si>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</si>
  <si>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328-16</t>
    <phoneticPr fontId="19" type="noConversion"/>
  </si>
  <si>
    <t>65-6</t>
    <phoneticPr fontId="19" type="noConversion"/>
  </si>
  <si>
    <t>294</t>
    <phoneticPr fontId="19" type="noConversion"/>
  </si>
  <si>
    <t>265</t>
    <phoneticPr fontId="19" type="noConversion"/>
  </si>
  <si>
    <t>180-1</t>
    <phoneticPr fontId="19" type="noConversion"/>
  </si>
  <si>
    <t>184</t>
    <phoneticPr fontId="19" type="noConversion"/>
  </si>
  <si>
    <t>250-17</t>
    <phoneticPr fontId="19" type="noConversion"/>
  </si>
  <si>
    <t>184-7</t>
    <phoneticPr fontId="19" type="noConversion"/>
  </si>
  <si>
    <t>405-2</t>
    <phoneticPr fontId="19" type="noConversion"/>
  </si>
  <si>
    <t>1052</t>
    <phoneticPr fontId="19" type="noConversion"/>
  </si>
  <si>
    <t>1056-1</t>
    <phoneticPr fontId="19" type="noConversion"/>
  </si>
  <si>
    <t>1058-7</t>
    <phoneticPr fontId="19" type="noConversion"/>
  </si>
  <si>
    <t>1786</t>
    <phoneticPr fontId="19" type="noConversion"/>
  </si>
  <si>
    <t>196-6</t>
    <phoneticPr fontId="19" type="noConversion"/>
  </si>
  <si>
    <t>194-1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</si>
</sst>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>
      <c r="B1" s="30" t="s">
        <v>217</v>
      </c>
    </row>
    <row r="2" spans="1:16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>
      <c r="B1" s="30" t="s">
        <v>216</v>
      </c>
      <c r="C1" s="30"/>
    </row>
    <row r="2" spans="2:14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348</v>
      </c>
      <c r="L2" s="29" t="s">
        <v>349</v>
      </c>
      <c r="M2" s="29" t="s">
        <v>658</v>
      </c>
      <c r="N2" s="29" t="s">
        <v>225</v>
      </c>
    </row>
    <row r="3" spans="2:14" ht="20.100000000000001" customHeight="1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48" t="s">
        <v>350</v>
      </c>
      <c r="C2" s="2" t="s">
        <v>660</v>
      </c>
      <c r="D2" s="2" t="s">
        <v>662</v>
      </c>
      <c r="E2" s="4" t="s">
        <v>663</v>
      </c>
      <c r="F2" s="2">
        <v>65</v>
      </c>
      <c r="G2" s="2">
        <v>200</v>
      </c>
      <c r="H2" s="2">
        <v>10</v>
      </c>
      <c r="I2" s="2">
        <v>150</v>
      </c>
      <c r="J2" s="2">
        <v>50</v>
      </c>
      <c r="K2" s="2" t="s">
        <v>147</v>
      </c>
      <c r="L2" s="9">
        <v>0</v>
      </c>
      <c r="M2" s="2" t="str">
        <f>D2&amp;" "&amp;E2</f>
        <v>운암동 328-16</v>
      </c>
      <c r="S2" s="2" t="s">
        <v>11</v>
      </c>
    </row>
    <row r="3" spans="1:19" ht="21.75" customHeight="1">
      <c r="A3" s="2" t="s">
        <v>25</v>
      </c>
      <c r="B3" s="48" t="s">
        <v>350</v>
      </c>
      <c r="C3" s="2" t="s">
        <v>659</v>
      </c>
      <c r="D3" s="2" t="s">
        <v>661</v>
      </c>
      <c r="E3" s="7" t="s">
        <v>664</v>
      </c>
      <c r="F3" s="2">
        <v>70</v>
      </c>
      <c r="G3" s="2">
        <v>200</v>
      </c>
      <c r="H3" s="2">
        <v>7.5</v>
      </c>
      <c r="I3" s="2">
        <v>250</v>
      </c>
      <c r="J3" s="2">
        <v>50</v>
      </c>
      <c r="K3" s="2" t="s">
        <v>147</v>
      </c>
      <c r="L3" s="9">
        <v>0</v>
      </c>
      <c r="M3" s="2" t="str">
        <f t="shared" ref="M3:M22" si="0">D3&amp;" "&amp;E3</f>
        <v>운암동 65-6</v>
      </c>
      <c r="S3" s="2" t="s">
        <v>11</v>
      </c>
    </row>
    <row r="4" spans="1:19" ht="21.75" customHeight="1">
      <c r="A4" s="2" t="s">
        <v>26</v>
      </c>
      <c r="B4" s="48" t="s">
        <v>350</v>
      </c>
      <c r="C4" s="2" t="s">
        <v>659</v>
      </c>
      <c r="D4" s="2" t="s">
        <v>661</v>
      </c>
      <c r="E4" s="4" t="s">
        <v>664</v>
      </c>
      <c r="F4" s="2">
        <v>124</v>
      </c>
      <c r="G4" s="2">
        <v>200</v>
      </c>
      <c r="H4" s="2">
        <v>5</v>
      </c>
      <c r="I4" s="2">
        <v>288</v>
      </c>
      <c r="J4" s="2">
        <v>50</v>
      </c>
      <c r="K4" s="2" t="s">
        <v>147</v>
      </c>
      <c r="L4" s="9">
        <v>0</v>
      </c>
      <c r="M4" s="2" t="str">
        <f t="shared" si="0"/>
        <v>운암동 65-6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659</v>
      </c>
      <c r="D5" s="2" t="s">
        <v>661</v>
      </c>
      <c r="E5" s="4" t="s">
        <v>664</v>
      </c>
      <c r="F5" s="2">
        <v>30</v>
      </c>
      <c r="G5" s="2">
        <v>30</v>
      </c>
      <c r="H5" s="2">
        <v>1</v>
      </c>
      <c r="I5" s="2">
        <v>50</v>
      </c>
      <c r="J5" s="2">
        <v>20</v>
      </c>
      <c r="K5" s="2" t="s">
        <v>153</v>
      </c>
      <c r="L5" s="9">
        <v>0</v>
      </c>
      <c r="M5" s="2" t="str">
        <f t="shared" si="0"/>
        <v>운암동 65-6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659</v>
      </c>
      <c r="D6" s="2" t="s">
        <v>661</v>
      </c>
      <c r="E6" s="4" t="s">
        <v>664</v>
      </c>
      <c r="F6" s="2">
        <v>30</v>
      </c>
      <c r="G6" s="2">
        <v>50</v>
      </c>
      <c r="H6" s="2">
        <v>0.5</v>
      </c>
      <c r="I6" s="2">
        <v>30</v>
      </c>
      <c r="J6" s="2">
        <v>20</v>
      </c>
      <c r="K6" s="2" t="s">
        <v>147</v>
      </c>
      <c r="L6" s="9">
        <v>0</v>
      </c>
      <c r="M6" s="2" t="str">
        <f t="shared" si="0"/>
        <v>운암동 65-6</v>
      </c>
      <c r="S6" s="2" t="s">
        <v>11</v>
      </c>
    </row>
    <row r="7" spans="1:19" ht="21.75" customHeight="1">
      <c r="A7" s="2" t="s">
        <v>260</v>
      </c>
      <c r="B7" s="48" t="s">
        <v>350</v>
      </c>
      <c r="C7" s="2" t="s">
        <v>659</v>
      </c>
      <c r="D7" s="2" t="s">
        <v>661</v>
      </c>
      <c r="E7" s="4" t="s">
        <v>665</v>
      </c>
      <c r="F7" s="2">
        <v>105</v>
      </c>
      <c r="G7" s="2">
        <v>200</v>
      </c>
      <c r="H7" s="2">
        <v>5</v>
      </c>
      <c r="I7" s="2">
        <v>180</v>
      </c>
      <c r="J7" s="2">
        <v>38</v>
      </c>
      <c r="K7" s="2" t="s">
        <v>147</v>
      </c>
      <c r="L7" s="9">
        <v>0</v>
      </c>
      <c r="M7" s="2" t="str">
        <f t="shared" si="0"/>
        <v>운암동 294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659</v>
      </c>
      <c r="D8" s="2" t="s">
        <v>661</v>
      </c>
      <c r="E8" s="4" t="s">
        <v>666</v>
      </c>
      <c r="F8" s="2">
        <v>65</v>
      </c>
      <c r="G8" s="2">
        <v>200</v>
      </c>
      <c r="H8" s="2">
        <v>5</v>
      </c>
      <c r="I8" s="2">
        <v>120</v>
      </c>
      <c r="J8" s="2">
        <v>40</v>
      </c>
      <c r="K8" s="2" t="s">
        <v>148</v>
      </c>
      <c r="L8" s="9">
        <v>0</v>
      </c>
      <c r="M8" s="2" t="str">
        <f t="shared" si="0"/>
        <v>운암동 265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659</v>
      </c>
      <c r="D9" s="2" t="s">
        <v>661</v>
      </c>
      <c r="E9" s="4" t="s">
        <v>667</v>
      </c>
      <c r="F9" s="2">
        <v>10</v>
      </c>
      <c r="G9" s="2">
        <v>25</v>
      </c>
      <c r="H9" s="2">
        <v>1</v>
      </c>
      <c r="I9" s="2">
        <v>20</v>
      </c>
      <c r="J9" s="2">
        <v>20</v>
      </c>
      <c r="K9" s="2" t="s">
        <v>153</v>
      </c>
      <c r="L9" s="9">
        <v>0</v>
      </c>
      <c r="M9" s="2" t="str">
        <f t="shared" si="0"/>
        <v>운암동 180-1</v>
      </c>
      <c r="S9" s="2" t="s">
        <v>11</v>
      </c>
    </row>
    <row r="10" spans="1:19" ht="21.75" customHeight="1">
      <c r="A10" s="2" t="s">
        <v>318</v>
      </c>
      <c r="B10" s="48" t="s">
        <v>350</v>
      </c>
      <c r="C10" s="2" t="s">
        <v>659</v>
      </c>
      <c r="D10" s="2" t="s">
        <v>661</v>
      </c>
      <c r="E10" s="4" t="s">
        <v>668</v>
      </c>
      <c r="F10" s="2">
        <v>90</v>
      </c>
      <c r="G10" s="2">
        <v>200</v>
      </c>
      <c r="H10" s="2">
        <v>5</v>
      </c>
      <c r="I10" s="2">
        <v>180</v>
      </c>
      <c r="J10" s="2">
        <v>40</v>
      </c>
      <c r="K10" s="2" t="s">
        <v>148</v>
      </c>
      <c r="L10" s="9">
        <v>0</v>
      </c>
      <c r="M10" s="2" t="str">
        <f t="shared" si="0"/>
        <v>운암동 184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659</v>
      </c>
      <c r="D11" s="2" t="s">
        <v>661</v>
      </c>
      <c r="E11" s="4" t="s">
        <v>669</v>
      </c>
      <c r="F11" s="2">
        <v>28</v>
      </c>
      <c r="G11" s="2">
        <v>200</v>
      </c>
      <c r="H11" s="2">
        <v>2</v>
      </c>
      <c r="I11" s="2">
        <v>60</v>
      </c>
      <c r="J11" s="2">
        <v>32</v>
      </c>
      <c r="K11" s="2" t="s">
        <v>147</v>
      </c>
      <c r="L11" s="9">
        <v>0</v>
      </c>
      <c r="M11" s="2" t="str">
        <f t="shared" si="0"/>
        <v>운암동 250-17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659</v>
      </c>
      <c r="D12" s="2" t="s">
        <v>661</v>
      </c>
      <c r="E12" s="4" t="s">
        <v>670</v>
      </c>
      <c r="F12" s="2">
        <v>100</v>
      </c>
      <c r="G12" s="2">
        <v>150</v>
      </c>
      <c r="H12" s="2">
        <v>2</v>
      </c>
      <c r="I12" s="2">
        <v>80</v>
      </c>
      <c r="J12" s="2">
        <v>32</v>
      </c>
      <c r="K12" s="2" t="s">
        <v>147</v>
      </c>
      <c r="L12" s="9">
        <v>0</v>
      </c>
      <c r="M12" s="2" t="str">
        <f t="shared" si="0"/>
        <v>운암동 184-7</v>
      </c>
      <c r="S12" s="2" t="s">
        <v>11</v>
      </c>
    </row>
    <row r="13" spans="1:19" ht="21.75" customHeight="1">
      <c r="A13" s="2" t="s">
        <v>321</v>
      </c>
      <c r="B13" s="48" t="s">
        <v>350</v>
      </c>
      <c r="C13" s="2" t="s">
        <v>659</v>
      </c>
      <c r="D13" s="2" t="s">
        <v>661</v>
      </c>
      <c r="E13" s="4" t="s">
        <v>671</v>
      </c>
      <c r="F13" s="2">
        <v>90</v>
      </c>
      <c r="G13" s="2">
        <v>200</v>
      </c>
      <c r="H13" s="2">
        <v>5</v>
      </c>
      <c r="I13" s="2">
        <v>197</v>
      </c>
      <c r="J13" s="2">
        <v>50</v>
      </c>
      <c r="K13" s="2" t="s">
        <v>147</v>
      </c>
      <c r="L13" s="9">
        <v>0</v>
      </c>
      <c r="M13" s="2" t="str">
        <f t="shared" si="0"/>
        <v>운암동 405-2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659</v>
      </c>
      <c r="D14" s="2" t="s">
        <v>661</v>
      </c>
      <c r="E14" s="4" t="s">
        <v>672</v>
      </c>
      <c r="F14" s="2">
        <v>200</v>
      </c>
      <c r="G14" s="2">
        <v>200</v>
      </c>
      <c r="H14" s="2">
        <v>5</v>
      </c>
      <c r="I14" s="2">
        <v>300</v>
      </c>
      <c r="J14" s="2">
        <v>50</v>
      </c>
      <c r="K14" s="2" t="s">
        <v>147</v>
      </c>
      <c r="L14" s="9">
        <v>0</v>
      </c>
      <c r="M14" s="2" t="str">
        <f t="shared" si="0"/>
        <v>운암동 1052</v>
      </c>
      <c r="S14" s="2" t="s">
        <v>11</v>
      </c>
    </row>
    <row r="15" spans="1:19" ht="21.75" customHeight="1">
      <c r="A15" s="2" t="s">
        <v>323</v>
      </c>
      <c r="B15" s="48" t="s">
        <v>350</v>
      </c>
      <c r="C15" s="2" t="s">
        <v>659</v>
      </c>
      <c r="D15" s="2" t="s">
        <v>661</v>
      </c>
      <c r="E15" s="4" t="s">
        <v>673</v>
      </c>
      <c r="F15" s="2">
        <v>80</v>
      </c>
      <c r="G15" s="2">
        <v>150</v>
      </c>
      <c r="H15" s="2">
        <v>2</v>
      </c>
      <c r="I15" s="2">
        <v>70</v>
      </c>
      <c r="J15" s="2">
        <v>32</v>
      </c>
      <c r="K15" s="2" t="s">
        <v>147</v>
      </c>
      <c r="L15" s="9">
        <v>0</v>
      </c>
      <c r="M15" s="2" t="str">
        <f t="shared" si="0"/>
        <v>운암동 1056-1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659</v>
      </c>
      <c r="D16" s="2" t="s">
        <v>661</v>
      </c>
      <c r="E16" s="4" t="s">
        <v>675</v>
      </c>
      <c r="F16" s="2">
        <v>150</v>
      </c>
      <c r="G16" s="2">
        <v>150</v>
      </c>
      <c r="H16" s="2">
        <v>1</v>
      </c>
      <c r="I16" s="2">
        <v>70</v>
      </c>
      <c r="J16" s="2">
        <v>32</v>
      </c>
      <c r="K16" s="2" t="s">
        <v>147</v>
      </c>
      <c r="L16" s="9">
        <v>0</v>
      </c>
      <c r="M16" s="2" t="str">
        <f t="shared" si="0"/>
        <v>운암동 1786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659</v>
      </c>
      <c r="D17" s="2" t="s">
        <v>661</v>
      </c>
      <c r="E17" s="4" t="s">
        <v>676</v>
      </c>
      <c r="F17" s="2">
        <v>60</v>
      </c>
      <c r="G17" s="2">
        <v>200</v>
      </c>
      <c r="H17" s="2">
        <v>1</v>
      </c>
      <c r="I17" s="2">
        <v>50</v>
      </c>
      <c r="J17" s="2">
        <v>32</v>
      </c>
      <c r="K17" s="2" t="s">
        <v>147</v>
      </c>
      <c r="L17" s="9">
        <v>0</v>
      </c>
      <c r="M17" s="2" t="str">
        <f t="shared" si="0"/>
        <v>운암동 196-6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659</v>
      </c>
      <c r="D18" s="2" t="s">
        <v>661</v>
      </c>
      <c r="K18" s="2" t="s">
        <v>147</v>
      </c>
      <c r="L18" s="9">
        <v>0</v>
      </c>
      <c r="M18" s="2" t="str">
        <f t="shared" si="0"/>
        <v xml:space="preserve">운암동 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659</v>
      </c>
      <c r="D19" s="2" t="s">
        <v>661</v>
      </c>
      <c r="I19" s="2"/>
      <c r="J19" s="2"/>
      <c r="K19" s="2" t="s">
        <v>147</v>
      </c>
      <c r="L19" s="9">
        <v>0</v>
      </c>
      <c r="M19" s="2" t="str">
        <f t="shared" si="0"/>
        <v xml:space="preserve">운암동 </v>
      </c>
      <c r="S19" s="2" t="s">
        <v>11</v>
      </c>
    </row>
    <row r="20" spans="1:19" ht="21.75" customHeight="1">
      <c r="A20" s="2" t="s">
        <v>341</v>
      </c>
      <c r="B20" s="1" t="s">
        <v>22</v>
      </c>
      <c r="C20" s="2" t="s">
        <v>659</v>
      </c>
      <c r="D20" s="2" t="s">
        <v>661</v>
      </c>
      <c r="I20" s="2"/>
      <c r="J20" s="2"/>
      <c r="K20" s="2" t="s">
        <v>147</v>
      </c>
      <c r="L20" s="9">
        <v>0</v>
      </c>
      <c r="M20" s="2" t="str">
        <f t="shared" si="0"/>
        <v xml:space="preserve">운암동 </v>
      </c>
      <c r="S20" s="2" t="s">
        <v>11</v>
      </c>
    </row>
    <row r="21" spans="1:19" ht="21.75" customHeight="1">
      <c r="A21" s="2" t="s">
        <v>342</v>
      </c>
      <c r="B21" s="1" t="s">
        <v>22</v>
      </c>
      <c r="C21" s="2" t="s">
        <v>659</v>
      </c>
      <c r="D21" s="2" t="s">
        <v>661</v>
      </c>
      <c r="I21" s="2"/>
      <c r="J21" s="2"/>
      <c r="K21" s="2" t="s">
        <v>147</v>
      </c>
      <c r="L21" s="9">
        <v>0</v>
      </c>
      <c r="M21" s="2" t="str">
        <f t="shared" si="0"/>
        <v xml:space="preserve">운암동 </v>
      </c>
      <c r="S21" s="2" t="s">
        <v>11</v>
      </c>
    </row>
    <row r="22" spans="1:19" ht="21.75" customHeight="1">
      <c r="A22" s="2" t="s">
        <v>343</v>
      </c>
      <c r="B22" s="1" t="s">
        <v>22</v>
      </c>
      <c r="C22" s="2" t="s">
        <v>659</v>
      </c>
      <c r="D22" s="2" t="s">
        <v>661</v>
      </c>
      <c r="I22" s="2"/>
      <c r="J22" s="2"/>
      <c r="K22" s="2" t="s">
        <v>147</v>
      </c>
      <c r="L22" s="9">
        <v>0</v>
      </c>
      <c r="M22" s="2" t="str">
        <f t="shared" si="0"/>
        <v xml:space="preserve">운암동 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252</v>
      </c>
      <c r="C26" s="49" t="s">
        <v>253</v>
      </c>
      <c r="D26" s="50"/>
      <c r="E26" s="49" t="s">
        <v>256</v>
      </c>
      <c r="F26" s="50"/>
      <c r="G26" s="49" t="s">
        <v>257</v>
      </c>
      <c r="H26" s="50"/>
      <c r="I26" s="49" t="s">
        <v>258</v>
      </c>
      <c r="J26" s="51"/>
      <c r="K26" s="2" t="s">
        <v>33</v>
      </c>
      <c r="L26" s="44">
        <f ca="1">SUM_SS</f>
        <v>0</v>
      </c>
    </row>
    <row r="27" spans="1:19" ht="21.75" customHeight="1">
      <c r="B27" s="15" t="s">
        <v>254</v>
      </c>
      <c r="C27" s="12">
        <f ca="1">E27+G27+I27</f>
        <v>0</v>
      </c>
      <c r="D27" s="12">
        <f ca="1">F27+H27+J27</f>
        <v>0</v>
      </c>
      <c r="E27" s="12">
        <f ca="1">IF(F27=0,0,COUNTIF(SS_INSIDE_AREA,"O"))</f>
        <v>0</v>
      </c>
      <c r="F27" s="12">
        <f ca="1">SUMIF(SS_INSIDE_AREA,"O",$L$2:$L$2)</f>
        <v>0</v>
      </c>
      <c r="G27" s="12">
        <f ca="1">IF(H27=0,0,COUNTIF(AA_INSIDE_AREA,"O"))</f>
        <v>0</v>
      </c>
      <c r="H27" s="12">
        <f ca="1">aa!$D$17</f>
        <v>0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L26+aa!D17+ii!L9</f>
        <v>0</v>
      </c>
    </row>
    <row r="28" spans="1:19" ht="21.75" customHeight="1" thickBot="1">
      <c r="B28" s="11" t="s">
        <v>255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aa!$D$18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0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0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9"/>
  <sheetViews>
    <sheetView tabSelected="1" workbookViewId="0">
      <selection activeCell="J16" sqref="J1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660</v>
      </c>
      <c r="D2" s="2" t="s">
        <v>662</v>
      </c>
      <c r="E2" s="4" t="s">
        <v>677</v>
      </c>
      <c r="F2" s="2">
        <v>30</v>
      </c>
      <c r="G2" s="2">
        <v>50</v>
      </c>
      <c r="H2" s="2">
        <v>0.3</v>
      </c>
      <c r="I2" s="2">
        <v>67</v>
      </c>
      <c r="J2" s="2">
        <v>30</v>
      </c>
      <c r="K2" s="2" t="s">
        <v>337</v>
      </c>
      <c r="L2" s="2">
        <v>0</v>
      </c>
      <c r="M2" s="2" t="str">
        <f>D2&amp;" "&amp;E2</f>
        <v>운암동 194-1</v>
      </c>
      <c r="N2" s="47"/>
      <c r="O2" s="47"/>
      <c r="P2" s="47"/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659</v>
      </c>
      <c r="D3" s="2" t="s">
        <v>661</v>
      </c>
      <c r="E3" s="46"/>
      <c r="F3" s="47"/>
      <c r="G3" s="47"/>
      <c r="H3" s="47"/>
      <c r="I3" s="47"/>
      <c r="K3" s="2" t="s">
        <v>346</v>
      </c>
      <c r="L3" s="2">
        <v>0</v>
      </c>
      <c r="M3" s="2" t="str">
        <f t="shared" ref="M3:M13" si="0">D3&amp;" "&amp;E3</f>
        <v xml:space="preserve">운암동 </v>
      </c>
      <c r="N3" s="47"/>
      <c r="O3" s="47"/>
      <c r="P3" s="47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659</v>
      </c>
      <c r="D4" s="2" t="s">
        <v>661</v>
      </c>
      <c r="E4" s="46"/>
      <c r="F4" s="47"/>
      <c r="G4" s="47"/>
      <c r="H4" s="47"/>
      <c r="I4" s="47"/>
      <c r="K4" s="2" t="s">
        <v>346</v>
      </c>
      <c r="L4" s="2">
        <v>0</v>
      </c>
      <c r="M4" s="2" t="str">
        <f t="shared" si="0"/>
        <v xml:space="preserve">운암동 </v>
      </c>
      <c r="N4" s="47"/>
      <c r="O4" s="47"/>
      <c r="P4" s="47"/>
      <c r="S4" s="2" t="s">
        <v>11</v>
      </c>
    </row>
    <row r="5" spans="1:19" ht="21.75" customHeight="1">
      <c r="A5" s="1" t="s">
        <v>649</v>
      </c>
      <c r="B5" s="1" t="s">
        <v>2</v>
      </c>
      <c r="C5" s="2" t="s">
        <v>659</v>
      </c>
      <c r="D5" s="2" t="s">
        <v>661</v>
      </c>
      <c r="E5" s="46"/>
      <c r="F5" s="47"/>
      <c r="G5" s="47"/>
      <c r="H5" s="47"/>
      <c r="I5" s="47"/>
      <c r="K5" s="2" t="s">
        <v>346</v>
      </c>
      <c r="L5" s="2">
        <v>0</v>
      </c>
      <c r="M5" s="2" t="str">
        <f t="shared" si="0"/>
        <v xml:space="preserve">운암동 </v>
      </c>
      <c r="N5" s="47"/>
      <c r="O5" s="47"/>
      <c r="P5" s="47"/>
      <c r="S5" s="2" t="s">
        <v>11</v>
      </c>
    </row>
    <row r="6" spans="1:19" ht="21.75" customHeight="1">
      <c r="A6" s="1" t="s">
        <v>650</v>
      </c>
      <c r="B6" s="1" t="s">
        <v>2</v>
      </c>
      <c r="C6" s="2" t="s">
        <v>659</v>
      </c>
      <c r="D6" s="2" t="s">
        <v>661</v>
      </c>
      <c r="E6" s="46"/>
      <c r="F6" s="47"/>
      <c r="G6" s="47"/>
      <c r="H6" s="47"/>
      <c r="I6" s="47"/>
      <c r="K6" s="2" t="s">
        <v>346</v>
      </c>
      <c r="L6" s="2">
        <v>0</v>
      </c>
      <c r="M6" s="2" t="str">
        <f t="shared" si="0"/>
        <v xml:space="preserve">운암동 </v>
      </c>
      <c r="N6" s="47"/>
      <c r="O6" s="47"/>
      <c r="P6" s="47"/>
      <c r="S6" s="2" t="s">
        <v>11</v>
      </c>
    </row>
    <row r="7" spans="1:19" ht="21.75" customHeight="1">
      <c r="A7" s="1" t="s">
        <v>651</v>
      </c>
      <c r="B7" s="1" t="s">
        <v>2</v>
      </c>
      <c r="C7" s="2" t="s">
        <v>659</v>
      </c>
      <c r="D7" s="2" t="s">
        <v>661</v>
      </c>
      <c r="E7" s="46"/>
      <c r="F7" s="47"/>
      <c r="G7" s="47"/>
      <c r="H7" s="47"/>
      <c r="I7" s="47"/>
      <c r="K7" s="2" t="s">
        <v>346</v>
      </c>
      <c r="L7" s="2">
        <v>0</v>
      </c>
      <c r="M7" s="2" t="str">
        <f t="shared" si="0"/>
        <v xml:space="preserve">운암동 </v>
      </c>
      <c r="N7" s="47"/>
      <c r="O7" s="47"/>
      <c r="P7" s="47"/>
      <c r="S7" s="2" t="s">
        <v>11</v>
      </c>
    </row>
    <row r="8" spans="1:19" ht="21.75" customHeight="1">
      <c r="A8" s="1" t="s">
        <v>652</v>
      </c>
      <c r="B8" s="1" t="s">
        <v>2</v>
      </c>
      <c r="C8" s="2" t="s">
        <v>659</v>
      </c>
      <c r="D8" s="2" t="s">
        <v>661</v>
      </c>
      <c r="E8" s="46"/>
      <c r="F8" s="47"/>
      <c r="G8" s="47"/>
      <c r="H8" s="47"/>
      <c r="I8" s="47"/>
      <c r="K8" s="2" t="s">
        <v>346</v>
      </c>
      <c r="L8" s="2">
        <v>0</v>
      </c>
      <c r="M8" s="2" t="str">
        <f t="shared" si="0"/>
        <v xml:space="preserve">운암동 </v>
      </c>
      <c r="N8" s="47"/>
      <c r="O8" s="47"/>
      <c r="P8" s="47"/>
      <c r="S8" s="2" t="s">
        <v>11</v>
      </c>
    </row>
    <row r="9" spans="1:19" ht="21.75" customHeight="1">
      <c r="A9" s="1" t="s">
        <v>653</v>
      </c>
      <c r="B9" s="1" t="s">
        <v>2</v>
      </c>
      <c r="C9" s="2" t="s">
        <v>659</v>
      </c>
      <c r="D9" s="2" t="s">
        <v>661</v>
      </c>
      <c r="E9" s="46"/>
      <c r="F9" s="47"/>
      <c r="G9" s="47"/>
      <c r="H9" s="47"/>
      <c r="I9" s="47"/>
      <c r="K9" s="2" t="s">
        <v>346</v>
      </c>
      <c r="L9" s="2">
        <v>0</v>
      </c>
      <c r="M9" s="2" t="str">
        <f t="shared" si="0"/>
        <v xml:space="preserve">운암동 </v>
      </c>
      <c r="N9" s="47"/>
      <c r="O9" s="47"/>
      <c r="P9" s="47"/>
      <c r="S9" s="2" t="s">
        <v>11</v>
      </c>
    </row>
    <row r="10" spans="1:19" ht="21.75" customHeight="1">
      <c r="A10" s="1" t="s">
        <v>654</v>
      </c>
      <c r="B10" s="1" t="s">
        <v>2</v>
      </c>
      <c r="C10" s="2" t="s">
        <v>659</v>
      </c>
      <c r="D10" s="2" t="s">
        <v>661</v>
      </c>
      <c r="E10" s="46"/>
      <c r="F10" s="47"/>
      <c r="G10" s="47"/>
      <c r="H10" s="47"/>
      <c r="I10" s="47"/>
      <c r="K10" s="2" t="s">
        <v>346</v>
      </c>
      <c r="L10" s="2">
        <v>0</v>
      </c>
      <c r="M10" s="2" t="str">
        <f t="shared" si="0"/>
        <v xml:space="preserve">운암동 </v>
      </c>
      <c r="N10" s="47"/>
      <c r="O10" s="47"/>
      <c r="P10" s="47"/>
      <c r="S10" s="2" t="s">
        <v>11</v>
      </c>
    </row>
    <row r="11" spans="1:19" ht="21.75" customHeight="1">
      <c r="A11" s="1" t="s">
        <v>655</v>
      </c>
      <c r="B11" s="1" t="s">
        <v>2</v>
      </c>
      <c r="C11" s="2" t="s">
        <v>659</v>
      </c>
      <c r="D11" s="2" t="s">
        <v>661</v>
      </c>
      <c r="E11" s="46"/>
      <c r="F11" s="47"/>
      <c r="G11" s="47"/>
      <c r="H11" s="47"/>
      <c r="I11" s="47"/>
      <c r="K11" s="2" t="s">
        <v>346</v>
      </c>
      <c r="L11" s="2">
        <v>0</v>
      </c>
      <c r="M11" s="2" t="str">
        <f t="shared" si="0"/>
        <v xml:space="preserve">운암동 </v>
      </c>
      <c r="N11" s="47"/>
      <c r="O11" s="47"/>
      <c r="P11" s="47"/>
      <c r="S11" s="2" t="s">
        <v>11</v>
      </c>
    </row>
    <row r="12" spans="1:19" ht="21.75" customHeight="1">
      <c r="A12" s="1" t="s">
        <v>656</v>
      </c>
      <c r="B12" s="1" t="s">
        <v>2</v>
      </c>
      <c r="C12" s="2" t="s">
        <v>659</v>
      </c>
      <c r="D12" s="2" t="s">
        <v>661</v>
      </c>
      <c r="E12" s="46"/>
      <c r="F12" s="47"/>
      <c r="G12" s="47"/>
      <c r="H12" s="47"/>
      <c r="I12" s="47"/>
      <c r="K12" s="2" t="s">
        <v>346</v>
      </c>
      <c r="L12" s="2">
        <v>0</v>
      </c>
      <c r="M12" s="2" t="str">
        <f t="shared" si="0"/>
        <v xml:space="preserve">운암동 </v>
      </c>
      <c r="N12" s="47"/>
      <c r="O12" s="47"/>
      <c r="P12" s="47"/>
      <c r="S12" s="2" t="s">
        <v>11</v>
      </c>
    </row>
    <row r="13" spans="1:19" ht="21.75" customHeight="1">
      <c r="A13" s="1" t="s">
        <v>657</v>
      </c>
      <c r="B13" s="1" t="s">
        <v>2</v>
      </c>
      <c r="C13" s="2" t="s">
        <v>659</v>
      </c>
      <c r="D13" s="2" t="s">
        <v>661</v>
      </c>
      <c r="E13" s="46"/>
      <c r="F13" s="47"/>
      <c r="G13" s="47"/>
      <c r="H13" s="47"/>
      <c r="I13" s="47"/>
      <c r="K13" s="2" t="s">
        <v>346</v>
      </c>
      <c r="L13" s="2">
        <v>0</v>
      </c>
      <c r="M13" s="2" t="str">
        <f t="shared" si="0"/>
        <v xml:space="preserve">운암동 </v>
      </c>
      <c r="N13" s="47"/>
      <c r="O13" s="47"/>
      <c r="P13" s="47"/>
      <c r="S13" s="2" t="s">
        <v>11</v>
      </c>
    </row>
    <row r="14" spans="1:19" ht="21.75" customHeight="1">
      <c r="A14" s="1"/>
      <c r="B14" s="1"/>
      <c r="E14" s="7"/>
    </row>
    <row r="15" spans="1:19" ht="21.75" customHeight="1" thickBot="1">
      <c r="A15" s="1"/>
      <c r="B15" s="1"/>
      <c r="E15" s="7"/>
    </row>
    <row r="16" spans="1:19" ht="21.75" customHeight="1">
      <c r="A16" s="1"/>
      <c r="B16" s="10" t="s">
        <v>21</v>
      </c>
      <c r="C16" s="13" t="s">
        <v>20</v>
      </c>
      <c r="D16" s="14" t="s">
        <v>5</v>
      </c>
      <c r="E16" s="7"/>
    </row>
    <row r="17" spans="1:12" ht="21.75" customHeight="1">
      <c r="A17" s="1"/>
      <c r="B17" s="15" t="s">
        <v>18</v>
      </c>
      <c r="C17" s="12">
        <f ca="1">COUNTIF(AA_INSIDE_AREA,"O")</f>
        <v>12</v>
      </c>
      <c r="D17" s="16">
        <f ca="1">SUMIF(AA_INSIDE_AREA,"O",$L$2:$L$2)</f>
        <v>0</v>
      </c>
    </row>
    <row r="18" spans="1:12" ht="21.75" customHeight="1">
      <c r="B18" s="15" t="s">
        <v>19</v>
      </c>
      <c r="C18" s="12">
        <f ca="1">COUNTIF(AA_INSIDE_AREA,"X")</f>
        <v>0</v>
      </c>
      <c r="D18" s="16">
        <f ca="1">SUMIF(AA_INSIDE_AREA,"X",$L$2:$L$2)</f>
        <v>0</v>
      </c>
      <c r="L18" s="45"/>
    </row>
    <row r="19" spans="1:12" ht="21.75" customHeight="1" thickBot="1">
      <c r="B19" s="11"/>
      <c r="C19" s="17"/>
      <c r="D19" s="18">
        <f ca="1">D17+D18</f>
        <v>0</v>
      </c>
      <c r="L19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L12" sqref="L12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4.75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660</v>
      </c>
      <c r="D2" s="2" t="s">
        <v>662</v>
      </c>
      <c r="E2" s="4" t="s">
        <v>674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659</v>
      </c>
      <c r="D3" s="2" t="s">
        <v>661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659</v>
      </c>
      <c r="D4" s="2" t="s">
        <v>661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659</v>
      </c>
      <c r="D5" s="2" t="s">
        <v>661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659</v>
      </c>
      <c r="D6" s="2" t="s">
        <v>661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/>
    <row r="8" spans="1:19" ht="21.75" customHeight="1"/>
    <row r="9" spans="1:19" ht="21.75" customHeight="1">
      <c r="K9" s="5" t="s">
        <v>30</v>
      </c>
      <c r="L9" s="31">
        <f>SUM(L2:L8)</f>
        <v>0</v>
      </c>
      <c r="S9" s="8"/>
    </row>
    <row r="10" spans="1:19" ht="18.75" customHeight="1" thickBot="1"/>
    <row r="11" spans="1:19" ht="18.75" customHeight="1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>
      <c r="B14" s="20"/>
      <c r="C14" s="17"/>
      <c r="D14" s="18">
        <f ca="1">D12+D13</f>
        <v>0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>
      <c r="A2" s="25" t="s">
        <v>23</v>
      </c>
      <c r="B2" s="25" t="s">
        <v>563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>
      <c r="A3" s="25" t="s">
        <v>543</v>
      </c>
      <c r="B3" s="25" t="s">
        <v>564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>
      <c r="A4" s="25" t="s">
        <v>544</v>
      </c>
      <c r="B4" s="25" t="s">
        <v>565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>
      <c r="A5" s="25" t="s">
        <v>545</v>
      </c>
      <c r="B5" s="25" t="s">
        <v>566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>
      <c r="A6" s="25" t="s">
        <v>546</v>
      </c>
      <c r="B6" s="25" t="s">
        <v>567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>
      <c r="A7" s="25" t="s">
        <v>547</v>
      </c>
      <c r="B7" s="25" t="s">
        <v>568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>
      <c r="A8" s="25" t="s">
        <v>548</v>
      </c>
      <c r="B8" s="25" t="s">
        <v>569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>
      <c r="A9" s="25" t="s">
        <v>549</v>
      </c>
      <c r="B9" s="25" t="s">
        <v>570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>
      <c r="A10" s="25" t="s">
        <v>550</v>
      </c>
      <c r="B10" s="25" t="s">
        <v>571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>
      <c r="A11" s="25" t="s">
        <v>551</v>
      </c>
      <c r="B11" s="25" t="s">
        <v>572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351</v>
      </c>
      <c r="J11" s="25">
        <v>3.95</v>
      </c>
      <c r="K11" s="25" t="s">
        <v>326</v>
      </c>
    </row>
    <row r="12" spans="1:11" ht="20.100000000000001" customHeight="1">
      <c r="A12" s="25" t="s">
        <v>329</v>
      </c>
      <c r="B12" s="25" t="s">
        <v>573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351</v>
      </c>
      <c r="J12" s="25">
        <v>3.78</v>
      </c>
      <c r="K12" s="25" t="s">
        <v>326</v>
      </c>
    </row>
    <row r="13" spans="1:11" ht="20.100000000000001" customHeight="1">
      <c r="A13" s="25" t="s">
        <v>330</v>
      </c>
      <c r="B13" s="25" t="s">
        <v>574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351</v>
      </c>
      <c r="J13" s="25">
        <v>3.06</v>
      </c>
      <c r="K13" s="25" t="s">
        <v>326</v>
      </c>
    </row>
    <row r="14" spans="1:11" ht="20.100000000000001" customHeight="1">
      <c r="A14" s="25" t="s">
        <v>331</v>
      </c>
      <c r="B14" s="25" t="s">
        <v>575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>
      <c r="A15" s="25" t="s">
        <v>332</v>
      </c>
      <c r="B15" s="25" t="s">
        <v>371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352</v>
      </c>
      <c r="J15" s="25">
        <v>0.73</v>
      </c>
      <c r="K15" s="25" t="s">
        <v>326</v>
      </c>
    </row>
    <row r="16" spans="1:11" ht="20.100000000000001" customHeight="1">
      <c r="A16" s="25" t="s">
        <v>333</v>
      </c>
      <c r="B16" s="25" t="s">
        <v>372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>
      <c r="A17" s="25" t="s">
        <v>334</v>
      </c>
      <c r="B17" s="25" t="s">
        <v>373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>
      <c r="A18" s="25" t="s">
        <v>353</v>
      </c>
      <c r="B18" s="25" t="s">
        <v>576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>
      <c r="A19" s="25" t="s">
        <v>354</v>
      </c>
      <c r="B19" s="25" t="s">
        <v>374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>
      <c r="A20" s="25" t="s">
        <v>355</v>
      </c>
      <c r="B20" s="25" t="s">
        <v>375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356</v>
      </c>
      <c r="J20" s="25">
        <v>8.49</v>
      </c>
      <c r="K20" s="25" t="s">
        <v>326</v>
      </c>
    </row>
    <row r="21" spans="1:11" ht="20.100000000000001" customHeight="1">
      <c r="A21" s="25" t="s">
        <v>357</v>
      </c>
      <c r="B21" s="25" t="s">
        <v>376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>
      <c r="A22" s="25" t="s">
        <v>358</v>
      </c>
      <c r="B22" s="25" t="s">
        <v>377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>
      <c r="A23" s="25" t="s">
        <v>359</v>
      </c>
      <c r="B23" s="25" t="s">
        <v>378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>
      <c r="A24" s="25" t="s">
        <v>360</v>
      </c>
      <c r="B24" s="25" t="s">
        <v>577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>
      <c r="A25" s="25" t="s">
        <v>361</v>
      </c>
      <c r="B25" s="25" t="s">
        <v>578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>
      <c r="A26" s="25" t="s">
        <v>362</v>
      </c>
      <c r="B26" s="25" t="s">
        <v>579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>
      <c r="A27" s="25" t="s">
        <v>363</v>
      </c>
      <c r="B27" s="25" t="s">
        <v>580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>
      <c r="A28" s="25" t="s">
        <v>364</v>
      </c>
      <c r="B28" s="25" t="s">
        <v>581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>
      <c r="A29" s="25" t="s">
        <v>365</v>
      </c>
      <c r="B29" s="25" t="s">
        <v>582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>
      <c r="A30" s="25" t="s">
        <v>366</v>
      </c>
      <c r="B30" s="25" t="s">
        <v>583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>
      <c r="A31" s="25" t="s">
        <v>367</v>
      </c>
      <c r="B31" s="25" t="s">
        <v>584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>
      <c r="A32" s="25" t="s">
        <v>368</v>
      </c>
      <c r="B32" s="25" t="s">
        <v>379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>
      <c r="A33" s="25" t="s">
        <v>380</v>
      </c>
      <c r="B33" s="25" t="s">
        <v>381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>
      <c r="A34" s="25" t="s">
        <v>382</v>
      </c>
      <c r="B34" s="25" t="s">
        <v>383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>
      <c r="A35" s="25" t="s">
        <v>384</v>
      </c>
      <c r="B35" s="25" t="s">
        <v>385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>
      <c r="A36" s="25" t="s">
        <v>386</v>
      </c>
      <c r="B36" s="25" t="s">
        <v>387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>
      <c r="A37" s="25" t="s">
        <v>388</v>
      </c>
      <c r="B37" s="25" t="s">
        <v>389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>
      <c r="A38" s="25" t="s">
        <v>390</v>
      </c>
      <c r="B38" s="25" t="s">
        <v>391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>
      <c r="A39" s="25" t="s">
        <v>392</v>
      </c>
      <c r="B39" s="25" t="s">
        <v>393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>
      <c r="A40" s="25" t="s">
        <v>394</v>
      </c>
      <c r="B40" s="25" t="s">
        <v>395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>
      <c r="A41" s="25" t="s">
        <v>396</v>
      </c>
      <c r="B41" s="25" t="s">
        <v>397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>
      <c r="A42" s="25" t="s">
        <v>398</v>
      </c>
      <c r="B42" s="25" t="s">
        <v>399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>
      <c r="A43" s="25" t="s">
        <v>400</v>
      </c>
      <c r="B43" s="25" t="s">
        <v>401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351</v>
      </c>
      <c r="J43" s="25">
        <v>3.48</v>
      </c>
      <c r="K43" s="25" t="s">
        <v>326</v>
      </c>
    </row>
    <row r="44" spans="1:11" ht="20.100000000000001" customHeight="1">
      <c r="A44" s="25" t="s">
        <v>402</v>
      </c>
      <c r="B44" s="25" t="s">
        <v>403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>
      <c r="A45" s="25" t="s">
        <v>404</v>
      </c>
      <c r="B45" s="25" t="s">
        <v>405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>
      <c r="A46" s="25" t="s">
        <v>406</v>
      </c>
      <c r="B46" s="25" t="s">
        <v>407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>
      <c r="A47" s="25" t="s">
        <v>408</v>
      </c>
      <c r="B47" s="25" t="s">
        <v>409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>
      <c r="A48" s="25" t="s">
        <v>410</v>
      </c>
      <c r="B48" s="25" t="s">
        <v>411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>
      <c r="A49" s="25" t="s">
        <v>412</v>
      </c>
      <c r="B49" s="25" t="s">
        <v>413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>
      <c r="A50" s="25" t="s">
        <v>414</v>
      </c>
      <c r="B50" s="25" t="s">
        <v>415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>
      <c r="A51" s="25" t="s">
        <v>416</v>
      </c>
      <c r="B51" s="25" t="s">
        <v>417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>
      <c r="A52" s="25" t="s">
        <v>418</v>
      </c>
      <c r="B52" s="25" t="s">
        <v>419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>
      <c r="A53" s="25" t="s">
        <v>420</v>
      </c>
      <c r="B53" s="25" t="s">
        <v>421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>
      <c r="A54" s="25" t="s">
        <v>422</v>
      </c>
      <c r="B54" s="25" t="s">
        <v>423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>
      <c r="A55" s="25" t="s">
        <v>424</v>
      </c>
      <c r="B55" s="25" t="s">
        <v>425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>
      <c r="A56" s="25" t="s">
        <v>426</v>
      </c>
      <c r="B56" s="25" t="s">
        <v>427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352</v>
      </c>
      <c r="J56" s="25">
        <v>0.73</v>
      </c>
      <c r="K56" s="25" t="s">
        <v>326</v>
      </c>
    </row>
    <row r="57" spans="1:11" ht="20.100000000000001" customHeight="1">
      <c r="A57" s="25" t="s">
        <v>428</v>
      </c>
      <c r="B57" s="25" t="s">
        <v>429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>
      <c r="A58" s="25" t="s">
        <v>430</v>
      </c>
      <c r="B58" s="25" t="s">
        <v>431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>
      <c r="A59" s="25" t="s">
        <v>432</v>
      </c>
      <c r="B59" s="25" t="s">
        <v>433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>
      <c r="A60" s="25" t="s">
        <v>434</v>
      </c>
      <c r="B60" s="25" t="s">
        <v>435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>
      <c r="A61" s="25" t="s">
        <v>436</v>
      </c>
      <c r="B61" s="25" t="s">
        <v>437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>
      <c r="A62" s="25" t="s">
        <v>438</v>
      </c>
      <c r="B62" s="25" t="s">
        <v>439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>
      <c r="A63" s="25" t="s">
        <v>440</v>
      </c>
      <c r="B63" s="25" t="s">
        <v>441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>
      <c r="A64" s="25" t="s">
        <v>442</v>
      </c>
      <c r="B64" s="25" t="s">
        <v>443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>
      <c r="A65" s="25" t="s">
        <v>444</v>
      </c>
      <c r="B65" s="25" t="s">
        <v>445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351</v>
      </c>
      <c r="J65" s="25">
        <v>3.15</v>
      </c>
      <c r="K65" s="25" t="s">
        <v>326</v>
      </c>
    </row>
    <row r="66" spans="1:11" ht="20.100000000000001" customHeight="1">
      <c r="A66" s="25" t="s">
        <v>446</v>
      </c>
      <c r="B66" s="25" t="s">
        <v>447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>
      <c r="A67" s="25" t="s">
        <v>448</v>
      </c>
      <c r="B67" s="25" t="s">
        <v>449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>
      <c r="A68" s="25" t="s">
        <v>450</v>
      </c>
      <c r="B68" s="25" t="s">
        <v>451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>
      <c r="A69" s="25" t="s">
        <v>452</v>
      </c>
      <c r="B69" s="25" t="s">
        <v>453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>
      <c r="A70" s="25" t="s">
        <v>454</v>
      </c>
      <c r="B70" s="25" t="s">
        <v>455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>
      <c r="A71" s="25" t="s">
        <v>456</v>
      </c>
      <c r="B71" s="25" t="s">
        <v>457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>
      <c r="A72" s="25" t="s">
        <v>458</v>
      </c>
      <c r="B72" s="25" t="s">
        <v>459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>
      <c r="A73" s="25" t="s">
        <v>460</v>
      </c>
      <c r="B73" s="25" t="s">
        <v>461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>
      <c r="A74" s="25" t="s">
        <v>462</v>
      </c>
      <c r="B74" s="25" t="s">
        <v>463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>
      <c r="A75" s="25" t="s">
        <v>464</v>
      </c>
      <c r="B75" s="25" t="s">
        <v>465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>
      <c r="A76" s="25" t="s">
        <v>466</v>
      </c>
      <c r="B76" s="25" t="s">
        <v>467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352</v>
      </c>
      <c r="J76" s="25">
        <v>0.73</v>
      </c>
      <c r="K76" s="25" t="s">
        <v>326</v>
      </c>
    </row>
    <row r="77" spans="1:11" ht="20.100000000000001" customHeight="1">
      <c r="A77" s="25" t="s">
        <v>468</v>
      </c>
      <c r="B77" s="25" t="s">
        <v>469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>
      <c r="A78" s="25" t="s">
        <v>470</v>
      </c>
      <c r="B78" s="25" t="s">
        <v>471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369</v>
      </c>
      <c r="J78" s="25">
        <v>7.23</v>
      </c>
      <c r="K78" s="25" t="s">
        <v>326</v>
      </c>
    </row>
    <row r="79" spans="1:11" ht="20.100000000000001" customHeight="1">
      <c r="A79" s="25" t="s">
        <v>472</v>
      </c>
      <c r="B79" s="25" t="s">
        <v>473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>
      <c r="A80" s="25" t="s">
        <v>474</v>
      </c>
      <c r="B80" s="25" t="s">
        <v>475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>
      <c r="A81" s="25" t="s">
        <v>476</v>
      </c>
      <c r="B81" s="25" t="s">
        <v>585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>
      <c r="A82" s="25" t="s">
        <v>477</v>
      </c>
      <c r="B82" s="25" t="s">
        <v>586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>
      <c r="A83" s="25" t="s">
        <v>478</v>
      </c>
      <c r="B83" s="25" t="s">
        <v>587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>
      <c r="A84" s="25" t="s">
        <v>479</v>
      </c>
      <c r="B84" s="25" t="s">
        <v>588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>
      <c r="A85" s="25" t="s">
        <v>480</v>
      </c>
      <c r="B85" s="25" t="s">
        <v>589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>
      <c r="A86" s="25" t="s">
        <v>481</v>
      </c>
      <c r="B86" s="25" t="s">
        <v>590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>
      <c r="A87" s="25" t="s">
        <v>482</v>
      </c>
      <c r="B87" s="25" t="s">
        <v>591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>
      <c r="A88" s="25" t="s">
        <v>483</v>
      </c>
      <c r="B88" s="25" t="s">
        <v>592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>
      <c r="A89" s="25" t="s">
        <v>484</v>
      </c>
      <c r="B89" s="25" t="s">
        <v>593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>
      <c r="A90" s="25" t="s">
        <v>554</v>
      </c>
      <c r="B90" s="25" t="s">
        <v>594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>
      <c r="A91" s="25" t="s">
        <v>555</v>
      </c>
      <c r="B91" s="25" t="s">
        <v>595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>
      <c r="A92" s="25" t="s">
        <v>556</v>
      </c>
      <c r="B92" s="25" t="s">
        <v>596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>
      <c r="A93" s="25" t="s">
        <v>557</v>
      </c>
      <c r="B93" s="25" t="s">
        <v>597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>
      <c r="A94" s="25" t="s">
        <v>558</v>
      </c>
      <c r="B94" s="25" t="s">
        <v>598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>
      <c r="A95" s="25" t="s">
        <v>4</v>
      </c>
      <c r="B95" s="25" t="s">
        <v>599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552</v>
      </c>
      <c r="J95" s="25">
        <v>6.15</v>
      </c>
      <c r="K95" s="25" t="s">
        <v>326</v>
      </c>
    </row>
    <row r="96" spans="1:11" ht="20.100000000000001" customHeight="1">
      <c r="A96" s="25" t="s">
        <v>140</v>
      </c>
      <c r="B96" s="25" t="s">
        <v>600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553</v>
      </c>
      <c r="J96" s="25">
        <v>3.01</v>
      </c>
      <c r="K96" s="25" t="s">
        <v>326</v>
      </c>
    </row>
    <row r="97" spans="1:11" ht="20.100000000000001" customHeight="1">
      <c r="A97" s="25" t="s">
        <v>9</v>
      </c>
      <c r="B97" s="25" t="s">
        <v>601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>
      <c r="A98" s="25" t="s">
        <v>559</v>
      </c>
      <c r="B98" s="25" t="s">
        <v>602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>
      <c r="A99" s="25" t="s">
        <v>560</v>
      </c>
      <c r="B99" s="25" t="s">
        <v>603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>
      <c r="A100" s="25" t="s">
        <v>561</v>
      </c>
      <c r="B100" s="25" t="s">
        <v>604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370</v>
      </c>
      <c r="J100" s="25">
        <v>10</v>
      </c>
      <c r="K100" s="25" t="s">
        <v>326</v>
      </c>
    </row>
    <row r="101" spans="1:11" ht="20.100000000000001" customHeight="1">
      <c r="A101" s="25" t="s">
        <v>562</v>
      </c>
      <c r="B101" s="25" t="s">
        <v>605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370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>
      <c r="A2" s="25" t="s">
        <v>485</v>
      </c>
      <c r="B2" s="25" t="s">
        <v>264</v>
      </c>
      <c r="C2" s="25" t="s">
        <v>335</v>
      </c>
      <c r="D2" s="25" t="s">
        <v>264</v>
      </c>
      <c r="E2" s="25" t="s">
        <v>606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>
      <c r="A3" s="25" t="s">
        <v>485</v>
      </c>
      <c r="B3" s="25" t="s">
        <v>264</v>
      </c>
      <c r="C3" s="25" t="s">
        <v>335</v>
      </c>
      <c r="D3" s="25" t="s">
        <v>264</v>
      </c>
      <c r="E3" s="25" t="s">
        <v>607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>
      <c r="A4" s="25" t="s">
        <v>485</v>
      </c>
      <c r="B4" s="25" t="s">
        <v>264</v>
      </c>
      <c r="C4" s="25" t="s">
        <v>335</v>
      </c>
      <c r="D4" s="25" t="s">
        <v>264</v>
      </c>
      <c r="E4" s="25" t="s">
        <v>608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>
      <c r="A5" s="25" t="s">
        <v>485</v>
      </c>
      <c r="B5" s="25" t="s">
        <v>264</v>
      </c>
      <c r="C5" s="25" t="s">
        <v>335</v>
      </c>
      <c r="D5" s="25" t="s">
        <v>264</v>
      </c>
      <c r="E5" s="25" t="s">
        <v>609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>
      <c r="A6" s="25" t="s">
        <v>485</v>
      </c>
      <c r="B6" s="25" t="s">
        <v>264</v>
      </c>
      <c r="C6" s="25" t="s">
        <v>335</v>
      </c>
      <c r="D6" s="25" t="s">
        <v>264</v>
      </c>
      <c r="E6" s="25" t="s">
        <v>610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>
      <c r="A7" s="25" t="s">
        <v>485</v>
      </c>
      <c r="B7" s="25" t="s">
        <v>264</v>
      </c>
      <c r="C7" s="25" t="s">
        <v>335</v>
      </c>
      <c r="D7" s="25" t="s">
        <v>264</v>
      </c>
      <c r="E7" s="25" t="s">
        <v>611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>
      <c r="A8" s="25" t="s">
        <v>485</v>
      </c>
      <c r="B8" s="25" t="s">
        <v>264</v>
      </c>
      <c r="C8" s="25" t="s">
        <v>335</v>
      </c>
      <c r="D8" s="25" t="s">
        <v>264</v>
      </c>
      <c r="E8" s="25" t="s">
        <v>612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>
      <c r="A9" s="25" t="s">
        <v>485</v>
      </c>
      <c r="B9" s="25" t="s">
        <v>264</v>
      </c>
      <c r="C9" s="25" t="s">
        <v>335</v>
      </c>
      <c r="D9" s="25" t="s">
        <v>264</v>
      </c>
      <c r="E9" s="25" t="s">
        <v>613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>
      <c r="A10" s="25" t="s">
        <v>485</v>
      </c>
      <c r="B10" s="25" t="s">
        <v>264</v>
      </c>
      <c r="C10" s="25" t="s">
        <v>335</v>
      </c>
      <c r="D10" s="25" t="s">
        <v>264</v>
      </c>
      <c r="E10" s="25" t="s">
        <v>614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>
      <c r="A11" s="25" t="s">
        <v>485</v>
      </c>
      <c r="B11" s="25" t="s">
        <v>264</v>
      </c>
      <c r="C11" s="25" t="s">
        <v>335</v>
      </c>
      <c r="D11" s="25" t="s">
        <v>264</v>
      </c>
      <c r="E11" s="25" t="s">
        <v>615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>
      <c r="A12" s="25" t="s">
        <v>485</v>
      </c>
      <c r="B12" s="25" t="s">
        <v>264</v>
      </c>
      <c r="C12" s="25" t="s">
        <v>335</v>
      </c>
      <c r="D12" s="25" t="s">
        <v>264</v>
      </c>
      <c r="E12" s="25" t="s">
        <v>616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>
      <c r="A13" s="25" t="s">
        <v>485</v>
      </c>
      <c r="B13" s="25" t="s">
        <v>264</v>
      </c>
      <c r="C13" s="25" t="s">
        <v>335</v>
      </c>
      <c r="D13" s="25" t="s">
        <v>264</v>
      </c>
      <c r="E13" s="25" t="s">
        <v>617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>
      <c r="A14" s="25" t="s">
        <v>485</v>
      </c>
      <c r="B14" s="25" t="s">
        <v>264</v>
      </c>
      <c r="C14" s="25" t="s">
        <v>335</v>
      </c>
      <c r="D14" s="25" t="s">
        <v>264</v>
      </c>
      <c r="E14" s="25" t="s">
        <v>618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>
      <c r="A15" s="25" t="s">
        <v>485</v>
      </c>
      <c r="B15" s="25" t="s">
        <v>264</v>
      </c>
      <c r="C15" s="25" t="s">
        <v>335</v>
      </c>
      <c r="D15" s="25" t="s">
        <v>264</v>
      </c>
      <c r="E15" s="25" t="s">
        <v>486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>
      <c r="A16" s="25" t="s">
        <v>485</v>
      </c>
      <c r="B16" s="25" t="s">
        <v>264</v>
      </c>
      <c r="C16" s="25" t="s">
        <v>335</v>
      </c>
      <c r="D16" s="25" t="s">
        <v>264</v>
      </c>
      <c r="E16" s="25" t="s">
        <v>487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>
      <c r="A17" s="25" t="s">
        <v>485</v>
      </c>
      <c r="B17" s="25" t="s">
        <v>335</v>
      </c>
      <c r="C17" s="25" t="s">
        <v>264</v>
      </c>
      <c r="D17" s="25" t="s">
        <v>264</v>
      </c>
      <c r="E17" s="25" t="s">
        <v>488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>
      <c r="A18" s="25" t="s">
        <v>485</v>
      </c>
      <c r="B18" s="25" t="s">
        <v>335</v>
      </c>
      <c r="C18" s="25" t="s">
        <v>264</v>
      </c>
      <c r="D18" s="25" t="s">
        <v>264</v>
      </c>
      <c r="E18" s="25" t="s">
        <v>619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>
      <c r="A19" s="25" t="s">
        <v>485</v>
      </c>
      <c r="B19" s="25" t="s">
        <v>264</v>
      </c>
      <c r="C19" s="25" t="s">
        <v>335</v>
      </c>
      <c r="D19" s="25" t="s">
        <v>264</v>
      </c>
      <c r="E19" s="25" t="s">
        <v>489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>
      <c r="A20" s="25" t="s">
        <v>485</v>
      </c>
      <c r="B20" s="25" t="s">
        <v>264</v>
      </c>
      <c r="C20" s="25" t="s">
        <v>335</v>
      </c>
      <c r="D20" s="25" t="s">
        <v>264</v>
      </c>
      <c r="E20" s="25" t="s">
        <v>490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>
      <c r="A21" s="25" t="s">
        <v>485</v>
      </c>
      <c r="B21" s="25" t="s">
        <v>264</v>
      </c>
      <c r="C21" s="25" t="s">
        <v>335</v>
      </c>
      <c r="D21" s="25" t="s">
        <v>264</v>
      </c>
      <c r="E21" s="25" t="s">
        <v>491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>
      <c r="A22" s="25" t="s">
        <v>485</v>
      </c>
      <c r="B22" s="25" t="s">
        <v>264</v>
      </c>
      <c r="C22" s="25" t="s">
        <v>335</v>
      </c>
      <c r="D22" s="25" t="s">
        <v>264</v>
      </c>
      <c r="E22" s="25" t="s">
        <v>492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>
      <c r="A23" s="25" t="s">
        <v>485</v>
      </c>
      <c r="B23" s="25" t="s">
        <v>264</v>
      </c>
      <c r="C23" s="25" t="s">
        <v>335</v>
      </c>
      <c r="D23" s="25" t="s">
        <v>264</v>
      </c>
      <c r="E23" s="25" t="s">
        <v>493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>
      <c r="A24" s="25" t="s">
        <v>485</v>
      </c>
      <c r="B24" s="25" t="s">
        <v>264</v>
      </c>
      <c r="C24" s="25" t="s">
        <v>335</v>
      </c>
      <c r="D24" s="25" t="s">
        <v>264</v>
      </c>
      <c r="E24" s="25" t="s">
        <v>620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>
      <c r="A25" s="25" t="s">
        <v>485</v>
      </c>
      <c r="B25" s="25" t="s">
        <v>264</v>
      </c>
      <c r="C25" s="25" t="s">
        <v>335</v>
      </c>
      <c r="D25" s="25" t="s">
        <v>264</v>
      </c>
      <c r="E25" s="25" t="s">
        <v>621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>
      <c r="A26" s="25" t="s">
        <v>485</v>
      </c>
      <c r="B26" s="25" t="s">
        <v>264</v>
      </c>
      <c r="C26" s="25" t="s">
        <v>335</v>
      </c>
      <c r="D26" s="25" t="s">
        <v>264</v>
      </c>
      <c r="E26" s="25" t="s">
        <v>622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>
      <c r="A27" s="25" t="s">
        <v>485</v>
      </c>
      <c r="B27" s="25" t="s">
        <v>264</v>
      </c>
      <c r="C27" s="25" t="s">
        <v>335</v>
      </c>
      <c r="D27" s="25" t="s">
        <v>264</v>
      </c>
      <c r="E27" s="25" t="s">
        <v>623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>
      <c r="A28" s="25" t="s">
        <v>485</v>
      </c>
      <c r="B28" s="25" t="s">
        <v>264</v>
      </c>
      <c r="C28" s="25" t="s">
        <v>335</v>
      </c>
      <c r="D28" s="25" t="s">
        <v>264</v>
      </c>
      <c r="E28" s="25" t="s">
        <v>624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>
      <c r="A29" s="25" t="s">
        <v>485</v>
      </c>
      <c r="B29" s="25" t="s">
        <v>264</v>
      </c>
      <c r="C29" s="25" t="s">
        <v>335</v>
      </c>
      <c r="D29" s="25" t="s">
        <v>264</v>
      </c>
      <c r="E29" s="25" t="s">
        <v>625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>
      <c r="A30" s="25" t="s">
        <v>485</v>
      </c>
      <c r="B30" s="25" t="s">
        <v>264</v>
      </c>
      <c r="C30" s="25" t="s">
        <v>335</v>
      </c>
      <c r="D30" s="25" t="s">
        <v>264</v>
      </c>
      <c r="E30" s="25" t="s">
        <v>626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>
      <c r="A31" s="25" t="s">
        <v>485</v>
      </c>
      <c r="B31" s="25" t="s">
        <v>264</v>
      </c>
      <c r="C31" s="25" t="s">
        <v>335</v>
      </c>
      <c r="D31" s="25" t="s">
        <v>264</v>
      </c>
      <c r="E31" s="25" t="s">
        <v>627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>
      <c r="A32" s="25" t="s">
        <v>485</v>
      </c>
      <c r="B32" s="25" t="s">
        <v>264</v>
      </c>
      <c r="C32" s="25" t="s">
        <v>335</v>
      </c>
      <c r="D32" s="25" t="s">
        <v>264</v>
      </c>
      <c r="E32" s="25" t="s">
        <v>494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>
      <c r="A33" s="25" t="s">
        <v>485</v>
      </c>
      <c r="B33" s="25" t="s">
        <v>264</v>
      </c>
      <c r="C33" s="25" t="s">
        <v>335</v>
      </c>
      <c r="D33" s="25" t="s">
        <v>264</v>
      </c>
      <c r="E33" s="25" t="s">
        <v>495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>
      <c r="A34" s="25" t="s">
        <v>485</v>
      </c>
      <c r="B34" s="25" t="s">
        <v>264</v>
      </c>
      <c r="C34" s="25" t="s">
        <v>335</v>
      </c>
      <c r="D34" s="25" t="s">
        <v>264</v>
      </c>
      <c r="E34" s="25" t="s">
        <v>496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>
      <c r="A35" s="25" t="s">
        <v>485</v>
      </c>
      <c r="B35" s="25" t="s">
        <v>264</v>
      </c>
      <c r="C35" s="25" t="s">
        <v>335</v>
      </c>
      <c r="D35" s="25" t="s">
        <v>264</v>
      </c>
      <c r="E35" s="25" t="s">
        <v>497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>
      <c r="A36" s="25" t="s">
        <v>485</v>
      </c>
      <c r="B36" s="25" t="s">
        <v>264</v>
      </c>
      <c r="C36" s="25" t="s">
        <v>335</v>
      </c>
      <c r="D36" s="25" t="s">
        <v>264</v>
      </c>
      <c r="E36" s="25" t="s">
        <v>498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>
      <c r="A37" s="25" t="s">
        <v>485</v>
      </c>
      <c r="B37" s="25" t="s">
        <v>264</v>
      </c>
      <c r="C37" s="25" t="s">
        <v>335</v>
      </c>
      <c r="D37" s="25" t="s">
        <v>264</v>
      </c>
      <c r="E37" s="25" t="s">
        <v>499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>
      <c r="A38" s="25" t="s">
        <v>485</v>
      </c>
      <c r="B38" s="25" t="s">
        <v>264</v>
      </c>
      <c r="C38" s="25" t="s">
        <v>335</v>
      </c>
      <c r="D38" s="25" t="s">
        <v>264</v>
      </c>
      <c r="E38" s="25" t="s">
        <v>500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>
      <c r="A39" s="25" t="s">
        <v>485</v>
      </c>
      <c r="B39" s="25" t="s">
        <v>264</v>
      </c>
      <c r="C39" s="25" t="s">
        <v>335</v>
      </c>
      <c r="D39" s="25" t="s">
        <v>264</v>
      </c>
      <c r="E39" s="25" t="s">
        <v>501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>
      <c r="A40" s="25" t="s">
        <v>485</v>
      </c>
      <c r="B40" s="25" t="s">
        <v>264</v>
      </c>
      <c r="C40" s="25" t="s">
        <v>335</v>
      </c>
      <c r="D40" s="25" t="s">
        <v>264</v>
      </c>
      <c r="E40" s="25" t="s">
        <v>502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>
      <c r="A41" s="25" t="s">
        <v>485</v>
      </c>
      <c r="B41" s="25" t="s">
        <v>264</v>
      </c>
      <c r="C41" s="25" t="s">
        <v>335</v>
      </c>
      <c r="D41" s="25" t="s">
        <v>264</v>
      </c>
      <c r="E41" s="25" t="s">
        <v>503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>
      <c r="A42" s="25" t="s">
        <v>485</v>
      </c>
      <c r="B42" s="25" t="s">
        <v>264</v>
      </c>
      <c r="C42" s="25" t="s">
        <v>335</v>
      </c>
      <c r="D42" s="25" t="s">
        <v>264</v>
      </c>
      <c r="E42" s="25" t="s">
        <v>504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>
      <c r="A43" s="25" t="s">
        <v>485</v>
      </c>
      <c r="B43" s="25" t="s">
        <v>264</v>
      </c>
      <c r="C43" s="25" t="s">
        <v>335</v>
      </c>
      <c r="D43" s="25" t="s">
        <v>264</v>
      </c>
      <c r="E43" s="25" t="s">
        <v>505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>
      <c r="A44" s="25" t="s">
        <v>485</v>
      </c>
      <c r="B44" s="25" t="s">
        <v>264</v>
      </c>
      <c r="C44" s="25" t="s">
        <v>335</v>
      </c>
      <c r="D44" s="25" t="s">
        <v>264</v>
      </c>
      <c r="E44" s="25" t="s">
        <v>506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>
      <c r="A45" s="25" t="s">
        <v>485</v>
      </c>
      <c r="B45" s="25" t="s">
        <v>264</v>
      </c>
      <c r="C45" s="25" t="s">
        <v>335</v>
      </c>
      <c r="D45" s="25" t="s">
        <v>264</v>
      </c>
      <c r="E45" s="25" t="s">
        <v>507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>
      <c r="A46" s="25" t="s">
        <v>485</v>
      </c>
      <c r="B46" s="25" t="s">
        <v>264</v>
      </c>
      <c r="C46" s="25" t="s">
        <v>335</v>
      </c>
      <c r="D46" s="25" t="s">
        <v>264</v>
      </c>
      <c r="E46" s="25" t="s">
        <v>508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>
      <c r="A47" s="25" t="s">
        <v>485</v>
      </c>
      <c r="B47" s="25" t="s">
        <v>264</v>
      </c>
      <c r="C47" s="25" t="s">
        <v>335</v>
      </c>
      <c r="D47" s="25" t="s">
        <v>264</v>
      </c>
      <c r="E47" s="25" t="s">
        <v>509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>
      <c r="A48" s="25" t="s">
        <v>485</v>
      </c>
      <c r="B48" s="25" t="s">
        <v>264</v>
      </c>
      <c r="C48" s="25" t="s">
        <v>335</v>
      </c>
      <c r="D48" s="25" t="s">
        <v>264</v>
      </c>
      <c r="E48" s="25" t="s">
        <v>510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>
      <c r="A49" s="25" t="s">
        <v>485</v>
      </c>
      <c r="B49" s="25" t="s">
        <v>264</v>
      </c>
      <c r="C49" s="25" t="s">
        <v>335</v>
      </c>
      <c r="D49" s="25" t="s">
        <v>264</v>
      </c>
      <c r="E49" s="25" t="s">
        <v>511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>
      <c r="A50" s="25" t="s">
        <v>485</v>
      </c>
      <c r="B50" s="25" t="s">
        <v>264</v>
      </c>
      <c r="C50" s="25" t="s">
        <v>335</v>
      </c>
      <c r="D50" s="25" t="s">
        <v>264</v>
      </c>
      <c r="E50" s="25" t="s">
        <v>512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>
      <c r="A51" s="25" t="s">
        <v>485</v>
      </c>
      <c r="B51" s="25" t="s">
        <v>264</v>
      </c>
      <c r="C51" s="25" t="s">
        <v>335</v>
      </c>
      <c r="D51" s="25" t="s">
        <v>264</v>
      </c>
      <c r="E51" s="25" t="s">
        <v>513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>
      <c r="A52" s="25" t="s">
        <v>485</v>
      </c>
      <c r="B52" s="25" t="s">
        <v>264</v>
      </c>
      <c r="C52" s="25" t="s">
        <v>335</v>
      </c>
      <c r="D52" s="25" t="s">
        <v>264</v>
      </c>
      <c r="E52" s="25" t="s">
        <v>514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>
      <c r="A53" s="25" t="s">
        <v>485</v>
      </c>
      <c r="B53" s="25" t="s">
        <v>264</v>
      </c>
      <c r="C53" s="25" t="s">
        <v>335</v>
      </c>
      <c r="D53" s="25" t="s">
        <v>264</v>
      </c>
      <c r="E53" s="25" t="s">
        <v>515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>
      <c r="A54" s="25" t="s">
        <v>485</v>
      </c>
      <c r="B54" s="25" t="s">
        <v>264</v>
      </c>
      <c r="C54" s="25" t="s">
        <v>335</v>
      </c>
      <c r="D54" s="25" t="s">
        <v>264</v>
      </c>
      <c r="E54" s="25" t="s">
        <v>516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>
      <c r="A55" s="25" t="s">
        <v>485</v>
      </c>
      <c r="B55" s="25" t="s">
        <v>264</v>
      </c>
      <c r="C55" s="25" t="s">
        <v>335</v>
      </c>
      <c r="D55" s="25" t="s">
        <v>264</v>
      </c>
      <c r="E55" s="25" t="s">
        <v>517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>
      <c r="A56" s="25" t="s">
        <v>485</v>
      </c>
      <c r="B56" s="25" t="s">
        <v>264</v>
      </c>
      <c r="C56" s="25" t="s">
        <v>335</v>
      </c>
      <c r="D56" s="25" t="s">
        <v>264</v>
      </c>
      <c r="E56" s="25" t="s">
        <v>518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>
      <c r="A57" s="25" t="s">
        <v>485</v>
      </c>
      <c r="B57" s="25" t="s">
        <v>264</v>
      </c>
      <c r="C57" s="25" t="s">
        <v>335</v>
      </c>
      <c r="D57" s="25" t="s">
        <v>264</v>
      </c>
      <c r="E57" s="25" t="s">
        <v>519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>
      <c r="A58" s="25" t="s">
        <v>485</v>
      </c>
      <c r="B58" s="25" t="s">
        <v>264</v>
      </c>
      <c r="C58" s="25" t="s">
        <v>335</v>
      </c>
      <c r="D58" s="25" t="s">
        <v>264</v>
      </c>
      <c r="E58" s="25" t="s">
        <v>520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>
      <c r="A59" s="25" t="s">
        <v>485</v>
      </c>
      <c r="B59" s="25" t="s">
        <v>264</v>
      </c>
      <c r="C59" s="25" t="s">
        <v>335</v>
      </c>
      <c r="D59" s="25" t="s">
        <v>264</v>
      </c>
      <c r="E59" s="25" t="s">
        <v>521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>
      <c r="A60" s="25" t="s">
        <v>485</v>
      </c>
      <c r="B60" s="25" t="s">
        <v>264</v>
      </c>
      <c r="C60" s="25" t="s">
        <v>335</v>
      </c>
      <c r="D60" s="25" t="s">
        <v>264</v>
      </c>
      <c r="E60" s="25" t="s">
        <v>522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>
      <c r="A61" s="25" t="s">
        <v>485</v>
      </c>
      <c r="B61" s="25" t="s">
        <v>264</v>
      </c>
      <c r="C61" s="25" t="s">
        <v>335</v>
      </c>
      <c r="D61" s="25" t="s">
        <v>264</v>
      </c>
      <c r="E61" s="25" t="s">
        <v>523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>
      <c r="A62" s="25" t="s">
        <v>485</v>
      </c>
      <c r="B62" s="25" t="s">
        <v>264</v>
      </c>
      <c r="C62" s="25" t="s">
        <v>335</v>
      </c>
      <c r="D62" s="25" t="s">
        <v>264</v>
      </c>
      <c r="E62" s="25" t="s">
        <v>524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>
      <c r="A63" s="25" t="s">
        <v>485</v>
      </c>
      <c r="B63" s="25" t="s">
        <v>264</v>
      </c>
      <c r="C63" s="25" t="s">
        <v>335</v>
      </c>
      <c r="D63" s="25" t="s">
        <v>264</v>
      </c>
      <c r="E63" s="25" t="s">
        <v>525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>
      <c r="A64" s="25" t="s">
        <v>485</v>
      </c>
      <c r="B64" s="25" t="s">
        <v>264</v>
      </c>
      <c r="C64" s="25" t="s">
        <v>335</v>
      </c>
      <c r="D64" s="25" t="s">
        <v>264</v>
      </c>
      <c r="E64" s="25" t="s">
        <v>526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>
      <c r="A65" s="25" t="s">
        <v>485</v>
      </c>
      <c r="B65" s="25" t="s">
        <v>264</v>
      </c>
      <c r="C65" s="25" t="s">
        <v>335</v>
      </c>
      <c r="D65" s="25" t="s">
        <v>264</v>
      </c>
      <c r="E65" s="25" t="s">
        <v>527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>
      <c r="A66" s="25" t="s">
        <v>485</v>
      </c>
      <c r="B66" s="25" t="s">
        <v>264</v>
      </c>
      <c r="C66" s="25" t="s">
        <v>335</v>
      </c>
      <c r="D66" s="25" t="s">
        <v>264</v>
      </c>
      <c r="E66" s="25" t="s">
        <v>528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>
      <c r="A67" s="25" t="s">
        <v>485</v>
      </c>
      <c r="B67" s="25" t="s">
        <v>264</v>
      </c>
      <c r="C67" s="25" t="s">
        <v>335</v>
      </c>
      <c r="D67" s="25" t="s">
        <v>264</v>
      </c>
      <c r="E67" s="25" t="s">
        <v>529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>
      <c r="A68" s="25" t="s">
        <v>485</v>
      </c>
      <c r="B68" s="25" t="s">
        <v>264</v>
      </c>
      <c r="C68" s="25" t="s">
        <v>335</v>
      </c>
      <c r="D68" s="25" t="s">
        <v>264</v>
      </c>
      <c r="E68" s="25" t="s">
        <v>530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>
      <c r="A69" s="25" t="s">
        <v>485</v>
      </c>
      <c r="B69" s="25" t="s">
        <v>264</v>
      </c>
      <c r="C69" s="25" t="s">
        <v>335</v>
      </c>
      <c r="D69" s="25" t="s">
        <v>264</v>
      </c>
      <c r="E69" s="25" t="s">
        <v>531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>
      <c r="A70" s="25" t="s">
        <v>485</v>
      </c>
      <c r="B70" s="25" t="s">
        <v>264</v>
      </c>
      <c r="C70" s="25" t="s">
        <v>335</v>
      </c>
      <c r="D70" s="25" t="s">
        <v>264</v>
      </c>
      <c r="E70" s="25" t="s">
        <v>532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>
      <c r="A71" s="25" t="s">
        <v>485</v>
      </c>
      <c r="B71" s="25" t="s">
        <v>264</v>
      </c>
      <c r="C71" s="25" t="s">
        <v>335</v>
      </c>
      <c r="D71" s="25" t="s">
        <v>264</v>
      </c>
      <c r="E71" s="25" t="s">
        <v>533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>
      <c r="A72" s="25" t="s">
        <v>485</v>
      </c>
      <c r="B72" s="25" t="s">
        <v>264</v>
      </c>
      <c r="C72" s="25" t="s">
        <v>335</v>
      </c>
      <c r="D72" s="25" t="s">
        <v>264</v>
      </c>
      <c r="E72" s="25" t="s">
        <v>534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>
      <c r="A73" s="25" t="s">
        <v>485</v>
      </c>
      <c r="B73" s="25" t="s">
        <v>264</v>
      </c>
      <c r="C73" s="25" t="s">
        <v>335</v>
      </c>
      <c r="D73" s="25" t="s">
        <v>264</v>
      </c>
      <c r="E73" s="25" t="s">
        <v>535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>
      <c r="A74" s="25" t="s">
        <v>485</v>
      </c>
      <c r="B74" s="25" t="s">
        <v>264</v>
      </c>
      <c r="C74" s="25" t="s">
        <v>335</v>
      </c>
      <c r="D74" s="25" t="s">
        <v>264</v>
      </c>
      <c r="E74" s="25" t="s">
        <v>536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>
      <c r="A75" s="25" t="s">
        <v>485</v>
      </c>
      <c r="B75" s="25" t="s">
        <v>264</v>
      </c>
      <c r="C75" s="25" t="s">
        <v>335</v>
      </c>
      <c r="D75" s="25" t="s">
        <v>264</v>
      </c>
      <c r="E75" s="25" t="s">
        <v>537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>
      <c r="A76" s="25" t="s">
        <v>485</v>
      </c>
      <c r="B76" s="25" t="s">
        <v>264</v>
      </c>
      <c r="C76" s="25" t="s">
        <v>335</v>
      </c>
      <c r="D76" s="25" t="s">
        <v>264</v>
      </c>
      <c r="E76" s="25" t="s">
        <v>538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>
      <c r="A77" s="25" t="s">
        <v>485</v>
      </c>
      <c r="B77" s="25" t="s">
        <v>264</v>
      </c>
      <c r="C77" s="25" t="s">
        <v>335</v>
      </c>
      <c r="D77" s="25" t="s">
        <v>264</v>
      </c>
      <c r="E77" s="25" t="s">
        <v>539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>
      <c r="A78" s="25" t="s">
        <v>485</v>
      </c>
      <c r="B78" s="25" t="s">
        <v>264</v>
      </c>
      <c r="C78" s="25" t="s">
        <v>335</v>
      </c>
      <c r="D78" s="25" t="s">
        <v>264</v>
      </c>
      <c r="E78" s="25" t="s">
        <v>540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>
      <c r="A79" s="25" t="s">
        <v>485</v>
      </c>
      <c r="B79" s="25" t="s">
        <v>264</v>
      </c>
      <c r="C79" s="25" t="s">
        <v>335</v>
      </c>
      <c r="D79" s="25" t="s">
        <v>264</v>
      </c>
      <c r="E79" s="25" t="s">
        <v>541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>
      <c r="A80" s="25" t="s">
        <v>485</v>
      </c>
      <c r="B80" s="25" t="s">
        <v>264</v>
      </c>
      <c r="C80" s="25" t="s">
        <v>335</v>
      </c>
      <c r="D80" s="25" t="s">
        <v>264</v>
      </c>
      <c r="E80" s="25" t="s">
        <v>542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>
      <c r="A81" s="25" t="s">
        <v>485</v>
      </c>
      <c r="B81" s="25" t="s">
        <v>264</v>
      </c>
      <c r="C81" s="25" t="s">
        <v>335</v>
      </c>
      <c r="D81" s="25" t="s">
        <v>264</v>
      </c>
      <c r="E81" s="25" t="s">
        <v>628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>
      <c r="A82" s="25" t="s">
        <v>485</v>
      </c>
      <c r="B82" s="25" t="s">
        <v>264</v>
      </c>
      <c r="C82" s="25" t="s">
        <v>335</v>
      </c>
      <c r="D82" s="25" t="s">
        <v>264</v>
      </c>
      <c r="E82" s="25" t="s">
        <v>629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>
      <c r="A83" s="25" t="s">
        <v>485</v>
      </c>
      <c r="B83" s="25" t="s">
        <v>264</v>
      </c>
      <c r="C83" s="25" t="s">
        <v>335</v>
      </c>
      <c r="D83" s="25" t="s">
        <v>264</v>
      </c>
      <c r="E83" s="25" t="s">
        <v>630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>
      <c r="A84" s="25" t="s">
        <v>485</v>
      </c>
      <c r="B84" s="25" t="s">
        <v>264</v>
      </c>
      <c r="C84" s="25" t="s">
        <v>335</v>
      </c>
      <c r="D84" s="25" t="s">
        <v>264</v>
      </c>
      <c r="E84" s="25" t="s">
        <v>631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>
      <c r="A85" s="25" t="s">
        <v>485</v>
      </c>
      <c r="B85" s="25" t="s">
        <v>264</v>
      </c>
      <c r="C85" s="25" t="s">
        <v>335</v>
      </c>
      <c r="D85" s="25" t="s">
        <v>264</v>
      </c>
      <c r="E85" s="25" t="s">
        <v>632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>
      <c r="A86" s="25" t="s">
        <v>485</v>
      </c>
      <c r="B86" s="25" t="s">
        <v>264</v>
      </c>
      <c r="C86" s="25" t="s">
        <v>335</v>
      </c>
      <c r="D86" s="25" t="s">
        <v>264</v>
      </c>
      <c r="E86" s="25" t="s">
        <v>633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>
      <c r="A87" s="25" t="s">
        <v>485</v>
      </c>
      <c r="B87" s="25" t="s">
        <v>264</v>
      </c>
      <c r="C87" s="25" t="s">
        <v>335</v>
      </c>
      <c r="D87" s="25" t="s">
        <v>264</v>
      </c>
      <c r="E87" s="25" t="s">
        <v>634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>
      <c r="A88" s="25" t="s">
        <v>485</v>
      </c>
      <c r="B88" s="25" t="s">
        <v>264</v>
      </c>
      <c r="C88" s="25" t="s">
        <v>335</v>
      </c>
      <c r="D88" s="25" t="s">
        <v>264</v>
      </c>
      <c r="E88" s="25" t="s">
        <v>635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>
      <c r="A89" s="25" t="s">
        <v>485</v>
      </c>
      <c r="B89" s="25" t="s">
        <v>264</v>
      </c>
      <c r="C89" s="25" t="s">
        <v>335</v>
      </c>
      <c r="D89" s="25" t="s">
        <v>264</v>
      </c>
      <c r="E89" s="25" t="s">
        <v>636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>
      <c r="A90" s="25" t="s">
        <v>485</v>
      </c>
      <c r="B90" s="25" t="s">
        <v>264</v>
      </c>
      <c r="C90" s="25" t="s">
        <v>335</v>
      </c>
      <c r="D90" s="25" t="s">
        <v>264</v>
      </c>
      <c r="E90" s="25" t="s">
        <v>637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>
      <c r="A91" s="25" t="s">
        <v>485</v>
      </c>
      <c r="B91" s="25" t="s">
        <v>264</v>
      </c>
      <c r="C91" s="25" t="s">
        <v>335</v>
      </c>
      <c r="D91" s="25" t="s">
        <v>264</v>
      </c>
      <c r="E91" s="25" t="s">
        <v>638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>
      <c r="A92" s="25" t="s">
        <v>485</v>
      </c>
      <c r="B92" s="25" t="s">
        <v>264</v>
      </c>
      <c r="C92" s="25" t="s">
        <v>335</v>
      </c>
      <c r="D92" s="25" t="s">
        <v>264</v>
      </c>
      <c r="E92" s="25" t="s">
        <v>639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>
      <c r="A93" s="25" t="s">
        <v>485</v>
      </c>
      <c r="B93" s="25" t="s">
        <v>264</v>
      </c>
      <c r="C93" s="25" t="s">
        <v>335</v>
      </c>
      <c r="D93" s="25" t="s">
        <v>264</v>
      </c>
      <c r="E93" s="25" t="s">
        <v>640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>
      <c r="A94" s="25" t="s">
        <v>485</v>
      </c>
      <c r="B94" s="25" t="s">
        <v>264</v>
      </c>
      <c r="C94" s="25" t="s">
        <v>335</v>
      </c>
      <c r="D94" s="25" t="s">
        <v>264</v>
      </c>
      <c r="E94" s="25" t="s">
        <v>641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>
      <c r="A95" s="25" t="s">
        <v>485</v>
      </c>
      <c r="B95" s="25" t="s">
        <v>264</v>
      </c>
      <c r="C95" s="25" t="s">
        <v>335</v>
      </c>
      <c r="D95" s="25" t="s">
        <v>264</v>
      </c>
      <c r="E95" s="25" t="s">
        <v>642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>
      <c r="A96" s="25" t="s">
        <v>485</v>
      </c>
      <c r="B96" s="25" t="s">
        <v>264</v>
      </c>
      <c r="C96" s="25" t="s">
        <v>335</v>
      </c>
      <c r="D96" s="25" t="s">
        <v>264</v>
      </c>
      <c r="E96" s="25" t="s">
        <v>643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>
      <c r="A97" s="25" t="s">
        <v>485</v>
      </c>
      <c r="B97" s="25" t="s">
        <v>264</v>
      </c>
      <c r="C97" s="25" t="s">
        <v>335</v>
      </c>
      <c r="D97" s="25" t="s">
        <v>264</v>
      </c>
      <c r="E97" s="25" t="s">
        <v>644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>
      <c r="A98" s="25" t="s">
        <v>485</v>
      </c>
      <c r="B98" s="25" t="s">
        <v>264</v>
      </c>
      <c r="C98" s="25" t="s">
        <v>335</v>
      </c>
      <c r="D98" s="25" t="s">
        <v>264</v>
      </c>
      <c r="E98" s="25" t="s">
        <v>645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>
      <c r="A99" s="25" t="s">
        <v>485</v>
      </c>
      <c r="B99" s="25" t="s">
        <v>264</v>
      </c>
      <c r="C99" s="25" t="s">
        <v>335</v>
      </c>
      <c r="D99" s="25" t="s">
        <v>264</v>
      </c>
      <c r="E99" s="25" t="s">
        <v>646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>
      <c r="A100" s="25" t="s">
        <v>485</v>
      </c>
      <c r="B100" s="25" t="s">
        <v>264</v>
      </c>
      <c r="C100" s="25" t="s">
        <v>335</v>
      </c>
      <c r="D100" s="25" t="s">
        <v>264</v>
      </c>
      <c r="E100" s="25" t="s">
        <v>647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>
      <c r="A101" s="25" t="s">
        <v>485</v>
      </c>
      <c r="B101" s="25" t="s">
        <v>264</v>
      </c>
      <c r="C101" s="25" t="s">
        <v>335</v>
      </c>
      <c r="D101" s="25" t="s">
        <v>264</v>
      </c>
      <c r="E101" s="25" t="s">
        <v>648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2025-03-09T09:10:02Z</dcterms:modified>
</cp:coreProperties>
</file>