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7993BF40-CFC2-4EF6-A8F8-D8C31FA812D7}" xr6:coauthVersionLast="47" xr6:coauthVersionMax="47" xr10:uidLastSave="{00000000-0000-0000-0000-000000000000}"/>
  <bookViews>
    <workbookView xWindow="38280" yWindow="-120" windowWidth="38640" windowHeight="211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1" l="1"/>
  <c r="M14" i="11"/>
  <c r="M15" i="11"/>
  <c r="M16" i="11"/>
  <c r="M17" i="11"/>
  <c r="M18" i="11"/>
  <c r="M19" i="11"/>
  <c r="M20" i="11"/>
  <c r="M21" i="11"/>
  <c r="M22" i="11"/>
  <c r="M3" i="11"/>
  <c r="M4" i="11"/>
  <c r="M5" i="11"/>
  <c r="M6" i="11"/>
  <c r="M7" i="11"/>
  <c r="M8" i="11"/>
  <c r="M9" i="11"/>
  <c r="M10" i="11"/>
  <c r="M11" i="11"/>
  <c r="M12" i="11"/>
  <c r="M22" i="10"/>
  <c r="M12" i="10"/>
  <c r="M13" i="10"/>
  <c r="M14" i="10"/>
  <c r="M15" i="10"/>
  <c r="M16" i="10"/>
  <c r="M17" i="10"/>
  <c r="M18" i="10"/>
  <c r="M19" i="10"/>
  <c r="M20" i="10"/>
  <c r="M21" i="10"/>
  <c r="M18" i="8"/>
  <c r="M19" i="8"/>
  <c r="M20" i="8"/>
  <c r="M21" i="8"/>
  <c r="M2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29" i="11"/>
  <c r="C29" i="11"/>
  <c r="D28" i="11"/>
  <c r="L25" i="11"/>
  <c r="M2" i="11"/>
  <c r="L27" i="8" l="1"/>
  <c r="C28" i="11"/>
  <c r="J28" i="8"/>
  <c r="I28" i="8" s="1"/>
  <c r="J27" i="8"/>
  <c r="I27" i="8" s="1"/>
  <c r="D30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<sst xmlns="http://schemas.openxmlformats.org/spreadsheetml/2006/main" count="2208" uniqueCount="477">
  <si>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</si>
  <si>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</si>
  <si>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</si>
  <si>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</si>
  <si>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</si>
  <si>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</si>
  <si>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</si>
  <si>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</si>
  <si>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</si>
  <si>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</si>
  <si>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</si>
  <si>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</si>
  <si>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</si>
  <si>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</si>
  <si>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</si>
  <si>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</si>
  <si>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</si>
  <si>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</si>
  <si>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</si>
  <si>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</si>
  <si>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</si>
  <si>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</si>
  <si>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</si>
  <si>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</si>
  <si>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</si>
  <si>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</si>
  <si>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</si>
  <si>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</si>
  <si>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</si>
  <si>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</si>
  <si>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</si>
  <si>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</si>
  <si>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</si>
  <si>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</si>
  <si>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</si>
  <si>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</si>
  <si>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</si>
  <si>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</si>
  <si>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</si>
  <si>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</si>
  <si>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</si>
  <si>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</si>
  <si>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</si>
  <si>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</si>
  <si>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</si>
  <si>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</si>
  <si>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</si>
  <si>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</si>
  <si>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</si>
  <si>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</si>
  <si>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</si>
  <si>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</si>
  <si>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</si>
  <si>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</si>
  <si>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</si>
  <si>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</si>
  <si>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</si>
  <si>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</si>
  <si>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</si>
  <si>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</si>
  <si>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</si>
  <si>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</si>
  <si>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</si>
  <si>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</si>
  <si>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</si>
  <si>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</si>
  <si>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</si>
  <si>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</si>
  <si>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</si>
  <si>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</si>
  <si>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</si>
  <si>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</si>
  <si>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</si>
  <si>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</si>
  <si>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</si>
  <si>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</si>
  <si>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</si>
  <si>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</si>
  <si>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</si>
  <si>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</si>
  <si>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</si>
  <si>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</si>
  <si>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</si>
  <si>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</si>
  <si>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</si>
  <si>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</si>
  <si>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</si>
  <si>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</si>
  <si>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</si>
  <si>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</si>
  <si>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</si>
  <si>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</si>
  <si>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</si>
  <si>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</si>
  <si>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</si>
  <si>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</si>
  <si>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</si>
  <si>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</si>
  <si>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</si>
  <si>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</si>
  <si>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</si>
  <si>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</si>
  <si>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</si>
  <si>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</si>
  <si>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</si>
  <si>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</si>
  <si>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</si>
  <si>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</si>
  <si>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</si>
  <si>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</si>
  <si>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</si>
  <si>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</si>
  <si>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</si>
  <si>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</si>
  <si>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</si>
  <si>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</si>
  <si>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</si>
  <si>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</si>
  <si>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</si>
  <si>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</si>
  <si>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</si>
  <si>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</si>
  <si>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</si>
  <si>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</si>
  <si>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</si>
  <si>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</si>
  <si>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</si>
  <si>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</si>
  <si>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</si>
  <si>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</si>
  <si>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</si>
  <si>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</si>
  <si>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</si>
  <si>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</si>
  <si>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</si>
  <si>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</si>
  <si>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</si>
  <si>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</si>
  <si>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</si>
  <si>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</si>
  <si>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</si>
  <si>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</si>
  <si>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</si>
  <si>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</si>
  <si>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</si>
  <si>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</si>
  <si>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</si>
  <si>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</si>
  <si>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</si>
  <si>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</si>
  <si>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</si>
  <si>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</si>
  <si>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</si>
  <si>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</si>
  <si>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</si>
  <si>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</si>
  <si>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</si>
  <si>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</si>
  <si>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</si>
  <si>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</si>
  <si>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</si>
  <si>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</si>
  <si>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</si>
  <si>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</si>
  <si>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</si>
  <si>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</si>
  <si>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</si>
  <si>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</si>
  <si>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</si>
  <si>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</si>
  <si>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</si>
  <si>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</si>
  <si>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</si>
  <si>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</si>
  <si>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</si>
  <si>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</si>
  <si>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</si>
  <si>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</si>
  <si>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</si>
  <si>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</si>
  <si>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</si>
  <si>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</si>
  <si>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</si>
  <si>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</si>
  <si>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</si>
  <si>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</si>
  <si>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</si>
  <si>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</si>
  <si>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</si>
  <si>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</si>
  <si>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</si>
  <si>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</si>
  <si>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</si>
  <si>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</si>
  <si>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</si>
  <si>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</si>
  <si>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</si>
  <si>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</si>
  <si>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</si>
  <si>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</si>
  <si>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</si>
  <si>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</si>
  <si>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</si>
  <si>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</si>
  <si>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</si>
  <si>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</si>
  <si>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</si>
  <si>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</si>
  <si>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</si>
  <si>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</si>
  <si>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</si>
  <si>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</si>
  <si>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</si>
  <si>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</si>
  <si>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</si>
  <si>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</si>
  <si>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</si>
  <si>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</si>
  <si>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</si>
  <si>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</si>
  <si>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</si>
  <si>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</si>
  <si>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</si>
  <si>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</si>
  <si>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</si>
  <si>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</si>
  <si>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</si>
  <si>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</si>
  <si>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</si>
  <si>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</si>
  <si>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</si>
  <si>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</si>
  <si>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</si>
  <si>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</si>
  <si>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</si>
  <si>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</si>
  <si>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</si>
  <si>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</si>
  <si>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</si>
  <si>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</si>
  <si>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</si>
  <si>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</si>
  <si>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</si>
  <si>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</si>
  <si>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</si>
  <si>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</si>
  <si>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</si>
  <si>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</si>
  <si>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</si>
  <si>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</si>
  <si>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</si>
  <si>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</si>
  <si>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</si>
  <si>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</si>
  <si>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</si>
  <si>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</si>
  <si>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</si>
  <si>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</si>
  <si>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</si>
  <si>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</si>
  <si>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</si>
  <si>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</si>
  <si>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</si>
  <si>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</si>
  <si>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</si>
  <si>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</si>
  <si>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</si>
  <si>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</si>
  <si>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</si>
  <si>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</si>
  <si>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</si>
  <si>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</si>
  <si>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</si>
  <si>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</si>
  <si>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</si>
  <si>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</si>
  <si>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</si>
  <si>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</si>
  <si>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</si>
  <si>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</si>
  <si>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</si>
  <si>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</si>
  <si>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</si>
  <si>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</si>
  <si>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</si>
  <si>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</si>
  <si>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</si>
  <si>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</si>
  <si>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</si>
  <si>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</si>
  <si>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</si>
  <si>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</si>
  <si>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</si>
  <si>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</si>
  <si>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</si>
  <si>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</si>
  <si>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</si>
  <si>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</si>
  <si>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</si>
  <si>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</si>
  <si>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</si>
  <si>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</si>
  <si>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</si>
  <si>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</si>
  <si>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</si>
  <si>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</si>
  <si>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</si>
  <si>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</si>
  <si>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</si>
  <si>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</si>
  <si>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</si>
  <si>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</si>
  <si>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</si>
  <si>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</si>
  <si>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</si>
  <si>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</si>
  <si>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</si>
  <si>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</si>
  <si>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</si>
  <si>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</si>
  <si>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</si>
  <si>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</si>
  <si>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</si>
  <si>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</si>
  <si>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</si>
  <si>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</si>
  <si>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</si>
  <si>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</si>
  <si>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</si>
  <si>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</si>
  <si>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</si>
  <si>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</si>
  <si>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</si>
  <si>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</si>
  <si>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</si>
  <si>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</si>
  <si>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</si>
  <si>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</si>
  <si>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</si>
  <si>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</si>
  <si>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</si>
  <si>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</si>
  <si>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</si>
  <si>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</si>
  <si>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</si>
  <si>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</si>
  <si>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</si>
  <si>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</si>
  <si>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</si>
  <si>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</si>
  <si>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</si>
  <si>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</si>
  <si>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</si>
  <si>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</si>
  <si>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</si>
  <si>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</si>
  <si>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</si>
  <si>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</si>
  <si>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</si>
  <si>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</si>
  <si>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</si>
  <si>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</si>
  <si>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</si>
  <si>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</si>
  <si>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</si>
  <si>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</si>
  <si>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</si>
  <si>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</si>
  <si>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</si>
  <si>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</si>
  <si>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</si>
  <si>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</si>
  <si>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</si>
  <si>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</si>
  <si>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</si>
  <si>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</si>
  <si>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</si>
  <si>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</si>
  <si>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</si>
  <si>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</si>
  <si>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</si>
  <si>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</si>
  <si>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</si>
  <si>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</si>
  <si>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</si>
  <si>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</si>
  <si>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</si>
  <si>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</si>
  <si>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</si>
  <si>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</si>
  <si>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</si>
  <si>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</si>
  <si>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</si>
  <si>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</si>
  <si>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</si>
  <si>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</si>
  <si>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</si>
  <si>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</si>
  <si>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</si>
  <si>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</si>
  <si>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</si>
  <si>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</si>
  <si>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</si>
  <si>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</si>
  <si>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</si>
  <si>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</si>
  <si>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</si>
  <si>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</si>
  <si>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</si>
  <si>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</si>
  <si>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</si>
  <si>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</si>
  <si>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</si>
  <si>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</si>
  <si>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</si>
  <si>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</si>
  <si>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</si>
  <si>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</si>
  <si>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</si>
  <si>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</si>
  <si>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</si>
  <si>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</si>
  <si>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</si>
  <si>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</si>
  <si>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</si>
  <si>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</si>
  <si>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</si>
  <si>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</si>
  <si>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</si>
  <si>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</si>
  <si>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</si>
  <si>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</si>
  <si>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</si>
  <si>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</si>
  <si>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</si>
  <si>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</si>
  <si>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</si>
  <si>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</si>
  <si>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</si>
  <si>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</si>
  <si>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</si>
  <si>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</si>
  <si>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</si>
  <si>
    <t>s17</t>
  </si>
  <si>
    <t>s18</t>
  </si>
  <si>
    <t>s19</t>
  </si>
  <si>
    <t>s20</t>
  </si>
  <si>
    <t>s21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</si>
  <si>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</si>
  <si>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</si>
  <si>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</si>
  <si>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</si>
  <si>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</si>
  <si>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</si>
  <si>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</si>
  <si>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</si>
  <si>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</si>
  <si>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</si>
  <si>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</si>
  <si>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</si>
  <si>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</si>
  <si>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</si>
  <si>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</si>
  <si>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</si>
  <si>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</si>
  <si>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</si>
  <si>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</si>
  <si>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</si>
  <si>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</si>
  <si>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</si>
  <si>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</si>
  <si>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</si>
  <si>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</si>
  <si>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</si>
  <si>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</si>
  <si>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ref2</t>
    <phoneticPr fontId="19" type="noConversion"/>
  </si>
  <si>
    <t>ref1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</si>
</sst>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2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O25" totalsRowShown="0" headerRowDxfId="33" dataDxfId="32">
  <autoFilter ref="B2:O25" xr:uid="{123FB0B2-C50F-4FE7-93B5-DE95F922DE44}"/>
  <tableColumns count="14">
    <tableColumn id="1" xr3:uid="{89731D60-C8C9-47C7-B7A4-E2F5EF58BF21}" name="Formula" dataDxfId="31"/>
    <tableColumn id="2" xr3:uid="{9D6B4C5E-CA7C-4AE7-AB86-8D1849DE472E}" name="default" dataDxfId="30"/>
    <tableColumn id="3" xr3:uid="{8B96CB70-D422-4CD0-83FB-078E7C628187}" name="nonsan" dataDxfId="29"/>
    <tableColumn id="4" xr3:uid="{CCFAC7DF-2CE0-4E08-BE53-E84748DDA1A7}" name="daejeon" dataDxfId="28"/>
    <tableColumn id="5" xr3:uid="{366D5D7C-9532-44C4-A1D5-7BF125E25A9F}" name="yeonki" dataDxfId="27"/>
    <tableColumn id="6" xr3:uid="{1994D4E0-8A83-4EB4-B964-F7F509A24B92}" name="boryoung" dataDxfId="26"/>
    <tableColumn id="7" xr3:uid="{1706C14C-015E-415E-8A69-C36F6E711045}" name="dangjin" dataDxfId="25"/>
    <tableColumn id="8" xr3:uid="{A176E1D7-8F43-46CB-B588-387913D781D4}" name="seosan" dataDxfId="24"/>
    <tableColumn id="9" xr3:uid="{A4165988-557D-42A9-8139-6B9E8318D589}" name="yesan" dataDxfId="23"/>
    <tableColumn id="10" xr3:uid="{4892EC8C-4EC4-4A88-956F-2CD247B07208}" name="sejong" dataDxfId="22"/>
    <tableColumn id="11" xr3:uid="{D75235A8-F174-4AEE-A793-5FC36829F163}" name="buyeo" dataDxfId="21"/>
    <tableColumn id="12" xr3:uid="{58E0AE34-2F71-46BB-9CCF-7D53E63504B2}" name="gyeryoung" dataDxfId="20"/>
    <tableColumn id="13" xr3:uid="{CA577761-2495-424C-A8F2-28193AE236D7}" name="ref1" dataDxfId="1"/>
    <tableColumn id="14" xr3:uid="{4A3005B2-C79A-43D8-BFEC-48349F679AEC}" name="ref2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9" dataDxfId="18">
  <autoFilter ref="B2:L25" xr:uid="{123FB0B2-C50F-4FE7-93B5-DE95F922DE44}"/>
  <tableColumns count="11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9" xr3:uid="{E623F737-5ED8-43F6-8A98-C4D94B22FDBD}" name="def1" dataDxfId="8"/>
    <tableColumn id="10" xr3:uid="{AC06A800-65E7-4DF3-84A0-827BCEE82C60}" name="def2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6" dataDxfId="5">
  <autoFilter ref="C1:E55" xr:uid="{AD4C5E05-E960-4B79-9635-5A65688BA5DF}"/>
  <tableColumns count="3">
    <tableColumn id="1" xr3:uid="{B3B63425-4178-49D0-AE7E-46CF30A1CDA8}" name="key" dataDxfId="4"/>
    <tableColumn id="2" xr3:uid="{238E4E42-D0FF-426F-B3CC-0089504A20CC}" name="value" dataDxfId="3"/>
    <tableColumn id="3" xr3:uid="{47285310-1409-4A16-8098-1636AAD81DC4}" name="commen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O30"/>
  <sheetViews>
    <sheetView workbookViewId="0">
      <selection activeCell="O13" sqref="O13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5" ht="36" customHeight="1">
      <c r="B1" s="30" t="s">
        <v>217</v>
      </c>
    </row>
    <row r="2" spans="1:15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  <c r="N2" s="29" t="s">
        <v>476</v>
      </c>
      <c r="O2" s="29" t="s">
        <v>475</v>
      </c>
    </row>
    <row r="3" spans="1:15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  <c r="N3" s="29">
        <v>0.17299999999999999</v>
      </c>
      <c r="O3" s="29">
        <v>0.17299999999999999</v>
      </c>
    </row>
    <row r="4" spans="1:15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  <c r="N4" s="29">
        <v>0.21</v>
      </c>
      <c r="O4" s="29">
        <v>0.21</v>
      </c>
    </row>
    <row r="5" spans="1:15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  <c r="N5" s="29">
        <v>2.42</v>
      </c>
      <c r="O5" s="29">
        <v>2.42</v>
      </c>
    </row>
    <row r="6" spans="1:15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  <c r="N6" s="29">
        <v>3.1539999999999999</v>
      </c>
      <c r="O6" s="29">
        <v>3.1539999999999999</v>
      </c>
    </row>
    <row r="7" spans="1:15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  <c r="N7" s="29">
        <v>2.3E-2</v>
      </c>
      <c r="O7" s="29">
        <v>2.3E-2</v>
      </c>
    </row>
    <row r="8" spans="1:15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  <c r="N8" s="29">
        <v>7.9859999999999998</v>
      </c>
      <c r="O8" s="29">
        <v>7.9859999999999998</v>
      </c>
    </row>
    <row r="9" spans="1:15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  <c r="N9" s="29">
        <v>5.0000000000000001E-3</v>
      </c>
      <c r="O9" s="29">
        <v>5.0000000000000001E-3</v>
      </c>
    </row>
    <row r="10" spans="1:15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  <c r="N10" s="29">
        <v>0.17299999999999999</v>
      </c>
      <c r="O10" s="29">
        <v>0.17299999999999999</v>
      </c>
    </row>
    <row r="11" spans="1:15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  <c r="N11" s="29">
        <v>0.21</v>
      </c>
      <c r="O11" s="29">
        <v>0.21</v>
      </c>
    </row>
    <row r="12" spans="1:15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  <c r="N12" s="29">
        <v>7.13</v>
      </c>
      <c r="O12" s="29">
        <v>7.13</v>
      </c>
    </row>
    <row r="13" spans="1:15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  <c r="N13" s="29">
        <v>1E-3</v>
      </c>
      <c r="O13" s="29">
        <v>1E-3</v>
      </c>
    </row>
    <row r="14" spans="1:15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  <c r="N14" s="29">
        <v>5.66</v>
      </c>
      <c r="O14" s="29">
        <v>5.66</v>
      </c>
    </row>
    <row r="15" spans="1:15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  <c r="N15" s="29">
        <v>1.4E-2</v>
      </c>
      <c r="O15" s="29">
        <v>1.4E-2</v>
      </c>
    </row>
    <row r="16" spans="1:15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  <c r="N16" s="29">
        <v>1.98</v>
      </c>
      <c r="O16" s="29">
        <v>1.98</v>
      </c>
    </row>
    <row r="17" spans="1:15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  <c r="N17" s="29">
        <v>4.3999999999999997E-2</v>
      </c>
      <c r="O17" s="29">
        <v>4.3999999999999997E-2</v>
      </c>
    </row>
    <row r="18" spans="1:15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  <c r="N18" s="29">
        <v>2.7890000000000001</v>
      </c>
      <c r="O18" s="29">
        <v>2.7890000000000001</v>
      </c>
    </row>
    <row r="19" spans="1:15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  <c r="N19" s="29">
        <v>1.0999999999999999E-2</v>
      </c>
      <c r="O19" s="29">
        <v>1.0999999999999999E-2</v>
      </c>
    </row>
    <row r="20" spans="1:15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  <c r="N20" s="29">
        <v>3.48</v>
      </c>
      <c r="O20" s="29">
        <v>3.48</v>
      </c>
    </row>
    <row r="21" spans="1:15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  <c r="N21" s="29">
        <v>8.9999999999999993E-3</v>
      </c>
      <c r="O21" s="29">
        <v>8.9999999999999993E-3</v>
      </c>
    </row>
    <row r="22" spans="1:15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  <c r="N22" s="29">
        <v>4.7190000000000003</v>
      </c>
      <c r="O22" s="29">
        <v>4.7190000000000003</v>
      </c>
    </row>
    <row r="23" spans="1:15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  <c r="N23" s="29">
        <v>1E-3</v>
      </c>
      <c r="O23" s="29">
        <v>1E-3</v>
      </c>
    </row>
    <row r="24" spans="1:15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  <c r="N24" s="29">
        <v>5.492</v>
      </c>
      <c r="O24" s="29">
        <v>5.492</v>
      </c>
    </row>
    <row r="25" spans="1:15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  <c r="N25" s="29">
        <v>4.1000000000000002E-2</v>
      </c>
      <c r="O25" s="29">
        <v>4.1000000000000002E-2</v>
      </c>
    </row>
    <row r="26" spans="1:15" ht="20.100000000000001" customHeight="1"/>
    <row r="27" spans="1:15" ht="20.100000000000001" customHeight="1"/>
    <row r="28" spans="1:15" ht="20.100000000000001" customHeight="1"/>
    <row r="29" spans="1:15" ht="20.100000000000001" customHeight="1"/>
    <row r="30" spans="1:15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R16" sqref="R1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I2" s="2"/>
      <c r="J2" s="2"/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2.12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2.12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2.12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K9" s="2" t="s">
        <v>147</v>
      </c>
      <c r="L9" s="9">
        <v>2.12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2.12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2.12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2.12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2.12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2.12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2.12</v>
      </c>
      <c r="M17" s="2" t="str">
        <f t="shared" si="0"/>
        <v>신일동  번지</v>
      </c>
      <c r="S17" s="2" t="s">
        <v>11</v>
      </c>
    </row>
    <row r="18" spans="1:19" ht="21.75" customHeight="1">
      <c r="A18" s="2" t="s">
        <v>443</v>
      </c>
      <c r="B18" s="1" t="s">
        <v>22</v>
      </c>
      <c r="C18" s="2" t="s">
        <v>359</v>
      </c>
      <c r="D18" s="2" t="s">
        <v>361</v>
      </c>
      <c r="I18" s="2"/>
      <c r="J18" s="2"/>
      <c r="K18" s="2" t="s">
        <v>147</v>
      </c>
      <c r="L18" s="9">
        <v>2.12</v>
      </c>
      <c r="M18" s="2" t="str">
        <f t="shared" ref="M18:M22" si="1">D18&amp;" "&amp;E18&amp;" 번지"</f>
        <v>신일동  번지</v>
      </c>
      <c r="S18" s="2" t="s">
        <v>11</v>
      </c>
    </row>
    <row r="19" spans="1:19" ht="21.75" customHeight="1">
      <c r="A19" s="2" t="s">
        <v>444</v>
      </c>
      <c r="B19" s="1" t="s">
        <v>22</v>
      </c>
      <c r="C19" s="2" t="s">
        <v>359</v>
      </c>
      <c r="D19" s="2" t="s">
        <v>361</v>
      </c>
      <c r="I19" s="2"/>
      <c r="J19" s="2"/>
      <c r="K19" s="2" t="s">
        <v>147</v>
      </c>
      <c r="L19" s="9">
        <v>2.12</v>
      </c>
      <c r="M19" s="2" t="str">
        <f t="shared" si="1"/>
        <v>신일동  번지</v>
      </c>
      <c r="S19" s="2" t="s">
        <v>11</v>
      </c>
    </row>
    <row r="20" spans="1:19" ht="21.75" customHeight="1">
      <c r="A20" s="2" t="s">
        <v>445</v>
      </c>
      <c r="B20" s="1" t="s">
        <v>22</v>
      </c>
      <c r="C20" s="2" t="s">
        <v>359</v>
      </c>
      <c r="D20" s="2" t="s">
        <v>361</v>
      </c>
      <c r="I20" s="2"/>
      <c r="J20" s="2"/>
      <c r="K20" s="2" t="s">
        <v>147</v>
      </c>
      <c r="L20" s="9">
        <v>2.12</v>
      </c>
      <c r="M20" s="2" t="str">
        <f t="shared" si="1"/>
        <v>신일동  번지</v>
      </c>
      <c r="S20" s="2" t="s">
        <v>11</v>
      </c>
    </row>
    <row r="21" spans="1:19" ht="21.75" customHeight="1">
      <c r="A21" s="2" t="s">
        <v>446</v>
      </c>
      <c r="B21" s="1" t="s">
        <v>22</v>
      </c>
      <c r="C21" s="2" t="s">
        <v>359</v>
      </c>
      <c r="D21" s="2" t="s">
        <v>361</v>
      </c>
      <c r="I21" s="2"/>
      <c r="J21" s="2"/>
      <c r="K21" s="2" t="s">
        <v>147</v>
      </c>
      <c r="L21" s="9">
        <v>2.12</v>
      </c>
      <c r="M21" s="2" t="str">
        <f t="shared" si="1"/>
        <v>신일동  번지</v>
      </c>
      <c r="S21" s="2" t="s">
        <v>11</v>
      </c>
    </row>
    <row r="22" spans="1:19" ht="21.75" customHeight="1">
      <c r="A22" s="2" t="s">
        <v>447</v>
      </c>
      <c r="B22" s="1" t="s">
        <v>22</v>
      </c>
      <c r="C22" s="2" t="s">
        <v>359</v>
      </c>
      <c r="D22" s="2" t="s">
        <v>361</v>
      </c>
      <c r="I22" s="2"/>
      <c r="J22" s="2"/>
      <c r="K22" s="2" t="s">
        <v>147</v>
      </c>
      <c r="L22" s="9">
        <v>2.12</v>
      </c>
      <c r="M22" s="2" t="str">
        <f t="shared" si="1"/>
        <v>신일동  번지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253</v>
      </c>
      <c r="C26" s="47" t="s">
        <v>254</v>
      </c>
      <c r="D26" s="48"/>
      <c r="E26" s="47" t="s">
        <v>257</v>
      </c>
      <c r="F26" s="48"/>
      <c r="G26" s="47" t="s">
        <v>258</v>
      </c>
      <c r="H26" s="48"/>
      <c r="I26" s="47" t="s">
        <v>259</v>
      </c>
      <c r="J26" s="49"/>
      <c r="K26" s="2" t="s">
        <v>33</v>
      </c>
      <c r="L26" s="44">
        <f ca="1">SUM_SS</f>
        <v>35.880000000000003</v>
      </c>
    </row>
    <row r="27" spans="1:19" ht="21.75" customHeight="1">
      <c r="B27" s="15" t="s">
        <v>255</v>
      </c>
      <c r="C27" s="12">
        <f ca="1">E27+G27+I27</f>
        <v>42</v>
      </c>
      <c r="D27" s="12">
        <f ca="1">F27+H27+J27</f>
        <v>128.97999999999996</v>
      </c>
      <c r="E27" s="12">
        <f ca="1">IF(F27=0,0,COUNTIF(SS_INSIDE_AREA,"O"))</f>
        <v>21</v>
      </c>
      <c r="F27" s="12">
        <f ca="1">SUMIF(SS_INSIDE_AREA,"O",$L$2:$L$2)</f>
        <v>35.880000000000003</v>
      </c>
      <c r="G27" s="12">
        <f ca="1">IF(H27=0,0,COUNTIF(AA_INSIDE_AREA,"O"))</f>
        <v>21</v>
      </c>
      <c r="H27" s="12">
        <f ca="1">aa!$D$26</f>
        <v>93.099999999999966</v>
      </c>
      <c r="I27" s="12">
        <f ca="1">IF(J27=0,0,COUNTIF(II_INSIDE_AREA,"O"))</f>
        <v>0</v>
      </c>
      <c r="J27" s="16">
        <f ca="1">ii!$D$28</f>
        <v>0</v>
      </c>
      <c r="K27" s="2" t="s">
        <v>30</v>
      </c>
      <c r="L27" s="43">
        <f ca="1">L26+aa!D26+ii!L25</f>
        <v>128.97999999999996</v>
      </c>
    </row>
    <row r="28" spans="1:19" ht="21.75" customHeight="1" thickBot="1">
      <c r="B28" s="11" t="s">
        <v>256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ii!$D$29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128.97999999999996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F19" sqref="F19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K2" s="2" t="s">
        <v>329</v>
      </c>
      <c r="L2" s="2">
        <v>1.98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I3" s="5"/>
      <c r="J3" s="5"/>
      <c r="K3" s="2" t="s">
        <v>365</v>
      </c>
      <c r="L3" s="2">
        <v>5.66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5.66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1.98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1.98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K7" s="2" t="s">
        <v>329</v>
      </c>
      <c r="L7" s="2">
        <v>1.98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1.98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K9" s="2" t="s">
        <v>329</v>
      </c>
      <c r="L9" s="2">
        <v>1.98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1.98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5.66</v>
      </c>
      <c r="M11" s="2" t="str">
        <f t="shared" si="0"/>
        <v>신일동  번지</v>
      </c>
      <c r="S11" s="2" t="s">
        <v>11</v>
      </c>
    </row>
    <row r="12" spans="1:19" ht="21.75" customHeight="1">
      <c r="A12" s="1" t="s">
        <v>448</v>
      </c>
      <c r="B12" s="1" t="s">
        <v>2</v>
      </c>
      <c r="C12" s="2" t="s">
        <v>359</v>
      </c>
      <c r="D12" s="2" t="s">
        <v>361</v>
      </c>
      <c r="E12" s="7"/>
      <c r="K12" s="2" t="s">
        <v>365</v>
      </c>
      <c r="L12" s="2">
        <v>5.66</v>
      </c>
      <c r="M12" s="2" t="str">
        <f t="shared" ref="M12:M21" si="1">D12&amp;" "&amp;E12&amp;" 번지"</f>
        <v>신일동  번지</v>
      </c>
      <c r="S12" s="2" t="s">
        <v>11</v>
      </c>
    </row>
    <row r="13" spans="1:19" ht="21.75" customHeight="1">
      <c r="A13" s="1" t="s">
        <v>449</v>
      </c>
      <c r="B13" s="1" t="s">
        <v>2</v>
      </c>
      <c r="C13" s="2" t="s">
        <v>359</v>
      </c>
      <c r="D13" s="2" t="s">
        <v>361</v>
      </c>
      <c r="E13" s="7"/>
      <c r="K13" s="2" t="s">
        <v>365</v>
      </c>
      <c r="L13" s="2">
        <v>5.66</v>
      </c>
      <c r="M13" s="2" t="str">
        <f t="shared" si="1"/>
        <v>신일동  번지</v>
      </c>
      <c r="S13" s="2" t="s">
        <v>11</v>
      </c>
    </row>
    <row r="14" spans="1:19" ht="21.75" customHeight="1">
      <c r="A14" s="1" t="s">
        <v>450</v>
      </c>
      <c r="B14" s="1" t="s">
        <v>2</v>
      </c>
      <c r="C14" s="2" t="s">
        <v>359</v>
      </c>
      <c r="D14" s="2" t="s">
        <v>361</v>
      </c>
      <c r="E14" s="7"/>
      <c r="K14" s="2" t="s">
        <v>365</v>
      </c>
      <c r="L14" s="2">
        <v>5.66</v>
      </c>
      <c r="M14" s="2" t="str">
        <f t="shared" si="1"/>
        <v>신일동  번지</v>
      </c>
      <c r="S14" s="2" t="s">
        <v>11</v>
      </c>
    </row>
    <row r="15" spans="1:19" ht="21.75" customHeight="1">
      <c r="A15" s="1" t="s">
        <v>451</v>
      </c>
      <c r="B15" s="1" t="s">
        <v>2</v>
      </c>
      <c r="C15" s="2" t="s">
        <v>359</v>
      </c>
      <c r="D15" s="2" t="s">
        <v>361</v>
      </c>
      <c r="E15" s="7"/>
      <c r="K15" s="2" t="s">
        <v>365</v>
      </c>
      <c r="L15" s="2">
        <v>5.66</v>
      </c>
      <c r="M15" s="2" t="str">
        <f t="shared" si="1"/>
        <v>신일동  번지</v>
      </c>
      <c r="S15" s="2" t="s">
        <v>11</v>
      </c>
    </row>
    <row r="16" spans="1:19" ht="21.75" customHeight="1">
      <c r="A16" s="1" t="s">
        <v>452</v>
      </c>
      <c r="B16" s="1" t="s">
        <v>2</v>
      </c>
      <c r="C16" s="2" t="s">
        <v>359</v>
      </c>
      <c r="D16" s="2" t="s">
        <v>361</v>
      </c>
      <c r="E16" s="7"/>
      <c r="K16" s="2" t="s">
        <v>365</v>
      </c>
      <c r="L16" s="2">
        <v>5.66</v>
      </c>
      <c r="M16" s="2" t="str">
        <f t="shared" si="1"/>
        <v>신일동  번지</v>
      </c>
      <c r="S16" s="2" t="s">
        <v>11</v>
      </c>
    </row>
    <row r="17" spans="1:19" ht="21.75" customHeight="1">
      <c r="A17" s="1" t="s">
        <v>453</v>
      </c>
      <c r="B17" s="1" t="s">
        <v>2</v>
      </c>
      <c r="C17" s="2" t="s">
        <v>359</v>
      </c>
      <c r="D17" s="2" t="s">
        <v>361</v>
      </c>
      <c r="E17" s="7"/>
      <c r="K17" s="2" t="s">
        <v>365</v>
      </c>
      <c r="L17" s="2">
        <v>5.66</v>
      </c>
      <c r="M17" s="2" t="str">
        <f t="shared" si="1"/>
        <v>신일동  번지</v>
      </c>
      <c r="S17" s="2" t="s">
        <v>11</v>
      </c>
    </row>
    <row r="18" spans="1:19" ht="21.75" customHeight="1">
      <c r="A18" s="1" t="s">
        <v>454</v>
      </c>
      <c r="B18" s="1" t="s">
        <v>2</v>
      </c>
      <c r="C18" s="2" t="s">
        <v>359</v>
      </c>
      <c r="D18" s="2" t="s">
        <v>361</v>
      </c>
      <c r="E18" s="7"/>
      <c r="K18" s="2" t="s">
        <v>365</v>
      </c>
      <c r="L18" s="2">
        <v>5.66</v>
      </c>
      <c r="M18" s="2" t="str">
        <f t="shared" si="1"/>
        <v>신일동  번지</v>
      </c>
      <c r="S18" s="2" t="s">
        <v>11</v>
      </c>
    </row>
    <row r="19" spans="1:19" ht="21.75" customHeight="1">
      <c r="A19" s="1" t="s">
        <v>455</v>
      </c>
      <c r="B19" s="1" t="s">
        <v>2</v>
      </c>
      <c r="C19" s="2" t="s">
        <v>359</v>
      </c>
      <c r="D19" s="2" t="s">
        <v>361</v>
      </c>
      <c r="E19" s="7"/>
      <c r="K19" s="2" t="s">
        <v>365</v>
      </c>
      <c r="L19" s="2">
        <v>5.66</v>
      </c>
      <c r="M19" s="2" t="str">
        <f t="shared" si="1"/>
        <v>신일동  번지</v>
      </c>
      <c r="S19" s="2" t="s">
        <v>11</v>
      </c>
    </row>
    <row r="20" spans="1:19" ht="21.75" customHeight="1">
      <c r="A20" s="1" t="s">
        <v>456</v>
      </c>
      <c r="B20" s="1" t="s">
        <v>2</v>
      </c>
      <c r="C20" s="2" t="s">
        <v>359</v>
      </c>
      <c r="D20" s="2" t="s">
        <v>361</v>
      </c>
      <c r="E20" s="7"/>
      <c r="K20" s="2" t="s">
        <v>365</v>
      </c>
      <c r="L20" s="2">
        <v>5.66</v>
      </c>
      <c r="M20" s="2" t="str">
        <f t="shared" si="1"/>
        <v>신일동  번지</v>
      </c>
      <c r="S20" s="2" t="s">
        <v>11</v>
      </c>
    </row>
    <row r="21" spans="1:19" ht="21.75" customHeight="1">
      <c r="A21" s="1" t="s">
        <v>457</v>
      </c>
      <c r="B21" s="1" t="s">
        <v>2</v>
      </c>
      <c r="C21" s="2" t="s">
        <v>359</v>
      </c>
      <c r="D21" s="2" t="s">
        <v>361</v>
      </c>
      <c r="E21" s="7"/>
      <c r="K21" s="2" t="s">
        <v>365</v>
      </c>
      <c r="L21" s="2">
        <v>5.66</v>
      </c>
      <c r="M21" s="2" t="str">
        <f t="shared" si="1"/>
        <v>신일동  번지</v>
      </c>
      <c r="S21" s="2" t="s">
        <v>11</v>
      </c>
    </row>
    <row r="22" spans="1:19" ht="21.75" customHeight="1">
      <c r="A22" s="1" t="s">
        <v>458</v>
      </c>
      <c r="B22" s="1" t="s">
        <v>2</v>
      </c>
      <c r="C22" s="2" t="s">
        <v>359</v>
      </c>
      <c r="D22" s="2" t="s">
        <v>361</v>
      </c>
      <c r="E22" s="7"/>
      <c r="K22" s="2" t="s">
        <v>365</v>
      </c>
      <c r="L22" s="2">
        <v>5.66</v>
      </c>
      <c r="M22" s="2" t="str">
        <f t="shared" ref="M22" si="2">D22&amp;" "&amp;E22&amp;" 번지"</f>
        <v>신일동  번지</v>
      </c>
      <c r="S22" s="2" t="s">
        <v>11</v>
      </c>
    </row>
    <row r="23" spans="1:19" ht="21.75" customHeight="1">
      <c r="A23" s="1"/>
      <c r="B23" s="1"/>
      <c r="E23" s="7"/>
    </row>
    <row r="24" spans="1:19" ht="21.75" customHeight="1" thickBot="1">
      <c r="A24" s="1"/>
      <c r="B24" s="1"/>
      <c r="E24" s="7"/>
    </row>
    <row r="25" spans="1:19" ht="21.75" customHeight="1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93.099999999999966</v>
      </c>
    </row>
    <row r="27" spans="1:19" ht="21.75" customHeight="1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6"/>
    </row>
    <row r="28" spans="1:19" ht="21.75" customHeight="1" thickBot="1">
      <c r="B28" s="11"/>
      <c r="C28" s="17"/>
      <c r="D28" s="18">
        <f ca="1">D26+D27</f>
        <v>93.099999999999966</v>
      </c>
      <c r="L28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70"/>
  <sheetViews>
    <sheetView workbookViewId="0">
      <selection activeCell="L16" sqref="L16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360</v>
      </c>
      <c r="D3" s="2" t="s">
        <v>362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12" si="0">D3&amp;" "&amp;E3&amp;" 번지"</f>
        <v>신일동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360</v>
      </c>
      <c r="D4" s="2" t="s">
        <v>362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신일동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360</v>
      </c>
      <c r="D5" s="2" t="s">
        <v>362</v>
      </c>
      <c r="E5" s="4"/>
      <c r="F5" s="2"/>
      <c r="G5" s="2"/>
      <c r="H5" s="2"/>
      <c r="I5" s="2"/>
      <c r="J5" s="2"/>
      <c r="K5" s="2" t="s">
        <v>153</v>
      </c>
      <c r="L5" s="2">
        <v>0</v>
      </c>
      <c r="M5" s="2" t="str">
        <f t="shared" si="0"/>
        <v>신일동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360</v>
      </c>
      <c r="D6" s="2" t="s">
        <v>362</v>
      </c>
      <c r="E6" s="4"/>
      <c r="F6" s="2"/>
      <c r="G6" s="2"/>
      <c r="H6" s="2"/>
      <c r="I6" s="2"/>
      <c r="J6" s="2"/>
      <c r="K6" s="2" t="s">
        <v>153</v>
      </c>
      <c r="L6" s="2">
        <v>0</v>
      </c>
      <c r="M6" s="2" t="str">
        <f t="shared" si="0"/>
        <v>신일동  번지</v>
      </c>
      <c r="N6" s="2"/>
      <c r="O6" s="2"/>
      <c r="P6" s="2"/>
      <c r="Q6" s="2"/>
      <c r="R6" s="2"/>
      <c r="S6" s="2" t="s">
        <v>11</v>
      </c>
    </row>
    <row r="7" spans="1:19" ht="21.75" customHeight="1">
      <c r="A7" s="5" t="s">
        <v>459</v>
      </c>
      <c r="B7" s="1" t="s">
        <v>2</v>
      </c>
      <c r="C7" s="2" t="s">
        <v>360</v>
      </c>
      <c r="D7" s="2" t="s">
        <v>362</v>
      </c>
      <c r="E7" s="4"/>
      <c r="F7" s="2"/>
      <c r="G7" s="2"/>
      <c r="H7" s="2"/>
      <c r="I7" s="2"/>
      <c r="J7" s="2"/>
      <c r="K7" s="2" t="s">
        <v>153</v>
      </c>
      <c r="L7" s="2">
        <v>0</v>
      </c>
      <c r="M7" s="2" t="str">
        <f t="shared" si="0"/>
        <v>신일동  번지</v>
      </c>
      <c r="N7" s="2"/>
      <c r="O7" s="2"/>
      <c r="P7" s="2"/>
      <c r="Q7" s="2"/>
      <c r="R7" s="2"/>
      <c r="S7" s="2" t="s">
        <v>11</v>
      </c>
    </row>
    <row r="8" spans="1:19" ht="21.75" customHeight="1">
      <c r="A8" s="5" t="s">
        <v>460</v>
      </c>
      <c r="B8" s="1" t="s">
        <v>2</v>
      </c>
      <c r="C8" s="2" t="s">
        <v>360</v>
      </c>
      <c r="D8" s="2" t="s">
        <v>362</v>
      </c>
      <c r="E8" s="4"/>
      <c r="F8" s="2"/>
      <c r="G8" s="2"/>
      <c r="H8" s="2"/>
      <c r="I8" s="2"/>
      <c r="J8" s="2"/>
      <c r="K8" s="2" t="s">
        <v>153</v>
      </c>
      <c r="L8" s="2">
        <v>0</v>
      </c>
      <c r="M8" s="2" t="str">
        <f t="shared" si="0"/>
        <v>신일동  번지</v>
      </c>
      <c r="N8" s="2"/>
      <c r="O8" s="2"/>
      <c r="P8" s="2"/>
      <c r="Q8" s="2"/>
      <c r="R8" s="2"/>
      <c r="S8" s="2" t="s">
        <v>11</v>
      </c>
    </row>
    <row r="9" spans="1:19" ht="21.75" customHeight="1">
      <c r="A9" s="5" t="s">
        <v>461</v>
      </c>
      <c r="B9" s="1" t="s">
        <v>2</v>
      </c>
      <c r="C9" s="2" t="s">
        <v>360</v>
      </c>
      <c r="D9" s="2" t="s">
        <v>362</v>
      </c>
      <c r="E9" s="4"/>
      <c r="F9" s="2"/>
      <c r="G9" s="2"/>
      <c r="H9" s="2"/>
      <c r="I9" s="2"/>
      <c r="J9" s="2"/>
      <c r="K9" s="2" t="s">
        <v>153</v>
      </c>
      <c r="L9" s="2">
        <v>0</v>
      </c>
      <c r="M9" s="2" t="str">
        <f t="shared" si="0"/>
        <v>신일동  번지</v>
      </c>
      <c r="N9" s="2"/>
      <c r="O9" s="2"/>
      <c r="P9" s="2"/>
      <c r="Q9" s="2"/>
      <c r="R9" s="2"/>
      <c r="S9" s="2" t="s">
        <v>11</v>
      </c>
    </row>
    <row r="10" spans="1:19" ht="21.75" customHeight="1">
      <c r="A10" s="5" t="s">
        <v>462</v>
      </c>
      <c r="B10" s="1" t="s">
        <v>2</v>
      </c>
      <c r="C10" s="2" t="s">
        <v>360</v>
      </c>
      <c r="D10" s="2" t="s">
        <v>362</v>
      </c>
      <c r="E10" s="4"/>
      <c r="F10" s="2"/>
      <c r="G10" s="2"/>
      <c r="H10" s="2"/>
      <c r="I10" s="2"/>
      <c r="J10" s="2"/>
      <c r="K10" s="2" t="s">
        <v>153</v>
      </c>
      <c r="L10" s="2">
        <v>0</v>
      </c>
      <c r="M10" s="2" t="str">
        <f t="shared" si="0"/>
        <v>신일동  번지</v>
      </c>
      <c r="N10" s="2"/>
      <c r="O10" s="2"/>
      <c r="P10" s="2"/>
      <c r="Q10" s="2"/>
      <c r="R10" s="2"/>
      <c r="S10" s="2" t="s">
        <v>11</v>
      </c>
    </row>
    <row r="11" spans="1:19" ht="21.75" customHeight="1">
      <c r="A11" s="5" t="s">
        <v>463</v>
      </c>
      <c r="B11" s="1" t="s">
        <v>2</v>
      </c>
      <c r="C11" s="2" t="s">
        <v>360</v>
      </c>
      <c r="D11" s="2" t="s">
        <v>362</v>
      </c>
      <c r="E11" s="4"/>
      <c r="F11" s="2"/>
      <c r="G11" s="2"/>
      <c r="H11" s="2"/>
      <c r="I11" s="2"/>
      <c r="J11" s="2"/>
      <c r="K11" s="2" t="s">
        <v>153</v>
      </c>
      <c r="L11" s="2">
        <v>0</v>
      </c>
      <c r="M11" s="2" t="str">
        <f t="shared" si="0"/>
        <v>신일동  번지</v>
      </c>
      <c r="N11" s="2"/>
      <c r="O11" s="2"/>
      <c r="P11" s="2"/>
      <c r="Q11" s="2"/>
      <c r="R11" s="2"/>
      <c r="S11" s="2" t="s">
        <v>11</v>
      </c>
    </row>
    <row r="12" spans="1:19" ht="21.75" customHeight="1">
      <c r="A12" s="5" t="s">
        <v>464</v>
      </c>
      <c r="B12" s="1" t="s">
        <v>2</v>
      </c>
      <c r="C12" s="2" t="s">
        <v>360</v>
      </c>
      <c r="D12" s="2" t="s">
        <v>362</v>
      </c>
      <c r="E12" s="4"/>
      <c r="F12" s="2"/>
      <c r="G12" s="2"/>
      <c r="H12" s="2"/>
      <c r="I12" s="2"/>
      <c r="J12" s="2"/>
      <c r="K12" s="2" t="s">
        <v>153</v>
      </c>
      <c r="L12" s="2">
        <v>0</v>
      </c>
      <c r="M12" s="2" t="str">
        <f t="shared" si="0"/>
        <v>신일동  번지</v>
      </c>
      <c r="N12" s="2"/>
      <c r="O12" s="2"/>
      <c r="P12" s="2"/>
      <c r="Q12" s="2"/>
      <c r="R12" s="2"/>
      <c r="S12" s="2" t="s">
        <v>11</v>
      </c>
    </row>
    <row r="13" spans="1:19" ht="21.75" customHeight="1">
      <c r="A13" s="5" t="s">
        <v>465</v>
      </c>
      <c r="B13" s="1" t="s">
        <v>2</v>
      </c>
      <c r="C13" s="2" t="s">
        <v>360</v>
      </c>
      <c r="D13" s="2" t="s">
        <v>362</v>
      </c>
      <c r="E13" s="4"/>
      <c r="F13" s="2"/>
      <c r="G13" s="2"/>
      <c r="H13" s="2"/>
      <c r="I13" s="2"/>
      <c r="J13" s="2"/>
      <c r="K13" s="2" t="s">
        <v>153</v>
      </c>
      <c r="L13" s="2">
        <v>0</v>
      </c>
      <c r="M13" s="2" t="str">
        <f t="shared" ref="M13:M22" si="1">D13&amp;" "&amp;E13&amp;" 번지"</f>
        <v>신일동  번지</v>
      </c>
      <c r="N13" s="2"/>
      <c r="O13" s="2"/>
      <c r="P13" s="2"/>
      <c r="Q13" s="2"/>
      <c r="R13" s="2"/>
      <c r="S13" s="2" t="s">
        <v>11</v>
      </c>
    </row>
    <row r="14" spans="1:19" ht="21.75" customHeight="1">
      <c r="A14" s="5" t="s">
        <v>466</v>
      </c>
      <c r="B14" s="1" t="s">
        <v>2</v>
      </c>
      <c r="C14" s="2" t="s">
        <v>360</v>
      </c>
      <c r="D14" s="2" t="s">
        <v>362</v>
      </c>
      <c r="E14" s="4"/>
      <c r="F14" s="2"/>
      <c r="G14" s="2"/>
      <c r="H14" s="2"/>
      <c r="I14" s="2"/>
      <c r="J14" s="2"/>
      <c r="K14" s="2" t="s">
        <v>153</v>
      </c>
      <c r="L14" s="2">
        <v>0</v>
      </c>
      <c r="M14" s="2" t="str">
        <f t="shared" si="1"/>
        <v>신일동  번지</v>
      </c>
      <c r="N14" s="2"/>
      <c r="O14" s="2"/>
      <c r="P14" s="2"/>
      <c r="Q14" s="2"/>
      <c r="R14" s="2"/>
      <c r="S14" s="2" t="s">
        <v>11</v>
      </c>
    </row>
    <row r="15" spans="1:19" ht="21.75" customHeight="1">
      <c r="A15" s="5" t="s">
        <v>467</v>
      </c>
      <c r="B15" s="1" t="s">
        <v>2</v>
      </c>
      <c r="C15" s="2" t="s">
        <v>360</v>
      </c>
      <c r="D15" s="2" t="s">
        <v>362</v>
      </c>
      <c r="E15" s="4"/>
      <c r="F15" s="2"/>
      <c r="G15" s="2"/>
      <c r="H15" s="2"/>
      <c r="I15" s="2"/>
      <c r="J15" s="2"/>
      <c r="K15" s="2" t="s">
        <v>153</v>
      </c>
      <c r="L15" s="2">
        <v>0</v>
      </c>
      <c r="M15" s="2" t="str">
        <f t="shared" si="1"/>
        <v>신일동  번지</v>
      </c>
      <c r="N15" s="2"/>
      <c r="O15" s="2"/>
      <c r="P15" s="2"/>
      <c r="Q15" s="2"/>
      <c r="R15" s="2"/>
      <c r="S15" s="2" t="s">
        <v>11</v>
      </c>
    </row>
    <row r="16" spans="1:19" ht="21.75" customHeight="1">
      <c r="A16" s="5" t="s">
        <v>468</v>
      </c>
      <c r="B16" s="1" t="s">
        <v>2</v>
      </c>
      <c r="C16" s="2" t="s">
        <v>360</v>
      </c>
      <c r="D16" s="2" t="s">
        <v>362</v>
      </c>
      <c r="E16" s="4"/>
      <c r="F16" s="2"/>
      <c r="G16" s="2"/>
      <c r="H16" s="2"/>
      <c r="I16" s="2"/>
      <c r="J16" s="2"/>
      <c r="K16" s="2" t="s">
        <v>153</v>
      </c>
      <c r="L16" s="2">
        <v>0</v>
      </c>
      <c r="M16" s="2" t="str">
        <f t="shared" si="1"/>
        <v>신일동  번지</v>
      </c>
      <c r="N16" s="2"/>
      <c r="O16" s="2"/>
      <c r="P16" s="2"/>
      <c r="Q16" s="2"/>
      <c r="R16" s="2"/>
      <c r="S16" s="2" t="s">
        <v>11</v>
      </c>
    </row>
    <row r="17" spans="1:19" ht="21.75" customHeight="1">
      <c r="A17" s="5" t="s">
        <v>469</v>
      </c>
      <c r="B17" s="1" t="s">
        <v>2</v>
      </c>
      <c r="C17" s="2" t="s">
        <v>360</v>
      </c>
      <c r="D17" s="2" t="s">
        <v>362</v>
      </c>
      <c r="E17" s="4"/>
      <c r="F17" s="2"/>
      <c r="G17" s="2"/>
      <c r="H17" s="2"/>
      <c r="I17" s="2"/>
      <c r="J17" s="2"/>
      <c r="K17" s="2" t="s">
        <v>153</v>
      </c>
      <c r="L17" s="2">
        <v>0</v>
      </c>
      <c r="M17" s="2" t="str">
        <f t="shared" si="1"/>
        <v>신일동  번지</v>
      </c>
      <c r="N17" s="2"/>
      <c r="O17" s="2"/>
      <c r="P17" s="2"/>
      <c r="Q17" s="2"/>
      <c r="R17" s="2"/>
      <c r="S17" s="2" t="s">
        <v>11</v>
      </c>
    </row>
    <row r="18" spans="1:19" ht="21.75" customHeight="1">
      <c r="A18" s="5" t="s">
        <v>470</v>
      </c>
      <c r="B18" s="1" t="s">
        <v>2</v>
      </c>
      <c r="C18" s="2" t="s">
        <v>360</v>
      </c>
      <c r="D18" s="2" t="s">
        <v>362</v>
      </c>
      <c r="E18" s="4"/>
      <c r="F18" s="2"/>
      <c r="G18" s="2"/>
      <c r="H18" s="2"/>
      <c r="I18" s="2"/>
      <c r="J18" s="2"/>
      <c r="K18" s="2" t="s">
        <v>153</v>
      </c>
      <c r="L18" s="2">
        <v>0</v>
      </c>
      <c r="M18" s="2" t="str">
        <f t="shared" si="1"/>
        <v>신일동  번지</v>
      </c>
      <c r="N18" s="2"/>
      <c r="O18" s="2"/>
      <c r="P18" s="2"/>
      <c r="Q18" s="2"/>
      <c r="R18" s="2"/>
      <c r="S18" s="2" t="s">
        <v>11</v>
      </c>
    </row>
    <row r="19" spans="1:19" ht="21.75" customHeight="1">
      <c r="A19" s="5" t="s">
        <v>471</v>
      </c>
      <c r="B19" s="1" t="s">
        <v>2</v>
      </c>
      <c r="C19" s="2" t="s">
        <v>360</v>
      </c>
      <c r="D19" s="2" t="s">
        <v>362</v>
      </c>
      <c r="E19" s="4"/>
      <c r="F19" s="2"/>
      <c r="G19" s="2"/>
      <c r="H19" s="2"/>
      <c r="I19" s="2"/>
      <c r="J19" s="2"/>
      <c r="K19" s="2" t="s">
        <v>153</v>
      </c>
      <c r="L19" s="2">
        <v>0</v>
      </c>
      <c r="M19" s="2" t="str">
        <f t="shared" si="1"/>
        <v>신일동  번지</v>
      </c>
      <c r="N19" s="2"/>
      <c r="O19" s="2"/>
      <c r="P19" s="2"/>
      <c r="Q19" s="2"/>
      <c r="R19" s="2"/>
      <c r="S19" s="2" t="s">
        <v>11</v>
      </c>
    </row>
    <row r="20" spans="1:19" ht="21.75" customHeight="1">
      <c r="A20" s="5" t="s">
        <v>472</v>
      </c>
      <c r="B20" s="1" t="s">
        <v>2</v>
      </c>
      <c r="C20" s="2" t="s">
        <v>360</v>
      </c>
      <c r="D20" s="2" t="s">
        <v>362</v>
      </c>
      <c r="E20" s="4"/>
      <c r="F20" s="2"/>
      <c r="G20" s="2"/>
      <c r="H20" s="2"/>
      <c r="I20" s="2"/>
      <c r="J20" s="2"/>
      <c r="K20" s="2" t="s">
        <v>153</v>
      </c>
      <c r="L20" s="2">
        <v>0</v>
      </c>
      <c r="M20" s="2" t="str">
        <f t="shared" si="1"/>
        <v>신일동  번지</v>
      </c>
      <c r="N20" s="2"/>
      <c r="O20" s="2"/>
      <c r="P20" s="2"/>
      <c r="Q20" s="2"/>
      <c r="R20" s="2"/>
      <c r="S20" s="2" t="s">
        <v>11</v>
      </c>
    </row>
    <row r="21" spans="1:19" ht="21.75" customHeight="1">
      <c r="A21" s="5" t="s">
        <v>473</v>
      </c>
      <c r="B21" s="1" t="s">
        <v>2</v>
      </c>
      <c r="C21" s="2" t="s">
        <v>360</v>
      </c>
      <c r="D21" s="2" t="s">
        <v>362</v>
      </c>
      <c r="E21" s="4"/>
      <c r="F21" s="2"/>
      <c r="G21" s="2"/>
      <c r="H21" s="2"/>
      <c r="I21" s="2"/>
      <c r="J21" s="2"/>
      <c r="K21" s="2" t="s">
        <v>153</v>
      </c>
      <c r="L21" s="2">
        <v>0</v>
      </c>
      <c r="M21" s="2" t="str">
        <f t="shared" si="1"/>
        <v>신일동  번지</v>
      </c>
      <c r="N21" s="2"/>
      <c r="O21" s="2"/>
      <c r="P21" s="2"/>
      <c r="Q21" s="2"/>
      <c r="R21" s="2"/>
      <c r="S21" s="2" t="s">
        <v>11</v>
      </c>
    </row>
    <row r="22" spans="1:19" ht="21.75" customHeight="1">
      <c r="A22" s="5" t="s">
        <v>474</v>
      </c>
      <c r="B22" s="1" t="s">
        <v>2</v>
      </c>
      <c r="C22" s="2" t="s">
        <v>360</v>
      </c>
      <c r="D22" s="2" t="s">
        <v>362</v>
      </c>
      <c r="E22" s="4"/>
      <c r="F22" s="2"/>
      <c r="G22" s="2"/>
      <c r="H22" s="2"/>
      <c r="I22" s="2"/>
      <c r="J22" s="2"/>
      <c r="K22" s="2" t="s">
        <v>153</v>
      </c>
      <c r="L22" s="2">
        <v>0</v>
      </c>
      <c r="M22" s="2" t="str">
        <f t="shared" si="1"/>
        <v>신일동  번지</v>
      </c>
      <c r="N22" s="2"/>
      <c r="O22" s="2"/>
      <c r="P22" s="2"/>
      <c r="Q22" s="2"/>
      <c r="R22" s="2"/>
      <c r="S22" s="2" t="s">
        <v>11</v>
      </c>
    </row>
    <row r="23" spans="1:19" ht="21.75" customHeight="1"/>
    <row r="24" spans="1:19" ht="21.75" customHeight="1"/>
    <row r="25" spans="1:19" ht="21.75" customHeight="1">
      <c r="K25" s="5" t="s">
        <v>30</v>
      </c>
      <c r="L25" s="31">
        <f>SUM(L2:L24)</f>
        <v>0</v>
      </c>
      <c r="S25" s="8"/>
    </row>
    <row r="26" spans="1:19" ht="18.75" customHeight="1" thickBot="1"/>
    <row r="27" spans="1:19" ht="18.75" customHeight="1">
      <c r="B27" s="21" t="s">
        <v>29</v>
      </c>
      <c r="C27" s="13" t="s">
        <v>20</v>
      </c>
      <c r="D27" s="14" t="s">
        <v>5</v>
      </c>
      <c r="L27" s="3"/>
      <c r="S27" s="3"/>
    </row>
    <row r="28" spans="1:19" ht="18.75" customHeight="1">
      <c r="B28" s="19" t="s">
        <v>18</v>
      </c>
      <c r="C28" s="12">
        <f>IF(L25=0,0,COUNTIF(II_INSIDE_AREA,"O"))</f>
        <v>0</v>
      </c>
      <c r="D28" s="16">
        <f ca="1">SUMIF(II_INSIDE_AREA,"O",$L$2:$L$2)</f>
        <v>0</v>
      </c>
      <c r="L28" s="3"/>
      <c r="S28" s="3"/>
    </row>
    <row r="29" spans="1:19" ht="18.75" customHeight="1">
      <c r="B29" s="19" t="s">
        <v>19</v>
      </c>
      <c r="C29" s="12">
        <f ca="1">COUNTIF(II_INSIDE_AREA,"X")</f>
        <v>0</v>
      </c>
      <c r="D29" s="16">
        <f ca="1">SUMIF(II_INSIDE_AREA,"X",$L$2:$L$2)</f>
        <v>0</v>
      </c>
    </row>
    <row r="30" spans="1:19" ht="18.75" customHeight="1" thickBot="1">
      <c r="B30" s="20"/>
      <c r="C30" s="17"/>
      <c r="D30" s="18">
        <f ca="1">D28+D29</f>
        <v>0</v>
      </c>
    </row>
    <row r="31" spans="1:19" ht="18.75" customHeight="1"/>
    <row r="32" spans="1:19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2024-12-25T07:40:49Z</dcterms:modified>
</cp:coreProperties>
</file>