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6DC1FCC-1B2B-4BB1-9E6E-A11191997A79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" i="52"/>
  <c r="O5" i="52"/>
  <c r="F5" i="52"/>
  <c r="E5" i="52"/>
  <c r="B4" i="52"/>
  <c r="O4" i="52"/>
  <c r="F21" i="55" s="1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E21" i="210"/>
  <c r="F21" i="210"/>
  <c r="E22" i="210"/>
  <c r="D22" i="210"/>
  <c r="F22" i="210"/>
  <c r="D24" i="210"/>
  <c r="E24" i="210"/>
  <c r="F21" i="209"/>
  <c r="F24" i="209" s="1"/>
  <c r="D21" i="209"/>
  <c r="D24" i="209" s="1"/>
  <c r="E21" i="209"/>
  <c r="E25" i="209" s="1"/>
  <c r="D22" i="209"/>
  <c r="E22" i="209"/>
  <c r="F22" i="209"/>
  <c r="E25" i="210" l="1"/>
  <c r="E24" i="209"/>
  <c r="F25" i="210"/>
  <c r="D25" i="210"/>
  <c r="D26" i="210" s="1"/>
  <c r="F5" i="208"/>
  <c r="J26" i="208"/>
  <c r="F7" i="208"/>
  <c r="F25" i="209"/>
  <c r="F26" i="209" s="1"/>
  <c r="D25" i="209"/>
  <c r="D26" i="209" s="1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l="1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l="1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<sst xmlns="http://schemas.openxmlformats.org/spreadsheetml/2006/main" count="1388" uniqueCount="841">
  <si>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</si>
  <si>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</si>
  <si>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</si>
  <si>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</si>
  <si>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</si>
  <si>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</si>
  <si>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</si>
  <si>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</si>
  <si>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</si>
  <si>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</si>
  <si>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</si>
  <si>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</si>
  <si>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</si>
  <si>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</si>
  <si>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</si>
  <si>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</si>
  <si>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</si>
  <si>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</si>
  <si>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</si>
  <si>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</si>
  <si>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</si>
  <si>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</si>
  <si>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</si>
  <si>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</si>
  <si>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</si>
  <si>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</si>
  <si>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</si>
  <si>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</si>
  <si>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</si>
  <si>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</si>
  <si>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</si>
  <si>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</si>
  <si>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</si>
  <si>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</si>
  <si>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</si>
  <si>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</si>
  <si>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</si>
  <si>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</si>
  <si>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</si>
  <si>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</si>
  <si>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</si>
  <si>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</si>
  <si>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</si>
  <si>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</si>
  <si>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</si>
  <si>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</si>
  <si>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</si>
  <si>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</si>
  <si>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</si>
  <si>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</si>
  <si>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</si>
  <si>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</si>
  <si>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</si>
  <si>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</si>
  <si>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</si>
  <si>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</si>
  <si>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</si>
  <si>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</si>
  <si>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</si>
  <si>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</si>
  <si>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</si>
  <si>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</si>
  <si>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</si>
  <si>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</si>
  <si>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</si>
  <si>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</si>
  <si>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</si>
  <si>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</si>
  <si>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</si>
  <si>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</si>
  <si>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</si>
  <si>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</si>
  <si>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</si>
  <si>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</si>
  <si>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</si>
  <si>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</si>
  <si>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</si>
  <si>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</si>
  <si>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</si>
  <si>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</si>
  <si>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</si>
  <si>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</si>
  <si>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</si>
  <si>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</si>
  <si>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</si>
  <si>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</si>
  <si>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</si>
  <si>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</si>
  <si>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</si>
  <si>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</si>
  <si>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</si>
  <si>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</si>
  <si>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</si>
  <si>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</si>
  <si>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</si>
  <si>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</si>
  <si>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</si>
  <si>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</si>
  <si>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</si>
  <si>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</si>
  <si>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</si>
  <si>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</si>
  <si>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</si>
  <si>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</si>
  <si>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</si>
  <si>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</si>
  <si>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</si>
  <si>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</si>
  <si>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</si>
  <si>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</si>
  <si>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</si>
  <si>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</si>
  <si>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</si>
  <si>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</si>
  <si>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</si>
  <si>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</si>
  <si>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</si>
  <si>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</si>
  <si>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</si>
  <si>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</si>
  <si>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</si>
  <si>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</si>
  <si>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</si>
  <si>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</si>
  <si>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</si>
  <si>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</si>
  <si>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</si>
  <si>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</si>
  <si>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</si>
  <si>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</si>
  <si>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</si>
  <si>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</si>
  <si>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</si>
  <si>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</si>
  <si>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</si>
  <si>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</si>
  <si>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</si>
  <si>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</si>
  <si>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</si>
  <si>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</si>
  <si>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</si>
  <si>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</si>
  <si>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</si>
  <si>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</si>
  <si>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</si>
  <si>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</si>
  <si>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</si>
  <si>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</si>
  <si>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</si>
  <si>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</si>
  <si>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</si>
  <si>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</si>
  <si>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</si>
  <si>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</si>
  <si>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</si>
  <si>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</si>
  <si>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</si>
  <si>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</si>
  <si>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</si>
  <si>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</si>
  <si>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</si>
  <si>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</si>
  <si>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</si>
  <si>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</si>
  <si>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</si>
  <si>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</si>
  <si>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</si>
  <si>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</si>
  <si>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</si>
  <si>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</si>
  <si>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</si>
  <si>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</si>
  <si>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</si>
  <si>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</si>
  <si>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</si>
  <si>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</si>
  <si>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</si>
  <si>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</si>
  <si>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</si>
  <si>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</si>
  <si>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</si>
  <si>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</si>
  <si>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</si>
  <si>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</si>
  <si>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</si>
  <si>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</si>
  <si>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</si>
  <si>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</si>
  <si>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</si>
  <si>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</si>
  <si>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</si>
  <si>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</si>
  <si>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</si>
  <si>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</si>
  <si>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</si>
  <si>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</si>
  <si>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</si>
  <si>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</si>
  <si>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</si>
  <si>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</si>
  <si>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</si>
  <si>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</si>
  <si>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</si>
  <si>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</si>
  <si>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</si>
  <si>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</si>
  <si>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</si>
  <si>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</si>
  <si>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</si>
  <si>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</si>
  <si>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</si>
  <si>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</si>
  <si>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</si>
  <si>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</si>
  <si>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</si>
  <si>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</si>
  <si>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</si>
  <si>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</si>
  <si>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</si>
  <si>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</si>
  <si>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</si>
  <si>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</si>
  <si>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</si>
  <si>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</si>
  <si>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</si>
  <si>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</si>
  <si>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</si>
  <si>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</si>
  <si>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</si>
  <si>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</si>
  <si>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</si>
  <si>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</si>
  <si>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</si>
  <si>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</si>
  <si>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</si>
  <si>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</si>
  <si>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</si>
  <si>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</si>
  <si>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</si>
  <si>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</si>
  <si>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</si>
  <si>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</si>
  <si>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</si>
  <si>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</si>
  <si>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</si>
  <si>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</si>
  <si>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</si>
  <si>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</si>
  <si>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</si>
  <si>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</si>
  <si>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</si>
  <si>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</si>
  <si>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</si>
  <si>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</si>
  <si>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</si>
  <si>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</si>
  <si>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</si>
  <si>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</si>
  <si>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</si>
  <si>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</si>
  <si>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</si>
  <si>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</si>
  <si>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</si>
  <si>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</si>
  <si>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</si>
  <si>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</si>
  <si>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</si>
  <si>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</si>
  <si>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</si>
  <si>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</si>
  <si>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</si>
  <si>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</si>
  <si>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</si>
  <si>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</si>
  <si>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</si>
  <si>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</si>
  <si>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</si>
  <si>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</si>
  <si>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</si>
  <si>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</si>
  <si>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</si>
  <si>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</si>
  <si>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</si>
  <si>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</si>
  <si>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</si>
  <si>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</si>
  <si>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</si>
  <si>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</si>
  <si>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</si>
  <si>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</si>
  <si>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</si>
  <si>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</si>
  <si>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</si>
  <si>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</si>
  <si>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</si>
  <si>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</si>
  <si>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</si>
  <si>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</si>
  <si>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</si>
  <si>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</si>
  <si>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</si>
  <si>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</si>
  <si>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</si>
  <si>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</si>
  <si>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</si>
  <si>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</si>
  <si>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</si>
  <si>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</si>
  <si>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</si>
  <si>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</si>
  <si>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</si>
  <si>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</si>
  <si>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</si>
  <si>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</si>
  <si>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</si>
  <si>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</si>
  <si>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</si>
  <si>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</si>
  <si>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</si>
  <si>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</si>
  <si>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</si>
  <si>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</si>
  <si>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</si>
  <si>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</si>
  <si>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</si>
  <si>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</si>
  <si>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</si>
  <si>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</si>
  <si>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</si>
  <si>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</si>
  <si>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</si>
  <si>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</si>
  <si>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</si>
  <si>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</si>
  <si>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</si>
  <si>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</si>
  <si>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</si>
  <si>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</si>
  <si>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</si>
  <si>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</si>
  <si>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</si>
  <si>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</si>
  <si>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</si>
  <si>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</si>
  <si>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</si>
  <si>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</si>
  <si>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</si>
  <si>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</si>
  <si>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</si>
  <si>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</si>
  <si>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</si>
  <si>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</si>
  <si>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</si>
  <si>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</si>
  <si>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</si>
  <si>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</si>
  <si>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</si>
  <si>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</si>
  <si>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</si>
  <si>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</si>
  <si>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</si>
  <si>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</si>
  <si>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</si>
  <si>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</si>
  <si>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</si>
  <si>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</si>
  <si>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</si>
  <si>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</si>
  <si>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</si>
  <si>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</si>
  <si>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</si>
  <si>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</si>
  <si>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</si>
  <si>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</si>
  <si>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</si>
  <si>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</si>
  <si>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</si>
  <si>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</si>
  <si>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</si>
  <si>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</si>
  <si>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</si>
  <si>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</si>
  <si>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</si>
  <si>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</si>
  <si>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</si>
  <si>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</si>
  <si>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</si>
  <si>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</si>
  <si>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</si>
  <si>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</si>
  <si>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</si>
  <si>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</si>
  <si>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</si>
  <si>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</si>
  <si>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</si>
  <si>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</si>
  <si>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</si>
  <si>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</si>
  <si>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</si>
  <si>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</si>
  <si>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</si>
  <si>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</si>
  <si>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</si>
  <si>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</si>
  <si>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</si>
  <si>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</si>
  <si>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</si>
  <si>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</si>
  <si>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</si>
  <si>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</si>
  <si>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</si>
  <si>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</si>
  <si>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</si>
  <si>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</si>
  <si>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</si>
  <si>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</si>
  <si>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</si>
  <si>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</si>
  <si>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</si>
  <si>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</si>
  <si>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</si>
  <si>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</si>
  <si>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</si>
  <si>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</si>
  <si>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</si>
  <si>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</si>
  <si>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</si>
  <si>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</si>
  <si>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</si>
  <si>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</si>
  <si>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</si>
  <si>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</si>
  <si>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</si>
  <si>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</si>
  <si>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</si>
  <si>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</si>
  <si>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</si>
  <si>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</si>
  <si>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</si>
  <si>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</si>
  <si>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</si>
  <si>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</si>
  <si>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</si>
  <si>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</si>
  <si>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</si>
  <si>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</si>
  <si>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</si>
  <si>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</si>
  <si>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</si>
  <si>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</si>
  <si>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</si>
  <si>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</si>
  <si>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</si>
  <si>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</si>
  <si>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</si>
  <si>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</si>
  <si>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</si>
  <si>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</si>
  <si>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</si>
  <si>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</si>
  <si>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</si>
  <si>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</si>
  <si>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</si>
  <si>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</si>
  <si>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</si>
  <si>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</si>
  <si>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</si>
  <si>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</si>
  <si>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</si>
  <si>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</si>
  <si>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</si>
  <si>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</si>
  <si>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</si>
  <si>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</si>
  <si>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</si>
  <si>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</si>
  <si>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</si>
  <si>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</si>
  <si>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</si>
  <si>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</si>
  <si>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</si>
  <si>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</si>
  <si>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</si>
  <si>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</si>
  <si>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</si>
  <si>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</si>
  <si>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</si>
  <si>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</si>
  <si>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</si>
  <si>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</si>
  <si>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</si>
  <si>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</si>
  <si>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</si>
  <si>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</si>
  <si>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</si>
  <si>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</si>
  <si>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</si>
  <si>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</si>
  <si>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</si>
  <si>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</si>
  <si>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</si>
  <si>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</si>
  <si>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</si>
  <si>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</si>
  <si>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</si>
  <si>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</si>
  <si>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</si>
  <si>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</si>
  <si>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</si>
  <si>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</si>
  <si>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</si>
  <si>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</si>
  <si>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</si>
  <si>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</si>
  <si>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</si>
  <si>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</si>
  <si>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</si>
  <si>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</si>
  <si>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</si>
  <si>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</si>
  <si>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</si>
  <si>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</si>
  <si>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</si>
  <si>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</si>
  <si>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</si>
  <si>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</si>
  <si>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</si>
  <si>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</si>
  <si>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</si>
  <si>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</si>
  <si>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</si>
  <si>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</si>
  <si>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</si>
  <si>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</si>
  <si>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</si>
  <si>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</si>
  <si>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</si>
  <si>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</si>
  <si>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</si>
  <si>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</si>
  <si>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</si>
  <si>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</si>
  <si>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</si>
  <si>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</si>
  <si>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</si>
  <si>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</si>
  <si>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</si>
  <si>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</si>
  <si>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</si>
  <si>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</si>
  <si>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</si>
  <si>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</si>
  <si>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</si>
  <si>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</si>
  <si>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</si>
  <si>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</si>
  <si>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</si>
  <si>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</si>
  <si>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</si>
  <si>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</si>
  <si>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</si>
  <si>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</si>
  <si>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</si>
  <si>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</si>
  <si>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</si>
  <si>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</si>
  <si>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</si>
  <si>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</si>
  <si>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</si>
  <si>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</si>
  <si>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</si>
  <si>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</si>
  <si>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</si>
  <si>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</si>
  <si>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</si>
  <si>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</si>
  <si>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</si>
  <si>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</si>
  <si>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</si>
  <si>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</si>
  <si>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</si>
  <si>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</si>
  <si>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</si>
  <si>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</si>
  <si>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</si>
  <si>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</si>
  <si>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</si>
  <si>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</si>
  <si>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</si>
  <si>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</si>
  <si>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</si>
  <si>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</si>
  <si>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</si>
  <si>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</si>
  <si>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</si>
  <si>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</si>
  <si>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</si>
  <si>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</si>
  <si>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</si>
  <si>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</si>
  <si>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</si>
  <si>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</si>
  <si>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</si>
  <si>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</si>
  <si>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</si>
  <si>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</si>
  <si>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</si>
  <si>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</si>
  <si>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</si>
  <si>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</si>
  <si>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</si>
  <si>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</si>
  <si>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</si>
  <si>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</si>
  <si>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</si>
  <si>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</si>
  <si>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</si>
  <si>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</si>
  <si>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</si>
  <si>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</si>
  <si>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</si>
  <si>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</si>
  <si>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</si>
  <si>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</si>
  <si>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</si>
  <si>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</si>
  <si>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</si>
  <si>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</si>
  <si>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</si>
  <si>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</si>
  <si>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</si>
  <si>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</si>
  <si>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</si>
  <si>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</si>
  <si>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</si>
  <si>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</si>
  <si>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</si>
  <si>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</si>
  <si>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</si>
  <si>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</si>
  <si>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</si>
  <si>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</si>
  <si>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</si>
  <si>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</si>
  <si>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</si>
  <si>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</si>
  <si>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</si>
  <si>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</si>
  <si>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</si>
  <si>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</si>
  <si>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</si>
  <si>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</si>
  <si>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</si>
  <si>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</si>
  <si>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</si>
  <si>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</si>
  <si>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</si>
  <si>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</si>
  <si>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</si>
  <si>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</si>
  <si>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</si>
  <si>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</si>
  <si>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</si>
  <si>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</si>
  <si>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</si>
  <si>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</si>
  <si>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</si>
  <si>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</si>
  <si>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</si>
  <si>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</si>
  <si>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</si>
  <si>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</si>
  <si>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</si>
  <si>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</si>
  <si>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</si>
  <si>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</si>
  <si>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</si>
  <si>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</si>
  <si>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</si>
  <si>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</si>
  <si>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</si>
  <si>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</si>
  <si>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</si>
  <si>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</si>
  <si>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</si>
  <si>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</si>
  <si>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</si>
  <si>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</si>
  <si>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</si>
  <si>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</si>
  <si>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</si>
  <si>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</si>
  <si>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</si>
  <si>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</si>
  <si>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</si>
  <si>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</si>
  <si>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</si>
  <si>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</si>
  <si>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</si>
  <si>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</si>
  <si>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</si>
  <si>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</si>
  <si>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</si>
  <si>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</si>
  <si>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</si>
  <si>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</si>
  <si>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</si>
  <si>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</si>
  <si>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</si>
  <si>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</si>
  <si>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</si>
  <si>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</si>
  <si>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</si>
  <si>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</si>
  <si>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</si>
  <si>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</si>
  <si>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</si>
  <si>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</si>
  <si>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</si>
  <si>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</si>
  <si>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</si>
  <si>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</si>
  <si>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</si>
  <si>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</si>
  <si>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</si>
  <si>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</si>
  <si>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</si>
  <si>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</si>
  <si>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</si>
  <si>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</si>
  <si>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</si>
  <si>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</si>
  <si>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</si>
  <si>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</si>
  <si>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</si>
  <si>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</si>
  <si>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</si>
  <si>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</si>
  <si>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</si>
  <si>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</si>
  <si>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</si>
  <si>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</si>
  <si>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</si>
  <si>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</si>
  <si>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</si>
  <si>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</si>
  <si>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</si>
  <si>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</si>
  <si>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</si>
  <si>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</si>
  <si>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</si>
  <si>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</si>
  <si>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</si>
  <si>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</si>
  <si>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</si>
  <si>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</si>
  <si>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</si>
  <si>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</si>
  <si>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</si>
  <si>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</si>
  <si>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</si>
  <si>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</si>
  <si>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</si>
  <si>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</si>
  <si>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</si>
  <si>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</si>
  <si>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</si>
  <si>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</si>
  <si>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</si>
  <si>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</si>
  <si>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</si>
  <si>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</si>
  <si>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</si>
  <si>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</si>
  <si>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</si>
  <si>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</si>
  <si>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</si>
  <si>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</si>
  <si>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</si>
  <si>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</si>
  <si>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</si>
  <si>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</si>
  <si>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</si>
  <si>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</si>
  <si>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</si>
  <si>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</si>
  <si>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</si>
  <si>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</si>
  <si>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</si>
  <si>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</si>
  <si>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</si>
  <si>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</si>
  <si>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</si>
  <si>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</si>
  <si>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</si>
  <si>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</si>
  <si>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</si>
  <si>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</si>
  <si>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</si>
  <si>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</si>
  <si>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</si>
  <si>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</si>
  <si>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</si>
  <si>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</si>
  <si>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</si>
  <si>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</si>
  <si>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</si>
  <si>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</si>
  <si>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</si>
  <si>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</si>
  <si>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</si>
  <si>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</si>
  <si>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</si>
  <si>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</si>
  <si>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</si>
  <si>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</si>
  <si>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</si>
  <si>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</si>
  <si>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</si>
  <si>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</si>
  <si>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</si>
  <si>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</si>
  <si>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</si>
  <si>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</si>
  <si>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</si>
  <si>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</si>
  <si>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</si>
  <si>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</si>
  <si>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</si>
  <si>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</si>
  <si>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</si>
  <si>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</si>
  <si>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</si>
  <si>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</si>
  <si>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</si>
  <si>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</si>
  <si>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</si>
  <si>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</si>
  <si>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</si>
  <si>
    <t>W1</t>
    <phoneticPr fontId="7" type="noConversion"/>
  </si>
  <si>
    <t>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</si>
</sst>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193" fontId="46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" fontId="45" fillId="12" borderId="79" xfId="0" applyNumberFormat="1" applyFont="1" applyFill="1" applyBorder="1" applyAlignment="1">
      <alignment horizontal="center" vertical="center"/>
    </xf>
    <xf numFmtId="193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193" fontId="46" fillId="12" borderId="82" xfId="0" applyNumberFormat="1" applyFont="1" applyFill="1" applyBorder="1" applyAlignment="1">
      <alignment horizontal="center" vertical="center"/>
    </xf>
    <xf numFmtId="204" fontId="46" fillId="12" borderId="83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8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0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8" fillId="3" borderId="84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 wrapText="1"/>
    </xf>
    <xf numFmtId="0" fontId="42" fillId="3" borderId="85" xfId="21" applyFont="1" applyFill="1" applyBorder="1" applyAlignment="1">
      <alignment horizontal="center" vertical="center" wrapText="1"/>
    </xf>
    <xf numFmtId="41" fontId="28" fillId="3" borderId="85" xfId="20" applyFont="1" applyFill="1" applyBorder="1" applyAlignment="1">
      <alignment horizontal="center" vertical="center" wrapText="1"/>
    </xf>
    <xf numFmtId="0" fontId="28" fillId="3" borderId="86" xfId="0" applyFont="1" applyFill="1" applyBorder="1" applyAlignment="1">
      <alignment horizontal="center" vertical="center"/>
    </xf>
    <xf numFmtId="0" fontId="28" fillId="3" borderId="87" xfId="0" applyFont="1" applyFill="1" applyBorder="1" applyAlignment="1">
      <alignment horizontal="center" vertical="center"/>
    </xf>
    <xf numFmtId="0" fontId="28" fillId="3" borderId="88" xfId="0" applyFont="1" applyFill="1" applyBorder="1" applyAlignment="1">
      <alignment horizontal="center" vertical="center"/>
    </xf>
    <xf numFmtId="0" fontId="28" fillId="3" borderId="88" xfId="0" applyFont="1" applyFill="1" applyBorder="1" applyAlignment="1">
      <alignment horizontal="center" vertical="center" wrapText="1"/>
    </xf>
    <xf numFmtId="0" fontId="42" fillId="3" borderId="88" xfId="21" applyFont="1" applyFill="1" applyBorder="1" applyAlignment="1">
      <alignment horizontal="center" vertical="center" wrapText="1"/>
    </xf>
    <xf numFmtId="41" fontId="28" fillId="3" borderId="88" xfId="20" applyFont="1" applyFill="1" applyBorder="1" applyAlignment="1">
      <alignment horizontal="center" vertical="center" wrapText="1"/>
    </xf>
    <xf numFmtId="0" fontId="28" fillId="3" borderId="89" xfId="0" applyFont="1" applyFill="1" applyBorder="1" applyAlignment="1">
      <alignment horizontal="center" vertical="center"/>
    </xf>
    <xf numFmtId="0" fontId="33" fillId="0" borderId="87" xfId="0" applyFont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17" fontId="33" fillId="0" borderId="88" xfId="0" applyNumberFormat="1" applyFont="1" applyBorder="1" applyAlignment="1">
      <alignment horizontal="center" vertical="center"/>
    </xf>
    <xf numFmtId="0" fontId="33" fillId="0" borderId="8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 wrapText="1"/>
    </xf>
    <xf numFmtId="188" fontId="15" fillId="0" borderId="88" xfId="0" applyNumberFormat="1" applyFont="1" applyBorder="1" applyAlignment="1">
      <alignment horizontal="center" vertical="center"/>
    </xf>
    <xf numFmtId="41" fontId="33" fillId="0" borderId="88" xfId="20" applyFont="1" applyBorder="1">
      <alignment vertical="center"/>
    </xf>
    <xf numFmtId="0" fontId="33" fillId="0" borderId="89" xfId="0" applyFont="1" applyBorder="1" applyAlignment="1">
      <alignment horizontal="center" vertical="center"/>
    </xf>
    <xf numFmtId="0" fontId="33" fillId="0" borderId="90" xfId="0" applyFont="1" applyBorder="1" applyAlignment="1">
      <alignment horizontal="center" vertical="center"/>
    </xf>
    <xf numFmtId="0" fontId="28" fillId="0" borderId="91" xfId="0" applyFont="1" applyBorder="1" applyAlignment="1">
      <alignment horizontal="center" vertical="center"/>
    </xf>
    <xf numFmtId="17" fontId="33" fillId="0" borderId="91" xfId="0" applyNumberFormat="1" applyFont="1" applyBorder="1" applyAlignment="1">
      <alignment horizontal="center" vertical="center"/>
    </xf>
    <xf numFmtId="0" fontId="33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3" fillId="0" borderId="91" xfId="20" applyFont="1" applyBorder="1">
      <alignment vertical="center"/>
    </xf>
    <xf numFmtId="0" fontId="33" fillId="0" borderId="92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7.emf"/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12" Type="http://schemas.openxmlformats.org/officeDocument/2006/relationships/image" Target="../media/image49.emf"/><Relationship Id="rId2" Type="http://schemas.openxmlformats.org/officeDocument/2006/relationships/image" Target="../media/image44.emf"/><Relationship Id="rId16" Type="http://schemas.openxmlformats.org/officeDocument/2006/relationships/image" Target="../media/image3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8.emf"/><Relationship Id="rId5" Type="http://schemas.openxmlformats.org/officeDocument/2006/relationships/image" Target="../media/image47.emf"/><Relationship Id="rId15" Type="http://schemas.openxmlformats.org/officeDocument/2006/relationships/image" Target="../media/image51.emf"/><Relationship Id="rId10" Type="http://schemas.openxmlformats.org/officeDocument/2006/relationships/image" Target="../media/image39.emf"/><Relationship Id="rId4" Type="http://schemas.openxmlformats.org/officeDocument/2006/relationships/image" Target="../media/image46.emf"/><Relationship Id="rId9" Type="http://schemas.openxmlformats.org/officeDocument/2006/relationships/image" Target="../media/image40.emf"/><Relationship Id="rId1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4.emf"/><Relationship Id="rId4" Type="http://schemas.openxmlformats.org/officeDocument/2006/relationships/image" Target="../media/image5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5" Type="http://schemas.openxmlformats.org/officeDocument/2006/relationships/image" Target="../media/image62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3.emf"/><Relationship Id="rId1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2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ntrol" Target="../activeX/activeX50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35" Type="http://schemas.openxmlformats.org/officeDocument/2006/relationships/image" Target="../media/image5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4.emf"/><Relationship Id="rId5" Type="http://schemas.openxmlformats.org/officeDocument/2006/relationships/image" Target="../media/image52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2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5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0.emf"/><Relationship Id="rId5" Type="http://schemas.openxmlformats.org/officeDocument/2006/relationships/image" Target="../media/image61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0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0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1" t="s">
        <v>354</v>
      </c>
      <c r="C2" s="611" t="s">
        <v>798</v>
      </c>
    </row>
    <row r="3" spans="2:3" ht="20.100000000000001" customHeight="1">
      <c r="B3" s="611" t="s">
        <v>693</v>
      </c>
      <c r="C3" s="611" t="s">
        <v>690</v>
      </c>
    </row>
    <row r="4" spans="2:3" ht="20.100000000000001" customHeight="1">
      <c r="B4" s="611" t="s">
        <v>694</v>
      </c>
      <c r="C4" s="611" t="s">
        <v>690</v>
      </c>
    </row>
    <row r="5" spans="2:3" ht="20.100000000000001" customHeight="1">
      <c r="B5" s="611" t="s">
        <v>695</v>
      </c>
      <c r="C5" s="611" t="s">
        <v>690</v>
      </c>
    </row>
    <row r="6" spans="2:3" ht="20.100000000000001" customHeight="1">
      <c r="B6" s="611" t="s">
        <v>696</v>
      </c>
      <c r="C6" s="611" t="s">
        <v>690</v>
      </c>
    </row>
    <row r="7" spans="2:3" ht="20.100000000000001" customHeight="1">
      <c r="B7" s="611" t="s">
        <v>697</v>
      </c>
      <c r="C7" s="611" t="s">
        <v>690</v>
      </c>
    </row>
    <row r="8" spans="2:3" ht="20.100000000000001" customHeight="1">
      <c r="B8" s="611" t="s">
        <v>698</v>
      </c>
      <c r="C8" s="611" t="s">
        <v>690</v>
      </c>
    </row>
    <row r="9" spans="2:3" ht="20.100000000000001" customHeight="1">
      <c r="B9" s="611" t="s">
        <v>692</v>
      </c>
      <c r="C9" s="611" t="s">
        <v>690</v>
      </c>
    </row>
    <row r="10" spans="2:3" ht="20.100000000000001" customHeight="1">
      <c r="B10" s="611" t="s">
        <v>691</v>
      </c>
      <c r="C10" s="611" t="s">
        <v>690</v>
      </c>
    </row>
    <row r="11" spans="2:3" ht="20.100000000000001" customHeight="1">
      <c r="B11" s="611" t="s">
        <v>699</v>
      </c>
      <c r="C11" s="611" t="s">
        <v>690</v>
      </c>
    </row>
    <row r="12" spans="2:3" ht="20.100000000000001" customHeight="1">
      <c r="B12" s="611" t="s">
        <v>700</v>
      </c>
      <c r="C12" s="611" t="s">
        <v>690</v>
      </c>
    </row>
    <row r="13" spans="2:3" ht="20.100000000000001" customHeight="1">
      <c r="B13" s="611" t="s">
        <v>701</v>
      </c>
      <c r="C13" s="611" t="s">
        <v>690</v>
      </c>
    </row>
    <row r="14" spans="2:3" ht="20.100000000000001" customHeight="1">
      <c r="B14" s="611" t="s">
        <v>702</v>
      </c>
      <c r="C14" s="611" t="s">
        <v>690</v>
      </c>
    </row>
    <row r="15" spans="2:3" ht="20.100000000000001" customHeight="1">
      <c r="B15" s="611" t="s">
        <v>703</v>
      </c>
      <c r="C15" s="611" t="s">
        <v>704</v>
      </c>
    </row>
    <row r="16" spans="2:3" ht="20.100000000000001" customHeight="1">
      <c r="B16" s="611" t="s">
        <v>705</v>
      </c>
      <c r="C16" s="611" t="s">
        <v>704</v>
      </c>
    </row>
    <row r="17" spans="2:3" ht="20.100000000000001" customHeight="1">
      <c r="B17" s="611" t="s">
        <v>706</v>
      </c>
      <c r="C17" s="611" t="s">
        <v>704</v>
      </c>
    </row>
    <row r="18" spans="2:3" ht="20.100000000000001" customHeight="1">
      <c r="B18" s="611" t="s">
        <v>707</v>
      </c>
      <c r="C18" s="611" t="s">
        <v>704</v>
      </c>
    </row>
    <row r="19" spans="2:3" ht="20.100000000000001" customHeight="1">
      <c r="B19" s="611" t="s">
        <v>708</v>
      </c>
      <c r="C19" s="611" t="s">
        <v>704</v>
      </c>
    </row>
    <row r="20" spans="2:3" ht="20.100000000000001" customHeight="1">
      <c r="B20" s="611" t="s">
        <v>709</v>
      </c>
      <c r="C20" s="611" t="s">
        <v>704</v>
      </c>
    </row>
    <row r="21" spans="2:3" ht="20.100000000000001" customHeight="1">
      <c r="B21" s="611" t="s">
        <v>710</v>
      </c>
      <c r="C21" s="611" t="s">
        <v>704</v>
      </c>
    </row>
    <row r="22" spans="2:3" ht="20.100000000000001" customHeight="1">
      <c r="B22" s="611" t="s">
        <v>711</v>
      </c>
      <c r="C22" s="611" t="s">
        <v>704</v>
      </c>
    </row>
    <row r="23" spans="2:3" ht="20.100000000000001" customHeight="1">
      <c r="B23" s="611" t="s">
        <v>712</v>
      </c>
      <c r="C23" s="611" t="s">
        <v>704</v>
      </c>
    </row>
    <row r="24" spans="2:3" ht="20.100000000000001" customHeight="1">
      <c r="B24" s="611" t="s">
        <v>713</v>
      </c>
      <c r="C24" s="611" t="s">
        <v>704</v>
      </c>
    </row>
    <row r="25" spans="2:3" ht="20.100000000000001" customHeight="1">
      <c r="B25" s="611" t="s">
        <v>714</v>
      </c>
      <c r="C25" s="611" t="s">
        <v>715</v>
      </c>
    </row>
    <row r="26" spans="2:3" ht="20.100000000000001" customHeight="1">
      <c r="B26" s="611" t="s">
        <v>716</v>
      </c>
      <c r="C26" s="611" t="s">
        <v>715</v>
      </c>
    </row>
    <row r="27" spans="2:3" ht="20.100000000000001" customHeight="1">
      <c r="B27" s="611" t="s">
        <v>717</v>
      </c>
      <c r="C27" s="611" t="s">
        <v>715</v>
      </c>
    </row>
    <row r="28" spans="2:3" ht="20.100000000000001" customHeight="1">
      <c r="B28" s="611" t="s">
        <v>718</v>
      </c>
      <c r="C28" s="611" t="s">
        <v>715</v>
      </c>
    </row>
    <row r="29" spans="2:3" ht="20.100000000000001" customHeight="1">
      <c r="B29" s="611" t="s">
        <v>719</v>
      </c>
      <c r="C29" s="611" t="s">
        <v>715</v>
      </c>
    </row>
    <row r="30" spans="2:3" ht="20.100000000000001" customHeight="1">
      <c r="B30" s="611" t="s">
        <v>720</v>
      </c>
      <c r="C30" s="611" t="s">
        <v>715</v>
      </c>
    </row>
    <row r="31" spans="2:3" ht="20.100000000000001" customHeight="1">
      <c r="B31" s="611" t="s">
        <v>721</v>
      </c>
      <c r="C31" s="611" t="s">
        <v>715</v>
      </c>
    </row>
    <row r="32" spans="2:3" ht="20.100000000000001" customHeight="1">
      <c r="B32" s="611" t="s">
        <v>722</v>
      </c>
      <c r="C32" s="611" t="s">
        <v>715</v>
      </c>
    </row>
    <row r="33" spans="2:3" ht="20.100000000000001" customHeight="1">
      <c r="B33" s="611" t="s">
        <v>723</v>
      </c>
      <c r="C33" s="611" t="s">
        <v>715</v>
      </c>
    </row>
    <row r="34" spans="2:3" ht="20.100000000000001" customHeight="1">
      <c r="B34" s="611" t="s">
        <v>724</v>
      </c>
      <c r="C34" s="611" t="s">
        <v>715</v>
      </c>
    </row>
    <row r="35" spans="2:3" ht="20.100000000000001" customHeight="1">
      <c r="B35" s="611" t="s">
        <v>725</v>
      </c>
      <c r="C35" s="611" t="s">
        <v>715</v>
      </c>
    </row>
    <row r="36" spans="2:3" ht="20.100000000000001" customHeight="1">
      <c r="B36" s="611" t="s">
        <v>726</v>
      </c>
      <c r="C36" s="611" t="s">
        <v>715</v>
      </c>
    </row>
    <row r="37" spans="2:3" ht="20.100000000000001" customHeight="1">
      <c r="B37" s="611" t="s">
        <v>727</v>
      </c>
      <c r="C37" s="611" t="s">
        <v>715</v>
      </c>
    </row>
    <row r="38" spans="2:3" ht="20.100000000000001" customHeight="1">
      <c r="B38" s="611" t="s">
        <v>728</v>
      </c>
      <c r="C38" s="611" t="s">
        <v>715</v>
      </c>
    </row>
    <row r="39" spans="2:3" ht="20.100000000000001" customHeight="1">
      <c r="B39" s="611" t="s">
        <v>729</v>
      </c>
      <c r="C39" s="611" t="s">
        <v>715</v>
      </c>
    </row>
    <row r="40" spans="2:3" ht="20.100000000000001" customHeight="1">
      <c r="B40" s="611" t="s">
        <v>730</v>
      </c>
      <c r="C40" s="611" t="s">
        <v>731</v>
      </c>
    </row>
    <row r="41" spans="2:3" ht="20.100000000000001" customHeight="1">
      <c r="B41" s="611" t="s">
        <v>732</v>
      </c>
      <c r="C41" s="611" t="s">
        <v>731</v>
      </c>
    </row>
    <row r="42" spans="2:3" ht="20.100000000000001" customHeight="1">
      <c r="B42" s="611" t="s">
        <v>733</v>
      </c>
      <c r="C42" s="611" t="s">
        <v>731</v>
      </c>
    </row>
    <row r="43" spans="2:3" ht="20.100000000000001" customHeight="1">
      <c r="B43" s="611" t="s">
        <v>734</v>
      </c>
      <c r="C43" s="611" t="s">
        <v>731</v>
      </c>
    </row>
    <row r="44" spans="2:3" ht="20.100000000000001" customHeight="1">
      <c r="B44" s="611" t="s">
        <v>735</v>
      </c>
      <c r="C44" s="611" t="s">
        <v>731</v>
      </c>
    </row>
    <row r="45" spans="2:3" ht="20.100000000000001" customHeight="1">
      <c r="B45" s="611" t="s">
        <v>736</v>
      </c>
      <c r="C45" s="611" t="s">
        <v>731</v>
      </c>
    </row>
    <row r="46" spans="2:3" ht="20.100000000000001" customHeight="1">
      <c r="B46" s="611" t="s">
        <v>737</v>
      </c>
      <c r="C46" s="611" t="s">
        <v>731</v>
      </c>
    </row>
    <row r="47" spans="2:3" ht="20.100000000000001" customHeight="1">
      <c r="B47" s="611" t="s">
        <v>738</v>
      </c>
      <c r="C47" s="611" t="s">
        <v>731</v>
      </c>
    </row>
    <row r="48" spans="2:3" ht="20.100000000000001" customHeight="1">
      <c r="B48" s="611" t="s">
        <v>739</v>
      </c>
      <c r="C48" s="611" t="s">
        <v>731</v>
      </c>
    </row>
    <row r="49" spans="2:3" ht="20.100000000000001" customHeight="1">
      <c r="B49" s="611" t="s">
        <v>740</v>
      </c>
      <c r="C49" s="611" t="s">
        <v>731</v>
      </c>
    </row>
    <row r="50" spans="2:3" ht="20.100000000000001" customHeight="1">
      <c r="B50" s="611" t="s">
        <v>741</v>
      </c>
      <c r="C50" s="611" t="s">
        <v>731</v>
      </c>
    </row>
    <row r="51" spans="2:3" ht="20.100000000000001" customHeight="1">
      <c r="B51" s="611" t="s">
        <v>742</v>
      </c>
      <c r="C51" s="611" t="s">
        <v>731</v>
      </c>
    </row>
    <row r="52" spans="2:3" ht="20.100000000000001" customHeight="1">
      <c r="B52" s="611" t="s">
        <v>743</v>
      </c>
      <c r="C52" s="611" t="s">
        <v>731</v>
      </c>
    </row>
    <row r="53" spans="2:3" ht="20.100000000000001" customHeight="1">
      <c r="B53" s="611" t="s">
        <v>744</v>
      </c>
      <c r="C53" s="611" t="s">
        <v>731</v>
      </c>
    </row>
    <row r="54" spans="2:3" ht="20.100000000000001" customHeight="1">
      <c r="B54" s="611" t="s">
        <v>745</v>
      </c>
      <c r="C54" s="611" t="s">
        <v>731</v>
      </c>
    </row>
    <row r="55" spans="2:3" ht="20.100000000000001" customHeight="1">
      <c r="B55" s="611" t="s">
        <v>746</v>
      </c>
      <c r="C55" s="611" t="s">
        <v>731</v>
      </c>
    </row>
    <row r="56" spans="2:3" ht="20.100000000000001" customHeight="1">
      <c r="B56" s="611" t="s">
        <v>747</v>
      </c>
      <c r="C56" s="611" t="s">
        <v>731</v>
      </c>
    </row>
    <row r="57" spans="2:3" ht="20.100000000000001" customHeight="1">
      <c r="B57" s="611" t="s">
        <v>748</v>
      </c>
      <c r="C57" s="611" t="s">
        <v>731</v>
      </c>
    </row>
    <row r="58" spans="2:3" ht="20.100000000000001" customHeight="1">
      <c r="B58" s="611" t="s">
        <v>749</v>
      </c>
      <c r="C58" s="611" t="s">
        <v>731</v>
      </c>
    </row>
    <row r="59" spans="2:3" ht="20.100000000000001" customHeight="1">
      <c r="B59" s="611" t="s">
        <v>750</v>
      </c>
      <c r="C59" s="611" t="s">
        <v>731</v>
      </c>
    </row>
    <row r="60" spans="2:3" ht="20.100000000000001" customHeight="1">
      <c r="B60" s="611" t="s">
        <v>751</v>
      </c>
      <c r="C60" s="611" t="s">
        <v>731</v>
      </c>
    </row>
    <row r="61" spans="2:3" ht="20.100000000000001" customHeight="1">
      <c r="B61" s="611" t="s">
        <v>752</v>
      </c>
      <c r="C61" s="611" t="s">
        <v>731</v>
      </c>
    </row>
    <row r="62" spans="2:3" ht="20.100000000000001" customHeight="1">
      <c r="B62" s="611" t="s">
        <v>753</v>
      </c>
      <c r="C62" s="611" t="s">
        <v>731</v>
      </c>
    </row>
    <row r="63" spans="2:3" ht="20.100000000000001" customHeight="1">
      <c r="B63" s="611" t="s">
        <v>754</v>
      </c>
      <c r="C63" s="611" t="s">
        <v>731</v>
      </c>
    </row>
    <row r="64" spans="2:3" ht="20.100000000000001" customHeight="1">
      <c r="B64" s="611" t="s">
        <v>755</v>
      </c>
      <c r="C64" s="611" t="s">
        <v>731</v>
      </c>
    </row>
    <row r="65" spans="2:3" ht="20.100000000000001" customHeight="1">
      <c r="B65" s="611" t="s">
        <v>756</v>
      </c>
      <c r="C65" s="611" t="s">
        <v>731</v>
      </c>
    </row>
    <row r="66" spans="2:3" ht="20.100000000000001" customHeight="1">
      <c r="B66" s="611" t="s">
        <v>757</v>
      </c>
      <c r="C66" s="611" t="s">
        <v>731</v>
      </c>
    </row>
    <row r="67" spans="2:3" ht="20.100000000000001" customHeight="1">
      <c r="B67" s="611" t="s">
        <v>758</v>
      </c>
      <c r="C67" s="611" t="s">
        <v>731</v>
      </c>
    </row>
    <row r="68" spans="2:3" ht="20.100000000000001" customHeight="1">
      <c r="B68" s="611" t="s">
        <v>759</v>
      </c>
      <c r="C68" s="611" t="s">
        <v>760</v>
      </c>
    </row>
    <row r="69" spans="2:3" ht="20.100000000000001" customHeight="1">
      <c r="B69" s="611" t="s">
        <v>761</v>
      </c>
      <c r="C69" s="611" t="s">
        <v>760</v>
      </c>
    </row>
    <row r="70" spans="2:3" ht="20.100000000000001" customHeight="1">
      <c r="B70" s="611" t="s">
        <v>762</v>
      </c>
      <c r="C70" s="611" t="s">
        <v>760</v>
      </c>
    </row>
    <row r="71" spans="2:3" ht="20.100000000000001" customHeight="1">
      <c r="B71" s="611" t="s">
        <v>763</v>
      </c>
      <c r="C71" s="611" t="s">
        <v>760</v>
      </c>
    </row>
    <row r="72" spans="2:3" ht="20.100000000000001" customHeight="1">
      <c r="B72" s="611" t="s">
        <v>764</v>
      </c>
      <c r="C72" s="611" t="s">
        <v>760</v>
      </c>
    </row>
    <row r="73" spans="2:3" ht="20.100000000000001" customHeight="1">
      <c r="B73" s="611" t="s">
        <v>765</v>
      </c>
      <c r="C73" s="611" t="s">
        <v>760</v>
      </c>
    </row>
    <row r="74" spans="2:3" ht="20.100000000000001" customHeight="1">
      <c r="B74" s="611" t="s">
        <v>766</v>
      </c>
      <c r="C74" s="611" t="s">
        <v>760</v>
      </c>
    </row>
    <row r="75" spans="2:3" ht="20.100000000000001" customHeight="1">
      <c r="B75" s="611" t="s">
        <v>767</v>
      </c>
      <c r="C75" s="611" t="s">
        <v>760</v>
      </c>
    </row>
    <row r="76" spans="2:3" ht="20.100000000000001" customHeight="1">
      <c r="B76" s="611" t="s">
        <v>768</v>
      </c>
      <c r="C76" s="611" t="s">
        <v>760</v>
      </c>
    </row>
    <row r="77" spans="2:3" ht="20.100000000000001" customHeight="1">
      <c r="B77" s="611" t="s">
        <v>769</v>
      </c>
      <c r="C77" s="611" t="s">
        <v>760</v>
      </c>
    </row>
    <row r="78" spans="2:3" ht="20.100000000000001" customHeight="1">
      <c r="B78" s="611" t="s">
        <v>770</v>
      </c>
      <c r="C78" s="611" t="s">
        <v>760</v>
      </c>
    </row>
    <row r="79" spans="2:3" ht="20.100000000000001" customHeight="1">
      <c r="B79" s="611" t="s">
        <v>771</v>
      </c>
      <c r="C79" s="611" t="s">
        <v>760</v>
      </c>
    </row>
    <row r="80" spans="2:3" ht="20.100000000000001" customHeight="1">
      <c r="B80" s="611" t="s">
        <v>772</v>
      </c>
      <c r="C80" s="611" t="s">
        <v>760</v>
      </c>
    </row>
    <row r="81" spans="2:3" ht="20.100000000000001" customHeight="1">
      <c r="B81" s="611" t="s">
        <v>773</v>
      </c>
      <c r="C81" s="611" t="s">
        <v>760</v>
      </c>
    </row>
    <row r="82" spans="2:3" ht="20.100000000000001" customHeight="1">
      <c r="B82" s="611" t="s">
        <v>774</v>
      </c>
      <c r="C82" s="611" t="s">
        <v>760</v>
      </c>
    </row>
    <row r="83" spans="2:3" ht="20.100000000000001" customHeight="1">
      <c r="B83" s="611" t="s">
        <v>775</v>
      </c>
      <c r="C83" s="611" t="s">
        <v>760</v>
      </c>
    </row>
    <row r="84" spans="2:3" ht="20.100000000000001" customHeight="1">
      <c r="B84" s="611" t="s">
        <v>776</v>
      </c>
      <c r="C84" s="611" t="s">
        <v>760</v>
      </c>
    </row>
    <row r="85" spans="2:3" ht="20.100000000000001" customHeight="1">
      <c r="B85" s="611" t="s">
        <v>777</v>
      </c>
      <c r="C85" s="611" t="s">
        <v>760</v>
      </c>
    </row>
    <row r="86" spans="2:3" ht="20.100000000000001" customHeight="1">
      <c r="B86" s="611" t="s">
        <v>778</v>
      </c>
      <c r="C86" s="611" t="s">
        <v>760</v>
      </c>
    </row>
    <row r="87" spans="2:3" ht="20.100000000000001" customHeight="1">
      <c r="B87" s="611" t="s">
        <v>779</v>
      </c>
      <c r="C87" s="611" t="s">
        <v>760</v>
      </c>
    </row>
    <row r="88" spans="2:3" ht="20.100000000000001" customHeight="1">
      <c r="B88" s="611" t="s">
        <v>780</v>
      </c>
      <c r="C88" s="611" t="s">
        <v>760</v>
      </c>
    </row>
    <row r="89" spans="2:3" ht="20.100000000000001" customHeight="1">
      <c r="B89" s="611" t="s">
        <v>781</v>
      </c>
      <c r="C89" s="611" t="s">
        <v>760</v>
      </c>
    </row>
    <row r="90" spans="2:3" ht="20.100000000000001" customHeight="1">
      <c r="B90" s="611" t="s">
        <v>782</v>
      </c>
      <c r="C90" s="611" t="s">
        <v>760</v>
      </c>
    </row>
    <row r="91" spans="2:3" ht="20.100000000000001" customHeight="1">
      <c r="B91" s="611" t="s">
        <v>783</v>
      </c>
      <c r="C91" s="611" t="s">
        <v>760</v>
      </c>
    </row>
    <row r="92" spans="2:3" ht="20.100000000000001" customHeight="1">
      <c r="B92" s="611" t="s">
        <v>784</v>
      </c>
      <c r="C92" s="611" t="s">
        <v>760</v>
      </c>
    </row>
    <row r="93" spans="2:3" ht="20.100000000000001" customHeight="1">
      <c r="B93" s="611" t="s">
        <v>785</v>
      </c>
      <c r="C93" s="611" t="s">
        <v>760</v>
      </c>
    </row>
    <row r="94" spans="2:3" ht="20.100000000000001" customHeight="1">
      <c r="B94" s="611" t="s">
        <v>786</v>
      </c>
      <c r="C94" s="611" t="s">
        <v>760</v>
      </c>
    </row>
    <row r="95" spans="2:3" ht="20.100000000000001" customHeight="1">
      <c r="B95" s="611" t="s">
        <v>787</v>
      </c>
      <c r="C95" s="611" t="s">
        <v>760</v>
      </c>
    </row>
    <row r="96" spans="2:3" ht="20.100000000000001" customHeight="1">
      <c r="B96" s="611" t="s">
        <v>788</v>
      </c>
      <c r="C96" s="611" t="s">
        <v>760</v>
      </c>
    </row>
    <row r="97" spans="2:3" ht="20.100000000000001" customHeight="1">
      <c r="B97" s="611" t="s">
        <v>789</v>
      </c>
      <c r="C97" s="611" t="s">
        <v>760</v>
      </c>
    </row>
    <row r="98" spans="2:3" ht="20.100000000000001" customHeight="1">
      <c r="B98" s="611" t="s">
        <v>790</v>
      </c>
      <c r="C98" s="611" t="s">
        <v>760</v>
      </c>
    </row>
    <row r="99" spans="2:3" ht="20.100000000000001" customHeight="1">
      <c r="B99" s="611" t="s">
        <v>791</v>
      </c>
      <c r="C99" s="611" t="s">
        <v>760</v>
      </c>
    </row>
    <row r="100" spans="2:3" ht="20.100000000000001" customHeight="1">
      <c r="B100" s="611" t="s">
        <v>792</v>
      </c>
      <c r="C100" s="611" t="s">
        <v>793</v>
      </c>
    </row>
    <row r="101" spans="2:3" ht="20.100000000000001" customHeight="1">
      <c r="B101" s="611" t="s">
        <v>794</v>
      </c>
      <c r="C101" s="611" t="s">
        <v>793</v>
      </c>
    </row>
    <row r="102" spans="2:3" ht="20.100000000000001" customHeight="1">
      <c r="B102" s="611" t="s">
        <v>795</v>
      </c>
      <c r="C102" s="611" t="s">
        <v>793</v>
      </c>
    </row>
    <row r="103" spans="2:3" ht="20.100000000000001" customHeight="1">
      <c r="B103" s="611" t="s">
        <v>796</v>
      </c>
      <c r="C103" s="611" t="s">
        <v>793</v>
      </c>
    </row>
    <row r="104" spans="2:3" ht="16.5">
      <c r="B104" s="611" t="s">
        <v>797</v>
      </c>
      <c r="C104" s="611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11" sqref="T11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3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9" t="str">
        <f>All!B2</f>
        <v>서산기상청</v>
      </c>
      <c r="C2" s="515" t="s">
        <v>323</v>
      </c>
    </row>
    <row r="3" spans="2:16" ht="20.25" customHeight="1" thickBot="1">
      <c r="B3" s="609"/>
      <c r="C3" s="515"/>
    </row>
    <row r="4" spans="2:16" ht="29.25" customHeight="1">
      <c r="B4" s="592"/>
      <c r="C4" s="598" t="s">
        <v>7</v>
      </c>
      <c r="D4" s="599" t="s">
        <v>802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438" t="s">
        <v>801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645" t="s">
        <v>192</v>
      </c>
      <c r="J24" s="646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647" t="s">
        <v>191</v>
      </c>
      <c r="J25" s="648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649" t="s">
        <v>243</v>
      </c>
      <c r="J26" s="650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10" t="s">
        <v>836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827</v>
      </c>
      <c r="H5" s="125" t="s">
        <v>828</v>
      </c>
      <c r="I5" s="125" t="s">
        <v>829</v>
      </c>
      <c r="J5" s="125" t="s">
        <v>830</v>
      </c>
      <c r="K5" s="126" t="s">
        <v>831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827</v>
      </c>
      <c r="H6" s="125" t="s">
        <v>832</v>
      </c>
      <c r="I6" s="125" t="s">
        <v>833</v>
      </c>
      <c r="J6" s="125" t="s">
        <v>834</v>
      </c>
      <c r="K6" s="126" t="s">
        <v>835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12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826</v>
      </c>
      <c r="AP5" s="121" t="s">
        <v>337</v>
      </c>
      <c r="AQ5" s="613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13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668" t="s">
        <v>226</v>
      </c>
      <c r="G43" s="666">
        <v>75</v>
      </c>
      <c r="H43" s="328">
        <v>24.59</v>
      </c>
      <c r="I43" s="667">
        <v>124.04951191231021</v>
      </c>
    </row>
    <row r="44" spans="6:19" ht="15.95" customHeight="1">
      <c r="F44" s="661"/>
      <c r="G44" s="659"/>
      <c r="H44" s="243">
        <v>11.56</v>
      </c>
      <c r="I44" s="652"/>
      <c r="K44" s="285"/>
    </row>
    <row r="45" spans="6:19" ht="15.95" customHeight="1">
      <c r="F45" s="663" t="s">
        <v>227</v>
      </c>
      <c r="G45" s="660">
        <v>75</v>
      </c>
      <c r="H45" s="204">
        <v>27.67</v>
      </c>
      <c r="I45" s="651">
        <v>124.03640539194781</v>
      </c>
      <c r="K45" s="285"/>
    </row>
    <row r="46" spans="6:19" ht="15.95" customHeight="1">
      <c r="F46" s="663"/>
      <c r="G46" s="660"/>
      <c r="H46" s="204">
        <v>13.01</v>
      </c>
      <c r="I46" s="651"/>
      <c r="K46" s="285"/>
    </row>
    <row r="47" spans="6:19" ht="15.95" customHeight="1">
      <c r="F47" s="661"/>
      <c r="G47" s="659"/>
      <c r="H47" s="243"/>
      <c r="I47" s="652"/>
      <c r="K47" s="285"/>
    </row>
    <row r="48" spans="6:19" ht="15.95" customHeight="1">
      <c r="F48" s="661"/>
      <c r="G48" s="659"/>
      <c r="H48" s="243"/>
      <c r="I48" s="652"/>
      <c r="K48" s="285"/>
    </row>
    <row r="49" spans="6:11" ht="15.95" customHeight="1">
      <c r="F49" s="663"/>
      <c r="G49" s="660"/>
      <c r="H49" s="204"/>
      <c r="I49" s="651"/>
      <c r="K49" s="285"/>
    </row>
    <row r="50" spans="6:11" ht="15.95" customHeight="1">
      <c r="F50" s="663"/>
      <c r="G50" s="660"/>
      <c r="H50" s="204"/>
      <c r="I50" s="651"/>
      <c r="K50" s="285"/>
    </row>
    <row r="51" spans="6:11" ht="15.95" customHeight="1">
      <c r="F51" s="661"/>
      <c r="G51" s="659"/>
      <c r="H51" s="243"/>
      <c r="I51" s="652"/>
      <c r="K51" s="285"/>
    </row>
    <row r="52" spans="6:11" ht="15.95" customHeight="1">
      <c r="F52" s="661"/>
      <c r="G52" s="659"/>
      <c r="H52" s="243"/>
      <c r="I52" s="652"/>
      <c r="K52" s="285"/>
    </row>
    <row r="53" spans="6:11" ht="15.95" customHeight="1">
      <c r="F53" s="663"/>
      <c r="G53" s="660"/>
      <c r="H53" s="204"/>
      <c r="I53" s="651"/>
      <c r="K53" s="285"/>
    </row>
    <row r="54" spans="6:11" ht="15.95" customHeight="1">
      <c r="F54" s="663"/>
      <c r="G54" s="660"/>
      <c r="H54" s="204"/>
      <c r="I54" s="651"/>
      <c r="K54" s="285"/>
    </row>
    <row r="55" spans="6:11" ht="15.95" customHeight="1">
      <c r="F55" s="661"/>
      <c r="G55" s="659"/>
      <c r="H55" s="243"/>
      <c r="I55" s="652"/>
      <c r="K55" s="285"/>
    </row>
    <row r="56" spans="6:11" ht="15.95" customHeight="1">
      <c r="F56" s="661"/>
      <c r="G56" s="659"/>
      <c r="H56" s="243"/>
      <c r="I56" s="652"/>
      <c r="K56" s="285"/>
    </row>
    <row r="57" spans="6:11" ht="15.95" hidden="1" customHeight="1" outlineLevel="1">
      <c r="F57" s="663"/>
      <c r="G57" s="660"/>
      <c r="H57" s="204"/>
      <c r="I57" s="651"/>
      <c r="K57" s="285"/>
    </row>
    <row r="58" spans="6:11" ht="15.95" hidden="1" customHeight="1" outlineLevel="1">
      <c r="F58" s="663"/>
      <c r="G58" s="660"/>
      <c r="H58" s="204"/>
      <c r="I58" s="651"/>
      <c r="K58" s="285"/>
    </row>
    <row r="59" spans="6:11" ht="15.95" hidden="1" customHeight="1" outlineLevel="1">
      <c r="F59" s="661"/>
      <c r="G59" s="659"/>
      <c r="H59" s="243"/>
      <c r="I59" s="652"/>
      <c r="K59" s="285"/>
    </row>
    <row r="60" spans="6:11" ht="15.95" hidden="1" customHeight="1" outlineLevel="1">
      <c r="F60" s="661"/>
      <c r="G60" s="659"/>
      <c r="H60" s="243"/>
      <c r="I60" s="652"/>
      <c r="K60" s="285"/>
    </row>
    <row r="61" spans="6:11" ht="15.95" hidden="1" customHeight="1" outlineLevel="1">
      <c r="F61" s="663"/>
      <c r="G61" s="660"/>
      <c r="H61" s="204"/>
      <c r="I61" s="651"/>
      <c r="K61" s="285"/>
    </row>
    <row r="62" spans="6:11" ht="15.95" hidden="1" customHeight="1" outlineLevel="1">
      <c r="F62" s="663"/>
      <c r="G62" s="660"/>
      <c r="H62" s="204"/>
      <c r="I62" s="651"/>
      <c r="K62" s="285"/>
    </row>
    <row r="63" spans="6:11" ht="15.95" hidden="1" customHeight="1" outlineLevel="1">
      <c r="F63" s="661"/>
      <c r="G63" s="659"/>
      <c r="H63" s="243"/>
      <c r="I63" s="652"/>
      <c r="K63" s="285"/>
    </row>
    <row r="64" spans="6:11" ht="15.95" hidden="1" customHeight="1" outlineLevel="1">
      <c r="F64" s="661"/>
      <c r="G64" s="659"/>
      <c r="H64" s="243"/>
      <c r="I64" s="652"/>
      <c r="K64" s="285"/>
    </row>
    <row r="65" spans="6:11" ht="15.95" hidden="1" customHeight="1" outlineLevel="1">
      <c r="F65" s="663"/>
      <c r="G65" s="660"/>
      <c r="H65" s="204"/>
      <c r="I65" s="651"/>
      <c r="K65" s="285"/>
    </row>
    <row r="66" spans="6:11" ht="15.95" hidden="1" customHeight="1" outlineLevel="1">
      <c r="F66" s="663"/>
      <c r="G66" s="660"/>
      <c r="H66" s="204"/>
      <c r="I66" s="651"/>
      <c r="K66" s="285"/>
    </row>
    <row r="67" spans="6:11" ht="15.95" hidden="1" customHeight="1" outlineLevel="1">
      <c r="F67" s="661"/>
      <c r="G67" s="659"/>
      <c r="H67" s="243"/>
      <c r="I67" s="652"/>
      <c r="K67" s="285"/>
    </row>
    <row r="68" spans="6:11" ht="15.95" hidden="1" customHeight="1" outlineLevel="1">
      <c r="F68" s="661"/>
      <c r="G68" s="659"/>
      <c r="H68" s="243"/>
      <c r="I68" s="652"/>
      <c r="K68" s="285"/>
    </row>
    <row r="69" spans="6:11" ht="15.95" hidden="1" customHeight="1" outlineLevel="1">
      <c r="F69" s="663"/>
      <c r="G69" s="660"/>
      <c r="H69" s="204"/>
      <c r="I69" s="651"/>
      <c r="K69" s="285"/>
    </row>
    <row r="70" spans="6:11" ht="15.95" hidden="1" customHeight="1" outlineLevel="1">
      <c r="F70" s="663"/>
      <c r="G70" s="660"/>
      <c r="H70" s="204"/>
      <c r="I70" s="651"/>
      <c r="K70" s="285"/>
    </row>
    <row r="71" spans="6:11" ht="15.95" hidden="1" customHeight="1" outlineLevel="1">
      <c r="F71" s="661"/>
      <c r="G71" s="659"/>
      <c r="H71" s="243"/>
      <c r="I71" s="652"/>
      <c r="K71" s="285"/>
    </row>
    <row r="72" spans="6:11" ht="15.95" hidden="1" customHeight="1" outlineLevel="1">
      <c r="F72" s="661"/>
      <c r="G72" s="659"/>
      <c r="H72" s="243"/>
      <c r="I72" s="652"/>
      <c r="K72" s="285"/>
    </row>
    <row r="73" spans="6:11" ht="15.95" hidden="1" customHeight="1" outlineLevel="1">
      <c r="F73" s="663"/>
      <c r="G73" s="660"/>
      <c r="H73" s="204"/>
      <c r="I73" s="651"/>
    </row>
    <row r="74" spans="6:11" ht="15.95" hidden="1" customHeight="1" outlineLevel="1">
      <c r="F74" s="663"/>
      <c r="G74" s="660"/>
      <c r="H74" s="204"/>
      <c r="I74" s="651"/>
    </row>
    <row r="75" spans="6:11" ht="15.95" hidden="1" customHeight="1" outlineLevel="1">
      <c r="F75" s="661"/>
      <c r="G75" s="659"/>
      <c r="H75" s="243"/>
      <c r="I75" s="652"/>
    </row>
    <row r="76" spans="6:11" ht="15.95" hidden="1" customHeight="1" outlineLevel="1">
      <c r="F76" s="661"/>
      <c r="G76" s="659"/>
      <c r="H76" s="243"/>
      <c r="I76" s="652"/>
    </row>
    <row r="77" spans="6:11" ht="15.95" hidden="1" customHeight="1" outlineLevel="1">
      <c r="F77" s="663"/>
      <c r="G77" s="660"/>
      <c r="H77" s="204"/>
      <c r="I77" s="651"/>
    </row>
    <row r="78" spans="6:11" ht="15.95" hidden="1" customHeight="1" outlineLevel="1">
      <c r="F78" s="663"/>
      <c r="G78" s="660"/>
      <c r="H78" s="204"/>
      <c r="I78" s="651"/>
    </row>
    <row r="79" spans="6:11" ht="15.95" hidden="1" customHeight="1" outlineLevel="1">
      <c r="F79" s="661"/>
      <c r="G79" s="659"/>
      <c r="H79" s="243"/>
      <c r="I79" s="652"/>
    </row>
    <row r="80" spans="6:11" ht="15.95" hidden="1" customHeight="1" outlineLevel="1">
      <c r="F80" s="661"/>
      <c r="G80" s="659"/>
      <c r="H80" s="243"/>
      <c r="I80" s="652"/>
    </row>
    <row r="81" spans="6:9" ht="15.95" hidden="1" customHeight="1" outlineLevel="1">
      <c r="F81" s="663"/>
      <c r="G81" s="660"/>
      <c r="H81" s="204"/>
      <c r="I81" s="651"/>
    </row>
    <row r="82" spans="6:9" ht="15.95" hidden="1" customHeight="1" outlineLevel="1">
      <c r="F82" s="663"/>
      <c r="G82" s="660"/>
      <c r="H82" s="204"/>
      <c r="I82" s="651"/>
    </row>
    <row r="83" spans="6:9" ht="15.95" hidden="1" customHeight="1" outlineLevel="1">
      <c r="F83" s="661"/>
      <c r="G83" s="659"/>
      <c r="H83" s="243"/>
      <c r="I83" s="652"/>
    </row>
    <row r="84" spans="6:9" ht="15.95" hidden="1" customHeight="1" outlineLevel="1">
      <c r="F84" s="661"/>
      <c r="G84" s="659"/>
      <c r="H84" s="243"/>
      <c r="I84" s="652"/>
    </row>
    <row r="85" spans="6:9" ht="15.95" hidden="1" customHeight="1" outlineLevel="1">
      <c r="F85" s="663"/>
      <c r="G85" s="660"/>
      <c r="H85" s="204"/>
      <c r="I85" s="651"/>
    </row>
    <row r="86" spans="6:9" ht="15.95" hidden="1" customHeight="1" outlineLevel="1">
      <c r="F86" s="663"/>
      <c r="G86" s="660"/>
      <c r="H86" s="204"/>
      <c r="I86" s="651"/>
    </row>
    <row r="87" spans="6:9" ht="15.95" hidden="1" customHeight="1" outlineLevel="1">
      <c r="F87" s="661"/>
      <c r="G87" s="659"/>
      <c r="H87" s="243"/>
      <c r="I87" s="652"/>
    </row>
    <row r="88" spans="6:9" ht="15.95" hidden="1" customHeight="1" outlineLevel="1">
      <c r="F88" s="661"/>
      <c r="G88" s="659"/>
      <c r="H88" s="243"/>
      <c r="I88" s="652"/>
    </row>
    <row r="89" spans="6:9" ht="15.95" hidden="1" customHeight="1" outlineLevel="1">
      <c r="F89" s="663"/>
      <c r="G89" s="660"/>
      <c r="H89" s="204"/>
      <c r="I89" s="651"/>
    </row>
    <row r="90" spans="6:9" ht="15.95" hidden="1" customHeight="1" outlineLevel="1">
      <c r="F90" s="663"/>
      <c r="G90" s="660"/>
      <c r="H90" s="204"/>
      <c r="I90" s="651"/>
    </row>
    <row r="91" spans="6:9" ht="15.95" hidden="1" customHeight="1" outlineLevel="1">
      <c r="F91" s="661"/>
      <c r="G91" s="659"/>
      <c r="H91" s="243"/>
      <c r="I91" s="652"/>
    </row>
    <row r="92" spans="6:9" ht="15.95" hidden="1" customHeight="1" outlineLevel="1">
      <c r="F92" s="661"/>
      <c r="G92" s="659"/>
      <c r="H92" s="243"/>
      <c r="I92" s="652"/>
    </row>
    <row r="93" spans="6:9" ht="15.95" hidden="1" customHeight="1" outlineLevel="1">
      <c r="F93" s="663"/>
      <c r="G93" s="660"/>
      <c r="H93" s="204"/>
      <c r="I93" s="651"/>
    </row>
    <row r="94" spans="6:9" ht="15.95" hidden="1" customHeight="1" outlineLevel="1">
      <c r="F94" s="663"/>
      <c r="G94" s="660"/>
      <c r="H94" s="204"/>
      <c r="I94" s="651"/>
    </row>
    <row r="95" spans="6:9" ht="15.95" hidden="1" customHeight="1" outlineLevel="1">
      <c r="F95" s="662"/>
      <c r="G95" s="664"/>
      <c r="H95" s="141"/>
      <c r="I95" s="665"/>
    </row>
    <row r="96" spans="6:9" ht="15.95" hidden="1" customHeight="1" outlineLevel="1">
      <c r="F96" s="662"/>
      <c r="G96" s="664"/>
      <c r="H96" s="141"/>
      <c r="I96" s="665"/>
    </row>
    <row r="97" spans="6:9" ht="15.95" hidden="1" customHeight="1" outlineLevel="1">
      <c r="F97" s="653"/>
      <c r="G97" s="655"/>
      <c r="H97" s="215"/>
      <c r="I97" s="657"/>
    </row>
    <row r="98" spans="6:9" ht="15.95" hidden="1" customHeight="1" outlineLevel="1">
      <c r="F98" s="653"/>
      <c r="G98" s="655"/>
      <c r="H98" s="215"/>
      <c r="I98" s="657"/>
    </row>
    <row r="99" spans="6:9" ht="15.95" hidden="1" customHeight="1" outlineLevel="1">
      <c r="F99" s="662"/>
      <c r="G99" s="664"/>
      <c r="H99" s="141"/>
      <c r="I99" s="665"/>
    </row>
    <row r="100" spans="6:9" ht="15.95" hidden="1" customHeight="1" outlineLevel="1">
      <c r="F100" s="662"/>
      <c r="G100" s="664"/>
      <c r="H100" s="141"/>
      <c r="I100" s="665"/>
    </row>
    <row r="101" spans="6:9" ht="15.95" hidden="1" customHeight="1" outlineLevel="1">
      <c r="F101" s="653"/>
      <c r="G101" s="655"/>
      <c r="H101" s="215"/>
      <c r="I101" s="657"/>
    </row>
    <row r="102" spans="6:9" ht="15.95" hidden="1" customHeight="1" outlineLevel="1" thickBot="1">
      <c r="F102" s="654"/>
      <c r="G102" s="656"/>
      <c r="H102" s="319"/>
      <c r="I102" s="65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669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670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71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653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53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653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62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662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62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653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53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653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62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662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62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653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53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653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62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662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62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653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53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653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62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662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62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653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53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653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62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662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662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653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653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653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662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662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662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653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653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653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662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662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662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653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653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653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662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662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662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653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653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653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662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662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662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653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653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653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662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662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662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653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653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653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662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662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662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653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653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653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662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662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662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653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653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653"/>
      <c r="D125" s="215" t="s">
        <v>247</v>
      </c>
      <c r="E125" s="217"/>
      <c r="F125" s="218"/>
      <c r="H125" s="284"/>
    </row>
    <row r="126" spans="3:8" ht="20.25" hidden="1" customHeight="1" outlineLevel="1">
      <c r="C126" s="662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662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662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653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653"/>
      <c r="D130" s="215" t="s">
        <v>246</v>
      </c>
      <c r="E130" s="314"/>
      <c r="F130" s="316"/>
    </row>
    <row r="131" spans="3:12" ht="20.100000000000001" hidden="1" customHeight="1" outlineLevel="1">
      <c r="C131" s="653"/>
      <c r="D131" s="215" t="s">
        <v>247</v>
      </c>
      <c r="E131" s="317"/>
      <c r="F131" s="318"/>
    </row>
    <row r="132" spans="3:12" ht="20.100000000000001" hidden="1" customHeight="1" outlineLevel="1">
      <c r="C132" s="662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662"/>
      <c r="D133" s="141" t="s">
        <v>246</v>
      </c>
      <c r="E133" s="309"/>
      <c r="F133" s="311"/>
    </row>
    <row r="134" spans="3:12" ht="20.100000000000001" hidden="1" customHeight="1" outlineLevel="1">
      <c r="C134" s="662"/>
      <c r="D134" s="141" t="s">
        <v>247</v>
      </c>
      <c r="E134" s="312"/>
      <c r="F134" s="313"/>
    </row>
    <row r="135" spans="3:12" ht="20.100000000000001" hidden="1" customHeight="1" outlineLevel="1">
      <c r="C135" s="653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653"/>
      <c r="D136" s="215" t="s">
        <v>246</v>
      </c>
      <c r="E136" s="314"/>
      <c r="F136" s="316"/>
    </row>
    <row r="137" spans="3:12" ht="20.100000000000001" hidden="1" customHeight="1" outlineLevel="1" thickBot="1">
      <c r="C137" s="654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823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O33" sqref="O33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L10" s="283" t="s">
        <v>614</v>
      </c>
    </row>
    <row r="11" spans="1:88" s="36" customFormat="1" ht="39" customHeight="1">
      <c r="A11" s="361"/>
      <c r="B11" s="361"/>
      <c r="C11" s="361"/>
      <c r="D11" s="642" t="s">
        <v>679</v>
      </c>
      <c r="E11" s="643" t="s">
        <v>680</v>
      </c>
      <c r="F11" s="643" t="s">
        <v>270</v>
      </c>
      <c r="G11" s="643" t="s">
        <v>681</v>
      </c>
      <c r="H11" s="643" t="s">
        <v>682</v>
      </c>
      <c r="I11" s="643" t="s">
        <v>271</v>
      </c>
      <c r="J11" s="644" t="s">
        <v>683</v>
      </c>
      <c r="K11" s="361"/>
      <c r="L11" s="642" t="s">
        <v>679</v>
      </c>
      <c r="M11" s="643" t="s">
        <v>680</v>
      </c>
      <c r="N11" s="643" t="s">
        <v>270</v>
      </c>
      <c r="O11" s="643" t="s">
        <v>681</v>
      </c>
      <c r="P11" s="643" t="s">
        <v>682</v>
      </c>
      <c r="Q11" s="643" t="s">
        <v>161</v>
      </c>
      <c r="R11" s="643" t="s">
        <v>271</v>
      </c>
      <c r="S11" s="644" t="s">
        <v>683</v>
      </c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622" t="s">
        <v>226</v>
      </c>
      <c r="E12" s="623">
        <v>129</v>
      </c>
      <c r="F12" s="623">
        <v>120</v>
      </c>
      <c r="G12" s="624">
        <v>10.32</v>
      </c>
      <c r="H12" s="624">
        <v>37.950000000000003</v>
      </c>
      <c r="I12" s="626">
        <v>2.5764999999999998</v>
      </c>
      <c r="J12" s="627">
        <v>2.5559999999999998E-4</v>
      </c>
      <c r="K12" s="285"/>
      <c r="L12" s="622" t="s">
        <v>226</v>
      </c>
      <c r="M12" s="623">
        <v>129</v>
      </c>
      <c r="N12" s="623">
        <v>120</v>
      </c>
      <c r="O12" s="624">
        <v>10.32</v>
      </c>
      <c r="P12" s="624">
        <v>37.950000000000003</v>
      </c>
      <c r="Q12" s="625">
        <v>27.630000000000003</v>
      </c>
      <c r="R12" s="626">
        <v>2.5764999999999998</v>
      </c>
      <c r="S12" s="627">
        <v>2.5559999999999998E-4</v>
      </c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628" t="s">
        <v>227</v>
      </c>
      <c r="E13" s="629">
        <v>72</v>
      </c>
      <c r="F13" s="629">
        <v>120</v>
      </c>
      <c r="G13" s="630">
        <v>11.24</v>
      </c>
      <c r="H13" s="630">
        <v>42.33</v>
      </c>
      <c r="I13" s="632">
        <v>2.2345000000000002</v>
      </c>
      <c r="J13" s="633">
        <v>2.7169999999999999E-4</v>
      </c>
      <c r="K13" s="285"/>
      <c r="L13" s="628" t="s">
        <v>227</v>
      </c>
      <c r="M13" s="629">
        <v>72</v>
      </c>
      <c r="N13" s="629">
        <v>120</v>
      </c>
      <c r="O13" s="630">
        <v>11.24</v>
      </c>
      <c r="P13" s="630">
        <v>42.33</v>
      </c>
      <c r="Q13" s="631">
        <v>31.089999999999996</v>
      </c>
      <c r="R13" s="632">
        <v>2.2345000000000002</v>
      </c>
      <c r="S13" s="633">
        <v>2.7169999999999999E-4</v>
      </c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622"/>
      <c r="E14" s="623"/>
      <c r="F14" s="623"/>
      <c r="G14" s="624"/>
      <c r="H14" s="624"/>
      <c r="I14" s="626"/>
      <c r="J14" s="627"/>
      <c r="K14" s="285"/>
      <c r="L14" s="622"/>
      <c r="M14" s="623"/>
      <c r="N14" s="623"/>
      <c r="O14" s="624"/>
      <c r="P14" s="624"/>
      <c r="Q14" s="625"/>
      <c r="R14" s="626"/>
      <c r="S14" s="627"/>
      <c r="T14" s="285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628"/>
      <c r="E15" s="629"/>
      <c r="F15" s="629"/>
      <c r="G15" s="630"/>
      <c r="H15" s="630"/>
      <c r="I15" s="632"/>
      <c r="J15" s="633"/>
      <c r="K15" s="285"/>
      <c r="L15" s="628"/>
      <c r="M15" s="629"/>
      <c r="N15" s="629"/>
      <c r="O15" s="630"/>
      <c r="P15" s="630"/>
      <c r="Q15" s="631"/>
      <c r="R15" s="632"/>
      <c r="S15" s="633"/>
      <c r="T15" s="285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622"/>
      <c r="E16" s="623"/>
      <c r="F16" s="623"/>
      <c r="G16" s="624"/>
      <c r="H16" s="624"/>
      <c r="I16" s="626"/>
      <c r="J16" s="627"/>
      <c r="K16" s="285"/>
      <c r="L16" s="622"/>
      <c r="M16" s="623"/>
      <c r="N16" s="623"/>
      <c r="O16" s="624"/>
      <c r="P16" s="624"/>
      <c r="Q16" s="625"/>
      <c r="R16" s="626"/>
      <c r="S16" s="627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628"/>
      <c r="E17" s="629"/>
      <c r="F17" s="629"/>
      <c r="G17" s="630"/>
      <c r="H17" s="630"/>
      <c r="I17" s="632"/>
      <c r="J17" s="633"/>
      <c r="K17" s="285"/>
      <c r="L17" s="628"/>
      <c r="M17" s="629"/>
      <c r="N17" s="629"/>
      <c r="O17" s="630"/>
      <c r="P17" s="630"/>
      <c r="Q17" s="631"/>
      <c r="R17" s="632"/>
      <c r="S17" s="633"/>
      <c r="T17" s="285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622"/>
      <c r="E18" s="623"/>
      <c r="F18" s="623"/>
      <c r="G18" s="624"/>
      <c r="H18" s="624"/>
      <c r="I18" s="626"/>
      <c r="J18" s="627"/>
      <c r="K18" s="285"/>
      <c r="L18" s="622"/>
      <c r="M18" s="623"/>
      <c r="N18" s="623"/>
      <c r="O18" s="624"/>
      <c r="P18" s="624"/>
      <c r="Q18" s="625"/>
      <c r="R18" s="626"/>
      <c r="S18" s="627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628"/>
      <c r="E19" s="629"/>
      <c r="F19" s="629"/>
      <c r="G19" s="630"/>
      <c r="H19" s="630"/>
      <c r="I19" s="632"/>
      <c r="J19" s="633"/>
      <c r="K19" s="285"/>
      <c r="L19" s="628"/>
      <c r="M19" s="629"/>
      <c r="N19" s="629"/>
      <c r="O19" s="630"/>
      <c r="P19" s="630"/>
      <c r="Q19" s="631"/>
      <c r="R19" s="632"/>
      <c r="S19" s="633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622"/>
      <c r="E20" s="623"/>
      <c r="F20" s="623"/>
      <c r="G20" s="624"/>
      <c r="H20" s="624"/>
      <c r="I20" s="626"/>
      <c r="J20" s="627"/>
      <c r="K20" s="285"/>
      <c r="L20" s="622"/>
      <c r="M20" s="623"/>
      <c r="N20" s="623"/>
      <c r="O20" s="624"/>
      <c r="P20" s="624"/>
      <c r="Q20" s="625"/>
      <c r="R20" s="626"/>
      <c r="S20" s="627"/>
      <c r="T20" s="285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628"/>
      <c r="E21" s="629"/>
      <c r="F21" s="629"/>
      <c r="G21" s="630"/>
      <c r="H21" s="630"/>
      <c r="I21" s="632"/>
      <c r="J21" s="633"/>
      <c r="K21" s="285"/>
      <c r="L21" s="628"/>
      <c r="M21" s="629"/>
      <c r="N21" s="629"/>
      <c r="O21" s="630"/>
      <c r="P21" s="630"/>
      <c r="Q21" s="631"/>
      <c r="R21" s="632"/>
      <c r="S21" s="633"/>
      <c r="T21" s="285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622"/>
      <c r="E22" s="623"/>
      <c r="F22" s="623"/>
      <c r="G22" s="624"/>
      <c r="H22" s="624"/>
      <c r="I22" s="626"/>
      <c r="J22" s="627"/>
      <c r="K22" s="285"/>
      <c r="L22" s="622"/>
      <c r="M22" s="623"/>
      <c r="N22" s="623"/>
      <c r="O22" s="624"/>
      <c r="P22" s="624"/>
      <c r="Q22" s="625"/>
      <c r="R22" s="626"/>
      <c r="S22" s="627"/>
      <c r="T22" s="285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628"/>
      <c r="E23" s="629"/>
      <c r="F23" s="629"/>
      <c r="G23" s="630"/>
      <c r="H23" s="630"/>
      <c r="I23" s="632"/>
      <c r="J23" s="633"/>
      <c r="K23" s="285"/>
      <c r="L23" s="628"/>
      <c r="M23" s="629"/>
      <c r="N23" s="629"/>
      <c r="O23" s="630"/>
      <c r="P23" s="630"/>
      <c r="Q23" s="631"/>
      <c r="R23" s="632"/>
      <c r="S23" s="633"/>
      <c r="T23" s="285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622"/>
      <c r="E24" s="623"/>
      <c r="F24" s="623"/>
      <c r="G24" s="624"/>
      <c r="H24" s="624"/>
      <c r="I24" s="626"/>
      <c r="J24" s="627"/>
      <c r="K24" s="285"/>
      <c r="L24" s="622"/>
      <c r="M24" s="623"/>
      <c r="N24" s="623"/>
      <c r="O24" s="624"/>
      <c r="P24" s="624"/>
      <c r="Q24" s="625"/>
      <c r="R24" s="626"/>
      <c r="S24" s="627"/>
      <c r="T24" s="285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628"/>
      <c r="E25" s="629"/>
      <c r="F25" s="629"/>
      <c r="G25" s="630"/>
      <c r="H25" s="630"/>
      <c r="I25" s="632"/>
      <c r="J25" s="633"/>
      <c r="K25" s="285"/>
      <c r="L25" s="628"/>
      <c r="M25" s="629"/>
      <c r="N25" s="629"/>
      <c r="O25" s="630"/>
      <c r="P25" s="630"/>
      <c r="Q25" s="631"/>
      <c r="R25" s="632"/>
      <c r="S25" s="633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622"/>
      <c r="E26" s="623"/>
      <c r="F26" s="623"/>
      <c r="G26" s="624"/>
      <c r="H26" s="624"/>
      <c r="I26" s="626"/>
      <c r="J26" s="627"/>
      <c r="K26" s="285"/>
      <c r="L26" s="622"/>
      <c r="M26" s="623"/>
      <c r="N26" s="623"/>
      <c r="O26" s="624"/>
      <c r="P26" s="624"/>
      <c r="Q26" s="625"/>
      <c r="R26" s="626"/>
      <c r="S26" s="627"/>
      <c r="T26" s="285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628"/>
      <c r="E27" s="629"/>
      <c r="F27" s="629"/>
      <c r="G27" s="630"/>
      <c r="H27" s="630"/>
      <c r="I27" s="632"/>
      <c r="J27" s="633"/>
      <c r="K27" s="285"/>
      <c r="L27" s="628"/>
      <c r="M27" s="629"/>
      <c r="N27" s="629"/>
      <c r="O27" s="630"/>
      <c r="P27" s="630"/>
      <c r="Q27" s="634"/>
      <c r="R27" s="632"/>
      <c r="S27" s="633"/>
      <c r="T27" s="285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622"/>
      <c r="E28" s="623"/>
      <c r="F28" s="623"/>
      <c r="G28" s="624"/>
      <c r="H28" s="624"/>
      <c r="I28" s="626"/>
      <c r="J28" s="627"/>
      <c r="K28" s="285"/>
      <c r="L28" s="622"/>
      <c r="M28" s="623"/>
      <c r="N28" s="623"/>
      <c r="O28" s="624"/>
      <c r="P28" s="624"/>
      <c r="Q28" s="635"/>
      <c r="R28" s="626"/>
      <c r="S28" s="627"/>
      <c r="T28" s="285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628"/>
      <c r="E29" s="629"/>
      <c r="F29" s="629"/>
      <c r="G29" s="630"/>
      <c r="H29" s="630"/>
      <c r="I29" s="632"/>
      <c r="J29" s="633"/>
      <c r="K29" s="285"/>
      <c r="L29" s="628"/>
      <c r="M29" s="629"/>
      <c r="N29" s="629"/>
      <c r="O29" s="630"/>
      <c r="P29" s="630"/>
      <c r="Q29" s="634"/>
      <c r="R29" s="632"/>
      <c r="S29" s="633"/>
      <c r="T29" s="285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622"/>
      <c r="E30" s="623"/>
      <c r="F30" s="623"/>
      <c r="G30" s="624"/>
      <c r="H30" s="624"/>
      <c r="I30" s="626"/>
      <c r="J30" s="627"/>
      <c r="K30" s="285"/>
      <c r="L30" s="622"/>
      <c r="M30" s="623"/>
      <c r="N30" s="623"/>
      <c r="O30" s="624"/>
      <c r="P30" s="624"/>
      <c r="Q30" s="635"/>
      <c r="R30" s="626"/>
      <c r="S30" s="627"/>
      <c r="T30" s="285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628"/>
      <c r="E31" s="629"/>
      <c r="F31" s="629"/>
      <c r="G31" s="630"/>
      <c r="H31" s="630"/>
      <c r="I31" s="632"/>
      <c r="J31" s="633"/>
      <c r="K31" s="285"/>
      <c r="L31" s="628"/>
      <c r="M31" s="629"/>
      <c r="N31" s="629"/>
      <c r="O31" s="630"/>
      <c r="P31" s="630"/>
      <c r="Q31" s="634"/>
      <c r="R31" s="632"/>
      <c r="S31" s="633"/>
      <c r="T31" s="285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622"/>
      <c r="E32" s="623"/>
      <c r="F32" s="623"/>
      <c r="G32" s="624"/>
      <c r="H32" s="624"/>
      <c r="I32" s="626"/>
      <c r="J32" s="627"/>
      <c r="K32" s="285"/>
      <c r="L32" s="622"/>
      <c r="M32" s="623"/>
      <c r="N32" s="623"/>
      <c r="O32" s="624"/>
      <c r="P32" s="624"/>
      <c r="Q32" s="635"/>
      <c r="R32" s="626"/>
      <c r="S32" s="627"/>
      <c r="T32" s="285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628"/>
      <c r="E33" s="629"/>
      <c r="F33" s="629"/>
      <c r="G33" s="630"/>
      <c r="H33" s="630"/>
      <c r="I33" s="632"/>
      <c r="J33" s="633"/>
      <c r="K33" s="285"/>
      <c r="L33" s="628"/>
      <c r="M33" s="629"/>
      <c r="N33" s="629"/>
      <c r="O33" s="630"/>
      <c r="P33" s="630"/>
      <c r="Q33" s="634"/>
      <c r="R33" s="632"/>
      <c r="S33" s="633"/>
      <c r="T33" s="285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622"/>
      <c r="E34" s="623"/>
      <c r="F34" s="623"/>
      <c r="G34" s="624"/>
      <c r="H34" s="624"/>
      <c r="I34" s="626"/>
      <c r="J34" s="627"/>
      <c r="K34" s="285"/>
      <c r="L34" s="622"/>
      <c r="M34" s="623"/>
      <c r="N34" s="623"/>
      <c r="O34" s="624"/>
      <c r="P34" s="624"/>
      <c r="Q34" s="635"/>
      <c r="R34" s="626"/>
      <c r="S34" s="627"/>
      <c r="T34" s="285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628"/>
      <c r="E35" s="629"/>
      <c r="F35" s="629"/>
      <c r="G35" s="630"/>
      <c r="H35" s="630"/>
      <c r="I35" s="632"/>
      <c r="J35" s="633"/>
      <c r="K35" s="285"/>
      <c r="L35" s="628"/>
      <c r="M35" s="629"/>
      <c r="N35" s="629"/>
      <c r="O35" s="630"/>
      <c r="P35" s="630"/>
      <c r="Q35" s="634"/>
      <c r="R35" s="632"/>
      <c r="S35" s="633"/>
      <c r="T35" s="285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622"/>
      <c r="E36" s="623"/>
      <c r="F36" s="623"/>
      <c r="G36" s="624"/>
      <c r="H36" s="624"/>
      <c r="I36" s="626"/>
      <c r="J36" s="627"/>
      <c r="K36" s="285"/>
      <c r="L36" s="622"/>
      <c r="M36" s="623"/>
      <c r="N36" s="623"/>
      <c r="O36" s="624"/>
      <c r="P36" s="624"/>
      <c r="Q36" s="635"/>
      <c r="R36" s="626"/>
      <c r="S36" s="627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628"/>
      <c r="E37" s="629"/>
      <c r="F37" s="629"/>
      <c r="G37" s="630"/>
      <c r="H37" s="630"/>
      <c r="I37" s="632"/>
      <c r="J37" s="633"/>
      <c r="K37" s="285"/>
      <c r="L37" s="628"/>
      <c r="M37" s="629"/>
      <c r="N37" s="629"/>
      <c r="O37" s="630"/>
      <c r="P37" s="630"/>
      <c r="Q37" s="634"/>
      <c r="R37" s="632"/>
      <c r="S37" s="633"/>
      <c r="T37" s="285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622"/>
      <c r="E38" s="623"/>
      <c r="F38" s="623"/>
      <c r="G38" s="624"/>
      <c r="H38" s="624"/>
      <c r="I38" s="626"/>
      <c r="J38" s="627"/>
      <c r="K38" s="285"/>
      <c r="L38" s="622"/>
      <c r="M38" s="623"/>
      <c r="N38" s="623"/>
      <c r="O38" s="624"/>
      <c r="P38" s="624"/>
      <c r="Q38" s="635"/>
      <c r="R38" s="626"/>
      <c r="S38" s="627"/>
      <c r="T38" s="285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628"/>
      <c r="E39" s="629"/>
      <c r="F39" s="629"/>
      <c r="G39" s="630"/>
      <c r="H39" s="630"/>
      <c r="I39" s="632"/>
      <c r="J39" s="633"/>
      <c r="K39" s="285"/>
      <c r="L39" s="628"/>
      <c r="M39" s="629"/>
      <c r="N39" s="629"/>
      <c r="O39" s="630"/>
      <c r="P39" s="630"/>
      <c r="Q39" s="634"/>
      <c r="R39" s="632"/>
      <c r="S39" s="633"/>
      <c r="T39" s="285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622"/>
      <c r="E40" s="623"/>
      <c r="F40" s="623"/>
      <c r="G40" s="624"/>
      <c r="H40" s="624"/>
      <c r="I40" s="626"/>
      <c r="J40" s="627"/>
      <c r="K40" s="285"/>
      <c r="L40" s="622"/>
      <c r="M40" s="623"/>
      <c r="N40" s="623"/>
      <c r="O40" s="624"/>
      <c r="P40" s="624"/>
      <c r="Q40" s="635"/>
      <c r="R40" s="626"/>
      <c r="S40" s="627"/>
      <c r="T40" s="285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636"/>
      <c r="E41" s="637"/>
      <c r="F41" s="637"/>
      <c r="G41" s="638"/>
      <c r="H41" s="638"/>
      <c r="I41" s="640"/>
      <c r="J41" s="641"/>
      <c r="K41" s="285"/>
      <c r="L41" s="636"/>
      <c r="M41" s="637"/>
      <c r="N41" s="637"/>
      <c r="O41" s="638"/>
      <c r="P41" s="638"/>
      <c r="Q41" s="639"/>
      <c r="R41" s="640"/>
      <c r="S41" s="641"/>
      <c r="T41" s="285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805</v>
      </c>
      <c r="F45" s="277" t="s">
        <v>806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805</v>
      </c>
      <c r="N45" s="277" t="s">
        <v>807</v>
      </c>
      <c r="O45" s="278" t="s">
        <v>808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809</v>
      </c>
      <c r="F46" s="274" t="s">
        <v>810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809</v>
      </c>
      <c r="N46" s="274" t="s">
        <v>811</v>
      </c>
      <c r="O46" s="275" t="s">
        <v>812</v>
      </c>
      <c r="P46" s="285"/>
      <c r="Q46" s="95">
        <f>MIN(J45:J74)</f>
        <v>105</v>
      </c>
      <c r="R46" s="124" t="s">
        <v>688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813</v>
      </c>
      <c r="E79" s="115" t="s">
        <v>813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814</v>
      </c>
      <c r="E84" s="115" t="s">
        <v>815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816</v>
      </c>
      <c r="E94" s="115" t="s">
        <v>817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818</v>
      </c>
      <c r="E99" s="115" t="s">
        <v>819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689</v>
      </c>
      <c r="E104" s="115" t="s">
        <v>822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821</v>
      </c>
      <c r="E114" s="115" t="s">
        <v>821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820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D15" sqref="D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/>
      <c r="E1" s="608" t="s">
        <v>838</v>
      </c>
      <c r="F1" s="608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700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2" t="s">
        <v>1</v>
      </c>
      <c r="H2" s="702" t="s">
        <v>2</v>
      </c>
      <c r="I2" s="702" t="s">
        <v>169</v>
      </c>
      <c r="J2" s="703" t="s">
        <v>253</v>
      </c>
      <c r="K2" s="702" t="s">
        <v>252</v>
      </c>
      <c r="L2" s="702" t="s">
        <v>3</v>
      </c>
      <c r="M2" s="702" t="s">
        <v>4</v>
      </c>
      <c r="N2" s="702" t="s">
        <v>5</v>
      </c>
      <c r="O2" s="702" t="s">
        <v>251</v>
      </c>
      <c r="P2" s="704" t="s">
        <v>250</v>
      </c>
      <c r="Q2" s="701" t="s">
        <v>156</v>
      </c>
      <c r="R2" s="705" t="s">
        <v>91</v>
      </c>
    </row>
    <row r="3" spans="1:18" s="53" customFormat="1" ht="27" customHeight="1">
      <c r="A3" s="706"/>
      <c r="B3" s="707"/>
      <c r="C3" s="707"/>
      <c r="D3" s="707"/>
      <c r="E3" s="707"/>
      <c r="F3" s="707"/>
      <c r="G3" s="708"/>
      <c r="H3" s="708"/>
      <c r="I3" s="708"/>
      <c r="J3" s="709"/>
      <c r="K3" s="708"/>
      <c r="L3" s="708"/>
      <c r="M3" s="708"/>
      <c r="N3" s="708"/>
      <c r="O3" s="708"/>
      <c r="P3" s="710"/>
      <c r="Q3" s="707"/>
      <c r="R3" s="711"/>
    </row>
    <row r="4" spans="1:18" ht="23.1" customHeight="1">
      <c r="A4" s="712" t="s">
        <v>839</v>
      </c>
      <c r="B4" s="713" t="str">
        <f>Recharge!$B$32</f>
        <v>주식회사 한일지하수</v>
      </c>
      <c r="C4" s="714"/>
      <c r="D4" s="715" t="s">
        <v>837</v>
      </c>
      <c r="E4" s="715" t="str">
        <f>Recharge!$I$24</f>
        <v>금강서해/대호방조제</v>
      </c>
      <c r="F4" s="715" t="str">
        <f>All!$B$2</f>
        <v>서산기상청</v>
      </c>
      <c r="G4" s="715">
        <v>200</v>
      </c>
      <c r="H4" s="715">
        <v>129</v>
      </c>
      <c r="I4" s="715">
        <v>120</v>
      </c>
      <c r="J4" s="715">
        <v>120</v>
      </c>
      <c r="K4" s="715">
        <v>210</v>
      </c>
      <c r="L4" s="715">
        <v>5</v>
      </c>
      <c r="M4" s="715">
        <v>60</v>
      </c>
      <c r="N4" s="716">
        <v>50</v>
      </c>
      <c r="O4" s="717">
        <f>ROUND(water!$F$7, 1)</f>
        <v>204.1</v>
      </c>
      <c r="P4" s="718">
        <v>2932685.6872</v>
      </c>
      <c r="Q4" s="715"/>
      <c r="R4" s="719"/>
    </row>
    <row r="5" spans="1:18" ht="23.1" customHeight="1" thickBot="1">
      <c r="A5" s="720" t="s">
        <v>840</v>
      </c>
      <c r="B5" s="721" t="str">
        <f>Recharge!$B$32</f>
        <v>주식회사 한일지하수</v>
      </c>
      <c r="C5" s="722"/>
      <c r="D5" s="723" t="s">
        <v>837</v>
      </c>
      <c r="E5" s="723" t="str">
        <f>Recharge!$I$24</f>
        <v>금강서해/대호방조제</v>
      </c>
      <c r="F5" s="723" t="str">
        <f>All!$B$2</f>
        <v>서산기상청</v>
      </c>
      <c r="G5" s="723">
        <v>200</v>
      </c>
      <c r="H5" s="723">
        <v>72</v>
      </c>
      <c r="I5" s="723">
        <v>120</v>
      </c>
      <c r="J5" s="723">
        <v>120</v>
      </c>
      <c r="K5" s="723">
        <v>197</v>
      </c>
      <c r="L5" s="723">
        <v>5</v>
      </c>
      <c r="M5" s="723">
        <v>60</v>
      </c>
      <c r="N5" s="724">
        <v>40</v>
      </c>
      <c r="O5" s="725">
        <f>ROUND(water!$F$7, 1)</f>
        <v>204.1</v>
      </c>
      <c r="P5" s="726">
        <v>2932685.6872</v>
      </c>
      <c r="Q5" s="723"/>
      <c r="R5" s="727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85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6">
        <f>Well!R4</f>
        <v>0</v>
      </c>
      <c r="D4" s="584" t="s">
        <v>51</v>
      </c>
      <c r="E4" s="4">
        <v>0</v>
      </c>
      <c r="F4" s="5"/>
      <c r="G4" s="621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6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87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17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88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89">
        <f>Well!G4</f>
        <v>200</v>
      </c>
    </row>
    <row r="9" spans="1:13" ht="25.5" customHeight="1" thickBot="1">
      <c r="B9" s="585" t="s">
        <v>59</v>
      </c>
      <c r="C9" s="690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91">
        <v>5</v>
      </c>
      <c r="D10" s="152" t="s">
        <v>61</v>
      </c>
      <c r="E10" s="618">
        <v>87.9</v>
      </c>
      <c r="F10" s="619">
        <v>107.7</v>
      </c>
      <c r="G10" s="620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91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92">
        <f>C7-C9</f>
        <v>117</v>
      </c>
      <c r="H12" s="9"/>
      <c r="J12" s="157" t="s">
        <v>116</v>
      </c>
      <c r="K12" s="616">
        <v>153</v>
      </c>
      <c r="L12" s="615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92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93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89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94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95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95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96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97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98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99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4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672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17" t="s">
        <v>677</v>
      </c>
    </row>
    <row r="27" spans="2:12" ht="25.5" customHeight="1">
      <c r="B27" s="673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673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73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73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74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85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6">
        <f>Well!R5</f>
        <v>0</v>
      </c>
      <c r="D4" s="584" t="s">
        <v>51</v>
      </c>
      <c r="E4" s="4">
        <v>0</v>
      </c>
      <c r="F4" s="5"/>
      <c r="G4" s="621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6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87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17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88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89">
        <f>Well!G5</f>
        <v>200</v>
      </c>
    </row>
    <row r="9" spans="1:13" ht="25.5" customHeight="1" thickBot="1">
      <c r="B9" s="585" t="s">
        <v>59</v>
      </c>
      <c r="C9" s="690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91">
        <v>5</v>
      </c>
      <c r="D10" s="152" t="s">
        <v>61</v>
      </c>
      <c r="E10" s="618">
        <v>118.7</v>
      </c>
      <c r="F10" s="619">
        <v>145.30000000000001</v>
      </c>
      <c r="G10" s="620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91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92">
        <f>C7-C9</f>
        <v>59</v>
      </c>
      <c r="H12" s="9"/>
      <c r="J12" s="157" t="s">
        <v>116</v>
      </c>
      <c r="K12" s="616">
        <v>150</v>
      </c>
      <c r="L12" s="615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92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93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89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94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95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95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96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97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98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99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4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672" t="s">
        <v>825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17" t="s">
        <v>677</v>
      </c>
    </row>
    <row r="27" spans="2:12" ht="25.5" customHeight="1">
      <c r="B27" s="673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673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73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73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74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7" t="s">
        <v>84</v>
      </c>
      <c r="C12" s="678"/>
      <c r="D12" s="678" t="s">
        <v>85</v>
      </c>
      <c r="E12" s="678"/>
      <c r="F12" s="679"/>
      <c r="H12" s="677" t="s">
        <v>85</v>
      </c>
      <c r="I12" s="678"/>
      <c r="J12" s="679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680" t="s">
        <v>36</v>
      </c>
      <c r="C24" s="681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680" t="s">
        <v>37</v>
      </c>
      <c r="C25" s="681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675" t="s">
        <v>90</v>
      </c>
      <c r="C26" s="676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77" t="s">
        <v>84</v>
      </c>
      <c r="C12" s="678"/>
      <c r="D12" s="678" t="s">
        <v>85</v>
      </c>
      <c r="E12" s="678"/>
      <c r="F12" s="678"/>
      <c r="G12" s="678" t="s">
        <v>154</v>
      </c>
      <c r="H12" s="678"/>
      <c r="I12" s="679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680" t="s">
        <v>36</v>
      </c>
      <c r="C24" s="681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680" t="s">
        <v>37</v>
      </c>
      <c r="C25" s="681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675" t="s">
        <v>90</v>
      </c>
      <c r="C26" s="676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82" t="s">
        <v>85</v>
      </c>
      <c r="E29" s="683"/>
      <c r="F29" s="684"/>
      <c r="H29" s="682" t="s">
        <v>154</v>
      </c>
      <c r="I29" s="683"/>
      <c r="J29" s="684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77" t="s">
        <v>84</v>
      </c>
      <c r="C12" s="678"/>
      <c r="D12" s="678" t="s">
        <v>85</v>
      </c>
      <c r="E12" s="678"/>
      <c r="F12" s="678"/>
      <c r="G12" s="678" t="s">
        <v>154</v>
      </c>
      <c r="H12" s="678"/>
      <c r="I12" s="678"/>
      <c r="J12" s="678" t="s">
        <v>155</v>
      </c>
      <c r="K12" s="678"/>
      <c r="L12" s="679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680" t="s">
        <v>36</v>
      </c>
      <c r="C24" s="681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680" t="s">
        <v>37</v>
      </c>
      <c r="C25" s="681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675" t="s">
        <v>90</v>
      </c>
      <c r="C26" s="676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82" t="s">
        <v>85</v>
      </c>
      <c r="E29" s="683"/>
      <c r="F29" s="684"/>
      <c r="H29" s="682" t="s">
        <v>154</v>
      </c>
      <c r="I29" s="683"/>
      <c r="J29" s="684"/>
      <c r="L29" s="682" t="s">
        <v>155</v>
      </c>
      <c r="M29" s="683"/>
      <c r="N29" s="684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7" t="s">
        <v>84</v>
      </c>
      <c r="C12" s="678"/>
      <c r="D12" s="678" t="s">
        <v>85</v>
      </c>
      <c r="E12" s="678"/>
      <c r="F12" s="679"/>
      <c r="H12" s="677" t="s">
        <v>85</v>
      </c>
      <c r="I12" s="678"/>
      <c r="J12" s="679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80" t="s">
        <v>36</v>
      </c>
      <c r="C24" s="681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680" t="s">
        <v>37</v>
      </c>
      <c r="C25" s="681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675" t="s">
        <v>90</v>
      </c>
      <c r="C26" s="676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7" t="s">
        <v>84</v>
      </c>
      <c r="C12" s="678"/>
      <c r="D12" s="678" t="s">
        <v>154</v>
      </c>
      <c r="E12" s="678"/>
      <c r="F12" s="679"/>
      <c r="H12" s="677" t="s">
        <v>154</v>
      </c>
      <c r="I12" s="678"/>
      <c r="J12" s="679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80" t="s">
        <v>36</v>
      </c>
      <c r="C24" s="681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680" t="s">
        <v>37</v>
      </c>
      <c r="C25" s="681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675" t="s">
        <v>90</v>
      </c>
      <c r="C26" s="676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2024-07-09T20:38:33Z</dcterms:modified>
</cp:coreProperties>
</file>