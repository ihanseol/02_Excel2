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99F84A02-5F3D-4ACD-A43C-CFD767DE0EE7}" xr6:coauthVersionLast="47" xr6:coauthVersionMax="47" xr10:uidLastSave="{00000000-0000-0000-0000-000000000000}"/>
  <bookViews>
    <workbookView xWindow="3210" yWindow="1380" windowWidth="29205" windowHeight="1960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F17" i="207" s="1"/>
  <c r="G17" i="207" s="1"/>
  <c r="C19" i="207"/>
  <c r="C18" i="207"/>
  <c r="C17" i="207"/>
  <c r="C16" i="207"/>
  <c r="C15" i="207"/>
  <c r="C8" i="207"/>
  <c r="D8" i="207" s="1"/>
  <c r="C7" i="207"/>
  <c r="C14" i="207" s="1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8" i="208"/>
  <c r="C14" i="208"/>
  <c r="J31" i="208"/>
  <c r="K31" i="208" s="1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K30" i="208" s="1"/>
  <c r="D26" i="208"/>
  <c r="C22" i="208"/>
  <c r="E19" i="208"/>
  <c r="F19" i="208" s="1"/>
  <c r="G19" i="208" s="1"/>
  <c r="F17" i="208"/>
  <c r="G17" i="208" s="1"/>
  <c r="K16" i="208"/>
  <c r="K17" i="208" s="1"/>
  <c r="K18" i="208" s="1"/>
  <c r="L18" i="208" s="1"/>
  <c r="H26" i="208" s="1"/>
  <c r="G14" i="208"/>
  <c r="G13" i="208"/>
  <c r="F13" i="208"/>
  <c r="E13" i="208"/>
  <c r="D13" i="208"/>
  <c r="L12" i="208"/>
  <c r="H11" i="208"/>
  <c r="F11" i="208"/>
  <c r="E11" i="208"/>
  <c r="H10" i="208"/>
  <c r="H9" i="208"/>
  <c r="C9" i="208"/>
  <c r="C12" i="208" s="1"/>
  <c r="A13" i="208" s="1"/>
  <c r="A12" i="208" s="1"/>
  <c r="G7" i="208"/>
  <c r="E7" i="208"/>
  <c r="E2" i="208"/>
  <c r="F2" i="208" s="1"/>
  <c r="O6" i="52"/>
  <c r="F6" i="52"/>
  <c r="E6" i="52"/>
  <c r="B6" i="52"/>
  <c r="K31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K30" i="207" s="1"/>
  <c r="D26" i="207"/>
  <c r="C22" i="207"/>
  <c r="K16" i="207"/>
  <c r="K17" i="207" s="1"/>
  <c r="K18" i="207" s="1"/>
  <c r="L18" i="207" s="1"/>
  <c r="H26" i="207" s="1"/>
  <c r="G14" i="207"/>
  <c r="G13" i="207"/>
  <c r="F13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" i="207" s="1"/>
  <c r="O5" i="52"/>
  <c r="F5" i="52"/>
  <c r="E5" i="52"/>
  <c r="B5" i="52"/>
  <c r="B4" i="52"/>
  <c r="O4" i="52"/>
  <c r="F4" i="52"/>
  <c r="E4" i="52"/>
  <c r="F7" i="207" l="1"/>
  <c r="F7" i="208"/>
  <c r="C12" i="207"/>
  <c r="A13" i="207" s="1"/>
  <c r="A12" i="207" s="1"/>
  <c r="F6" i="208"/>
  <c r="F5" i="208"/>
  <c r="J26" i="208"/>
  <c r="H19" i="208"/>
  <c r="E19" i="207"/>
  <c r="F19" i="207" s="1"/>
  <c r="G19" i="207" s="1"/>
  <c r="H19" i="207"/>
  <c r="F5" i="207"/>
  <c r="J26" i="207"/>
  <c r="F6" i="207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s="1"/>
  <c r="E22" i="208" l="1"/>
  <c r="G21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G21" i="207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56E727A8-7298-41E5-BCE9-E48B2B731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B7A4C31-AE4C-46FE-BE01-D1D61AB13D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C5007A4-5B63-4B60-AF23-45DD1E6C36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7D1688F-5E13-40F9-95D9-15F493840C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EB3D8A8D-84DD-42DE-B0A1-2EC2AC39A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DDACEB6F-23E1-4BFC-ADDA-06857A0FD6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CC72F6EC-EB44-47C1-BE1E-62704EFE00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C61AA057-8E36-4076-BACF-4CB591705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9673983C-E39C-42AC-82D9-1B30AC7B8F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1ED48DB-CE0F-4A45-9BBD-6EE5F0D232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503E7333-D023-4227-9268-97EAC60147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D27A6DA-E150-4F68-9469-9700D7980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CEA0617-C649-49EE-A244-01410BBF69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9916190C-2252-41B4-A44C-5DA2E226BE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DBB1F60-B694-4AA1-89CB-4C41D413B0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F5861E0-D900-48B8-A6ED-7EF173D115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E65E9075-B7FF-4547-B13B-FB2786422B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E12C14C-5FE5-4648-9A4C-046AE67FB7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31C8D2C-0FA6-4829-82DE-A55D9AA403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73376A3-18B9-4AD3-8D77-21E689441B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7E2B081-67B5-42BC-9933-14DE6ABCDC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E286C1C-745E-4BB1-B046-E50B143122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8CF28DB-3110-4302-BCBC-FE14C129C45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26FF7E2-F39B-47E0-A16D-955CCAE06A6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978E9E32-4608-4B78-838B-D7752A54F5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95AF011-1444-4066-BAE6-52ED2CEDE3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B3427BF-0AD9-4D4B-9256-97A9BC050A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B65390C-34D3-457C-93B7-1170AFFF9F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A1BCCE0-275C-43A1-8D5B-B93014BC7F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E1AEC7C-2879-4882-BD88-25E1451E1D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15F95C9-908E-48C2-BD69-81B903EFCB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0E6F0CF-193A-4C6A-BD30-150FC24880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D8188C0-6259-40D6-BD69-EAE1D3D6B3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CFED4E3-0C40-4498-9A09-595F5407655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F128515-3582-4F1B-BD15-5E63E212D0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D2A022-01B0-48E4-B44E-A0F14AD8D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8EA65CB-345D-4A86-9933-8DC9F27C95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481F7BA3-3FFB-4C3A-BC57-B9C077D6C8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AC6571D6-BD88-434F-A726-7E257422C9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C2FA5CD-13A2-4F85-8E4B-3139C22189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4DC9253-6064-46C7-A2FC-847819AA6C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E00F7B4-1790-4DBF-BE65-66D1BA3B4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0E0D887-575A-48E6-AF64-F602976546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9F0015A-56E9-4663-B0C7-6AB029ABC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321E8819-7B82-4E47-A7AB-CC7A05C17B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4933E56-2F4F-437A-89FB-6C728B2879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E3145B-1FCC-4A0E-BEE9-A4AC8C558D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9AB242-25FF-46F7-9B26-926DC714E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80B1145-0E39-4D3A-B497-26928E906C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7CA5E68-507E-4CCC-AAFA-F74ED2C0A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95EE775-6511-4A2E-BC60-0FBF7FF740C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D1B9A40-D5DA-4980-B5A4-E4F1CC9FA5E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B5F0369E-B95A-44FF-B025-0E7A556A0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863A549C-E97B-4E7B-A92A-885F8F35B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A2A585-D504-44F1-AF0D-9F61F3418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2DE9EDE-5293-44B1-AEC3-6D0573D0FA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9D743AC-FC57-4B85-97A7-EEA89E4CF9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281A31E-B08C-4015-8E89-CF85D9C1B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81326DF-E255-4430-B2FC-CF4CD0DCCF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774C17-925A-4D28-ABFE-71F5E1489B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7AB7E41-2A49-4C2F-B55B-C8E11FBB38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6C6582C-AC2F-4661-B4EC-B04AF8BF29B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986CFE1-10B0-43AB-B1DF-53C9568FFC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7D2B0A6-FFA9-4BC5-AF0C-0537626503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<sst xmlns="http://schemas.openxmlformats.org/spreadsheetml/2006/main" count="1417" uniqueCount="860">
  <si>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</si>
  <si>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</si>
  <si>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</si>
  <si>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</si>
  <si>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</si>
  <si>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</si>
  <si>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</si>
  <si>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</si>
  <si>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</si>
  <si>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</si>
  <si>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</si>
  <si>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</si>
  <si>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</si>
  <si>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</si>
  <si>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</si>
  <si>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</si>
  <si>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</si>
  <si>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</si>
  <si>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</si>
  <si>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</si>
  <si>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</si>
  <si>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</si>
  <si>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</si>
  <si>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</si>
  <si>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</si>
  <si>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</si>
  <si>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</si>
  <si>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</si>
  <si>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</si>
  <si>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</si>
  <si>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</si>
  <si>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</si>
  <si>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</si>
  <si>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</si>
  <si>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</si>
  <si>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</si>
  <si>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</si>
  <si>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</si>
  <si>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</si>
  <si>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</si>
  <si>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</si>
  <si>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</si>
  <si>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</si>
  <si>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</si>
  <si>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</si>
  <si>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</si>
  <si>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</si>
  <si>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</si>
  <si>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</si>
  <si>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</si>
  <si>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</si>
  <si>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</si>
  <si>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</si>
  <si>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</si>
  <si>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</si>
  <si>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</si>
  <si>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</si>
  <si>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</si>
  <si>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</si>
  <si>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</si>
  <si>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</si>
  <si>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</si>
  <si>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</si>
  <si>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</si>
  <si>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</si>
  <si>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</si>
  <si>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</si>
  <si>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</si>
  <si>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</si>
  <si>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</si>
  <si>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</si>
  <si>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</si>
  <si>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</si>
  <si>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</si>
  <si>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</si>
  <si>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</si>
  <si>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</si>
  <si>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</si>
  <si>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</si>
  <si>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</si>
  <si>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</si>
  <si>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</si>
  <si>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</si>
  <si>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</si>
  <si>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</si>
  <si>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</si>
  <si>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</si>
  <si>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</si>
  <si>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</si>
  <si>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</si>
  <si>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</si>
  <si>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</si>
  <si>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</si>
  <si>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</si>
  <si>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</si>
  <si>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</si>
  <si>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</si>
  <si>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</si>
  <si>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</si>
  <si>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</si>
  <si>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</si>
  <si>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</si>
  <si>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</si>
  <si>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</si>
  <si>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</si>
  <si>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</si>
  <si>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</si>
  <si>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</si>
  <si>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</si>
  <si>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</si>
  <si>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</si>
  <si>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</si>
  <si>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</si>
  <si>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</si>
  <si>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</si>
  <si>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</si>
  <si>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</si>
  <si>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</si>
  <si>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</si>
  <si>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</si>
  <si>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</si>
  <si>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</si>
  <si>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</si>
  <si>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</si>
  <si>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</si>
  <si>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</si>
  <si>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</si>
  <si>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</si>
  <si>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</si>
  <si>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</si>
  <si>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</si>
  <si>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</si>
  <si>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</si>
  <si>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</si>
  <si>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</si>
  <si>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</si>
  <si>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</si>
  <si>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</si>
  <si>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</si>
  <si>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</si>
  <si>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</si>
  <si>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</si>
  <si>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</si>
  <si>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</si>
  <si>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</si>
  <si>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</si>
  <si>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</si>
  <si>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</si>
  <si>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</si>
  <si>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</si>
  <si>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</si>
  <si>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</si>
  <si>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</si>
  <si>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</si>
  <si>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</si>
  <si>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</si>
  <si>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</si>
  <si>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</si>
  <si>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</si>
  <si>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</si>
  <si>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</si>
  <si>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</si>
  <si>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</si>
  <si>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</si>
  <si>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</si>
  <si>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</si>
  <si>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</si>
  <si>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</si>
  <si>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</si>
  <si>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</si>
  <si>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</si>
  <si>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</si>
  <si>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</si>
  <si>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</si>
  <si>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</si>
  <si>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</si>
  <si>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</si>
  <si>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</si>
  <si>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</si>
  <si>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</si>
  <si>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</si>
  <si>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</si>
  <si>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</si>
  <si>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</si>
  <si>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</si>
  <si>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</si>
  <si>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</si>
  <si>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</si>
  <si>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</si>
  <si>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</si>
  <si>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</si>
  <si>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</si>
  <si>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</si>
  <si>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</si>
  <si>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</si>
  <si>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</si>
  <si>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</si>
  <si>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</si>
  <si>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</si>
  <si>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</si>
  <si>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</si>
  <si>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</si>
  <si>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</si>
  <si>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</si>
  <si>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</si>
  <si>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</si>
  <si>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</si>
  <si>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</si>
  <si>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</si>
  <si>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</si>
  <si>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</si>
  <si>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</si>
  <si>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</si>
  <si>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</si>
  <si>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</si>
  <si>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</si>
  <si>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</si>
  <si>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</si>
  <si>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</si>
  <si>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</si>
  <si>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</si>
  <si>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</si>
  <si>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</si>
  <si>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</si>
  <si>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</si>
  <si>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</si>
  <si>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</si>
  <si>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</si>
  <si>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</si>
  <si>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</si>
  <si>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</si>
  <si>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</si>
  <si>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</si>
  <si>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</si>
  <si>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</si>
  <si>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</si>
  <si>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</si>
  <si>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</si>
  <si>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</si>
  <si>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</si>
  <si>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</si>
  <si>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</si>
  <si>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</si>
  <si>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</si>
  <si>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</si>
  <si>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</si>
  <si>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</si>
  <si>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</si>
  <si>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</si>
  <si>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</si>
  <si>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</si>
  <si>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</si>
  <si>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</si>
  <si>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</si>
  <si>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</si>
  <si>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</si>
  <si>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</si>
  <si>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</si>
  <si>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</si>
  <si>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</si>
  <si>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</si>
  <si>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</si>
  <si>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</si>
  <si>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</si>
  <si>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</si>
  <si>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</si>
  <si>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</si>
  <si>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</si>
  <si>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</si>
  <si>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</si>
  <si>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</si>
  <si>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</si>
  <si>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</si>
  <si>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</si>
  <si>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</si>
  <si>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</si>
  <si>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</si>
  <si>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</si>
  <si>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</si>
  <si>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</si>
  <si>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</si>
  <si>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</si>
  <si>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</si>
  <si>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</si>
  <si>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</si>
  <si>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</si>
  <si>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</si>
  <si>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</si>
  <si>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</si>
  <si>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</si>
  <si>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</si>
  <si>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</si>
  <si>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</si>
  <si>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</si>
  <si>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</si>
  <si>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</si>
  <si>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</si>
  <si>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</si>
  <si>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</si>
  <si>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</si>
  <si>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</si>
  <si>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</si>
  <si>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</si>
  <si>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</si>
  <si>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</si>
  <si>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</si>
  <si>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</si>
  <si>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</si>
  <si>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</si>
  <si>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</si>
  <si>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</si>
  <si>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</si>
  <si>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</si>
  <si>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</si>
  <si>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</si>
  <si>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</si>
  <si>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</si>
  <si>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</si>
  <si>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</si>
  <si>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</si>
  <si>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</si>
  <si>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</si>
  <si>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</si>
  <si>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</si>
  <si>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</si>
  <si>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</si>
  <si>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</si>
  <si>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</si>
  <si>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</si>
  <si>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</si>
  <si>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</si>
  <si>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</si>
  <si>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</si>
  <si>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</si>
  <si>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</si>
  <si>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</si>
  <si>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</si>
  <si>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</si>
  <si>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</si>
  <si>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</si>
  <si>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</si>
  <si>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</si>
  <si>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</si>
  <si>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</si>
  <si>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</si>
  <si>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</si>
  <si>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</si>
  <si>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</si>
  <si>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</si>
  <si>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</si>
  <si>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</si>
  <si>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</si>
  <si>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</si>
  <si>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</si>
  <si>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</si>
  <si>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</si>
  <si>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</si>
  <si>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</si>
  <si>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</si>
  <si>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</si>
  <si>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</si>
  <si>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</si>
  <si>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</si>
  <si>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</si>
  <si>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</si>
  <si>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</si>
  <si>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</si>
  <si>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</si>
  <si>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</si>
  <si>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</si>
  <si>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</si>
  <si>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</si>
  <si>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</si>
  <si>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</si>
  <si>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</si>
  <si>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</si>
  <si>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</si>
  <si>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</si>
  <si>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</si>
  <si>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</si>
  <si>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</si>
  <si>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</si>
  <si>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</si>
  <si>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</si>
  <si>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</si>
  <si>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</si>
  <si>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</si>
  <si>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</si>
  <si>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</si>
  <si>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</si>
  <si>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</si>
  <si>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</si>
  <si>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</si>
  <si>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</si>
  <si>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</si>
  <si>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</si>
  <si>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</si>
  <si>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</si>
  <si>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</si>
  <si>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</si>
  <si>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</si>
  <si>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</si>
  <si>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</si>
  <si>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</si>
  <si>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</si>
  <si>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</si>
  <si>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</si>
  <si>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</si>
  <si>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</si>
  <si>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</si>
  <si>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</si>
  <si>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</si>
  <si>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</si>
  <si>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</si>
  <si>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</si>
  <si>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</si>
  <si>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</si>
  <si>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</si>
  <si>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</si>
  <si>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</si>
  <si>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</si>
  <si>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</si>
  <si>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</si>
  <si>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</si>
  <si>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</si>
  <si>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</si>
  <si>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</si>
  <si>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</si>
  <si>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</si>
  <si>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</si>
  <si>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</si>
  <si>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</si>
  <si>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</si>
  <si>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</si>
  <si>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</si>
  <si>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</si>
  <si>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</si>
  <si>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</si>
  <si>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</si>
  <si>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</si>
  <si>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</si>
  <si>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</si>
  <si>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</si>
  <si>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</si>
  <si>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</si>
  <si>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</si>
  <si>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</si>
  <si>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</si>
  <si>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</si>
  <si>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</si>
  <si>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</si>
  <si>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</si>
  <si>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</si>
  <si>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</si>
  <si>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</si>
  <si>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</si>
  <si>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</si>
  <si>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</si>
  <si>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</si>
  <si>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</si>
  <si>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</si>
  <si>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</si>
  <si>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</si>
  <si>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</si>
  <si>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</si>
  <si>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</si>
  <si>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</si>
  <si>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</si>
  <si>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</si>
  <si>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</si>
  <si>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</si>
  <si>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</si>
  <si>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</si>
  <si>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</si>
  <si>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</si>
  <si>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</si>
  <si>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</si>
  <si>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</si>
  <si>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</si>
  <si>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</si>
  <si>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</si>
  <si>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</si>
  <si>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</si>
  <si>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</si>
  <si>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</si>
  <si>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</si>
  <si>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</si>
  <si>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</si>
  <si>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</si>
  <si>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</si>
  <si>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</si>
  <si>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</si>
  <si>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</si>
  <si>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</si>
  <si>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</si>
  <si>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</si>
  <si>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</si>
  <si>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</si>
  <si>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</si>
  <si>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</si>
  <si>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</si>
  <si>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</si>
  <si>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</si>
  <si>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</si>
  <si>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</si>
  <si>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</si>
  <si>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</si>
  <si>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</si>
  <si>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</si>
  <si>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</si>
  <si>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</si>
  <si>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</si>
  <si>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</si>
  <si>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</si>
  <si>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</si>
  <si>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</si>
  <si>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</si>
  <si>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</si>
  <si>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</si>
  <si>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</si>
  <si>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</si>
  <si>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</si>
  <si>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</si>
  <si>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</si>
  <si>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</si>
  <si>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</si>
  <si>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</si>
  <si>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</si>
  <si>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</si>
  <si>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</si>
  <si>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</si>
  <si>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</si>
  <si>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</si>
  <si>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</si>
  <si>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</si>
  <si>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</si>
  <si>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</si>
  <si>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</si>
  <si>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</si>
  <si>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</si>
  <si>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</si>
  <si>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</si>
  <si>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</si>
  <si>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</si>
  <si>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</si>
  <si>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</si>
  <si>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</si>
  <si>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</si>
  <si>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</si>
  <si>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</si>
  <si>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</si>
  <si>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</si>
  <si>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</si>
  <si>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</si>
  <si>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</si>
  <si>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</si>
  <si>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</si>
  <si>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</si>
  <si>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</si>
  <si>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</si>
  <si>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</si>
  <si>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</si>
  <si>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</si>
  <si>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</si>
  <si>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</si>
  <si>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</si>
  <si>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</si>
  <si>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</si>
  <si>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</si>
  <si>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</si>
  <si>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</si>
  <si>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</si>
  <si>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</si>
  <si>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</si>
  <si>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</si>
  <si>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</si>
  <si>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</si>
  <si>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</si>
  <si>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</si>
  <si>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</si>
  <si>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</si>
  <si>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</si>
  <si>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</si>
  <si>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</si>
  <si>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</si>
  <si>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</si>
  <si>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</si>
  <si>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</si>
  <si>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</si>
  <si>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</si>
  <si>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</si>
  <si>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</si>
  <si>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</si>
  <si>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</si>
  <si>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</si>
  <si>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</si>
  <si>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</si>
  <si>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</si>
  <si>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</si>
  <si>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</si>
  <si>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</si>
  <si>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</si>
  <si>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</si>
  <si>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</si>
  <si>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</si>
  <si>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</si>
  <si>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</si>
  <si>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</si>
  <si>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</si>
  <si>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</si>
  <si>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</si>
  <si>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</si>
  <si>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</si>
  <si>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</si>
  <si>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</si>
  <si>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</si>
  <si>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</si>
  <si>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</si>
  <si>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</si>
  <si>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</si>
  <si>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</si>
  <si>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</si>
  <si>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</si>
  <si>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</si>
  <si>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</si>
  <si>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</si>
  <si>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</si>
  <si>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</si>
  <si>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</si>
  <si>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</si>
  <si>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</si>
  <si>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</si>
  <si>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</si>
  <si>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</si>
  <si>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</si>
  <si>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</si>
  <si>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</si>
  <si>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</si>
  <si>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</si>
  <si>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</si>
  <si>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</si>
  <si>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</si>
  <si>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</si>
  <si>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</si>
  <si>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</si>
  <si>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</si>
  <si>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</si>
  <si>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</si>
  <si>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</si>
  <si>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</si>
  <si>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</si>
  <si>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</si>
  <si>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</si>
  <si>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</si>
  <si>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</si>
  <si>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</si>
  <si>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</si>
  <si>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</si>
  <si>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</si>
  <si>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</si>
  <si>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</si>
  <si>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</si>
  <si>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</si>
  <si>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</si>
  <si>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</si>
  <si>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</si>
  <si>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</si>
  <si>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</si>
  <si>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</si>
  <si>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</si>
  <si>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</si>
  <si>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</si>
  <si>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</si>
  <si>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</si>
  <si>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</si>
  <si>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</si>
  <si>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</si>
  <si>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</si>
  <si>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</si>
  <si>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</si>
  <si>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</si>
  <si>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</si>
  <si>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</si>
  <si>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</si>
  <si>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</si>
  <si>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</si>
  <si>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</si>
  <si>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</si>
  <si>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</si>
  <si>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</si>
  <si>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</si>
  <si>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</si>
  <si>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</si>
  <si>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</si>
  <si>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</si>
  <si>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</si>
  <si>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</si>
  <si>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</si>
  <si>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</si>
  <si>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</si>
  <si>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</si>
  <si>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</si>
  <si>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</si>
  <si>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</si>
  <si>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</si>
  <si>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</si>
  <si>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</si>
  <si>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</si>
  <si>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</si>
  <si>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</si>
  <si>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</si>
  <si>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</si>
  <si>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</si>
  <si>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</si>
  <si>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</si>
  <si>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</si>
  <si>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</si>
  <si>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</si>
  <si>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</si>
  <si>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</si>
  <si>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</si>
  <si>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</si>
  <si>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</si>
  <si>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</si>
  <si>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</si>
  <si>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</si>
  <si>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</si>
  <si>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</si>
  <si>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</si>
  <si>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</si>
  <si>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</si>
  <si>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</si>
  <si>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</si>
  <si>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</si>
  <si>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</si>
  <si>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</si>
  <si>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</si>
  <si>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</si>
  <si>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</si>
  <si>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</si>
  <si>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</si>
  <si>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</si>
  <si>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</si>
  <si>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</si>
  <si>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</si>
  <si>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</si>
  <si>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</si>
  <si>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</si>
  <si>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</si>
  <si>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</si>
  <si>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</si>
  <si>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</si>
  <si>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</si>
  <si>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</si>
  <si>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</si>
  <si>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</si>
  <si>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</si>
  <si>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</si>
  <si>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</si>
  <si>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</si>
  <si>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</si>
  <si>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</si>
  <si>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</si>
  <si>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</si>
  <si>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</si>
  <si>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</si>
  <si>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</si>
  <si>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</si>
  <si>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</si>
  <si>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</si>
  <si>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</si>
  <si>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</si>
  <si>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</si>
  <si>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</si>
  <si>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</si>
  <si>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</si>
  <si>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</si>
  <si>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</si>
  <si>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</si>
  <si>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</si>
  <si>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</si>
  <si>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</si>
  <si>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</si>
  <si>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</si>
  <si>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</si>
  <si>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</si>
  <si>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</si>
  <si>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</si>
  <si>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</si>
  <si>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</si>
  <si>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</si>
  <si>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</si>
  <si>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</si>
  <si>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</si>
  <si>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</si>
  <si>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</si>
  <si>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</si>
  <si>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</si>
  <si>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</si>
  <si>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</si>
  <si>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</si>
  <si>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</si>
  <si>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</si>
  <si>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</si>
  <si>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</si>
  <si>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</si>
  <si>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</si>
  <si>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</si>
  <si>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</si>
  <si>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</si>
  <si>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</si>
  <si>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</si>
  <si>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</si>
  <si>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</si>
  <si>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</si>
  <si>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</si>
  <si>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</si>
  <si>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</si>
  <si>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</si>
  <si>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</si>
  <si>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</si>
  <si>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</si>
  <si>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</si>
  <si>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</si>
  <si>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</si>
  <si>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</si>
  <si>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</si>
  <si>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</si>
  <si>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충청남도 공주시 우성면 보흥리 425-4</t>
  </si>
  <si>
    <t>우성농공단지 지하수 이용허가 유효기간의 연장을 위한 지하수영향조사보고서</t>
  </si>
  <si>
    <t>충청남도 공주시 우성면 보흥리 590-2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</si>
  <si>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</si>
  <si>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</si>
  <si>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</si>
  <si>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</si>
  <si>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</si>
  <si>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</si>
  <si>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</si>
  <si>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</si>
  <si>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</si>
  <si>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</si>
  <si>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</si>
  <si>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</si>
  <si>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</si>
  <si>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</si>
  <si>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</si>
  <si>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</si>
  <si>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</si>
  <si>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공주시 우성면 보흥리 425-4</t>
    <phoneticPr fontId="7" type="noConversion"/>
  </si>
  <si>
    <t>(주)동해엔지니어링</t>
    <phoneticPr fontId="7" type="noConversion"/>
  </si>
  <si>
    <t>광주기상청</t>
    <phoneticPr fontId="7" type="noConversion"/>
  </si>
  <si>
    <t>영산강/영산강상류</t>
    <phoneticPr fontId="7" type="noConversion"/>
  </si>
  <si>
    <t>W1</t>
    <phoneticPr fontId="7" type="noConversion"/>
  </si>
  <si>
    <t>영산강/영산강상류</t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</si>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</sst>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0" borderId="0" xfId="0" applyFont="1" applyFill="1" applyAlignment="1">
      <alignment vertical="center"/>
    </xf>
    <xf numFmtId="0" fontId="24" fillId="30" borderId="0" xfId="0" applyFont="1" applyFill="1" applyAlignment="1">
      <alignment horizontal="center" vertical="center"/>
    </xf>
    <xf numFmtId="0" fontId="25" fillId="30" borderId="0" xfId="0" applyFont="1" applyFill="1" applyAlignment="1">
      <alignment horizontal="left" vertical="center"/>
    </xf>
    <xf numFmtId="0" fontId="3" fillId="30" borderId="0" xfId="21" applyFill="1" applyAlignment="1">
      <alignment horizontal="center" vertical="center"/>
    </xf>
    <xf numFmtId="41" fontId="24" fillId="30" borderId="0" xfId="20" applyFont="1" applyFill="1" applyAlignment="1">
      <alignment horizontal="center" vertical="center"/>
    </xf>
    <xf numFmtId="10" fontId="41" fillId="31" borderId="9" xfId="16" applyNumberFormat="1" applyFont="1" applyFill="1" applyBorder="1" applyAlignment="1">
      <alignment horizontal="center" vertical="center"/>
    </xf>
    <xf numFmtId="10" fontId="41" fillId="31" borderId="10" xfId="16" applyNumberFormat="1" applyFont="1" applyFill="1" applyBorder="1" applyAlignment="1">
      <alignment horizontal="center" vertical="center"/>
    </xf>
    <xf numFmtId="10" fontId="41" fillId="31" borderId="22" xfId="16" applyNumberFormat="1" applyFont="1" applyFill="1" applyBorder="1" applyAlignment="1">
      <alignment horizontal="center" vertical="center"/>
    </xf>
    <xf numFmtId="10" fontId="41" fillId="31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40" fillId="31" borderId="8" xfId="16" applyFont="1" applyFill="1" applyBorder="1" applyAlignment="1">
      <alignment horizontal="center" vertical="center"/>
    </xf>
    <xf numFmtId="0" fontId="40" fillId="31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1" borderId="21" xfId="16" applyFont="1" applyFill="1" applyBorder="1" applyAlignment="1">
      <alignment horizontal="center" vertical="center"/>
    </xf>
    <xf numFmtId="0" fontId="40" fillId="31" borderId="22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92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91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91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91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5" fillId="21" borderId="84" xfId="18" applyNumberFormat="1" applyFont="1" applyFill="1" applyBorder="1" applyAlignment="1">
      <alignment horizontal="center" vertical="center"/>
    </xf>
    <xf numFmtId="0" fontId="15" fillId="21" borderId="87" xfId="18" applyNumberFormat="1" applyFont="1" applyFill="1" applyBorder="1" applyAlignment="1">
      <alignment horizontal="center" vertical="center"/>
    </xf>
    <xf numFmtId="0" fontId="48" fillId="21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28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9" fillId="21" borderId="87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19" fillId="20" borderId="87" xfId="18" applyNumberFormat="1" applyFont="1" applyFill="1" applyBorder="1" applyAlignment="1">
      <alignment horizontal="center" vertical="center"/>
    </xf>
    <xf numFmtId="0" fontId="19" fillId="4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19" fillId="7" borderId="87" xfId="18" applyNumberFormat="1" applyFont="1" applyFill="1" applyBorder="1" applyAlignment="1">
      <alignment horizontal="center" vertical="center"/>
    </xf>
    <xf numFmtId="0" fontId="19" fillId="24" borderId="87" xfId="18" applyNumberFormat="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28" fillId="3" borderId="98" xfId="0" applyFont="1" applyFill="1" applyBorder="1" applyAlignment="1">
      <alignment horizontal="center" vertical="center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1049.5999999999999</c:v>
                </c:pt>
                <c:pt idx="1">
                  <c:v>1482.3</c:v>
                </c:pt>
                <c:pt idx="2">
                  <c:v>936.6</c:v>
                </c:pt>
                <c:pt idx="3">
                  <c:v>1427.9</c:v>
                </c:pt>
                <c:pt idx="4">
                  <c:v>1085.9000000000001</c:v>
                </c:pt>
                <c:pt idx="5">
                  <c:v>2027</c:v>
                </c:pt>
                <c:pt idx="6">
                  <c:v>1303.8</c:v>
                </c:pt>
                <c:pt idx="7">
                  <c:v>769.9</c:v>
                </c:pt>
                <c:pt idx="8">
                  <c:v>2116.1</c:v>
                </c:pt>
                <c:pt idx="9">
                  <c:v>1291</c:v>
                </c:pt>
                <c:pt idx="10">
                  <c:v>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764.4</c:v>
                </c:pt>
                <c:pt idx="1">
                  <c:v>1268.8</c:v>
                </c:pt>
                <c:pt idx="2">
                  <c:v>1479.2</c:v>
                </c:pt>
                <c:pt idx="3">
                  <c:v>1943</c:v>
                </c:pt>
                <c:pt idx="4">
                  <c:v>1429.7</c:v>
                </c:pt>
                <c:pt idx="5">
                  <c:v>1511</c:v>
                </c:pt>
                <c:pt idx="6">
                  <c:v>1129.9000000000001</c:v>
                </c:pt>
                <c:pt idx="7">
                  <c:v>1458.7</c:v>
                </c:pt>
                <c:pt idx="8">
                  <c:v>1994.1</c:v>
                </c:pt>
                <c:pt idx="9">
                  <c:v>1742.3</c:v>
                </c:pt>
                <c:pt idx="10">
                  <c:v>1289.5999999999999</c:v>
                </c:pt>
                <c:pt idx="11">
                  <c:v>1520.2</c:v>
                </c:pt>
                <c:pt idx="12">
                  <c:v>1620.6</c:v>
                </c:pt>
                <c:pt idx="13">
                  <c:v>1007.2</c:v>
                </c:pt>
                <c:pt idx="14">
                  <c:v>1488.2</c:v>
                </c:pt>
                <c:pt idx="15">
                  <c:v>1573.1</c:v>
                </c:pt>
                <c:pt idx="16">
                  <c:v>1300.3</c:v>
                </c:pt>
                <c:pt idx="17">
                  <c:v>1626.8</c:v>
                </c:pt>
                <c:pt idx="18">
                  <c:v>1245.4000000000001</c:v>
                </c:pt>
                <c:pt idx="19">
                  <c:v>1290.3</c:v>
                </c:pt>
                <c:pt idx="20">
                  <c:v>1049.5999999999999</c:v>
                </c:pt>
                <c:pt idx="21">
                  <c:v>1482.3</c:v>
                </c:pt>
                <c:pt idx="22">
                  <c:v>936.6</c:v>
                </c:pt>
                <c:pt idx="23">
                  <c:v>1427.9</c:v>
                </c:pt>
                <c:pt idx="24">
                  <c:v>1085.9000000000001</c:v>
                </c:pt>
                <c:pt idx="25">
                  <c:v>2027</c:v>
                </c:pt>
                <c:pt idx="26">
                  <c:v>1303.8</c:v>
                </c:pt>
                <c:pt idx="27">
                  <c:v>769.9</c:v>
                </c:pt>
                <c:pt idx="28">
                  <c:v>2116.1</c:v>
                </c:pt>
                <c:pt idx="29">
                  <c:v>1291</c:v>
                </c:pt>
                <c:pt idx="30">
                  <c:v>1405.8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33</c:v>
                </c:pt>
                <c:pt idx="1">
                  <c:v>37.799999999999997</c:v>
                </c:pt>
                <c:pt idx="2">
                  <c:v>66</c:v>
                </c:pt>
                <c:pt idx="3">
                  <c:v>88.8</c:v>
                </c:pt>
                <c:pt idx="4">
                  <c:v>87.6</c:v>
                </c:pt>
                <c:pt idx="5">
                  <c:v>167.5</c:v>
                </c:pt>
                <c:pt idx="6">
                  <c:v>286.89999999999998</c:v>
                </c:pt>
                <c:pt idx="7">
                  <c:v>262.89999999999998</c:v>
                </c:pt>
                <c:pt idx="8">
                  <c:v>145.5</c:v>
                </c:pt>
                <c:pt idx="9">
                  <c:v>86.4</c:v>
                </c:pt>
                <c:pt idx="10">
                  <c:v>52.5</c:v>
                </c:pt>
                <c:pt idx="11">
                  <c:v>34.299999999999997</c:v>
                </c:pt>
                <c:pt idx="1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FA6F869-26AA-0787-4F36-F538845AC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BAE40290-F42B-8558-BEBF-51E942490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D359DD74-14A4-FC13-E68F-A1DD2F56E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D107556C-14C4-AA6D-57BB-D5821A68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80943FE-AD85-AB3B-CC91-61095ADB1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54AF0F82-7BBE-38D8-F65B-ECFC1AFC6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EA11F1EE-2082-B109-E2ED-2950C052E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1A419F9A-CA8A-99B7-AC05-EC6D9878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B5516BD-CAF9-C6F4-7980-41CBF7AC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1FAE143C-8028-4244-9110-C025E919E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EBB89652-0D4F-4373-9A7C-528741AF0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6631FA6B-7034-4680-A2DD-BEDB6E90B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3" name="CommandButton8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D6CAFEE7-0CBD-4982-927A-352BF4F96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8F75EA78-8D0C-4AB7-ABE2-406D37BF8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FD62B518-4265-46AD-8B27-9C58F1151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AFEBE2B0-55F1-45C8-AA59-B2FF5A4C2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B3D27639-801D-4A15-BE3B-17E83E98CC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1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4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75.emf"/><Relationship Id="rId5" Type="http://schemas.openxmlformats.org/officeDocument/2006/relationships/image" Target="../media/image76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4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23" sqref="R2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850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42.3</v>
      </c>
      <c r="D5" s="377">
        <v>34.9</v>
      </c>
      <c r="E5" s="377">
        <v>28.1</v>
      </c>
      <c r="F5" s="377">
        <v>111.7</v>
      </c>
      <c r="G5" s="377">
        <v>75.5</v>
      </c>
      <c r="H5" s="377">
        <v>96.4</v>
      </c>
      <c r="I5" s="377">
        <v>110</v>
      </c>
      <c r="J5" s="378">
        <v>151.4</v>
      </c>
      <c r="K5" s="377">
        <v>40.5</v>
      </c>
      <c r="L5" s="377">
        <v>17.2</v>
      </c>
      <c r="M5" s="377">
        <v>35.1</v>
      </c>
      <c r="N5" s="380">
        <v>21.3</v>
      </c>
      <c r="O5" s="384">
        <f>ROUND(SUM(C5:N5),1)</f>
        <v>764.4</v>
      </c>
      <c r="P5" s="246">
        <f>ROUND(O5/12,1)</f>
        <v>63.7</v>
      </c>
      <c r="Q5" s="370"/>
      <c r="R5" s="371"/>
      <c r="S5" s="372" t="s">
        <v>679</v>
      </c>
      <c r="T5" s="373" t="s">
        <v>678</v>
      </c>
      <c r="V5" s="371"/>
      <c r="W5" s="374"/>
    </row>
    <row r="6" spans="2:23" ht="22.5" customHeight="1" thickBot="1">
      <c r="B6" s="252">
        <v>1996</v>
      </c>
      <c r="C6" s="377">
        <v>32.9</v>
      </c>
      <c r="D6" s="377">
        <v>11.8</v>
      </c>
      <c r="E6" s="377">
        <v>127.4</v>
      </c>
      <c r="F6" s="377">
        <v>38.4</v>
      </c>
      <c r="G6" s="377">
        <v>37.4</v>
      </c>
      <c r="H6" s="377">
        <v>302.89999999999998</v>
      </c>
      <c r="I6" s="377">
        <v>186.3</v>
      </c>
      <c r="J6" s="378">
        <v>261.7</v>
      </c>
      <c r="K6" s="377">
        <v>66.099999999999994</v>
      </c>
      <c r="L6" s="377">
        <v>60.7</v>
      </c>
      <c r="M6" s="377">
        <v>112.4</v>
      </c>
      <c r="N6" s="380">
        <v>30.8</v>
      </c>
      <c r="O6" s="384">
        <f t="shared" ref="O6:O34" si="0">ROUND(SUM(C6:N6),1)</f>
        <v>1268.8</v>
      </c>
      <c r="P6" s="246">
        <f t="shared" ref="P6:P34" si="1">ROUND(O6/12,1)</f>
        <v>105.7</v>
      </c>
      <c r="Q6" s="370"/>
      <c r="R6" s="371"/>
      <c r="S6" s="375" t="str">
        <f>VLOOKUP(S5, tblLocation[], 2, FALSE)</f>
        <v>Table4</v>
      </c>
      <c r="T6" s="376" t="str">
        <f ca="1">IFERROR(UPPER(VLOOKUP(T5, INDIRECT(S6), 2,0)), " 지역설정")</f>
        <v>GWANGJU</v>
      </c>
      <c r="V6" s="371"/>
      <c r="W6" s="374"/>
    </row>
    <row r="7" spans="2:23" ht="22.5" customHeight="1">
      <c r="B7" s="252">
        <v>1997</v>
      </c>
      <c r="C7" s="377">
        <v>19.3</v>
      </c>
      <c r="D7" s="377">
        <v>43.6</v>
      </c>
      <c r="E7" s="377">
        <v>68.3</v>
      </c>
      <c r="F7" s="377">
        <v>82.1</v>
      </c>
      <c r="G7" s="377">
        <v>101.6</v>
      </c>
      <c r="H7" s="377">
        <v>177.2</v>
      </c>
      <c r="I7" s="377">
        <v>358.3</v>
      </c>
      <c r="J7" s="377">
        <v>381.9</v>
      </c>
      <c r="K7" s="377">
        <v>22.8</v>
      </c>
      <c r="L7" s="377">
        <v>14</v>
      </c>
      <c r="M7" s="377">
        <v>136.4</v>
      </c>
      <c r="N7" s="380">
        <v>73.7</v>
      </c>
      <c r="O7" s="384">
        <f t="shared" si="0"/>
        <v>1479.2</v>
      </c>
      <c r="P7" s="246">
        <f t="shared" si="1"/>
        <v>123.3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41.3</v>
      </c>
      <c r="D8" s="377">
        <v>44.4</v>
      </c>
      <c r="E8" s="377">
        <v>78.2</v>
      </c>
      <c r="F8" s="377">
        <v>124.2</v>
      </c>
      <c r="G8" s="377">
        <v>136.9</v>
      </c>
      <c r="H8" s="377">
        <v>369.6</v>
      </c>
      <c r="I8" s="377">
        <v>210.9</v>
      </c>
      <c r="J8" s="377">
        <v>531.20000000000005</v>
      </c>
      <c r="K8" s="377">
        <v>315.7</v>
      </c>
      <c r="L8" s="377">
        <v>57.4</v>
      </c>
      <c r="M8" s="377">
        <v>30.9</v>
      </c>
      <c r="N8" s="380">
        <v>2.2999999999999998</v>
      </c>
      <c r="O8" s="384">
        <f t="shared" si="0"/>
        <v>1943</v>
      </c>
      <c r="P8" s="246">
        <f t="shared" si="1"/>
        <v>161.9</v>
      </c>
      <c r="Q8" s="370"/>
      <c r="T8" s="230"/>
      <c r="V8" s="371"/>
      <c r="W8" s="374"/>
    </row>
    <row r="9" spans="2:23" ht="22.5" customHeight="1">
      <c r="B9" s="252">
        <v>1999</v>
      </c>
      <c r="C9" s="377">
        <v>41</v>
      </c>
      <c r="D9" s="377">
        <v>34.9</v>
      </c>
      <c r="E9" s="377">
        <v>111.9</v>
      </c>
      <c r="F9" s="377">
        <v>44.9</v>
      </c>
      <c r="G9" s="377">
        <v>106.9</v>
      </c>
      <c r="H9" s="377">
        <v>135.4</v>
      </c>
      <c r="I9" s="377">
        <v>220.7</v>
      </c>
      <c r="J9" s="377">
        <v>287.10000000000002</v>
      </c>
      <c r="K9" s="377">
        <v>281.7</v>
      </c>
      <c r="L9" s="377">
        <v>126.2</v>
      </c>
      <c r="M9" s="377">
        <v>22.1</v>
      </c>
      <c r="N9" s="380">
        <v>16.899999999999999</v>
      </c>
      <c r="O9" s="384">
        <f t="shared" si="0"/>
        <v>1429.7</v>
      </c>
      <c r="P9" s="246">
        <f t="shared" si="1"/>
        <v>119.1</v>
      </c>
      <c r="Q9" s="370"/>
      <c r="R9" s="582" t="s">
        <v>818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33.700000000000003</v>
      </c>
      <c r="D10" s="377">
        <v>15.4</v>
      </c>
      <c r="E10" s="377">
        <v>19.899999999999999</v>
      </c>
      <c r="F10" s="377">
        <v>16.3</v>
      </c>
      <c r="G10" s="377">
        <v>47.7</v>
      </c>
      <c r="H10" s="377">
        <v>197.7</v>
      </c>
      <c r="I10" s="377">
        <v>321.39999999999998</v>
      </c>
      <c r="J10" s="377">
        <v>538.29999999999995</v>
      </c>
      <c r="K10" s="377">
        <v>228.7</v>
      </c>
      <c r="L10" s="377">
        <v>31.7</v>
      </c>
      <c r="M10" s="377">
        <v>53.8</v>
      </c>
      <c r="N10" s="380">
        <v>6.4</v>
      </c>
      <c r="O10" s="384">
        <f t="shared" si="0"/>
        <v>1511</v>
      </c>
      <c r="P10" s="246">
        <f t="shared" si="1"/>
        <v>125.9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50.4</v>
      </c>
      <c r="D11" s="377">
        <v>83.9</v>
      </c>
      <c r="E11" s="377">
        <v>26.9</v>
      </c>
      <c r="F11" s="377">
        <v>43.7</v>
      </c>
      <c r="G11" s="377">
        <v>21.4</v>
      </c>
      <c r="H11" s="377">
        <v>245.8</v>
      </c>
      <c r="I11" s="377">
        <v>270.8</v>
      </c>
      <c r="J11" s="377">
        <v>113.2</v>
      </c>
      <c r="K11" s="377">
        <v>135.30000000000001</v>
      </c>
      <c r="L11" s="377">
        <v>69.7</v>
      </c>
      <c r="M11" s="377">
        <v>15.3</v>
      </c>
      <c r="N11" s="380">
        <v>53.5</v>
      </c>
      <c r="O11" s="384">
        <f t="shared" si="0"/>
        <v>1129.9000000000001</v>
      </c>
      <c r="P11" s="246">
        <f t="shared" si="1"/>
        <v>94.2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95.7</v>
      </c>
      <c r="D12" s="377">
        <v>13.5</v>
      </c>
      <c r="E12" s="377">
        <v>46.5</v>
      </c>
      <c r="F12" s="377">
        <v>117.8</v>
      </c>
      <c r="G12" s="377">
        <v>100.5</v>
      </c>
      <c r="H12" s="377">
        <v>108.5</v>
      </c>
      <c r="I12" s="377">
        <v>180</v>
      </c>
      <c r="J12" s="377">
        <v>584</v>
      </c>
      <c r="K12" s="377">
        <v>109</v>
      </c>
      <c r="L12" s="377">
        <v>38.6</v>
      </c>
      <c r="M12" s="377">
        <v>34.1</v>
      </c>
      <c r="N12" s="380">
        <v>30.5</v>
      </c>
      <c r="O12" s="384">
        <f t="shared" si="0"/>
        <v>1458.7</v>
      </c>
      <c r="P12" s="246">
        <f t="shared" si="1"/>
        <v>121.6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45</v>
      </c>
      <c r="D13" s="377">
        <v>52.2</v>
      </c>
      <c r="E13" s="377">
        <v>70.599999999999994</v>
      </c>
      <c r="F13" s="377">
        <v>243.9</v>
      </c>
      <c r="G13" s="377">
        <v>141</v>
      </c>
      <c r="H13" s="377">
        <v>150.19999999999999</v>
      </c>
      <c r="I13" s="377">
        <v>564.9</v>
      </c>
      <c r="J13" s="377">
        <v>411</v>
      </c>
      <c r="K13" s="377">
        <v>206.3</v>
      </c>
      <c r="L13" s="377">
        <v>36.200000000000003</v>
      </c>
      <c r="M13" s="377">
        <v>38.4</v>
      </c>
      <c r="N13" s="380">
        <v>34.4</v>
      </c>
      <c r="O13" s="384">
        <f t="shared" si="0"/>
        <v>1994.1</v>
      </c>
      <c r="P13" s="246">
        <f t="shared" si="1"/>
        <v>166.2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14</v>
      </c>
      <c r="D14" s="377">
        <v>54</v>
      </c>
      <c r="E14" s="377">
        <v>38.4</v>
      </c>
      <c r="F14" s="377">
        <v>63.7</v>
      </c>
      <c r="G14" s="377">
        <v>101.1</v>
      </c>
      <c r="H14" s="377">
        <v>153.80000000000001</v>
      </c>
      <c r="I14" s="377">
        <v>409.5</v>
      </c>
      <c r="J14" s="377">
        <v>570.5</v>
      </c>
      <c r="K14" s="377">
        <v>242</v>
      </c>
      <c r="L14" s="377">
        <v>3.4</v>
      </c>
      <c r="M14" s="377">
        <v>63.1</v>
      </c>
      <c r="N14" s="380">
        <v>28.8</v>
      </c>
      <c r="O14" s="384">
        <f t="shared" si="0"/>
        <v>1742.3</v>
      </c>
      <c r="P14" s="246">
        <f t="shared" si="1"/>
        <v>145.19999999999999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10.6</v>
      </c>
      <c r="D15" s="377">
        <v>48.3</v>
      </c>
      <c r="E15" s="377">
        <v>66.7</v>
      </c>
      <c r="F15" s="377">
        <v>92.5</v>
      </c>
      <c r="G15" s="377">
        <v>74.099999999999994</v>
      </c>
      <c r="H15" s="377">
        <v>185</v>
      </c>
      <c r="I15" s="377">
        <v>273.8</v>
      </c>
      <c r="J15" s="377">
        <v>303.3</v>
      </c>
      <c r="K15" s="377">
        <v>108.5</v>
      </c>
      <c r="L15" s="377">
        <v>17.399999999999999</v>
      </c>
      <c r="M15" s="377">
        <v>42.8</v>
      </c>
      <c r="N15" s="380">
        <v>66.599999999999994</v>
      </c>
      <c r="O15" s="384">
        <f t="shared" si="0"/>
        <v>1289.5999999999999</v>
      </c>
      <c r="P15" s="246">
        <f t="shared" si="1"/>
        <v>107.5</v>
      </c>
      <c r="S15" s="230"/>
    </row>
    <row r="16" spans="2:23" ht="22.5" customHeight="1">
      <c r="B16" s="252">
        <v>2006</v>
      </c>
      <c r="C16" s="377">
        <v>16.100000000000001</v>
      </c>
      <c r="D16" s="377">
        <v>51.9</v>
      </c>
      <c r="E16" s="377">
        <v>15</v>
      </c>
      <c r="F16" s="377">
        <v>87.8</v>
      </c>
      <c r="G16" s="377">
        <v>204.3</v>
      </c>
      <c r="H16" s="377">
        <v>226.7</v>
      </c>
      <c r="I16" s="377">
        <v>478.3</v>
      </c>
      <c r="J16" s="377">
        <v>295.5</v>
      </c>
      <c r="K16" s="377">
        <v>46.8</v>
      </c>
      <c r="L16" s="377">
        <v>18.2</v>
      </c>
      <c r="M16" s="377">
        <v>41.7</v>
      </c>
      <c r="N16" s="380">
        <v>37.9</v>
      </c>
      <c r="O16" s="384">
        <f t="shared" si="0"/>
        <v>1520.2</v>
      </c>
      <c r="P16" s="246">
        <f t="shared" si="1"/>
        <v>126.7</v>
      </c>
      <c r="S16" s="230"/>
    </row>
    <row r="17" spans="2:19" ht="22.5" customHeight="1">
      <c r="B17" s="252">
        <v>2007</v>
      </c>
      <c r="C17" s="377">
        <v>12.1</v>
      </c>
      <c r="D17" s="377">
        <v>79.099999999999994</v>
      </c>
      <c r="E17" s="377">
        <v>100.3</v>
      </c>
      <c r="F17" s="377">
        <v>38.700000000000003</v>
      </c>
      <c r="G17" s="377">
        <v>116</v>
      </c>
      <c r="H17" s="377">
        <v>52</v>
      </c>
      <c r="I17" s="377">
        <v>232</v>
      </c>
      <c r="J17" s="377">
        <v>339.3</v>
      </c>
      <c r="K17" s="377">
        <v>490.7</v>
      </c>
      <c r="L17" s="377">
        <v>95.5</v>
      </c>
      <c r="M17" s="377">
        <v>3.3</v>
      </c>
      <c r="N17" s="380">
        <v>61.6</v>
      </c>
      <c r="O17" s="384">
        <f t="shared" si="0"/>
        <v>1620.6</v>
      </c>
      <c r="P17" s="246">
        <f t="shared" si="1"/>
        <v>135.1</v>
      </c>
      <c r="S17" s="230"/>
    </row>
    <row r="18" spans="2:19" ht="22.5" customHeight="1">
      <c r="B18" s="252">
        <v>2008</v>
      </c>
      <c r="C18" s="377">
        <v>56.9</v>
      </c>
      <c r="D18" s="377">
        <v>11.1</v>
      </c>
      <c r="E18" s="377">
        <v>36.700000000000003</v>
      </c>
      <c r="F18" s="377">
        <v>54.2</v>
      </c>
      <c r="G18" s="377">
        <v>150.6</v>
      </c>
      <c r="H18" s="377">
        <v>273.2</v>
      </c>
      <c r="I18" s="377">
        <v>139.19999999999999</v>
      </c>
      <c r="J18" s="377">
        <v>157.5</v>
      </c>
      <c r="K18" s="377">
        <v>58.9</v>
      </c>
      <c r="L18" s="377">
        <v>15.3</v>
      </c>
      <c r="M18" s="377">
        <v>39.1</v>
      </c>
      <c r="N18" s="380">
        <v>14.5</v>
      </c>
      <c r="O18" s="384">
        <f t="shared" si="0"/>
        <v>1007.2</v>
      </c>
      <c r="P18" s="246">
        <f t="shared" si="1"/>
        <v>83.9</v>
      </c>
    </row>
    <row r="19" spans="2:19" ht="22.5" customHeight="1">
      <c r="B19" s="252">
        <v>2009</v>
      </c>
      <c r="C19" s="377">
        <v>36</v>
      </c>
      <c r="D19" s="377">
        <v>71.900000000000006</v>
      </c>
      <c r="E19" s="377">
        <v>42.1</v>
      </c>
      <c r="F19" s="377">
        <v>35.700000000000003</v>
      </c>
      <c r="G19" s="377">
        <v>114.9</v>
      </c>
      <c r="H19" s="377">
        <v>181.1</v>
      </c>
      <c r="I19" s="377">
        <v>607.4</v>
      </c>
      <c r="J19" s="377">
        <v>263.10000000000002</v>
      </c>
      <c r="K19" s="377">
        <v>22.6</v>
      </c>
      <c r="L19" s="377">
        <v>36.200000000000003</v>
      </c>
      <c r="M19" s="377">
        <v>26.7</v>
      </c>
      <c r="N19" s="380">
        <v>50.5</v>
      </c>
      <c r="O19" s="384">
        <f t="shared" si="0"/>
        <v>1488.2</v>
      </c>
      <c r="P19" s="246">
        <f t="shared" si="1"/>
        <v>124</v>
      </c>
    </row>
    <row r="20" spans="2:19" ht="22.5" customHeight="1">
      <c r="B20" s="252">
        <v>2010</v>
      </c>
      <c r="C20" s="377">
        <v>37.1</v>
      </c>
      <c r="D20" s="377">
        <v>135.80000000000001</v>
      </c>
      <c r="E20" s="377">
        <v>76</v>
      </c>
      <c r="F20" s="377">
        <v>133</v>
      </c>
      <c r="G20" s="377">
        <v>99</v>
      </c>
      <c r="H20" s="377">
        <v>70.599999999999994</v>
      </c>
      <c r="I20" s="377">
        <v>453</v>
      </c>
      <c r="J20" s="377">
        <v>337.6</v>
      </c>
      <c r="K20" s="377">
        <v>139.69999999999999</v>
      </c>
      <c r="L20" s="377">
        <v>42</v>
      </c>
      <c r="M20" s="377">
        <v>7.4</v>
      </c>
      <c r="N20" s="380">
        <v>41.9</v>
      </c>
      <c r="O20" s="384">
        <f t="shared" si="0"/>
        <v>1573.1</v>
      </c>
      <c r="P20" s="246">
        <f t="shared" si="1"/>
        <v>131.1</v>
      </c>
    </row>
    <row r="21" spans="2:19" ht="22.5" customHeight="1">
      <c r="B21" s="252">
        <v>2011</v>
      </c>
      <c r="C21" s="377">
        <v>7.4</v>
      </c>
      <c r="D21" s="377">
        <v>59.8</v>
      </c>
      <c r="E21" s="377">
        <v>23.1</v>
      </c>
      <c r="F21" s="377">
        <v>103</v>
      </c>
      <c r="G21" s="377">
        <v>142.9</v>
      </c>
      <c r="H21" s="377">
        <v>120</v>
      </c>
      <c r="I21" s="377">
        <v>277.5</v>
      </c>
      <c r="J21" s="377">
        <v>382.5</v>
      </c>
      <c r="K21" s="377">
        <v>13.5</v>
      </c>
      <c r="L21" s="377">
        <v>20.5</v>
      </c>
      <c r="M21" s="377">
        <v>136.80000000000001</v>
      </c>
      <c r="N21" s="380">
        <v>13.3</v>
      </c>
      <c r="O21" s="384">
        <f t="shared" si="0"/>
        <v>1300.3</v>
      </c>
      <c r="P21" s="246">
        <f t="shared" si="1"/>
        <v>108.4</v>
      </c>
    </row>
    <row r="22" spans="2:19" ht="22.5" customHeight="1">
      <c r="B22" s="252">
        <v>2012</v>
      </c>
      <c r="C22" s="377">
        <v>15.2</v>
      </c>
      <c r="D22" s="377">
        <v>18.600000000000001</v>
      </c>
      <c r="E22" s="377">
        <v>100.4</v>
      </c>
      <c r="F22" s="377">
        <v>82.5</v>
      </c>
      <c r="G22" s="377">
        <v>42.6</v>
      </c>
      <c r="H22" s="377">
        <v>83.1</v>
      </c>
      <c r="I22" s="377">
        <v>330.6</v>
      </c>
      <c r="J22" s="377">
        <v>473.5</v>
      </c>
      <c r="K22" s="377">
        <v>272</v>
      </c>
      <c r="L22" s="377">
        <v>82.8</v>
      </c>
      <c r="M22" s="377">
        <v>45.9</v>
      </c>
      <c r="N22" s="380">
        <v>79.599999999999994</v>
      </c>
      <c r="O22" s="384">
        <f t="shared" si="0"/>
        <v>1626.8</v>
      </c>
      <c r="P22" s="246">
        <f t="shared" si="1"/>
        <v>135.6</v>
      </c>
    </row>
    <row r="23" spans="2:19" ht="22.5" customHeight="1">
      <c r="B23" s="252">
        <v>2013</v>
      </c>
      <c r="C23" s="377">
        <v>20.6</v>
      </c>
      <c r="D23" s="377">
        <v>48</v>
      </c>
      <c r="E23" s="377">
        <v>76.900000000000006</v>
      </c>
      <c r="F23" s="377">
        <v>54.9</v>
      </c>
      <c r="G23" s="377">
        <v>86.5</v>
      </c>
      <c r="H23" s="377">
        <v>83.7</v>
      </c>
      <c r="I23" s="377">
        <v>349.1</v>
      </c>
      <c r="J23" s="377">
        <v>293.2</v>
      </c>
      <c r="K23" s="377">
        <v>88.5</v>
      </c>
      <c r="L23" s="377">
        <v>30.8</v>
      </c>
      <c r="M23" s="377">
        <v>95</v>
      </c>
      <c r="N23" s="380">
        <v>18.2</v>
      </c>
      <c r="O23" s="384">
        <f t="shared" si="0"/>
        <v>1245.4000000000001</v>
      </c>
      <c r="P23" s="246">
        <f t="shared" si="1"/>
        <v>103.8</v>
      </c>
    </row>
    <row r="24" spans="2:19" ht="22.5" customHeight="1">
      <c r="B24" s="252">
        <v>2014</v>
      </c>
      <c r="C24" s="377">
        <v>12.9</v>
      </c>
      <c r="D24" s="377">
        <v>8.6</v>
      </c>
      <c r="E24" s="377">
        <v>101.7</v>
      </c>
      <c r="F24" s="377">
        <v>62.5</v>
      </c>
      <c r="G24" s="377">
        <v>57</v>
      </c>
      <c r="H24" s="377">
        <v>72</v>
      </c>
      <c r="I24" s="377">
        <v>240.9</v>
      </c>
      <c r="J24" s="377">
        <v>370.2</v>
      </c>
      <c r="K24" s="377">
        <v>116.5</v>
      </c>
      <c r="L24" s="377">
        <v>105</v>
      </c>
      <c r="M24" s="377">
        <v>95.5</v>
      </c>
      <c r="N24" s="380">
        <v>47.5</v>
      </c>
      <c r="O24" s="384">
        <f t="shared" si="0"/>
        <v>1290.3</v>
      </c>
      <c r="P24" s="246">
        <f t="shared" si="1"/>
        <v>107.5</v>
      </c>
    </row>
    <row r="25" spans="2:19" ht="22.5" customHeight="1">
      <c r="B25" s="252">
        <v>2015</v>
      </c>
      <c r="C25" s="377">
        <v>47.2</v>
      </c>
      <c r="D25" s="377">
        <v>23.9</v>
      </c>
      <c r="E25" s="377">
        <v>36.5</v>
      </c>
      <c r="F25" s="377">
        <v>145.5</v>
      </c>
      <c r="G25" s="377">
        <v>48.6</v>
      </c>
      <c r="H25" s="377">
        <v>96.1</v>
      </c>
      <c r="I25" s="377">
        <v>164.3</v>
      </c>
      <c r="J25" s="377">
        <v>148.9</v>
      </c>
      <c r="K25" s="377">
        <v>66.599999999999994</v>
      </c>
      <c r="L25" s="377">
        <v>90.9</v>
      </c>
      <c r="M25" s="377">
        <v>121.9</v>
      </c>
      <c r="N25" s="380">
        <v>59.2</v>
      </c>
      <c r="O25" s="384">
        <f t="shared" si="0"/>
        <v>1049.5999999999999</v>
      </c>
      <c r="P25" s="246">
        <f t="shared" si="1"/>
        <v>87.5</v>
      </c>
    </row>
    <row r="26" spans="2:19" ht="22.5" customHeight="1">
      <c r="B26" s="252">
        <v>2016</v>
      </c>
      <c r="C26" s="377">
        <v>49.7</v>
      </c>
      <c r="D26" s="377">
        <v>45.2</v>
      </c>
      <c r="E26" s="377">
        <v>55.2</v>
      </c>
      <c r="F26" s="377">
        <v>185</v>
      </c>
      <c r="G26" s="377">
        <v>104.5</v>
      </c>
      <c r="H26" s="377">
        <v>116.1</v>
      </c>
      <c r="I26" s="377">
        <v>301.3</v>
      </c>
      <c r="J26" s="377">
        <v>81</v>
      </c>
      <c r="K26" s="377">
        <v>251.2</v>
      </c>
      <c r="L26" s="377">
        <v>216.7</v>
      </c>
      <c r="M26" s="377">
        <v>31.5</v>
      </c>
      <c r="N26" s="380">
        <v>44.9</v>
      </c>
      <c r="O26" s="384">
        <f t="shared" si="0"/>
        <v>1482.3</v>
      </c>
      <c r="P26" s="246">
        <f t="shared" si="1"/>
        <v>123.5</v>
      </c>
    </row>
    <row r="27" spans="2:19" ht="22.5" customHeight="1">
      <c r="B27" s="252">
        <v>2017</v>
      </c>
      <c r="C27" s="377">
        <v>11.7</v>
      </c>
      <c r="D27" s="377">
        <v>41.9</v>
      </c>
      <c r="E27" s="377">
        <v>33.200000000000003</v>
      </c>
      <c r="F27" s="377">
        <v>60.6</v>
      </c>
      <c r="G27" s="377">
        <v>30.2</v>
      </c>
      <c r="H27" s="377">
        <v>42.1</v>
      </c>
      <c r="I27" s="377">
        <v>211.6</v>
      </c>
      <c r="J27" s="377">
        <v>280.5</v>
      </c>
      <c r="K27" s="377">
        <v>108.8</v>
      </c>
      <c r="L27" s="377">
        <v>85.4</v>
      </c>
      <c r="M27" s="377">
        <v>2.1</v>
      </c>
      <c r="N27" s="380">
        <v>28.5</v>
      </c>
      <c r="O27" s="384">
        <f t="shared" si="0"/>
        <v>936.6</v>
      </c>
      <c r="P27" s="246">
        <f t="shared" si="1"/>
        <v>78.099999999999994</v>
      </c>
    </row>
    <row r="28" spans="2:19" ht="22.5" customHeight="1">
      <c r="B28" s="252">
        <v>2018</v>
      </c>
      <c r="C28" s="377">
        <v>38.799999999999997</v>
      </c>
      <c r="D28" s="377">
        <v>22</v>
      </c>
      <c r="E28" s="377">
        <v>115.8</v>
      </c>
      <c r="F28" s="377">
        <v>127.4</v>
      </c>
      <c r="G28" s="377">
        <v>85.4</v>
      </c>
      <c r="H28" s="377">
        <v>222.4</v>
      </c>
      <c r="I28" s="377">
        <v>84.5</v>
      </c>
      <c r="J28" s="377">
        <v>397.1</v>
      </c>
      <c r="K28" s="377">
        <v>129.69999999999999</v>
      </c>
      <c r="L28" s="377">
        <v>125.2</v>
      </c>
      <c r="M28" s="377">
        <v>47.2</v>
      </c>
      <c r="N28" s="380">
        <v>32.4</v>
      </c>
      <c r="O28" s="384">
        <f t="shared" si="0"/>
        <v>1427.9</v>
      </c>
      <c r="P28" s="246">
        <f t="shared" si="1"/>
        <v>119</v>
      </c>
    </row>
    <row r="29" spans="2:19" ht="22.5" customHeight="1">
      <c r="B29" s="252">
        <v>2019</v>
      </c>
      <c r="C29" s="377">
        <v>16.399999999999999</v>
      </c>
      <c r="D29" s="377">
        <v>37</v>
      </c>
      <c r="E29" s="377">
        <v>33.9</v>
      </c>
      <c r="F29" s="377">
        <v>84.7</v>
      </c>
      <c r="G29" s="377">
        <v>78.8</v>
      </c>
      <c r="H29" s="377">
        <v>158</v>
      </c>
      <c r="I29" s="377">
        <v>242.2</v>
      </c>
      <c r="J29" s="377">
        <v>64.8</v>
      </c>
      <c r="K29" s="377">
        <v>165.8</v>
      </c>
      <c r="L29" s="377">
        <v>149.9</v>
      </c>
      <c r="M29" s="377">
        <v>22.8</v>
      </c>
      <c r="N29" s="380">
        <v>31.6</v>
      </c>
      <c r="O29" s="384">
        <f t="shared" si="0"/>
        <v>1085.9000000000001</v>
      </c>
      <c r="P29" s="246">
        <f t="shared" si="1"/>
        <v>90.5</v>
      </c>
    </row>
    <row r="30" spans="2:19" ht="22.5" customHeight="1">
      <c r="B30" s="252">
        <v>2020</v>
      </c>
      <c r="C30" s="377">
        <v>74.900000000000006</v>
      </c>
      <c r="D30" s="377">
        <v>47.8</v>
      </c>
      <c r="E30" s="377">
        <v>43.5</v>
      </c>
      <c r="F30" s="377">
        <v>55.3</v>
      </c>
      <c r="G30" s="377">
        <v>96.8</v>
      </c>
      <c r="H30" s="377">
        <v>199.9</v>
      </c>
      <c r="I30" s="377">
        <v>533.29999999999995</v>
      </c>
      <c r="J30" s="377">
        <v>738.1</v>
      </c>
      <c r="K30" s="377">
        <v>178.3</v>
      </c>
      <c r="L30" s="377">
        <v>12.1</v>
      </c>
      <c r="M30" s="377">
        <v>28.3</v>
      </c>
      <c r="N30" s="380">
        <v>18.7</v>
      </c>
      <c r="O30" s="384">
        <f t="shared" si="0"/>
        <v>2027</v>
      </c>
      <c r="P30" s="246">
        <f t="shared" si="1"/>
        <v>168.9</v>
      </c>
    </row>
    <row r="31" spans="2:19" ht="22.5" customHeight="1">
      <c r="B31" s="252">
        <v>2021</v>
      </c>
      <c r="C31" s="377">
        <v>33</v>
      </c>
      <c r="D31" s="377">
        <v>31.1</v>
      </c>
      <c r="E31" s="377">
        <v>122.4</v>
      </c>
      <c r="F31" s="377">
        <v>34.200000000000003</v>
      </c>
      <c r="G31" s="377">
        <v>139.4</v>
      </c>
      <c r="H31" s="377">
        <v>118.1</v>
      </c>
      <c r="I31" s="377">
        <v>227.6</v>
      </c>
      <c r="J31" s="377">
        <v>338.7</v>
      </c>
      <c r="K31" s="377">
        <v>131.1</v>
      </c>
      <c r="L31" s="377">
        <v>35.299999999999997</v>
      </c>
      <c r="M31" s="377">
        <v>85.8</v>
      </c>
      <c r="N31" s="380">
        <v>7.1</v>
      </c>
      <c r="O31" s="384">
        <f t="shared" si="0"/>
        <v>1303.8</v>
      </c>
      <c r="P31" s="246">
        <f t="shared" si="1"/>
        <v>108.7</v>
      </c>
    </row>
    <row r="32" spans="2:19" ht="22.5" customHeight="1">
      <c r="B32" s="252">
        <v>2022</v>
      </c>
      <c r="C32" s="377">
        <v>0.3</v>
      </c>
      <c r="D32" s="377">
        <v>2.7</v>
      </c>
      <c r="E32" s="377">
        <v>105.2</v>
      </c>
      <c r="F32" s="377">
        <v>49.4</v>
      </c>
      <c r="G32" s="377">
        <v>0.4</v>
      </c>
      <c r="H32" s="377">
        <v>131.69999999999999</v>
      </c>
      <c r="I32" s="377">
        <v>169</v>
      </c>
      <c r="J32" s="377">
        <v>106.4</v>
      </c>
      <c r="K32" s="377">
        <v>89.2</v>
      </c>
      <c r="L32" s="377">
        <v>38.299999999999997</v>
      </c>
      <c r="M32" s="377">
        <v>46.7</v>
      </c>
      <c r="N32" s="380">
        <v>30.6</v>
      </c>
      <c r="O32" s="384">
        <f t="shared" si="0"/>
        <v>769.9</v>
      </c>
      <c r="P32" s="246">
        <f t="shared" si="1"/>
        <v>64.2</v>
      </c>
    </row>
    <row r="33" spans="2:16" ht="22.5" customHeight="1">
      <c r="B33" s="252">
        <v>2023</v>
      </c>
      <c r="C33" s="377">
        <v>26.8</v>
      </c>
      <c r="D33" s="377">
        <v>14.8</v>
      </c>
      <c r="E33" s="377">
        <v>34.799999999999997</v>
      </c>
      <c r="F33" s="377">
        <v>66.5</v>
      </c>
      <c r="G33" s="377">
        <v>190.1</v>
      </c>
      <c r="H33" s="377">
        <v>441.2</v>
      </c>
      <c r="I33" s="377">
        <v>684.6</v>
      </c>
      <c r="J33" s="377">
        <v>341.2</v>
      </c>
      <c r="K33" s="377">
        <v>152.5</v>
      </c>
      <c r="L33" s="377">
        <v>11.5</v>
      </c>
      <c r="M33" s="377">
        <v>71.900000000000006</v>
      </c>
      <c r="N33" s="380">
        <v>80.2</v>
      </c>
      <c r="O33" s="384">
        <f t="shared" si="0"/>
        <v>2116.1</v>
      </c>
      <c r="P33" s="246">
        <f t="shared" si="1"/>
        <v>176.3</v>
      </c>
    </row>
    <row r="34" spans="2:16" ht="22.5" customHeight="1" thickBot="1">
      <c r="B34" s="387">
        <v>2024</v>
      </c>
      <c r="C34" s="388">
        <v>31.1</v>
      </c>
      <c r="D34" s="388">
        <v>111.3</v>
      </c>
      <c r="E34" s="388">
        <v>79.5</v>
      </c>
      <c r="F34" s="388">
        <v>79.599999999999994</v>
      </c>
      <c r="G34" s="388">
        <v>102</v>
      </c>
      <c r="H34" s="388">
        <v>149.1</v>
      </c>
      <c r="I34" s="388">
        <v>250.4</v>
      </c>
      <c r="J34" s="388">
        <v>132.1</v>
      </c>
      <c r="K34" s="388">
        <v>181.4</v>
      </c>
      <c r="L34" s="388">
        <v>98.2</v>
      </c>
      <c r="M34" s="388">
        <v>66.5</v>
      </c>
      <c r="N34" s="389">
        <v>9.8000000000000007</v>
      </c>
      <c r="O34" s="390">
        <f t="shared" si="0"/>
        <v>1291</v>
      </c>
      <c r="P34" s="391">
        <f t="shared" si="1"/>
        <v>107.6</v>
      </c>
    </row>
    <row r="35" spans="2:16" ht="22.5" customHeight="1">
      <c r="B35" s="319" t="s">
        <v>36</v>
      </c>
      <c r="C35" s="392">
        <f>MAX(C5:C34)</f>
        <v>95.7</v>
      </c>
      <c r="D35" s="392">
        <f t="shared" ref="D35:N35" si="2">MAX(D5:D34)</f>
        <v>135.80000000000001</v>
      </c>
      <c r="E35" s="392">
        <f t="shared" si="2"/>
        <v>127.4</v>
      </c>
      <c r="F35" s="392">
        <f t="shared" si="2"/>
        <v>243.9</v>
      </c>
      <c r="G35" s="392">
        <f t="shared" si="2"/>
        <v>204.3</v>
      </c>
      <c r="H35" s="392">
        <f t="shared" si="2"/>
        <v>441.2</v>
      </c>
      <c r="I35" s="392">
        <f t="shared" si="2"/>
        <v>684.6</v>
      </c>
      <c r="J35" s="392">
        <f t="shared" si="2"/>
        <v>738.1</v>
      </c>
      <c r="K35" s="392">
        <f t="shared" si="2"/>
        <v>490.7</v>
      </c>
      <c r="L35" s="392">
        <f t="shared" si="2"/>
        <v>216.7</v>
      </c>
      <c r="M35" s="392">
        <f t="shared" si="2"/>
        <v>136.80000000000001</v>
      </c>
      <c r="N35" s="320">
        <f t="shared" si="2"/>
        <v>80.2</v>
      </c>
      <c r="O35" s="393">
        <f t="shared" ref="O35" si="3">MAX(O5:O34)</f>
        <v>2116.1</v>
      </c>
      <c r="P35" s="320">
        <f>MAX(P5:P34)</f>
        <v>176.3</v>
      </c>
    </row>
    <row r="36" spans="2:16" ht="22.5" customHeight="1">
      <c r="B36" s="252" t="s">
        <v>37</v>
      </c>
      <c r="C36" s="120">
        <f>ROUND(MIN(C5:C34),1)</f>
        <v>0.3</v>
      </c>
      <c r="D36" s="120">
        <f t="shared" ref="D36:N36" si="4">ROUND(MIN(D5:D34),1)</f>
        <v>2.7</v>
      </c>
      <c r="E36" s="120">
        <f t="shared" si="4"/>
        <v>15</v>
      </c>
      <c r="F36" s="120">
        <f t="shared" si="4"/>
        <v>16.3</v>
      </c>
      <c r="G36" s="120">
        <f t="shared" si="4"/>
        <v>0.4</v>
      </c>
      <c r="H36" s="120">
        <f t="shared" si="4"/>
        <v>42.1</v>
      </c>
      <c r="I36" s="120">
        <f t="shared" si="4"/>
        <v>84.5</v>
      </c>
      <c r="J36" s="120">
        <f t="shared" si="4"/>
        <v>64.8</v>
      </c>
      <c r="K36" s="120">
        <f t="shared" si="4"/>
        <v>13.5</v>
      </c>
      <c r="L36" s="120">
        <f t="shared" si="4"/>
        <v>3.4</v>
      </c>
      <c r="M36" s="120">
        <f t="shared" si="4"/>
        <v>2.1</v>
      </c>
      <c r="N36" s="246">
        <f t="shared" si="4"/>
        <v>2.2999999999999998</v>
      </c>
      <c r="O36" s="385">
        <f>ROUND(MIN(O5:O34),1)</f>
        <v>764.4</v>
      </c>
      <c r="P36" s="380">
        <f>ROUND(MIN(P5:P34),1)</f>
        <v>63.7</v>
      </c>
    </row>
    <row r="37" spans="2:16" ht="22.5" customHeight="1" thickBot="1">
      <c r="B37" s="240" t="s">
        <v>45</v>
      </c>
      <c r="C37" s="238">
        <f>ROUND(AVERAGE(C5:C34),1)</f>
        <v>32.299999999999997</v>
      </c>
      <c r="D37" s="238">
        <f t="shared" ref="D37:N37" si="5">ROUND(AVERAGE(D5:D34),1)</f>
        <v>43.3</v>
      </c>
      <c r="E37" s="238">
        <f t="shared" si="5"/>
        <v>63.8</v>
      </c>
      <c r="F37" s="238">
        <f t="shared" si="5"/>
        <v>84</v>
      </c>
      <c r="G37" s="238">
        <f t="shared" si="5"/>
        <v>94.5</v>
      </c>
      <c r="H37" s="238">
        <f t="shared" si="5"/>
        <v>165.3</v>
      </c>
      <c r="I37" s="238">
        <f t="shared" si="5"/>
        <v>302.8</v>
      </c>
      <c r="J37" s="238">
        <f t="shared" si="5"/>
        <v>322.5</v>
      </c>
      <c r="K37" s="238">
        <f t="shared" si="5"/>
        <v>148.69999999999999</v>
      </c>
      <c r="L37" s="238">
        <f t="shared" si="5"/>
        <v>59.4</v>
      </c>
      <c r="M37" s="238">
        <f t="shared" si="5"/>
        <v>53.4</v>
      </c>
      <c r="N37" s="241">
        <f t="shared" si="5"/>
        <v>35.799999999999997</v>
      </c>
      <c r="O37" s="386">
        <f>ROUND(AVERAGE(O5:O34),1)</f>
        <v>1405.8</v>
      </c>
      <c r="P37" s="383">
        <f>ROUND(AVERAGE(P5:P34),1)</f>
        <v>117.2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47.2</v>
      </c>
      <c r="D41" s="377">
        <f t="shared" si="6"/>
        <v>23.9</v>
      </c>
      <c r="E41" s="377">
        <f t="shared" si="6"/>
        <v>36.5</v>
      </c>
      <c r="F41" s="377">
        <f t="shared" si="6"/>
        <v>145.5</v>
      </c>
      <c r="G41" s="377">
        <f t="shared" si="6"/>
        <v>48.6</v>
      </c>
      <c r="H41" s="377">
        <f t="shared" si="6"/>
        <v>96.1</v>
      </c>
      <c r="I41" s="377">
        <f t="shared" si="6"/>
        <v>164.3</v>
      </c>
      <c r="J41" s="377">
        <f t="shared" si="6"/>
        <v>148.9</v>
      </c>
      <c r="K41" s="377">
        <f t="shared" si="6"/>
        <v>66.599999999999994</v>
      </c>
      <c r="L41" s="377">
        <f t="shared" si="6"/>
        <v>90.9</v>
      </c>
      <c r="M41" s="377">
        <f t="shared" si="6"/>
        <v>121.9</v>
      </c>
      <c r="N41" s="394">
        <f t="shared" si="6"/>
        <v>59.2</v>
      </c>
      <c r="O41" s="379">
        <f>ROUND(SUM(C41:N41),1)</f>
        <v>1049.5999999999999</v>
      </c>
      <c r="P41" s="380">
        <f>ROUND(O41/12,1)</f>
        <v>87.5</v>
      </c>
    </row>
    <row r="42" spans="2:16" ht="22.5" customHeight="1">
      <c r="B42" s="379">
        <f t="shared" ref="B42:N42" si="7">B26</f>
        <v>2016</v>
      </c>
      <c r="C42" s="377">
        <f t="shared" si="7"/>
        <v>49.7</v>
      </c>
      <c r="D42" s="377">
        <f t="shared" si="7"/>
        <v>45.2</v>
      </c>
      <c r="E42" s="377">
        <f t="shared" si="7"/>
        <v>55.2</v>
      </c>
      <c r="F42" s="377">
        <f t="shared" si="7"/>
        <v>185</v>
      </c>
      <c r="G42" s="377">
        <f t="shared" si="7"/>
        <v>104.5</v>
      </c>
      <c r="H42" s="377">
        <f t="shared" si="7"/>
        <v>116.1</v>
      </c>
      <c r="I42" s="377">
        <f t="shared" si="7"/>
        <v>301.3</v>
      </c>
      <c r="J42" s="377">
        <f t="shared" si="7"/>
        <v>81</v>
      </c>
      <c r="K42" s="377">
        <f t="shared" si="7"/>
        <v>251.2</v>
      </c>
      <c r="L42" s="377">
        <f t="shared" si="7"/>
        <v>216.7</v>
      </c>
      <c r="M42" s="377">
        <f t="shared" si="7"/>
        <v>31.5</v>
      </c>
      <c r="N42" s="394">
        <f t="shared" si="7"/>
        <v>44.9</v>
      </c>
      <c r="O42" s="379">
        <f t="shared" ref="O42:O50" si="8">ROUND(SUM(C42:N42),1)</f>
        <v>1482.3</v>
      </c>
      <c r="P42" s="380">
        <f t="shared" ref="P42:P50" si="9">ROUND(O42/12,1)</f>
        <v>123.5</v>
      </c>
    </row>
    <row r="43" spans="2:16" ht="22.5" customHeight="1">
      <c r="B43" s="379">
        <f t="shared" ref="B43:N43" si="10">B27</f>
        <v>2017</v>
      </c>
      <c r="C43" s="377">
        <f t="shared" si="10"/>
        <v>11.7</v>
      </c>
      <c r="D43" s="377">
        <f t="shared" si="10"/>
        <v>41.9</v>
      </c>
      <c r="E43" s="377">
        <f t="shared" si="10"/>
        <v>33.200000000000003</v>
      </c>
      <c r="F43" s="377">
        <f t="shared" si="10"/>
        <v>60.6</v>
      </c>
      <c r="G43" s="377">
        <f t="shared" si="10"/>
        <v>30.2</v>
      </c>
      <c r="H43" s="377">
        <f t="shared" si="10"/>
        <v>42.1</v>
      </c>
      <c r="I43" s="377">
        <f t="shared" si="10"/>
        <v>211.6</v>
      </c>
      <c r="J43" s="377">
        <f t="shared" si="10"/>
        <v>280.5</v>
      </c>
      <c r="K43" s="377">
        <f t="shared" si="10"/>
        <v>108.8</v>
      </c>
      <c r="L43" s="377">
        <f t="shared" si="10"/>
        <v>85.4</v>
      </c>
      <c r="M43" s="377">
        <f t="shared" si="10"/>
        <v>2.1</v>
      </c>
      <c r="N43" s="394">
        <f t="shared" si="10"/>
        <v>28.5</v>
      </c>
      <c r="O43" s="379">
        <f t="shared" si="8"/>
        <v>936.6</v>
      </c>
      <c r="P43" s="380">
        <f t="shared" si="9"/>
        <v>78.099999999999994</v>
      </c>
    </row>
    <row r="44" spans="2:16" ht="22.5" customHeight="1">
      <c r="B44" s="379">
        <f t="shared" ref="B44:N44" si="11">B28</f>
        <v>2018</v>
      </c>
      <c r="C44" s="377">
        <f t="shared" si="11"/>
        <v>38.799999999999997</v>
      </c>
      <c r="D44" s="377">
        <f t="shared" si="11"/>
        <v>22</v>
      </c>
      <c r="E44" s="377">
        <f t="shared" si="11"/>
        <v>115.8</v>
      </c>
      <c r="F44" s="377">
        <f t="shared" si="11"/>
        <v>127.4</v>
      </c>
      <c r="G44" s="377">
        <f t="shared" si="11"/>
        <v>85.4</v>
      </c>
      <c r="H44" s="377">
        <f t="shared" si="11"/>
        <v>222.4</v>
      </c>
      <c r="I44" s="377">
        <f t="shared" si="11"/>
        <v>84.5</v>
      </c>
      <c r="J44" s="377">
        <f t="shared" si="11"/>
        <v>397.1</v>
      </c>
      <c r="K44" s="377">
        <f t="shared" si="11"/>
        <v>129.69999999999999</v>
      </c>
      <c r="L44" s="377">
        <f t="shared" si="11"/>
        <v>125.2</v>
      </c>
      <c r="M44" s="377">
        <f t="shared" si="11"/>
        <v>47.2</v>
      </c>
      <c r="N44" s="394">
        <f t="shared" si="11"/>
        <v>32.4</v>
      </c>
      <c r="O44" s="379">
        <f t="shared" si="8"/>
        <v>1427.9</v>
      </c>
      <c r="P44" s="380">
        <f t="shared" si="9"/>
        <v>119</v>
      </c>
    </row>
    <row r="45" spans="2:16" ht="22.5" customHeight="1">
      <c r="B45" s="379">
        <f t="shared" ref="B45:N45" si="12">B29</f>
        <v>2019</v>
      </c>
      <c r="C45" s="377">
        <f t="shared" si="12"/>
        <v>16.399999999999999</v>
      </c>
      <c r="D45" s="377">
        <f t="shared" si="12"/>
        <v>37</v>
      </c>
      <c r="E45" s="377">
        <f t="shared" si="12"/>
        <v>33.9</v>
      </c>
      <c r="F45" s="377">
        <f t="shared" si="12"/>
        <v>84.7</v>
      </c>
      <c r="G45" s="377">
        <f t="shared" si="12"/>
        <v>78.8</v>
      </c>
      <c r="H45" s="377">
        <f t="shared" si="12"/>
        <v>158</v>
      </c>
      <c r="I45" s="377">
        <f t="shared" si="12"/>
        <v>242.2</v>
      </c>
      <c r="J45" s="377">
        <f t="shared" si="12"/>
        <v>64.8</v>
      </c>
      <c r="K45" s="377">
        <f t="shared" si="12"/>
        <v>165.8</v>
      </c>
      <c r="L45" s="377">
        <f t="shared" si="12"/>
        <v>149.9</v>
      </c>
      <c r="M45" s="377">
        <f t="shared" si="12"/>
        <v>22.8</v>
      </c>
      <c r="N45" s="394">
        <f t="shared" si="12"/>
        <v>31.6</v>
      </c>
      <c r="O45" s="379">
        <f t="shared" si="8"/>
        <v>1085.9000000000001</v>
      </c>
      <c r="P45" s="380">
        <f t="shared" si="9"/>
        <v>90.5</v>
      </c>
    </row>
    <row r="46" spans="2:16" ht="22.5" customHeight="1">
      <c r="B46" s="379">
        <f t="shared" ref="B46:N46" si="13">B30</f>
        <v>2020</v>
      </c>
      <c r="C46" s="377">
        <f t="shared" si="13"/>
        <v>74.900000000000006</v>
      </c>
      <c r="D46" s="377">
        <f t="shared" si="13"/>
        <v>47.8</v>
      </c>
      <c r="E46" s="377">
        <f t="shared" si="13"/>
        <v>43.5</v>
      </c>
      <c r="F46" s="377">
        <f t="shared" si="13"/>
        <v>55.3</v>
      </c>
      <c r="G46" s="377">
        <f t="shared" si="13"/>
        <v>96.8</v>
      </c>
      <c r="H46" s="377">
        <f t="shared" si="13"/>
        <v>199.9</v>
      </c>
      <c r="I46" s="377">
        <f t="shared" si="13"/>
        <v>533.29999999999995</v>
      </c>
      <c r="J46" s="377">
        <f t="shared" si="13"/>
        <v>738.1</v>
      </c>
      <c r="K46" s="377">
        <f t="shared" si="13"/>
        <v>178.3</v>
      </c>
      <c r="L46" s="377">
        <f t="shared" si="13"/>
        <v>12.1</v>
      </c>
      <c r="M46" s="377">
        <f t="shared" si="13"/>
        <v>28.3</v>
      </c>
      <c r="N46" s="394">
        <f t="shared" si="13"/>
        <v>18.7</v>
      </c>
      <c r="O46" s="379">
        <f t="shared" si="8"/>
        <v>2027</v>
      </c>
      <c r="P46" s="380">
        <f t="shared" si="9"/>
        <v>168.9</v>
      </c>
    </row>
    <row r="47" spans="2:16" ht="22.5" customHeight="1">
      <c r="B47" s="379">
        <f t="shared" ref="B47:N47" si="14">B31</f>
        <v>2021</v>
      </c>
      <c r="C47" s="377">
        <f t="shared" si="14"/>
        <v>33</v>
      </c>
      <c r="D47" s="377">
        <f t="shared" si="14"/>
        <v>31.1</v>
      </c>
      <c r="E47" s="377">
        <f t="shared" si="14"/>
        <v>122.4</v>
      </c>
      <c r="F47" s="377">
        <f t="shared" si="14"/>
        <v>34.200000000000003</v>
      </c>
      <c r="G47" s="377">
        <f t="shared" si="14"/>
        <v>139.4</v>
      </c>
      <c r="H47" s="377">
        <f t="shared" si="14"/>
        <v>118.1</v>
      </c>
      <c r="I47" s="377">
        <f t="shared" si="14"/>
        <v>227.6</v>
      </c>
      <c r="J47" s="377">
        <f t="shared" si="14"/>
        <v>338.7</v>
      </c>
      <c r="K47" s="377">
        <f t="shared" si="14"/>
        <v>131.1</v>
      </c>
      <c r="L47" s="377">
        <f t="shared" si="14"/>
        <v>35.299999999999997</v>
      </c>
      <c r="M47" s="377">
        <f t="shared" si="14"/>
        <v>85.8</v>
      </c>
      <c r="N47" s="394">
        <f t="shared" si="14"/>
        <v>7.1</v>
      </c>
      <c r="O47" s="379">
        <f t="shared" si="8"/>
        <v>1303.8</v>
      </c>
      <c r="P47" s="380">
        <f t="shared" si="9"/>
        <v>108.7</v>
      </c>
    </row>
    <row r="48" spans="2:16" ht="22.5" customHeight="1">
      <c r="B48" s="379">
        <f t="shared" ref="B48:N48" si="15">B32</f>
        <v>2022</v>
      </c>
      <c r="C48" s="377">
        <f t="shared" si="15"/>
        <v>0.3</v>
      </c>
      <c r="D48" s="377">
        <f t="shared" si="15"/>
        <v>2.7</v>
      </c>
      <c r="E48" s="377">
        <f t="shared" si="15"/>
        <v>105.2</v>
      </c>
      <c r="F48" s="377">
        <f t="shared" si="15"/>
        <v>49.4</v>
      </c>
      <c r="G48" s="377">
        <f t="shared" si="15"/>
        <v>0.4</v>
      </c>
      <c r="H48" s="377">
        <f t="shared" si="15"/>
        <v>131.69999999999999</v>
      </c>
      <c r="I48" s="377">
        <f t="shared" si="15"/>
        <v>169</v>
      </c>
      <c r="J48" s="377">
        <f t="shared" si="15"/>
        <v>106.4</v>
      </c>
      <c r="K48" s="377">
        <f t="shared" si="15"/>
        <v>89.2</v>
      </c>
      <c r="L48" s="377">
        <f t="shared" si="15"/>
        <v>38.299999999999997</v>
      </c>
      <c r="M48" s="377">
        <f t="shared" si="15"/>
        <v>46.7</v>
      </c>
      <c r="N48" s="394">
        <f t="shared" si="15"/>
        <v>30.6</v>
      </c>
      <c r="O48" s="379">
        <f t="shared" si="8"/>
        <v>769.9</v>
      </c>
      <c r="P48" s="380">
        <f t="shared" si="9"/>
        <v>64.2</v>
      </c>
    </row>
    <row r="49" spans="2:16" ht="22.5" customHeight="1">
      <c r="B49" s="379">
        <f t="shared" ref="B49:N49" si="16">B33</f>
        <v>2023</v>
      </c>
      <c r="C49" s="377">
        <f t="shared" si="16"/>
        <v>26.8</v>
      </c>
      <c r="D49" s="377">
        <f t="shared" si="16"/>
        <v>14.8</v>
      </c>
      <c r="E49" s="377">
        <f t="shared" si="16"/>
        <v>34.799999999999997</v>
      </c>
      <c r="F49" s="377">
        <f t="shared" si="16"/>
        <v>66.5</v>
      </c>
      <c r="G49" s="377">
        <f t="shared" si="16"/>
        <v>190.1</v>
      </c>
      <c r="H49" s="377">
        <f t="shared" si="16"/>
        <v>441.2</v>
      </c>
      <c r="I49" s="377">
        <f t="shared" si="16"/>
        <v>684.6</v>
      </c>
      <c r="J49" s="377">
        <f t="shared" si="16"/>
        <v>341.2</v>
      </c>
      <c r="K49" s="377">
        <f t="shared" si="16"/>
        <v>152.5</v>
      </c>
      <c r="L49" s="377">
        <f t="shared" si="16"/>
        <v>11.5</v>
      </c>
      <c r="M49" s="377">
        <f t="shared" si="16"/>
        <v>71.900000000000006</v>
      </c>
      <c r="N49" s="394">
        <f t="shared" si="16"/>
        <v>80.2</v>
      </c>
      <c r="O49" s="379">
        <f t="shared" si="8"/>
        <v>2116.1</v>
      </c>
      <c r="P49" s="380">
        <f t="shared" si="9"/>
        <v>176.3</v>
      </c>
    </row>
    <row r="50" spans="2:16" ht="22.5" customHeight="1" thickBot="1">
      <c r="B50" s="397">
        <f t="shared" ref="B50:N50" si="17">B34</f>
        <v>2024</v>
      </c>
      <c r="C50" s="388">
        <f t="shared" si="17"/>
        <v>31.1</v>
      </c>
      <c r="D50" s="388">
        <f t="shared" si="17"/>
        <v>111.3</v>
      </c>
      <c r="E50" s="388">
        <f>E34</f>
        <v>79.5</v>
      </c>
      <c r="F50" s="388">
        <f t="shared" si="17"/>
        <v>79.599999999999994</v>
      </c>
      <c r="G50" s="388">
        <f t="shared" si="17"/>
        <v>102</v>
      </c>
      <c r="H50" s="388">
        <f t="shared" si="17"/>
        <v>149.1</v>
      </c>
      <c r="I50" s="388">
        <f t="shared" si="17"/>
        <v>250.4</v>
      </c>
      <c r="J50" s="388">
        <f t="shared" si="17"/>
        <v>132.1</v>
      </c>
      <c r="K50" s="388">
        <f t="shared" si="17"/>
        <v>181.4</v>
      </c>
      <c r="L50" s="388">
        <f t="shared" si="17"/>
        <v>98.2</v>
      </c>
      <c r="M50" s="388">
        <f t="shared" si="17"/>
        <v>66.5</v>
      </c>
      <c r="N50" s="398">
        <f t="shared" si="17"/>
        <v>9.8000000000000007</v>
      </c>
      <c r="O50" s="397">
        <f t="shared" si="8"/>
        <v>1291</v>
      </c>
      <c r="P50" s="389">
        <f t="shared" si="9"/>
        <v>107.6</v>
      </c>
    </row>
    <row r="51" spans="2:16" ht="22.5" customHeight="1">
      <c r="B51" s="399" t="s">
        <v>46</v>
      </c>
      <c r="C51" s="400">
        <f>MAX(C41:C50)</f>
        <v>74.900000000000006</v>
      </c>
      <c r="D51" s="400">
        <f t="shared" ref="D51:P51" si="18">MAX(D41:D50)</f>
        <v>111.3</v>
      </c>
      <c r="E51" s="400">
        <f t="shared" si="18"/>
        <v>122.4</v>
      </c>
      <c r="F51" s="400">
        <f t="shared" si="18"/>
        <v>185</v>
      </c>
      <c r="G51" s="400">
        <f t="shared" si="18"/>
        <v>190.1</v>
      </c>
      <c r="H51" s="400">
        <f t="shared" si="18"/>
        <v>441.2</v>
      </c>
      <c r="I51" s="400">
        <f t="shared" si="18"/>
        <v>684.6</v>
      </c>
      <c r="J51" s="400">
        <f t="shared" si="18"/>
        <v>738.1</v>
      </c>
      <c r="K51" s="400">
        <f t="shared" si="18"/>
        <v>251.2</v>
      </c>
      <c r="L51" s="400">
        <f t="shared" si="18"/>
        <v>216.7</v>
      </c>
      <c r="M51" s="400">
        <f t="shared" si="18"/>
        <v>121.9</v>
      </c>
      <c r="N51" s="401">
        <f t="shared" si="18"/>
        <v>80.2</v>
      </c>
      <c r="O51" s="399">
        <f t="shared" si="18"/>
        <v>2116.1</v>
      </c>
      <c r="P51" s="402">
        <f t="shared" si="18"/>
        <v>176.3</v>
      </c>
    </row>
    <row r="52" spans="2:16" ht="22.5" customHeight="1">
      <c r="B52" s="379" t="s">
        <v>47</v>
      </c>
      <c r="C52" s="377">
        <f>MIN(C41:C50)</f>
        <v>0.3</v>
      </c>
      <c r="D52" s="377">
        <f t="shared" ref="D52:P52" si="19">MIN(D41:D50)</f>
        <v>2.7</v>
      </c>
      <c r="E52" s="377">
        <f t="shared" si="19"/>
        <v>33.200000000000003</v>
      </c>
      <c r="F52" s="377">
        <f t="shared" si="19"/>
        <v>34.200000000000003</v>
      </c>
      <c r="G52" s="377">
        <f t="shared" si="19"/>
        <v>0.4</v>
      </c>
      <c r="H52" s="377">
        <f t="shared" si="19"/>
        <v>42.1</v>
      </c>
      <c r="I52" s="377">
        <f t="shared" si="19"/>
        <v>84.5</v>
      </c>
      <c r="J52" s="377">
        <f t="shared" si="19"/>
        <v>64.8</v>
      </c>
      <c r="K52" s="377">
        <f t="shared" si="19"/>
        <v>66.599999999999994</v>
      </c>
      <c r="L52" s="377">
        <f t="shared" si="19"/>
        <v>11.5</v>
      </c>
      <c r="M52" s="377">
        <f t="shared" si="19"/>
        <v>2.1</v>
      </c>
      <c r="N52" s="394">
        <f t="shared" si="19"/>
        <v>7.1</v>
      </c>
      <c r="O52" s="379">
        <f>MIN(O41:O50)</f>
        <v>769.9</v>
      </c>
      <c r="P52" s="380">
        <f t="shared" si="19"/>
        <v>64.2</v>
      </c>
    </row>
    <row r="53" spans="2:16" ht="22.5" customHeight="1" thickBot="1">
      <c r="B53" s="381" t="s">
        <v>30</v>
      </c>
      <c r="C53" s="382">
        <f>ROUND(AVERAGE(C41:C50),1)</f>
        <v>33</v>
      </c>
      <c r="D53" s="382">
        <f t="shared" ref="D53:N53" si="20">ROUND(AVERAGE(D41:D50),1)</f>
        <v>37.799999999999997</v>
      </c>
      <c r="E53" s="382">
        <f t="shared" si="20"/>
        <v>66</v>
      </c>
      <c r="F53" s="382">
        <f t="shared" si="20"/>
        <v>88.8</v>
      </c>
      <c r="G53" s="382">
        <f t="shared" si="20"/>
        <v>87.6</v>
      </c>
      <c r="H53" s="382">
        <f t="shared" si="20"/>
        <v>167.5</v>
      </c>
      <c r="I53" s="382">
        <f t="shared" si="20"/>
        <v>286.89999999999998</v>
      </c>
      <c r="J53" s="382">
        <f t="shared" si="20"/>
        <v>262.89999999999998</v>
      </c>
      <c r="K53" s="382">
        <f t="shared" si="20"/>
        <v>145.5</v>
      </c>
      <c r="L53" s="382">
        <f t="shared" si="20"/>
        <v>86.4</v>
      </c>
      <c r="M53" s="382">
        <f t="shared" si="20"/>
        <v>52.5</v>
      </c>
      <c r="N53" s="395">
        <f t="shared" si="20"/>
        <v>34.299999999999997</v>
      </c>
      <c r="O53" s="396">
        <f>ROUND(AVERAGE(O41:O50),1)</f>
        <v>1349</v>
      </c>
      <c r="P53" s="383">
        <f>ROUND(AVERAGE(P41:P50),1)</f>
        <v>112.4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8" workbookViewId="0">
      <selection activeCell="G93" sqref="G93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42.3</v>
      </c>
      <c r="D3" s="349">
        <f>All!D5</f>
        <v>34.9</v>
      </c>
      <c r="E3" s="349">
        <f>All!E5</f>
        <v>28.1</v>
      </c>
      <c r="F3" s="349">
        <f>All!F5</f>
        <v>111.7</v>
      </c>
      <c r="G3" s="349">
        <f>All!G5</f>
        <v>75.5</v>
      </c>
      <c r="H3" s="349">
        <f>All!H5</f>
        <v>96.4</v>
      </c>
      <c r="I3" s="349">
        <f>All!I5</f>
        <v>110</v>
      </c>
      <c r="J3" s="349">
        <f>All!J5</f>
        <v>151.4</v>
      </c>
      <c r="K3" s="349">
        <f>All!K5</f>
        <v>40.5</v>
      </c>
      <c r="L3" s="349">
        <f>All!L5</f>
        <v>17.2</v>
      </c>
      <c r="M3" s="349">
        <f>All!M5</f>
        <v>35.1</v>
      </c>
      <c r="N3" s="349">
        <f>All!N5</f>
        <v>21.3</v>
      </c>
      <c r="O3" s="349">
        <f>All!O5</f>
        <v>764.4</v>
      </c>
      <c r="P3" s="351">
        <f>All!P5</f>
        <v>63.7</v>
      </c>
    </row>
    <row r="4" spans="2:16" hidden="1" outlineLevel="1">
      <c r="B4" s="350">
        <f>All!B6</f>
        <v>1996</v>
      </c>
      <c r="C4" s="349">
        <f>All!C6</f>
        <v>32.9</v>
      </c>
      <c r="D4" s="349">
        <f>All!D6</f>
        <v>11.8</v>
      </c>
      <c r="E4" s="349">
        <f>All!E6</f>
        <v>127.4</v>
      </c>
      <c r="F4" s="349">
        <f>All!F6</f>
        <v>38.4</v>
      </c>
      <c r="G4" s="349">
        <f>All!G6</f>
        <v>37.4</v>
      </c>
      <c r="H4" s="349">
        <f>All!H6</f>
        <v>302.89999999999998</v>
      </c>
      <c r="I4" s="349">
        <f>All!I6</f>
        <v>186.3</v>
      </c>
      <c r="J4" s="349">
        <f>All!J6</f>
        <v>261.7</v>
      </c>
      <c r="K4" s="349">
        <f>All!K6</f>
        <v>66.099999999999994</v>
      </c>
      <c r="L4" s="349">
        <f>All!L6</f>
        <v>60.7</v>
      </c>
      <c r="M4" s="349">
        <f>All!M6</f>
        <v>112.4</v>
      </c>
      <c r="N4" s="349">
        <f>All!N6</f>
        <v>30.8</v>
      </c>
      <c r="O4" s="349">
        <f>All!O6</f>
        <v>1268.8</v>
      </c>
      <c r="P4" s="351">
        <f>All!P6</f>
        <v>105.7</v>
      </c>
    </row>
    <row r="5" spans="2:16" hidden="1" outlineLevel="1">
      <c r="B5" s="350">
        <f>All!B7</f>
        <v>1997</v>
      </c>
      <c r="C5" s="349">
        <f>All!C7</f>
        <v>19.3</v>
      </c>
      <c r="D5" s="349">
        <f>All!D7</f>
        <v>43.6</v>
      </c>
      <c r="E5" s="349">
        <f>All!E7</f>
        <v>68.3</v>
      </c>
      <c r="F5" s="349">
        <f>All!F7</f>
        <v>82.1</v>
      </c>
      <c r="G5" s="349">
        <f>All!G7</f>
        <v>101.6</v>
      </c>
      <c r="H5" s="349">
        <f>All!H7</f>
        <v>177.2</v>
      </c>
      <c r="I5" s="349">
        <f>All!I7</f>
        <v>358.3</v>
      </c>
      <c r="J5" s="349">
        <f>All!J7</f>
        <v>381.9</v>
      </c>
      <c r="K5" s="349">
        <f>All!K7</f>
        <v>22.8</v>
      </c>
      <c r="L5" s="349">
        <f>All!L7</f>
        <v>14</v>
      </c>
      <c r="M5" s="349">
        <f>All!M7</f>
        <v>136.4</v>
      </c>
      <c r="N5" s="349">
        <f>All!N7</f>
        <v>73.7</v>
      </c>
      <c r="O5" s="349">
        <f>All!O7</f>
        <v>1479.2</v>
      </c>
      <c r="P5" s="351">
        <f>All!P7</f>
        <v>123.3</v>
      </c>
    </row>
    <row r="6" spans="2:16" hidden="1" outlineLevel="1">
      <c r="B6" s="350">
        <f>All!B8</f>
        <v>1998</v>
      </c>
      <c r="C6" s="349">
        <f>All!C8</f>
        <v>41.3</v>
      </c>
      <c r="D6" s="349">
        <f>All!D8</f>
        <v>44.4</v>
      </c>
      <c r="E6" s="349">
        <f>All!E8</f>
        <v>78.2</v>
      </c>
      <c r="F6" s="349">
        <f>All!F8</f>
        <v>124.2</v>
      </c>
      <c r="G6" s="349">
        <f>All!G8</f>
        <v>136.9</v>
      </c>
      <c r="H6" s="349">
        <f>All!H8</f>
        <v>369.6</v>
      </c>
      <c r="I6" s="349">
        <f>All!I8</f>
        <v>210.9</v>
      </c>
      <c r="J6" s="349">
        <f>All!J8</f>
        <v>531.20000000000005</v>
      </c>
      <c r="K6" s="349">
        <f>All!K8</f>
        <v>315.7</v>
      </c>
      <c r="L6" s="349">
        <f>All!L8</f>
        <v>57.4</v>
      </c>
      <c r="M6" s="349">
        <f>All!M8</f>
        <v>30.9</v>
      </c>
      <c r="N6" s="349">
        <f>All!N8</f>
        <v>2.2999999999999998</v>
      </c>
      <c r="O6" s="349">
        <f>All!O8</f>
        <v>1943</v>
      </c>
      <c r="P6" s="351">
        <f>All!P8</f>
        <v>161.9</v>
      </c>
    </row>
    <row r="7" spans="2:16" hidden="1" outlineLevel="1">
      <c r="B7" s="350">
        <f>All!B9</f>
        <v>1999</v>
      </c>
      <c r="C7" s="349">
        <f>All!C9</f>
        <v>41</v>
      </c>
      <c r="D7" s="349">
        <f>All!D9</f>
        <v>34.9</v>
      </c>
      <c r="E7" s="349">
        <f>All!E9</f>
        <v>111.9</v>
      </c>
      <c r="F7" s="349">
        <f>All!F9</f>
        <v>44.9</v>
      </c>
      <c r="G7" s="349">
        <f>All!G9</f>
        <v>106.9</v>
      </c>
      <c r="H7" s="349">
        <f>All!H9</f>
        <v>135.4</v>
      </c>
      <c r="I7" s="349">
        <f>All!I9</f>
        <v>220.7</v>
      </c>
      <c r="J7" s="349">
        <f>All!J9</f>
        <v>287.10000000000002</v>
      </c>
      <c r="K7" s="349">
        <f>All!K9</f>
        <v>281.7</v>
      </c>
      <c r="L7" s="349">
        <f>All!L9</f>
        <v>126.2</v>
      </c>
      <c r="M7" s="349">
        <f>All!M9</f>
        <v>22.1</v>
      </c>
      <c r="N7" s="349">
        <f>All!N9</f>
        <v>16.899999999999999</v>
      </c>
      <c r="O7" s="349">
        <f>All!O9</f>
        <v>1429.7</v>
      </c>
      <c r="P7" s="351">
        <f>All!P9</f>
        <v>119.1</v>
      </c>
    </row>
    <row r="8" spans="2:16" hidden="1" outlineLevel="1">
      <c r="B8" s="350">
        <f>All!B10</f>
        <v>2000</v>
      </c>
      <c r="C8" s="349">
        <f>All!C10</f>
        <v>33.700000000000003</v>
      </c>
      <c r="D8" s="349">
        <f>All!D10</f>
        <v>15.4</v>
      </c>
      <c r="E8" s="349">
        <f>All!E10</f>
        <v>19.899999999999999</v>
      </c>
      <c r="F8" s="349">
        <f>All!F10</f>
        <v>16.3</v>
      </c>
      <c r="G8" s="349">
        <f>All!G10</f>
        <v>47.7</v>
      </c>
      <c r="H8" s="349">
        <f>All!H10</f>
        <v>197.7</v>
      </c>
      <c r="I8" s="349">
        <f>All!I10</f>
        <v>321.39999999999998</v>
      </c>
      <c r="J8" s="349">
        <f>All!J10</f>
        <v>538.29999999999995</v>
      </c>
      <c r="K8" s="349">
        <f>All!K10</f>
        <v>228.7</v>
      </c>
      <c r="L8" s="349">
        <f>All!L10</f>
        <v>31.7</v>
      </c>
      <c r="M8" s="349">
        <f>All!M10</f>
        <v>53.8</v>
      </c>
      <c r="N8" s="349">
        <f>All!N10</f>
        <v>6.4</v>
      </c>
      <c r="O8" s="349">
        <f>All!O10</f>
        <v>1511</v>
      </c>
      <c r="P8" s="351">
        <f>All!P10</f>
        <v>125.9</v>
      </c>
    </row>
    <row r="9" spans="2:16" hidden="1" outlineLevel="1">
      <c r="B9" s="350">
        <f>All!B11</f>
        <v>2001</v>
      </c>
      <c r="C9" s="349">
        <f>All!C11</f>
        <v>50.4</v>
      </c>
      <c r="D9" s="349">
        <f>All!D11</f>
        <v>83.9</v>
      </c>
      <c r="E9" s="349">
        <f>All!E11</f>
        <v>26.9</v>
      </c>
      <c r="F9" s="349">
        <f>All!F11</f>
        <v>43.7</v>
      </c>
      <c r="G9" s="349">
        <f>All!G11</f>
        <v>21.4</v>
      </c>
      <c r="H9" s="349">
        <f>All!H11</f>
        <v>245.8</v>
      </c>
      <c r="I9" s="349">
        <f>All!I11</f>
        <v>270.8</v>
      </c>
      <c r="J9" s="349">
        <f>All!J11</f>
        <v>113.2</v>
      </c>
      <c r="K9" s="349">
        <f>All!K11</f>
        <v>135.30000000000001</v>
      </c>
      <c r="L9" s="349">
        <f>All!L11</f>
        <v>69.7</v>
      </c>
      <c r="M9" s="349">
        <f>All!M11</f>
        <v>15.3</v>
      </c>
      <c r="N9" s="349">
        <f>All!N11</f>
        <v>53.5</v>
      </c>
      <c r="O9" s="349">
        <f>All!O11</f>
        <v>1129.9000000000001</v>
      </c>
      <c r="P9" s="351">
        <f>All!P11</f>
        <v>94.2</v>
      </c>
    </row>
    <row r="10" spans="2:16" hidden="1" outlineLevel="1">
      <c r="B10" s="350">
        <f>All!B12</f>
        <v>2002</v>
      </c>
      <c r="C10" s="349">
        <f>All!C12</f>
        <v>95.7</v>
      </c>
      <c r="D10" s="349">
        <f>All!D12</f>
        <v>13.5</v>
      </c>
      <c r="E10" s="349">
        <f>All!E12</f>
        <v>46.5</v>
      </c>
      <c r="F10" s="349">
        <f>All!F12</f>
        <v>117.8</v>
      </c>
      <c r="G10" s="349">
        <f>All!G12</f>
        <v>100.5</v>
      </c>
      <c r="H10" s="349">
        <f>All!H12</f>
        <v>108.5</v>
      </c>
      <c r="I10" s="349">
        <f>All!I12</f>
        <v>180</v>
      </c>
      <c r="J10" s="349">
        <f>All!J12</f>
        <v>584</v>
      </c>
      <c r="K10" s="349">
        <f>All!K12</f>
        <v>109</v>
      </c>
      <c r="L10" s="349">
        <f>All!L12</f>
        <v>38.6</v>
      </c>
      <c r="M10" s="349">
        <f>All!M12</f>
        <v>34.1</v>
      </c>
      <c r="N10" s="349">
        <f>All!N12</f>
        <v>30.5</v>
      </c>
      <c r="O10" s="349">
        <f>All!O12</f>
        <v>1458.7</v>
      </c>
      <c r="P10" s="351">
        <f>All!P12</f>
        <v>121.6</v>
      </c>
    </row>
    <row r="11" spans="2:16" hidden="1" outlineLevel="1">
      <c r="B11" s="350">
        <f>All!B13</f>
        <v>2003</v>
      </c>
      <c r="C11" s="349">
        <f>All!C13</f>
        <v>45</v>
      </c>
      <c r="D11" s="349">
        <f>All!D13</f>
        <v>52.2</v>
      </c>
      <c r="E11" s="349">
        <f>All!E13</f>
        <v>70.599999999999994</v>
      </c>
      <c r="F11" s="349">
        <f>All!F13</f>
        <v>243.9</v>
      </c>
      <c r="G11" s="349">
        <f>All!G13</f>
        <v>141</v>
      </c>
      <c r="H11" s="349">
        <f>All!H13</f>
        <v>150.19999999999999</v>
      </c>
      <c r="I11" s="349">
        <f>All!I13</f>
        <v>564.9</v>
      </c>
      <c r="J11" s="349">
        <f>All!J13</f>
        <v>411</v>
      </c>
      <c r="K11" s="349">
        <f>All!K13</f>
        <v>206.3</v>
      </c>
      <c r="L11" s="349">
        <f>All!L13</f>
        <v>36.200000000000003</v>
      </c>
      <c r="M11" s="349">
        <f>All!M13</f>
        <v>38.4</v>
      </c>
      <c r="N11" s="349">
        <f>All!N13</f>
        <v>34.4</v>
      </c>
      <c r="O11" s="349">
        <f>All!O13</f>
        <v>1994.1</v>
      </c>
      <c r="P11" s="351">
        <f>All!P13</f>
        <v>166.2</v>
      </c>
    </row>
    <row r="12" spans="2:16" hidden="1" outlineLevel="1">
      <c r="B12" s="350">
        <f>All!B14</f>
        <v>2004</v>
      </c>
      <c r="C12" s="349">
        <f>All!C14</f>
        <v>14</v>
      </c>
      <c r="D12" s="349">
        <f>All!D14</f>
        <v>54</v>
      </c>
      <c r="E12" s="349">
        <f>All!E14</f>
        <v>38.4</v>
      </c>
      <c r="F12" s="349">
        <f>All!F14</f>
        <v>63.7</v>
      </c>
      <c r="G12" s="349">
        <f>All!G14</f>
        <v>101.1</v>
      </c>
      <c r="H12" s="349">
        <f>All!H14</f>
        <v>153.80000000000001</v>
      </c>
      <c r="I12" s="349">
        <f>All!I14</f>
        <v>409.5</v>
      </c>
      <c r="J12" s="349">
        <f>All!J14</f>
        <v>570.5</v>
      </c>
      <c r="K12" s="349">
        <f>All!K14</f>
        <v>242</v>
      </c>
      <c r="L12" s="349">
        <f>All!L14</f>
        <v>3.4</v>
      </c>
      <c r="M12" s="349">
        <f>All!M14</f>
        <v>63.1</v>
      </c>
      <c r="N12" s="349">
        <f>All!N14</f>
        <v>28.8</v>
      </c>
      <c r="O12" s="349">
        <f>All!O14</f>
        <v>1742.3</v>
      </c>
      <c r="P12" s="351">
        <f>All!P14</f>
        <v>145.19999999999999</v>
      </c>
    </row>
    <row r="13" spans="2:16" hidden="1" outlineLevel="1">
      <c r="B13" s="350">
        <f>All!B15</f>
        <v>2005</v>
      </c>
      <c r="C13" s="349">
        <f>All!C15</f>
        <v>10.6</v>
      </c>
      <c r="D13" s="349">
        <f>All!D15</f>
        <v>48.3</v>
      </c>
      <c r="E13" s="349">
        <f>All!E15</f>
        <v>66.7</v>
      </c>
      <c r="F13" s="349">
        <f>All!F15</f>
        <v>92.5</v>
      </c>
      <c r="G13" s="349">
        <f>All!G15</f>
        <v>74.099999999999994</v>
      </c>
      <c r="H13" s="349">
        <f>All!H15</f>
        <v>185</v>
      </c>
      <c r="I13" s="349">
        <f>All!I15</f>
        <v>273.8</v>
      </c>
      <c r="J13" s="349">
        <f>All!J15</f>
        <v>303.3</v>
      </c>
      <c r="K13" s="349">
        <f>All!K15</f>
        <v>108.5</v>
      </c>
      <c r="L13" s="349">
        <f>All!L15</f>
        <v>17.399999999999999</v>
      </c>
      <c r="M13" s="349">
        <f>All!M15</f>
        <v>42.8</v>
      </c>
      <c r="N13" s="349">
        <f>All!N15</f>
        <v>66.599999999999994</v>
      </c>
      <c r="O13" s="349">
        <f>All!O15</f>
        <v>1289.5999999999999</v>
      </c>
      <c r="P13" s="351">
        <f>All!P15</f>
        <v>107.5</v>
      </c>
    </row>
    <row r="14" spans="2:16" hidden="1" outlineLevel="1">
      <c r="B14" s="350">
        <f>All!B16</f>
        <v>2006</v>
      </c>
      <c r="C14" s="349">
        <f>All!C16</f>
        <v>16.100000000000001</v>
      </c>
      <c r="D14" s="349">
        <f>All!D16</f>
        <v>51.9</v>
      </c>
      <c r="E14" s="349">
        <f>All!E16</f>
        <v>15</v>
      </c>
      <c r="F14" s="349">
        <f>All!F16</f>
        <v>87.8</v>
      </c>
      <c r="G14" s="349">
        <f>All!G16</f>
        <v>204.3</v>
      </c>
      <c r="H14" s="349">
        <f>All!H16</f>
        <v>226.7</v>
      </c>
      <c r="I14" s="349">
        <f>All!I16</f>
        <v>478.3</v>
      </c>
      <c r="J14" s="349">
        <f>All!J16</f>
        <v>295.5</v>
      </c>
      <c r="K14" s="349">
        <f>All!K16</f>
        <v>46.8</v>
      </c>
      <c r="L14" s="349">
        <f>All!L16</f>
        <v>18.2</v>
      </c>
      <c r="M14" s="349">
        <f>All!M16</f>
        <v>41.7</v>
      </c>
      <c r="N14" s="349">
        <f>All!N16</f>
        <v>37.9</v>
      </c>
      <c r="O14" s="349">
        <f>All!O16</f>
        <v>1520.2</v>
      </c>
      <c r="P14" s="351">
        <f>All!P16</f>
        <v>126.7</v>
      </c>
    </row>
    <row r="15" spans="2:16" hidden="1" outlineLevel="1">
      <c r="B15" s="350">
        <f>All!B17</f>
        <v>2007</v>
      </c>
      <c r="C15" s="349">
        <f>All!C17</f>
        <v>12.1</v>
      </c>
      <c r="D15" s="349">
        <f>All!D17</f>
        <v>79.099999999999994</v>
      </c>
      <c r="E15" s="349">
        <f>All!E17</f>
        <v>100.3</v>
      </c>
      <c r="F15" s="349">
        <f>All!F17</f>
        <v>38.700000000000003</v>
      </c>
      <c r="G15" s="349">
        <f>All!G17</f>
        <v>116</v>
      </c>
      <c r="H15" s="349">
        <f>All!H17</f>
        <v>52</v>
      </c>
      <c r="I15" s="349">
        <f>All!I17</f>
        <v>232</v>
      </c>
      <c r="J15" s="349">
        <f>All!J17</f>
        <v>339.3</v>
      </c>
      <c r="K15" s="349">
        <f>All!K17</f>
        <v>490.7</v>
      </c>
      <c r="L15" s="349">
        <f>All!L17</f>
        <v>95.5</v>
      </c>
      <c r="M15" s="349">
        <f>All!M17</f>
        <v>3.3</v>
      </c>
      <c r="N15" s="349">
        <f>All!N17</f>
        <v>61.6</v>
      </c>
      <c r="O15" s="349">
        <f>All!O17</f>
        <v>1620.6</v>
      </c>
      <c r="P15" s="351">
        <f>All!P17</f>
        <v>135.1</v>
      </c>
    </row>
    <row r="16" spans="2:16" hidden="1" outlineLevel="1">
      <c r="B16" s="350">
        <f>All!B18</f>
        <v>2008</v>
      </c>
      <c r="C16" s="349">
        <f>All!C18</f>
        <v>56.9</v>
      </c>
      <c r="D16" s="349">
        <f>All!D18</f>
        <v>11.1</v>
      </c>
      <c r="E16" s="349">
        <f>All!E18</f>
        <v>36.700000000000003</v>
      </c>
      <c r="F16" s="349">
        <f>All!F18</f>
        <v>54.2</v>
      </c>
      <c r="G16" s="349">
        <f>All!G18</f>
        <v>150.6</v>
      </c>
      <c r="H16" s="349">
        <f>All!H18</f>
        <v>273.2</v>
      </c>
      <c r="I16" s="349">
        <f>All!I18</f>
        <v>139.19999999999999</v>
      </c>
      <c r="J16" s="349">
        <f>All!J18</f>
        <v>157.5</v>
      </c>
      <c r="K16" s="349">
        <f>All!K18</f>
        <v>58.9</v>
      </c>
      <c r="L16" s="349">
        <f>All!L18</f>
        <v>15.3</v>
      </c>
      <c r="M16" s="349">
        <f>All!M18</f>
        <v>39.1</v>
      </c>
      <c r="N16" s="349">
        <f>All!N18</f>
        <v>14.5</v>
      </c>
      <c r="O16" s="349">
        <f>All!O18</f>
        <v>1007.2</v>
      </c>
      <c r="P16" s="351">
        <f>All!P18</f>
        <v>83.9</v>
      </c>
    </row>
    <row r="17" spans="2:16" hidden="1" outlineLevel="1">
      <c r="B17" s="350">
        <f>All!B19</f>
        <v>2009</v>
      </c>
      <c r="C17" s="349">
        <f>All!C19</f>
        <v>36</v>
      </c>
      <c r="D17" s="349">
        <f>All!D19</f>
        <v>71.900000000000006</v>
      </c>
      <c r="E17" s="349">
        <f>All!E19</f>
        <v>42.1</v>
      </c>
      <c r="F17" s="349">
        <f>All!F19</f>
        <v>35.700000000000003</v>
      </c>
      <c r="G17" s="349">
        <f>All!G19</f>
        <v>114.9</v>
      </c>
      <c r="H17" s="349">
        <f>All!H19</f>
        <v>181.1</v>
      </c>
      <c r="I17" s="349">
        <f>All!I19</f>
        <v>607.4</v>
      </c>
      <c r="J17" s="349">
        <f>All!J19</f>
        <v>263.10000000000002</v>
      </c>
      <c r="K17" s="349">
        <f>All!K19</f>
        <v>22.6</v>
      </c>
      <c r="L17" s="349">
        <f>All!L19</f>
        <v>36.200000000000003</v>
      </c>
      <c r="M17" s="349">
        <f>All!M19</f>
        <v>26.7</v>
      </c>
      <c r="N17" s="349">
        <f>All!N19</f>
        <v>50.5</v>
      </c>
      <c r="O17" s="349">
        <f>All!O19</f>
        <v>1488.2</v>
      </c>
      <c r="P17" s="351">
        <f>All!P19</f>
        <v>124</v>
      </c>
    </row>
    <row r="18" spans="2:16" hidden="1" outlineLevel="1">
      <c r="B18" s="350">
        <f>All!B20</f>
        <v>2010</v>
      </c>
      <c r="C18" s="349">
        <f>All!C20</f>
        <v>37.1</v>
      </c>
      <c r="D18" s="349">
        <f>All!D20</f>
        <v>135.80000000000001</v>
      </c>
      <c r="E18" s="349">
        <f>All!E20</f>
        <v>76</v>
      </c>
      <c r="F18" s="349">
        <f>All!F20</f>
        <v>133</v>
      </c>
      <c r="G18" s="349">
        <f>All!G20</f>
        <v>99</v>
      </c>
      <c r="H18" s="349">
        <f>All!H20</f>
        <v>70.599999999999994</v>
      </c>
      <c r="I18" s="349">
        <f>All!I20</f>
        <v>453</v>
      </c>
      <c r="J18" s="349">
        <f>All!J20</f>
        <v>337.6</v>
      </c>
      <c r="K18" s="349">
        <f>All!K20</f>
        <v>139.69999999999999</v>
      </c>
      <c r="L18" s="349">
        <f>All!L20</f>
        <v>42</v>
      </c>
      <c r="M18" s="349">
        <f>All!M20</f>
        <v>7.4</v>
      </c>
      <c r="N18" s="349">
        <f>All!N20</f>
        <v>41.9</v>
      </c>
      <c r="O18" s="349">
        <f>All!O20</f>
        <v>1573.1</v>
      </c>
      <c r="P18" s="351">
        <f>All!P20</f>
        <v>131.1</v>
      </c>
    </row>
    <row r="19" spans="2:16" hidden="1" outlineLevel="1">
      <c r="B19" s="350">
        <f>All!B21</f>
        <v>2011</v>
      </c>
      <c r="C19" s="349">
        <f>All!C21</f>
        <v>7.4</v>
      </c>
      <c r="D19" s="349">
        <f>All!D21</f>
        <v>59.8</v>
      </c>
      <c r="E19" s="349">
        <f>All!E21</f>
        <v>23.1</v>
      </c>
      <c r="F19" s="349">
        <f>All!F21</f>
        <v>103</v>
      </c>
      <c r="G19" s="349">
        <f>All!G21</f>
        <v>142.9</v>
      </c>
      <c r="H19" s="349">
        <f>All!H21</f>
        <v>120</v>
      </c>
      <c r="I19" s="349">
        <f>All!I21</f>
        <v>277.5</v>
      </c>
      <c r="J19" s="349">
        <f>All!J21</f>
        <v>382.5</v>
      </c>
      <c r="K19" s="349">
        <f>All!K21</f>
        <v>13.5</v>
      </c>
      <c r="L19" s="349">
        <f>All!L21</f>
        <v>20.5</v>
      </c>
      <c r="M19" s="349">
        <f>All!M21</f>
        <v>136.80000000000001</v>
      </c>
      <c r="N19" s="349">
        <f>All!N21</f>
        <v>13.3</v>
      </c>
      <c r="O19" s="349">
        <f>All!O21</f>
        <v>1300.3</v>
      </c>
      <c r="P19" s="351">
        <f>All!P21</f>
        <v>108.4</v>
      </c>
    </row>
    <row r="20" spans="2:16" hidden="1" outlineLevel="1">
      <c r="B20" s="350">
        <f>All!B22</f>
        <v>2012</v>
      </c>
      <c r="C20" s="349">
        <f>All!C22</f>
        <v>15.2</v>
      </c>
      <c r="D20" s="349">
        <f>All!D22</f>
        <v>18.600000000000001</v>
      </c>
      <c r="E20" s="349">
        <f>All!E22</f>
        <v>100.4</v>
      </c>
      <c r="F20" s="349">
        <f>All!F22</f>
        <v>82.5</v>
      </c>
      <c r="G20" s="349">
        <f>All!G22</f>
        <v>42.6</v>
      </c>
      <c r="H20" s="349">
        <f>All!H22</f>
        <v>83.1</v>
      </c>
      <c r="I20" s="349">
        <f>All!I22</f>
        <v>330.6</v>
      </c>
      <c r="J20" s="349">
        <f>All!J22</f>
        <v>473.5</v>
      </c>
      <c r="K20" s="349">
        <f>All!K22</f>
        <v>272</v>
      </c>
      <c r="L20" s="349">
        <f>All!L22</f>
        <v>82.8</v>
      </c>
      <c r="M20" s="349">
        <f>All!M22</f>
        <v>45.9</v>
      </c>
      <c r="N20" s="349">
        <f>All!N22</f>
        <v>79.599999999999994</v>
      </c>
      <c r="O20" s="349">
        <f>All!O22</f>
        <v>1626.8</v>
      </c>
      <c r="P20" s="351">
        <f>All!P22</f>
        <v>135.6</v>
      </c>
    </row>
    <row r="21" spans="2:16" hidden="1" outlineLevel="1">
      <c r="B21" s="350">
        <f>All!B23</f>
        <v>2013</v>
      </c>
      <c r="C21" s="349">
        <f>All!C23</f>
        <v>20.6</v>
      </c>
      <c r="D21" s="349">
        <f>All!D23</f>
        <v>48</v>
      </c>
      <c r="E21" s="349">
        <f>All!E23</f>
        <v>76.900000000000006</v>
      </c>
      <c r="F21" s="349">
        <f>All!F23</f>
        <v>54.9</v>
      </c>
      <c r="G21" s="349">
        <f>All!G23</f>
        <v>86.5</v>
      </c>
      <c r="H21" s="349">
        <f>All!H23</f>
        <v>83.7</v>
      </c>
      <c r="I21" s="349">
        <f>All!I23</f>
        <v>349.1</v>
      </c>
      <c r="J21" s="349">
        <f>All!J23</f>
        <v>293.2</v>
      </c>
      <c r="K21" s="349">
        <f>All!K23</f>
        <v>88.5</v>
      </c>
      <c r="L21" s="349">
        <f>All!L23</f>
        <v>30.8</v>
      </c>
      <c r="M21" s="349">
        <f>All!M23</f>
        <v>95</v>
      </c>
      <c r="N21" s="349">
        <f>All!N23</f>
        <v>18.2</v>
      </c>
      <c r="O21" s="349">
        <f>All!O23</f>
        <v>1245.4000000000001</v>
      </c>
      <c r="P21" s="351">
        <f>All!P23</f>
        <v>103.8</v>
      </c>
    </row>
    <row r="22" spans="2:16" hidden="1" outlineLevel="1">
      <c r="B22" s="350">
        <f>All!B24</f>
        <v>2014</v>
      </c>
      <c r="C22" s="349">
        <f>All!C24</f>
        <v>12.9</v>
      </c>
      <c r="D22" s="349">
        <f>All!D24</f>
        <v>8.6</v>
      </c>
      <c r="E22" s="349">
        <f>All!E24</f>
        <v>101.7</v>
      </c>
      <c r="F22" s="349">
        <f>All!F24</f>
        <v>62.5</v>
      </c>
      <c r="G22" s="349">
        <f>All!G24</f>
        <v>57</v>
      </c>
      <c r="H22" s="349">
        <f>All!H24</f>
        <v>72</v>
      </c>
      <c r="I22" s="349">
        <f>All!I24</f>
        <v>240.9</v>
      </c>
      <c r="J22" s="349">
        <f>All!J24</f>
        <v>370.2</v>
      </c>
      <c r="K22" s="349">
        <f>All!K24</f>
        <v>116.5</v>
      </c>
      <c r="L22" s="349">
        <f>All!L24</f>
        <v>105</v>
      </c>
      <c r="M22" s="349">
        <f>All!M24</f>
        <v>95.5</v>
      </c>
      <c r="N22" s="349">
        <f>All!N24</f>
        <v>47.5</v>
      </c>
      <c r="O22" s="349">
        <f>All!O24</f>
        <v>1290.3</v>
      </c>
      <c r="P22" s="351">
        <f>All!P24</f>
        <v>107.5</v>
      </c>
    </row>
    <row r="23" spans="2:16" collapsed="1">
      <c r="B23" s="350">
        <f>All!B25</f>
        <v>2015</v>
      </c>
      <c r="C23" s="349">
        <f>All!C25</f>
        <v>47.2</v>
      </c>
      <c r="D23" s="349">
        <f>All!D25</f>
        <v>23.9</v>
      </c>
      <c r="E23" s="349">
        <f>All!E25</f>
        <v>36.5</v>
      </c>
      <c r="F23" s="349">
        <f>All!F25</f>
        <v>145.5</v>
      </c>
      <c r="G23" s="349">
        <f>All!G25</f>
        <v>48.6</v>
      </c>
      <c r="H23" s="349">
        <f>All!H25</f>
        <v>96.1</v>
      </c>
      <c r="I23" s="349">
        <f>All!I25</f>
        <v>164.3</v>
      </c>
      <c r="J23" s="349">
        <f>All!J25</f>
        <v>148.9</v>
      </c>
      <c r="K23" s="349">
        <f>All!K25</f>
        <v>66.599999999999994</v>
      </c>
      <c r="L23" s="349">
        <f>All!L25</f>
        <v>90.9</v>
      </c>
      <c r="M23" s="349">
        <f>All!M25</f>
        <v>121.9</v>
      </c>
      <c r="N23" s="349">
        <f>All!N25</f>
        <v>59.2</v>
      </c>
      <c r="O23" s="349">
        <f>All!O25</f>
        <v>1049.5999999999999</v>
      </c>
      <c r="P23" s="351">
        <f>All!P25</f>
        <v>87.5</v>
      </c>
    </row>
    <row r="24" spans="2:16">
      <c r="B24" s="350">
        <f>All!B26</f>
        <v>2016</v>
      </c>
      <c r="C24" s="349">
        <f>All!C26</f>
        <v>49.7</v>
      </c>
      <c r="D24" s="349">
        <f>All!D26</f>
        <v>45.2</v>
      </c>
      <c r="E24" s="349">
        <f>All!E26</f>
        <v>55.2</v>
      </c>
      <c r="F24" s="349">
        <f>All!F26</f>
        <v>185</v>
      </c>
      <c r="G24" s="349">
        <f>All!G26</f>
        <v>104.5</v>
      </c>
      <c r="H24" s="349">
        <f>All!H26</f>
        <v>116.1</v>
      </c>
      <c r="I24" s="349">
        <f>All!I26</f>
        <v>301.3</v>
      </c>
      <c r="J24" s="349">
        <f>All!J26</f>
        <v>81</v>
      </c>
      <c r="K24" s="349">
        <f>All!K26</f>
        <v>251.2</v>
      </c>
      <c r="L24" s="349">
        <f>All!L26</f>
        <v>216.7</v>
      </c>
      <c r="M24" s="349">
        <f>All!M26</f>
        <v>31.5</v>
      </c>
      <c r="N24" s="349">
        <f>All!N26</f>
        <v>44.9</v>
      </c>
      <c r="O24" s="349">
        <f>All!O26</f>
        <v>1482.3</v>
      </c>
      <c r="P24" s="351">
        <f>All!P26</f>
        <v>123.5</v>
      </c>
    </row>
    <row r="25" spans="2:16">
      <c r="B25" s="350">
        <f>All!B27</f>
        <v>2017</v>
      </c>
      <c r="C25" s="349">
        <f>All!C27</f>
        <v>11.7</v>
      </c>
      <c r="D25" s="349">
        <f>All!D27</f>
        <v>41.9</v>
      </c>
      <c r="E25" s="349">
        <f>All!E27</f>
        <v>33.200000000000003</v>
      </c>
      <c r="F25" s="349">
        <f>All!F27</f>
        <v>60.6</v>
      </c>
      <c r="G25" s="349">
        <f>All!G27</f>
        <v>30.2</v>
      </c>
      <c r="H25" s="349">
        <f>All!H27</f>
        <v>42.1</v>
      </c>
      <c r="I25" s="349">
        <f>All!I27</f>
        <v>211.6</v>
      </c>
      <c r="J25" s="349">
        <f>All!J27</f>
        <v>280.5</v>
      </c>
      <c r="K25" s="349">
        <f>All!K27</f>
        <v>108.8</v>
      </c>
      <c r="L25" s="349">
        <f>All!L27</f>
        <v>85.4</v>
      </c>
      <c r="M25" s="349">
        <f>All!M27</f>
        <v>2.1</v>
      </c>
      <c r="N25" s="349">
        <f>All!N27</f>
        <v>28.5</v>
      </c>
      <c r="O25" s="349">
        <f>All!O27</f>
        <v>936.6</v>
      </c>
      <c r="P25" s="351">
        <f>All!P27</f>
        <v>78.099999999999994</v>
      </c>
    </row>
    <row r="26" spans="2:16">
      <c r="B26" s="350">
        <f>All!B28</f>
        <v>2018</v>
      </c>
      <c r="C26" s="349">
        <f>All!C28</f>
        <v>38.799999999999997</v>
      </c>
      <c r="D26" s="349">
        <f>All!D28</f>
        <v>22</v>
      </c>
      <c r="E26" s="349">
        <f>All!E28</f>
        <v>115.8</v>
      </c>
      <c r="F26" s="349">
        <f>All!F28</f>
        <v>127.4</v>
      </c>
      <c r="G26" s="349">
        <f>All!G28</f>
        <v>85.4</v>
      </c>
      <c r="H26" s="349">
        <f>All!H28</f>
        <v>222.4</v>
      </c>
      <c r="I26" s="349">
        <f>All!I28</f>
        <v>84.5</v>
      </c>
      <c r="J26" s="349">
        <f>All!J28</f>
        <v>397.1</v>
      </c>
      <c r="K26" s="349">
        <f>All!K28</f>
        <v>129.69999999999999</v>
      </c>
      <c r="L26" s="349">
        <f>All!L28</f>
        <v>125.2</v>
      </c>
      <c r="M26" s="349">
        <f>All!M28</f>
        <v>47.2</v>
      </c>
      <c r="N26" s="349">
        <f>All!N28</f>
        <v>32.4</v>
      </c>
      <c r="O26" s="349">
        <f>All!O28</f>
        <v>1427.9</v>
      </c>
      <c r="P26" s="351">
        <f>All!P28</f>
        <v>119</v>
      </c>
    </row>
    <row r="27" spans="2:16">
      <c r="B27" s="350">
        <f>All!B29</f>
        <v>2019</v>
      </c>
      <c r="C27" s="349">
        <f>All!C29</f>
        <v>16.399999999999999</v>
      </c>
      <c r="D27" s="349">
        <f>All!D29</f>
        <v>37</v>
      </c>
      <c r="E27" s="349">
        <f>All!E29</f>
        <v>33.9</v>
      </c>
      <c r="F27" s="349">
        <f>All!F29</f>
        <v>84.7</v>
      </c>
      <c r="G27" s="349">
        <f>All!G29</f>
        <v>78.8</v>
      </c>
      <c r="H27" s="349">
        <f>All!H29</f>
        <v>158</v>
      </c>
      <c r="I27" s="349">
        <f>All!I29</f>
        <v>242.2</v>
      </c>
      <c r="J27" s="349">
        <f>All!J29</f>
        <v>64.8</v>
      </c>
      <c r="K27" s="349">
        <f>All!K29</f>
        <v>165.8</v>
      </c>
      <c r="L27" s="349">
        <f>All!L29</f>
        <v>149.9</v>
      </c>
      <c r="M27" s="349">
        <f>All!M29</f>
        <v>22.8</v>
      </c>
      <c r="N27" s="349">
        <f>All!N29</f>
        <v>31.6</v>
      </c>
      <c r="O27" s="349">
        <f>All!O29</f>
        <v>1085.9000000000001</v>
      </c>
      <c r="P27" s="351">
        <f>All!P29</f>
        <v>90.5</v>
      </c>
    </row>
    <row r="28" spans="2:16">
      <c r="B28" s="350">
        <f>All!B30</f>
        <v>2020</v>
      </c>
      <c r="C28" s="349">
        <f>All!C30</f>
        <v>74.900000000000006</v>
      </c>
      <c r="D28" s="349">
        <f>All!D30</f>
        <v>47.8</v>
      </c>
      <c r="E28" s="349">
        <f>All!E30</f>
        <v>43.5</v>
      </c>
      <c r="F28" s="349">
        <f>All!F30</f>
        <v>55.3</v>
      </c>
      <c r="G28" s="349">
        <f>All!G30</f>
        <v>96.8</v>
      </c>
      <c r="H28" s="349">
        <f>All!H30</f>
        <v>199.9</v>
      </c>
      <c r="I28" s="349">
        <f>All!I30</f>
        <v>533.29999999999995</v>
      </c>
      <c r="J28" s="349">
        <f>All!J30</f>
        <v>738.1</v>
      </c>
      <c r="K28" s="349">
        <f>All!K30</f>
        <v>178.3</v>
      </c>
      <c r="L28" s="349">
        <f>All!L30</f>
        <v>12.1</v>
      </c>
      <c r="M28" s="349">
        <f>All!M30</f>
        <v>28.3</v>
      </c>
      <c r="N28" s="349">
        <f>All!N30</f>
        <v>18.7</v>
      </c>
      <c r="O28" s="349">
        <f>All!O30</f>
        <v>2027</v>
      </c>
      <c r="P28" s="351">
        <f>All!P30</f>
        <v>168.9</v>
      </c>
    </row>
    <row r="29" spans="2:16">
      <c r="B29" s="350">
        <f>All!B31</f>
        <v>2021</v>
      </c>
      <c r="C29" s="349">
        <f>All!C31</f>
        <v>33</v>
      </c>
      <c r="D29" s="349">
        <f>All!D31</f>
        <v>31.1</v>
      </c>
      <c r="E29" s="349">
        <f>All!E31</f>
        <v>122.4</v>
      </c>
      <c r="F29" s="349">
        <f>All!F31</f>
        <v>34.200000000000003</v>
      </c>
      <c r="G29" s="349">
        <f>All!G31</f>
        <v>139.4</v>
      </c>
      <c r="H29" s="349">
        <f>All!H31</f>
        <v>118.1</v>
      </c>
      <c r="I29" s="349">
        <f>All!I31</f>
        <v>227.6</v>
      </c>
      <c r="J29" s="349">
        <f>All!J31</f>
        <v>338.7</v>
      </c>
      <c r="K29" s="349">
        <f>All!K31</f>
        <v>131.1</v>
      </c>
      <c r="L29" s="349">
        <f>All!L31</f>
        <v>35.299999999999997</v>
      </c>
      <c r="M29" s="349">
        <f>All!M31</f>
        <v>85.8</v>
      </c>
      <c r="N29" s="349">
        <f>All!N31</f>
        <v>7.1</v>
      </c>
      <c r="O29" s="349">
        <f>All!O31</f>
        <v>1303.8</v>
      </c>
      <c r="P29" s="351">
        <f>All!P31</f>
        <v>108.7</v>
      </c>
    </row>
    <row r="30" spans="2:16">
      <c r="B30" s="350">
        <f>All!B32</f>
        <v>2022</v>
      </c>
      <c r="C30" s="349">
        <f>All!C32</f>
        <v>0.3</v>
      </c>
      <c r="D30" s="349">
        <f>All!D32</f>
        <v>2.7</v>
      </c>
      <c r="E30" s="349">
        <f>All!E32</f>
        <v>105.2</v>
      </c>
      <c r="F30" s="349">
        <f>All!F32</f>
        <v>49.4</v>
      </c>
      <c r="G30" s="349">
        <f>All!G32</f>
        <v>0.4</v>
      </c>
      <c r="H30" s="349">
        <f>All!H32</f>
        <v>131.69999999999999</v>
      </c>
      <c r="I30" s="349">
        <f>All!I32</f>
        <v>169</v>
      </c>
      <c r="J30" s="349">
        <f>All!J32</f>
        <v>106.4</v>
      </c>
      <c r="K30" s="349">
        <f>All!K32</f>
        <v>89.2</v>
      </c>
      <c r="L30" s="349">
        <f>All!L32</f>
        <v>38.299999999999997</v>
      </c>
      <c r="M30" s="349">
        <f>All!M32</f>
        <v>46.7</v>
      </c>
      <c r="N30" s="349">
        <f>All!N32</f>
        <v>30.6</v>
      </c>
      <c r="O30" s="349">
        <f>All!O32</f>
        <v>769.9</v>
      </c>
      <c r="P30" s="351">
        <f>All!P32</f>
        <v>64.2</v>
      </c>
    </row>
    <row r="31" spans="2:16">
      <c r="B31" s="350">
        <f>All!B33</f>
        <v>2023</v>
      </c>
      <c r="C31" s="349">
        <f>All!C33</f>
        <v>26.8</v>
      </c>
      <c r="D31" s="349">
        <f>All!D33</f>
        <v>14.8</v>
      </c>
      <c r="E31" s="349">
        <f>All!E33</f>
        <v>34.799999999999997</v>
      </c>
      <c r="F31" s="349">
        <f>All!F33</f>
        <v>66.5</v>
      </c>
      <c r="G31" s="349">
        <f>All!G33</f>
        <v>190.1</v>
      </c>
      <c r="H31" s="349">
        <f>All!H33</f>
        <v>441.2</v>
      </c>
      <c r="I31" s="349">
        <f>All!I33</f>
        <v>684.6</v>
      </c>
      <c r="J31" s="349">
        <f>All!J33</f>
        <v>341.2</v>
      </c>
      <c r="K31" s="349">
        <f>All!K33</f>
        <v>152.5</v>
      </c>
      <c r="L31" s="349">
        <f>All!L33</f>
        <v>11.5</v>
      </c>
      <c r="M31" s="349">
        <f>All!M33</f>
        <v>71.900000000000006</v>
      </c>
      <c r="N31" s="349">
        <f>All!N33</f>
        <v>80.2</v>
      </c>
      <c r="O31" s="349">
        <f>All!O33</f>
        <v>2116.1</v>
      </c>
      <c r="P31" s="351">
        <f>All!P33</f>
        <v>176.3</v>
      </c>
    </row>
    <row r="32" spans="2:16">
      <c r="B32" s="350">
        <f>All!B34</f>
        <v>2024</v>
      </c>
      <c r="C32" s="349">
        <f>All!C34</f>
        <v>31.1</v>
      </c>
      <c r="D32" s="349">
        <f>All!D34</f>
        <v>111.3</v>
      </c>
      <c r="E32" s="349">
        <f>All!E34</f>
        <v>79.5</v>
      </c>
      <c r="F32" s="349">
        <f>All!F34</f>
        <v>79.599999999999994</v>
      </c>
      <c r="G32" s="349">
        <f>All!G34</f>
        <v>102</v>
      </c>
      <c r="H32" s="349">
        <f>All!H34</f>
        <v>149.1</v>
      </c>
      <c r="I32" s="349">
        <f>All!I34</f>
        <v>250.4</v>
      </c>
      <c r="J32" s="349">
        <f>All!J34</f>
        <v>132.1</v>
      </c>
      <c r="K32" s="349">
        <f>All!K34</f>
        <v>181.4</v>
      </c>
      <c r="L32" s="349">
        <f>All!L34</f>
        <v>98.2</v>
      </c>
      <c r="M32" s="349">
        <f>All!M34</f>
        <v>66.5</v>
      </c>
      <c r="N32" s="349">
        <f>All!N34</f>
        <v>9.8000000000000007</v>
      </c>
      <c r="O32" s="349">
        <f>All!O34</f>
        <v>1291</v>
      </c>
      <c r="P32" s="351">
        <f>All!P34</f>
        <v>107.6</v>
      </c>
    </row>
    <row r="33" spans="2:17">
      <c r="B33" s="525" t="s">
        <v>164</v>
      </c>
      <c r="C33" s="526">
        <f>ROUND(SUM(C23:C32)/10,1)</f>
        <v>33</v>
      </c>
      <c r="D33" s="526">
        <f t="shared" ref="D33:P33" si="0">ROUND(SUM(D23:D32)/10,1)</f>
        <v>37.799999999999997</v>
      </c>
      <c r="E33" s="526">
        <f t="shared" si="0"/>
        <v>66</v>
      </c>
      <c r="F33" s="526">
        <f t="shared" si="0"/>
        <v>88.8</v>
      </c>
      <c r="G33" s="526">
        <f t="shared" si="0"/>
        <v>87.6</v>
      </c>
      <c r="H33" s="526">
        <f t="shared" si="0"/>
        <v>167.5</v>
      </c>
      <c r="I33" s="526">
        <f t="shared" si="0"/>
        <v>286.89999999999998</v>
      </c>
      <c r="J33" s="526">
        <f t="shared" si="0"/>
        <v>262.89999999999998</v>
      </c>
      <c r="K33" s="526">
        <f t="shared" si="0"/>
        <v>145.5</v>
      </c>
      <c r="L33" s="526">
        <f t="shared" si="0"/>
        <v>86.4</v>
      </c>
      <c r="M33" s="526">
        <f t="shared" si="0"/>
        <v>52.5</v>
      </c>
      <c r="N33" s="526">
        <f t="shared" si="0"/>
        <v>34.299999999999997</v>
      </c>
      <c r="O33" s="526">
        <f t="shared" si="0"/>
        <v>1349</v>
      </c>
      <c r="P33" s="527">
        <f t="shared" si="0"/>
        <v>112.4</v>
      </c>
    </row>
    <row r="34" spans="2:17" ht="17.25" thickBot="1">
      <c r="B34" s="528" t="s">
        <v>163</v>
      </c>
      <c r="C34" s="529">
        <f>All!C37</f>
        <v>32.299999999999997</v>
      </c>
      <c r="D34" s="529">
        <f>All!D37</f>
        <v>43.3</v>
      </c>
      <c r="E34" s="529">
        <f>All!E37</f>
        <v>63.8</v>
      </c>
      <c r="F34" s="529">
        <f>All!F37</f>
        <v>84</v>
      </c>
      <c r="G34" s="529">
        <f>All!G37</f>
        <v>94.5</v>
      </c>
      <c r="H34" s="529">
        <f>All!H37</f>
        <v>165.3</v>
      </c>
      <c r="I34" s="529">
        <f>All!I37</f>
        <v>302.8</v>
      </c>
      <c r="J34" s="529">
        <f>All!J37</f>
        <v>322.5</v>
      </c>
      <c r="K34" s="529">
        <f>All!K37</f>
        <v>148.69999999999999</v>
      </c>
      <c r="L34" s="529">
        <f>All!L37</f>
        <v>59.4</v>
      </c>
      <c r="M34" s="529">
        <f>All!M37</f>
        <v>53.4</v>
      </c>
      <c r="N34" s="529">
        <f>All!N37</f>
        <v>35.799999999999997</v>
      </c>
      <c r="O34" s="529">
        <f>All!O37</f>
        <v>1405.8</v>
      </c>
      <c r="P34" s="530">
        <f>All!P37</f>
        <v>117.2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1049.5999999999999</v>
      </c>
      <c r="D38" s="353" t="s">
        <v>30</v>
      </c>
      <c r="E38" s="354">
        <f>All!C53</f>
        <v>33</v>
      </c>
      <c r="F38" s="354">
        <f>All!D53</f>
        <v>37.799999999999997</v>
      </c>
      <c r="G38" s="354">
        <f>All!E53</f>
        <v>66</v>
      </c>
      <c r="H38" s="354">
        <f>All!F53</f>
        <v>88.8</v>
      </c>
      <c r="I38" s="354">
        <f>All!G53</f>
        <v>87.6</v>
      </c>
      <c r="J38" s="354">
        <f>All!H53</f>
        <v>167.5</v>
      </c>
      <c r="K38" s="354">
        <f>All!I53</f>
        <v>286.89999999999998</v>
      </c>
      <c r="L38" s="354">
        <f>All!J53</f>
        <v>262.89999999999998</v>
      </c>
      <c r="M38" s="354">
        <f>All!K53</f>
        <v>145.5</v>
      </c>
      <c r="N38" s="354">
        <f>All!L53</f>
        <v>86.4</v>
      </c>
      <c r="O38" s="354">
        <f>All!M53</f>
        <v>52.5</v>
      </c>
      <c r="P38" s="354">
        <f>All!N53</f>
        <v>34.299999999999997</v>
      </c>
      <c r="Q38" s="355">
        <f>All!P53</f>
        <v>112.4</v>
      </c>
    </row>
    <row r="39" spans="2:17">
      <c r="B39" s="350">
        <f t="shared" ref="B39:B48" si="1">B24</f>
        <v>2016</v>
      </c>
      <c r="C39" s="351">
        <f t="shared" ref="C39:C48" si="2">O24</f>
        <v>1482.3</v>
      </c>
    </row>
    <row r="40" spans="2:17">
      <c r="B40" s="350">
        <f t="shared" si="1"/>
        <v>2017</v>
      </c>
      <c r="C40" s="351">
        <f t="shared" si="2"/>
        <v>936.6</v>
      </c>
    </row>
    <row r="41" spans="2:17">
      <c r="B41" s="350">
        <f t="shared" si="1"/>
        <v>2018</v>
      </c>
      <c r="C41" s="351">
        <f t="shared" si="2"/>
        <v>1427.9</v>
      </c>
    </row>
    <row r="42" spans="2:17">
      <c r="B42" s="350">
        <f t="shared" si="1"/>
        <v>2019</v>
      </c>
      <c r="C42" s="351">
        <f t="shared" si="2"/>
        <v>1085.9000000000001</v>
      </c>
    </row>
    <row r="43" spans="2:17">
      <c r="B43" s="350">
        <f t="shared" si="1"/>
        <v>2020</v>
      </c>
      <c r="C43" s="351">
        <f t="shared" si="2"/>
        <v>2027</v>
      </c>
    </row>
    <row r="44" spans="2:17">
      <c r="B44" s="350">
        <f t="shared" si="1"/>
        <v>2021</v>
      </c>
      <c r="C44" s="351">
        <f t="shared" si="2"/>
        <v>1303.8</v>
      </c>
    </row>
    <row r="45" spans="2:17">
      <c r="B45" s="350">
        <f t="shared" si="1"/>
        <v>2022</v>
      </c>
      <c r="C45" s="351">
        <f t="shared" si="2"/>
        <v>769.9</v>
      </c>
    </row>
    <row r="46" spans="2:17">
      <c r="B46" s="350">
        <f t="shared" si="1"/>
        <v>2023</v>
      </c>
      <c r="C46" s="351">
        <f t="shared" si="2"/>
        <v>2116.1</v>
      </c>
    </row>
    <row r="47" spans="2:17">
      <c r="B47" s="350">
        <f t="shared" si="1"/>
        <v>2024</v>
      </c>
      <c r="C47" s="351">
        <f t="shared" si="2"/>
        <v>1291</v>
      </c>
    </row>
    <row r="48" spans="2:17" ht="17.25" thickBot="1">
      <c r="B48" s="356" t="str">
        <f t="shared" si="1"/>
        <v>10년평균</v>
      </c>
      <c r="C48" s="357">
        <f t="shared" si="2"/>
        <v>1349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764.4</v>
      </c>
    </row>
    <row r="53" spans="2:3">
      <c r="B53" s="360">
        <f t="shared" ref="B53:B81" si="3">B4</f>
        <v>1996</v>
      </c>
      <c r="C53" s="361">
        <f t="shared" ref="C53:C81" si="4">O4</f>
        <v>1268.8</v>
      </c>
    </row>
    <row r="54" spans="2:3">
      <c r="B54" s="360">
        <f t="shared" si="3"/>
        <v>1997</v>
      </c>
      <c r="C54" s="361">
        <f t="shared" si="4"/>
        <v>1479.2</v>
      </c>
    </row>
    <row r="55" spans="2:3">
      <c r="B55" s="360">
        <f t="shared" si="3"/>
        <v>1998</v>
      </c>
      <c r="C55" s="361">
        <f t="shared" si="4"/>
        <v>1943</v>
      </c>
    </row>
    <row r="56" spans="2:3">
      <c r="B56" s="360">
        <f t="shared" si="3"/>
        <v>1999</v>
      </c>
      <c r="C56" s="361">
        <f t="shared" si="4"/>
        <v>1429.7</v>
      </c>
    </row>
    <row r="57" spans="2:3">
      <c r="B57" s="360">
        <f t="shared" si="3"/>
        <v>2000</v>
      </c>
      <c r="C57" s="361">
        <f t="shared" si="4"/>
        <v>1511</v>
      </c>
    </row>
    <row r="58" spans="2:3">
      <c r="B58" s="360">
        <f t="shared" si="3"/>
        <v>2001</v>
      </c>
      <c r="C58" s="361">
        <f t="shared" si="4"/>
        <v>1129.9000000000001</v>
      </c>
    </row>
    <row r="59" spans="2:3">
      <c r="B59" s="360">
        <f t="shared" si="3"/>
        <v>2002</v>
      </c>
      <c r="C59" s="361">
        <f t="shared" si="4"/>
        <v>1458.7</v>
      </c>
    </row>
    <row r="60" spans="2:3">
      <c r="B60" s="360">
        <f t="shared" si="3"/>
        <v>2003</v>
      </c>
      <c r="C60" s="361">
        <f t="shared" si="4"/>
        <v>1994.1</v>
      </c>
    </row>
    <row r="61" spans="2:3">
      <c r="B61" s="360">
        <f t="shared" si="3"/>
        <v>2004</v>
      </c>
      <c r="C61" s="361">
        <f t="shared" si="4"/>
        <v>1742.3</v>
      </c>
    </row>
    <row r="62" spans="2:3">
      <c r="B62" s="360">
        <f t="shared" si="3"/>
        <v>2005</v>
      </c>
      <c r="C62" s="361">
        <f t="shared" si="4"/>
        <v>1289.5999999999999</v>
      </c>
    </row>
    <row r="63" spans="2:3">
      <c r="B63" s="360">
        <f t="shared" si="3"/>
        <v>2006</v>
      </c>
      <c r="C63" s="361">
        <f t="shared" si="4"/>
        <v>1520.2</v>
      </c>
    </row>
    <row r="64" spans="2:3">
      <c r="B64" s="360">
        <f t="shared" si="3"/>
        <v>2007</v>
      </c>
      <c r="C64" s="361">
        <f t="shared" si="4"/>
        <v>1620.6</v>
      </c>
    </row>
    <row r="65" spans="2:3">
      <c r="B65" s="360">
        <f t="shared" si="3"/>
        <v>2008</v>
      </c>
      <c r="C65" s="361">
        <f t="shared" si="4"/>
        <v>1007.2</v>
      </c>
    </row>
    <row r="66" spans="2:3">
      <c r="B66" s="360">
        <f t="shared" si="3"/>
        <v>2009</v>
      </c>
      <c r="C66" s="361">
        <f t="shared" si="4"/>
        <v>1488.2</v>
      </c>
    </row>
    <row r="67" spans="2:3">
      <c r="B67" s="360">
        <f t="shared" si="3"/>
        <v>2010</v>
      </c>
      <c r="C67" s="361">
        <f t="shared" si="4"/>
        <v>1573.1</v>
      </c>
    </row>
    <row r="68" spans="2:3">
      <c r="B68" s="360">
        <f t="shared" si="3"/>
        <v>2011</v>
      </c>
      <c r="C68" s="361">
        <f t="shared" si="4"/>
        <v>1300.3</v>
      </c>
    </row>
    <row r="69" spans="2:3">
      <c r="B69" s="360">
        <f t="shared" si="3"/>
        <v>2012</v>
      </c>
      <c r="C69" s="361">
        <f t="shared" si="4"/>
        <v>1626.8</v>
      </c>
    </row>
    <row r="70" spans="2:3">
      <c r="B70" s="360">
        <f t="shared" si="3"/>
        <v>2013</v>
      </c>
      <c r="C70" s="361">
        <f t="shared" si="4"/>
        <v>1245.4000000000001</v>
      </c>
    </row>
    <row r="71" spans="2:3">
      <c r="B71" s="360">
        <f t="shared" si="3"/>
        <v>2014</v>
      </c>
      <c r="C71" s="361">
        <f t="shared" si="4"/>
        <v>1290.3</v>
      </c>
    </row>
    <row r="72" spans="2:3">
      <c r="B72" s="360">
        <f t="shared" si="3"/>
        <v>2015</v>
      </c>
      <c r="C72" s="361">
        <f t="shared" si="4"/>
        <v>1049.5999999999999</v>
      </c>
    </row>
    <row r="73" spans="2:3">
      <c r="B73" s="360">
        <f t="shared" si="3"/>
        <v>2016</v>
      </c>
      <c r="C73" s="361">
        <f t="shared" si="4"/>
        <v>1482.3</v>
      </c>
    </row>
    <row r="74" spans="2:3">
      <c r="B74" s="360">
        <f t="shared" si="3"/>
        <v>2017</v>
      </c>
      <c r="C74" s="361">
        <f t="shared" si="4"/>
        <v>936.6</v>
      </c>
    </row>
    <row r="75" spans="2:3">
      <c r="B75" s="360">
        <f t="shared" si="3"/>
        <v>2018</v>
      </c>
      <c r="C75" s="361">
        <f t="shared" si="4"/>
        <v>1427.9</v>
      </c>
    </row>
    <row r="76" spans="2:3">
      <c r="B76" s="360">
        <f t="shared" si="3"/>
        <v>2019</v>
      </c>
      <c r="C76" s="361">
        <f t="shared" si="4"/>
        <v>1085.9000000000001</v>
      </c>
    </row>
    <row r="77" spans="2:3">
      <c r="B77" s="360">
        <f t="shared" si="3"/>
        <v>2020</v>
      </c>
      <c r="C77" s="361">
        <f t="shared" si="4"/>
        <v>2027</v>
      </c>
    </row>
    <row r="78" spans="2:3">
      <c r="B78" s="360">
        <f>B29</f>
        <v>2021</v>
      </c>
      <c r="C78" s="361">
        <f t="shared" si="4"/>
        <v>1303.8</v>
      </c>
    </row>
    <row r="79" spans="2:3">
      <c r="B79" s="360">
        <f t="shared" si="3"/>
        <v>2022</v>
      </c>
      <c r="C79" s="361">
        <f t="shared" si="4"/>
        <v>769.9</v>
      </c>
    </row>
    <row r="80" spans="2:3">
      <c r="B80" s="360">
        <f t="shared" si="3"/>
        <v>2023</v>
      </c>
      <c r="C80" s="361">
        <f t="shared" si="4"/>
        <v>2116.1</v>
      </c>
    </row>
    <row r="81" spans="2:3">
      <c r="B81" s="360">
        <f t="shared" si="3"/>
        <v>2024</v>
      </c>
      <c r="C81" s="361">
        <f t="shared" si="4"/>
        <v>1291</v>
      </c>
    </row>
    <row r="82" spans="2:3" ht="17.25" thickBot="1">
      <c r="B82" s="353" t="str">
        <f>B34</f>
        <v>30년평균</v>
      </c>
      <c r="C82" s="362">
        <f>O34</f>
        <v>1405.8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445"/>
  <sheetViews>
    <sheetView topLeftCell="A7" zoomScaleNormal="100" workbookViewId="0">
      <selection activeCell="B43" sqref="B43"/>
    </sheetView>
  </sheetViews>
  <sheetFormatPr defaultColWidth="8.88671875" defaultRowHeight="16.5"/>
  <cols>
    <col min="1" max="1" width="17" style="119" customWidth="1"/>
    <col min="2" max="2" width="16.664062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광주기상청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1">
        <f>All!B41</f>
        <v>2015</v>
      </c>
      <c r="C5" s="694">
        <f>All!C41</f>
        <v>47.2</v>
      </c>
      <c r="D5" s="694">
        <f>All!D41</f>
        <v>23.9</v>
      </c>
      <c r="E5" s="695">
        <f>All!E41</f>
        <v>36.5</v>
      </c>
      <c r="F5" s="695">
        <f>All!F41</f>
        <v>145.5</v>
      </c>
      <c r="G5" s="695">
        <v>200</v>
      </c>
      <c r="H5" s="695">
        <v>72</v>
      </c>
      <c r="I5" s="695">
        <v>120</v>
      </c>
      <c r="J5" s="695">
        <v>120</v>
      </c>
      <c r="K5" s="695">
        <f>All!K41</f>
        <v>66.599999999999994</v>
      </c>
      <c r="L5" s="695">
        <v>5</v>
      </c>
      <c r="M5" s="695">
        <f>All!M41</f>
        <v>121.9</v>
      </c>
      <c r="N5" s="696">
        <f>All!N41</f>
        <v>59.2</v>
      </c>
      <c r="O5" s="515">
        <f>All!O41</f>
        <v>1049.5999999999999</v>
      </c>
      <c r="P5" s="696">
        <f>All!P41</f>
        <v>87.5</v>
      </c>
    </row>
    <row r="6" spans="2:16" ht="22.15" customHeight="1">
      <c r="B6" s="571">
        <f>All!B42</f>
        <v>2016</v>
      </c>
      <c r="C6" s="694">
        <f>All!C42</f>
        <v>49.7</v>
      </c>
      <c r="D6" s="695">
        <f>All!D42</f>
        <v>45.2</v>
      </c>
      <c r="E6" s="695">
        <f>All!E42</f>
        <v>55.2</v>
      </c>
      <c r="F6" s="695">
        <f>All!F42</f>
        <v>185</v>
      </c>
      <c r="G6" s="695">
        <f>All!G42</f>
        <v>104.5</v>
      </c>
      <c r="H6" s="695">
        <f>All!H42</f>
        <v>116.1</v>
      </c>
      <c r="I6" s="695">
        <f>All!I42</f>
        <v>301.3</v>
      </c>
      <c r="J6" s="695">
        <f>All!J42</f>
        <v>81</v>
      </c>
      <c r="K6" s="695">
        <f>All!K42</f>
        <v>251.2</v>
      </c>
      <c r="L6" s="695">
        <f>All!L42</f>
        <v>216.7</v>
      </c>
      <c r="M6" s="695">
        <f>All!M42</f>
        <v>31.5</v>
      </c>
      <c r="N6" s="696">
        <f>All!N42</f>
        <v>44.9</v>
      </c>
      <c r="O6" s="515">
        <f>All!O42</f>
        <v>1482.3</v>
      </c>
      <c r="P6" s="696">
        <f>All!P42</f>
        <v>123.5</v>
      </c>
    </row>
    <row r="7" spans="2:16" ht="22.15" customHeight="1">
      <c r="B7" s="571">
        <f>All!B43</f>
        <v>2017</v>
      </c>
      <c r="C7" s="694">
        <f>All!C43</f>
        <v>11.7</v>
      </c>
      <c r="D7" s="695">
        <f>All!D43</f>
        <v>41.9</v>
      </c>
      <c r="E7" s="695">
        <f>All!E43</f>
        <v>33.200000000000003</v>
      </c>
      <c r="F7" s="695">
        <f>All!F43</f>
        <v>60.6</v>
      </c>
      <c r="G7" s="695">
        <f>All!G43</f>
        <v>30.2</v>
      </c>
      <c r="H7" s="695">
        <f>All!H43</f>
        <v>42.1</v>
      </c>
      <c r="I7" s="695">
        <f>All!I43</f>
        <v>211.6</v>
      </c>
      <c r="J7" s="695">
        <f>All!J43</f>
        <v>280.5</v>
      </c>
      <c r="K7" s="695">
        <f>All!K43</f>
        <v>108.8</v>
      </c>
      <c r="L7" s="695">
        <f>All!L43</f>
        <v>85.4</v>
      </c>
      <c r="M7" s="695">
        <f>All!M43</f>
        <v>2.1</v>
      </c>
      <c r="N7" s="696">
        <f>All!N43</f>
        <v>28.5</v>
      </c>
      <c r="O7" s="515">
        <f>All!O43</f>
        <v>936.6</v>
      </c>
      <c r="P7" s="696">
        <f>All!P43</f>
        <v>78.099999999999994</v>
      </c>
    </row>
    <row r="8" spans="2:16" ht="22.15" customHeight="1">
      <c r="B8" s="571">
        <f>All!B44</f>
        <v>2018</v>
      </c>
      <c r="C8" s="694">
        <f>All!C44</f>
        <v>38.799999999999997</v>
      </c>
      <c r="D8" s="695">
        <f>All!D44</f>
        <v>22</v>
      </c>
      <c r="E8" s="695">
        <f>All!E44</f>
        <v>115.8</v>
      </c>
      <c r="F8" s="695">
        <f>All!F44</f>
        <v>127.4</v>
      </c>
      <c r="G8" s="695">
        <f>All!G44</f>
        <v>85.4</v>
      </c>
      <c r="H8" s="695">
        <f>All!H44</f>
        <v>222.4</v>
      </c>
      <c r="I8" s="695">
        <f>All!I44</f>
        <v>84.5</v>
      </c>
      <c r="J8" s="695">
        <f>All!J44</f>
        <v>397.1</v>
      </c>
      <c r="K8" s="695">
        <f>All!K44</f>
        <v>129.69999999999999</v>
      </c>
      <c r="L8" s="695">
        <f>All!L44</f>
        <v>125.2</v>
      </c>
      <c r="M8" s="695">
        <f>All!M44</f>
        <v>47.2</v>
      </c>
      <c r="N8" s="696">
        <f>All!N44</f>
        <v>32.4</v>
      </c>
      <c r="O8" s="515">
        <f>All!O44</f>
        <v>1427.9</v>
      </c>
      <c r="P8" s="696">
        <f>All!P44</f>
        <v>119</v>
      </c>
    </row>
    <row r="9" spans="2:16" ht="22.15" customHeight="1">
      <c r="B9" s="571">
        <f>All!B45</f>
        <v>2019</v>
      </c>
      <c r="C9" s="694">
        <f>All!C45</f>
        <v>16.399999999999999</v>
      </c>
      <c r="D9" s="695">
        <f>All!D45</f>
        <v>37</v>
      </c>
      <c r="E9" s="695">
        <f>All!E45</f>
        <v>33.9</v>
      </c>
      <c r="F9" s="695">
        <f>All!F45</f>
        <v>84.7</v>
      </c>
      <c r="G9" s="695">
        <f>All!G45</f>
        <v>78.8</v>
      </c>
      <c r="H9" s="695">
        <f>All!H45</f>
        <v>158</v>
      </c>
      <c r="I9" s="695">
        <f>All!I45</f>
        <v>242.2</v>
      </c>
      <c r="J9" s="695">
        <f>All!J45</f>
        <v>64.8</v>
      </c>
      <c r="K9" s="695">
        <f>All!K45</f>
        <v>165.8</v>
      </c>
      <c r="L9" s="695">
        <f>All!L45</f>
        <v>149.9</v>
      </c>
      <c r="M9" s="695">
        <f>All!M45</f>
        <v>22.8</v>
      </c>
      <c r="N9" s="696">
        <f>All!N45</f>
        <v>31.6</v>
      </c>
      <c r="O9" s="515">
        <f>All!O45</f>
        <v>1085.9000000000001</v>
      </c>
      <c r="P9" s="696">
        <f>All!P45</f>
        <v>90.5</v>
      </c>
    </row>
    <row r="10" spans="2:16" ht="22.15" customHeight="1">
      <c r="B10" s="571">
        <f>All!B46</f>
        <v>2020</v>
      </c>
      <c r="C10" s="694">
        <f>All!C46</f>
        <v>74.900000000000006</v>
      </c>
      <c r="D10" s="695">
        <f>All!D46</f>
        <v>47.8</v>
      </c>
      <c r="E10" s="695">
        <f>All!E46</f>
        <v>43.5</v>
      </c>
      <c r="F10" s="695">
        <f>All!F46</f>
        <v>55.3</v>
      </c>
      <c r="G10" s="695">
        <f>All!G46</f>
        <v>96.8</v>
      </c>
      <c r="H10" s="695">
        <f>All!H46</f>
        <v>199.9</v>
      </c>
      <c r="I10" s="695">
        <f>All!I46</f>
        <v>533.29999999999995</v>
      </c>
      <c r="J10" s="695">
        <f>All!J46</f>
        <v>738.1</v>
      </c>
      <c r="K10" s="695">
        <f>All!K46</f>
        <v>178.3</v>
      </c>
      <c r="L10" s="695">
        <f>All!L46</f>
        <v>12.1</v>
      </c>
      <c r="M10" s="695">
        <f>All!M46</f>
        <v>28.3</v>
      </c>
      <c r="N10" s="696">
        <f>All!N46</f>
        <v>18.7</v>
      </c>
      <c r="O10" s="515">
        <f>All!O46</f>
        <v>2027</v>
      </c>
      <c r="P10" s="696">
        <f>All!P46</f>
        <v>168.9</v>
      </c>
    </row>
    <row r="11" spans="2:16" ht="22.15" customHeight="1">
      <c r="B11" s="571">
        <f>All!B47</f>
        <v>2021</v>
      </c>
      <c r="C11" s="694">
        <f>All!C47</f>
        <v>33</v>
      </c>
      <c r="D11" s="695">
        <f>All!D47</f>
        <v>31.1</v>
      </c>
      <c r="E11" s="695">
        <f>All!E47</f>
        <v>122.4</v>
      </c>
      <c r="F11" s="695">
        <f>All!F47</f>
        <v>34.200000000000003</v>
      </c>
      <c r="G11" s="695">
        <f>All!G47</f>
        <v>139.4</v>
      </c>
      <c r="H11" s="695">
        <f>All!H47</f>
        <v>118.1</v>
      </c>
      <c r="I11" s="695">
        <f>All!I47</f>
        <v>227.6</v>
      </c>
      <c r="J11" s="695">
        <f>All!J47</f>
        <v>338.7</v>
      </c>
      <c r="K11" s="695">
        <f>All!K47</f>
        <v>131.1</v>
      </c>
      <c r="L11" s="695">
        <f>All!L47</f>
        <v>35.299999999999997</v>
      </c>
      <c r="M11" s="695">
        <f>All!M47</f>
        <v>85.8</v>
      </c>
      <c r="N11" s="696">
        <f>All!N47</f>
        <v>7.1</v>
      </c>
      <c r="O11" s="515">
        <f>All!O47</f>
        <v>1303.8</v>
      </c>
      <c r="P11" s="696">
        <f>All!P47</f>
        <v>108.7</v>
      </c>
    </row>
    <row r="12" spans="2:16" ht="22.15" customHeight="1">
      <c r="B12" s="570">
        <f>All!B48</f>
        <v>2022</v>
      </c>
      <c r="C12" s="521">
        <f>All!C48</f>
        <v>0.3</v>
      </c>
      <c r="D12" s="522">
        <f>All!D48</f>
        <v>2.7</v>
      </c>
      <c r="E12" s="522">
        <f>All!E48</f>
        <v>105.2</v>
      </c>
      <c r="F12" s="522">
        <f>All!F48</f>
        <v>49.4</v>
      </c>
      <c r="G12" s="522">
        <f>All!G48</f>
        <v>0.4</v>
      </c>
      <c r="H12" s="522">
        <f>All!H48</f>
        <v>131.69999999999999</v>
      </c>
      <c r="I12" s="522">
        <f>All!I48</f>
        <v>169</v>
      </c>
      <c r="J12" s="522">
        <f>All!J48</f>
        <v>106.4</v>
      </c>
      <c r="K12" s="522">
        <f>All!K48</f>
        <v>89.2</v>
      </c>
      <c r="L12" s="522">
        <f>All!L48</f>
        <v>38.299999999999997</v>
      </c>
      <c r="M12" s="522">
        <f>All!M48</f>
        <v>46.7</v>
      </c>
      <c r="N12" s="523">
        <f>All!N48</f>
        <v>30.6</v>
      </c>
      <c r="O12" s="524">
        <f>All!O48</f>
        <v>769.9</v>
      </c>
      <c r="P12" s="523">
        <f>All!P48</f>
        <v>64.2</v>
      </c>
    </row>
    <row r="13" spans="2:16" ht="22.15" customHeight="1">
      <c r="B13" s="570">
        <f>All!B49</f>
        <v>2023</v>
      </c>
      <c r="C13" s="521">
        <f>All!C49</f>
        <v>26.8</v>
      </c>
      <c r="D13" s="522">
        <f>All!D49</f>
        <v>14.8</v>
      </c>
      <c r="E13" s="522">
        <f>All!E49</f>
        <v>34.799999999999997</v>
      </c>
      <c r="F13" s="522">
        <f>All!F49</f>
        <v>66.5</v>
      </c>
      <c r="G13" s="522">
        <f>All!G49</f>
        <v>190.1</v>
      </c>
      <c r="H13" s="522">
        <f>All!H49</f>
        <v>441.2</v>
      </c>
      <c r="I13" s="522">
        <f>All!I49</f>
        <v>684.6</v>
      </c>
      <c r="J13" s="522">
        <f>All!J49</f>
        <v>341.2</v>
      </c>
      <c r="K13" s="522">
        <f>All!K49</f>
        <v>152.5</v>
      </c>
      <c r="L13" s="522">
        <f>All!L49</f>
        <v>11.5</v>
      </c>
      <c r="M13" s="522">
        <f>All!M49</f>
        <v>71.900000000000006</v>
      </c>
      <c r="N13" s="523">
        <f>All!N49</f>
        <v>80.2</v>
      </c>
      <c r="O13" s="524">
        <f>All!O49</f>
        <v>2116.1</v>
      </c>
      <c r="P13" s="523">
        <f>All!P49</f>
        <v>176.3</v>
      </c>
    </row>
    <row r="14" spans="2:16" ht="22.15" customHeight="1" thickBot="1">
      <c r="B14" s="572">
        <f>All!B50</f>
        <v>2024</v>
      </c>
      <c r="C14" s="697">
        <f>All!C50</f>
        <v>31.1</v>
      </c>
      <c r="D14" s="698">
        <f>All!D50</f>
        <v>111.3</v>
      </c>
      <c r="E14" s="698">
        <f>All!E50</f>
        <v>79.5</v>
      </c>
      <c r="F14" s="698">
        <f>All!F50</f>
        <v>79.599999999999994</v>
      </c>
      <c r="G14" s="698">
        <f>All!G50</f>
        <v>102</v>
      </c>
      <c r="H14" s="698">
        <f>All!H50</f>
        <v>149.1</v>
      </c>
      <c r="I14" s="698">
        <f>All!I50</f>
        <v>250.4</v>
      </c>
      <c r="J14" s="698">
        <f>All!J50</f>
        <v>132.1</v>
      </c>
      <c r="K14" s="698">
        <f>All!K50</f>
        <v>181.4</v>
      </c>
      <c r="L14" s="698">
        <f>All!L50</f>
        <v>98.2</v>
      </c>
      <c r="M14" s="698">
        <f>All!M50</f>
        <v>66.5</v>
      </c>
      <c r="N14" s="699">
        <f>All!N50</f>
        <v>9.8000000000000007</v>
      </c>
      <c r="O14" s="520">
        <f>All!O50</f>
        <v>1291</v>
      </c>
      <c r="P14" s="699">
        <f>All!P50</f>
        <v>107.6</v>
      </c>
    </row>
    <row r="15" spans="2:16" ht="22.15" customHeight="1">
      <c r="B15" s="573" t="s">
        <v>21</v>
      </c>
      <c r="C15" s="700">
        <f>All!C51</f>
        <v>74.900000000000006</v>
      </c>
      <c r="D15" s="701">
        <f>All!D51</f>
        <v>111.3</v>
      </c>
      <c r="E15" s="701">
        <f>All!E51</f>
        <v>122.4</v>
      </c>
      <c r="F15" s="701">
        <f>All!F51</f>
        <v>185</v>
      </c>
      <c r="G15" s="701">
        <f>All!G51</f>
        <v>190.1</v>
      </c>
      <c r="H15" s="701">
        <f>All!H51</f>
        <v>441.2</v>
      </c>
      <c r="I15" s="701">
        <f>All!I51</f>
        <v>684.6</v>
      </c>
      <c r="J15" s="701">
        <f>All!J51</f>
        <v>738.1</v>
      </c>
      <c r="K15" s="701">
        <f>All!K51</f>
        <v>251.2</v>
      </c>
      <c r="L15" s="701">
        <f>All!L51</f>
        <v>216.7</v>
      </c>
      <c r="M15" s="701">
        <f>All!M51</f>
        <v>121.9</v>
      </c>
      <c r="N15" s="702">
        <f>All!N51</f>
        <v>80.2</v>
      </c>
      <c r="O15" s="518">
        <f>All!O51</f>
        <v>2116.1</v>
      </c>
      <c r="P15" s="702">
        <f>All!P51</f>
        <v>176.3</v>
      </c>
    </row>
    <row r="16" spans="2:16" ht="22.15" customHeight="1">
      <c r="B16" s="571" t="s">
        <v>22</v>
      </c>
      <c r="C16" s="694">
        <f>All!C52</f>
        <v>0.3</v>
      </c>
      <c r="D16" s="695">
        <f>All!D52</f>
        <v>2.7</v>
      </c>
      <c r="E16" s="695">
        <f>All!E52</f>
        <v>33.200000000000003</v>
      </c>
      <c r="F16" s="695">
        <f>All!F52</f>
        <v>34.200000000000003</v>
      </c>
      <c r="G16" s="695">
        <f>All!G52</f>
        <v>0.4</v>
      </c>
      <c r="H16" s="695">
        <f>All!H52</f>
        <v>42.1</v>
      </c>
      <c r="I16" s="695">
        <f>All!I52</f>
        <v>84.5</v>
      </c>
      <c r="J16" s="695">
        <f>All!J52</f>
        <v>64.8</v>
      </c>
      <c r="K16" s="695">
        <f>All!K52</f>
        <v>66.599999999999994</v>
      </c>
      <c r="L16" s="695">
        <f>All!L52</f>
        <v>11.5</v>
      </c>
      <c r="M16" s="695">
        <f>All!M52</f>
        <v>2.1</v>
      </c>
      <c r="N16" s="696">
        <f>All!N52</f>
        <v>7.1</v>
      </c>
      <c r="O16" s="516">
        <f>All!O52</f>
        <v>769.9</v>
      </c>
      <c r="P16" s="696">
        <f>All!P52</f>
        <v>64.2</v>
      </c>
    </row>
    <row r="17" spans="2:16" ht="22.15" customHeight="1" thickBot="1">
      <c r="B17" s="572" t="s">
        <v>20</v>
      </c>
      <c r="C17" s="697">
        <f>All!C53</f>
        <v>33</v>
      </c>
      <c r="D17" s="698">
        <f>All!D53</f>
        <v>37.799999999999997</v>
      </c>
      <c r="E17" s="703">
        <f>All!E53</f>
        <v>66</v>
      </c>
      <c r="F17" s="698">
        <f>All!F53</f>
        <v>88.8</v>
      </c>
      <c r="G17" s="519">
        <f>All!G53</f>
        <v>87.6</v>
      </c>
      <c r="H17" s="519">
        <f>All!H53</f>
        <v>167.5</v>
      </c>
      <c r="I17" s="519">
        <f>All!I53</f>
        <v>286.89999999999998</v>
      </c>
      <c r="J17" s="519">
        <f>All!J53</f>
        <v>262.89999999999998</v>
      </c>
      <c r="K17" s="519">
        <f>All!K53</f>
        <v>145.5</v>
      </c>
      <c r="L17" s="698">
        <f>All!L53</f>
        <v>86.4</v>
      </c>
      <c r="M17" s="698">
        <f>All!M53</f>
        <v>52.5</v>
      </c>
      <c r="N17" s="699">
        <f>All!N53</f>
        <v>34.299999999999997</v>
      </c>
      <c r="O17" s="517">
        <f>All!O53</f>
        <v>1349</v>
      </c>
      <c r="P17" s="704">
        <f>All!P53</f>
        <v>112.4</v>
      </c>
    </row>
    <row r="18" spans="2:16" ht="29.25" customHeight="1" thickBot="1">
      <c r="B18" s="574" t="s">
        <v>23</v>
      </c>
      <c r="C18" s="406">
        <f>All!C37</f>
        <v>32.299999999999997</v>
      </c>
      <c r="D18" s="407">
        <f>All!D37</f>
        <v>43.3</v>
      </c>
      <c r="E18" s="407">
        <f>All!E37</f>
        <v>63.8</v>
      </c>
      <c r="F18" s="407">
        <f>All!F37</f>
        <v>84</v>
      </c>
      <c r="G18" s="407">
        <f>All!G37</f>
        <v>94.5</v>
      </c>
      <c r="H18" s="407">
        <f>All!H37</f>
        <v>165.3</v>
      </c>
      <c r="I18" s="408">
        <f>All!I37</f>
        <v>302.8</v>
      </c>
      <c r="J18" s="408">
        <f>All!J37</f>
        <v>322.5</v>
      </c>
      <c r="K18" s="408">
        <f>All!K37</f>
        <v>148.69999999999999</v>
      </c>
      <c r="L18" s="408">
        <f>All!L37</f>
        <v>59.4</v>
      </c>
      <c r="M18" s="408">
        <f>All!M37</f>
        <v>53.4</v>
      </c>
      <c r="N18" s="409">
        <f>All!N37</f>
        <v>35.799999999999997</v>
      </c>
      <c r="O18" s="410">
        <f>All!O37</f>
        <v>1405.8</v>
      </c>
      <c r="P18" s="409">
        <f>All!P37</f>
        <v>117.2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950.4</v>
      </c>
      <c r="F20" s="414"/>
    </row>
    <row r="21" spans="2:16">
      <c r="B21" s="415" t="s">
        <v>156</v>
      </c>
      <c r="D21" s="416">
        <f>O17</f>
        <v>1349</v>
      </c>
    </row>
    <row r="22" spans="2:16" ht="17.25" thickBot="1">
      <c r="B22" s="417"/>
      <c r="C22" s="418"/>
      <c r="D22" s="419">
        <f>D20/D21</f>
        <v>0.70452186805040773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769.9</v>
      </c>
      <c r="D24" s="422"/>
      <c r="E24" s="359"/>
      <c r="H24" s="423" t="s">
        <v>174</v>
      </c>
      <c r="I24" s="705" t="s">
        <v>853</v>
      </c>
      <c r="J24" s="706"/>
      <c r="K24" s="680">
        <f>INDEX(Location[recharge], MATCH(I24,Location[name],0))</f>
        <v>0.14299999999999999</v>
      </c>
      <c r="L24" s="681">
        <f>INDEX(Location[ratio], MATCH(I24,Location[name],0))</f>
        <v>0.68400000000000005</v>
      </c>
    </row>
    <row r="25" spans="2:16" ht="21.95" customHeight="1">
      <c r="B25" s="424" t="s">
        <v>25</v>
      </c>
      <c r="C25" s="126">
        <f>O18</f>
        <v>1405.8</v>
      </c>
      <c r="D25" s="358"/>
      <c r="E25" s="361"/>
      <c r="H25" s="423" t="s">
        <v>175</v>
      </c>
      <c r="I25" s="707" t="s">
        <v>184</v>
      </c>
      <c r="J25" s="708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0.68400000000000005</v>
      </c>
      <c r="D26" s="426">
        <f>L25</f>
        <v>0.68100000000000005</v>
      </c>
      <c r="E26" s="427">
        <f>L26</f>
        <v>0.72</v>
      </c>
      <c r="H26" s="423" t="s">
        <v>176</v>
      </c>
      <c r="I26" s="709" t="s">
        <v>232</v>
      </c>
      <c r="J26" s="710"/>
      <c r="K26" s="682">
        <f>INDEX(Location[recharge], MATCH(I26,Location[name],0))</f>
        <v>0.17100000000000001</v>
      </c>
      <c r="L26" s="683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3487130.5455</v>
      </c>
      <c r="D27" s="358"/>
      <c r="E27" s="429"/>
    </row>
    <row r="28" spans="2:16" ht="21.95" customHeight="1" thickBot="1">
      <c r="B28" s="430" t="s">
        <v>27</v>
      </c>
      <c r="C28" s="431">
        <f>K24</f>
        <v>0.14299999999999999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20.102939999999997</v>
      </c>
      <c r="D30" s="436">
        <f>max*rf_2/10</f>
        <v>21.368159999999996</v>
      </c>
      <c r="E30" s="437">
        <f>max*rf_3/10</f>
        <v>24.039180000000002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849</v>
      </c>
      <c r="C32" s="405"/>
      <c r="D32" s="405"/>
    </row>
    <row r="33" spans="1:7" ht="17.25" customHeight="1"/>
    <row r="34" spans="1:7" ht="17.25" customHeight="1">
      <c r="A34" s="439" t="s">
        <v>158</v>
      </c>
      <c r="C34" s="405"/>
      <c r="D34" s="405"/>
    </row>
    <row r="35" spans="1:7" ht="17.25" customHeight="1">
      <c r="A35" s="439" t="s">
        <v>159</v>
      </c>
    </row>
    <row r="36" spans="1:7">
      <c r="G36" s="403"/>
    </row>
    <row r="37" spans="1:7">
      <c r="G37" s="403"/>
    </row>
    <row r="38" spans="1:7">
      <c r="G38" s="403"/>
    </row>
    <row r="39" spans="1:7">
      <c r="G39" s="403"/>
    </row>
    <row r="40" spans="1:7">
      <c r="G40" s="403"/>
    </row>
    <row r="41" spans="1:7">
      <c r="G41" s="403"/>
    </row>
    <row r="42" spans="1:7">
      <c r="G42" s="403"/>
    </row>
    <row r="43" spans="1:7">
      <c r="G43" s="403"/>
    </row>
    <row r="44" spans="1:7">
      <c r="G44" s="403"/>
    </row>
    <row r="45" spans="1:7">
      <c r="G45" s="403"/>
    </row>
    <row r="46" spans="1:7">
      <c r="G46" s="403"/>
    </row>
    <row r="47" spans="1:7">
      <c r="G47" s="403"/>
    </row>
    <row r="48" spans="1:7">
      <c r="G48" s="403"/>
    </row>
    <row r="49" spans="7:7">
      <c r="G49" s="403"/>
    </row>
    <row r="50" spans="7:7">
      <c r="G50" s="403"/>
    </row>
    <row r="51" spans="7:7">
      <c r="G51" s="403"/>
    </row>
    <row r="52" spans="7:7">
      <c r="G52" s="403"/>
    </row>
    <row r="53" spans="7:7">
      <c r="G53" s="403"/>
    </row>
    <row r="54" spans="7:7">
      <c r="G54" s="403"/>
    </row>
    <row r="55" spans="7:7">
      <c r="G55" s="403"/>
    </row>
    <row r="56" spans="7:7">
      <c r="G56" s="403"/>
    </row>
    <row r="57" spans="7:7">
      <c r="G57" s="403"/>
    </row>
    <row r="58" spans="7:7">
      <c r="G58" s="403"/>
    </row>
    <row r="59" spans="7:7">
      <c r="G59" s="403"/>
    </row>
    <row r="60" spans="7:7">
      <c r="G60" s="403"/>
    </row>
    <row r="61" spans="7:7">
      <c r="G61" s="403"/>
    </row>
    <row r="62" spans="7:7">
      <c r="G62" s="403"/>
    </row>
    <row r="63" spans="7:7">
      <c r="G63" s="403"/>
    </row>
    <row r="64" spans="7:7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59" spans="15:15" s="441" customFormat="1" ht="17.25">
      <c r="O2159" s="440"/>
    </row>
    <row r="2445" spans="2430:2430">
      <c r="COL2445" s="442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D22" sqref="D22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A18" s="73" t="s">
        <v>851</v>
      </c>
      <c r="B18" s="75">
        <v>0.14299999999999999</v>
      </c>
      <c r="C18" s="75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832</v>
      </c>
      <c r="H5" s="113" t="s">
        <v>833</v>
      </c>
      <c r="I5" s="113" t="s">
        <v>834</v>
      </c>
      <c r="J5" s="113" t="s">
        <v>835</v>
      </c>
      <c r="K5" s="114" t="s">
        <v>836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837</v>
      </c>
      <c r="H6" s="113" t="s">
        <v>838</v>
      </c>
      <c r="I6" s="113" t="s">
        <v>839</v>
      </c>
      <c r="J6" s="113" t="s">
        <v>840</v>
      </c>
      <c r="K6" s="114" t="s">
        <v>841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842</v>
      </c>
      <c r="H7" s="113" t="s">
        <v>843</v>
      </c>
      <c r="I7" s="113" t="s">
        <v>844</v>
      </c>
      <c r="J7" s="113" t="s">
        <v>845</v>
      </c>
      <c r="K7" s="114" t="s">
        <v>846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I11" sqref="I11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8.4499999999999993</v>
      </c>
      <c r="C5" s="541">
        <v>43.5</v>
      </c>
      <c r="D5" s="541">
        <v>10.486749434776506</v>
      </c>
      <c r="E5" s="541">
        <v>33.013250565223494</v>
      </c>
      <c r="F5" s="541">
        <v>35.049999999999997</v>
      </c>
      <c r="G5" s="545">
        <v>200</v>
      </c>
      <c r="H5" s="691">
        <v>0.1</v>
      </c>
      <c r="I5" s="692">
        <v>100</v>
      </c>
      <c r="J5" s="692">
        <v>12</v>
      </c>
      <c r="K5" s="692">
        <v>145</v>
      </c>
      <c r="L5" s="541">
        <v>3.4291035598786501</v>
      </c>
      <c r="M5" s="693">
        <v>3</v>
      </c>
      <c r="N5" s="541">
        <v>88</v>
      </c>
      <c r="O5" s="542">
        <v>2.9740000000000002</v>
      </c>
      <c r="P5" s="542">
        <v>2.3730000000000002</v>
      </c>
      <c r="Q5" s="542">
        <v>2.6735000000000002</v>
      </c>
      <c r="R5" s="543">
        <v>7.918E-2</v>
      </c>
      <c r="S5" s="543">
        <v>2.0780000000000001E-4</v>
      </c>
      <c r="T5" s="542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692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41">
        <v>3.5599999999999998E-4</v>
      </c>
      <c r="AG5" s="541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42">
        <v>0.29339999999999999</v>
      </c>
      <c r="AM5" s="542">
        <v>0.29409999999999997</v>
      </c>
      <c r="AN5" s="542">
        <v>1.2584</v>
      </c>
      <c r="AO5" s="535" t="s">
        <v>828</v>
      </c>
      <c r="AP5" s="535" t="s">
        <v>325</v>
      </c>
      <c r="AQ5" s="532">
        <v>31.28</v>
      </c>
      <c r="AR5" s="547" t="s">
        <v>829</v>
      </c>
    </row>
    <row r="6" spans="1:702" ht="23.1" customHeight="1">
      <c r="A6" s="540" t="s">
        <v>786</v>
      </c>
      <c r="B6" s="541">
        <v>10.11</v>
      </c>
      <c r="C6" s="541">
        <v>54.37</v>
      </c>
      <c r="D6" s="541">
        <v>12.244038655722175</v>
      </c>
      <c r="E6" s="541">
        <v>42.125961344277826</v>
      </c>
      <c r="F6" s="541">
        <v>44.26</v>
      </c>
      <c r="G6" s="545">
        <v>200</v>
      </c>
      <c r="H6" s="691">
        <v>0.1</v>
      </c>
      <c r="I6" s="692">
        <v>200</v>
      </c>
      <c r="J6" s="692">
        <v>12</v>
      </c>
      <c r="K6" s="692">
        <v>250</v>
      </c>
      <c r="L6" s="541">
        <v>5.5295270418134734</v>
      </c>
      <c r="M6" s="693">
        <v>7.5</v>
      </c>
      <c r="N6" s="541">
        <v>188</v>
      </c>
      <c r="O6" s="542">
        <v>4.21</v>
      </c>
      <c r="P6" s="542">
        <v>3.4089999999999998</v>
      </c>
      <c r="Q6" s="542">
        <v>3.8094999999999999</v>
      </c>
      <c r="R6" s="543">
        <v>8.0240000000000006E-2</v>
      </c>
      <c r="S6" s="543">
        <v>1.9819999999999999E-4</v>
      </c>
      <c r="T6" s="542">
        <v>2.026E-2</v>
      </c>
      <c r="U6" s="544">
        <v>0.41660000000000003</v>
      </c>
      <c r="V6" s="541">
        <v>106.3</v>
      </c>
      <c r="W6" s="541">
        <v>130.19999999999999</v>
      </c>
      <c r="X6" s="541">
        <v>134.19999999999999</v>
      </c>
      <c r="Y6" s="542">
        <v>-3.0019290899323217</v>
      </c>
      <c r="Z6" s="542">
        <v>2.012</v>
      </c>
      <c r="AA6" s="692">
        <v>287</v>
      </c>
      <c r="AB6" s="541">
        <v>259.6547776648431</v>
      </c>
      <c r="AC6" s="541">
        <v>157</v>
      </c>
      <c r="AD6" s="541">
        <v>18.52</v>
      </c>
      <c r="AE6" s="541">
        <v>39.39</v>
      </c>
      <c r="AF6" s="541">
        <v>1.4770000000000001E-4</v>
      </c>
      <c r="AG6" s="541">
        <v>9.43248E-2</v>
      </c>
      <c r="AH6" s="546">
        <v>0.90243902439024393</v>
      </c>
      <c r="AI6" s="542">
        <v>6.3520341974657759</v>
      </c>
      <c r="AJ6" s="542">
        <v>5.0000000000000001E-4</v>
      </c>
      <c r="AK6" s="535" t="s">
        <v>248</v>
      </c>
      <c r="AL6" s="542">
        <v>1.1292</v>
      </c>
      <c r="AM6" s="542">
        <v>1.1312</v>
      </c>
      <c r="AN6" s="542">
        <v>1.2667999999999999</v>
      </c>
      <c r="AO6" s="535" t="s">
        <v>830</v>
      </c>
      <c r="AP6" s="535" t="s">
        <v>325</v>
      </c>
      <c r="AQ6" s="532">
        <v>28.58</v>
      </c>
      <c r="AR6" s="547" t="s">
        <v>829</v>
      </c>
    </row>
    <row r="7" spans="1:702" ht="23.1" customHeight="1">
      <c r="A7" s="540" t="s">
        <v>787</v>
      </c>
      <c r="B7" s="541">
        <v>8.9499999999999993</v>
      </c>
      <c r="C7" s="541">
        <v>36.520000000000003</v>
      </c>
      <c r="D7" s="541">
        <v>10.891276303196285</v>
      </c>
      <c r="E7" s="541">
        <v>25.628723696803718</v>
      </c>
      <c r="F7" s="541">
        <v>27.570000000000004</v>
      </c>
      <c r="G7" s="545">
        <v>200</v>
      </c>
      <c r="H7" s="691">
        <v>0.1</v>
      </c>
      <c r="I7" s="692">
        <v>83</v>
      </c>
      <c r="J7" s="692">
        <v>12</v>
      </c>
      <c r="K7" s="692">
        <v>135</v>
      </c>
      <c r="L7" s="541">
        <v>2.9874371956977122</v>
      </c>
      <c r="M7" s="693">
        <v>5</v>
      </c>
      <c r="N7" s="541">
        <v>71</v>
      </c>
      <c r="O7" s="542">
        <v>3.5819999999999999</v>
      </c>
      <c r="P7" s="542">
        <v>2.2589999999999999</v>
      </c>
      <c r="Q7" s="542">
        <v>2.9204999999999997</v>
      </c>
      <c r="R7" s="543">
        <v>8.1220000000000001E-2</v>
      </c>
      <c r="S7" s="543">
        <v>1.9809999999999999E-4</v>
      </c>
      <c r="T7" s="542">
        <v>4.113E-2</v>
      </c>
      <c r="U7" s="544">
        <v>0.41660000000000003</v>
      </c>
      <c r="V7" s="541">
        <v>119.6</v>
      </c>
      <c r="W7" s="541">
        <v>146.5</v>
      </c>
      <c r="X7" s="541">
        <v>117.6</v>
      </c>
      <c r="Y7" s="542">
        <v>-3.008274786694499</v>
      </c>
      <c r="Z7" s="542">
        <v>2.0249999999999999</v>
      </c>
      <c r="AA7" s="692">
        <v>155</v>
      </c>
      <c r="AB7" s="541">
        <v>140.60402493507894</v>
      </c>
      <c r="AC7" s="541">
        <v>85</v>
      </c>
      <c r="AD7" s="541">
        <v>11.53</v>
      </c>
      <c r="AE7" s="541">
        <v>24.53</v>
      </c>
      <c r="AF7" s="541">
        <v>3.21E-4</v>
      </c>
      <c r="AG7" s="541">
        <v>0.1079809</v>
      </c>
      <c r="AH7" s="546">
        <v>0.90322580645161288</v>
      </c>
      <c r="AI7" s="542">
        <v>6.3520341974657759</v>
      </c>
      <c r="AJ7" s="542">
        <v>5.0000000000000001E-4</v>
      </c>
      <c r="AK7" s="535" t="s">
        <v>248</v>
      </c>
      <c r="AL7" s="542">
        <v>0.65459999999999996</v>
      </c>
      <c r="AM7" s="542">
        <v>0.65590000000000004</v>
      </c>
      <c r="AN7" s="542">
        <v>1.2745</v>
      </c>
      <c r="AO7" s="535" t="s">
        <v>831</v>
      </c>
      <c r="AP7" s="535" t="s">
        <v>325</v>
      </c>
      <c r="AQ7" s="532">
        <v>48.07</v>
      </c>
      <c r="AR7" s="547" t="s">
        <v>829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51" sqref="K5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166</v>
      </c>
      <c r="I3" s="193">
        <v>150.463640779033</v>
      </c>
      <c r="J3" s="192">
        <v>145</v>
      </c>
      <c r="K3" s="255">
        <v>0.90361445783132532</v>
      </c>
      <c r="M3" s="275" t="s">
        <v>198</v>
      </c>
      <c r="N3" s="263">
        <f>MIN(K3:K35)</f>
        <v>0.90243902439024393</v>
      </c>
      <c r="O3" s="264">
        <f>MAX(K3:K35)</f>
        <v>0.90361445783132532</v>
      </c>
      <c r="Q3" s="256" t="s">
        <v>219</v>
      </c>
      <c r="R3" s="257">
        <v>3.5599999999999998E-4</v>
      </c>
      <c r="S3" s="258">
        <v>0.1280811</v>
      </c>
    </row>
    <row r="4" spans="7:19" ht="20.100000000000001" customHeight="1">
      <c r="G4" s="163" t="s">
        <v>786</v>
      </c>
      <c r="H4" s="164">
        <v>287</v>
      </c>
      <c r="I4" s="171">
        <v>259.6547776648431</v>
      </c>
      <c r="J4" s="164">
        <v>250</v>
      </c>
      <c r="K4" s="175">
        <v>0.90243902439024393</v>
      </c>
      <c r="M4" s="275" t="s">
        <v>205</v>
      </c>
      <c r="N4" s="265">
        <f>MIN(I3:I35)</f>
        <v>140.60402493507894</v>
      </c>
      <c r="O4" s="266">
        <f>MAX(I3:I35)</f>
        <v>259.6547776648431</v>
      </c>
      <c r="Q4" s="177" t="s">
        <v>786</v>
      </c>
      <c r="R4" s="178">
        <v>1.4770000000000001E-4</v>
      </c>
      <c r="S4" s="179">
        <v>9.43248E-2</v>
      </c>
    </row>
    <row r="5" spans="7:19" ht="20.100000000000001" customHeight="1" thickBot="1">
      <c r="G5" s="191" t="s">
        <v>787</v>
      </c>
      <c r="H5" s="192">
        <v>155</v>
      </c>
      <c r="I5" s="193">
        <v>140.60402493507894</v>
      </c>
      <c r="J5" s="192">
        <v>135</v>
      </c>
      <c r="K5" s="255">
        <v>0.90322580645161288</v>
      </c>
      <c r="M5" s="276" t="s">
        <v>206</v>
      </c>
      <c r="N5" s="267">
        <f>MIN(J3:J35)</f>
        <v>135</v>
      </c>
      <c r="O5" s="268">
        <f>MAX(J3:J35)</f>
        <v>250</v>
      </c>
      <c r="Q5" s="256" t="s">
        <v>787</v>
      </c>
      <c r="R5" s="257">
        <v>3.21E-4</v>
      </c>
      <c r="S5" s="258">
        <v>0.1079809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36" t="s">
        <v>219</v>
      </c>
      <c r="G43" s="734">
        <v>91</v>
      </c>
      <c r="H43" s="254">
        <v>31.19</v>
      </c>
      <c r="I43" s="735">
        <v>150.463640779033</v>
      </c>
    </row>
    <row r="44" spans="6:25" ht="15.95" customHeight="1">
      <c r="F44" s="724"/>
      <c r="G44" s="720"/>
      <c r="H44" s="192">
        <v>14.67</v>
      </c>
      <c r="I44" s="712"/>
      <c r="K44" s="231"/>
    </row>
    <row r="45" spans="6:25" ht="15.95" customHeight="1">
      <c r="F45" s="729" t="s">
        <v>786</v>
      </c>
      <c r="G45" s="721">
        <v>157</v>
      </c>
      <c r="H45" s="164">
        <v>39.39</v>
      </c>
      <c r="I45" s="711">
        <v>259.6547776648431</v>
      </c>
      <c r="K45" s="231"/>
    </row>
    <row r="46" spans="6:25" ht="15.95" customHeight="1">
      <c r="F46" s="730"/>
      <c r="G46" s="722"/>
      <c r="H46" s="164">
        <v>18.52</v>
      </c>
      <c r="I46" s="711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23" t="s">
        <v>787</v>
      </c>
      <c r="G47" s="719">
        <v>85</v>
      </c>
      <c r="H47" s="192">
        <v>24.53</v>
      </c>
      <c r="I47" s="712">
        <v>140.60402493507894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24"/>
      <c r="G48" s="720"/>
      <c r="H48" s="192">
        <v>11.53</v>
      </c>
      <c r="I48" s="712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29"/>
      <c r="G49" s="721"/>
      <c r="H49" s="164"/>
      <c r="I49" s="711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30"/>
      <c r="G50" s="722"/>
      <c r="H50" s="164"/>
      <c r="I50" s="711"/>
      <c r="K50" s="231"/>
    </row>
    <row r="51" spans="6:25" ht="15.95" customHeight="1">
      <c r="F51" s="723"/>
      <c r="G51" s="719"/>
      <c r="H51" s="192"/>
      <c r="I51" s="712"/>
      <c r="K51" s="231"/>
    </row>
    <row r="52" spans="6:25" ht="15.95" customHeight="1">
      <c r="F52" s="724"/>
      <c r="G52" s="720"/>
      <c r="H52" s="192"/>
      <c r="I52" s="712"/>
      <c r="K52" s="231"/>
    </row>
    <row r="53" spans="6:25" ht="15.95" customHeight="1">
      <c r="F53" s="729"/>
      <c r="G53" s="721"/>
      <c r="H53" s="164"/>
      <c r="I53" s="711"/>
      <c r="K53" s="231"/>
    </row>
    <row r="54" spans="6:25" ht="15.95" customHeight="1">
      <c r="F54" s="730"/>
      <c r="G54" s="722"/>
      <c r="H54" s="164"/>
      <c r="I54" s="711"/>
      <c r="K54" s="231"/>
    </row>
    <row r="55" spans="6:25" ht="15.95" customHeight="1">
      <c r="F55" s="723"/>
      <c r="G55" s="719"/>
      <c r="H55" s="192"/>
      <c r="I55" s="712"/>
      <c r="K55" s="231"/>
    </row>
    <row r="56" spans="6:25" ht="15.95" customHeight="1">
      <c r="F56" s="724"/>
      <c r="G56" s="720"/>
      <c r="H56" s="192"/>
      <c r="I56" s="712"/>
      <c r="K56" s="231"/>
    </row>
    <row r="57" spans="6:25" ht="15.95" hidden="1" customHeight="1" outlineLevel="1">
      <c r="F57" s="729"/>
      <c r="G57" s="721"/>
      <c r="H57" s="164"/>
      <c r="I57" s="711"/>
      <c r="K57" s="231"/>
    </row>
    <row r="58" spans="6:25" ht="15.95" hidden="1" customHeight="1" outlineLevel="1">
      <c r="F58" s="730"/>
      <c r="G58" s="722"/>
      <c r="H58" s="164"/>
      <c r="I58" s="711"/>
      <c r="K58" s="231"/>
    </row>
    <row r="59" spans="6:25" ht="15.95" hidden="1" customHeight="1" outlineLevel="1">
      <c r="F59" s="723"/>
      <c r="G59" s="719"/>
      <c r="H59" s="192"/>
      <c r="I59" s="712"/>
      <c r="K59" s="231"/>
    </row>
    <row r="60" spans="6:25" ht="15.95" hidden="1" customHeight="1" outlineLevel="1">
      <c r="F60" s="724"/>
      <c r="G60" s="720"/>
      <c r="H60" s="192"/>
      <c r="I60" s="712"/>
      <c r="K60" s="231"/>
    </row>
    <row r="61" spans="6:25" ht="15.95" hidden="1" customHeight="1" outlineLevel="1">
      <c r="F61" s="729"/>
      <c r="G61" s="721"/>
      <c r="H61" s="164"/>
      <c r="I61" s="711"/>
      <c r="K61" s="231"/>
    </row>
    <row r="62" spans="6:25" ht="15.95" hidden="1" customHeight="1" outlineLevel="1">
      <c r="F62" s="730"/>
      <c r="G62" s="722"/>
      <c r="H62" s="164"/>
      <c r="I62" s="711"/>
      <c r="K62" s="231"/>
    </row>
    <row r="63" spans="6:25" ht="15.95" hidden="1" customHeight="1" outlineLevel="1">
      <c r="F63" s="723"/>
      <c r="G63" s="719"/>
      <c r="H63" s="192"/>
      <c r="I63" s="712"/>
      <c r="K63" s="231"/>
    </row>
    <row r="64" spans="6:25" ht="15.95" hidden="1" customHeight="1" outlineLevel="1">
      <c r="F64" s="724"/>
      <c r="G64" s="720"/>
      <c r="H64" s="192"/>
      <c r="I64" s="712"/>
      <c r="K64" s="231"/>
    </row>
    <row r="65" spans="6:11" ht="15.95" hidden="1" customHeight="1" outlineLevel="1">
      <c r="F65" s="729"/>
      <c r="G65" s="721"/>
      <c r="H65" s="164"/>
      <c r="I65" s="711"/>
      <c r="K65" s="231"/>
    </row>
    <row r="66" spans="6:11" ht="15.95" hidden="1" customHeight="1" outlineLevel="1">
      <c r="F66" s="730"/>
      <c r="G66" s="722"/>
      <c r="H66" s="164"/>
      <c r="I66" s="711"/>
      <c r="K66" s="231"/>
    </row>
    <row r="67" spans="6:11" ht="15.95" hidden="1" customHeight="1" outlineLevel="1">
      <c r="F67" s="723"/>
      <c r="G67" s="719"/>
      <c r="H67" s="192"/>
      <c r="I67" s="712"/>
      <c r="K67" s="231"/>
    </row>
    <row r="68" spans="6:11" ht="15.95" hidden="1" customHeight="1" outlineLevel="1">
      <c r="F68" s="724"/>
      <c r="G68" s="720"/>
      <c r="H68" s="192"/>
      <c r="I68" s="712"/>
      <c r="K68" s="231"/>
    </row>
    <row r="69" spans="6:11" ht="15.95" hidden="1" customHeight="1" outlineLevel="1">
      <c r="F69" s="729"/>
      <c r="G69" s="721"/>
      <c r="H69" s="164"/>
      <c r="I69" s="711"/>
      <c r="K69" s="231"/>
    </row>
    <row r="70" spans="6:11" ht="15.95" hidden="1" customHeight="1" outlineLevel="1">
      <c r="F70" s="730"/>
      <c r="G70" s="722"/>
      <c r="H70" s="164"/>
      <c r="I70" s="711"/>
      <c r="K70" s="231"/>
    </row>
    <row r="71" spans="6:11" ht="15.95" hidden="1" customHeight="1" outlineLevel="1">
      <c r="F71" s="723"/>
      <c r="G71" s="719"/>
      <c r="H71" s="192"/>
      <c r="I71" s="712"/>
      <c r="K71" s="231"/>
    </row>
    <row r="72" spans="6:11" ht="15.95" hidden="1" customHeight="1" outlineLevel="1">
      <c r="F72" s="724"/>
      <c r="G72" s="720"/>
      <c r="H72" s="192"/>
      <c r="I72" s="712"/>
      <c r="K72" s="231"/>
    </row>
    <row r="73" spans="6:11" ht="15.95" hidden="1" customHeight="1" outlineLevel="1">
      <c r="F73" s="729"/>
      <c r="G73" s="721"/>
      <c r="H73" s="164"/>
      <c r="I73" s="711"/>
    </row>
    <row r="74" spans="6:11" ht="15.95" hidden="1" customHeight="1" outlineLevel="1">
      <c r="F74" s="730"/>
      <c r="G74" s="722"/>
      <c r="H74" s="164"/>
      <c r="I74" s="711"/>
    </row>
    <row r="75" spans="6:11" ht="15.95" hidden="1" customHeight="1" outlineLevel="1">
      <c r="F75" s="723"/>
      <c r="G75" s="719"/>
      <c r="H75" s="192"/>
      <c r="I75" s="712"/>
    </row>
    <row r="76" spans="6:11" ht="15.95" hidden="1" customHeight="1" outlineLevel="1">
      <c r="F76" s="724"/>
      <c r="G76" s="720"/>
      <c r="H76" s="192"/>
      <c r="I76" s="712"/>
    </row>
    <row r="77" spans="6:11" ht="15.95" hidden="1" customHeight="1" outlineLevel="1">
      <c r="F77" s="729"/>
      <c r="G77" s="721"/>
      <c r="H77" s="164"/>
      <c r="I77" s="711"/>
    </row>
    <row r="78" spans="6:11" ht="15.95" hidden="1" customHeight="1" outlineLevel="1">
      <c r="F78" s="730"/>
      <c r="G78" s="722"/>
      <c r="H78" s="164"/>
      <c r="I78" s="711"/>
    </row>
    <row r="79" spans="6:11" ht="15.95" hidden="1" customHeight="1" outlineLevel="1">
      <c r="F79" s="723"/>
      <c r="G79" s="719"/>
      <c r="H79" s="192"/>
      <c r="I79" s="712"/>
    </row>
    <row r="80" spans="6:11" ht="15.95" hidden="1" customHeight="1" outlineLevel="1">
      <c r="F80" s="724"/>
      <c r="G80" s="720"/>
      <c r="H80" s="192"/>
      <c r="I80" s="712"/>
    </row>
    <row r="81" spans="6:9" ht="15.95" hidden="1" customHeight="1" outlineLevel="1">
      <c r="F81" s="729"/>
      <c r="G81" s="721"/>
      <c r="H81" s="164"/>
      <c r="I81" s="711"/>
    </row>
    <row r="82" spans="6:9" ht="15.95" hidden="1" customHeight="1" outlineLevel="1">
      <c r="F82" s="730"/>
      <c r="G82" s="722"/>
      <c r="H82" s="164"/>
      <c r="I82" s="711"/>
    </row>
    <row r="83" spans="6:9" ht="15.95" hidden="1" customHeight="1" outlineLevel="1">
      <c r="F83" s="723"/>
      <c r="G83" s="719"/>
      <c r="H83" s="192"/>
      <c r="I83" s="712"/>
    </row>
    <row r="84" spans="6:9" ht="15.95" hidden="1" customHeight="1" outlineLevel="1">
      <c r="F84" s="724"/>
      <c r="G84" s="720"/>
      <c r="H84" s="192"/>
      <c r="I84" s="712"/>
    </row>
    <row r="85" spans="6:9" ht="15.95" hidden="1" customHeight="1" outlineLevel="1">
      <c r="F85" s="729"/>
      <c r="G85" s="721"/>
      <c r="H85" s="164"/>
      <c r="I85" s="711"/>
    </row>
    <row r="86" spans="6:9" ht="15.95" hidden="1" customHeight="1" outlineLevel="1">
      <c r="F86" s="730"/>
      <c r="G86" s="722"/>
      <c r="H86" s="164"/>
      <c r="I86" s="711"/>
    </row>
    <row r="87" spans="6:9" ht="15.95" hidden="1" customHeight="1" outlineLevel="1">
      <c r="F87" s="723"/>
      <c r="G87" s="719"/>
      <c r="H87" s="192"/>
      <c r="I87" s="712"/>
    </row>
    <row r="88" spans="6:9" ht="15.95" hidden="1" customHeight="1" outlineLevel="1">
      <c r="F88" s="724"/>
      <c r="G88" s="720"/>
      <c r="H88" s="192"/>
      <c r="I88" s="712"/>
    </row>
    <row r="89" spans="6:9" ht="15.95" hidden="1" customHeight="1" outlineLevel="1">
      <c r="F89" s="729"/>
      <c r="G89" s="721"/>
      <c r="H89" s="164"/>
      <c r="I89" s="711"/>
    </row>
    <row r="90" spans="6:9" ht="15.95" hidden="1" customHeight="1" outlineLevel="1">
      <c r="F90" s="730"/>
      <c r="G90" s="722"/>
      <c r="H90" s="164"/>
      <c r="I90" s="711"/>
    </row>
    <row r="91" spans="6:9" ht="15.95" hidden="1" customHeight="1" outlineLevel="1">
      <c r="F91" s="723"/>
      <c r="G91" s="719"/>
      <c r="H91" s="192"/>
      <c r="I91" s="712"/>
    </row>
    <row r="92" spans="6:9" ht="15.95" hidden="1" customHeight="1" outlineLevel="1">
      <c r="F92" s="724"/>
      <c r="G92" s="720"/>
      <c r="H92" s="192"/>
      <c r="I92" s="712"/>
    </row>
    <row r="93" spans="6:9" ht="15.95" hidden="1" customHeight="1" outlineLevel="1">
      <c r="F93" s="729"/>
      <c r="G93" s="721"/>
      <c r="H93" s="164"/>
      <c r="I93" s="711"/>
    </row>
    <row r="94" spans="6:9" ht="15.95" hidden="1" customHeight="1" outlineLevel="1">
      <c r="F94" s="730"/>
      <c r="G94" s="722"/>
      <c r="H94" s="164"/>
      <c r="I94" s="711"/>
    </row>
    <row r="95" spans="6:9" ht="15.95" hidden="1" customHeight="1" outlineLevel="1">
      <c r="F95" s="727"/>
      <c r="G95" s="731"/>
      <c r="H95" s="120"/>
      <c r="I95" s="733"/>
    </row>
    <row r="96" spans="6:9" ht="15.95" hidden="1" customHeight="1" outlineLevel="1">
      <c r="F96" s="728"/>
      <c r="G96" s="732"/>
      <c r="H96" s="120"/>
      <c r="I96" s="733"/>
    </row>
    <row r="97" spans="6:9" ht="15.95" hidden="1" customHeight="1" outlineLevel="1">
      <c r="F97" s="713"/>
      <c r="G97" s="715"/>
      <c r="H97" s="169"/>
      <c r="I97" s="717"/>
    </row>
    <row r="98" spans="6:9" ht="15.95" hidden="1" customHeight="1" outlineLevel="1">
      <c r="F98" s="725"/>
      <c r="G98" s="726"/>
      <c r="H98" s="169"/>
      <c r="I98" s="717"/>
    </row>
    <row r="99" spans="6:9" ht="15.95" hidden="1" customHeight="1" outlineLevel="1">
      <c r="F99" s="727"/>
      <c r="G99" s="731"/>
      <c r="H99" s="120"/>
      <c r="I99" s="733"/>
    </row>
    <row r="100" spans="6:9" ht="15.95" hidden="1" customHeight="1" outlineLevel="1">
      <c r="F100" s="728"/>
      <c r="G100" s="732"/>
      <c r="H100" s="120"/>
      <c r="I100" s="733"/>
    </row>
    <row r="101" spans="6:9" ht="15.95" hidden="1" customHeight="1" outlineLevel="1">
      <c r="F101" s="713"/>
      <c r="G101" s="715"/>
      <c r="H101" s="169"/>
      <c r="I101" s="717"/>
    </row>
    <row r="102" spans="6:9" ht="15.95" hidden="1" customHeight="1" outlineLevel="1" thickBot="1">
      <c r="F102" s="714"/>
      <c r="G102" s="716"/>
      <c r="H102" s="247"/>
      <c r="I102" s="71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M37" sqref="M3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827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654" t="s">
        <v>825</v>
      </c>
      <c r="Q2" s="655" t="s">
        <v>826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145</v>
      </c>
      <c r="F3" s="192">
        <v>8.4499999999999993</v>
      </c>
      <c r="G3" s="192">
        <v>43.5</v>
      </c>
      <c r="H3" s="192">
        <v>35.049999999999997</v>
      </c>
      <c r="I3" s="192">
        <v>0.1</v>
      </c>
      <c r="J3" s="237">
        <v>3.4291035598786501</v>
      </c>
      <c r="K3" s="231"/>
      <c r="L3" s="191">
        <v>145</v>
      </c>
      <c r="M3" s="192">
        <v>0.1</v>
      </c>
      <c r="N3" s="192">
        <v>0.1</v>
      </c>
      <c r="O3" s="192">
        <v>88</v>
      </c>
      <c r="P3" s="192">
        <v>2.9740000000000002</v>
      </c>
      <c r="Q3" s="195">
        <v>7.918E-2</v>
      </c>
      <c r="S3" s="242">
        <v>43.5</v>
      </c>
      <c r="T3" s="227">
        <v>10.486749434776506</v>
      </c>
      <c r="U3" s="237">
        <v>33.013250565223494</v>
      </c>
    </row>
    <row r="4" spans="2:21" ht="20.100000000000001" customHeight="1">
      <c r="C4" s="163" t="s">
        <v>786</v>
      </c>
      <c r="D4" s="164">
        <v>2880</v>
      </c>
      <c r="E4" s="164">
        <v>250</v>
      </c>
      <c r="F4" s="164">
        <v>10.11</v>
      </c>
      <c r="G4" s="164">
        <v>54.37</v>
      </c>
      <c r="H4" s="164">
        <v>44.26</v>
      </c>
      <c r="I4" s="164">
        <v>0.1</v>
      </c>
      <c r="J4" s="165">
        <v>5.5295270418134734</v>
      </c>
      <c r="K4" s="231"/>
      <c r="L4" s="163">
        <v>250</v>
      </c>
      <c r="M4" s="164">
        <v>0.1</v>
      </c>
      <c r="N4" s="164">
        <v>0.1</v>
      </c>
      <c r="O4" s="164">
        <v>188</v>
      </c>
      <c r="P4" s="164">
        <v>4.21</v>
      </c>
      <c r="Q4" s="166">
        <v>8.0240000000000006E-2</v>
      </c>
      <c r="S4" s="207">
        <v>54.37</v>
      </c>
      <c r="T4" s="168">
        <v>12.244038655722175</v>
      </c>
      <c r="U4" s="165">
        <v>42.125961344277826</v>
      </c>
    </row>
    <row r="5" spans="2:21" ht="20.100000000000001" customHeight="1">
      <c r="C5" s="191" t="s">
        <v>787</v>
      </c>
      <c r="D5" s="192">
        <v>2880</v>
      </c>
      <c r="E5" s="192">
        <v>135</v>
      </c>
      <c r="F5" s="192">
        <v>8.9499999999999993</v>
      </c>
      <c r="G5" s="192">
        <v>36.520000000000003</v>
      </c>
      <c r="H5" s="192">
        <v>27.570000000000004</v>
      </c>
      <c r="I5" s="192">
        <v>0.1</v>
      </c>
      <c r="J5" s="237">
        <v>2.9874371956977122</v>
      </c>
      <c r="K5" s="231"/>
      <c r="L5" s="191">
        <v>135</v>
      </c>
      <c r="M5" s="192">
        <v>0.1</v>
      </c>
      <c r="N5" s="192">
        <v>0.1</v>
      </c>
      <c r="O5" s="192">
        <v>71</v>
      </c>
      <c r="P5" s="192">
        <v>3.5819999999999999</v>
      </c>
      <c r="Q5" s="195">
        <v>8.1220000000000001E-2</v>
      </c>
      <c r="S5" s="242">
        <v>36.520000000000003</v>
      </c>
      <c r="T5" s="227">
        <v>10.891276303196285</v>
      </c>
      <c r="U5" s="237">
        <v>25.628723696803718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05" t="s">
        <v>245</v>
      </c>
      <c r="D37" s="606" t="s">
        <v>81</v>
      </c>
      <c r="E37" s="606" t="s">
        <v>147</v>
      </c>
      <c r="F37" s="606" t="s">
        <v>148</v>
      </c>
      <c r="G37" s="607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606"/>
      <c r="Y37" s="606"/>
      <c r="Z37" s="606"/>
      <c r="AA37" s="606"/>
      <c r="AB37" s="606"/>
      <c r="AC37" s="606"/>
      <c r="AD37" s="606"/>
      <c r="AE37" s="606"/>
      <c r="AF37" s="606"/>
      <c r="AG37" s="608"/>
      <c r="AI37" s="230"/>
      <c r="AJ37" s="231"/>
    </row>
    <row r="38" spans="3:36" s="231" customFormat="1" ht="23.1" customHeight="1">
      <c r="C38" s="609" t="s">
        <v>231</v>
      </c>
      <c r="D38" s="610">
        <v>2.6735000000000002</v>
      </c>
      <c r="E38" s="611">
        <v>3.8094999999999999</v>
      </c>
      <c r="F38" s="610">
        <v>2.9204999999999997</v>
      </c>
      <c r="G38" s="610"/>
      <c r="H38" s="610"/>
      <c r="I38" s="604"/>
      <c r="J38" s="604"/>
      <c r="K38" s="604"/>
      <c r="L38" s="604"/>
      <c r="M38" s="604"/>
      <c r="N38" s="604"/>
      <c r="O38" s="604"/>
      <c r="P38" s="604"/>
      <c r="Q38" s="604"/>
      <c r="R38" s="604"/>
      <c r="S38" s="604"/>
      <c r="T38" s="604"/>
      <c r="U38" s="604"/>
      <c r="V38" s="604"/>
      <c r="W38" s="604"/>
      <c r="X38" s="604"/>
      <c r="Y38" s="604"/>
      <c r="Z38" s="604"/>
      <c r="AA38" s="604"/>
      <c r="AB38" s="604"/>
      <c r="AC38" s="604"/>
      <c r="AD38" s="604"/>
      <c r="AE38" s="604"/>
      <c r="AF38" s="604"/>
      <c r="AG38" s="612"/>
    </row>
    <row r="39" spans="3:36" s="231" customFormat="1" ht="23.1" customHeight="1">
      <c r="C39" s="609" t="s">
        <v>222</v>
      </c>
      <c r="D39" s="610">
        <v>3.0380000000000001E-2</v>
      </c>
      <c r="E39" s="611">
        <v>2.026E-2</v>
      </c>
      <c r="F39" s="610">
        <v>4.113E-2</v>
      </c>
      <c r="G39" s="610"/>
      <c r="H39" s="610"/>
      <c r="I39" s="604"/>
      <c r="J39" s="604"/>
      <c r="K39" s="604"/>
      <c r="L39" s="604"/>
      <c r="M39" s="604"/>
      <c r="N39" s="604"/>
      <c r="O39" s="604"/>
      <c r="P39" s="604"/>
      <c r="Q39" s="604"/>
      <c r="R39" s="604"/>
      <c r="S39" s="604"/>
      <c r="T39" s="604"/>
      <c r="U39" s="604"/>
      <c r="V39" s="604"/>
      <c r="W39" s="604"/>
      <c r="X39" s="604"/>
      <c r="Y39" s="604"/>
      <c r="Z39" s="604"/>
      <c r="AA39" s="604"/>
      <c r="AB39" s="604"/>
      <c r="AC39" s="604"/>
      <c r="AD39" s="604"/>
      <c r="AE39" s="604"/>
      <c r="AF39" s="604"/>
      <c r="AG39" s="612"/>
    </row>
    <row r="40" spans="3:36" s="231" customFormat="1" ht="23.1" customHeight="1">
      <c r="C40" s="609" t="s">
        <v>223</v>
      </c>
      <c r="D40" s="613">
        <v>2.0780000000000001E-4</v>
      </c>
      <c r="E40" s="614">
        <v>1.9819999999999999E-4</v>
      </c>
      <c r="F40" s="613">
        <v>1.9809999999999999E-4</v>
      </c>
      <c r="G40" s="613"/>
      <c r="H40" s="613"/>
      <c r="I40" s="604"/>
      <c r="J40" s="604"/>
      <c r="K40" s="604"/>
      <c r="L40" s="604"/>
      <c r="M40" s="604"/>
      <c r="N40" s="604"/>
      <c r="O40" s="604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4"/>
      <c r="AB40" s="604"/>
      <c r="AC40" s="604"/>
      <c r="AD40" s="604"/>
      <c r="AE40" s="604"/>
      <c r="AF40" s="604"/>
      <c r="AG40" s="612"/>
    </row>
    <row r="41" spans="3:36" s="231" customFormat="1" ht="23.1" customHeight="1">
      <c r="C41" s="609" t="s">
        <v>591</v>
      </c>
      <c r="D41" s="610">
        <v>0.41660000000000003</v>
      </c>
      <c r="E41" s="611">
        <v>0.41660000000000003</v>
      </c>
      <c r="F41" s="610">
        <v>0.41660000000000003</v>
      </c>
      <c r="G41" s="610"/>
      <c r="H41" s="610"/>
      <c r="I41" s="604"/>
      <c r="J41" s="604"/>
      <c r="K41" s="604"/>
      <c r="L41" s="604"/>
      <c r="M41" s="604"/>
      <c r="N41" s="604"/>
      <c r="O41" s="604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12"/>
    </row>
    <row r="42" spans="3:36" s="231" customFormat="1" ht="23.1" customHeight="1">
      <c r="C42" s="609" t="s">
        <v>230</v>
      </c>
      <c r="D42" s="615">
        <v>35.049999999999997</v>
      </c>
      <c r="E42" s="616">
        <v>44.26</v>
      </c>
      <c r="F42" s="615">
        <v>27.570000000000004</v>
      </c>
      <c r="G42" s="615"/>
      <c r="H42" s="615"/>
      <c r="I42" s="604"/>
      <c r="J42" s="604"/>
      <c r="K42" s="604"/>
      <c r="L42" s="604"/>
      <c r="M42" s="604"/>
      <c r="N42" s="604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12"/>
    </row>
    <row r="43" spans="3:36" s="231" customFormat="1" ht="23.1" customHeight="1" thickBot="1">
      <c r="C43" s="617" t="s">
        <v>229</v>
      </c>
      <c r="D43" s="618">
        <v>88</v>
      </c>
      <c r="E43" s="619">
        <v>188</v>
      </c>
      <c r="F43" s="618">
        <v>71</v>
      </c>
      <c r="G43" s="618"/>
      <c r="H43" s="618"/>
      <c r="I43" s="620"/>
      <c r="J43" s="620"/>
      <c r="K43" s="620"/>
      <c r="L43" s="620"/>
      <c r="M43" s="620"/>
      <c r="N43" s="620"/>
      <c r="O43" s="620"/>
      <c r="P43" s="620"/>
      <c r="Q43" s="620"/>
      <c r="R43" s="620"/>
      <c r="S43" s="620"/>
      <c r="T43" s="620"/>
      <c r="U43" s="620"/>
      <c r="V43" s="620"/>
      <c r="W43" s="620"/>
      <c r="X43" s="620"/>
      <c r="Y43" s="620"/>
      <c r="Z43" s="620"/>
      <c r="AA43" s="620"/>
      <c r="AB43" s="620"/>
      <c r="AC43" s="620"/>
      <c r="AD43" s="620"/>
      <c r="AE43" s="620"/>
      <c r="AF43" s="620"/>
      <c r="AG43" s="621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820</v>
      </c>
      <c r="I46" s="259"/>
      <c r="J46" s="288"/>
      <c r="K46" s="231"/>
      <c r="L46" s="231"/>
      <c r="M46" s="231"/>
      <c r="N46" s="231"/>
      <c r="P46" s="259" t="s">
        <v>821</v>
      </c>
      <c r="Q46" s="231"/>
      <c r="R46" s="231"/>
    </row>
    <row r="47" spans="3:36" s="231" customFormat="1" ht="33.75" customHeight="1">
      <c r="C47" s="623" t="s">
        <v>259</v>
      </c>
      <c r="D47" s="624" t="s">
        <v>602</v>
      </c>
      <c r="E47" s="624" t="s">
        <v>613</v>
      </c>
      <c r="F47" s="625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727" t="s">
        <v>81</v>
      </c>
      <c r="D48" s="626" t="s">
        <v>822</v>
      </c>
      <c r="E48" s="610">
        <v>2.9740000000000002</v>
      </c>
      <c r="F48" s="627">
        <v>2.0780000000000001E-4</v>
      </c>
      <c r="G48" s="650"/>
      <c r="H48" s="248" t="s">
        <v>219</v>
      </c>
      <c r="I48" s="193">
        <v>113.2</v>
      </c>
      <c r="J48" s="193">
        <v>138.6</v>
      </c>
      <c r="K48" s="193">
        <v>109.8</v>
      </c>
      <c r="L48" s="193">
        <v>120.53333333333333</v>
      </c>
      <c r="M48" s="193">
        <v>138.6</v>
      </c>
      <c r="N48" s="249">
        <v>109.8</v>
      </c>
      <c r="P48" s="252" t="s">
        <v>219</v>
      </c>
      <c r="Q48" s="244">
        <v>-2.9715100386288968</v>
      </c>
      <c r="R48" s="647">
        <v>1.952</v>
      </c>
      <c r="S48" s="622"/>
      <c r="T48" s="622"/>
      <c r="U48" s="622"/>
      <c r="V48" s="622"/>
    </row>
    <row r="49" spans="3:22" ht="20.100000000000001" customHeight="1">
      <c r="C49" s="737"/>
      <c r="D49" s="628" t="s">
        <v>823</v>
      </c>
      <c r="E49" s="610">
        <v>2.3730000000000002</v>
      </c>
      <c r="F49" s="653"/>
      <c r="G49" s="231"/>
      <c r="H49" s="170" t="s">
        <v>786</v>
      </c>
      <c r="I49" s="171">
        <v>106.3</v>
      </c>
      <c r="J49" s="171">
        <v>130.19999999999999</v>
      </c>
      <c r="K49" s="171">
        <v>134.19999999999999</v>
      </c>
      <c r="L49" s="171">
        <v>123.56666666666666</v>
      </c>
      <c r="M49" s="171">
        <v>134.19999999999999</v>
      </c>
      <c r="N49" s="172">
        <v>106.3</v>
      </c>
      <c r="P49" s="173" t="s">
        <v>786</v>
      </c>
      <c r="Q49" s="167">
        <v>-3.0019290899323217</v>
      </c>
      <c r="R49" s="648">
        <v>2.012</v>
      </c>
      <c r="S49" s="622"/>
      <c r="T49" s="622"/>
      <c r="U49" s="622"/>
      <c r="V49" s="622"/>
    </row>
    <row r="50" spans="3:22" ht="20.100000000000001" customHeight="1">
      <c r="C50" s="728"/>
      <c r="D50" s="628" t="s">
        <v>824</v>
      </c>
      <c r="E50" s="630">
        <v>2.6735000000000002</v>
      </c>
      <c r="F50" s="631">
        <v>2.0780000000000001E-4</v>
      </c>
      <c r="G50" s="651"/>
      <c r="H50" s="248" t="s">
        <v>787</v>
      </c>
      <c r="I50" s="193">
        <v>119.6</v>
      </c>
      <c r="J50" s="193">
        <v>146.5</v>
      </c>
      <c r="K50" s="193">
        <v>117.6</v>
      </c>
      <c r="L50" s="193">
        <v>127.89999999999999</v>
      </c>
      <c r="M50" s="193">
        <v>146.5</v>
      </c>
      <c r="N50" s="249">
        <v>117.6</v>
      </c>
      <c r="P50" s="252" t="s">
        <v>787</v>
      </c>
      <c r="Q50" s="244">
        <v>-3.008274786694499</v>
      </c>
      <c r="R50" s="647">
        <v>2.0249999999999999</v>
      </c>
      <c r="S50" s="622"/>
      <c r="T50" s="622"/>
      <c r="U50" s="622"/>
      <c r="V50" s="622"/>
    </row>
    <row r="51" spans="3:22" ht="20.100000000000001" customHeight="1">
      <c r="C51" s="713" t="s">
        <v>147</v>
      </c>
      <c r="D51" s="632" t="s">
        <v>822</v>
      </c>
      <c r="E51" s="611">
        <v>4.21</v>
      </c>
      <c r="F51" s="633">
        <v>1.9819999999999999E-4</v>
      </c>
      <c r="G51" s="650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738"/>
      <c r="D52" s="632" t="s">
        <v>823</v>
      </c>
      <c r="E52" s="611">
        <v>3.4089999999999998</v>
      </c>
      <c r="F52" s="652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725"/>
      <c r="D53" s="632" t="s">
        <v>824</v>
      </c>
      <c r="E53" s="634">
        <v>3.8094999999999999</v>
      </c>
      <c r="F53" s="635">
        <v>1.9819999999999999E-4</v>
      </c>
      <c r="G53" s="651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727" t="s">
        <v>148</v>
      </c>
      <c r="D54" s="628" t="s">
        <v>822</v>
      </c>
      <c r="E54" s="610">
        <v>3.5819999999999999</v>
      </c>
      <c r="F54" s="627">
        <v>1.9809999999999999E-4</v>
      </c>
      <c r="G54" s="650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737"/>
      <c r="D55" s="628" t="s">
        <v>823</v>
      </c>
      <c r="E55" s="610">
        <v>2.2589999999999999</v>
      </c>
      <c r="F55" s="649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728"/>
      <c r="D56" s="628" t="s">
        <v>824</v>
      </c>
      <c r="E56" s="630">
        <v>2.9204999999999997</v>
      </c>
      <c r="F56" s="631">
        <v>1.9809999999999999E-4</v>
      </c>
      <c r="G56" s="651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13"/>
      <c r="D57" s="632"/>
      <c r="E57" s="611"/>
      <c r="F57" s="633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738"/>
      <c r="D58" s="632"/>
      <c r="E58" s="634"/>
      <c r="F58" s="635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725"/>
      <c r="D59" s="632"/>
      <c r="E59" s="634"/>
      <c r="F59" s="635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646"/>
      <c r="D60" s="628"/>
      <c r="E60" s="610"/>
      <c r="F60" s="627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646"/>
      <c r="D61" s="628"/>
      <c r="E61" s="610"/>
      <c r="F61" s="629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646"/>
      <c r="D62" s="628"/>
      <c r="E62" s="630"/>
      <c r="F62" s="631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645"/>
      <c r="D63" s="632"/>
      <c r="E63" s="611"/>
      <c r="F63" s="633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645"/>
      <c r="D64" s="632"/>
      <c r="E64" s="611"/>
      <c r="F64" s="636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645"/>
      <c r="D65" s="632"/>
      <c r="E65" s="634"/>
      <c r="F65" s="635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646"/>
      <c r="D66" s="628"/>
      <c r="E66" s="610"/>
      <c r="F66" s="627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646"/>
      <c r="D67" s="628"/>
      <c r="E67" s="610"/>
      <c r="F67" s="629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646"/>
      <c r="D68" s="628"/>
      <c r="E68" s="630"/>
      <c r="F68" s="631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645"/>
      <c r="D69" s="632"/>
      <c r="E69" s="611"/>
      <c r="F69" s="633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645"/>
      <c r="D70" s="632"/>
      <c r="E70" s="611"/>
      <c r="F70" s="636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645"/>
      <c r="D71" s="632"/>
      <c r="E71" s="634"/>
      <c r="F71" s="635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646"/>
      <c r="D72" s="628"/>
      <c r="E72" s="610"/>
      <c r="F72" s="627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646"/>
      <c r="D73" s="628"/>
      <c r="E73" s="610"/>
      <c r="F73" s="629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646"/>
      <c r="D74" s="628"/>
      <c r="E74" s="630"/>
      <c r="F74" s="631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645"/>
      <c r="D75" s="632"/>
      <c r="E75" s="611"/>
      <c r="F75" s="633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645"/>
      <c r="D76" s="632"/>
      <c r="E76" s="611"/>
      <c r="F76" s="636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645"/>
      <c r="D77" s="632"/>
      <c r="E77" s="634"/>
      <c r="F77" s="635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727"/>
      <c r="D78" s="628"/>
      <c r="E78" s="630"/>
      <c r="F78" s="631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737"/>
      <c r="D79" s="628"/>
      <c r="E79" s="630"/>
      <c r="F79" s="631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728"/>
      <c r="D80" s="628"/>
      <c r="E80" s="630"/>
      <c r="F80" s="631"/>
      <c r="H80" s="248" t="s">
        <v>219</v>
      </c>
      <c r="I80" s="304">
        <v>2.3730000000000002</v>
      </c>
      <c r="J80" s="305">
        <v>2.0780000000000001E-4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13"/>
      <c r="D81" s="632"/>
      <c r="E81" s="634"/>
      <c r="F81" s="635"/>
      <c r="H81" s="170" t="s">
        <v>786</v>
      </c>
      <c r="I81" s="308">
        <v>3.4089999999999998</v>
      </c>
      <c r="J81" s="309">
        <v>1.9819999999999999E-4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738"/>
      <c r="D82" s="632"/>
      <c r="E82" s="634"/>
      <c r="F82" s="635"/>
      <c r="H82" s="248" t="s">
        <v>787</v>
      </c>
      <c r="I82" s="306">
        <v>2.2589999999999999</v>
      </c>
      <c r="J82" s="305">
        <v>1.9809999999999999E-4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25"/>
      <c r="D83" s="632"/>
      <c r="E83" s="634"/>
      <c r="F83" s="635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727"/>
      <c r="D84" s="628"/>
      <c r="E84" s="630"/>
      <c r="F84" s="631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737"/>
      <c r="D85" s="628"/>
      <c r="E85" s="630"/>
      <c r="F85" s="631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728"/>
      <c r="D86" s="628"/>
      <c r="E86" s="630"/>
      <c r="F86" s="631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13"/>
      <c r="D87" s="632"/>
      <c r="E87" s="634"/>
      <c r="F87" s="635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738"/>
      <c r="D88" s="632"/>
      <c r="E88" s="634"/>
      <c r="F88" s="635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25"/>
      <c r="D89" s="632"/>
      <c r="E89" s="634"/>
      <c r="F89" s="635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727"/>
      <c r="D90" s="628"/>
      <c r="E90" s="630"/>
      <c r="F90" s="631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737"/>
      <c r="D91" s="628"/>
      <c r="E91" s="630"/>
      <c r="F91" s="631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728"/>
      <c r="D92" s="628"/>
      <c r="E92" s="630"/>
      <c r="F92" s="631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13"/>
      <c r="D93" s="632"/>
      <c r="E93" s="634"/>
      <c r="F93" s="635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738"/>
      <c r="D94" s="632"/>
      <c r="E94" s="634"/>
      <c r="F94" s="635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725"/>
      <c r="D95" s="632"/>
      <c r="E95" s="634"/>
      <c r="F95" s="635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727"/>
      <c r="D96" s="628"/>
      <c r="E96" s="630"/>
      <c r="F96" s="631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737"/>
      <c r="D97" s="628"/>
      <c r="E97" s="630"/>
      <c r="F97" s="631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728"/>
      <c r="D98" s="628"/>
      <c r="E98" s="630"/>
      <c r="F98" s="631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13"/>
      <c r="D99" s="632"/>
      <c r="E99" s="634"/>
      <c r="F99" s="635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738"/>
      <c r="D100" s="632"/>
      <c r="E100" s="634"/>
      <c r="F100" s="635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725"/>
      <c r="D101" s="632"/>
      <c r="E101" s="634"/>
      <c r="F101" s="635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727"/>
      <c r="D102" s="628"/>
      <c r="E102" s="610"/>
      <c r="F102" s="627"/>
      <c r="H102" s="248"/>
      <c r="I102" s="304"/>
      <c r="J102" s="224"/>
    </row>
    <row r="103" spans="3:18" ht="20.100000000000001" hidden="1" customHeight="1" outlineLevel="1">
      <c r="C103" s="737"/>
      <c r="D103" s="628"/>
      <c r="E103" s="610"/>
      <c r="F103" s="629"/>
      <c r="H103" s="170"/>
      <c r="I103" s="308"/>
      <c r="J103" s="221"/>
    </row>
    <row r="104" spans="3:18" ht="20.100000000000001" hidden="1" customHeight="1" outlineLevel="1">
      <c r="C104" s="728"/>
      <c r="D104" s="628"/>
      <c r="E104" s="630"/>
      <c r="F104" s="631"/>
      <c r="H104" s="248"/>
      <c r="I104" s="304"/>
      <c r="J104" s="224"/>
    </row>
    <row r="105" spans="3:18" ht="20.100000000000001" hidden="1" customHeight="1" outlineLevel="1">
      <c r="C105" s="713"/>
      <c r="D105" s="632"/>
      <c r="E105" s="611"/>
      <c r="F105" s="633"/>
      <c r="H105" s="170"/>
      <c r="I105" s="308"/>
      <c r="J105" s="221"/>
    </row>
    <row r="106" spans="3:18" ht="20.100000000000001" hidden="1" customHeight="1" outlineLevel="1">
      <c r="C106" s="738"/>
      <c r="D106" s="632"/>
      <c r="E106" s="611"/>
      <c r="F106" s="636"/>
      <c r="H106" s="248"/>
      <c r="I106" s="304"/>
      <c r="J106" s="224"/>
    </row>
    <row r="107" spans="3:18" ht="20.100000000000001" hidden="1" customHeight="1" outlineLevel="1">
      <c r="C107" s="725"/>
      <c r="D107" s="632"/>
      <c r="E107" s="634"/>
      <c r="F107" s="635"/>
      <c r="H107" s="170"/>
      <c r="I107" s="308"/>
      <c r="J107" s="221"/>
    </row>
    <row r="108" spans="3:18" ht="20.100000000000001" hidden="1" customHeight="1" outlineLevel="1">
      <c r="C108" s="727"/>
      <c r="D108" s="628"/>
      <c r="E108" s="630"/>
      <c r="F108" s="631"/>
      <c r="H108" s="248"/>
      <c r="I108" s="304"/>
      <c r="J108" s="224"/>
    </row>
    <row r="109" spans="3:18" ht="20.100000000000001" hidden="1" customHeight="1" outlineLevel="1" thickBot="1">
      <c r="C109" s="737"/>
      <c r="D109" s="628"/>
      <c r="E109" s="630"/>
      <c r="F109" s="631"/>
      <c r="H109" s="201"/>
      <c r="I109" s="312"/>
      <c r="J109" s="236"/>
    </row>
    <row r="110" spans="3:18" ht="20.100000000000001" hidden="1" customHeight="1" outlineLevel="1">
      <c r="C110" s="728"/>
      <c r="D110" s="628"/>
      <c r="E110" s="630"/>
      <c r="F110" s="631"/>
      <c r="H110" s="230"/>
    </row>
    <row r="111" spans="3:18" ht="20.100000000000001" hidden="1" customHeight="1" outlineLevel="1">
      <c r="C111" s="713"/>
      <c r="D111" s="632"/>
      <c r="E111" s="634"/>
      <c r="F111" s="635"/>
      <c r="H111" s="230"/>
    </row>
    <row r="112" spans="3:18" ht="20.100000000000001" hidden="1" customHeight="1" outlineLevel="1">
      <c r="C112" s="738"/>
      <c r="D112" s="632"/>
      <c r="E112" s="634"/>
      <c r="F112" s="635"/>
      <c r="H112" s="230"/>
    </row>
    <row r="113" spans="3:8" ht="20.100000000000001" hidden="1" customHeight="1" outlineLevel="1">
      <c r="C113" s="725"/>
      <c r="D113" s="632"/>
      <c r="E113" s="634"/>
      <c r="F113" s="635"/>
      <c r="H113" s="230"/>
    </row>
    <row r="114" spans="3:8" ht="20.100000000000001" hidden="1" customHeight="1" outlineLevel="1">
      <c r="C114" s="727"/>
      <c r="D114" s="628"/>
      <c r="E114" s="630"/>
      <c r="F114" s="631"/>
      <c r="H114" s="230"/>
    </row>
    <row r="115" spans="3:8" ht="20.100000000000001" hidden="1" customHeight="1" outlineLevel="1">
      <c r="C115" s="737"/>
      <c r="D115" s="628"/>
      <c r="E115" s="630"/>
      <c r="F115" s="631"/>
      <c r="H115" s="230"/>
    </row>
    <row r="116" spans="3:8" ht="20.100000000000001" hidden="1" customHeight="1" outlineLevel="1">
      <c r="C116" s="728"/>
      <c r="D116" s="628"/>
      <c r="E116" s="630"/>
      <c r="F116" s="631"/>
      <c r="H116" s="230"/>
    </row>
    <row r="117" spans="3:8" ht="20.100000000000001" hidden="1" customHeight="1" outlineLevel="1">
      <c r="C117" s="713"/>
      <c r="D117" s="632"/>
      <c r="E117" s="634"/>
      <c r="F117" s="635"/>
      <c r="H117" s="230"/>
    </row>
    <row r="118" spans="3:8" ht="20.100000000000001" hidden="1" customHeight="1" outlineLevel="1">
      <c r="C118" s="738"/>
      <c r="D118" s="632"/>
      <c r="E118" s="634"/>
      <c r="F118" s="635"/>
      <c r="H118" s="230"/>
    </row>
    <row r="119" spans="3:8" ht="20.100000000000001" hidden="1" customHeight="1" outlineLevel="1">
      <c r="C119" s="725"/>
      <c r="D119" s="632"/>
      <c r="E119" s="634"/>
      <c r="F119" s="635"/>
      <c r="H119" s="230"/>
    </row>
    <row r="120" spans="3:8" ht="20.100000000000001" hidden="1" customHeight="1" outlineLevel="1">
      <c r="C120" s="727"/>
      <c r="D120" s="628"/>
      <c r="E120" s="630"/>
      <c r="F120" s="631"/>
      <c r="H120" s="230"/>
    </row>
    <row r="121" spans="3:8" ht="20.100000000000001" hidden="1" customHeight="1" outlineLevel="1">
      <c r="C121" s="737"/>
      <c r="D121" s="628"/>
      <c r="E121" s="630"/>
      <c r="F121" s="631"/>
      <c r="H121" s="230"/>
    </row>
    <row r="122" spans="3:8" ht="20.100000000000001" hidden="1" customHeight="1" outlineLevel="1">
      <c r="C122" s="728"/>
      <c r="D122" s="628"/>
      <c r="E122" s="630"/>
      <c r="F122" s="631"/>
      <c r="H122" s="230"/>
    </row>
    <row r="123" spans="3:8" ht="20.100000000000001" hidden="1" customHeight="1" outlineLevel="1">
      <c r="C123" s="713"/>
      <c r="D123" s="632"/>
      <c r="E123" s="634"/>
      <c r="F123" s="635"/>
      <c r="H123" s="230"/>
    </row>
    <row r="124" spans="3:8" ht="20.100000000000001" hidden="1" customHeight="1" outlineLevel="1">
      <c r="C124" s="738"/>
      <c r="D124" s="632"/>
      <c r="E124" s="634"/>
      <c r="F124" s="635"/>
      <c r="H124" s="230"/>
    </row>
    <row r="125" spans="3:8" ht="20.100000000000001" hidden="1" customHeight="1" outlineLevel="1">
      <c r="C125" s="725"/>
      <c r="D125" s="632"/>
      <c r="E125" s="634"/>
      <c r="F125" s="635"/>
      <c r="H125" s="230"/>
    </row>
    <row r="126" spans="3:8" ht="20.25" hidden="1" customHeight="1" outlineLevel="1">
      <c r="C126" s="727"/>
      <c r="D126" s="628"/>
      <c r="E126" s="630"/>
      <c r="F126" s="631"/>
      <c r="H126" s="230"/>
    </row>
    <row r="127" spans="3:8" ht="20.100000000000001" hidden="1" customHeight="1" outlineLevel="1">
      <c r="C127" s="737"/>
      <c r="D127" s="628"/>
      <c r="E127" s="630"/>
      <c r="F127" s="631"/>
      <c r="H127" s="230"/>
    </row>
    <row r="128" spans="3:8" ht="20.100000000000001" hidden="1" customHeight="1" outlineLevel="1">
      <c r="C128" s="728"/>
      <c r="D128" s="628"/>
      <c r="E128" s="630"/>
      <c r="F128" s="631"/>
      <c r="H128" s="230"/>
    </row>
    <row r="129" spans="3:12" ht="20.100000000000001" hidden="1" customHeight="1" outlineLevel="1">
      <c r="C129" s="713"/>
      <c r="D129" s="632"/>
      <c r="E129" s="637"/>
      <c r="F129" s="499"/>
      <c r="H129" s="230"/>
    </row>
    <row r="130" spans="3:12" ht="20.100000000000001" hidden="1" customHeight="1" outlineLevel="1">
      <c r="C130" s="738"/>
      <c r="D130" s="632"/>
      <c r="E130" s="637"/>
      <c r="F130" s="493"/>
    </row>
    <row r="131" spans="3:12" ht="20.100000000000001" hidden="1" customHeight="1" outlineLevel="1">
      <c r="C131" s="725"/>
      <c r="D131" s="632"/>
      <c r="E131" s="638"/>
      <c r="F131" s="639"/>
    </row>
    <row r="132" spans="3:12" ht="20.100000000000001" hidden="1" customHeight="1" outlineLevel="1">
      <c r="C132" s="727"/>
      <c r="D132" s="628"/>
      <c r="E132" s="626"/>
      <c r="F132" s="498"/>
    </row>
    <row r="133" spans="3:12" ht="20.100000000000001" hidden="1" customHeight="1" outlineLevel="1">
      <c r="C133" s="737"/>
      <c r="D133" s="628"/>
      <c r="E133" s="626"/>
      <c r="F133" s="482"/>
    </row>
    <row r="134" spans="3:12" ht="20.100000000000001" hidden="1" customHeight="1" outlineLevel="1">
      <c r="C134" s="728"/>
      <c r="D134" s="628"/>
      <c r="E134" s="640"/>
      <c r="F134" s="641"/>
    </row>
    <row r="135" spans="3:12" ht="20.100000000000001" hidden="1" customHeight="1" outlineLevel="1">
      <c r="C135" s="713"/>
      <c r="D135" s="632"/>
      <c r="E135" s="637"/>
      <c r="F135" s="499"/>
    </row>
    <row r="136" spans="3:12" ht="20.100000000000001" hidden="1" customHeight="1" outlineLevel="1">
      <c r="C136" s="738"/>
      <c r="D136" s="632"/>
      <c r="E136" s="637"/>
      <c r="F136" s="493"/>
    </row>
    <row r="137" spans="3:12" ht="20.100000000000001" hidden="1" customHeight="1" outlineLevel="1" thickBot="1">
      <c r="C137" s="714"/>
      <c r="D137" s="642"/>
      <c r="E137" s="643"/>
      <c r="F137" s="644"/>
    </row>
    <row r="138" spans="3:12" ht="20.100000000000001" customHeight="1" collapsed="1">
      <c r="F138" s="650"/>
    </row>
    <row r="141" spans="3:12" ht="20.100000000000001" customHeight="1">
      <c r="F141" s="650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50"/>
    </row>
    <row r="168" spans="3:12" ht="20.100000000000001" customHeight="1">
      <c r="F168" s="650"/>
    </row>
    <row r="171" spans="3:12" ht="20.100000000000001" customHeight="1">
      <c r="F171" s="650"/>
    </row>
    <row r="174" spans="3:12" ht="20.100000000000001" customHeight="1">
      <c r="F174" s="650"/>
    </row>
    <row r="177" spans="6:6" ht="20.100000000000001" customHeight="1">
      <c r="F177" s="650"/>
    </row>
    <row r="180" spans="6:6" ht="20.100000000000001" customHeight="1">
      <c r="F180" s="650"/>
    </row>
    <row r="183" spans="6:6" ht="20.100000000000001" customHeight="1">
      <c r="F183" s="650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E12" sqref="E12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742" t="s">
        <v>788</v>
      </c>
      <c r="E4" s="504">
        <v>100</v>
      </c>
      <c r="F4" s="504">
        <v>2.6735000000000002</v>
      </c>
      <c r="G4" s="745">
        <v>2.6735000000000002</v>
      </c>
      <c r="H4" s="742">
        <v>0.03</v>
      </c>
      <c r="I4" s="504">
        <v>88</v>
      </c>
      <c r="J4" s="748">
        <v>88</v>
      </c>
      <c r="K4" s="504">
        <v>329</v>
      </c>
      <c r="L4" s="748">
        <v>329</v>
      </c>
      <c r="M4" s="504">
        <v>9.1000000000000004E-3</v>
      </c>
      <c r="N4" s="745">
        <v>3.3999999999999998E-3</v>
      </c>
      <c r="O4" s="739" t="s">
        <v>226</v>
      </c>
    </row>
    <row r="5" spans="1:15" ht="20.100000000000001" customHeight="1">
      <c r="C5" s="503" t="s">
        <v>786</v>
      </c>
      <c r="D5" s="743"/>
      <c r="E5" s="504">
        <v>100</v>
      </c>
      <c r="F5" s="504">
        <v>2.6735000000000002</v>
      </c>
      <c r="G5" s="746"/>
      <c r="H5" s="743"/>
      <c r="I5" s="504">
        <v>88</v>
      </c>
      <c r="J5" s="749"/>
      <c r="K5" s="504">
        <v>329</v>
      </c>
      <c r="L5" s="749"/>
      <c r="M5" s="504">
        <v>5.0000000000000001E-4</v>
      </c>
      <c r="N5" s="746"/>
      <c r="O5" s="740"/>
    </row>
    <row r="6" spans="1:15" ht="20.100000000000001" customHeight="1">
      <c r="A6"/>
      <c r="B6"/>
      <c r="C6" s="503" t="s">
        <v>787</v>
      </c>
      <c r="D6" s="744"/>
      <c r="E6" s="504">
        <v>100</v>
      </c>
      <c r="F6" s="504">
        <v>2.6735000000000002</v>
      </c>
      <c r="G6" s="747"/>
      <c r="H6" s="744"/>
      <c r="I6" s="504">
        <v>88</v>
      </c>
      <c r="J6" s="750"/>
      <c r="K6" s="504">
        <v>329</v>
      </c>
      <c r="L6" s="750"/>
      <c r="M6" s="504">
        <v>5.0000000000000001E-4</v>
      </c>
      <c r="N6" s="747"/>
      <c r="O6" s="741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8" sqref="F18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789</v>
      </c>
      <c r="F45" s="223" t="s">
        <v>790</v>
      </c>
      <c r="G45" s="224" t="s">
        <v>791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789</v>
      </c>
      <c r="N45" s="223" t="s">
        <v>792</v>
      </c>
      <c r="O45" s="224" t="s">
        <v>793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794</v>
      </c>
      <c r="F46" s="220" t="s">
        <v>795</v>
      </c>
      <c r="G46" s="221" t="s">
        <v>791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794</v>
      </c>
      <c r="N46" s="220" t="s">
        <v>796</v>
      </c>
      <c r="O46" s="221" t="s">
        <v>797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798</v>
      </c>
      <c r="F47" s="223" t="s">
        <v>799</v>
      </c>
      <c r="G47" s="224" t="s">
        <v>791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798</v>
      </c>
      <c r="N47" s="223" t="s">
        <v>800</v>
      </c>
      <c r="O47" s="224" t="s">
        <v>801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802</v>
      </c>
      <c r="E79" s="105" t="s">
        <v>802</v>
      </c>
      <c r="F79" s="105" t="s">
        <v>803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804</v>
      </c>
      <c r="E84" s="105" t="s">
        <v>804</v>
      </c>
      <c r="F84" s="105" t="s">
        <v>805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816</v>
      </c>
      <c r="E89" s="105" t="s">
        <v>816</v>
      </c>
      <c r="F89" s="105" t="s">
        <v>816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819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807</v>
      </c>
      <c r="E94" s="105" t="s">
        <v>808</v>
      </c>
      <c r="F94" s="105" t="s">
        <v>809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810</v>
      </c>
      <c r="E99" s="105" t="s">
        <v>811</v>
      </c>
      <c r="F99" s="105" t="s">
        <v>812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817</v>
      </c>
      <c r="E104" s="105" t="s">
        <v>817</v>
      </c>
      <c r="F104" s="105" t="s">
        <v>817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806</v>
      </c>
      <c r="E109" s="105" t="s">
        <v>806</v>
      </c>
      <c r="F109" s="105" t="s">
        <v>806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814</v>
      </c>
      <c r="E114" s="105" t="s">
        <v>815</v>
      </c>
      <c r="F114" s="105" t="s">
        <v>815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813</v>
      </c>
      <c r="E119" s="105" t="s">
        <v>813</v>
      </c>
      <c r="F119" s="105" t="s">
        <v>813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H15" sqref="H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675"/>
      <c r="B1" s="676"/>
      <c r="C1" s="676"/>
      <c r="D1" s="677" t="s">
        <v>847</v>
      </c>
      <c r="E1" s="675"/>
      <c r="F1" s="677"/>
      <c r="G1" s="676"/>
      <c r="H1" s="676"/>
      <c r="I1" s="676"/>
      <c r="J1" s="678"/>
      <c r="K1" s="676"/>
      <c r="L1" s="676"/>
      <c r="M1" s="676"/>
      <c r="N1" s="676"/>
      <c r="O1" s="676"/>
      <c r="P1" s="679"/>
      <c r="Q1" s="676"/>
      <c r="R1" s="676"/>
    </row>
    <row r="2" spans="1:18" s="46" customFormat="1" ht="23.1" customHeight="1">
      <c r="A2" s="776" t="s">
        <v>0</v>
      </c>
      <c r="B2" s="777" t="s">
        <v>39</v>
      </c>
      <c r="C2" s="777" t="s">
        <v>6</v>
      </c>
      <c r="D2" s="777" t="s">
        <v>38</v>
      </c>
      <c r="E2" s="777" t="s">
        <v>194</v>
      </c>
      <c r="F2" s="777" t="s">
        <v>193</v>
      </c>
      <c r="G2" s="778" t="s">
        <v>1</v>
      </c>
      <c r="H2" s="778" t="s">
        <v>2</v>
      </c>
      <c r="I2" s="778" t="s">
        <v>162</v>
      </c>
      <c r="J2" s="779" t="s">
        <v>239</v>
      </c>
      <c r="K2" s="778" t="s">
        <v>238</v>
      </c>
      <c r="L2" s="778" t="s">
        <v>3</v>
      </c>
      <c r="M2" s="778" t="s">
        <v>4</v>
      </c>
      <c r="N2" s="778" t="s">
        <v>5</v>
      </c>
      <c r="O2" s="778" t="s">
        <v>237</v>
      </c>
      <c r="P2" s="780" t="s">
        <v>236</v>
      </c>
      <c r="Q2" s="777" t="s">
        <v>149</v>
      </c>
      <c r="R2" s="781" t="s">
        <v>87</v>
      </c>
    </row>
    <row r="3" spans="1:18" s="46" customFormat="1" ht="27" customHeight="1">
      <c r="A3" s="782"/>
      <c r="B3" s="783"/>
      <c r="C3" s="783"/>
      <c r="D3" s="783"/>
      <c r="E3" s="783"/>
      <c r="F3" s="783"/>
      <c r="G3" s="784"/>
      <c r="H3" s="784"/>
      <c r="I3" s="784"/>
      <c r="J3" s="785"/>
      <c r="K3" s="784"/>
      <c r="L3" s="784"/>
      <c r="M3" s="784"/>
      <c r="N3" s="784"/>
      <c r="O3" s="784"/>
      <c r="P3" s="786"/>
      <c r="Q3" s="783"/>
      <c r="R3" s="787"/>
    </row>
    <row r="4" spans="1:18" ht="23.1" customHeight="1">
      <c r="A4" s="788" t="s">
        <v>852</v>
      </c>
      <c r="B4" s="789" t="str">
        <f>Recharge!$B$32</f>
        <v>(주)동해엔지니어링</v>
      </c>
      <c r="C4" s="790"/>
      <c r="D4" s="791" t="s">
        <v>848</v>
      </c>
      <c r="E4" s="791" t="str">
        <f>Recharge!$I$24</f>
        <v>영산강/영산강상류</v>
      </c>
      <c r="F4" s="791" t="str">
        <f>All!$B$2</f>
        <v>광주기상청</v>
      </c>
      <c r="G4" s="791">
        <v>200</v>
      </c>
      <c r="H4" s="791">
        <v>100</v>
      </c>
      <c r="I4" s="791">
        <v>10</v>
      </c>
      <c r="J4" s="791">
        <v>100</v>
      </c>
      <c r="K4" s="791">
        <v>240</v>
      </c>
      <c r="L4" s="791">
        <v>3</v>
      </c>
      <c r="M4" s="791">
        <v>70</v>
      </c>
      <c r="N4" s="792">
        <v>40</v>
      </c>
      <c r="O4" s="793">
        <f>ROUND(water!$F$7, 1)</f>
        <v>200.2</v>
      </c>
      <c r="P4" s="794">
        <v>3487130.5455</v>
      </c>
      <c r="Q4" s="791"/>
      <c r="R4" s="795"/>
    </row>
    <row r="5" spans="1:18" ht="23.1" customHeight="1">
      <c r="A5" s="788" t="s">
        <v>856</v>
      </c>
      <c r="B5" s="789" t="str">
        <f>Recharge!$B$32</f>
        <v>(주)동해엔지니어링</v>
      </c>
      <c r="C5" s="790"/>
      <c r="D5" s="791" t="s">
        <v>848</v>
      </c>
      <c r="E5" s="791" t="str">
        <f>Recharge!$I$24</f>
        <v>영산강/영산강상류</v>
      </c>
      <c r="F5" s="791" t="str">
        <f>All!$B$2</f>
        <v>광주기상청</v>
      </c>
      <c r="G5" s="791">
        <v>200</v>
      </c>
      <c r="H5" s="791">
        <v>100</v>
      </c>
      <c r="I5" s="791">
        <v>10</v>
      </c>
      <c r="J5" s="791">
        <v>100</v>
      </c>
      <c r="K5" s="791">
        <v>240</v>
      </c>
      <c r="L5" s="791">
        <v>3</v>
      </c>
      <c r="M5" s="791">
        <v>70</v>
      </c>
      <c r="N5" s="792">
        <v>40</v>
      </c>
      <c r="O5" s="793">
        <f>ROUND(water!$F$7, 1)</f>
        <v>200.2</v>
      </c>
      <c r="P5" s="794">
        <v>3487130.5455</v>
      </c>
      <c r="Q5" s="791"/>
      <c r="R5" s="795"/>
    </row>
    <row r="6" spans="1:18" ht="23.1" customHeight="1" thickBot="1">
      <c r="A6" s="796" t="s">
        <v>857</v>
      </c>
      <c r="B6" s="797" t="str">
        <f>Recharge!$B$32</f>
        <v>(주)동해엔지니어링</v>
      </c>
      <c r="C6" s="798"/>
      <c r="D6" s="799" t="s">
        <v>848</v>
      </c>
      <c r="E6" s="799" t="str">
        <f>Recharge!$I$24</f>
        <v>영산강/영산강상류</v>
      </c>
      <c r="F6" s="799" t="str">
        <f>All!$B$2</f>
        <v>광주기상청</v>
      </c>
      <c r="G6" s="799">
        <v>200</v>
      </c>
      <c r="H6" s="799">
        <v>100</v>
      </c>
      <c r="I6" s="799">
        <v>10</v>
      </c>
      <c r="J6" s="799">
        <v>100</v>
      </c>
      <c r="K6" s="799">
        <v>240</v>
      </c>
      <c r="L6" s="799">
        <v>3</v>
      </c>
      <c r="M6" s="799">
        <v>70</v>
      </c>
      <c r="N6" s="800">
        <v>40</v>
      </c>
      <c r="O6" s="801">
        <f>ROUND(water!$F$7, 1)</f>
        <v>200.2</v>
      </c>
      <c r="P6" s="802">
        <v>3487130.5455</v>
      </c>
      <c r="Q6" s="799"/>
      <c r="R6" s="803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30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584" t="s">
        <v>48</v>
      </c>
      <c r="C3" s="763">
        <f>Well!C4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64">
        <f>Well!R4</f>
        <v>0</v>
      </c>
      <c r="D4" s="593" t="s">
        <v>51</v>
      </c>
      <c r="E4" s="594">
        <v>0</v>
      </c>
      <c r="F4" s="594"/>
      <c r="G4" s="595">
        <v>7.918E-2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64">
        <f>Well!Q4</f>
        <v>0</v>
      </c>
      <c r="D5" s="593" t="s">
        <v>53</v>
      </c>
      <c r="E5" s="596">
        <v>2.9740000000000002</v>
      </c>
      <c r="F5" s="597">
        <f>$E$5/$C$14</f>
        <v>3.3795454545454545E-2</v>
      </c>
      <c r="G5" s="598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65" t="str">
        <f>Well!D4</f>
        <v>공주시 우성면 보흥리 425-4</v>
      </c>
      <c r="D6" s="593" t="s">
        <v>56</v>
      </c>
      <c r="E6" s="597">
        <v>2.3730000000000002</v>
      </c>
      <c r="F6" s="597">
        <f>$E$6/$C$14</f>
        <v>2.6965909090909092E-2</v>
      </c>
      <c r="G6" s="599">
        <v>31.28</v>
      </c>
      <c r="H6" s="448">
        <v>1.952</v>
      </c>
      <c r="I6"/>
      <c r="J6" s="687" t="s">
        <v>310</v>
      </c>
      <c r="K6" s="688">
        <v>228</v>
      </c>
      <c r="L6"/>
      <c r="M6"/>
    </row>
    <row r="7" spans="1:13" ht="20.100000000000001" customHeight="1" thickBot="1">
      <c r="B7" s="586" t="s">
        <v>55</v>
      </c>
      <c r="C7" s="766">
        <f>Well!H4</f>
        <v>100</v>
      </c>
      <c r="D7" s="600" t="s">
        <v>58</v>
      </c>
      <c r="E7" s="601">
        <f>ROUND((E5+E6)/2,4)</f>
        <v>2.6735000000000002</v>
      </c>
      <c r="F7" s="602">
        <f>$E$7/$C$14</f>
        <v>3.0380681818181821E-2</v>
      </c>
      <c r="G7" s="603">
        <f>G5</f>
        <v>2.0780000000000001E-4</v>
      </c>
      <c r="I7"/>
      <c r="J7" s="689" t="s">
        <v>311</v>
      </c>
      <c r="K7" s="690">
        <v>0</v>
      </c>
      <c r="L7"/>
      <c r="M7"/>
    </row>
    <row r="8" spans="1:13" ht="20.100000000000001" customHeight="1" thickBot="1">
      <c r="B8" s="586" t="s">
        <v>57</v>
      </c>
      <c r="C8" s="767">
        <f>Well!G4</f>
        <v>200</v>
      </c>
      <c r="D8" s="513">
        <f>C8/2000</f>
        <v>0.1</v>
      </c>
    </row>
    <row r="9" spans="1:13" ht="25.5" customHeight="1" thickBot="1">
      <c r="B9" s="586" t="s">
        <v>59</v>
      </c>
      <c r="C9" s="768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585" t="s">
        <v>60</v>
      </c>
      <c r="C10" s="769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585" t="s">
        <v>62</v>
      </c>
      <c r="C11" s="769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70">
        <f>C7-C9</f>
        <v>88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100</v>
      </c>
      <c r="B13" s="585" t="s">
        <v>65</v>
      </c>
      <c r="C13" s="770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71">
        <f>C7-IF(C20&gt;C9,C20,C9)</f>
        <v>88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67">
        <f>Well!I4</f>
        <v>10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72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585" t="s">
        <v>69</v>
      </c>
      <c r="C17" s="773">
        <f>Well!L4</f>
        <v>3</v>
      </c>
      <c r="E17" s="116">
        <f>Well!P4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585" t="s">
        <v>70</v>
      </c>
      <c r="C18" s="773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585" t="s">
        <v>72</v>
      </c>
      <c r="C19" s="773">
        <f>Well!N4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774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774">
        <v>43.5</v>
      </c>
      <c r="D21" s="5"/>
      <c r="E21" s="117">
        <f>Well!$I$8</f>
        <v>30</v>
      </c>
      <c r="F21" s="118">
        <f>Well!O4</f>
        <v>200.2</v>
      </c>
      <c r="G21" s="70">
        <f>G19-E21-F21</f>
        <v>1083.4843307340814</v>
      </c>
    </row>
    <row r="22" spans="2:12" ht="20.100000000000001" customHeight="1" thickBot="1">
      <c r="B22" s="586" t="s">
        <v>154</v>
      </c>
      <c r="C22" s="775">
        <f>C21-C20</f>
        <v>35.049999999999997</v>
      </c>
      <c r="E22" s="298">
        <f>E21+F21</f>
        <v>230.2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84" t="s">
        <v>559</v>
      </c>
      <c r="C25" s="656"/>
      <c r="D25" s="657" t="s">
        <v>96</v>
      </c>
      <c r="E25" s="657" t="s">
        <v>97</v>
      </c>
      <c r="F25" s="657" t="s">
        <v>89</v>
      </c>
      <c r="G25" s="657" t="s">
        <v>90</v>
      </c>
      <c r="H25" s="657" t="s">
        <v>111</v>
      </c>
      <c r="I25" s="657" t="s">
        <v>91</v>
      </c>
      <c r="J25" s="658" t="s">
        <v>92</v>
      </c>
      <c r="K25" s="659" t="s">
        <v>93</v>
      </c>
    </row>
    <row r="26" spans="2:12" ht="25.5" customHeight="1">
      <c r="B26" s="751" t="s">
        <v>49</v>
      </c>
      <c r="C26" s="660" t="s">
        <v>94</v>
      </c>
      <c r="D26" s="671">
        <f>C20</f>
        <v>8.4499999999999993</v>
      </c>
      <c r="E26" s="672">
        <f>Recharge!C30</f>
        <v>20.102939999999997</v>
      </c>
      <c r="F26" s="661" t="s">
        <v>173</v>
      </c>
      <c r="G26" s="671" t="s">
        <v>341</v>
      </c>
      <c r="H26" s="673">
        <f>L18</f>
        <v>0.90963855421686746</v>
      </c>
      <c r="I26" s="660" t="s">
        <v>173</v>
      </c>
      <c r="J26" s="674">
        <f>((E7/C14)/86400)</f>
        <v>3.5162826178451183E-7</v>
      </c>
      <c r="K26" s="662" t="s">
        <v>628</v>
      </c>
    </row>
    <row r="27" spans="2:12" ht="25.5" customHeight="1">
      <c r="B27" s="751"/>
      <c r="C27" s="663" t="s">
        <v>95</v>
      </c>
      <c r="D27" s="670">
        <v>7</v>
      </c>
      <c r="E27" s="670">
        <v>8</v>
      </c>
      <c r="F27" s="670">
        <v>3</v>
      </c>
      <c r="G27" s="670">
        <v>3</v>
      </c>
      <c r="H27" s="670">
        <v>10</v>
      </c>
      <c r="I27" s="670">
        <v>4</v>
      </c>
      <c r="J27" s="670">
        <v>1</v>
      </c>
      <c r="K27" s="662" t="s">
        <v>581</v>
      </c>
    </row>
    <row r="28" spans="2:12" ht="25.5" customHeight="1">
      <c r="B28" s="751"/>
      <c r="C28" s="664" t="s">
        <v>166</v>
      </c>
      <c r="D28" s="665">
        <v>5</v>
      </c>
      <c r="E28" s="665">
        <v>4</v>
      </c>
      <c r="F28" s="665">
        <v>3</v>
      </c>
      <c r="G28" s="665">
        <v>2</v>
      </c>
      <c r="H28" s="665">
        <v>1</v>
      </c>
      <c r="I28" s="665">
        <v>5</v>
      </c>
      <c r="J28" s="665">
        <v>3</v>
      </c>
      <c r="K28" s="666"/>
    </row>
    <row r="29" spans="2:12" ht="25.5" customHeight="1">
      <c r="B29" s="751"/>
      <c r="C29" s="664" t="s">
        <v>167</v>
      </c>
      <c r="D29" s="665">
        <v>5</v>
      </c>
      <c r="E29" s="665">
        <v>4</v>
      </c>
      <c r="F29" s="665">
        <v>3</v>
      </c>
      <c r="G29" s="665">
        <v>5</v>
      </c>
      <c r="H29" s="665">
        <v>3</v>
      </c>
      <c r="I29" s="665">
        <v>4</v>
      </c>
      <c r="J29" s="665">
        <v>2</v>
      </c>
      <c r="K29" s="666"/>
    </row>
    <row r="30" spans="2:12" ht="25.5" customHeight="1">
      <c r="B30" s="751"/>
      <c r="C30" s="660" t="s">
        <v>168</v>
      </c>
      <c r="D30" s="667">
        <f>D27*D28</f>
        <v>35</v>
      </c>
      <c r="E30" s="667">
        <f t="shared" ref="E30:J30" si="0">E27*E28</f>
        <v>32</v>
      </c>
      <c r="F30" s="667">
        <f t="shared" si="0"/>
        <v>9</v>
      </c>
      <c r="G30" s="667">
        <f t="shared" si="0"/>
        <v>6</v>
      </c>
      <c r="H30" s="667">
        <f t="shared" si="0"/>
        <v>10</v>
      </c>
      <c r="I30" s="667">
        <f t="shared" si="0"/>
        <v>20</v>
      </c>
      <c r="J30" s="667">
        <f t="shared" si="0"/>
        <v>3</v>
      </c>
      <c r="K30" s="685">
        <f>SUM(D30:J30)</f>
        <v>115</v>
      </c>
    </row>
    <row r="31" spans="2:12" ht="25.5" customHeight="1" thickBot="1">
      <c r="B31" s="752"/>
      <c r="C31" s="668" t="s">
        <v>169</v>
      </c>
      <c r="D31" s="669">
        <f t="shared" ref="D31:J31" si="1">D27*D29</f>
        <v>35</v>
      </c>
      <c r="E31" s="669">
        <f t="shared" si="1"/>
        <v>32</v>
      </c>
      <c r="F31" s="669">
        <f t="shared" si="1"/>
        <v>9</v>
      </c>
      <c r="G31" s="669">
        <f t="shared" si="1"/>
        <v>15</v>
      </c>
      <c r="H31" s="669">
        <f t="shared" si="1"/>
        <v>30</v>
      </c>
      <c r="I31" s="669">
        <f t="shared" si="1"/>
        <v>16</v>
      </c>
      <c r="J31" s="669">
        <f t="shared" si="1"/>
        <v>2</v>
      </c>
      <c r="K31" s="686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F1C7-C1D0-4DC3-A13E-3668FFB6AFC9}">
  <sheetPr codeName="Sheet_W2">
    <tabColor rgb="FFC00000"/>
  </sheetPr>
  <dimension ref="A1:M41"/>
  <sheetViews>
    <sheetView workbookViewId="0">
      <selection activeCell="K15" sqref="K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854</v>
      </c>
      <c r="J2"/>
      <c r="K2"/>
      <c r="L2"/>
      <c r="M2"/>
    </row>
    <row r="3" spans="1:13" ht="20.100000000000001" customHeight="1">
      <c r="B3" s="584" t="s">
        <v>6</v>
      </c>
      <c r="C3" s="763">
        <f>Well!C5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64">
        <f>Well!R5</f>
        <v>0</v>
      </c>
      <c r="D4" s="593" t="s">
        <v>51</v>
      </c>
      <c r="E4" s="594">
        <v>0</v>
      </c>
      <c r="F4" s="594"/>
      <c r="G4" s="595">
        <v>7.918E-2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64">
        <f>Well!Q5</f>
        <v>0</v>
      </c>
      <c r="D5" s="593" t="s">
        <v>53</v>
      </c>
      <c r="E5" s="596">
        <v>2.9740000000000002</v>
      </c>
      <c r="F5" s="597">
        <f>$E$5/$C$14</f>
        <v>3.3795454545454545E-2</v>
      </c>
      <c r="G5" s="598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65" t="str">
        <f>Well!D5</f>
        <v>공주시 우성면 보흥리 425-4</v>
      </c>
      <c r="D6" s="593" t="s">
        <v>56</v>
      </c>
      <c r="E6" s="597">
        <v>2.3730000000000002</v>
      </c>
      <c r="F6" s="597">
        <f>$E$6/$C$14</f>
        <v>2.6965909090909092E-2</v>
      </c>
      <c r="G6" s="599">
        <v>31.28</v>
      </c>
      <c r="H6" s="448">
        <v>1.952</v>
      </c>
      <c r="I6"/>
      <c r="J6" s="687" t="s">
        <v>310</v>
      </c>
      <c r="K6" s="688">
        <v>228</v>
      </c>
      <c r="L6"/>
      <c r="M6"/>
    </row>
    <row r="7" spans="1:13" ht="20.100000000000001" customHeight="1" thickBot="1">
      <c r="B7" s="586" t="s">
        <v>55</v>
      </c>
      <c r="C7" s="766">
        <f>Well!H5</f>
        <v>100</v>
      </c>
      <c r="D7" s="600" t="s">
        <v>58</v>
      </c>
      <c r="E7" s="601">
        <f>ROUND((E5+E6)/2,4)</f>
        <v>2.6735000000000002</v>
      </c>
      <c r="F7" s="602">
        <f>$E$7/$C$14</f>
        <v>3.0380681818181821E-2</v>
      </c>
      <c r="G7" s="603">
        <f>G5</f>
        <v>2.0780000000000001E-4</v>
      </c>
      <c r="I7"/>
      <c r="J7" s="689" t="s">
        <v>311</v>
      </c>
      <c r="K7" s="690">
        <v>0</v>
      </c>
      <c r="L7"/>
      <c r="M7"/>
    </row>
    <row r="8" spans="1:13" ht="20.100000000000001" customHeight="1" thickBot="1">
      <c r="B8" s="586" t="s">
        <v>57</v>
      </c>
      <c r="C8" s="767">
        <f>Well!G5</f>
        <v>200</v>
      </c>
      <c r="D8" s="513">
        <f>C8/2000</f>
        <v>0.1</v>
      </c>
    </row>
    <row r="9" spans="1:13" ht="25.5" customHeight="1" thickBot="1">
      <c r="B9" s="586" t="s">
        <v>59</v>
      </c>
      <c r="C9" s="768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585" t="s">
        <v>60</v>
      </c>
      <c r="C10" s="769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585" t="s">
        <v>62</v>
      </c>
      <c r="C11" s="769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70">
        <f>C7-C9</f>
        <v>88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100</v>
      </c>
      <c r="B13" s="585" t="s">
        <v>65</v>
      </c>
      <c r="C13" s="770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71">
        <f>C7-IF(C20&gt;C9,C20,C9)</f>
        <v>88</v>
      </c>
      <c r="F14" s="450"/>
      <c r="G14" s="449">
        <f>max</f>
        <v>1405.8</v>
      </c>
      <c r="H14" s="7"/>
      <c r="J14" s="128" t="s">
        <v>103</v>
      </c>
      <c r="K14" s="134">
        <v>10</v>
      </c>
      <c r="L14" s="131"/>
    </row>
    <row r="15" spans="1:13" ht="20.100000000000001" customHeight="1" thickBot="1">
      <c r="B15" s="586" t="s">
        <v>67</v>
      </c>
      <c r="C15" s="767">
        <f>Well!I5</f>
        <v>10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72">
        <f>Well!J5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1.5500000000000007</v>
      </c>
      <c r="L16" s="131"/>
    </row>
    <row r="17" spans="2:12" ht="20.100000000000001" customHeight="1" thickBot="1">
      <c r="B17" s="585" t="s">
        <v>69</v>
      </c>
      <c r="C17" s="773">
        <f>Well!L5</f>
        <v>3</v>
      </c>
      <c r="E17" s="116">
        <f>Well!P5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-0.44999999999999929</v>
      </c>
      <c r="L17" s="131"/>
    </row>
    <row r="18" spans="2:12" ht="20.100000000000001" customHeight="1" thickBot="1">
      <c r="B18" s="585" t="s">
        <v>70</v>
      </c>
      <c r="C18" s="773">
        <f>Well!M5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-5.4216867469879433E-4</v>
      </c>
      <c r="L18" s="133">
        <f>K18*100</f>
        <v>-5.4216867469879436E-2</v>
      </c>
    </row>
    <row r="19" spans="2:12" ht="20.100000000000001" customHeight="1" thickBot="1">
      <c r="B19" s="585" t="s">
        <v>72</v>
      </c>
      <c r="C19" s="773">
        <f>Well!N5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774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774">
        <v>43.5</v>
      </c>
      <c r="D21" s="5"/>
      <c r="E21" s="117">
        <f>Well!$I$8</f>
        <v>30</v>
      </c>
      <c r="F21" s="118">
        <f>Well!O5</f>
        <v>200.2</v>
      </c>
      <c r="G21" s="70">
        <f>G19-E21-F21</f>
        <v>1083.4843307340814</v>
      </c>
    </row>
    <row r="22" spans="2:12" ht="20.100000000000001" customHeight="1" thickBot="1">
      <c r="B22" s="586" t="s">
        <v>154</v>
      </c>
      <c r="C22" s="775">
        <f>C21-C20</f>
        <v>35.049999999999997</v>
      </c>
      <c r="E22" s="298">
        <f>E21+F21</f>
        <v>230.2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84" t="s">
        <v>559</v>
      </c>
      <c r="C25" s="656"/>
      <c r="D25" s="657" t="s">
        <v>96</v>
      </c>
      <c r="E25" s="657" t="s">
        <v>97</v>
      </c>
      <c r="F25" s="657" t="s">
        <v>89</v>
      </c>
      <c r="G25" s="657" t="s">
        <v>90</v>
      </c>
      <c r="H25" s="657" t="s">
        <v>111</v>
      </c>
      <c r="I25" s="657" t="s">
        <v>91</v>
      </c>
      <c r="J25" s="658" t="s">
        <v>92</v>
      </c>
      <c r="K25" s="659" t="s">
        <v>93</v>
      </c>
    </row>
    <row r="26" spans="2:12" ht="25.5" customHeight="1">
      <c r="B26" s="751" t="s">
        <v>858</v>
      </c>
      <c r="C26" s="660" t="s">
        <v>94</v>
      </c>
      <c r="D26" s="671">
        <f>C20</f>
        <v>8.4499999999999993</v>
      </c>
      <c r="E26" s="672">
        <f>Recharge!C30</f>
        <v>20.102939999999997</v>
      </c>
      <c r="F26" s="661" t="s">
        <v>173</v>
      </c>
      <c r="G26" s="671" t="s">
        <v>341</v>
      </c>
      <c r="H26" s="673">
        <f>L18</f>
        <v>-5.4216867469879436E-2</v>
      </c>
      <c r="I26" s="660" t="s">
        <v>173</v>
      </c>
      <c r="J26" s="674">
        <f>((E7/C14)/86400)</f>
        <v>3.5162826178451183E-7</v>
      </c>
      <c r="K26" s="662" t="s">
        <v>628</v>
      </c>
    </row>
    <row r="27" spans="2:12" ht="25.5" customHeight="1">
      <c r="B27" s="751"/>
      <c r="C27" s="663" t="s">
        <v>95</v>
      </c>
      <c r="D27" s="670">
        <v>7</v>
      </c>
      <c r="E27" s="670">
        <v>8</v>
      </c>
      <c r="F27" s="670">
        <v>3</v>
      </c>
      <c r="G27" s="670">
        <v>3</v>
      </c>
      <c r="H27" s="670">
        <v>10</v>
      </c>
      <c r="I27" s="670">
        <v>4</v>
      </c>
      <c r="J27" s="670">
        <v>1</v>
      </c>
      <c r="K27" s="662" t="s">
        <v>581</v>
      </c>
    </row>
    <row r="28" spans="2:12" ht="25.5" customHeight="1">
      <c r="B28" s="751"/>
      <c r="C28" s="664" t="s">
        <v>166</v>
      </c>
      <c r="D28" s="665">
        <v>5</v>
      </c>
      <c r="E28" s="665">
        <v>4</v>
      </c>
      <c r="F28" s="665">
        <v>3</v>
      </c>
      <c r="G28" s="665">
        <v>2</v>
      </c>
      <c r="H28" s="665">
        <v>1</v>
      </c>
      <c r="I28" s="665">
        <v>5</v>
      </c>
      <c r="J28" s="665">
        <v>3</v>
      </c>
      <c r="K28" s="666"/>
    </row>
    <row r="29" spans="2:12" ht="25.5" customHeight="1">
      <c r="B29" s="751"/>
      <c r="C29" s="664" t="s">
        <v>167</v>
      </c>
      <c r="D29" s="665">
        <v>5</v>
      </c>
      <c r="E29" s="665">
        <v>4</v>
      </c>
      <c r="F29" s="665">
        <v>3</v>
      </c>
      <c r="G29" s="665">
        <v>5</v>
      </c>
      <c r="H29" s="665">
        <v>3</v>
      </c>
      <c r="I29" s="665">
        <v>4</v>
      </c>
      <c r="J29" s="665">
        <v>2</v>
      </c>
      <c r="K29" s="666"/>
    </row>
    <row r="30" spans="2:12" ht="25.5" customHeight="1">
      <c r="B30" s="751"/>
      <c r="C30" s="660" t="s">
        <v>168</v>
      </c>
      <c r="D30" s="667">
        <f>D27*D28</f>
        <v>35</v>
      </c>
      <c r="E30" s="667">
        <f t="shared" ref="E30:J30" si="0">E27*E28</f>
        <v>32</v>
      </c>
      <c r="F30" s="667">
        <f t="shared" si="0"/>
        <v>9</v>
      </c>
      <c r="G30" s="667">
        <f t="shared" si="0"/>
        <v>6</v>
      </c>
      <c r="H30" s="667">
        <f t="shared" si="0"/>
        <v>10</v>
      </c>
      <c r="I30" s="667">
        <f t="shared" si="0"/>
        <v>20</v>
      </c>
      <c r="J30" s="667">
        <f t="shared" si="0"/>
        <v>3</v>
      </c>
      <c r="K30" s="685">
        <f>SUM(D30:J30)</f>
        <v>115</v>
      </c>
    </row>
    <row r="31" spans="2:12" ht="25.5" customHeight="1" thickBot="1">
      <c r="B31" s="752"/>
      <c r="C31" s="668" t="s">
        <v>169</v>
      </c>
      <c r="D31" s="669">
        <f t="shared" ref="D31:J31" si="1">D27*D29</f>
        <v>35</v>
      </c>
      <c r="E31" s="669">
        <f t="shared" si="1"/>
        <v>32</v>
      </c>
      <c r="F31" s="669">
        <f t="shared" si="1"/>
        <v>9</v>
      </c>
      <c r="G31" s="669">
        <f t="shared" si="1"/>
        <v>15</v>
      </c>
      <c r="H31" s="669">
        <f t="shared" si="1"/>
        <v>30</v>
      </c>
      <c r="I31" s="669">
        <f t="shared" si="1"/>
        <v>16</v>
      </c>
      <c r="J31" s="669">
        <f t="shared" si="1"/>
        <v>2</v>
      </c>
      <c r="K31" s="686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3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3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10D45E3-C3F9-47F1-9E9B-30ABBAE5B6FC}">
          <x14:formula1>
            <xm:f>drastic!$G$4:$G$14</xm:f>
          </x14:formula1>
          <xm:sqref>I26</xm:sqref>
        </x14:dataValidation>
        <x14:dataValidation type="list" allowBlank="1" showInputMessage="1" showErrorMessage="1" xr:uid="{7DB1121F-3112-4F34-A922-E5212E1B75B0}">
          <x14:formula1>
            <xm:f>drastic!$D$4:$D$14</xm:f>
          </x14:formula1>
          <xm:sqref>G26</xm:sqref>
        </x14:dataValidation>
        <x14:dataValidation type="list" allowBlank="1" showInputMessage="1" showErrorMessage="1" xr:uid="{9664F794-E80E-4E82-9547-6DCC034CD711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CB601-5ED8-44E5-AFF5-E9EBCDA92507}">
  <sheetPr codeName="Sheet_W3">
    <tabColor rgb="FFC00000"/>
  </sheetPr>
  <dimension ref="A1:M41"/>
  <sheetViews>
    <sheetView workbookViewId="0">
      <selection activeCell="K15" sqref="K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855</v>
      </c>
      <c r="J2"/>
      <c r="K2"/>
      <c r="L2"/>
      <c r="M2"/>
    </row>
    <row r="3" spans="1:13" ht="20.100000000000001" customHeight="1">
      <c r="B3" s="584" t="s">
        <v>6</v>
      </c>
      <c r="C3" s="763">
        <f>Well!C6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64">
        <f>Well!R6</f>
        <v>0</v>
      </c>
      <c r="D4" s="593" t="s">
        <v>51</v>
      </c>
      <c r="E4" s="594">
        <v>0</v>
      </c>
      <c r="F4" s="594"/>
      <c r="G4" s="595">
        <v>7.918E-2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64">
        <f>Well!Q6</f>
        <v>0</v>
      </c>
      <c r="D5" s="593" t="s">
        <v>53</v>
      </c>
      <c r="E5" s="596">
        <v>2.9740000000000002</v>
      </c>
      <c r="F5" s="597">
        <f>$E$5/$C$14</f>
        <v>3.3795454545454545E-2</v>
      </c>
      <c r="G5" s="598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65" t="str">
        <f>Well!D6</f>
        <v>공주시 우성면 보흥리 425-4</v>
      </c>
      <c r="D6" s="593" t="s">
        <v>56</v>
      </c>
      <c r="E6" s="597">
        <v>2.3730000000000002</v>
      </c>
      <c r="F6" s="597">
        <f>$E$6/$C$14</f>
        <v>2.6965909090909092E-2</v>
      </c>
      <c r="G6" s="599">
        <v>31.28</v>
      </c>
      <c r="H6" s="448">
        <v>1.952</v>
      </c>
      <c r="I6"/>
      <c r="J6" s="687" t="s">
        <v>310</v>
      </c>
      <c r="K6" s="688">
        <v>228</v>
      </c>
      <c r="L6"/>
      <c r="M6"/>
    </row>
    <row r="7" spans="1:13" ht="20.100000000000001" customHeight="1" thickBot="1">
      <c r="B7" s="586" t="s">
        <v>55</v>
      </c>
      <c r="C7" s="766">
        <f>Well!H6</f>
        <v>100</v>
      </c>
      <c r="D7" s="600" t="s">
        <v>58</v>
      </c>
      <c r="E7" s="601">
        <f>ROUND((E5+E6)/2,4)</f>
        <v>2.6735000000000002</v>
      </c>
      <c r="F7" s="602">
        <f>$E$7/$C$14</f>
        <v>3.0380681818181821E-2</v>
      </c>
      <c r="G7" s="603">
        <f>G5</f>
        <v>2.0780000000000001E-4</v>
      </c>
      <c r="I7"/>
      <c r="J7" s="689" t="s">
        <v>311</v>
      </c>
      <c r="K7" s="690">
        <v>0</v>
      </c>
      <c r="L7"/>
      <c r="M7"/>
    </row>
    <row r="8" spans="1:13" ht="20.100000000000001" customHeight="1" thickBot="1">
      <c r="B8" s="586" t="s">
        <v>57</v>
      </c>
      <c r="C8" s="767">
        <f>Well!G6</f>
        <v>200</v>
      </c>
      <c r="D8" s="513">
        <f>C8/2000</f>
        <v>0.1</v>
      </c>
    </row>
    <row r="9" spans="1:13" ht="25.5" customHeight="1" thickBot="1">
      <c r="B9" s="586" t="s">
        <v>59</v>
      </c>
      <c r="C9" s="768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585" t="s">
        <v>60</v>
      </c>
      <c r="C10" s="769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585" t="s">
        <v>62</v>
      </c>
      <c r="C11" s="769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70">
        <f>C7-C9</f>
        <v>88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100</v>
      </c>
      <c r="B13" s="585" t="s">
        <v>65</v>
      </c>
      <c r="C13" s="770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71">
        <f>C7-IF(C20&gt;C9,C20,C9)</f>
        <v>88</v>
      </c>
      <c r="F14" s="450"/>
      <c r="G14" s="449">
        <f>max</f>
        <v>1405.8</v>
      </c>
      <c r="H14" s="7"/>
      <c r="J14" s="128" t="s">
        <v>103</v>
      </c>
      <c r="K14" s="134">
        <v>10</v>
      </c>
      <c r="L14" s="131"/>
    </row>
    <row r="15" spans="1:13" ht="20.100000000000001" customHeight="1" thickBot="1">
      <c r="B15" s="586" t="s">
        <v>67</v>
      </c>
      <c r="C15" s="767">
        <f>Well!I6</f>
        <v>10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72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1.5500000000000007</v>
      </c>
      <c r="L16" s="131"/>
    </row>
    <row r="17" spans="2:12" ht="20.100000000000001" customHeight="1" thickBot="1">
      <c r="B17" s="585" t="s">
        <v>69</v>
      </c>
      <c r="C17" s="773">
        <f>Well!L6</f>
        <v>3</v>
      </c>
      <c r="E17" s="116">
        <f>Well!P6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-0.44999999999999929</v>
      </c>
      <c r="L17" s="131"/>
    </row>
    <row r="18" spans="2:12" ht="20.100000000000001" customHeight="1" thickBot="1">
      <c r="B18" s="585" t="s">
        <v>70</v>
      </c>
      <c r="C18" s="773">
        <f>Well!M6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-5.4216867469879433E-4</v>
      </c>
      <c r="L18" s="133">
        <f>K18*100</f>
        <v>-5.4216867469879436E-2</v>
      </c>
    </row>
    <row r="19" spans="2:12" ht="20.100000000000001" customHeight="1" thickBot="1">
      <c r="B19" s="585" t="s">
        <v>72</v>
      </c>
      <c r="C19" s="773">
        <f>Well!N6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774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774">
        <v>43.5</v>
      </c>
      <c r="D21" s="5"/>
      <c r="E21" s="117">
        <f>Well!$I$8</f>
        <v>30</v>
      </c>
      <c r="F21" s="118">
        <f>Well!O6</f>
        <v>200.2</v>
      </c>
      <c r="G21" s="70">
        <f>G19-E21-F21</f>
        <v>1083.4843307340814</v>
      </c>
    </row>
    <row r="22" spans="2:12" ht="20.100000000000001" customHeight="1" thickBot="1">
      <c r="B22" s="586" t="s">
        <v>154</v>
      </c>
      <c r="C22" s="775">
        <f>C21-C20</f>
        <v>35.049999999999997</v>
      </c>
      <c r="E22" s="298">
        <f>E21+F21</f>
        <v>230.2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84" t="s">
        <v>559</v>
      </c>
      <c r="C25" s="656"/>
      <c r="D25" s="657" t="s">
        <v>96</v>
      </c>
      <c r="E25" s="657" t="s">
        <v>97</v>
      </c>
      <c r="F25" s="657" t="s">
        <v>89</v>
      </c>
      <c r="G25" s="657" t="s">
        <v>90</v>
      </c>
      <c r="H25" s="657" t="s">
        <v>111</v>
      </c>
      <c r="I25" s="657" t="s">
        <v>91</v>
      </c>
      <c r="J25" s="658" t="s">
        <v>92</v>
      </c>
      <c r="K25" s="659" t="s">
        <v>93</v>
      </c>
    </row>
    <row r="26" spans="2:12" ht="25.5" customHeight="1">
      <c r="B26" s="751" t="s">
        <v>859</v>
      </c>
      <c r="C26" s="660" t="s">
        <v>94</v>
      </c>
      <c r="D26" s="671">
        <f>C20</f>
        <v>8.4499999999999993</v>
      </c>
      <c r="E26" s="672">
        <f>Recharge!C30</f>
        <v>20.102939999999997</v>
      </c>
      <c r="F26" s="661" t="s">
        <v>173</v>
      </c>
      <c r="G26" s="671" t="s">
        <v>341</v>
      </c>
      <c r="H26" s="673">
        <f>L18</f>
        <v>-5.4216867469879436E-2</v>
      </c>
      <c r="I26" s="660" t="s">
        <v>173</v>
      </c>
      <c r="J26" s="674">
        <f>((E7/C14)/86400)</f>
        <v>3.5162826178451183E-7</v>
      </c>
      <c r="K26" s="662" t="s">
        <v>628</v>
      </c>
    </row>
    <row r="27" spans="2:12" ht="25.5" customHeight="1">
      <c r="B27" s="751"/>
      <c r="C27" s="663" t="s">
        <v>95</v>
      </c>
      <c r="D27" s="670">
        <v>7</v>
      </c>
      <c r="E27" s="670">
        <v>8</v>
      </c>
      <c r="F27" s="670">
        <v>3</v>
      </c>
      <c r="G27" s="670">
        <v>3</v>
      </c>
      <c r="H27" s="670">
        <v>10</v>
      </c>
      <c r="I27" s="670">
        <v>4</v>
      </c>
      <c r="J27" s="670">
        <v>1</v>
      </c>
      <c r="K27" s="662" t="s">
        <v>581</v>
      </c>
    </row>
    <row r="28" spans="2:12" ht="25.5" customHeight="1">
      <c r="B28" s="751"/>
      <c r="C28" s="664" t="s">
        <v>166</v>
      </c>
      <c r="D28" s="665">
        <v>5</v>
      </c>
      <c r="E28" s="665">
        <v>4</v>
      </c>
      <c r="F28" s="665">
        <v>3</v>
      </c>
      <c r="G28" s="665">
        <v>2</v>
      </c>
      <c r="H28" s="665">
        <v>1</v>
      </c>
      <c r="I28" s="665">
        <v>5</v>
      </c>
      <c r="J28" s="665">
        <v>3</v>
      </c>
      <c r="K28" s="666"/>
    </row>
    <row r="29" spans="2:12" ht="25.5" customHeight="1">
      <c r="B29" s="751"/>
      <c r="C29" s="664" t="s">
        <v>167</v>
      </c>
      <c r="D29" s="665">
        <v>5</v>
      </c>
      <c r="E29" s="665">
        <v>4</v>
      </c>
      <c r="F29" s="665">
        <v>3</v>
      </c>
      <c r="G29" s="665">
        <v>5</v>
      </c>
      <c r="H29" s="665">
        <v>3</v>
      </c>
      <c r="I29" s="665">
        <v>4</v>
      </c>
      <c r="J29" s="665">
        <v>2</v>
      </c>
      <c r="K29" s="666"/>
    </row>
    <row r="30" spans="2:12" ht="25.5" customHeight="1">
      <c r="B30" s="751"/>
      <c r="C30" s="660" t="s">
        <v>168</v>
      </c>
      <c r="D30" s="667">
        <f>D27*D28</f>
        <v>35</v>
      </c>
      <c r="E30" s="667">
        <f t="shared" ref="E30:J30" si="0">E27*E28</f>
        <v>32</v>
      </c>
      <c r="F30" s="667">
        <f t="shared" si="0"/>
        <v>9</v>
      </c>
      <c r="G30" s="667">
        <f t="shared" si="0"/>
        <v>6</v>
      </c>
      <c r="H30" s="667">
        <f t="shared" si="0"/>
        <v>10</v>
      </c>
      <c r="I30" s="667">
        <f t="shared" si="0"/>
        <v>20</v>
      </c>
      <c r="J30" s="667">
        <f t="shared" si="0"/>
        <v>3</v>
      </c>
      <c r="K30" s="685">
        <f>SUM(D30:J30)</f>
        <v>115</v>
      </c>
    </row>
    <row r="31" spans="2:12" ht="25.5" customHeight="1" thickBot="1">
      <c r="B31" s="752"/>
      <c r="C31" s="668" t="s">
        <v>169</v>
      </c>
      <c r="D31" s="669">
        <f t="shared" ref="D31:J31" si="1">D27*D29</f>
        <v>35</v>
      </c>
      <c r="E31" s="669">
        <f t="shared" si="1"/>
        <v>32</v>
      </c>
      <c r="F31" s="669">
        <f t="shared" si="1"/>
        <v>9</v>
      </c>
      <c r="G31" s="669">
        <f t="shared" si="1"/>
        <v>15</v>
      </c>
      <c r="H31" s="669">
        <f t="shared" si="1"/>
        <v>30</v>
      </c>
      <c r="I31" s="669">
        <f t="shared" si="1"/>
        <v>16</v>
      </c>
      <c r="J31" s="669">
        <f t="shared" si="1"/>
        <v>2</v>
      </c>
      <c r="K31" s="686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22B217-46D2-4659-B8EB-FF26F7A8A0D3}">
          <x14:formula1>
            <xm:f>drastic!$A$4:$A$13</xm:f>
          </x14:formula1>
          <xm:sqref>F26</xm:sqref>
        </x14:dataValidation>
        <x14:dataValidation type="list" allowBlank="1" showInputMessage="1" showErrorMessage="1" xr:uid="{B9FF5338-48DC-420D-935C-4A0218714F9A}">
          <x14:formula1>
            <xm:f>drastic!$D$4:$D$14</xm:f>
          </x14:formula1>
          <xm:sqref>G26</xm:sqref>
        </x14:dataValidation>
        <x14:dataValidation type="list" allowBlank="1" showInputMessage="1" showErrorMessage="1" xr:uid="{8E97F2CE-3E5F-473B-8D5C-DA29A460F0C5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55" t="s">
        <v>80</v>
      </c>
      <c r="C12" s="756"/>
      <c r="D12" s="756" t="s">
        <v>81</v>
      </c>
      <c r="E12" s="756"/>
      <c r="F12" s="757"/>
      <c r="H12" s="755" t="s">
        <v>81</v>
      </c>
      <c r="I12" s="756"/>
      <c r="J12" s="757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758" t="s">
        <v>36</v>
      </c>
      <c r="C24" s="759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758" t="s">
        <v>37</v>
      </c>
      <c r="C25" s="759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753" t="s">
        <v>86</v>
      </c>
      <c r="C26" s="754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55" t="s">
        <v>80</v>
      </c>
      <c r="C12" s="756"/>
      <c r="D12" s="756" t="s">
        <v>81</v>
      </c>
      <c r="E12" s="756"/>
      <c r="F12" s="756"/>
      <c r="G12" s="756" t="s">
        <v>147</v>
      </c>
      <c r="H12" s="756"/>
      <c r="I12" s="757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758" t="s">
        <v>36</v>
      </c>
      <c r="C24" s="759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758" t="s">
        <v>37</v>
      </c>
      <c r="C25" s="759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753" t="s">
        <v>86</v>
      </c>
      <c r="C26" s="754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60" t="s">
        <v>81</v>
      </c>
      <c r="E29" s="761"/>
      <c r="F29" s="762"/>
      <c r="H29" s="760" t="s">
        <v>147</v>
      </c>
      <c r="I29" s="761"/>
      <c r="J29" s="762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55" t="s">
        <v>80</v>
      </c>
      <c r="C12" s="756"/>
      <c r="D12" s="756" t="s">
        <v>81</v>
      </c>
      <c r="E12" s="756"/>
      <c r="F12" s="756"/>
      <c r="G12" s="756" t="s">
        <v>147</v>
      </c>
      <c r="H12" s="756"/>
      <c r="I12" s="756"/>
      <c r="J12" s="756" t="s">
        <v>148</v>
      </c>
      <c r="K12" s="756"/>
      <c r="L12" s="757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758" t="s">
        <v>36</v>
      </c>
      <c r="C24" s="759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758" t="s">
        <v>37</v>
      </c>
      <c r="C25" s="759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753" t="s">
        <v>86</v>
      </c>
      <c r="C26" s="754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60" t="s">
        <v>81</v>
      </c>
      <c r="E29" s="761"/>
      <c r="F29" s="762"/>
      <c r="H29" s="760" t="s">
        <v>147</v>
      </c>
      <c r="I29" s="761"/>
      <c r="J29" s="762"/>
      <c r="L29" s="760" t="s">
        <v>148</v>
      </c>
      <c r="M29" s="761"/>
      <c r="N29" s="762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2025-03-10T06:37:21Z</dcterms:modified>
</cp:coreProperties>
</file>