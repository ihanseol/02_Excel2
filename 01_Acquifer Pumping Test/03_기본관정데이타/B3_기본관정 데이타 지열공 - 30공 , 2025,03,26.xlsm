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comments9.xml" ContentType="application/vnd.openxmlformats-officedocument.spreadsheetml.comments+xml"/>
  <Override PartName="/xl/drawings/drawing16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comments10.xml" ContentType="application/vnd.openxmlformats-officedocument.spreadsheetml.comments+xml"/>
  <Override PartName="/xl/drawings/drawing17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8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19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9E3E8063-EBA0-4158-9067-6F3EF14F6B54}" xr6:coauthVersionLast="47" xr6:coauthVersionMax="47" xr10:uidLastSave="{00000000-0000-0000-0000-000000000000}"/>
  <bookViews>
    <workbookView xWindow="8550" yWindow="1470" windowWidth="29355" windowHeight="19710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22" r:id="rId18"/>
    <sheet name="3" sheetId="223" r:id="rId19"/>
    <sheet name="Q1" sheetId="100" r:id="rId20"/>
    <sheet name="Q2" sheetId="117" r:id="rId21"/>
    <sheet name="Q3" sheetId="115" r:id="rId22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" i="223" l="1"/>
  <c r="E17" i="223"/>
  <c r="C19" i="223"/>
  <c r="C18" i="223"/>
  <c r="C17" i="223"/>
  <c r="C16" i="223"/>
  <c r="C15" i="223"/>
  <c r="C8" i="223"/>
  <c r="C7" i="223"/>
  <c r="C6" i="223"/>
  <c r="C5" i="223"/>
  <c r="C4" i="223"/>
  <c r="C3" i="223"/>
  <c r="C2" i="223"/>
  <c r="F21" i="222"/>
  <c r="E17" i="222"/>
  <c r="C19" i="222"/>
  <c r="C18" i="222"/>
  <c r="C17" i="222"/>
  <c r="C16" i="222"/>
  <c r="C15" i="222"/>
  <c r="C8" i="222"/>
  <c r="D8" i="222" s="1"/>
  <c r="C7" i="222"/>
  <c r="C6" i="222"/>
  <c r="C5" i="222"/>
  <c r="C4" i="222"/>
  <c r="C3" i="222"/>
  <c r="C2" i="222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D8" i="223"/>
  <c r="J31" i="223"/>
  <c r="I31" i="223"/>
  <c r="H31" i="223"/>
  <c r="G31" i="223"/>
  <c r="F31" i="223"/>
  <c r="E31" i="223"/>
  <c r="D31" i="223"/>
  <c r="J30" i="223"/>
  <c r="I30" i="223"/>
  <c r="H30" i="223"/>
  <c r="G30" i="223"/>
  <c r="F30" i="223"/>
  <c r="E30" i="223"/>
  <c r="D30" i="223"/>
  <c r="D26" i="223"/>
  <c r="C22" i="223"/>
  <c r="E19" i="223"/>
  <c r="K16" i="223"/>
  <c r="K17" i="223" s="1"/>
  <c r="K18" i="223" s="1"/>
  <c r="L18" i="223" s="1"/>
  <c r="H26" i="223" s="1"/>
  <c r="E13" i="223"/>
  <c r="D13" i="223"/>
  <c r="L12" i="223"/>
  <c r="H11" i="223"/>
  <c r="F11" i="223"/>
  <c r="E11" i="223"/>
  <c r="H10" i="223"/>
  <c r="H9" i="223"/>
  <c r="C9" i="223"/>
  <c r="G7" i="223"/>
  <c r="E7" i="223"/>
  <c r="E2" i="223"/>
  <c r="O6" i="52"/>
  <c r="F6" i="52"/>
  <c r="E6" i="52"/>
  <c r="B6" i="52"/>
  <c r="J31" i="222"/>
  <c r="I31" i="222"/>
  <c r="H31" i="222"/>
  <c r="G31" i="222"/>
  <c r="F31" i="222"/>
  <c r="E31" i="222"/>
  <c r="D31" i="222"/>
  <c r="J30" i="222"/>
  <c r="I30" i="222"/>
  <c r="H30" i="222"/>
  <c r="G30" i="222"/>
  <c r="F30" i="222"/>
  <c r="E30" i="222"/>
  <c r="D30" i="222"/>
  <c r="D26" i="222"/>
  <c r="C22" i="222"/>
  <c r="K16" i="222"/>
  <c r="K17" i="222" s="1"/>
  <c r="K18" i="222" s="1"/>
  <c r="L18" i="222" s="1"/>
  <c r="H26" i="222" s="1"/>
  <c r="E13" i="222"/>
  <c r="D13" i="222"/>
  <c r="L12" i="222"/>
  <c r="H11" i="222"/>
  <c r="F11" i="222"/>
  <c r="E11" i="222"/>
  <c r="H10" i="222"/>
  <c r="H9" i="222"/>
  <c r="C9" i="222"/>
  <c r="G7" i="222"/>
  <c r="E7" i="222"/>
  <c r="E2" i="222"/>
  <c r="O5" i="52"/>
  <c r="F5" i="52"/>
  <c r="E5" i="52"/>
  <c r="B5" i="52"/>
  <c r="B4" i="52"/>
  <c r="O4" i="52"/>
  <c r="F4" i="52"/>
  <c r="E4" i="52"/>
  <c r="K30" i="223" l="1"/>
  <c r="K31" i="223"/>
  <c r="C14" i="222"/>
  <c r="F7" i="222" s="1"/>
  <c r="K30" i="222"/>
  <c r="K31" i="222"/>
  <c r="C12" i="223"/>
  <c r="A13" i="223" s="1"/>
  <c r="A12" i="223" s="1"/>
  <c r="F2" i="223"/>
  <c r="C14" i="223"/>
  <c r="F7" i="223" s="1"/>
  <c r="F2" i="222"/>
  <c r="C12" i="222"/>
  <c r="A13" i="222" s="1"/>
  <c r="A12" i="222" s="1"/>
  <c r="J26" i="223"/>
  <c r="E19" i="222"/>
  <c r="F6" i="222"/>
  <c r="F5" i="222"/>
  <c r="J26" i="222"/>
  <c r="E2" i="55"/>
  <c r="F6" i="223" l="1"/>
  <c r="F5" i="223"/>
  <c r="E13" i="55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55" s="1"/>
  <c r="E21" i="222" l="1"/>
  <c r="E21" i="223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22" l="1"/>
  <c r="E22" i="223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23" l="1"/>
  <c r="G13" i="222"/>
  <c r="F13" i="223"/>
  <c r="F13" i="222"/>
  <c r="G13" i="55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F17" i="223" l="1"/>
  <c r="G17" i="223" s="1"/>
  <c r="G14" i="223"/>
  <c r="G14" i="222"/>
  <c r="F19" i="223"/>
  <c r="G19" i="223" s="1"/>
  <c r="F17" i="222"/>
  <c r="G17" i="222" s="1"/>
  <c r="F19" i="222"/>
  <c r="G19" i="222" s="1"/>
  <c r="F17" i="55"/>
  <c r="G17" i="55" s="1"/>
  <c r="F19" i="55"/>
  <c r="G19" i="55" s="1"/>
  <c r="E30" i="23"/>
  <c r="G14" i="55"/>
  <c r="D30" i="23"/>
  <c r="C30" i="23"/>
  <c r="H19" i="222" l="1"/>
  <c r="G21" i="222"/>
  <c r="H19" i="223"/>
  <c r="G21" i="223"/>
  <c r="E26" i="222"/>
  <c r="E26" i="223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E343DF4F-5681-4FFE-AB25-AE555EC7A0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27DE9005-9287-43C9-8738-BD2C8184B5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FD2FC55A-38D2-43F5-9F10-3BB0D6A56D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899626D6-6F0F-4D51-BC74-AAD14E41FE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B302D86B-FAA3-411F-B99F-08EEC7A14D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8EE76BCB-9B97-4771-82A6-467D8A16E9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9E70B469-7CB9-489D-BFB0-DF95AC578F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DB6FBACD-F951-406E-95B7-C0D146EC01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5563441-63C7-4102-A229-3E5CBA6378B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33168FED-877A-492F-A826-6FA03ABC84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460B6BE1-6392-4B06-92D6-71B5B24256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710DC4D-AA35-4F59-81C2-A5FDF46887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9EE14CA8-34E2-4F22-8EC8-ACA07E9A51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10459D91-AF8B-4F3C-B90B-410E3EA5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19D9C3C1-9081-4C25-B799-2B99F4443A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EA20054-5996-4825-BB94-B45224C263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4A6B9980-926A-43E3-8390-CFECA3AAAC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0B53090C-2F2D-48DB-A3C4-9378A2D49B9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14836B6-B272-4164-ADF3-86B6F76F1D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C6658A5-11DC-466B-B7DC-64D84B0198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651A1BEF-E0E7-41DF-A642-F91C25A729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3B1F65B8-D502-419C-B74C-4E667BABAE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B3F457C-E9CA-44B1-B5F6-604AE8D1C27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AD918C4-6F5F-40DA-8619-CBD88D5D723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294BFCD2-8B60-4C12-A362-A29AB9B4B1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BA312C73-B0FC-4A30-BA36-75E324400A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3AC107F-0CE3-4AA1-975F-B2D71E517E8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A00E9651-49B4-451C-AC6F-761E48C56E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16C8E06-68F6-4C33-AB32-16D4760851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227C8AE1-7CC4-47AE-8A74-4287D8F615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E146906-9C67-4067-9C78-CE4C87645F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5A458C3-A45B-47B7-B3F6-947DF6D3FEC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473D27FB-2E16-4D07-A24D-6FB0846271B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B4732D1-C60E-4FEF-8987-F06E62FF926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79894683-B45B-4A31-A36D-CBCE118C62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76D2FC86-AC40-412C-B703-290F438EE8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BDB703DF-E781-4079-8E75-7DF6729E05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E83A571F-41ED-4818-82D1-3D46A41D1B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775CE944-DD8A-448C-B8B5-F170ACD01D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C8EE601A-CFF5-4FB5-9E24-482EDA6289B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22E10318-7E99-4B14-B2FB-9B028A30FF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62D8F6DA-D8EB-4153-BB9A-F8D16FEB8B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C76A14C9-8FCB-42F6-88F6-38091F1A52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5B80964B-84FB-40B6-8A86-6C1DA6D2C1B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5D7B7E64-9D32-43DC-823F-502D8333BD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5D5C52E1-20C8-4F0D-B5E9-2673A442A56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E60000F8-81BA-4FBD-BC71-99A2AC73A4D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1040F41-2AC8-4AAE-B0C2-4045FB5F66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BB90CDF-CC81-4563-9F0A-2B5DB8C92D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5F3B13B9-8E19-481A-A467-88DBCA295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948A2E3-8285-4C4D-BC85-C64C8D85DCF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85718C13-8E4E-485D-AE95-AF9FA9F2989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9DBCBE41-07CD-4F38-B570-BBBC651E4A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FD1F68B5-AEEB-4D92-B31B-A548B05BC0D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DD999A5-4C48-4FC8-B082-F89D41AD80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25EEBFB-228C-4EDE-AC5E-0B5DB152415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EC34F6F-034E-44EC-B713-F77C4FA077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C3645CD-3C59-4873-97F7-3BEC5F52B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73F5C40-0ADC-4B8F-9F19-07274AC1558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73276C1-CA26-4188-A046-9627C91AC3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B3AD267C-C54F-4EA9-8188-3F2D8A8A79C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2E1CB7A-62D3-4F9B-970E-1001C9EC240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DFDA7CA-828A-4B26-8B46-4236C1E9E4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35073C48-DA4E-4D66-B4D9-D584ABA4F6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<sst xmlns="http://schemas.openxmlformats.org/spreadsheetml/2006/main" count="1428" uniqueCount="870">
  <si>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</si>
  <si>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</si>
  <si>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</si>
  <si>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</si>
  <si>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</si>
  <si>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</si>
  <si>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</si>
  <si>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</si>
  <si>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</si>
  <si>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</si>
  <si>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</si>
  <si>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</si>
  <si>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</si>
  <si>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</si>
  <si>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</si>
  <si>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</si>
  <si>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</si>
  <si>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</si>
  <si>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</si>
  <si>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</si>
  <si>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</si>
  <si>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</si>
  <si>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</si>
  <si>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</si>
  <si>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</si>
  <si>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</si>
  <si>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</si>
  <si>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</si>
  <si>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</si>
  <si>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</si>
  <si>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</si>
  <si>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</si>
  <si>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</si>
  <si>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</si>
  <si>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</si>
  <si>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</si>
  <si>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</si>
  <si>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</si>
  <si>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</si>
  <si>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</si>
  <si>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</si>
  <si>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</si>
  <si>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</si>
  <si>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</si>
  <si>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</si>
  <si>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</si>
  <si>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</si>
  <si>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</si>
  <si>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</si>
  <si>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</si>
  <si>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</si>
  <si>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</si>
  <si>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</si>
  <si>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</si>
  <si>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</si>
  <si>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</si>
  <si>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</si>
  <si>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</si>
  <si>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</si>
  <si>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</si>
  <si>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</si>
  <si>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</si>
  <si>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</si>
  <si>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</si>
  <si>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</si>
  <si>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</si>
  <si>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</si>
  <si>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</si>
  <si>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</si>
  <si>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</si>
  <si>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</si>
  <si>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</si>
  <si>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</si>
  <si>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</si>
  <si>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</si>
  <si>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</si>
  <si>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</si>
  <si>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</si>
  <si>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</si>
  <si>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</si>
  <si>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</si>
  <si>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</si>
  <si>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</si>
  <si>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</si>
  <si>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</si>
  <si>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</si>
  <si>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</si>
  <si>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</si>
  <si>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</si>
  <si>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</si>
  <si>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</si>
  <si>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</si>
  <si>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</si>
  <si>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</si>
  <si>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</si>
  <si>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</si>
  <si>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</si>
  <si>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</si>
  <si>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</si>
  <si>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</si>
  <si>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</si>
  <si>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</si>
  <si>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</si>
  <si>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</si>
  <si>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</si>
  <si>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</si>
  <si>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</si>
  <si>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</si>
  <si>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</si>
  <si>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</si>
  <si>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</si>
  <si>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</si>
  <si>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</si>
  <si>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</si>
  <si>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</si>
  <si>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</si>
  <si>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</si>
  <si>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</si>
  <si>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</si>
  <si>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</si>
  <si>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</si>
  <si>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</si>
  <si>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</si>
  <si>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</si>
  <si>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</si>
  <si>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</si>
  <si>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</si>
  <si>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</si>
  <si>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</si>
  <si>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</si>
  <si>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</si>
  <si>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</si>
  <si>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</si>
  <si>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</si>
  <si>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</si>
  <si>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</si>
  <si>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</si>
  <si>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</si>
  <si>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</si>
  <si>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</si>
  <si>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</si>
  <si>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</si>
  <si>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</si>
  <si>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</si>
  <si>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</si>
  <si>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</si>
  <si>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</si>
  <si>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</si>
  <si>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</si>
  <si>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</si>
  <si>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</si>
  <si>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</si>
  <si>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</si>
  <si>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</si>
  <si>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</si>
  <si>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</si>
  <si>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</si>
  <si>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</si>
  <si>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</si>
  <si>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</si>
  <si>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</si>
  <si>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</si>
  <si>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</si>
  <si>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</si>
  <si>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</si>
  <si>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</si>
  <si>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</si>
  <si>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</si>
  <si>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</si>
  <si>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</si>
  <si>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</si>
  <si>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</si>
  <si>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</si>
  <si>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</si>
  <si>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</si>
  <si>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</si>
  <si>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</si>
  <si>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</si>
  <si>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</si>
  <si>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</si>
  <si>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</si>
  <si>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</si>
  <si>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</si>
  <si>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</si>
  <si>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</si>
  <si>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</si>
  <si>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</si>
  <si>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</si>
  <si>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</si>
  <si>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</si>
  <si>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</si>
  <si>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</si>
  <si>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</si>
  <si>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</si>
  <si>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</si>
  <si>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</si>
  <si>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</si>
  <si>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</si>
  <si>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</si>
  <si>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</si>
  <si>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</si>
  <si>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</si>
  <si>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</si>
  <si>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</si>
  <si>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</si>
  <si>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</si>
  <si>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</si>
  <si>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</si>
  <si>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</si>
  <si>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</si>
  <si>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</si>
  <si>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</si>
  <si>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</si>
  <si>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</si>
  <si>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</si>
  <si>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</si>
  <si>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</si>
  <si>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</si>
  <si>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</si>
  <si>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</si>
  <si>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</si>
  <si>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</si>
  <si>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</si>
  <si>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</si>
  <si>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</si>
  <si>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</si>
  <si>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</si>
  <si>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</si>
  <si>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</si>
  <si>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</si>
  <si>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</si>
  <si>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</si>
  <si>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</si>
  <si>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</si>
  <si>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</si>
  <si>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</si>
  <si>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</si>
  <si>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</si>
  <si>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</si>
  <si>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</si>
  <si>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</si>
  <si>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</si>
  <si>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</si>
  <si>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</si>
  <si>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</si>
  <si>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</si>
  <si>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</si>
  <si>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</si>
  <si>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</si>
  <si>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</si>
  <si>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</si>
  <si>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</si>
  <si>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</si>
  <si>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</si>
  <si>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</si>
  <si>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</si>
  <si>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</si>
  <si>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</si>
  <si>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</si>
  <si>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</si>
  <si>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</si>
  <si>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</si>
  <si>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</si>
  <si>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</si>
  <si>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</si>
  <si>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</si>
  <si>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</si>
  <si>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</si>
  <si>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</si>
  <si>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</si>
  <si>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</si>
  <si>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</si>
  <si>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</si>
  <si>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</si>
  <si>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</si>
  <si>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</si>
  <si>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</si>
  <si>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</si>
  <si>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</si>
  <si>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</si>
  <si>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</si>
  <si>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</si>
  <si>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</si>
  <si>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</si>
  <si>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</si>
  <si>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</si>
  <si>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</si>
  <si>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</si>
  <si>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</si>
  <si>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</si>
  <si>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</si>
  <si>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</si>
  <si>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</si>
  <si>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</si>
  <si>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</si>
  <si>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</si>
  <si>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</si>
  <si>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</si>
  <si>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</si>
  <si>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</si>
  <si>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</si>
  <si>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</si>
  <si>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</si>
  <si>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</si>
  <si>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</si>
  <si>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</si>
  <si>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</si>
  <si>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</si>
  <si>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</si>
  <si>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</si>
  <si>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</si>
  <si>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</si>
  <si>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</si>
  <si>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</si>
  <si>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</si>
  <si>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</si>
  <si>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</si>
  <si>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</si>
  <si>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</si>
  <si>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</si>
  <si>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</si>
  <si>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</si>
  <si>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</si>
  <si>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</si>
  <si>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</si>
  <si>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</si>
  <si>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</si>
  <si>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</si>
  <si>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</si>
  <si>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</si>
  <si>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</si>
  <si>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</si>
  <si>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</si>
  <si>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</si>
  <si>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</si>
  <si>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</si>
  <si>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</si>
  <si>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</si>
  <si>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</si>
  <si>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</si>
  <si>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</si>
  <si>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</si>
  <si>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</si>
  <si>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</si>
  <si>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</si>
  <si>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</si>
  <si>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</si>
  <si>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</si>
  <si>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</si>
  <si>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</si>
  <si>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</si>
  <si>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</si>
  <si>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</si>
  <si>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</si>
  <si>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</si>
  <si>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</si>
  <si>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</si>
  <si>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</si>
  <si>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</si>
  <si>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</si>
  <si>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</si>
  <si>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</si>
  <si>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</si>
  <si>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</si>
  <si>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</si>
  <si>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</si>
  <si>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</si>
  <si>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</si>
  <si>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</si>
  <si>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</si>
  <si>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</si>
  <si>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</si>
  <si>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</si>
  <si>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</si>
  <si>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</si>
  <si>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</si>
  <si>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</si>
  <si>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</si>
  <si>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</si>
  <si>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</si>
  <si>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</si>
  <si>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</si>
  <si>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</si>
  <si>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</si>
  <si>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</si>
  <si>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</si>
  <si>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</si>
  <si>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</si>
  <si>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</si>
  <si>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</si>
  <si>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</si>
  <si>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</si>
  <si>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</si>
  <si>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</si>
  <si>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</si>
  <si>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</si>
  <si>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</si>
  <si>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</si>
  <si>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</si>
  <si>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</si>
  <si>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</si>
  <si>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</si>
  <si>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</si>
  <si>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</si>
  <si>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</si>
  <si>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</si>
  <si>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</si>
  <si>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</si>
  <si>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</si>
  <si>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</si>
  <si>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</si>
  <si>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</si>
  <si>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</si>
  <si>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</si>
  <si>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</si>
  <si>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</si>
  <si>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</si>
  <si>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</si>
  <si>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</si>
  <si>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</si>
  <si>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</si>
  <si>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</si>
  <si>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</si>
  <si>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</si>
  <si>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</si>
  <si>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</si>
  <si>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</si>
  <si>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</si>
  <si>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</si>
  <si>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</si>
  <si>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</si>
  <si>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</si>
  <si>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</si>
  <si>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</si>
  <si>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</si>
  <si>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</si>
  <si>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</si>
  <si>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</si>
  <si>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</si>
  <si>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</si>
  <si>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</si>
  <si>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</si>
  <si>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</si>
  <si>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</si>
  <si>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</si>
  <si>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</si>
  <si>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</si>
  <si>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</si>
  <si>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</si>
  <si>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</si>
  <si>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</si>
  <si>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</si>
  <si>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</si>
  <si>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</si>
  <si>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</si>
  <si>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</si>
  <si>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</si>
  <si>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</si>
  <si>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</si>
  <si>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</si>
  <si>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</si>
  <si>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</si>
  <si>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</si>
  <si>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</si>
  <si>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</si>
  <si>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</si>
  <si>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</si>
  <si>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</si>
  <si>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</si>
  <si>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</si>
  <si>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</si>
  <si>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</si>
  <si>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</si>
  <si>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</si>
  <si>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</si>
  <si>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</si>
  <si>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</si>
  <si>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</si>
  <si>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</si>
  <si>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</si>
  <si>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</si>
  <si>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</si>
  <si>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</si>
  <si>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</si>
  <si>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</si>
  <si>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</si>
  <si>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</si>
  <si>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</si>
  <si>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</si>
  <si>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</si>
  <si>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</si>
  <si>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</si>
  <si>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</si>
  <si>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</si>
  <si>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</si>
  <si>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</si>
  <si>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</si>
  <si>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</si>
  <si>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</si>
  <si>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</si>
  <si>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</si>
  <si>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</si>
  <si>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</si>
  <si>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</si>
  <si>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</si>
  <si>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</si>
  <si>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</si>
  <si>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</si>
  <si>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</si>
  <si>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</si>
  <si>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</si>
  <si>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</si>
  <si>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</si>
  <si>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</si>
  <si>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</si>
  <si>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</si>
  <si>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</si>
  <si>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</si>
  <si>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</si>
  <si>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</si>
  <si>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</si>
  <si>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</si>
  <si>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</si>
  <si>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</si>
  <si>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</si>
  <si>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</si>
  <si>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</si>
  <si>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</si>
  <si>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</si>
  <si>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</si>
  <si>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</si>
  <si>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</si>
  <si>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</si>
  <si>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</si>
  <si>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</si>
  <si>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</si>
  <si>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</si>
  <si>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</si>
  <si>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</si>
  <si>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</si>
  <si>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</si>
  <si>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</si>
  <si>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</si>
  <si>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</si>
  <si>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</si>
  <si>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</si>
  <si>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</si>
  <si>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</si>
  <si>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</si>
  <si>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</si>
  <si>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</si>
  <si>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</si>
  <si>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</si>
  <si>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</si>
  <si>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</si>
  <si>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</si>
  <si>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</si>
  <si>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</si>
  <si>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</si>
  <si>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</si>
  <si>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</si>
  <si>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</si>
  <si>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</si>
  <si>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</si>
  <si>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</si>
  <si>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</si>
  <si>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</si>
  <si>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</si>
  <si>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</si>
  <si>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</si>
  <si>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</si>
  <si>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</si>
  <si>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</si>
  <si>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</si>
  <si>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</si>
  <si>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</si>
  <si>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</si>
  <si>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</si>
  <si>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</si>
  <si>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</si>
  <si>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</si>
  <si>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</si>
  <si>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</si>
  <si>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</si>
  <si>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</si>
  <si>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</si>
  <si>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</si>
  <si>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</si>
  <si>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</si>
  <si>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</si>
  <si>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</si>
  <si>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</si>
  <si>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</si>
  <si>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</si>
  <si>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</si>
  <si>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</si>
  <si>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</si>
  <si>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</si>
  <si>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</si>
  <si>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</si>
  <si>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</si>
  <si>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</si>
  <si>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</si>
  <si>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</si>
  <si>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</si>
  <si>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</si>
  <si>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</si>
  <si>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</si>
  <si>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</si>
  <si>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</si>
  <si>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</si>
  <si>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</si>
  <si>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</si>
  <si>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</si>
  <si>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</si>
  <si>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</si>
  <si>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</si>
  <si>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</si>
  <si>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</si>
  <si>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</si>
  <si>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</si>
  <si>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</si>
  <si>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</si>
  <si>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</si>
  <si>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</si>
  <si>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</si>
  <si>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</si>
  <si>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</si>
  <si>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</si>
  <si>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</si>
  <si>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</si>
  <si>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</si>
  <si>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</si>
  <si>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</si>
  <si>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</si>
  <si>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</si>
  <si>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</si>
  <si>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</si>
  <si>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</si>
  <si>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</si>
  <si>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</si>
  <si>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</si>
  <si>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</si>
  <si>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</si>
  <si>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</si>
  <si>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</si>
  <si>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</si>
  <si>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</si>
  <si>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</si>
  <si>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</si>
  <si>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</si>
  <si>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</si>
  <si>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</si>
  <si>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</si>
  <si>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</si>
  <si>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</si>
  <si>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</si>
  <si>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</si>
  <si>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</si>
  <si>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</si>
  <si>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</si>
  <si>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</si>
  <si>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</si>
  <si>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</si>
  <si>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</si>
  <si>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</si>
  <si>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</si>
  <si>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</si>
  <si>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</si>
  <si>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</si>
  <si>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</si>
  <si>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</si>
  <si>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</si>
  <si>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</si>
  <si>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</si>
  <si>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</si>
  <si>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</si>
  <si>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</si>
  <si>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</si>
  <si>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</si>
  <si>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</si>
  <si>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</si>
  <si>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</si>
  <si>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</si>
  <si>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</si>
  <si>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</si>
  <si>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</si>
  <si>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</si>
  <si>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</si>
  <si>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</si>
  <si>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</si>
  <si>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</si>
  <si>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</si>
  <si>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</si>
  <si>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</si>
  <si>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</si>
  <si>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</si>
  <si>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</si>
  <si>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</si>
  <si>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</si>
  <si>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</si>
  <si>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</si>
  <si>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</si>
  <si>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</si>
  <si>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</si>
  <si>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</si>
  <si>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</si>
  <si>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</si>
  <si>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</si>
  <si>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</si>
  <si>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</si>
  <si>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</si>
  <si>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</si>
  <si>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</si>
  <si>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</si>
  <si>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</si>
  <si>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</si>
  <si>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</si>
  <si>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</si>
  <si>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</si>
  <si>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</si>
  <si>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</si>
  <si>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</si>
  <si>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</si>
  <si>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</si>
  <si>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</si>
  <si>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</si>
  <si>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</si>
  <si>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</si>
  <si>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</si>
  <si>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</si>
  <si>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</si>
  <si>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</si>
  <si>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</si>
  <si>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</si>
  <si>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</si>
  <si>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</si>
  <si>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</si>
  <si>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</si>
  <si>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</si>
  <si>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</si>
  <si>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</si>
  <si>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</si>
  <si>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</si>
  <si>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</si>
  <si>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</si>
  <si>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</si>
  <si>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</si>
  <si>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</si>
  <si>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</si>
  <si>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</si>
  <si>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</si>
  <si>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</si>
  <si>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</si>
  <si>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</si>
  <si>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</si>
  <si>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</si>
  <si>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</si>
  <si>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</si>
  <si>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</si>
  <si>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</si>
  <si>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</si>
  <si>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</si>
  <si>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</si>
  <si>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</si>
  <si>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</si>
  <si>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</si>
  <si>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</si>
  <si>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</si>
  <si>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</si>
  <si>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</si>
  <si>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</si>
  <si>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</si>
  <si>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</si>
  <si>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</si>
  <si>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</si>
  <si>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</si>
  <si>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</si>
  <si>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</si>
  <si>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</si>
  <si>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</si>
  <si>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</si>
  <si>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</si>
  <si>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</si>
  <si>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</si>
  <si>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</si>
  <si>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W-2</t>
  </si>
  <si>
    <t>W-3</t>
  </si>
  <si>
    <t>5년</t>
    <phoneticPr fontId="7" type="noConversion"/>
  </si>
  <si>
    <t>228 m</t>
  </si>
  <si>
    <t>0 m</t>
  </si>
  <si>
    <t>5 Hp</t>
  </si>
  <si>
    <t>40 mm</t>
  </si>
  <si>
    <t>70 m</t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</si>
  <si>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</si>
  <si>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</si>
  <si>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</si>
  <si>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</si>
  <si>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</si>
  <si>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</si>
  <si>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</si>
  <si>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</si>
  <si>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</si>
  <si>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</si>
  <si>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영산강/영산강상류</t>
    <phoneticPr fontId="7" type="noConversion"/>
  </si>
  <si>
    <t>W1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</si>
  <si>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</si>
  <si>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</si>
  <si>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</si>
  <si>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</si>
  <si>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W-2</t>
    <phoneticPr fontId="14" type="noConversion"/>
  </si>
  <si>
    <t>W-3</t>
    <phoneticPr fontId="14" type="noConversion"/>
  </si>
  <si>
    <t>W-4</t>
  </si>
  <si>
    <t>W-4</t>
    <phoneticPr fontId="7" type="noConversion"/>
  </si>
  <si>
    <t>W-5</t>
  </si>
  <si>
    <t>W-5</t>
    <phoneticPr fontId="7" type="noConversion"/>
  </si>
  <si>
    <t>W-6</t>
  </si>
  <si>
    <t>W-6</t>
    <phoneticPr fontId="7" type="noConversion"/>
  </si>
  <si>
    <t>주식회사 한일지하수</t>
    <phoneticPr fontId="7" type="noConversion"/>
  </si>
  <si>
    <t>W-7</t>
  </si>
  <si>
    <t>W-7</t>
    <phoneticPr fontId="7" type="noConversion"/>
  </si>
  <si>
    <t>W-8</t>
  </si>
  <si>
    <t>W-8</t>
    <phoneticPr fontId="7" type="noConversion"/>
  </si>
  <si>
    <t>W-9</t>
  </si>
  <si>
    <t>W-9</t>
    <phoneticPr fontId="7" type="noConversion"/>
  </si>
  <si>
    <t>W-10</t>
  </si>
  <si>
    <t>W-10</t>
    <phoneticPr fontId="7" type="noConversion"/>
  </si>
  <si>
    <t>W-11</t>
  </si>
  <si>
    <t>W-11</t>
    <phoneticPr fontId="7" type="noConversion"/>
  </si>
  <si>
    <t>경기도 안양시 동안구 호계동 1001-28번지</t>
  </si>
  <si>
    <t>호계1동 행정복지센터 건립 공사중 지열시스템 공사</t>
  </si>
  <si>
    <t>62
79
97
114
131</t>
  </si>
  <si>
    <t>22.61
26.37
30.59
35.30
42.48</t>
  </si>
  <si>
    <t>11.26
15.02
19.24
23.95
31.13</t>
  </si>
  <si>
    <t>5.506
5.260
5.036
4.760
4.211</t>
  </si>
  <si>
    <t>0.181613
0.190127
0.198555
0.210088
0.237452</t>
  </si>
  <si>
    <t>21.43
24.76
28.51
32.69
39.06</t>
  </si>
  <si>
    <t>10.00
13.33
17.08
21.26
27.63</t>
  </si>
  <si>
    <t>6.200
5.926
5.673
5.362
4.745</t>
  </si>
  <si>
    <t>0.161290
0.168734
0.176264
0.186491
0.210755</t>
  </si>
  <si>
    <t>22.04
25.74
29.90
34.54
41.62</t>
  </si>
  <si>
    <t>11.10
14.80
18.96
23.60
30.68</t>
  </si>
  <si>
    <t>5.586
5.338
5.111
4.831
4.273</t>
  </si>
  <si>
    <t>0.179032
0.187342
0.195666
0.207018
0.234020</t>
  </si>
  <si>
    <t>호계1동 행정복지센터 건립 공사중 지열시스템 공사</t>
    <phoneticPr fontId="7" type="noConversion"/>
  </si>
  <si>
    <t>경기도 안양시 동안구 호계동 1001-28</t>
    <phoneticPr fontId="7" type="noConversion"/>
  </si>
  <si>
    <t>경기도 안양시 동안구 호계동 1001-38</t>
    <phoneticPr fontId="7" type="noConversion"/>
  </si>
  <si>
    <t>수원기상청</t>
    <phoneticPr fontId="7" type="noConversion"/>
  </si>
  <si>
    <t>한강/한강서울</t>
  </si>
  <si>
    <t>101.4 m</t>
  </si>
  <si>
    <t>39.8 m</t>
  </si>
  <si>
    <t>63.3 m</t>
  </si>
  <si>
    <t>106.6 m</t>
  </si>
  <si>
    <t>39.5 m</t>
  </si>
  <si>
    <t>64.8 m</t>
  </si>
  <si>
    <t>102.7 m</t>
  </si>
  <si>
    <t>40.1 m</t>
  </si>
  <si>
    <t>64 m</t>
  </si>
  <si>
    <t>5 ㎥/일</t>
  </si>
  <si>
    <t>500 m</t>
  </si>
  <si>
    <t>11.35 m</t>
  </si>
  <si>
    <t>11.43 m</t>
  </si>
  <si>
    <t>10.94 m</t>
  </si>
  <si>
    <t>38.27 m</t>
  </si>
  <si>
    <t>35.32 m</t>
  </si>
  <si>
    <t>37.46 m</t>
  </si>
  <si>
    <t>150 mm</t>
  </si>
  <si>
    <t>36 m</t>
  </si>
  <si>
    <t>충청남도 공주시 우성면 보흥리 590-2</t>
  </si>
  <si>
    <t>우성농공단지 지하수 이용허가 유효기간의 연장을 위한 지하수영향조사보고서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</si>
</sst>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79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theme="1" tint="0.249977111117893"/>
      <name val="맑은 고딕"/>
      <family val="3"/>
      <charset val="129"/>
    </font>
    <font>
      <i/>
      <sz val="11"/>
      <name val="맑은 고딕"/>
      <family val="3"/>
      <charset val="129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</fills>
  <borders count="10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19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1" borderId="34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2" xfId="16" applyFont="1" applyBorder="1" applyAlignment="1">
      <alignment horizontal="center" vertical="center"/>
    </xf>
    <xf numFmtId="0" fontId="33" fillId="0" borderId="47" xfId="16" applyFont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8" xfId="16" applyFont="1" applyBorder="1" applyAlignment="1">
      <alignment horizontal="center" vertical="center"/>
    </xf>
    <xf numFmtId="196" fontId="44" fillId="0" borderId="31" xfId="16" applyNumberFormat="1" applyFont="1" applyBorder="1" applyAlignment="1">
      <alignment horizontal="center" vertical="center"/>
    </xf>
    <xf numFmtId="0" fontId="45" fillId="7" borderId="43" xfId="16" applyFont="1" applyFill="1" applyBorder="1" applyAlignment="1">
      <alignment horizontal="center" vertical="center"/>
    </xf>
    <xf numFmtId="194" fontId="45" fillId="0" borderId="43" xfId="16" applyNumberFormat="1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2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4" xfId="18" applyNumberFormat="1" applyFont="1" applyFill="1" applyBorder="1" applyAlignment="1">
      <alignment horizontal="center" vertical="center"/>
    </xf>
    <xf numFmtId="185" fontId="37" fillId="22" borderId="26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1" xfId="0" applyFont="1" applyFill="1" applyBorder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2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0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37" fillId="13" borderId="36" xfId="18" applyFont="1" applyFill="1" applyBorder="1" applyAlignment="1">
      <alignment horizontal="center" vertical="center" wrapText="1"/>
    </xf>
    <xf numFmtId="0" fontId="37" fillId="13" borderId="32" xfId="18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3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0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3" xfId="0" applyFont="1" applyFill="1" applyBorder="1" applyAlignment="1">
      <alignment horizontal="center" vertical="center"/>
    </xf>
    <xf numFmtId="193" fontId="64" fillId="12" borderId="31" xfId="0" applyNumberFormat="1" applyFont="1" applyFill="1" applyBorder="1" applyAlignment="1">
      <alignment horizontal="center" vertical="center"/>
    </xf>
    <xf numFmtId="0" fontId="64" fillId="12" borderId="27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69" xfId="0" applyFont="1" applyFill="1" applyBorder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29" fillId="10" borderId="67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184" fontId="29" fillId="10" borderId="58" xfId="16" applyNumberFormat="1" applyFont="1" applyFill="1" applyBorder="1">
      <alignment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29" xfId="16" applyFont="1" applyFill="1" applyBorder="1" applyAlignment="1">
      <alignment horizontal="center" vertical="center"/>
    </xf>
    <xf numFmtId="188" fontId="29" fillId="10" borderId="54" xfId="16" applyNumberFormat="1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8" fillId="25" borderId="46" xfId="16" applyFont="1" applyFill="1" applyBorder="1" applyAlignment="1">
      <alignment horizontal="center" vertical="center"/>
    </xf>
    <xf numFmtId="0" fontId="69" fillId="10" borderId="0" xfId="18" applyFont="1" applyFill="1" applyAlignment="1">
      <alignment horizontal="center" vertical="center"/>
    </xf>
    <xf numFmtId="0" fontId="70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4" xfId="18" applyNumberFormat="1" applyFont="1" applyFill="1" applyBorder="1" applyAlignment="1">
      <alignment horizontal="center" vertical="center" wrapText="1"/>
    </xf>
    <xf numFmtId="0" fontId="71" fillId="0" borderId="0" xfId="18" applyFont="1" applyAlignment="1">
      <alignment horizontal="center" vertical="center"/>
    </xf>
    <xf numFmtId="0" fontId="71" fillId="0" borderId="0" xfId="18" applyFont="1">
      <alignment vertical="center"/>
    </xf>
    <xf numFmtId="0" fontId="72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5" fillId="5" borderId="33" xfId="18" applyNumberFormat="1" applyFont="1" applyFill="1" applyBorder="1" applyAlignment="1">
      <alignment horizontal="center" vertical="center" wrapText="1"/>
    </xf>
    <xf numFmtId="188" fontId="65" fillId="5" borderId="30" xfId="18" applyNumberFormat="1" applyFont="1" applyFill="1" applyBorder="1" applyAlignment="1">
      <alignment horizontal="center" vertical="center" wrapText="1"/>
    </xf>
    <xf numFmtId="188" fontId="65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9" borderId="73" xfId="0" applyFont="1" applyFill="1" applyBorder="1" applyAlignment="1">
      <alignment horizontal="center" vertical="center"/>
    </xf>
    <xf numFmtId="0" fontId="27" fillId="19" borderId="74" xfId="0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3" fillId="0" borderId="0" xfId="0" applyFont="1" applyAlignment="1">
      <alignment horizontal="center" vertical="center"/>
    </xf>
    <xf numFmtId="202" fontId="74" fillId="0" borderId="0" xfId="18" applyNumberFormat="1" applyFont="1" applyAlignment="1">
      <alignment horizontal="center" vertical="center"/>
    </xf>
    <xf numFmtId="0" fontId="75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7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3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2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3" borderId="82" xfId="0" applyFont="1" applyFill="1" applyBorder="1" applyAlignment="1">
      <alignment horizontal="center" vertical="center"/>
    </xf>
    <xf numFmtId="0" fontId="24" fillId="3" borderId="83" xfId="0" applyFont="1" applyFill="1" applyBorder="1" applyAlignment="1">
      <alignment horizontal="center" vertical="center" wrapText="1"/>
    </xf>
    <xf numFmtId="0" fontId="24" fillId="3" borderId="83" xfId="0" applyFont="1" applyFill="1" applyBorder="1" applyAlignment="1">
      <alignment horizontal="center" vertical="center"/>
    </xf>
    <xf numFmtId="0" fontId="27" fillId="3" borderId="83" xfId="0" applyFont="1" applyFill="1" applyBorder="1" applyAlignment="1">
      <alignment horizontal="center" vertical="center" wrapText="1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7" fillId="3" borderId="84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5" xfId="0" applyFont="1" applyFill="1" applyBorder="1" applyAlignment="1">
      <alignment horizontal="center" vertical="center"/>
    </xf>
    <xf numFmtId="0" fontId="56" fillId="28" borderId="49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66" fillId="29" borderId="26" xfId="23" applyFont="1" applyFill="1" applyBorder="1" applyAlignment="1">
      <alignment horizontal="center" vertical="center"/>
    </xf>
    <xf numFmtId="0" fontId="66" fillId="29" borderId="34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5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5" xfId="20" applyNumberFormat="1" applyFont="1" applyFill="1" applyBorder="1" applyAlignment="1">
      <alignment horizontal="center" vertical="center"/>
    </xf>
    <xf numFmtId="0" fontId="76" fillId="29" borderId="31" xfId="0" applyFont="1" applyFill="1" applyBorder="1" applyAlignment="1">
      <alignment horizontal="center" vertical="center"/>
    </xf>
    <xf numFmtId="195" fontId="41" fillId="18" borderId="31" xfId="16" applyNumberFormat="1" applyFont="1" applyFill="1" applyBorder="1">
      <alignment vertical="center"/>
    </xf>
    <xf numFmtId="195" fontId="47" fillId="19" borderId="43" xfId="16" applyNumberFormat="1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9" fillId="25" borderId="44" xfId="16" applyFont="1" applyFill="1" applyBorder="1" applyAlignment="1">
      <alignment horizontal="center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4" borderId="87" xfId="18" applyNumberFormat="1" applyFont="1" applyFill="1" applyBorder="1" applyAlignment="1">
      <alignment horizontal="center" vertical="center" wrapText="1"/>
    </xf>
    <xf numFmtId="193" fontId="16" fillId="21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7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4" borderId="90" xfId="18" applyFont="1" applyFill="1" applyBorder="1" applyAlignment="1">
      <alignment horizontal="center" vertical="center" wrapText="1"/>
    </xf>
    <xf numFmtId="0" fontId="27" fillId="20" borderId="82" xfId="0" applyFont="1" applyFill="1" applyBorder="1" applyAlignment="1">
      <alignment horizontal="center" vertical="center"/>
    </xf>
    <xf numFmtId="0" fontId="27" fillId="20" borderId="83" xfId="0" applyFont="1" applyFill="1" applyBorder="1" applyAlignment="1">
      <alignment horizontal="center" vertical="center"/>
    </xf>
    <xf numFmtId="0" fontId="27" fillId="20" borderId="83" xfId="24" applyNumberFormat="1" applyFont="1" applyFill="1" applyBorder="1" applyAlignment="1">
      <alignment horizontal="center" vertical="center"/>
    </xf>
    <xf numFmtId="0" fontId="27" fillId="20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0" fontId="27" fillId="5" borderId="82" xfId="0" applyFont="1" applyFill="1" applyBorder="1" applyAlignment="1">
      <alignment horizontal="center" vertical="center"/>
    </xf>
    <xf numFmtId="0" fontId="27" fillId="5" borderId="83" xfId="0" applyFont="1" applyFill="1" applyBorder="1" applyAlignment="1">
      <alignment horizontal="center" vertical="center"/>
    </xf>
    <xf numFmtId="0" fontId="27" fillId="5" borderId="84" xfId="0" applyFont="1" applyFill="1" applyBorder="1" applyAlignment="1">
      <alignment horizontal="center" vertical="center"/>
    </xf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 wrapText="1"/>
    </xf>
    <xf numFmtId="203" fontId="27" fillId="23" borderId="10" xfId="0" applyNumberFormat="1" applyFont="1" applyFill="1" applyBorder="1" applyAlignment="1">
      <alignment horizontal="center" vertical="center" wrapText="1"/>
    </xf>
    <xf numFmtId="0" fontId="29" fillId="10" borderId="83" xfId="0" applyFont="1" applyFill="1" applyBorder="1" applyAlignment="1">
      <alignment horizontal="center" vertical="center"/>
    </xf>
    <xf numFmtId="0" fontId="29" fillId="10" borderId="83" xfId="0" applyFont="1" applyFill="1" applyBorder="1" applyAlignment="1">
      <alignment horizontal="center" vertical="center" wrapText="1"/>
    </xf>
    <xf numFmtId="0" fontId="19" fillId="10" borderId="83" xfId="0" applyFont="1" applyFill="1" applyBorder="1" applyAlignment="1">
      <alignment horizontal="center" vertical="center" wrapText="1"/>
    </xf>
    <xf numFmtId="0" fontId="77" fillId="10" borderId="84" xfId="0" applyFont="1" applyFill="1" applyBorder="1" applyAlignment="1">
      <alignment horizontal="center" vertical="center" wrapText="1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2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18" fillId="12" borderId="86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18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30" borderId="0" xfId="0" applyFont="1" applyFill="1" applyAlignment="1">
      <alignment vertical="center"/>
    </xf>
    <xf numFmtId="0" fontId="24" fillId="30" borderId="0" xfId="0" applyFont="1" applyFill="1" applyAlignment="1">
      <alignment horizontal="center" vertical="center"/>
    </xf>
    <xf numFmtId="0" fontId="25" fillId="30" borderId="0" xfId="0" applyFont="1" applyFill="1" applyAlignment="1">
      <alignment horizontal="left" vertical="center"/>
    </xf>
    <xf numFmtId="0" fontId="3" fillId="30" borderId="0" xfId="21" applyFill="1" applyAlignment="1">
      <alignment horizontal="center" vertical="center"/>
    </xf>
    <xf numFmtId="41" fontId="24" fillId="30" borderId="0" xfId="20" applyFont="1" applyFill="1" applyAlignment="1">
      <alignment horizontal="center" vertical="center"/>
    </xf>
    <xf numFmtId="10" fontId="41" fillId="31" borderId="9" xfId="16" applyNumberFormat="1" applyFont="1" applyFill="1" applyBorder="1" applyAlignment="1">
      <alignment horizontal="center" vertical="center"/>
    </xf>
    <xf numFmtId="10" fontId="41" fillId="31" borderId="10" xfId="16" applyNumberFormat="1" applyFont="1" applyFill="1" applyBorder="1" applyAlignment="1">
      <alignment horizontal="center" vertical="center"/>
    </xf>
    <xf numFmtId="10" fontId="41" fillId="31" borderId="22" xfId="16" applyNumberFormat="1" applyFont="1" applyFill="1" applyBorder="1" applyAlignment="1">
      <alignment horizontal="center" vertical="center"/>
    </xf>
    <xf numFmtId="10" fontId="41" fillId="31" borderId="23" xfId="16" applyNumberFormat="1" applyFont="1" applyFill="1" applyBorder="1" applyAlignment="1">
      <alignment horizontal="center" vertical="center"/>
    </xf>
    <xf numFmtId="0" fontId="29" fillId="10" borderId="82" xfId="0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0" fontId="19" fillId="6" borderId="8" xfId="18" applyFont="1" applyFill="1" applyBorder="1" applyAlignment="1">
      <alignment horizontal="center" vertical="center"/>
    </xf>
    <xf numFmtId="0" fontId="30" fillId="6" borderId="10" xfId="18" applyFont="1" applyFill="1" applyBorder="1" applyAlignment="1">
      <alignment horizontal="center" vertical="center"/>
    </xf>
    <xf numFmtId="0" fontId="19" fillId="6" borderId="21" xfId="18" applyFont="1" applyFill="1" applyBorder="1" applyAlignment="1">
      <alignment horizontal="center" vertical="center"/>
    </xf>
    <xf numFmtId="0" fontId="30" fillId="6" borderId="23" xfId="18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1" fontId="19" fillId="21" borderId="87" xfId="18" applyNumberFormat="1" applyFont="1" applyFill="1" applyBorder="1" applyAlignment="1">
      <alignment horizontal="center" vertical="center"/>
    </xf>
    <xf numFmtId="193" fontId="78" fillId="10" borderId="86" xfId="0" applyNumberFormat="1" applyFont="1" applyFill="1" applyBorder="1" applyAlignment="1">
      <alignment horizontal="center" vertical="center"/>
    </xf>
    <xf numFmtId="193" fontId="78" fillId="12" borderId="86" xfId="0" applyNumberFormat="1" applyFont="1" applyFill="1" applyBorder="1" applyAlignment="1">
      <alignment horizontal="center" vertical="center"/>
    </xf>
    <xf numFmtId="204" fontId="78" fillId="10" borderId="86" xfId="0" applyNumberFormat="1" applyFont="1" applyFill="1" applyBorder="1" applyAlignment="1">
      <alignment horizontal="center" vertical="center"/>
    </xf>
    <xf numFmtId="204" fontId="78" fillId="12" borderId="86" xfId="0" applyNumberFormat="1" applyFont="1" applyFill="1" applyBorder="1" applyAlignment="1">
      <alignment horizontal="center" vertical="center"/>
    </xf>
    <xf numFmtId="2" fontId="78" fillId="10" borderId="86" xfId="0" applyNumberFormat="1" applyFont="1" applyFill="1" applyBorder="1" applyAlignment="1">
      <alignment horizontal="center" vertical="center"/>
    </xf>
    <xf numFmtId="2" fontId="78" fillId="12" borderId="86" xfId="0" applyNumberFormat="1" applyFont="1" applyFill="1" applyBorder="1" applyAlignment="1">
      <alignment horizontal="center" vertical="center"/>
    </xf>
    <xf numFmtId="0" fontId="78" fillId="10" borderId="89" xfId="0" applyFont="1" applyFill="1" applyBorder="1" applyAlignment="1">
      <alignment horizontal="center" vertical="center"/>
    </xf>
    <xf numFmtId="0" fontId="78" fillId="12" borderId="89" xfId="0" applyFont="1" applyFill="1" applyBorder="1" applyAlignment="1">
      <alignment horizontal="center" vertical="center"/>
    </xf>
    <xf numFmtId="0" fontId="78" fillId="0" borderId="86" xfId="0" applyFont="1" applyBorder="1" applyAlignment="1">
      <alignment horizontal="center" vertical="center"/>
    </xf>
    <xf numFmtId="0" fontId="78" fillId="0" borderId="87" xfId="0" applyFont="1" applyBorder="1" applyAlignment="1">
      <alignment horizontal="center" vertical="center"/>
    </xf>
    <xf numFmtId="0" fontId="78" fillId="0" borderId="89" xfId="0" applyFont="1" applyBorder="1" applyAlignment="1">
      <alignment horizontal="center" vertical="center"/>
    </xf>
    <xf numFmtId="0" fontId="78" fillId="0" borderId="90" xfId="0" applyFont="1" applyBorder="1" applyAlignment="1">
      <alignment horizontal="center" vertical="center"/>
    </xf>
    <xf numFmtId="203" fontId="27" fillId="23" borderId="82" xfId="0" applyNumberFormat="1" applyFont="1" applyFill="1" applyBorder="1" applyAlignment="1">
      <alignment horizontal="center" vertical="center"/>
    </xf>
    <xf numFmtId="203" fontId="27" fillId="23" borderId="83" xfId="0" applyNumberFormat="1" applyFont="1" applyFill="1" applyBorder="1" applyAlignment="1">
      <alignment horizontal="center" vertical="center"/>
    </xf>
    <xf numFmtId="203" fontId="27" fillId="23" borderId="84" xfId="0" applyNumberFormat="1" applyFont="1" applyFill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15" fillId="21" borderId="84" xfId="18" applyFont="1" applyFill="1" applyBorder="1" applyAlignment="1">
      <alignment horizontal="center" vertical="center"/>
    </xf>
    <xf numFmtId="0" fontId="15" fillId="21" borderId="87" xfId="18" applyFont="1" applyFill="1" applyBorder="1" applyAlignment="1">
      <alignment horizontal="center" vertical="center"/>
    </xf>
    <xf numFmtId="0" fontId="48" fillId="21" borderId="87" xfId="18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40" fillId="28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19" fillId="20" borderId="87" xfId="18" applyFont="1" applyFill="1" applyBorder="1" applyAlignment="1">
      <alignment horizontal="center" vertical="center"/>
    </xf>
    <xf numFmtId="0" fontId="19" fillId="4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19" fillId="24" borderId="87" xfId="18" applyFont="1" applyFill="1" applyBorder="1" applyAlignment="1">
      <alignment horizontal="center" vertical="center" wrapText="1"/>
    </xf>
    <xf numFmtId="0" fontId="33" fillId="0" borderId="96" xfId="0" applyFont="1" applyBorder="1" applyAlignment="1">
      <alignment horizontal="center" vertical="center"/>
    </xf>
    <xf numFmtId="0" fontId="28" fillId="0" borderId="97" xfId="0" applyFont="1" applyBorder="1" applyAlignment="1">
      <alignment horizontal="center" vertical="center"/>
    </xf>
    <xf numFmtId="17" fontId="33" fillId="0" borderId="97" xfId="0" applyNumberFormat="1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15" fillId="0" borderId="97" xfId="0" applyFont="1" applyBorder="1" applyAlignment="1">
      <alignment horizontal="center" vertical="center" wrapText="1"/>
    </xf>
    <xf numFmtId="188" fontId="15" fillId="0" borderId="97" xfId="0" applyNumberFormat="1" applyFont="1" applyBorder="1" applyAlignment="1">
      <alignment horizontal="center" vertical="center"/>
    </xf>
    <xf numFmtId="41" fontId="33" fillId="0" borderId="97" xfId="20" applyFont="1" applyBorder="1">
      <alignment vertical="center"/>
    </xf>
    <xf numFmtId="0" fontId="33" fillId="0" borderId="98" xfId="0" applyFont="1" applyBorder="1" applyAlignment="1">
      <alignment horizontal="center" vertical="center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0" fontId="40" fillId="31" borderId="8" xfId="16" applyFont="1" applyFill="1" applyBorder="1" applyAlignment="1">
      <alignment horizontal="center" vertical="center"/>
    </xf>
    <xf numFmtId="0" fontId="40" fillId="31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31" borderId="21" xfId="16" applyFont="1" applyFill="1" applyBorder="1" applyAlignment="1">
      <alignment horizontal="center" vertical="center"/>
    </xf>
    <xf numFmtId="0" fontId="40" fillId="31" borderId="22" xfId="16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92" xfId="0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91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91" xfId="0" applyNumberFormat="1" applyFont="1" applyBorder="1" applyAlignment="1">
      <alignment horizontal="center" vertical="center"/>
    </xf>
    <xf numFmtId="193" fontId="46" fillId="0" borderId="60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91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CFDFE"/>
      <color rgb="FFECF2F8"/>
      <color rgb="FF80F89F"/>
      <color rgb="FF4174B1"/>
      <color rgb="FFF69240"/>
      <color rgb="FFFFFFCC"/>
      <color rgb="FFEDDFEF"/>
      <color rgb="FFCCCCFF"/>
      <color rgb="FF9E0E1C"/>
      <color rgb="FFE3D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751.1</c:v>
                </c:pt>
                <c:pt idx="1">
                  <c:v>1023.4</c:v>
                </c:pt>
                <c:pt idx="2">
                  <c:v>1328.6</c:v>
                </c:pt>
                <c:pt idx="3">
                  <c:v>1293.0999999999999</c:v>
                </c:pt>
                <c:pt idx="4">
                  <c:v>915.8</c:v>
                </c:pt>
                <c:pt idx="5">
                  <c:v>1635.5</c:v>
                </c:pt>
                <c:pt idx="6">
                  <c:v>1084.4000000000001</c:v>
                </c:pt>
                <c:pt idx="7">
                  <c:v>1864</c:v>
                </c:pt>
                <c:pt idx="8">
                  <c:v>1409.4</c:v>
                </c:pt>
                <c:pt idx="9">
                  <c:v>1378.2</c:v>
                </c:pt>
                <c:pt idx="10">
                  <c:v>1268.4000000000001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1653.3</c:v>
                </c:pt>
                <c:pt idx="1">
                  <c:v>952.1</c:v>
                </c:pt>
                <c:pt idx="2">
                  <c:v>1394.3</c:v>
                </c:pt>
                <c:pt idx="3">
                  <c:v>1626.9</c:v>
                </c:pt>
                <c:pt idx="4">
                  <c:v>1556.1</c:v>
                </c:pt>
                <c:pt idx="5">
                  <c:v>1328.8</c:v>
                </c:pt>
                <c:pt idx="6">
                  <c:v>1067.2</c:v>
                </c:pt>
                <c:pt idx="7">
                  <c:v>1231.7</c:v>
                </c:pt>
                <c:pt idx="8">
                  <c:v>1514.8</c:v>
                </c:pt>
                <c:pt idx="9">
                  <c:v>1217</c:v>
                </c:pt>
                <c:pt idx="10">
                  <c:v>1427.7</c:v>
                </c:pt>
                <c:pt idx="11">
                  <c:v>1362.7</c:v>
                </c:pt>
                <c:pt idx="12">
                  <c:v>1325</c:v>
                </c:pt>
                <c:pt idx="13">
                  <c:v>1342.9</c:v>
                </c:pt>
                <c:pt idx="14">
                  <c:v>1541.2</c:v>
                </c:pt>
                <c:pt idx="15">
                  <c:v>1470.6</c:v>
                </c:pt>
                <c:pt idx="16">
                  <c:v>1975.9</c:v>
                </c:pt>
                <c:pt idx="17">
                  <c:v>1748.3</c:v>
                </c:pt>
                <c:pt idx="18">
                  <c:v>1240.0999999999999</c:v>
                </c:pt>
                <c:pt idx="19">
                  <c:v>1029.0999999999999</c:v>
                </c:pt>
                <c:pt idx="20">
                  <c:v>751.1</c:v>
                </c:pt>
                <c:pt idx="21">
                  <c:v>1023.4</c:v>
                </c:pt>
                <c:pt idx="22">
                  <c:v>1328.6</c:v>
                </c:pt>
                <c:pt idx="23">
                  <c:v>1293.0999999999999</c:v>
                </c:pt>
                <c:pt idx="24">
                  <c:v>915.8</c:v>
                </c:pt>
                <c:pt idx="25">
                  <c:v>1635.5</c:v>
                </c:pt>
                <c:pt idx="26">
                  <c:v>1084.4000000000001</c:v>
                </c:pt>
                <c:pt idx="27">
                  <c:v>1864</c:v>
                </c:pt>
                <c:pt idx="28">
                  <c:v>1409.4</c:v>
                </c:pt>
                <c:pt idx="29">
                  <c:v>1378.2</c:v>
                </c:pt>
                <c:pt idx="30">
                  <c:v>1356.3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19.899999999999999</c:v>
                </c:pt>
                <c:pt idx="1">
                  <c:v>30.9</c:v>
                </c:pt>
                <c:pt idx="2">
                  <c:v>43.5</c:v>
                </c:pt>
                <c:pt idx="3">
                  <c:v>69</c:v>
                </c:pt>
                <c:pt idx="4">
                  <c:v>95.5</c:v>
                </c:pt>
                <c:pt idx="5">
                  <c:v>115.3</c:v>
                </c:pt>
                <c:pt idx="6">
                  <c:v>329.8</c:v>
                </c:pt>
                <c:pt idx="7">
                  <c:v>263</c:v>
                </c:pt>
                <c:pt idx="8">
                  <c:v>123.7</c:v>
                </c:pt>
                <c:pt idx="9">
                  <c:v>70.099999999999994</c:v>
                </c:pt>
                <c:pt idx="10">
                  <c:v>75.2</c:v>
                </c:pt>
                <c:pt idx="11">
                  <c:v>32.6</c:v>
                </c:pt>
                <c:pt idx="12">
                  <c:v>105.7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5.png"/><Relationship Id="rId3" Type="http://schemas.openxmlformats.org/officeDocument/2006/relationships/image" Target="../media/image30.png"/><Relationship Id="rId7" Type="http://schemas.openxmlformats.org/officeDocument/2006/relationships/image" Target="../media/image34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6" Type="http://schemas.openxmlformats.org/officeDocument/2006/relationships/image" Target="../media/image33.png"/><Relationship Id="rId5" Type="http://schemas.openxmlformats.org/officeDocument/2006/relationships/image" Target="../media/image32.png"/><Relationship Id="rId4" Type="http://schemas.openxmlformats.org/officeDocument/2006/relationships/image" Target="../media/image31.png"/><Relationship Id="rId9" Type="http://schemas.openxmlformats.org/officeDocument/2006/relationships/image" Target="../media/image36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1.emf"/><Relationship Id="rId5" Type="http://schemas.openxmlformats.org/officeDocument/2006/relationships/image" Target="../media/image7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4.emf"/><Relationship Id="rId1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Relationship Id="rId4" Type="http://schemas.openxmlformats.org/officeDocument/2006/relationships/image" Target="../media/image54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5.emf"/><Relationship Id="rId13" Type="http://schemas.openxmlformats.org/officeDocument/2006/relationships/image" Target="../media/image69.emf"/><Relationship Id="rId3" Type="http://schemas.openxmlformats.org/officeDocument/2006/relationships/image" Target="../media/image61.emf"/><Relationship Id="rId7" Type="http://schemas.openxmlformats.org/officeDocument/2006/relationships/image" Target="../media/image58.emf"/><Relationship Id="rId12" Type="http://schemas.openxmlformats.org/officeDocument/2006/relationships/image" Target="../media/image57.emf"/><Relationship Id="rId2" Type="http://schemas.openxmlformats.org/officeDocument/2006/relationships/image" Target="../media/image62.emf"/><Relationship Id="rId16" Type="http://schemas.openxmlformats.org/officeDocument/2006/relationships/image" Target="../media/image70.emf"/><Relationship Id="rId1" Type="http://schemas.openxmlformats.org/officeDocument/2006/relationships/image" Target="../media/image63.emf"/><Relationship Id="rId6" Type="http://schemas.openxmlformats.org/officeDocument/2006/relationships/image" Target="../media/image64.emf"/><Relationship Id="rId11" Type="http://schemas.openxmlformats.org/officeDocument/2006/relationships/image" Target="../media/image68.emf"/><Relationship Id="rId5" Type="http://schemas.openxmlformats.org/officeDocument/2006/relationships/image" Target="../media/image59.emf"/><Relationship Id="rId15" Type="http://schemas.openxmlformats.org/officeDocument/2006/relationships/image" Target="../media/image55.emf"/><Relationship Id="rId10" Type="http://schemas.openxmlformats.org/officeDocument/2006/relationships/image" Target="../media/image67.emf"/><Relationship Id="rId4" Type="http://schemas.openxmlformats.org/officeDocument/2006/relationships/image" Target="../media/image60.emf"/><Relationship Id="rId9" Type="http://schemas.openxmlformats.org/officeDocument/2006/relationships/image" Target="../media/image66.emf"/><Relationship Id="rId14" Type="http://schemas.openxmlformats.org/officeDocument/2006/relationships/image" Target="../media/image5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5" Type="http://schemas.openxmlformats.org/officeDocument/2006/relationships/image" Target="../media/image75.emf"/><Relationship Id="rId4" Type="http://schemas.openxmlformats.org/officeDocument/2006/relationships/image" Target="../media/image74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5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7.emf"/><Relationship Id="rId1" Type="http://schemas.openxmlformats.org/officeDocument/2006/relationships/image" Target="../media/image73.emf"/><Relationship Id="rId4" Type="http://schemas.openxmlformats.org/officeDocument/2006/relationships/image" Target="../media/image75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1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Relationship Id="rId5" Type="http://schemas.openxmlformats.org/officeDocument/2006/relationships/image" Target="../media/image78.emf"/><Relationship Id="rId4" Type="http://schemas.openxmlformats.org/officeDocument/2006/relationships/image" Target="../media/image82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2.emf"/><Relationship Id="rId2" Type="http://schemas.openxmlformats.org/officeDocument/2006/relationships/image" Target="../media/image81.emf"/><Relationship Id="rId1" Type="http://schemas.openxmlformats.org/officeDocument/2006/relationships/image" Target="../media/image83.emf"/><Relationship Id="rId4" Type="http://schemas.openxmlformats.org/officeDocument/2006/relationships/image" Target="../media/image79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6.emf"/><Relationship Id="rId1" Type="http://schemas.openxmlformats.org/officeDocument/2006/relationships/image" Target="../media/image85.emf"/><Relationship Id="rId4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15</xdr:row>
      <xdr:rowOff>91536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A0287F53-3586-A333-D582-FB37BC47A6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15</xdr:row>
      <xdr:rowOff>161925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E77AF005-AFD9-5AEE-2699-14824B6526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28574</xdr:colOff>
      <xdr:row>16</xdr:row>
      <xdr:rowOff>95250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AB8D7E80-064F-D43A-D389-F743B40C26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362574" cy="249555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31</xdr:row>
      <xdr:rowOff>91536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BB33C04-76D2-45D6-9F1F-A6B48C9DB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31</xdr:row>
      <xdr:rowOff>161925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28255B8-68C2-C054-6386-69A67E7929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28574</xdr:colOff>
      <xdr:row>32</xdr:row>
      <xdr:rowOff>95250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EE955756-A061-A107-7905-F1EABDF851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362574" cy="249555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47</xdr:row>
      <xdr:rowOff>91536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35C917E7-1E52-C12D-50E5-A9AB5F19C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47</xdr:row>
      <xdr:rowOff>161925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07999D8-57FA-64FD-5A7A-08ADDB11BE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28574</xdr:colOff>
      <xdr:row>48</xdr:row>
      <xdr:rowOff>95250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FAF9A030-A3C6-F6EB-2F03-3E0FB61622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362574" cy="24955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62497" name="CommandButton5" hidden="1">
              <a:extLst>
                <a:ext uri="{63B3BB69-23CF-44E3-9099-C40C66FF867C}">
                  <a14:compatExt spid="_x0000_s362497"/>
                </a:ext>
                <a:ext uri="{FF2B5EF4-FFF2-40B4-BE49-F238E27FC236}">
                  <a16:creationId xmlns:a16="http://schemas.microsoft.com/office/drawing/2014/main" id="{00000000-0008-0000-1100-000001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62498" name="Frame1" hidden="1">
              <a:extLst>
                <a:ext uri="{63B3BB69-23CF-44E3-9099-C40C66FF867C}">
                  <a14:compatExt spid="_x0000_s362498"/>
                </a:ext>
                <a:ext uri="{FF2B5EF4-FFF2-40B4-BE49-F238E27FC236}">
                  <a16:creationId xmlns:a16="http://schemas.microsoft.com/office/drawing/2014/main" id="{00000000-0008-0000-1100-000002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62499" name="CommandButton6" hidden="1">
              <a:extLst>
                <a:ext uri="{63B3BB69-23CF-44E3-9099-C40C66FF867C}">
                  <a14:compatExt spid="_x0000_s362499"/>
                </a:ext>
                <a:ext uri="{FF2B5EF4-FFF2-40B4-BE49-F238E27FC236}">
                  <a16:creationId xmlns:a16="http://schemas.microsoft.com/office/drawing/2014/main" id="{00000000-0008-0000-1100-000003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2501" name="CommandButton8" hidden="1">
              <a:extLst>
                <a:ext uri="{63B3BB69-23CF-44E3-9099-C40C66FF867C}">
                  <a14:compatExt spid="_x0000_s362501"/>
                </a:ext>
                <a:ext uri="{FF2B5EF4-FFF2-40B4-BE49-F238E27FC236}">
                  <a16:creationId xmlns:a16="http://schemas.microsoft.com/office/drawing/2014/main" id="{00000000-0008-0000-1100-000005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63521" name="CommandButton5" hidden="1">
              <a:extLst>
                <a:ext uri="{63B3BB69-23CF-44E3-9099-C40C66FF867C}">
                  <a14:compatExt spid="_x0000_s363521"/>
                </a:ext>
                <a:ext uri="{FF2B5EF4-FFF2-40B4-BE49-F238E27FC236}">
                  <a16:creationId xmlns:a16="http://schemas.microsoft.com/office/drawing/2014/main" id="{00000000-0008-0000-1200-000001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63522" name="Frame1" hidden="1">
              <a:extLst>
                <a:ext uri="{63B3BB69-23CF-44E3-9099-C40C66FF867C}">
                  <a14:compatExt spid="_x0000_s363522"/>
                </a:ext>
                <a:ext uri="{FF2B5EF4-FFF2-40B4-BE49-F238E27FC236}">
                  <a16:creationId xmlns:a16="http://schemas.microsoft.com/office/drawing/2014/main" id="{00000000-0008-0000-1200-000002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63523" name="CommandButton6" hidden="1">
              <a:extLst>
                <a:ext uri="{63B3BB69-23CF-44E3-9099-C40C66FF867C}">
                  <a14:compatExt spid="_x0000_s363523"/>
                </a:ext>
                <a:ext uri="{FF2B5EF4-FFF2-40B4-BE49-F238E27FC236}">
                  <a16:creationId xmlns:a16="http://schemas.microsoft.com/office/drawing/2014/main" id="{00000000-0008-0000-1200-000003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3524" name="CommandButton8" hidden="1">
              <a:extLst>
                <a:ext uri="{63B3BB69-23CF-44E3-9099-C40C66FF867C}">
                  <a14:compatExt spid="_x0000_s363524"/>
                </a:ext>
                <a:ext uri="{FF2B5EF4-FFF2-40B4-BE49-F238E27FC236}">
                  <a16:creationId xmlns:a16="http://schemas.microsoft.com/office/drawing/2014/main" id="{00000000-0008-0000-1200-000004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8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9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41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43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4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6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48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50.emf"/><Relationship Id="rId5" Type="http://schemas.openxmlformats.org/officeDocument/2006/relationships/control" Target="../activeX/activeX41.xml"/><Relationship Id="rId4" Type="http://schemas.openxmlformats.org/officeDocument/2006/relationships/image" Target="../media/image4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52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51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53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9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63.emf"/><Relationship Id="rId34" Type="http://schemas.openxmlformats.org/officeDocument/2006/relationships/control" Target="../activeX/activeX60.xml"/><Relationship Id="rId7" Type="http://schemas.openxmlformats.org/officeDocument/2006/relationships/image" Target="../media/image56.emf"/><Relationship Id="rId12" Type="http://schemas.openxmlformats.org/officeDocument/2006/relationships/control" Target="../activeX/activeX49.xml"/><Relationship Id="rId17" Type="http://schemas.openxmlformats.org/officeDocument/2006/relationships/image" Target="../media/image61.emf"/><Relationship Id="rId25" Type="http://schemas.openxmlformats.org/officeDocument/2006/relationships/image" Target="../media/image65.emf"/><Relationship Id="rId33" Type="http://schemas.openxmlformats.org/officeDocument/2006/relationships/image" Target="../media/image69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67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58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5" Type="http://schemas.openxmlformats.org/officeDocument/2006/relationships/image" Target="../media/image55.emf"/><Relationship Id="rId15" Type="http://schemas.openxmlformats.org/officeDocument/2006/relationships/image" Target="../media/image60.emf"/><Relationship Id="rId23" Type="http://schemas.openxmlformats.org/officeDocument/2006/relationships/image" Target="../media/image64.emf"/><Relationship Id="rId28" Type="http://schemas.openxmlformats.org/officeDocument/2006/relationships/control" Target="../activeX/activeX57.xml"/><Relationship Id="rId36" Type="http://schemas.openxmlformats.org/officeDocument/2006/relationships/comments" Target="../comments7.xml"/><Relationship Id="rId10" Type="http://schemas.openxmlformats.org/officeDocument/2006/relationships/control" Target="../activeX/activeX48.xml"/><Relationship Id="rId19" Type="http://schemas.openxmlformats.org/officeDocument/2006/relationships/image" Target="../media/image62.emf"/><Relationship Id="rId31" Type="http://schemas.openxmlformats.org/officeDocument/2006/relationships/image" Target="../media/image68.emf"/><Relationship Id="rId4" Type="http://schemas.openxmlformats.org/officeDocument/2006/relationships/control" Target="../activeX/activeX45.xml"/><Relationship Id="rId9" Type="http://schemas.openxmlformats.org/officeDocument/2006/relationships/image" Target="../media/image57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66.emf"/><Relationship Id="rId30" Type="http://schemas.openxmlformats.org/officeDocument/2006/relationships/control" Target="../activeX/activeX58.xml"/><Relationship Id="rId35" Type="http://schemas.openxmlformats.org/officeDocument/2006/relationships/image" Target="../media/image70.emf"/><Relationship Id="rId8" Type="http://schemas.openxmlformats.org/officeDocument/2006/relationships/control" Target="../activeX/activeX4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13" Type="http://schemas.openxmlformats.org/officeDocument/2006/relationships/image" Target="../media/image75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72.emf"/><Relationship Id="rId12" Type="http://schemas.openxmlformats.org/officeDocument/2006/relationships/control" Target="../activeX/activeX6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2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73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2.emf"/><Relationship Id="rId12" Type="http://schemas.openxmlformats.org/officeDocument/2006/relationships/comments" Target="../comments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7.xml"/><Relationship Id="rId11" Type="http://schemas.openxmlformats.org/officeDocument/2006/relationships/image" Target="../media/image75.emf"/><Relationship Id="rId5" Type="http://schemas.openxmlformats.org/officeDocument/2006/relationships/image" Target="../media/image73.emf"/><Relationship Id="rId10" Type="http://schemas.openxmlformats.org/officeDocument/2006/relationships/control" Target="../activeX/activeX69.xml"/><Relationship Id="rId4" Type="http://schemas.openxmlformats.org/officeDocument/2006/relationships/control" Target="../activeX/activeX66.xml"/><Relationship Id="rId9" Type="http://schemas.openxmlformats.org/officeDocument/2006/relationships/image" Target="../media/image7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7.emf"/><Relationship Id="rId12" Type="http://schemas.openxmlformats.org/officeDocument/2006/relationships/comments" Target="../comments10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1.xml"/><Relationship Id="rId11" Type="http://schemas.openxmlformats.org/officeDocument/2006/relationships/image" Target="../media/image75.emf"/><Relationship Id="rId5" Type="http://schemas.openxmlformats.org/officeDocument/2006/relationships/image" Target="../media/image73.emf"/><Relationship Id="rId10" Type="http://schemas.openxmlformats.org/officeDocument/2006/relationships/control" Target="../activeX/activeX73.xml"/><Relationship Id="rId4" Type="http://schemas.openxmlformats.org/officeDocument/2006/relationships/control" Target="../activeX/activeX70.xml"/><Relationship Id="rId9" Type="http://schemas.openxmlformats.org/officeDocument/2006/relationships/image" Target="../media/image71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image" Target="../media/image82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9.emf"/><Relationship Id="rId12" Type="http://schemas.openxmlformats.org/officeDocument/2006/relationships/control" Target="../activeX/activeX7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5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77.xml"/><Relationship Id="rId4" Type="http://schemas.openxmlformats.org/officeDocument/2006/relationships/control" Target="../activeX/activeX74.xml"/><Relationship Id="rId9" Type="http://schemas.openxmlformats.org/officeDocument/2006/relationships/image" Target="../media/image80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81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80.xml"/><Relationship Id="rId11" Type="http://schemas.openxmlformats.org/officeDocument/2006/relationships/image" Target="../media/image79.emf"/><Relationship Id="rId5" Type="http://schemas.openxmlformats.org/officeDocument/2006/relationships/image" Target="../media/image83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82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5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5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4.xml"/><Relationship Id="rId11" Type="http://schemas.openxmlformats.org/officeDocument/2006/relationships/image" Target="../media/image87.emf"/><Relationship Id="rId5" Type="http://schemas.openxmlformats.org/officeDocument/2006/relationships/image" Target="../media/image84.emf"/><Relationship Id="rId10" Type="http://schemas.openxmlformats.org/officeDocument/2006/relationships/control" Target="../activeX/activeX86.xml"/><Relationship Id="rId4" Type="http://schemas.openxmlformats.org/officeDocument/2006/relationships/control" Target="../activeX/activeX83.xml"/><Relationship Id="rId9" Type="http://schemas.openxmlformats.org/officeDocument/2006/relationships/image" Target="../media/image8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9" customWidth="1"/>
    <col min="4" max="4" width="14" style="79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52" t="s">
        <v>340</v>
      </c>
      <c r="C2" s="452" t="s">
        <v>746</v>
      </c>
    </row>
    <row r="3" spans="2:3" ht="20.100000000000001" customHeight="1">
      <c r="B3" s="452" t="s">
        <v>641</v>
      </c>
      <c r="C3" s="452" t="s">
        <v>638</v>
      </c>
    </row>
    <row r="4" spans="2:3" ht="20.100000000000001" customHeight="1">
      <c r="B4" s="452" t="s">
        <v>642</v>
      </c>
      <c r="C4" s="452" t="s">
        <v>638</v>
      </c>
    </row>
    <row r="5" spans="2:3" ht="20.100000000000001" customHeight="1">
      <c r="B5" s="452" t="s">
        <v>643</v>
      </c>
      <c r="C5" s="452" t="s">
        <v>638</v>
      </c>
    </row>
    <row r="6" spans="2:3" ht="20.100000000000001" customHeight="1">
      <c r="B6" s="452" t="s">
        <v>644</v>
      </c>
      <c r="C6" s="452" t="s">
        <v>638</v>
      </c>
    </row>
    <row r="7" spans="2:3" ht="20.100000000000001" customHeight="1">
      <c r="B7" s="452" t="s">
        <v>645</v>
      </c>
      <c r="C7" s="452" t="s">
        <v>638</v>
      </c>
    </row>
    <row r="8" spans="2:3" ht="20.100000000000001" customHeight="1">
      <c r="B8" s="452" t="s">
        <v>646</v>
      </c>
      <c r="C8" s="452" t="s">
        <v>638</v>
      </c>
    </row>
    <row r="9" spans="2:3" ht="20.100000000000001" customHeight="1">
      <c r="B9" s="452" t="s">
        <v>640</v>
      </c>
      <c r="C9" s="452" t="s">
        <v>638</v>
      </c>
    </row>
    <row r="10" spans="2:3" ht="20.100000000000001" customHeight="1">
      <c r="B10" s="452" t="s">
        <v>639</v>
      </c>
      <c r="C10" s="452" t="s">
        <v>638</v>
      </c>
    </row>
    <row r="11" spans="2:3" ht="20.100000000000001" customHeight="1">
      <c r="B11" s="452" t="s">
        <v>647</v>
      </c>
      <c r="C11" s="452" t="s">
        <v>638</v>
      </c>
    </row>
    <row r="12" spans="2:3" ht="20.100000000000001" customHeight="1">
      <c r="B12" s="452" t="s">
        <v>648</v>
      </c>
      <c r="C12" s="452" t="s">
        <v>638</v>
      </c>
    </row>
    <row r="13" spans="2:3" ht="20.100000000000001" customHeight="1">
      <c r="B13" s="452" t="s">
        <v>649</v>
      </c>
      <c r="C13" s="452" t="s">
        <v>638</v>
      </c>
    </row>
    <row r="14" spans="2:3" ht="20.100000000000001" customHeight="1">
      <c r="B14" s="452" t="s">
        <v>650</v>
      </c>
      <c r="C14" s="452" t="s">
        <v>638</v>
      </c>
    </row>
    <row r="15" spans="2:3" ht="20.100000000000001" customHeight="1">
      <c r="B15" s="452" t="s">
        <v>651</v>
      </c>
      <c r="C15" s="452" t="s">
        <v>652</v>
      </c>
    </row>
    <row r="16" spans="2:3" ht="20.100000000000001" customHeight="1">
      <c r="B16" s="452" t="s">
        <v>653</v>
      </c>
      <c r="C16" s="452" t="s">
        <v>652</v>
      </c>
    </row>
    <row r="17" spans="2:3" ht="20.100000000000001" customHeight="1">
      <c r="B17" s="452" t="s">
        <v>654</v>
      </c>
      <c r="C17" s="452" t="s">
        <v>652</v>
      </c>
    </row>
    <row r="18" spans="2:3" ht="20.100000000000001" customHeight="1">
      <c r="B18" s="452" t="s">
        <v>655</v>
      </c>
      <c r="C18" s="452" t="s">
        <v>652</v>
      </c>
    </row>
    <row r="19" spans="2:3" ht="20.100000000000001" customHeight="1">
      <c r="B19" s="452" t="s">
        <v>656</v>
      </c>
      <c r="C19" s="452" t="s">
        <v>652</v>
      </c>
    </row>
    <row r="20" spans="2:3" ht="20.100000000000001" customHeight="1">
      <c r="B20" s="452" t="s">
        <v>657</v>
      </c>
      <c r="C20" s="452" t="s">
        <v>652</v>
      </c>
    </row>
    <row r="21" spans="2:3" ht="20.100000000000001" customHeight="1">
      <c r="B21" s="452" t="s">
        <v>658</v>
      </c>
      <c r="C21" s="452" t="s">
        <v>652</v>
      </c>
    </row>
    <row r="22" spans="2:3" ht="20.100000000000001" customHeight="1">
      <c r="B22" s="452" t="s">
        <v>659</v>
      </c>
      <c r="C22" s="452" t="s">
        <v>652</v>
      </c>
    </row>
    <row r="23" spans="2:3" ht="20.100000000000001" customHeight="1">
      <c r="B23" s="452" t="s">
        <v>660</v>
      </c>
      <c r="C23" s="452" t="s">
        <v>652</v>
      </c>
    </row>
    <row r="24" spans="2:3" ht="20.100000000000001" customHeight="1">
      <c r="B24" s="452" t="s">
        <v>661</v>
      </c>
      <c r="C24" s="452" t="s">
        <v>652</v>
      </c>
    </row>
    <row r="25" spans="2:3" ht="20.100000000000001" customHeight="1">
      <c r="B25" s="452" t="s">
        <v>662</v>
      </c>
      <c r="C25" s="452" t="s">
        <v>663</v>
      </c>
    </row>
    <row r="26" spans="2:3" ht="20.100000000000001" customHeight="1">
      <c r="B26" s="452" t="s">
        <v>664</v>
      </c>
      <c r="C26" s="452" t="s">
        <v>663</v>
      </c>
    </row>
    <row r="27" spans="2:3" ht="20.100000000000001" customHeight="1">
      <c r="B27" s="452" t="s">
        <v>665</v>
      </c>
      <c r="C27" s="452" t="s">
        <v>663</v>
      </c>
    </row>
    <row r="28" spans="2:3" ht="20.100000000000001" customHeight="1">
      <c r="B28" s="452" t="s">
        <v>666</v>
      </c>
      <c r="C28" s="452" t="s">
        <v>663</v>
      </c>
    </row>
    <row r="29" spans="2:3" ht="20.100000000000001" customHeight="1">
      <c r="B29" s="452" t="s">
        <v>667</v>
      </c>
      <c r="C29" s="452" t="s">
        <v>663</v>
      </c>
    </row>
    <row r="30" spans="2:3" ht="20.100000000000001" customHeight="1">
      <c r="B30" s="452" t="s">
        <v>668</v>
      </c>
      <c r="C30" s="452" t="s">
        <v>663</v>
      </c>
    </row>
    <row r="31" spans="2:3" ht="20.100000000000001" customHeight="1">
      <c r="B31" s="452" t="s">
        <v>669</v>
      </c>
      <c r="C31" s="452" t="s">
        <v>663</v>
      </c>
    </row>
    <row r="32" spans="2:3" ht="20.100000000000001" customHeight="1">
      <c r="B32" s="452" t="s">
        <v>670</v>
      </c>
      <c r="C32" s="452" t="s">
        <v>663</v>
      </c>
    </row>
    <row r="33" spans="2:3" ht="20.100000000000001" customHeight="1">
      <c r="B33" s="452" t="s">
        <v>671</v>
      </c>
      <c r="C33" s="452" t="s">
        <v>663</v>
      </c>
    </row>
    <row r="34" spans="2:3" ht="20.100000000000001" customHeight="1">
      <c r="B34" s="452" t="s">
        <v>672</v>
      </c>
      <c r="C34" s="452" t="s">
        <v>663</v>
      </c>
    </row>
    <row r="35" spans="2:3" ht="20.100000000000001" customHeight="1">
      <c r="B35" s="452" t="s">
        <v>673</v>
      </c>
      <c r="C35" s="452" t="s">
        <v>663</v>
      </c>
    </row>
    <row r="36" spans="2:3" ht="20.100000000000001" customHeight="1">
      <c r="B36" s="452" t="s">
        <v>674</v>
      </c>
      <c r="C36" s="452" t="s">
        <v>663</v>
      </c>
    </row>
    <row r="37" spans="2:3" ht="20.100000000000001" customHeight="1">
      <c r="B37" s="452" t="s">
        <v>675</v>
      </c>
      <c r="C37" s="452" t="s">
        <v>663</v>
      </c>
    </row>
    <row r="38" spans="2:3" ht="20.100000000000001" customHeight="1">
      <c r="B38" s="452" t="s">
        <v>676</v>
      </c>
      <c r="C38" s="452" t="s">
        <v>663</v>
      </c>
    </row>
    <row r="39" spans="2:3" ht="20.100000000000001" customHeight="1">
      <c r="B39" s="452" t="s">
        <v>677</v>
      </c>
      <c r="C39" s="452" t="s">
        <v>663</v>
      </c>
    </row>
    <row r="40" spans="2:3" ht="20.100000000000001" customHeight="1">
      <c r="B40" s="452" t="s">
        <v>678</v>
      </c>
      <c r="C40" s="452" t="s">
        <v>679</v>
      </c>
    </row>
    <row r="41" spans="2:3" ht="20.100000000000001" customHeight="1">
      <c r="B41" s="452" t="s">
        <v>680</v>
      </c>
      <c r="C41" s="452" t="s">
        <v>679</v>
      </c>
    </row>
    <row r="42" spans="2:3" ht="20.100000000000001" customHeight="1">
      <c r="B42" s="452" t="s">
        <v>681</v>
      </c>
      <c r="C42" s="452" t="s">
        <v>679</v>
      </c>
    </row>
    <row r="43" spans="2:3" ht="20.100000000000001" customHeight="1">
      <c r="B43" s="452" t="s">
        <v>682</v>
      </c>
      <c r="C43" s="452" t="s">
        <v>679</v>
      </c>
    </row>
    <row r="44" spans="2:3" ht="20.100000000000001" customHeight="1">
      <c r="B44" s="452" t="s">
        <v>683</v>
      </c>
      <c r="C44" s="452" t="s">
        <v>679</v>
      </c>
    </row>
    <row r="45" spans="2:3" ht="20.100000000000001" customHeight="1">
      <c r="B45" s="452" t="s">
        <v>684</v>
      </c>
      <c r="C45" s="452" t="s">
        <v>679</v>
      </c>
    </row>
    <row r="46" spans="2:3" ht="20.100000000000001" customHeight="1">
      <c r="B46" s="452" t="s">
        <v>685</v>
      </c>
      <c r="C46" s="452" t="s">
        <v>679</v>
      </c>
    </row>
    <row r="47" spans="2:3" ht="20.100000000000001" customHeight="1">
      <c r="B47" s="452" t="s">
        <v>686</v>
      </c>
      <c r="C47" s="452" t="s">
        <v>679</v>
      </c>
    </row>
    <row r="48" spans="2:3" ht="20.100000000000001" customHeight="1">
      <c r="B48" s="452" t="s">
        <v>687</v>
      </c>
      <c r="C48" s="452" t="s">
        <v>679</v>
      </c>
    </row>
    <row r="49" spans="2:3" ht="20.100000000000001" customHeight="1">
      <c r="B49" s="452" t="s">
        <v>688</v>
      </c>
      <c r="C49" s="452" t="s">
        <v>679</v>
      </c>
    </row>
    <row r="50" spans="2:3" ht="20.100000000000001" customHeight="1">
      <c r="B50" s="452" t="s">
        <v>689</v>
      </c>
      <c r="C50" s="452" t="s">
        <v>679</v>
      </c>
    </row>
    <row r="51" spans="2:3" ht="20.100000000000001" customHeight="1">
      <c r="B51" s="452" t="s">
        <v>690</v>
      </c>
      <c r="C51" s="452" t="s">
        <v>679</v>
      </c>
    </row>
    <row r="52" spans="2:3" ht="20.100000000000001" customHeight="1">
      <c r="B52" s="452" t="s">
        <v>691</v>
      </c>
      <c r="C52" s="452" t="s">
        <v>679</v>
      </c>
    </row>
    <row r="53" spans="2:3" ht="20.100000000000001" customHeight="1">
      <c r="B53" s="452" t="s">
        <v>692</v>
      </c>
      <c r="C53" s="452" t="s">
        <v>679</v>
      </c>
    </row>
    <row r="54" spans="2:3" ht="20.100000000000001" customHeight="1">
      <c r="B54" s="452" t="s">
        <v>693</v>
      </c>
      <c r="C54" s="452" t="s">
        <v>679</v>
      </c>
    </row>
    <row r="55" spans="2:3" ht="20.100000000000001" customHeight="1">
      <c r="B55" s="452" t="s">
        <v>694</v>
      </c>
      <c r="C55" s="452" t="s">
        <v>679</v>
      </c>
    </row>
    <row r="56" spans="2:3" ht="20.100000000000001" customHeight="1">
      <c r="B56" s="452" t="s">
        <v>695</v>
      </c>
      <c r="C56" s="452" t="s">
        <v>679</v>
      </c>
    </row>
    <row r="57" spans="2:3" ht="20.100000000000001" customHeight="1">
      <c r="B57" s="452" t="s">
        <v>696</v>
      </c>
      <c r="C57" s="452" t="s">
        <v>679</v>
      </c>
    </row>
    <row r="58" spans="2:3" ht="20.100000000000001" customHeight="1">
      <c r="B58" s="452" t="s">
        <v>697</v>
      </c>
      <c r="C58" s="452" t="s">
        <v>679</v>
      </c>
    </row>
    <row r="59" spans="2:3" ht="20.100000000000001" customHeight="1">
      <c r="B59" s="452" t="s">
        <v>698</v>
      </c>
      <c r="C59" s="452" t="s">
        <v>679</v>
      </c>
    </row>
    <row r="60" spans="2:3" ht="20.100000000000001" customHeight="1">
      <c r="B60" s="452" t="s">
        <v>699</v>
      </c>
      <c r="C60" s="452" t="s">
        <v>679</v>
      </c>
    </row>
    <row r="61" spans="2:3" ht="20.100000000000001" customHeight="1">
      <c r="B61" s="452" t="s">
        <v>700</v>
      </c>
      <c r="C61" s="452" t="s">
        <v>679</v>
      </c>
    </row>
    <row r="62" spans="2:3" ht="20.100000000000001" customHeight="1">
      <c r="B62" s="452" t="s">
        <v>701</v>
      </c>
      <c r="C62" s="452" t="s">
        <v>679</v>
      </c>
    </row>
    <row r="63" spans="2:3" ht="20.100000000000001" customHeight="1">
      <c r="B63" s="452" t="s">
        <v>702</v>
      </c>
      <c r="C63" s="452" t="s">
        <v>679</v>
      </c>
    </row>
    <row r="64" spans="2:3" ht="20.100000000000001" customHeight="1">
      <c r="B64" s="452" t="s">
        <v>703</v>
      </c>
      <c r="C64" s="452" t="s">
        <v>679</v>
      </c>
    </row>
    <row r="65" spans="2:3" ht="20.100000000000001" customHeight="1">
      <c r="B65" s="452" t="s">
        <v>704</v>
      </c>
      <c r="C65" s="452" t="s">
        <v>679</v>
      </c>
    </row>
    <row r="66" spans="2:3" ht="20.100000000000001" customHeight="1">
      <c r="B66" s="452" t="s">
        <v>705</v>
      </c>
      <c r="C66" s="452" t="s">
        <v>679</v>
      </c>
    </row>
    <row r="67" spans="2:3" ht="20.100000000000001" customHeight="1">
      <c r="B67" s="452" t="s">
        <v>706</v>
      </c>
      <c r="C67" s="452" t="s">
        <v>679</v>
      </c>
    </row>
    <row r="68" spans="2:3" ht="20.100000000000001" customHeight="1">
      <c r="B68" s="452" t="s">
        <v>707</v>
      </c>
      <c r="C68" s="452" t="s">
        <v>708</v>
      </c>
    </row>
    <row r="69" spans="2:3" ht="20.100000000000001" customHeight="1">
      <c r="B69" s="452" t="s">
        <v>709</v>
      </c>
      <c r="C69" s="452" t="s">
        <v>708</v>
      </c>
    </row>
    <row r="70" spans="2:3" ht="20.100000000000001" customHeight="1">
      <c r="B70" s="452" t="s">
        <v>710</v>
      </c>
      <c r="C70" s="452" t="s">
        <v>708</v>
      </c>
    </row>
    <row r="71" spans="2:3" ht="20.100000000000001" customHeight="1">
      <c r="B71" s="452" t="s">
        <v>711</v>
      </c>
      <c r="C71" s="452" t="s">
        <v>708</v>
      </c>
    </row>
    <row r="72" spans="2:3" ht="20.100000000000001" customHeight="1">
      <c r="B72" s="452" t="s">
        <v>712</v>
      </c>
      <c r="C72" s="452" t="s">
        <v>708</v>
      </c>
    </row>
    <row r="73" spans="2:3" ht="20.100000000000001" customHeight="1">
      <c r="B73" s="452" t="s">
        <v>713</v>
      </c>
      <c r="C73" s="452" t="s">
        <v>708</v>
      </c>
    </row>
    <row r="74" spans="2:3" ht="20.100000000000001" customHeight="1">
      <c r="B74" s="452" t="s">
        <v>714</v>
      </c>
      <c r="C74" s="452" t="s">
        <v>708</v>
      </c>
    </row>
    <row r="75" spans="2:3" ht="20.100000000000001" customHeight="1">
      <c r="B75" s="452" t="s">
        <v>715</v>
      </c>
      <c r="C75" s="452" t="s">
        <v>708</v>
      </c>
    </row>
    <row r="76" spans="2:3" ht="20.100000000000001" customHeight="1">
      <c r="B76" s="452" t="s">
        <v>716</v>
      </c>
      <c r="C76" s="452" t="s">
        <v>708</v>
      </c>
    </row>
    <row r="77" spans="2:3" ht="20.100000000000001" customHeight="1">
      <c r="B77" s="452" t="s">
        <v>717</v>
      </c>
      <c r="C77" s="452" t="s">
        <v>708</v>
      </c>
    </row>
    <row r="78" spans="2:3" ht="20.100000000000001" customHeight="1">
      <c r="B78" s="452" t="s">
        <v>718</v>
      </c>
      <c r="C78" s="452" t="s">
        <v>708</v>
      </c>
    </row>
    <row r="79" spans="2:3" ht="20.100000000000001" customHeight="1">
      <c r="B79" s="452" t="s">
        <v>719</v>
      </c>
      <c r="C79" s="452" t="s">
        <v>708</v>
      </c>
    </row>
    <row r="80" spans="2:3" ht="20.100000000000001" customHeight="1">
      <c r="B80" s="452" t="s">
        <v>720</v>
      </c>
      <c r="C80" s="452" t="s">
        <v>708</v>
      </c>
    </row>
    <row r="81" spans="2:3" ht="20.100000000000001" customHeight="1">
      <c r="B81" s="452" t="s">
        <v>721</v>
      </c>
      <c r="C81" s="452" t="s">
        <v>708</v>
      </c>
    </row>
    <row r="82" spans="2:3" ht="20.100000000000001" customHeight="1">
      <c r="B82" s="452" t="s">
        <v>722</v>
      </c>
      <c r="C82" s="452" t="s">
        <v>708</v>
      </c>
    </row>
    <row r="83" spans="2:3" ht="20.100000000000001" customHeight="1">
      <c r="B83" s="452" t="s">
        <v>723</v>
      </c>
      <c r="C83" s="452" t="s">
        <v>708</v>
      </c>
    </row>
    <row r="84" spans="2:3" ht="20.100000000000001" customHeight="1">
      <c r="B84" s="452" t="s">
        <v>724</v>
      </c>
      <c r="C84" s="452" t="s">
        <v>708</v>
      </c>
    </row>
    <row r="85" spans="2:3" ht="20.100000000000001" customHeight="1">
      <c r="B85" s="452" t="s">
        <v>725</v>
      </c>
      <c r="C85" s="452" t="s">
        <v>708</v>
      </c>
    </row>
    <row r="86" spans="2:3" ht="20.100000000000001" customHeight="1">
      <c r="B86" s="452" t="s">
        <v>726</v>
      </c>
      <c r="C86" s="452" t="s">
        <v>708</v>
      </c>
    </row>
    <row r="87" spans="2:3" ht="20.100000000000001" customHeight="1">
      <c r="B87" s="452" t="s">
        <v>727</v>
      </c>
      <c r="C87" s="452" t="s">
        <v>708</v>
      </c>
    </row>
    <row r="88" spans="2:3" ht="20.100000000000001" customHeight="1">
      <c r="B88" s="452" t="s">
        <v>728</v>
      </c>
      <c r="C88" s="452" t="s">
        <v>708</v>
      </c>
    </row>
    <row r="89" spans="2:3" ht="20.100000000000001" customHeight="1">
      <c r="B89" s="452" t="s">
        <v>729</v>
      </c>
      <c r="C89" s="452" t="s">
        <v>708</v>
      </c>
    </row>
    <row r="90" spans="2:3" ht="20.100000000000001" customHeight="1">
      <c r="B90" s="452" t="s">
        <v>730</v>
      </c>
      <c r="C90" s="452" t="s">
        <v>708</v>
      </c>
    </row>
    <row r="91" spans="2:3" ht="20.100000000000001" customHeight="1">
      <c r="B91" s="452" t="s">
        <v>731</v>
      </c>
      <c r="C91" s="452" t="s">
        <v>708</v>
      </c>
    </row>
    <row r="92" spans="2:3" ht="20.100000000000001" customHeight="1">
      <c r="B92" s="452" t="s">
        <v>732</v>
      </c>
      <c r="C92" s="452" t="s">
        <v>708</v>
      </c>
    </row>
    <row r="93" spans="2:3" ht="20.100000000000001" customHeight="1">
      <c r="B93" s="452" t="s">
        <v>733</v>
      </c>
      <c r="C93" s="452" t="s">
        <v>708</v>
      </c>
    </row>
    <row r="94" spans="2:3" ht="20.100000000000001" customHeight="1">
      <c r="B94" s="452" t="s">
        <v>734</v>
      </c>
      <c r="C94" s="452" t="s">
        <v>708</v>
      </c>
    </row>
    <row r="95" spans="2:3" ht="20.100000000000001" customHeight="1">
      <c r="B95" s="452" t="s">
        <v>735</v>
      </c>
      <c r="C95" s="452" t="s">
        <v>708</v>
      </c>
    </row>
    <row r="96" spans="2:3" ht="20.100000000000001" customHeight="1">
      <c r="B96" s="452" t="s">
        <v>736</v>
      </c>
      <c r="C96" s="452" t="s">
        <v>708</v>
      </c>
    </row>
    <row r="97" spans="2:3" ht="20.100000000000001" customHeight="1">
      <c r="B97" s="452" t="s">
        <v>737</v>
      </c>
      <c r="C97" s="452" t="s">
        <v>708</v>
      </c>
    </row>
    <row r="98" spans="2:3" ht="20.100000000000001" customHeight="1">
      <c r="B98" s="452" t="s">
        <v>738</v>
      </c>
      <c r="C98" s="452" t="s">
        <v>708</v>
      </c>
    </row>
    <row r="99" spans="2:3" ht="20.100000000000001" customHeight="1">
      <c r="B99" s="452" t="s">
        <v>739</v>
      </c>
      <c r="C99" s="452" t="s">
        <v>708</v>
      </c>
    </row>
    <row r="100" spans="2:3" ht="20.100000000000001" customHeight="1">
      <c r="B100" s="452" t="s">
        <v>740</v>
      </c>
      <c r="C100" s="452" t="s">
        <v>741</v>
      </c>
    </row>
    <row r="101" spans="2:3" ht="20.100000000000001" customHeight="1">
      <c r="B101" s="452" t="s">
        <v>742</v>
      </c>
      <c r="C101" s="452" t="s">
        <v>741</v>
      </c>
    </row>
    <row r="102" spans="2:3" ht="20.100000000000001" customHeight="1">
      <c r="B102" s="452" t="s">
        <v>743</v>
      </c>
      <c r="C102" s="452" t="s">
        <v>741</v>
      </c>
    </row>
    <row r="103" spans="2:3" ht="20.100000000000001" customHeight="1">
      <c r="B103" s="452" t="s">
        <v>744</v>
      </c>
      <c r="C103" s="452" t="s">
        <v>741</v>
      </c>
    </row>
    <row r="104" spans="2:3" ht="16.5">
      <c r="B104" s="452" t="s">
        <v>745</v>
      </c>
      <c r="C104" s="452" t="s">
        <v>741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50" customWidth="1"/>
    <col min="2" max="2" width="16.5546875" style="150" customWidth="1"/>
    <col min="3" max="3" width="7.5546875" style="150" customWidth="1"/>
    <col min="4" max="4" width="7.33203125" style="150" bestFit="1" customWidth="1"/>
    <col min="5" max="5" width="3.21875" style="150" customWidth="1"/>
    <col min="6" max="6" width="8.88671875" style="150"/>
    <col min="7" max="7" width="15.77734375" style="150" customWidth="1"/>
    <col min="8" max="9" width="6.77734375" style="150" customWidth="1"/>
    <col min="10" max="10" width="3.44140625" style="150" customWidth="1"/>
    <col min="11" max="11" width="8.88671875" style="150"/>
    <col min="12" max="12" width="18.77734375" style="150" customWidth="1"/>
    <col min="13" max="14" width="6" style="150" customWidth="1"/>
    <col min="15" max="15" width="3.21875" style="150" customWidth="1"/>
    <col min="16" max="16" width="10.5546875" style="150" customWidth="1"/>
    <col min="17" max="17" width="10.44140625" style="150" customWidth="1"/>
    <col min="18" max="18" width="6.88671875" style="150" customWidth="1"/>
    <col min="19" max="19" width="3.6640625" style="150" customWidth="1"/>
    <col min="20" max="21" width="8.88671875" style="150"/>
    <col min="22" max="22" width="6.5546875" style="150" customWidth="1"/>
    <col min="23" max="23" width="4.21875" style="150" customWidth="1"/>
    <col min="24" max="25" width="8.88671875" style="150"/>
    <col min="26" max="26" width="6.33203125" style="150" customWidth="1"/>
    <col min="27" max="27" width="6.21875" style="150" customWidth="1"/>
    <col min="28" max="28" width="4.77734375" style="150" customWidth="1"/>
    <col min="29" max="29" width="8.88671875" style="150"/>
    <col min="30" max="30" width="7.109375" style="150" customWidth="1"/>
    <col min="31" max="16384" width="8.88671875" style="150"/>
  </cols>
  <sheetData>
    <row r="1" spans="1:17">
      <c r="A1" s="150" t="s">
        <v>340</v>
      </c>
      <c r="B1" s="150" t="s">
        <v>189</v>
      </c>
      <c r="C1" s="150" t="s">
        <v>472</v>
      </c>
      <c r="D1" s="150" t="s">
        <v>471</v>
      </c>
      <c r="F1" s="150" t="s">
        <v>340</v>
      </c>
      <c r="G1" s="150" t="s">
        <v>189</v>
      </c>
      <c r="H1" s="150" t="s">
        <v>472</v>
      </c>
      <c r="I1" s="150" t="s">
        <v>471</v>
      </c>
      <c r="K1" s="150" t="s">
        <v>340</v>
      </c>
      <c r="L1" s="150" t="s">
        <v>189</v>
      </c>
      <c r="M1" s="150" t="s">
        <v>472</v>
      </c>
      <c r="N1" s="150" t="s">
        <v>471</v>
      </c>
      <c r="P1" s="150" t="s">
        <v>340</v>
      </c>
      <c r="Q1" s="150" t="s">
        <v>472</v>
      </c>
    </row>
    <row r="2" spans="1:17">
      <c r="A2" s="150" t="s">
        <v>555</v>
      </c>
      <c r="B2" s="150" t="s">
        <v>554</v>
      </c>
      <c r="C2" s="150">
        <v>116</v>
      </c>
      <c r="D2" s="150">
        <v>14</v>
      </c>
      <c r="F2" s="150" t="s">
        <v>553</v>
      </c>
      <c r="G2" s="150" t="s">
        <v>552</v>
      </c>
      <c r="H2" s="150">
        <v>105</v>
      </c>
      <c r="I2" s="150">
        <v>38</v>
      </c>
      <c r="K2" s="150" t="s">
        <v>551</v>
      </c>
      <c r="L2" s="150" t="s">
        <v>550</v>
      </c>
      <c r="M2" s="150">
        <v>226</v>
      </c>
      <c r="N2" s="150">
        <v>54</v>
      </c>
      <c r="P2" s="150" t="s">
        <v>549</v>
      </c>
      <c r="Q2" s="150" t="s">
        <v>548</v>
      </c>
    </row>
    <row r="3" spans="1:17">
      <c r="A3" s="150" t="s">
        <v>547</v>
      </c>
      <c r="B3" s="150" t="s">
        <v>546</v>
      </c>
      <c r="C3" s="150">
        <v>108</v>
      </c>
      <c r="D3" s="150">
        <v>14</v>
      </c>
      <c r="F3" s="150" t="s">
        <v>545</v>
      </c>
      <c r="G3" s="150" t="s">
        <v>544</v>
      </c>
      <c r="H3" s="150">
        <v>100</v>
      </c>
      <c r="I3" s="150">
        <v>38</v>
      </c>
      <c r="K3" s="150" t="s">
        <v>543</v>
      </c>
      <c r="L3" s="150" t="s">
        <v>542</v>
      </c>
      <c r="M3" s="150">
        <v>221</v>
      </c>
      <c r="N3" s="150">
        <v>54</v>
      </c>
      <c r="P3" s="150" t="s">
        <v>541</v>
      </c>
      <c r="Q3" s="150" t="s">
        <v>540</v>
      </c>
    </row>
    <row r="4" spans="1:17">
      <c r="A4" s="150" t="s">
        <v>539</v>
      </c>
      <c r="B4" s="150" t="s">
        <v>538</v>
      </c>
      <c r="C4" s="150">
        <v>201</v>
      </c>
      <c r="D4" s="150">
        <v>22</v>
      </c>
      <c r="F4" s="150" t="s">
        <v>537</v>
      </c>
      <c r="G4" s="150" t="s">
        <v>536</v>
      </c>
      <c r="H4" s="150">
        <v>106</v>
      </c>
      <c r="I4" s="150">
        <v>38</v>
      </c>
      <c r="K4" s="150" t="s">
        <v>535</v>
      </c>
      <c r="L4" s="150" t="s">
        <v>534</v>
      </c>
      <c r="M4" s="150">
        <v>131</v>
      </c>
      <c r="N4" s="150">
        <v>54</v>
      </c>
      <c r="P4" s="150" t="s">
        <v>533</v>
      </c>
      <c r="Q4" s="150" t="s">
        <v>532</v>
      </c>
    </row>
    <row r="5" spans="1:17">
      <c r="A5" s="150" t="s">
        <v>531</v>
      </c>
      <c r="B5" s="150" t="s">
        <v>530</v>
      </c>
      <c r="C5" s="150">
        <v>102</v>
      </c>
      <c r="D5" s="150">
        <v>22</v>
      </c>
      <c r="F5" s="150" t="s">
        <v>529</v>
      </c>
      <c r="G5" s="150" t="s">
        <v>528</v>
      </c>
      <c r="H5" s="150">
        <v>104</v>
      </c>
      <c r="I5" s="150">
        <v>38</v>
      </c>
      <c r="K5" s="150" t="s">
        <v>527</v>
      </c>
      <c r="L5" s="150" t="s">
        <v>526</v>
      </c>
      <c r="M5" s="150">
        <v>135</v>
      </c>
      <c r="N5" s="150">
        <v>54</v>
      </c>
      <c r="P5" s="150" t="s">
        <v>525</v>
      </c>
      <c r="Q5" s="150" t="s">
        <v>524</v>
      </c>
    </row>
    <row r="6" spans="1:17">
      <c r="A6" s="150" t="s">
        <v>523</v>
      </c>
      <c r="B6" s="150" t="s">
        <v>522</v>
      </c>
      <c r="C6" s="150">
        <v>112</v>
      </c>
      <c r="D6" s="150">
        <v>22</v>
      </c>
      <c r="F6" s="150" t="s">
        <v>521</v>
      </c>
      <c r="G6" s="150" t="s">
        <v>520</v>
      </c>
      <c r="H6" s="150">
        <v>93</v>
      </c>
      <c r="I6" s="150">
        <v>38</v>
      </c>
      <c r="K6" s="150" t="s">
        <v>535</v>
      </c>
      <c r="L6" s="150" t="s">
        <v>519</v>
      </c>
      <c r="M6" s="150">
        <v>127</v>
      </c>
      <c r="N6" s="150">
        <v>54</v>
      </c>
      <c r="P6" s="150" t="s">
        <v>518</v>
      </c>
      <c r="Q6" s="150" t="s">
        <v>517</v>
      </c>
    </row>
    <row r="7" spans="1:17">
      <c r="A7" s="150" t="s">
        <v>516</v>
      </c>
      <c r="B7" s="150" t="s">
        <v>515</v>
      </c>
      <c r="C7" s="150">
        <v>98</v>
      </c>
      <c r="D7" s="150">
        <v>32</v>
      </c>
      <c r="F7" s="150" t="s">
        <v>514</v>
      </c>
      <c r="G7" s="150" t="s">
        <v>513</v>
      </c>
      <c r="H7" s="150">
        <v>214</v>
      </c>
      <c r="I7" s="150">
        <v>38</v>
      </c>
      <c r="K7" s="150" t="s">
        <v>624</v>
      </c>
      <c r="L7" s="150" t="s">
        <v>512</v>
      </c>
      <c r="M7" s="150">
        <v>133</v>
      </c>
      <c r="N7" s="150">
        <v>28</v>
      </c>
      <c r="P7" s="150" t="s">
        <v>511</v>
      </c>
      <c r="Q7" s="150" t="s">
        <v>510</v>
      </c>
    </row>
    <row r="8" spans="1:17">
      <c r="A8" s="150" t="s">
        <v>509</v>
      </c>
      <c r="B8" s="150" t="s">
        <v>508</v>
      </c>
      <c r="C8" s="150">
        <v>119</v>
      </c>
      <c r="D8" s="150">
        <v>32</v>
      </c>
      <c r="F8" s="150" t="s">
        <v>507</v>
      </c>
      <c r="G8" s="150" t="s">
        <v>506</v>
      </c>
      <c r="H8" s="150">
        <v>90</v>
      </c>
      <c r="I8" s="150">
        <v>38</v>
      </c>
      <c r="K8" s="150" t="s">
        <v>505</v>
      </c>
      <c r="L8" s="150" t="s">
        <v>504</v>
      </c>
      <c r="M8" s="150">
        <v>239</v>
      </c>
      <c r="N8" s="150">
        <v>132</v>
      </c>
      <c r="P8" s="150" t="s">
        <v>775</v>
      </c>
      <c r="Q8" s="150" t="s">
        <v>776</v>
      </c>
    </row>
    <row r="9" spans="1:17">
      <c r="A9" s="150" t="s">
        <v>503</v>
      </c>
      <c r="B9" s="150" t="s">
        <v>502</v>
      </c>
      <c r="C9" s="150">
        <v>202</v>
      </c>
      <c r="D9" s="150">
        <v>32</v>
      </c>
      <c r="F9" s="150" t="s">
        <v>501</v>
      </c>
      <c r="G9" s="150" t="s">
        <v>500</v>
      </c>
      <c r="H9" s="150">
        <v>121</v>
      </c>
      <c r="I9" s="150">
        <v>38</v>
      </c>
      <c r="K9" s="150" t="s">
        <v>499</v>
      </c>
      <c r="L9" s="150" t="s">
        <v>498</v>
      </c>
      <c r="M9" s="150">
        <v>238</v>
      </c>
      <c r="N9" s="150">
        <v>60</v>
      </c>
    </row>
    <row r="10" spans="1:17">
      <c r="A10" s="150" t="s">
        <v>497</v>
      </c>
      <c r="B10" s="150" t="s">
        <v>496</v>
      </c>
      <c r="C10" s="150">
        <v>203</v>
      </c>
      <c r="D10" s="150">
        <v>32</v>
      </c>
      <c r="F10" s="150" t="s">
        <v>495</v>
      </c>
      <c r="G10" s="150" t="s">
        <v>494</v>
      </c>
      <c r="H10" s="150">
        <v>114</v>
      </c>
      <c r="I10" s="150">
        <v>38</v>
      </c>
      <c r="K10" s="150" t="s">
        <v>493</v>
      </c>
      <c r="L10" s="150" t="s">
        <v>492</v>
      </c>
      <c r="M10" s="150">
        <v>235</v>
      </c>
      <c r="N10" s="150">
        <v>60</v>
      </c>
    </row>
    <row r="11" spans="1:17">
      <c r="A11" s="150" t="s">
        <v>491</v>
      </c>
      <c r="B11" s="150" t="s">
        <v>490</v>
      </c>
      <c r="C11" s="150">
        <v>99</v>
      </c>
      <c r="D11" s="150">
        <v>32</v>
      </c>
      <c r="F11" s="150" t="s">
        <v>489</v>
      </c>
      <c r="G11" s="150" t="s">
        <v>488</v>
      </c>
      <c r="H11" s="150">
        <v>211</v>
      </c>
      <c r="I11" s="150">
        <v>38</v>
      </c>
      <c r="K11" s="150" t="s">
        <v>487</v>
      </c>
      <c r="L11" s="150" t="s">
        <v>486</v>
      </c>
      <c r="M11" s="150">
        <v>236</v>
      </c>
      <c r="N11" s="150">
        <v>60</v>
      </c>
    </row>
    <row r="12" spans="1:17">
      <c r="F12" s="150" t="s">
        <v>485</v>
      </c>
      <c r="G12" s="150" t="s">
        <v>484</v>
      </c>
      <c r="H12" s="150">
        <v>217</v>
      </c>
      <c r="I12" s="150">
        <v>38</v>
      </c>
      <c r="K12" s="150" t="s">
        <v>625</v>
      </c>
      <c r="L12" s="150" t="s">
        <v>483</v>
      </c>
      <c r="M12" s="150">
        <v>129</v>
      </c>
      <c r="N12" s="150">
        <v>60</v>
      </c>
    </row>
    <row r="13" spans="1:17">
      <c r="F13" s="150" t="s">
        <v>482</v>
      </c>
      <c r="G13" s="150" t="s">
        <v>481</v>
      </c>
      <c r="H13" s="150">
        <v>95</v>
      </c>
      <c r="I13" s="150">
        <v>38</v>
      </c>
      <c r="K13" s="150" t="s">
        <v>626</v>
      </c>
      <c r="L13" s="150" t="s">
        <v>480</v>
      </c>
      <c r="M13" s="150">
        <v>232</v>
      </c>
      <c r="N13" s="150">
        <v>60</v>
      </c>
    </row>
    <row r="14" spans="1:17">
      <c r="F14" s="150" t="s">
        <v>479</v>
      </c>
      <c r="G14" s="150" t="s">
        <v>478</v>
      </c>
      <c r="H14" s="150">
        <v>101</v>
      </c>
      <c r="I14" s="150">
        <v>38</v>
      </c>
      <c r="K14" s="150" t="s">
        <v>627</v>
      </c>
      <c r="L14" s="150" t="s">
        <v>477</v>
      </c>
      <c r="M14" s="150">
        <v>177</v>
      </c>
      <c r="N14" s="150">
        <v>60</v>
      </c>
    </row>
    <row r="15" spans="1:17">
      <c r="F15" s="150" t="s">
        <v>476</v>
      </c>
      <c r="G15" s="150" t="s">
        <v>475</v>
      </c>
      <c r="H15" s="150">
        <v>216</v>
      </c>
      <c r="I15" s="150">
        <v>38</v>
      </c>
    </row>
    <row r="16" spans="1:17">
      <c r="F16" s="150" t="s">
        <v>474</v>
      </c>
      <c r="G16" s="150" t="s">
        <v>473</v>
      </c>
      <c r="H16" s="150">
        <v>212</v>
      </c>
      <c r="I16" s="150">
        <v>38</v>
      </c>
    </row>
    <row r="22" spans="1:14">
      <c r="A22" s="150" t="s">
        <v>340</v>
      </c>
      <c r="B22" s="150" t="s">
        <v>189</v>
      </c>
      <c r="C22" s="150" t="s">
        <v>472</v>
      </c>
      <c r="D22" s="150" t="s">
        <v>471</v>
      </c>
      <c r="F22" s="150" t="s">
        <v>340</v>
      </c>
      <c r="G22" s="150" t="s">
        <v>189</v>
      </c>
      <c r="H22" s="150" t="s">
        <v>472</v>
      </c>
      <c r="I22" s="150" t="s">
        <v>471</v>
      </c>
      <c r="K22" s="150" t="s">
        <v>340</v>
      </c>
      <c r="L22" s="150" t="s">
        <v>189</v>
      </c>
      <c r="M22" s="150" t="s">
        <v>472</v>
      </c>
      <c r="N22" s="150" t="s">
        <v>471</v>
      </c>
    </row>
    <row r="23" spans="1:14">
      <c r="A23" s="150" t="s">
        <v>470</v>
      </c>
      <c r="B23" s="150" t="s">
        <v>469</v>
      </c>
      <c r="C23" s="150">
        <v>156</v>
      </c>
      <c r="D23" s="150">
        <v>26</v>
      </c>
      <c r="F23" s="150" t="s">
        <v>468</v>
      </c>
      <c r="G23" s="150" t="s">
        <v>467</v>
      </c>
      <c r="H23" s="150">
        <v>143</v>
      </c>
      <c r="I23" s="150">
        <v>19</v>
      </c>
      <c r="K23" s="150" t="s">
        <v>466</v>
      </c>
      <c r="L23" s="150" t="s">
        <v>465</v>
      </c>
      <c r="M23" s="150">
        <v>185</v>
      </c>
      <c r="N23" s="150">
        <v>125</v>
      </c>
    </row>
    <row r="24" spans="1:14">
      <c r="A24" s="150" t="s">
        <v>464</v>
      </c>
      <c r="B24" s="150" t="s">
        <v>463</v>
      </c>
      <c r="C24" s="150">
        <v>172</v>
      </c>
      <c r="D24" s="150">
        <v>67</v>
      </c>
      <c r="F24" s="150" t="s">
        <v>462</v>
      </c>
      <c r="G24" s="150" t="s">
        <v>461</v>
      </c>
      <c r="H24" s="150">
        <v>176</v>
      </c>
      <c r="I24" s="150">
        <v>19</v>
      </c>
      <c r="K24" s="150" t="s">
        <v>460</v>
      </c>
      <c r="L24" s="150" t="s">
        <v>459</v>
      </c>
      <c r="M24" s="150">
        <v>189</v>
      </c>
      <c r="N24" s="150">
        <v>125</v>
      </c>
    </row>
    <row r="25" spans="1:14">
      <c r="A25" s="150" t="s">
        <v>458</v>
      </c>
      <c r="B25" s="150" t="s">
        <v>457</v>
      </c>
      <c r="C25" s="150">
        <v>251</v>
      </c>
      <c r="D25" s="150">
        <v>67</v>
      </c>
      <c r="F25" s="150" t="s">
        <v>456</v>
      </c>
      <c r="G25" s="150" t="s">
        <v>455</v>
      </c>
      <c r="H25" s="150">
        <v>152</v>
      </c>
      <c r="I25" s="150">
        <v>30</v>
      </c>
      <c r="K25" s="150" t="s">
        <v>449</v>
      </c>
      <c r="L25" s="150" t="s">
        <v>454</v>
      </c>
      <c r="M25" s="150">
        <v>188</v>
      </c>
      <c r="N25" s="150">
        <v>125</v>
      </c>
    </row>
    <row r="26" spans="1:14">
      <c r="A26" s="150" t="s">
        <v>453</v>
      </c>
      <c r="B26" s="150" t="s">
        <v>452</v>
      </c>
      <c r="C26" s="150">
        <v>140</v>
      </c>
      <c r="D26" s="150">
        <v>67</v>
      </c>
      <c r="F26" s="150" t="s">
        <v>451</v>
      </c>
      <c r="G26" s="150" t="s">
        <v>450</v>
      </c>
      <c r="H26" s="150">
        <v>159</v>
      </c>
      <c r="I26" s="150">
        <v>17</v>
      </c>
      <c r="K26" s="150" t="s">
        <v>576</v>
      </c>
      <c r="L26" s="150" t="s">
        <v>448</v>
      </c>
      <c r="M26" s="150">
        <v>187</v>
      </c>
      <c r="N26" s="150">
        <v>125</v>
      </c>
    </row>
    <row r="27" spans="1:14">
      <c r="A27" s="150" t="s">
        <v>447</v>
      </c>
      <c r="B27" s="150" t="s">
        <v>446</v>
      </c>
      <c r="C27" s="150">
        <v>247</v>
      </c>
      <c r="D27" s="150">
        <v>67</v>
      </c>
      <c r="F27" s="150" t="s">
        <v>445</v>
      </c>
      <c r="G27" s="150" t="s">
        <v>444</v>
      </c>
      <c r="H27" s="150">
        <v>283</v>
      </c>
      <c r="I27" s="150">
        <v>95</v>
      </c>
      <c r="K27" s="150" t="s">
        <v>443</v>
      </c>
      <c r="L27" s="150" t="s">
        <v>442</v>
      </c>
      <c r="M27" s="150">
        <v>265</v>
      </c>
      <c r="N27" s="150">
        <v>125</v>
      </c>
    </row>
    <row r="28" spans="1:14">
      <c r="A28" s="150" t="s">
        <v>441</v>
      </c>
      <c r="B28" s="150" t="s">
        <v>440</v>
      </c>
      <c r="C28" s="150">
        <v>243</v>
      </c>
      <c r="D28" s="150">
        <v>67</v>
      </c>
      <c r="F28" s="150" t="s">
        <v>439</v>
      </c>
      <c r="G28" s="150" t="s">
        <v>438</v>
      </c>
      <c r="H28" s="150">
        <v>279</v>
      </c>
      <c r="I28" s="150">
        <v>95</v>
      </c>
      <c r="K28" s="150" t="s">
        <v>437</v>
      </c>
      <c r="L28" s="150" t="s">
        <v>436</v>
      </c>
      <c r="M28" s="150">
        <v>184</v>
      </c>
      <c r="N28" s="150">
        <v>125</v>
      </c>
    </row>
    <row r="29" spans="1:14">
      <c r="A29" s="150" t="s">
        <v>435</v>
      </c>
      <c r="B29" s="150" t="s">
        <v>434</v>
      </c>
      <c r="C29" s="150">
        <v>254</v>
      </c>
      <c r="D29" s="150">
        <v>67</v>
      </c>
      <c r="F29" s="150" t="s">
        <v>433</v>
      </c>
      <c r="G29" s="150" t="s">
        <v>432</v>
      </c>
      <c r="H29" s="150">
        <v>273</v>
      </c>
      <c r="I29" s="150">
        <v>95</v>
      </c>
    </row>
    <row r="30" spans="1:14">
      <c r="A30" s="150" t="s">
        <v>431</v>
      </c>
      <c r="B30" s="150" t="s">
        <v>430</v>
      </c>
      <c r="C30" s="150">
        <v>244</v>
      </c>
      <c r="D30" s="150">
        <v>67</v>
      </c>
      <c r="F30" s="150" t="s">
        <v>429</v>
      </c>
      <c r="G30" s="150" t="s">
        <v>428</v>
      </c>
      <c r="H30" s="150">
        <v>271</v>
      </c>
      <c r="I30" s="150">
        <v>95</v>
      </c>
    </row>
    <row r="31" spans="1:14">
      <c r="A31" s="150" t="s">
        <v>427</v>
      </c>
      <c r="B31" s="150" t="s">
        <v>426</v>
      </c>
      <c r="C31" s="150">
        <v>248</v>
      </c>
      <c r="D31" s="150">
        <v>67</v>
      </c>
      <c r="F31" s="150" t="s">
        <v>425</v>
      </c>
      <c r="G31" s="150" t="s">
        <v>424</v>
      </c>
      <c r="H31" s="150">
        <v>137</v>
      </c>
      <c r="I31" s="150">
        <v>95</v>
      </c>
      <c r="K31" s="150" t="s">
        <v>340</v>
      </c>
      <c r="L31" s="150" t="s">
        <v>189</v>
      </c>
      <c r="M31" s="150" t="s">
        <v>472</v>
      </c>
      <c r="N31" s="150" t="s">
        <v>471</v>
      </c>
    </row>
    <row r="32" spans="1:14">
      <c r="A32" s="150" t="s">
        <v>423</v>
      </c>
      <c r="B32" s="150" t="s">
        <v>422</v>
      </c>
      <c r="C32" s="150">
        <v>146</v>
      </c>
      <c r="D32" s="150">
        <v>67</v>
      </c>
      <c r="F32" s="150" t="s">
        <v>421</v>
      </c>
      <c r="G32" s="150" t="s">
        <v>420</v>
      </c>
      <c r="H32" s="150">
        <v>136</v>
      </c>
      <c r="I32" s="150">
        <v>95</v>
      </c>
      <c r="K32" s="150" t="s">
        <v>755</v>
      </c>
      <c r="L32" s="150" t="s">
        <v>756</v>
      </c>
      <c r="M32" s="150">
        <v>3</v>
      </c>
      <c r="N32" s="150">
        <v>2</v>
      </c>
    </row>
    <row r="33" spans="1:14">
      <c r="A33" s="150" t="s">
        <v>419</v>
      </c>
      <c r="B33" s="150" t="s">
        <v>418</v>
      </c>
      <c r="C33" s="150">
        <v>245</v>
      </c>
      <c r="D33" s="150">
        <v>67</v>
      </c>
      <c r="F33" s="150" t="s">
        <v>417</v>
      </c>
      <c r="G33" s="150" t="s">
        <v>416</v>
      </c>
      <c r="H33" s="150">
        <v>277</v>
      </c>
      <c r="I33" s="150">
        <v>95</v>
      </c>
      <c r="K33" s="150" t="s">
        <v>549</v>
      </c>
      <c r="L33" s="150" t="s">
        <v>757</v>
      </c>
      <c r="M33" s="150">
        <v>4</v>
      </c>
      <c r="N33" s="150">
        <v>2</v>
      </c>
    </row>
    <row r="34" spans="1:14">
      <c r="A34" s="150" t="s">
        <v>415</v>
      </c>
      <c r="B34" s="150" t="s">
        <v>414</v>
      </c>
      <c r="C34" s="150">
        <v>259</v>
      </c>
      <c r="D34" s="150">
        <v>78</v>
      </c>
      <c r="F34" s="150" t="s">
        <v>413</v>
      </c>
      <c r="G34" s="150" t="s">
        <v>412</v>
      </c>
      <c r="H34" s="150">
        <v>272</v>
      </c>
      <c r="I34" s="150">
        <v>95</v>
      </c>
      <c r="K34" s="150" t="s">
        <v>758</v>
      </c>
      <c r="L34" s="150" t="s">
        <v>759</v>
      </c>
      <c r="M34" s="150">
        <v>5</v>
      </c>
      <c r="N34" s="150">
        <v>2</v>
      </c>
    </row>
    <row r="35" spans="1:14">
      <c r="A35" s="150" t="s">
        <v>411</v>
      </c>
      <c r="B35" s="150" t="s">
        <v>410</v>
      </c>
      <c r="C35" s="150">
        <v>262</v>
      </c>
      <c r="D35" s="150">
        <v>78</v>
      </c>
      <c r="F35" s="150" t="s">
        <v>409</v>
      </c>
      <c r="G35" s="150" t="s">
        <v>408</v>
      </c>
      <c r="H35" s="150">
        <v>281</v>
      </c>
      <c r="I35" s="150">
        <v>95</v>
      </c>
      <c r="K35" s="150" t="s">
        <v>760</v>
      </c>
      <c r="L35" s="150" t="s">
        <v>761</v>
      </c>
      <c r="M35" s="150">
        <v>6</v>
      </c>
      <c r="N35" s="150">
        <v>2</v>
      </c>
    </row>
    <row r="36" spans="1:14">
      <c r="A36" s="150" t="s">
        <v>407</v>
      </c>
      <c r="B36" s="150" t="s">
        <v>406</v>
      </c>
      <c r="C36" s="150">
        <v>266</v>
      </c>
      <c r="D36" s="150">
        <v>78</v>
      </c>
      <c r="F36" s="150" t="s">
        <v>405</v>
      </c>
      <c r="G36" s="150" t="s">
        <v>404</v>
      </c>
      <c r="H36" s="150">
        <v>115</v>
      </c>
      <c r="I36" s="150">
        <v>95</v>
      </c>
      <c r="K36" s="150" t="s">
        <v>762</v>
      </c>
      <c r="L36" s="150" t="s">
        <v>763</v>
      </c>
      <c r="M36" s="150">
        <v>7</v>
      </c>
      <c r="N36" s="150">
        <v>2</v>
      </c>
    </row>
    <row r="37" spans="1:14">
      <c r="A37" s="150" t="s">
        <v>403</v>
      </c>
      <c r="B37" s="150" t="s">
        <v>402</v>
      </c>
      <c r="C37" s="150">
        <v>165</v>
      </c>
      <c r="D37" s="150">
        <v>78</v>
      </c>
      <c r="F37" s="150" t="s">
        <v>401</v>
      </c>
      <c r="G37" s="150" t="s">
        <v>400</v>
      </c>
      <c r="H37" s="150">
        <v>130</v>
      </c>
      <c r="I37" s="150">
        <v>95</v>
      </c>
      <c r="K37" s="150" t="s">
        <v>764</v>
      </c>
      <c r="L37" s="150" t="s">
        <v>765</v>
      </c>
      <c r="M37" s="150">
        <v>8</v>
      </c>
      <c r="N37" s="150">
        <v>2</v>
      </c>
    </row>
    <row r="38" spans="1:14">
      <c r="A38" s="150" t="s">
        <v>399</v>
      </c>
      <c r="B38" s="150" t="s">
        <v>398</v>
      </c>
      <c r="C38" s="150">
        <v>164</v>
      </c>
      <c r="D38" s="150">
        <v>78</v>
      </c>
      <c r="F38" s="150" t="s">
        <v>397</v>
      </c>
      <c r="G38" s="150" t="s">
        <v>396</v>
      </c>
      <c r="H38" s="150">
        <v>278</v>
      </c>
      <c r="I38" s="150">
        <v>95</v>
      </c>
      <c r="K38" s="150" t="s">
        <v>766</v>
      </c>
      <c r="L38" s="150" t="s">
        <v>767</v>
      </c>
      <c r="M38" s="150">
        <v>9</v>
      </c>
      <c r="N38" s="150">
        <v>2</v>
      </c>
    </row>
    <row r="39" spans="1:14">
      <c r="A39" s="150" t="s">
        <v>395</v>
      </c>
      <c r="B39" s="150" t="s">
        <v>394</v>
      </c>
      <c r="C39" s="150">
        <v>258</v>
      </c>
      <c r="D39" s="150">
        <v>78</v>
      </c>
      <c r="F39" s="150" t="s">
        <v>393</v>
      </c>
      <c r="G39" s="150" t="s">
        <v>392</v>
      </c>
      <c r="H39" s="150">
        <v>276</v>
      </c>
      <c r="I39" s="150">
        <v>95</v>
      </c>
      <c r="K39" s="150" t="s">
        <v>768</v>
      </c>
      <c r="L39" s="150" t="s">
        <v>769</v>
      </c>
      <c r="M39" s="150">
        <v>10</v>
      </c>
      <c r="N39" s="150">
        <v>2</v>
      </c>
    </row>
    <row r="40" spans="1:14">
      <c r="A40" s="150" t="s">
        <v>391</v>
      </c>
      <c r="B40" s="150" t="s">
        <v>390</v>
      </c>
      <c r="C40" s="150">
        <v>174</v>
      </c>
      <c r="D40" s="150">
        <v>78</v>
      </c>
      <c r="F40" s="150" t="s">
        <v>389</v>
      </c>
      <c r="G40" s="150" t="s">
        <v>388</v>
      </c>
      <c r="H40" s="150">
        <v>138</v>
      </c>
      <c r="I40" s="150">
        <v>95</v>
      </c>
      <c r="K40" s="150" t="s">
        <v>770</v>
      </c>
      <c r="L40" s="150" t="s">
        <v>771</v>
      </c>
      <c r="M40" s="150">
        <v>11</v>
      </c>
      <c r="N40" s="150">
        <v>2</v>
      </c>
    </row>
    <row r="41" spans="1:14">
      <c r="A41" s="150" t="s">
        <v>387</v>
      </c>
      <c r="B41" s="150" t="s">
        <v>386</v>
      </c>
      <c r="C41" s="150">
        <v>168</v>
      </c>
      <c r="D41" s="150">
        <v>78</v>
      </c>
      <c r="F41" s="150" t="s">
        <v>385</v>
      </c>
      <c r="G41" s="150" t="s">
        <v>384</v>
      </c>
      <c r="H41" s="150">
        <v>294</v>
      </c>
      <c r="I41" s="150">
        <v>110</v>
      </c>
      <c r="K41" s="150" t="s">
        <v>772</v>
      </c>
      <c r="L41" s="150" t="s">
        <v>773</v>
      </c>
      <c r="M41" s="150">
        <v>12</v>
      </c>
      <c r="N41" s="150">
        <v>2</v>
      </c>
    </row>
    <row r="42" spans="1:14">
      <c r="A42" s="150" t="s">
        <v>383</v>
      </c>
      <c r="B42" s="150" t="s">
        <v>382</v>
      </c>
      <c r="C42" s="150">
        <v>252</v>
      </c>
      <c r="D42" s="150">
        <v>78</v>
      </c>
      <c r="F42" s="150" t="s">
        <v>381</v>
      </c>
      <c r="G42" s="150" t="s">
        <v>380</v>
      </c>
      <c r="H42" s="150">
        <v>284</v>
      </c>
      <c r="I42" s="150">
        <v>110</v>
      </c>
      <c r="K42" s="150" t="s">
        <v>437</v>
      </c>
      <c r="L42" s="150" t="s">
        <v>774</v>
      </c>
      <c r="M42" s="150">
        <v>13</v>
      </c>
      <c r="N42" s="150">
        <v>2</v>
      </c>
    </row>
    <row r="43" spans="1:14">
      <c r="A43" s="150" t="s">
        <v>379</v>
      </c>
      <c r="B43" s="150" t="s">
        <v>378</v>
      </c>
      <c r="C43" s="150">
        <v>170</v>
      </c>
      <c r="D43" s="150">
        <v>78</v>
      </c>
      <c r="F43" s="150" t="s">
        <v>377</v>
      </c>
      <c r="G43" s="150" t="s">
        <v>376</v>
      </c>
      <c r="H43" s="150">
        <v>253</v>
      </c>
      <c r="I43" s="150">
        <v>110</v>
      </c>
    </row>
    <row r="44" spans="1:14">
      <c r="A44" s="150" t="s">
        <v>375</v>
      </c>
      <c r="B44" s="150" t="s">
        <v>374</v>
      </c>
      <c r="C44" s="150">
        <v>260</v>
      </c>
      <c r="D44" s="150">
        <v>78</v>
      </c>
      <c r="F44" s="150" t="s">
        <v>373</v>
      </c>
      <c r="G44" s="150" t="s">
        <v>372</v>
      </c>
      <c r="H44" s="150">
        <v>295</v>
      </c>
      <c r="I44" s="150">
        <v>110</v>
      </c>
    </row>
    <row r="45" spans="1:14">
      <c r="A45" s="150" t="s">
        <v>371</v>
      </c>
      <c r="B45" s="150" t="s">
        <v>370</v>
      </c>
      <c r="C45" s="150">
        <v>256</v>
      </c>
      <c r="D45" s="150">
        <v>78</v>
      </c>
      <c r="F45" s="150" t="s">
        <v>369</v>
      </c>
      <c r="G45" s="150" t="s">
        <v>368</v>
      </c>
      <c r="H45" s="150">
        <v>288</v>
      </c>
      <c r="I45" s="150">
        <v>110</v>
      </c>
    </row>
    <row r="46" spans="1:14">
      <c r="A46" s="150" t="s">
        <v>367</v>
      </c>
      <c r="B46" s="150" t="s">
        <v>366</v>
      </c>
      <c r="C46" s="150">
        <v>175</v>
      </c>
      <c r="D46" s="150">
        <v>78</v>
      </c>
      <c r="F46" s="150" t="s">
        <v>365</v>
      </c>
      <c r="G46" s="150" t="s">
        <v>364</v>
      </c>
      <c r="H46" s="150">
        <v>255</v>
      </c>
      <c r="I46" s="150">
        <v>110</v>
      </c>
    </row>
    <row r="47" spans="1:14">
      <c r="A47" s="150" t="s">
        <v>363</v>
      </c>
      <c r="B47" s="150" t="s">
        <v>362</v>
      </c>
      <c r="C47" s="150">
        <v>268</v>
      </c>
      <c r="D47" s="150">
        <v>78</v>
      </c>
      <c r="F47" s="150" t="s">
        <v>361</v>
      </c>
      <c r="G47" s="150" t="s">
        <v>360</v>
      </c>
      <c r="H47" s="150">
        <v>289</v>
      </c>
      <c r="I47" s="150">
        <v>110</v>
      </c>
    </row>
    <row r="48" spans="1:14">
      <c r="A48" s="150" t="s">
        <v>359</v>
      </c>
      <c r="B48" s="150" t="s">
        <v>358</v>
      </c>
      <c r="C48" s="150">
        <v>261</v>
      </c>
      <c r="D48" s="150">
        <v>78</v>
      </c>
      <c r="F48" s="150" t="s">
        <v>357</v>
      </c>
      <c r="G48" s="150" t="s">
        <v>356</v>
      </c>
      <c r="H48" s="150">
        <v>257</v>
      </c>
      <c r="I48" s="150">
        <v>110</v>
      </c>
    </row>
    <row r="49" spans="1:9">
      <c r="A49" s="150" t="s">
        <v>355</v>
      </c>
      <c r="B49" s="150" t="s">
        <v>354</v>
      </c>
      <c r="C49" s="150">
        <v>169</v>
      </c>
      <c r="D49" s="150">
        <v>78</v>
      </c>
      <c r="F49" s="150" t="s">
        <v>353</v>
      </c>
      <c r="G49" s="150" t="s">
        <v>352</v>
      </c>
      <c r="H49" s="150">
        <v>263</v>
      </c>
      <c r="I49" s="150">
        <v>110</v>
      </c>
    </row>
    <row r="50" spans="1:9">
      <c r="F50" s="150" t="s">
        <v>351</v>
      </c>
      <c r="G50" s="150" t="s">
        <v>350</v>
      </c>
      <c r="H50" s="150">
        <v>192</v>
      </c>
      <c r="I50" s="150">
        <v>110</v>
      </c>
    </row>
    <row r="51" spans="1:9">
      <c r="F51" s="150" t="s">
        <v>349</v>
      </c>
      <c r="G51" s="150" t="s">
        <v>348</v>
      </c>
      <c r="H51" s="150">
        <v>155</v>
      </c>
      <c r="I51" s="150">
        <v>110</v>
      </c>
    </row>
    <row r="52" spans="1:9">
      <c r="F52" s="150" t="s">
        <v>347</v>
      </c>
      <c r="G52" s="150" t="s">
        <v>346</v>
      </c>
      <c r="H52" s="150">
        <v>162</v>
      </c>
      <c r="I52" s="150">
        <v>110</v>
      </c>
    </row>
    <row r="53" spans="1:9">
      <c r="F53" s="150" t="s">
        <v>345</v>
      </c>
      <c r="G53" s="150" t="s">
        <v>344</v>
      </c>
      <c r="H53" s="150">
        <v>264</v>
      </c>
      <c r="I53" s="150">
        <v>110</v>
      </c>
    </row>
    <row r="54" spans="1:9">
      <c r="F54" s="150" t="s">
        <v>343</v>
      </c>
      <c r="G54" s="150" t="s">
        <v>342</v>
      </c>
      <c r="H54" s="150">
        <v>285</v>
      </c>
      <c r="I54" s="15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20" sqref="S20"/>
    </sheetView>
  </sheetViews>
  <sheetFormatPr defaultRowHeight="16.5"/>
  <cols>
    <col min="1" max="1" width="2.77734375" style="366" customWidth="1"/>
    <col min="2" max="14" width="7.33203125" style="231" customWidth="1"/>
    <col min="15" max="16" width="7.44140625" style="231" customWidth="1"/>
    <col min="17" max="17" width="12.21875" style="366" bestFit="1" customWidth="1"/>
    <col min="18" max="18" width="13" style="366" customWidth="1"/>
    <col min="19" max="19" width="17.88671875" style="366" customWidth="1"/>
    <col min="20" max="20" width="21.21875" style="366" customWidth="1"/>
    <col min="21" max="21" width="21.88671875" style="366" customWidth="1"/>
    <col min="22" max="16384" width="8.88671875" style="366"/>
  </cols>
  <sheetData>
    <row r="2" spans="2:23" ht="26.25" customHeight="1">
      <c r="B2" s="363" t="s">
        <v>847</v>
      </c>
      <c r="C2" s="364"/>
      <c r="D2" s="364"/>
      <c r="E2" s="364"/>
      <c r="F2" s="364"/>
      <c r="G2" s="364"/>
      <c r="H2" s="365"/>
      <c r="I2" s="365"/>
      <c r="J2" s="365"/>
      <c r="K2" s="365"/>
      <c r="L2" s="365"/>
      <c r="S2" s="367" t="s">
        <v>778</v>
      </c>
      <c r="T2" s="368" t="s">
        <v>777</v>
      </c>
    </row>
    <row r="3" spans="2:23" ht="17.25" thickBot="1">
      <c r="I3" s="321"/>
      <c r="J3" s="321"/>
      <c r="K3" s="321"/>
    </row>
    <row r="4" spans="2:23" s="369" customFormat="1" ht="30.75" customHeight="1">
      <c r="B4" s="553" t="s">
        <v>41</v>
      </c>
      <c r="C4" s="554" t="s">
        <v>42</v>
      </c>
      <c r="D4" s="554" t="s">
        <v>560</v>
      </c>
      <c r="E4" s="554" t="s">
        <v>561</v>
      </c>
      <c r="F4" s="554" t="s">
        <v>562</v>
      </c>
      <c r="G4" s="554" t="s">
        <v>563</v>
      </c>
      <c r="H4" s="554" t="s">
        <v>564</v>
      </c>
      <c r="I4" s="554" t="s">
        <v>565</v>
      </c>
      <c r="J4" s="554" t="s">
        <v>566</v>
      </c>
      <c r="K4" s="554" t="s">
        <v>567</v>
      </c>
      <c r="L4" s="554" t="s">
        <v>568</v>
      </c>
      <c r="M4" s="554" t="s">
        <v>569</v>
      </c>
      <c r="N4" s="555" t="s">
        <v>570</v>
      </c>
      <c r="O4" s="556" t="s">
        <v>44</v>
      </c>
      <c r="P4" s="555" t="s">
        <v>45</v>
      </c>
      <c r="S4" s="557" t="s">
        <v>556</v>
      </c>
      <c r="T4" s="558" t="s">
        <v>557</v>
      </c>
    </row>
    <row r="5" spans="2:23" ht="22.5" customHeight="1">
      <c r="B5" s="252">
        <v>1995</v>
      </c>
      <c r="C5" s="377">
        <v>13.4</v>
      </c>
      <c r="D5" s="377">
        <v>11.2</v>
      </c>
      <c r="E5" s="377">
        <v>46.2</v>
      </c>
      <c r="F5" s="377">
        <v>33.700000000000003</v>
      </c>
      <c r="G5" s="377">
        <v>59</v>
      </c>
      <c r="H5" s="377">
        <v>67.7</v>
      </c>
      <c r="I5" s="377">
        <v>372.9</v>
      </c>
      <c r="J5" s="378">
        <v>967.9</v>
      </c>
      <c r="K5" s="377">
        <v>24.2</v>
      </c>
      <c r="L5" s="377">
        <v>29.2</v>
      </c>
      <c r="M5" s="377">
        <v>24.8</v>
      </c>
      <c r="N5" s="380">
        <v>3.1</v>
      </c>
      <c r="O5" s="384">
        <f>ROUND(SUM(C5:N5),1)</f>
        <v>1653.3</v>
      </c>
      <c r="P5" s="246">
        <f>ROUND(O5/12,1)</f>
        <v>137.80000000000001</v>
      </c>
      <c r="Q5" s="370"/>
      <c r="R5" s="371"/>
      <c r="S5" s="372" t="s">
        <v>549</v>
      </c>
      <c r="T5" s="373" t="s">
        <v>509</v>
      </c>
      <c r="V5" s="371"/>
      <c r="W5" s="374"/>
    </row>
    <row r="6" spans="2:23" ht="22.5" customHeight="1" thickBot="1">
      <c r="B6" s="252">
        <v>1996</v>
      </c>
      <c r="C6" s="377">
        <v>20.399999999999999</v>
      </c>
      <c r="D6" s="377">
        <v>4.0999999999999996</v>
      </c>
      <c r="E6" s="377">
        <v>100.8</v>
      </c>
      <c r="F6" s="377">
        <v>51.1</v>
      </c>
      <c r="G6" s="377">
        <v>26.5</v>
      </c>
      <c r="H6" s="377">
        <v>286.39999999999998</v>
      </c>
      <c r="I6" s="377">
        <v>241.1</v>
      </c>
      <c r="J6" s="378">
        <v>77.5</v>
      </c>
      <c r="K6" s="377">
        <v>9.1999999999999993</v>
      </c>
      <c r="L6" s="377">
        <v>70</v>
      </c>
      <c r="M6" s="377">
        <v>49</v>
      </c>
      <c r="N6" s="380">
        <v>16</v>
      </c>
      <c r="O6" s="384">
        <f t="shared" ref="O6:O34" si="0">ROUND(SUM(C6:N6),1)</f>
        <v>952.1</v>
      </c>
      <c r="P6" s="246">
        <f t="shared" ref="P6:P34" si="1">ROUND(O6/12,1)</f>
        <v>79.3</v>
      </c>
      <c r="Q6" s="370"/>
      <c r="R6" s="371"/>
      <c r="S6" s="375" t="str">
        <f>VLOOKUP(S5, tblLocation[], 2, FALSE)</f>
        <v>Table1</v>
      </c>
      <c r="T6" s="376" t="str">
        <f ca="1">IFERROR(UPPER(VLOOKUP(T5, INDIRECT(S6), 2,0)), " 지역설정")</f>
        <v>SUWON</v>
      </c>
      <c r="V6" s="371"/>
      <c r="W6" s="374"/>
    </row>
    <row r="7" spans="2:23" ht="22.5" customHeight="1">
      <c r="B7" s="252">
        <v>1997</v>
      </c>
      <c r="C7" s="377">
        <v>14.4</v>
      </c>
      <c r="D7" s="377">
        <v>41.4</v>
      </c>
      <c r="E7" s="377">
        <v>30.4</v>
      </c>
      <c r="F7" s="377">
        <v>60.7</v>
      </c>
      <c r="G7" s="377">
        <v>260.3</v>
      </c>
      <c r="H7" s="377">
        <v>150.4</v>
      </c>
      <c r="I7" s="377">
        <v>331.7</v>
      </c>
      <c r="J7" s="377">
        <v>299.2</v>
      </c>
      <c r="K7" s="377">
        <v>25</v>
      </c>
      <c r="L7" s="377">
        <v>52.3</v>
      </c>
      <c r="M7" s="377">
        <v>82</v>
      </c>
      <c r="N7" s="380">
        <v>46.5</v>
      </c>
      <c r="O7" s="384">
        <f t="shared" si="0"/>
        <v>1394.3</v>
      </c>
      <c r="P7" s="246">
        <f t="shared" si="1"/>
        <v>116.2</v>
      </c>
      <c r="Q7" s="370"/>
      <c r="R7" s="371"/>
      <c r="T7" s="230"/>
      <c r="V7" s="371"/>
      <c r="W7" s="374"/>
    </row>
    <row r="8" spans="2:23" ht="22.5" customHeight="1">
      <c r="B8" s="252">
        <v>1998</v>
      </c>
      <c r="C8" s="377">
        <v>23.7</v>
      </c>
      <c r="D8" s="377">
        <v>34.299999999999997</v>
      </c>
      <c r="E8" s="377">
        <v>44</v>
      </c>
      <c r="F8" s="377">
        <v>105.9</v>
      </c>
      <c r="G8" s="377">
        <v>86.4</v>
      </c>
      <c r="H8" s="377">
        <v>213.7</v>
      </c>
      <c r="I8" s="377">
        <v>306</v>
      </c>
      <c r="J8" s="377">
        <v>591.6</v>
      </c>
      <c r="K8" s="377">
        <v>141.19999999999999</v>
      </c>
      <c r="L8" s="377">
        <v>25</v>
      </c>
      <c r="M8" s="377">
        <v>51.6</v>
      </c>
      <c r="N8" s="380">
        <v>3.5</v>
      </c>
      <c r="O8" s="384">
        <f t="shared" si="0"/>
        <v>1626.9</v>
      </c>
      <c r="P8" s="246">
        <f t="shared" si="1"/>
        <v>135.6</v>
      </c>
      <c r="Q8" s="370"/>
      <c r="T8" s="230"/>
      <c r="V8" s="371"/>
      <c r="W8" s="374"/>
    </row>
    <row r="9" spans="2:23" ht="22.5" customHeight="1">
      <c r="B9" s="252">
        <v>1999</v>
      </c>
      <c r="C9" s="377">
        <v>7.3</v>
      </c>
      <c r="D9" s="377">
        <v>1.8</v>
      </c>
      <c r="E9" s="377">
        <v>54</v>
      </c>
      <c r="F9" s="377">
        <v>73.599999999999994</v>
      </c>
      <c r="G9" s="377">
        <v>121.3</v>
      </c>
      <c r="H9" s="377">
        <v>76.7</v>
      </c>
      <c r="I9" s="377">
        <v>345</v>
      </c>
      <c r="J9" s="377">
        <v>338.4</v>
      </c>
      <c r="K9" s="377">
        <v>402.2</v>
      </c>
      <c r="L9" s="377">
        <v>92.3</v>
      </c>
      <c r="M9" s="377">
        <v>25.3</v>
      </c>
      <c r="N9" s="380">
        <v>18.2</v>
      </c>
      <c r="O9" s="384">
        <f t="shared" si="0"/>
        <v>1556.1</v>
      </c>
      <c r="P9" s="246">
        <f t="shared" si="1"/>
        <v>129.69999999999999</v>
      </c>
      <c r="Q9" s="370"/>
      <c r="R9" s="582" t="s">
        <v>794</v>
      </c>
      <c r="S9" s="374"/>
      <c r="T9" s="371"/>
      <c r="U9" s="374"/>
      <c r="V9" s="371"/>
      <c r="W9" s="374"/>
    </row>
    <row r="10" spans="2:23" ht="22.5" customHeight="1">
      <c r="B10" s="252">
        <v>2000</v>
      </c>
      <c r="C10" s="377">
        <v>57.7</v>
      </c>
      <c r="D10" s="377">
        <v>1.4</v>
      </c>
      <c r="E10" s="377">
        <v>3.1</v>
      </c>
      <c r="F10" s="377">
        <v>20.399999999999999</v>
      </c>
      <c r="G10" s="377">
        <v>43.7</v>
      </c>
      <c r="H10" s="377">
        <v>118.2</v>
      </c>
      <c r="I10" s="377">
        <v>375.8</v>
      </c>
      <c r="J10" s="377">
        <v>448.8</v>
      </c>
      <c r="K10" s="377">
        <v>182.2</v>
      </c>
      <c r="L10" s="377">
        <v>21.6</v>
      </c>
      <c r="M10" s="377">
        <v>27.5</v>
      </c>
      <c r="N10" s="380">
        <v>28.4</v>
      </c>
      <c r="O10" s="384">
        <f t="shared" si="0"/>
        <v>1328.8</v>
      </c>
      <c r="P10" s="246">
        <f t="shared" si="1"/>
        <v>110.7</v>
      </c>
      <c r="Q10" s="370"/>
      <c r="R10" s="371"/>
      <c r="S10" s="374"/>
      <c r="T10" s="371"/>
      <c r="U10" s="374"/>
      <c r="V10" s="371"/>
      <c r="W10" s="374"/>
    </row>
    <row r="11" spans="2:23" ht="22.5" customHeight="1">
      <c r="B11" s="252">
        <v>2001</v>
      </c>
      <c r="C11" s="377">
        <v>42.2</v>
      </c>
      <c r="D11" s="377">
        <v>47.4</v>
      </c>
      <c r="E11" s="377">
        <v>15.1</v>
      </c>
      <c r="F11" s="377">
        <v>12.9</v>
      </c>
      <c r="G11" s="377">
        <v>13.8</v>
      </c>
      <c r="H11" s="377">
        <v>222.3</v>
      </c>
      <c r="I11" s="377">
        <v>469.7</v>
      </c>
      <c r="J11" s="377">
        <v>144.69999999999999</v>
      </c>
      <c r="K11" s="377">
        <v>12.1</v>
      </c>
      <c r="L11" s="377">
        <v>58.1</v>
      </c>
      <c r="M11" s="377">
        <v>14.2</v>
      </c>
      <c r="N11" s="380">
        <v>14.7</v>
      </c>
      <c r="O11" s="384">
        <f t="shared" si="0"/>
        <v>1067.2</v>
      </c>
      <c r="P11" s="246">
        <f t="shared" si="1"/>
        <v>88.9</v>
      </c>
      <c r="R11" s="371"/>
      <c r="S11" s="374"/>
      <c r="T11" s="371"/>
      <c r="U11" s="374"/>
      <c r="V11" s="371"/>
      <c r="W11" s="374"/>
    </row>
    <row r="12" spans="2:23" ht="22.5" customHeight="1">
      <c r="B12" s="252">
        <v>2002</v>
      </c>
      <c r="C12" s="377">
        <v>31.8</v>
      </c>
      <c r="D12" s="377">
        <v>3.2</v>
      </c>
      <c r="E12" s="377">
        <v>35.700000000000003</v>
      </c>
      <c r="F12" s="377">
        <v>152.4</v>
      </c>
      <c r="G12" s="377">
        <v>77</v>
      </c>
      <c r="H12" s="377">
        <v>52</v>
      </c>
      <c r="I12" s="377">
        <v>257.8</v>
      </c>
      <c r="J12" s="377">
        <v>487.3</v>
      </c>
      <c r="K12" s="377">
        <v>31.3</v>
      </c>
      <c r="L12" s="377">
        <v>73.8</v>
      </c>
      <c r="M12" s="377">
        <v>12.2</v>
      </c>
      <c r="N12" s="380">
        <v>17.2</v>
      </c>
      <c r="O12" s="384">
        <f t="shared" si="0"/>
        <v>1231.7</v>
      </c>
      <c r="P12" s="246">
        <f t="shared" si="1"/>
        <v>102.6</v>
      </c>
      <c r="R12" s="371"/>
      <c r="S12" s="374"/>
      <c r="T12" s="371"/>
      <c r="U12" s="374"/>
      <c r="V12" s="371"/>
      <c r="W12" s="374"/>
    </row>
    <row r="13" spans="2:23" ht="22.5" customHeight="1">
      <c r="B13" s="252">
        <v>2003</v>
      </c>
      <c r="C13" s="377">
        <v>10.4</v>
      </c>
      <c r="D13" s="377">
        <v>46.2</v>
      </c>
      <c r="E13" s="377">
        <v>28.3</v>
      </c>
      <c r="F13" s="377">
        <v>182</v>
      </c>
      <c r="G13" s="377">
        <v>85.5</v>
      </c>
      <c r="H13" s="377">
        <v>159</v>
      </c>
      <c r="I13" s="377">
        <v>341.9</v>
      </c>
      <c r="J13" s="377">
        <v>293.7</v>
      </c>
      <c r="K13" s="377">
        <v>271.5</v>
      </c>
      <c r="L13" s="377">
        <v>30.6</v>
      </c>
      <c r="M13" s="377">
        <v>51.6</v>
      </c>
      <c r="N13" s="380">
        <v>14.1</v>
      </c>
      <c r="O13" s="384">
        <f t="shared" si="0"/>
        <v>1514.8</v>
      </c>
      <c r="P13" s="246">
        <f t="shared" si="1"/>
        <v>126.2</v>
      </c>
      <c r="R13" s="371"/>
      <c r="S13" s="230"/>
      <c r="T13" s="371"/>
      <c r="U13" s="374"/>
      <c r="V13" s="371"/>
      <c r="W13" s="374"/>
    </row>
    <row r="14" spans="2:23" ht="22.5" customHeight="1">
      <c r="B14" s="252">
        <v>2004</v>
      </c>
      <c r="C14" s="377">
        <v>17.8</v>
      </c>
      <c r="D14" s="377">
        <v>42.6</v>
      </c>
      <c r="E14" s="377">
        <v>14.4</v>
      </c>
      <c r="F14" s="377">
        <v>63.8</v>
      </c>
      <c r="G14" s="377">
        <v>125.2</v>
      </c>
      <c r="H14" s="377">
        <v>135.69999999999999</v>
      </c>
      <c r="I14" s="377">
        <v>382</v>
      </c>
      <c r="J14" s="377">
        <v>157.4</v>
      </c>
      <c r="K14" s="377">
        <v>183.4</v>
      </c>
      <c r="L14" s="377">
        <v>2</v>
      </c>
      <c r="M14" s="377">
        <v>67.5</v>
      </c>
      <c r="N14" s="380">
        <v>25.2</v>
      </c>
      <c r="O14" s="384">
        <f t="shared" si="0"/>
        <v>1217</v>
      </c>
      <c r="P14" s="246">
        <f t="shared" si="1"/>
        <v>101.4</v>
      </c>
      <c r="R14" s="371"/>
      <c r="S14" s="230"/>
      <c r="T14" s="371"/>
      <c r="U14" s="374"/>
      <c r="V14" s="371"/>
      <c r="W14" s="374"/>
    </row>
    <row r="15" spans="2:23" ht="22.5" customHeight="1">
      <c r="B15" s="252">
        <v>2005</v>
      </c>
      <c r="C15" s="377">
        <v>5.7</v>
      </c>
      <c r="D15" s="377">
        <v>15</v>
      </c>
      <c r="E15" s="377">
        <v>25.6</v>
      </c>
      <c r="F15" s="377">
        <v>85.6</v>
      </c>
      <c r="G15" s="377">
        <v>89.6</v>
      </c>
      <c r="H15" s="377">
        <v>160.80000000000001</v>
      </c>
      <c r="I15" s="377">
        <v>251.7</v>
      </c>
      <c r="J15" s="377">
        <v>357.5</v>
      </c>
      <c r="K15" s="377">
        <v>315.2</v>
      </c>
      <c r="L15" s="377">
        <v>70.2</v>
      </c>
      <c r="M15" s="377">
        <v>38.799999999999997</v>
      </c>
      <c r="N15" s="380">
        <v>12</v>
      </c>
      <c r="O15" s="384">
        <f t="shared" si="0"/>
        <v>1427.7</v>
      </c>
      <c r="P15" s="246">
        <f t="shared" si="1"/>
        <v>119</v>
      </c>
      <c r="S15" s="230"/>
    </row>
    <row r="16" spans="2:23" ht="22.5" customHeight="1">
      <c r="B16" s="252">
        <v>2006</v>
      </c>
      <c r="C16" s="377">
        <v>38.6</v>
      </c>
      <c r="D16" s="377">
        <v>19.5</v>
      </c>
      <c r="E16" s="377">
        <v>6.9</v>
      </c>
      <c r="F16" s="377">
        <v>59.9</v>
      </c>
      <c r="G16" s="377">
        <v>133.19999999999999</v>
      </c>
      <c r="H16" s="377">
        <v>156.69999999999999</v>
      </c>
      <c r="I16" s="377">
        <v>754.7</v>
      </c>
      <c r="J16" s="377">
        <v>66.400000000000006</v>
      </c>
      <c r="K16" s="377">
        <v>21.9</v>
      </c>
      <c r="L16" s="377">
        <v>18</v>
      </c>
      <c r="M16" s="377">
        <v>61.6</v>
      </c>
      <c r="N16" s="380">
        <v>25.3</v>
      </c>
      <c r="O16" s="384">
        <f t="shared" si="0"/>
        <v>1362.7</v>
      </c>
      <c r="P16" s="246">
        <f t="shared" si="1"/>
        <v>113.6</v>
      </c>
      <c r="S16" s="230"/>
    </row>
    <row r="17" spans="2:19" ht="22.5" customHeight="1">
      <c r="B17" s="252">
        <v>2007</v>
      </c>
      <c r="C17" s="377">
        <v>9.3000000000000007</v>
      </c>
      <c r="D17" s="377">
        <v>15.1</v>
      </c>
      <c r="E17" s="377">
        <v>135.30000000000001</v>
      </c>
      <c r="F17" s="377">
        <v>24.2</v>
      </c>
      <c r="G17" s="377">
        <v>146.69999999999999</v>
      </c>
      <c r="H17" s="377">
        <v>74.2</v>
      </c>
      <c r="I17" s="377">
        <v>269.7</v>
      </c>
      <c r="J17" s="377">
        <v>295</v>
      </c>
      <c r="K17" s="377">
        <v>268.8</v>
      </c>
      <c r="L17" s="377">
        <v>18.3</v>
      </c>
      <c r="M17" s="377">
        <v>57.1</v>
      </c>
      <c r="N17" s="380">
        <v>11.3</v>
      </c>
      <c r="O17" s="384">
        <f t="shared" si="0"/>
        <v>1325</v>
      </c>
      <c r="P17" s="246">
        <f t="shared" si="1"/>
        <v>110.4</v>
      </c>
      <c r="S17" s="230"/>
    </row>
    <row r="18" spans="2:19" ht="22.5" customHeight="1">
      <c r="B18" s="252">
        <v>2008</v>
      </c>
      <c r="C18" s="377">
        <v>13.6</v>
      </c>
      <c r="D18" s="377">
        <v>8.6999999999999993</v>
      </c>
      <c r="E18" s="377">
        <v>55.9</v>
      </c>
      <c r="F18" s="377">
        <v>42.2</v>
      </c>
      <c r="G18" s="377">
        <v>92.7</v>
      </c>
      <c r="H18" s="377">
        <v>198.4</v>
      </c>
      <c r="I18" s="377">
        <v>540.79999999999995</v>
      </c>
      <c r="J18" s="377">
        <v>217.2</v>
      </c>
      <c r="K18" s="377">
        <v>101.9</v>
      </c>
      <c r="L18" s="377">
        <v>35.6</v>
      </c>
      <c r="M18" s="377">
        <v>18.5</v>
      </c>
      <c r="N18" s="380">
        <v>17.399999999999999</v>
      </c>
      <c r="O18" s="384">
        <f t="shared" si="0"/>
        <v>1342.9</v>
      </c>
      <c r="P18" s="246">
        <f t="shared" si="1"/>
        <v>111.9</v>
      </c>
    </row>
    <row r="19" spans="2:19" ht="22.5" customHeight="1">
      <c r="B19" s="252">
        <v>2009</v>
      </c>
      <c r="C19" s="377">
        <v>7.9</v>
      </c>
      <c r="D19" s="377">
        <v>26.8</v>
      </c>
      <c r="E19" s="377">
        <v>59.5</v>
      </c>
      <c r="F19" s="377">
        <v>45</v>
      </c>
      <c r="G19" s="377">
        <v>102.4</v>
      </c>
      <c r="H19" s="377">
        <v>118.8</v>
      </c>
      <c r="I19" s="377">
        <v>766</v>
      </c>
      <c r="J19" s="377">
        <v>207.1</v>
      </c>
      <c r="K19" s="377">
        <v>56.3</v>
      </c>
      <c r="L19" s="377">
        <v>64.5</v>
      </c>
      <c r="M19" s="377">
        <v>68.2</v>
      </c>
      <c r="N19" s="380">
        <v>18.7</v>
      </c>
      <c r="O19" s="384">
        <f t="shared" si="0"/>
        <v>1541.2</v>
      </c>
      <c r="P19" s="246">
        <f t="shared" si="1"/>
        <v>128.4</v>
      </c>
    </row>
    <row r="20" spans="2:19" ht="22.5" customHeight="1">
      <c r="B20" s="252">
        <v>2010</v>
      </c>
      <c r="C20" s="377">
        <v>26.9</v>
      </c>
      <c r="D20" s="377">
        <v>56.7</v>
      </c>
      <c r="E20" s="377">
        <v>78.7</v>
      </c>
      <c r="F20" s="377">
        <v>58.6</v>
      </c>
      <c r="G20" s="377">
        <v>100.7</v>
      </c>
      <c r="H20" s="377">
        <v>116.1</v>
      </c>
      <c r="I20" s="377">
        <v>206.8</v>
      </c>
      <c r="J20" s="377">
        <v>372.8</v>
      </c>
      <c r="K20" s="377">
        <v>375.9</v>
      </c>
      <c r="L20" s="377">
        <v>30</v>
      </c>
      <c r="M20" s="377">
        <v>18.100000000000001</v>
      </c>
      <c r="N20" s="380">
        <v>29.3</v>
      </c>
      <c r="O20" s="384">
        <f t="shared" si="0"/>
        <v>1470.6</v>
      </c>
      <c r="P20" s="246">
        <f t="shared" si="1"/>
        <v>122.6</v>
      </c>
    </row>
    <row r="21" spans="2:19" ht="22.5" customHeight="1">
      <c r="B21" s="252">
        <v>2011</v>
      </c>
      <c r="C21" s="377">
        <v>11.3</v>
      </c>
      <c r="D21" s="377">
        <v>49.8</v>
      </c>
      <c r="E21" s="377">
        <v>23.4</v>
      </c>
      <c r="F21" s="377">
        <v>186.4</v>
      </c>
      <c r="G21" s="377">
        <v>74.2</v>
      </c>
      <c r="H21" s="377">
        <v>391.5</v>
      </c>
      <c r="I21" s="377">
        <v>794.3</v>
      </c>
      <c r="J21" s="377">
        <v>315.10000000000002</v>
      </c>
      <c r="K21" s="377">
        <v>32.799999999999997</v>
      </c>
      <c r="L21" s="377">
        <v>38.4</v>
      </c>
      <c r="M21" s="377">
        <v>46.3</v>
      </c>
      <c r="N21" s="380">
        <v>12.4</v>
      </c>
      <c r="O21" s="384">
        <f t="shared" si="0"/>
        <v>1975.9</v>
      </c>
      <c r="P21" s="246">
        <f t="shared" si="1"/>
        <v>164.7</v>
      </c>
    </row>
    <row r="22" spans="2:19" ht="22.5" customHeight="1">
      <c r="B22" s="252">
        <v>2012</v>
      </c>
      <c r="C22" s="377">
        <v>9.9</v>
      </c>
      <c r="D22" s="377">
        <v>0.7</v>
      </c>
      <c r="E22" s="377">
        <v>43.1</v>
      </c>
      <c r="F22" s="377">
        <v>125.5</v>
      </c>
      <c r="G22" s="377">
        <v>16.5</v>
      </c>
      <c r="H22" s="377">
        <v>100.8</v>
      </c>
      <c r="I22" s="377">
        <v>572.29999999999995</v>
      </c>
      <c r="J22" s="377">
        <v>426.2</v>
      </c>
      <c r="K22" s="377">
        <v>241</v>
      </c>
      <c r="L22" s="377">
        <v>98.6</v>
      </c>
      <c r="M22" s="377">
        <v>66.5</v>
      </c>
      <c r="N22" s="380">
        <v>47.2</v>
      </c>
      <c r="O22" s="384">
        <f t="shared" si="0"/>
        <v>1748.3</v>
      </c>
      <c r="P22" s="246">
        <f t="shared" si="1"/>
        <v>145.69999999999999</v>
      </c>
    </row>
    <row r="23" spans="2:19" ht="22.5" customHeight="1">
      <c r="B23" s="252">
        <v>2013</v>
      </c>
      <c r="C23" s="377">
        <v>23.1</v>
      </c>
      <c r="D23" s="377">
        <v>53.4</v>
      </c>
      <c r="E23" s="377">
        <v>48.2</v>
      </c>
      <c r="F23" s="377">
        <v>69.5</v>
      </c>
      <c r="G23" s="377">
        <v>129</v>
      </c>
      <c r="H23" s="377">
        <v>69.599999999999994</v>
      </c>
      <c r="I23" s="377">
        <v>405.9</v>
      </c>
      <c r="J23" s="377">
        <v>157</v>
      </c>
      <c r="K23" s="377">
        <v>183.6</v>
      </c>
      <c r="L23" s="377">
        <v>5.4</v>
      </c>
      <c r="M23" s="377">
        <v>61.9</v>
      </c>
      <c r="N23" s="380">
        <v>33.5</v>
      </c>
      <c r="O23" s="384">
        <f t="shared" si="0"/>
        <v>1240.0999999999999</v>
      </c>
      <c r="P23" s="246">
        <f t="shared" si="1"/>
        <v>103.3</v>
      </c>
    </row>
    <row r="24" spans="2:19" ht="22.5" customHeight="1">
      <c r="B24" s="252">
        <v>2014</v>
      </c>
      <c r="C24" s="377">
        <v>9.9</v>
      </c>
      <c r="D24" s="377">
        <v>16.5</v>
      </c>
      <c r="E24" s="377">
        <v>10.9</v>
      </c>
      <c r="F24" s="377">
        <v>55.7</v>
      </c>
      <c r="G24" s="377">
        <v>64.400000000000006</v>
      </c>
      <c r="H24" s="377">
        <v>68.099999999999994</v>
      </c>
      <c r="I24" s="377">
        <v>264</v>
      </c>
      <c r="J24" s="377">
        <v>290.89999999999998</v>
      </c>
      <c r="K24" s="377">
        <v>92</v>
      </c>
      <c r="L24" s="377">
        <v>85.4</v>
      </c>
      <c r="M24" s="377">
        <v>44.2</v>
      </c>
      <c r="N24" s="380">
        <v>27.1</v>
      </c>
      <c r="O24" s="384">
        <f t="shared" si="0"/>
        <v>1029.0999999999999</v>
      </c>
      <c r="P24" s="246">
        <f t="shared" si="1"/>
        <v>85.8</v>
      </c>
    </row>
    <row r="25" spans="2:19" ht="22.5" customHeight="1">
      <c r="B25" s="252">
        <v>2015</v>
      </c>
      <c r="C25" s="377">
        <v>17.5</v>
      </c>
      <c r="D25" s="377">
        <v>22.7</v>
      </c>
      <c r="E25" s="377">
        <v>12.5</v>
      </c>
      <c r="F25" s="377">
        <v>99.2</v>
      </c>
      <c r="G25" s="377">
        <v>32.6</v>
      </c>
      <c r="H25" s="377">
        <v>30.2</v>
      </c>
      <c r="I25" s="377">
        <v>225.8</v>
      </c>
      <c r="J25" s="377">
        <v>71</v>
      </c>
      <c r="K25" s="377">
        <v>6.9</v>
      </c>
      <c r="L25" s="377">
        <v>67.400000000000006</v>
      </c>
      <c r="M25" s="377">
        <v>116</v>
      </c>
      <c r="N25" s="380">
        <v>49.3</v>
      </c>
      <c r="O25" s="384">
        <f t="shared" si="0"/>
        <v>751.1</v>
      </c>
      <c r="P25" s="246">
        <f t="shared" si="1"/>
        <v>62.6</v>
      </c>
    </row>
    <row r="26" spans="2:19" ht="22.5" customHeight="1">
      <c r="B26" s="252">
        <v>2016</v>
      </c>
      <c r="C26" s="377">
        <v>4.5999999999999996</v>
      </c>
      <c r="D26" s="377">
        <v>52.6</v>
      </c>
      <c r="E26" s="377">
        <v>54.8</v>
      </c>
      <c r="F26" s="377">
        <v>79.2</v>
      </c>
      <c r="G26" s="377">
        <v>156.4</v>
      </c>
      <c r="H26" s="377">
        <v>37.4</v>
      </c>
      <c r="I26" s="377">
        <v>317.7</v>
      </c>
      <c r="J26" s="377">
        <v>73</v>
      </c>
      <c r="K26" s="377">
        <v>67.8</v>
      </c>
      <c r="L26" s="377">
        <v>99.1</v>
      </c>
      <c r="M26" s="377">
        <v>17.399999999999999</v>
      </c>
      <c r="N26" s="380">
        <v>63.4</v>
      </c>
      <c r="O26" s="384">
        <f t="shared" si="0"/>
        <v>1023.4</v>
      </c>
      <c r="P26" s="246">
        <f t="shared" si="1"/>
        <v>85.3</v>
      </c>
    </row>
    <row r="27" spans="2:19" ht="22.5" customHeight="1">
      <c r="B27" s="252">
        <v>2017</v>
      </c>
      <c r="C27" s="377">
        <v>19.399999999999999</v>
      </c>
      <c r="D27" s="377">
        <v>22.5</v>
      </c>
      <c r="E27" s="377">
        <v>9</v>
      </c>
      <c r="F27" s="377">
        <v>52.5</v>
      </c>
      <c r="G27" s="377">
        <v>22.5</v>
      </c>
      <c r="H27" s="377">
        <v>27.6</v>
      </c>
      <c r="I27" s="377">
        <v>684.5</v>
      </c>
      <c r="J27" s="377">
        <v>359.7</v>
      </c>
      <c r="K27" s="377">
        <v>26.1</v>
      </c>
      <c r="L27" s="377">
        <v>28.7</v>
      </c>
      <c r="M27" s="377">
        <v>37.6</v>
      </c>
      <c r="N27" s="380">
        <v>38.5</v>
      </c>
      <c r="O27" s="384">
        <f t="shared" si="0"/>
        <v>1328.6</v>
      </c>
      <c r="P27" s="246">
        <f t="shared" si="1"/>
        <v>110.7</v>
      </c>
    </row>
    <row r="28" spans="2:19" ht="22.5" customHeight="1">
      <c r="B28" s="252">
        <v>2018</v>
      </c>
      <c r="C28" s="377">
        <v>7.9</v>
      </c>
      <c r="D28" s="377">
        <v>29.1</v>
      </c>
      <c r="E28" s="377">
        <v>86</v>
      </c>
      <c r="F28" s="377">
        <v>128.80000000000001</v>
      </c>
      <c r="G28" s="377">
        <v>196.4</v>
      </c>
      <c r="H28" s="377">
        <v>107</v>
      </c>
      <c r="I28" s="377">
        <v>222.7</v>
      </c>
      <c r="J28" s="377">
        <v>218.6</v>
      </c>
      <c r="K28" s="377">
        <v>61.7</v>
      </c>
      <c r="L28" s="377">
        <v>132.69999999999999</v>
      </c>
      <c r="M28" s="377">
        <v>78.099999999999994</v>
      </c>
      <c r="N28" s="380">
        <v>24.1</v>
      </c>
      <c r="O28" s="384">
        <f t="shared" si="0"/>
        <v>1293.0999999999999</v>
      </c>
      <c r="P28" s="246">
        <f t="shared" si="1"/>
        <v>107.8</v>
      </c>
    </row>
    <row r="29" spans="2:19" ht="22.5" customHeight="1">
      <c r="B29" s="252">
        <v>2019</v>
      </c>
      <c r="C29" s="377">
        <v>0.5</v>
      </c>
      <c r="D29" s="377">
        <v>33.4</v>
      </c>
      <c r="E29" s="377">
        <v>39.6</v>
      </c>
      <c r="F29" s="377">
        <v>43.6</v>
      </c>
      <c r="G29" s="377">
        <v>26.7</v>
      </c>
      <c r="H29" s="377">
        <v>68.8</v>
      </c>
      <c r="I29" s="377">
        <v>190.9</v>
      </c>
      <c r="J29" s="377">
        <v>117.9</v>
      </c>
      <c r="K29" s="377">
        <v>201.9</v>
      </c>
      <c r="L29" s="377">
        <v>73.099999999999994</v>
      </c>
      <c r="M29" s="377">
        <v>93.2</v>
      </c>
      <c r="N29" s="380">
        <v>26.2</v>
      </c>
      <c r="O29" s="384">
        <f t="shared" si="0"/>
        <v>915.8</v>
      </c>
      <c r="P29" s="246">
        <f t="shared" si="1"/>
        <v>76.3</v>
      </c>
    </row>
    <row r="30" spans="2:19" ht="22.5" customHeight="1">
      <c r="B30" s="252">
        <v>2020</v>
      </c>
      <c r="C30" s="377">
        <v>61</v>
      </c>
      <c r="D30" s="377">
        <v>59.2</v>
      </c>
      <c r="E30" s="377">
        <v>19.5</v>
      </c>
      <c r="F30" s="377">
        <v>15.8</v>
      </c>
      <c r="G30" s="377">
        <v>97.9</v>
      </c>
      <c r="H30" s="377">
        <v>91.1</v>
      </c>
      <c r="I30" s="377">
        <v>384.7</v>
      </c>
      <c r="J30" s="377">
        <v>659.3</v>
      </c>
      <c r="K30" s="377">
        <v>163.4</v>
      </c>
      <c r="L30" s="377">
        <v>22.2</v>
      </c>
      <c r="M30" s="377">
        <v>56.8</v>
      </c>
      <c r="N30" s="380">
        <v>4.5999999999999996</v>
      </c>
      <c r="O30" s="384">
        <f t="shared" si="0"/>
        <v>1635.5</v>
      </c>
      <c r="P30" s="246">
        <f t="shared" si="1"/>
        <v>136.30000000000001</v>
      </c>
    </row>
    <row r="31" spans="2:19" ht="22.5" customHeight="1">
      <c r="B31" s="252">
        <v>2021</v>
      </c>
      <c r="C31" s="377">
        <v>24.1</v>
      </c>
      <c r="D31" s="377">
        <v>9.6999999999999993</v>
      </c>
      <c r="E31" s="377">
        <v>102.8</v>
      </c>
      <c r="F31" s="377">
        <v>106.4</v>
      </c>
      <c r="G31" s="377">
        <v>179.2</v>
      </c>
      <c r="H31" s="377">
        <v>50.1</v>
      </c>
      <c r="I31" s="377">
        <v>134.4</v>
      </c>
      <c r="J31" s="377">
        <v>161.1</v>
      </c>
      <c r="K31" s="377">
        <v>164.1</v>
      </c>
      <c r="L31" s="377">
        <v>36</v>
      </c>
      <c r="M31" s="377">
        <v>104.2</v>
      </c>
      <c r="N31" s="380">
        <v>12.3</v>
      </c>
      <c r="O31" s="384">
        <f t="shared" si="0"/>
        <v>1084.4000000000001</v>
      </c>
      <c r="P31" s="246">
        <f t="shared" si="1"/>
        <v>90.4</v>
      </c>
    </row>
    <row r="32" spans="2:19" ht="22.5" customHeight="1">
      <c r="B32" s="252">
        <v>2022</v>
      </c>
      <c r="C32" s="377">
        <v>3.9</v>
      </c>
      <c r="D32" s="377">
        <v>4</v>
      </c>
      <c r="E32" s="377">
        <v>74.7</v>
      </c>
      <c r="F32" s="377">
        <v>42.4</v>
      </c>
      <c r="G32" s="377">
        <v>13.4</v>
      </c>
      <c r="H32" s="377">
        <v>472.1</v>
      </c>
      <c r="I32" s="377">
        <v>243</v>
      </c>
      <c r="J32" s="377">
        <v>640.79999999999995</v>
      </c>
      <c r="K32" s="377">
        <v>190.1</v>
      </c>
      <c r="L32" s="377">
        <v>108.5</v>
      </c>
      <c r="M32" s="377">
        <v>51.4</v>
      </c>
      <c r="N32" s="380">
        <v>19.7</v>
      </c>
      <c r="O32" s="384">
        <f t="shared" si="0"/>
        <v>1864</v>
      </c>
      <c r="P32" s="246">
        <f t="shared" si="1"/>
        <v>155.30000000000001</v>
      </c>
    </row>
    <row r="33" spans="2:16" ht="22.5" customHeight="1">
      <c r="B33" s="252">
        <v>2023</v>
      </c>
      <c r="C33" s="377">
        <v>38.9</v>
      </c>
      <c r="D33" s="377">
        <v>0.7</v>
      </c>
      <c r="E33" s="377">
        <v>5.5</v>
      </c>
      <c r="F33" s="377">
        <v>67.400000000000006</v>
      </c>
      <c r="G33" s="377">
        <v>120.3</v>
      </c>
      <c r="H33" s="377">
        <v>131.5</v>
      </c>
      <c r="I33" s="377">
        <v>490.5</v>
      </c>
      <c r="J33" s="377">
        <v>200.7</v>
      </c>
      <c r="K33" s="377">
        <v>135.6</v>
      </c>
      <c r="L33" s="377">
        <v>35.799999999999997</v>
      </c>
      <c r="M33" s="377">
        <v>99</v>
      </c>
      <c r="N33" s="380">
        <v>83.5</v>
      </c>
      <c r="O33" s="384">
        <f t="shared" si="0"/>
        <v>1409.4</v>
      </c>
      <c r="P33" s="246">
        <f t="shared" si="1"/>
        <v>117.5</v>
      </c>
    </row>
    <row r="34" spans="2:16" ht="22.5" customHeight="1" thickBot="1">
      <c r="B34" s="387">
        <v>2024</v>
      </c>
      <c r="C34" s="388">
        <v>21.2</v>
      </c>
      <c r="D34" s="388">
        <v>74.8</v>
      </c>
      <c r="E34" s="388">
        <v>30.2</v>
      </c>
      <c r="F34" s="388">
        <v>55</v>
      </c>
      <c r="G34" s="388">
        <v>109.4</v>
      </c>
      <c r="H34" s="388">
        <v>137.5</v>
      </c>
      <c r="I34" s="388">
        <v>403.3</v>
      </c>
      <c r="J34" s="388">
        <v>127.6</v>
      </c>
      <c r="K34" s="388">
        <v>219.4</v>
      </c>
      <c r="L34" s="388">
        <v>97.2</v>
      </c>
      <c r="M34" s="388">
        <v>98.1</v>
      </c>
      <c r="N34" s="389">
        <v>4.5</v>
      </c>
      <c r="O34" s="390">
        <f t="shared" si="0"/>
        <v>1378.2</v>
      </c>
      <c r="P34" s="391">
        <f t="shared" si="1"/>
        <v>114.9</v>
      </c>
    </row>
    <row r="35" spans="2:16" ht="22.5" customHeight="1">
      <c r="B35" s="319" t="s">
        <v>36</v>
      </c>
      <c r="C35" s="392">
        <f>MAX(C5:C34)</f>
        <v>61</v>
      </c>
      <c r="D35" s="392">
        <f t="shared" ref="D35:N35" si="2">MAX(D5:D34)</f>
        <v>74.8</v>
      </c>
      <c r="E35" s="392">
        <f t="shared" si="2"/>
        <v>135.30000000000001</v>
      </c>
      <c r="F35" s="392">
        <f t="shared" si="2"/>
        <v>186.4</v>
      </c>
      <c r="G35" s="392">
        <f t="shared" si="2"/>
        <v>260.3</v>
      </c>
      <c r="H35" s="392">
        <f t="shared" si="2"/>
        <v>472.1</v>
      </c>
      <c r="I35" s="392">
        <f t="shared" si="2"/>
        <v>794.3</v>
      </c>
      <c r="J35" s="392">
        <f t="shared" si="2"/>
        <v>967.9</v>
      </c>
      <c r="K35" s="392">
        <f t="shared" si="2"/>
        <v>402.2</v>
      </c>
      <c r="L35" s="392">
        <f t="shared" si="2"/>
        <v>132.69999999999999</v>
      </c>
      <c r="M35" s="392">
        <f t="shared" si="2"/>
        <v>116</v>
      </c>
      <c r="N35" s="320">
        <f t="shared" si="2"/>
        <v>83.5</v>
      </c>
      <c r="O35" s="393">
        <f t="shared" ref="O35" si="3">MAX(O5:O34)</f>
        <v>1975.9</v>
      </c>
      <c r="P35" s="320">
        <f>MAX(P5:P34)</f>
        <v>164.7</v>
      </c>
    </row>
    <row r="36" spans="2:16" ht="22.5" customHeight="1">
      <c r="B36" s="252" t="s">
        <v>37</v>
      </c>
      <c r="C36" s="120">
        <f>ROUND(MIN(C5:C34),1)</f>
        <v>0.5</v>
      </c>
      <c r="D36" s="120">
        <f t="shared" ref="D36:N36" si="4">ROUND(MIN(D5:D34),1)</f>
        <v>0.7</v>
      </c>
      <c r="E36" s="120">
        <f t="shared" si="4"/>
        <v>3.1</v>
      </c>
      <c r="F36" s="120">
        <f t="shared" si="4"/>
        <v>12.9</v>
      </c>
      <c r="G36" s="120">
        <f t="shared" si="4"/>
        <v>13.4</v>
      </c>
      <c r="H36" s="120">
        <f t="shared" si="4"/>
        <v>27.6</v>
      </c>
      <c r="I36" s="120">
        <f t="shared" si="4"/>
        <v>134.4</v>
      </c>
      <c r="J36" s="120">
        <f t="shared" si="4"/>
        <v>66.400000000000006</v>
      </c>
      <c r="K36" s="120">
        <f t="shared" si="4"/>
        <v>6.9</v>
      </c>
      <c r="L36" s="120">
        <f t="shared" si="4"/>
        <v>2</v>
      </c>
      <c r="M36" s="120">
        <f t="shared" si="4"/>
        <v>12.2</v>
      </c>
      <c r="N36" s="246">
        <f t="shared" si="4"/>
        <v>3.1</v>
      </c>
      <c r="O36" s="385">
        <f>ROUND(MIN(O5:O34),1)</f>
        <v>751.1</v>
      </c>
      <c r="P36" s="380">
        <f>ROUND(MIN(P5:P34),1)</f>
        <v>62.6</v>
      </c>
    </row>
    <row r="37" spans="2:16" ht="22.5" customHeight="1" thickBot="1">
      <c r="B37" s="240" t="s">
        <v>45</v>
      </c>
      <c r="C37" s="238">
        <f>ROUND(AVERAGE(C5:C34),1)</f>
        <v>19.8</v>
      </c>
      <c r="D37" s="238">
        <f t="shared" ref="D37:N37" si="5">ROUND(AVERAGE(D5:D34),1)</f>
        <v>26.8</v>
      </c>
      <c r="E37" s="238">
        <f t="shared" si="5"/>
        <v>43.1</v>
      </c>
      <c r="F37" s="238">
        <f t="shared" si="5"/>
        <v>73.3</v>
      </c>
      <c r="G37" s="238">
        <f t="shared" si="5"/>
        <v>93.4</v>
      </c>
      <c r="H37" s="238">
        <f t="shared" si="5"/>
        <v>136.30000000000001</v>
      </c>
      <c r="I37" s="238">
        <f t="shared" si="5"/>
        <v>384.9</v>
      </c>
      <c r="J37" s="238">
        <f t="shared" si="5"/>
        <v>304.7</v>
      </c>
      <c r="K37" s="238">
        <f t="shared" si="5"/>
        <v>140.30000000000001</v>
      </c>
      <c r="L37" s="238">
        <f t="shared" si="5"/>
        <v>54</v>
      </c>
      <c r="M37" s="238">
        <f t="shared" si="5"/>
        <v>54.6</v>
      </c>
      <c r="N37" s="241">
        <f t="shared" si="5"/>
        <v>24.9</v>
      </c>
      <c r="O37" s="386">
        <f>ROUND(AVERAGE(O5:O34),1)</f>
        <v>1356.3</v>
      </c>
      <c r="P37" s="383">
        <f>ROUND(AVERAGE(P5:P34),1)</f>
        <v>113</v>
      </c>
    </row>
    <row r="38" spans="2:16" ht="21.95" customHeight="1"/>
    <row r="39" spans="2:16" ht="21.95" customHeight="1" thickBot="1"/>
    <row r="40" spans="2:16" ht="34.5" customHeight="1">
      <c r="B40" s="559" t="s">
        <v>40</v>
      </c>
      <c r="C40" s="560" t="s">
        <v>31</v>
      </c>
      <c r="D40" s="560" t="s">
        <v>32</v>
      </c>
      <c r="E40" s="560" t="s">
        <v>33</v>
      </c>
      <c r="F40" s="560" t="s">
        <v>34</v>
      </c>
      <c r="G40" s="560" t="s">
        <v>35</v>
      </c>
      <c r="H40" s="560" t="s">
        <v>12</v>
      </c>
      <c r="I40" s="560" t="s">
        <v>13</v>
      </c>
      <c r="J40" s="560" t="s">
        <v>14</v>
      </c>
      <c r="K40" s="560" t="s">
        <v>15</v>
      </c>
      <c r="L40" s="560" t="s">
        <v>16</v>
      </c>
      <c r="M40" s="560" t="s">
        <v>17</v>
      </c>
      <c r="N40" s="561" t="s">
        <v>18</v>
      </c>
      <c r="O40" s="559" t="s">
        <v>43</v>
      </c>
      <c r="P40" s="562" t="s">
        <v>30</v>
      </c>
    </row>
    <row r="41" spans="2:16" ht="22.5" customHeight="1">
      <c r="B41" s="379">
        <f>B25</f>
        <v>2015</v>
      </c>
      <c r="C41" s="377">
        <f t="shared" ref="C41:N41" si="6">C25</f>
        <v>17.5</v>
      </c>
      <c r="D41" s="377">
        <f t="shared" si="6"/>
        <v>22.7</v>
      </c>
      <c r="E41" s="377">
        <f t="shared" si="6"/>
        <v>12.5</v>
      </c>
      <c r="F41" s="377">
        <f t="shared" si="6"/>
        <v>99.2</v>
      </c>
      <c r="G41" s="377">
        <f t="shared" si="6"/>
        <v>32.6</v>
      </c>
      <c r="H41" s="377">
        <f t="shared" si="6"/>
        <v>30.2</v>
      </c>
      <c r="I41" s="377">
        <f t="shared" si="6"/>
        <v>225.8</v>
      </c>
      <c r="J41" s="377">
        <f t="shared" si="6"/>
        <v>71</v>
      </c>
      <c r="K41" s="377">
        <f t="shared" si="6"/>
        <v>6.9</v>
      </c>
      <c r="L41" s="377">
        <f t="shared" si="6"/>
        <v>67.400000000000006</v>
      </c>
      <c r="M41" s="377">
        <f t="shared" si="6"/>
        <v>116</v>
      </c>
      <c r="N41" s="394">
        <f t="shared" si="6"/>
        <v>49.3</v>
      </c>
      <c r="O41" s="379">
        <f>ROUND(SUM(C41:N41),1)</f>
        <v>751.1</v>
      </c>
      <c r="P41" s="380">
        <f>ROUND(O41/12,1)</f>
        <v>62.6</v>
      </c>
    </row>
    <row r="42" spans="2:16" ht="22.5" customHeight="1">
      <c r="B42" s="379">
        <f t="shared" ref="B42:N42" si="7">B26</f>
        <v>2016</v>
      </c>
      <c r="C42" s="377">
        <f t="shared" si="7"/>
        <v>4.5999999999999996</v>
      </c>
      <c r="D42" s="377">
        <f t="shared" si="7"/>
        <v>52.6</v>
      </c>
      <c r="E42" s="377">
        <f t="shared" si="7"/>
        <v>54.8</v>
      </c>
      <c r="F42" s="377">
        <f t="shared" si="7"/>
        <v>79.2</v>
      </c>
      <c r="G42" s="377">
        <f t="shared" si="7"/>
        <v>156.4</v>
      </c>
      <c r="H42" s="377">
        <f t="shared" si="7"/>
        <v>37.4</v>
      </c>
      <c r="I42" s="377">
        <f t="shared" si="7"/>
        <v>317.7</v>
      </c>
      <c r="J42" s="377">
        <f t="shared" si="7"/>
        <v>73</v>
      </c>
      <c r="K42" s="377">
        <f t="shared" si="7"/>
        <v>67.8</v>
      </c>
      <c r="L42" s="377">
        <f t="shared" si="7"/>
        <v>99.1</v>
      </c>
      <c r="M42" s="377">
        <f t="shared" si="7"/>
        <v>17.399999999999999</v>
      </c>
      <c r="N42" s="394">
        <f t="shared" si="7"/>
        <v>63.4</v>
      </c>
      <c r="O42" s="379">
        <f t="shared" ref="O42:O50" si="8">ROUND(SUM(C42:N42),1)</f>
        <v>1023.4</v>
      </c>
      <c r="P42" s="380">
        <f t="shared" ref="P42:P50" si="9">ROUND(O42/12,1)</f>
        <v>85.3</v>
      </c>
    </row>
    <row r="43" spans="2:16" ht="22.5" customHeight="1">
      <c r="B43" s="379">
        <f t="shared" ref="B43:N43" si="10">B27</f>
        <v>2017</v>
      </c>
      <c r="C43" s="377">
        <f t="shared" si="10"/>
        <v>19.399999999999999</v>
      </c>
      <c r="D43" s="377">
        <f t="shared" si="10"/>
        <v>22.5</v>
      </c>
      <c r="E43" s="377">
        <f t="shared" si="10"/>
        <v>9</v>
      </c>
      <c r="F43" s="377">
        <f t="shared" si="10"/>
        <v>52.5</v>
      </c>
      <c r="G43" s="377">
        <f t="shared" si="10"/>
        <v>22.5</v>
      </c>
      <c r="H43" s="377">
        <f t="shared" si="10"/>
        <v>27.6</v>
      </c>
      <c r="I43" s="377">
        <f t="shared" si="10"/>
        <v>684.5</v>
      </c>
      <c r="J43" s="377">
        <f t="shared" si="10"/>
        <v>359.7</v>
      </c>
      <c r="K43" s="377">
        <f t="shared" si="10"/>
        <v>26.1</v>
      </c>
      <c r="L43" s="377">
        <f t="shared" si="10"/>
        <v>28.7</v>
      </c>
      <c r="M43" s="377">
        <f t="shared" si="10"/>
        <v>37.6</v>
      </c>
      <c r="N43" s="394">
        <f t="shared" si="10"/>
        <v>38.5</v>
      </c>
      <c r="O43" s="379">
        <f t="shared" si="8"/>
        <v>1328.6</v>
      </c>
      <c r="P43" s="380">
        <f t="shared" si="9"/>
        <v>110.7</v>
      </c>
    </row>
    <row r="44" spans="2:16" ht="22.5" customHeight="1">
      <c r="B44" s="379">
        <f t="shared" ref="B44:N44" si="11">B28</f>
        <v>2018</v>
      </c>
      <c r="C44" s="377">
        <f t="shared" si="11"/>
        <v>7.9</v>
      </c>
      <c r="D44" s="377">
        <f t="shared" si="11"/>
        <v>29.1</v>
      </c>
      <c r="E44" s="377">
        <f t="shared" si="11"/>
        <v>86</v>
      </c>
      <c r="F44" s="377">
        <f t="shared" si="11"/>
        <v>128.80000000000001</v>
      </c>
      <c r="G44" s="377">
        <f t="shared" si="11"/>
        <v>196.4</v>
      </c>
      <c r="H44" s="377">
        <f t="shared" si="11"/>
        <v>107</v>
      </c>
      <c r="I44" s="377">
        <f t="shared" si="11"/>
        <v>222.7</v>
      </c>
      <c r="J44" s="377">
        <f t="shared" si="11"/>
        <v>218.6</v>
      </c>
      <c r="K44" s="377">
        <f t="shared" si="11"/>
        <v>61.7</v>
      </c>
      <c r="L44" s="377">
        <f t="shared" si="11"/>
        <v>132.69999999999999</v>
      </c>
      <c r="M44" s="377">
        <f t="shared" si="11"/>
        <v>78.099999999999994</v>
      </c>
      <c r="N44" s="394">
        <f t="shared" si="11"/>
        <v>24.1</v>
      </c>
      <c r="O44" s="379">
        <f t="shared" si="8"/>
        <v>1293.0999999999999</v>
      </c>
      <c r="P44" s="380">
        <f t="shared" si="9"/>
        <v>107.8</v>
      </c>
    </row>
    <row r="45" spans="2:16" ht="22.5" customHeight="1">
      <c r="B45" s="379">
        <f t="shared" ref="B45:N45" si="12">B29</f>
        <v>2019</v>
      </c>
      <c r="C45" s="377">
        <f t="shared" si="12"/>
        <v>0.5</v>
      </c>
      <c r="D45" s="377">
        <f t="shared" si="12"/>
        <v>33.4</v>
      </c>
      <c r="E45" s="377">
        <f t="shared" si="12"/>
        <v>39.6</v>
      </c>
      <c r="F45" s="377">
        <f t="shared" si="12"/>
        <v>43.6</v>
      </c>
      <c r="G45" s="377">
        <f t="shared" si="12"/>
        <v>26.7</v>
      </c>
      <c r="H45" s="377">
        <f t="shared" si="12"/>
        <v>68.8</v>
      </c>
      <c r="I45" s="377">
        <f t="shared" si="12"/>
        <v>190.9</v>
      </c>
      <c r="J45" s="377">
        <f t="shared" si="12"/>
        <v>117.9</v>
      </c>
      <c r="K45" s="377">
        <f t="shared" si="12"/>
        <v>201.9</v>
      </c>
      <c r="L45" s="377">
        <f t="shared" si="12"/>
        <v>73.099999999999994</v>
      </c>
      <c r="M45" s="377">
        <f t="shared" si="12"/>
        <v>93.2</v>
      </c>
      <c r="N45" s="394">
        <f t="shared" si="12"/>
        <v>26.2</v>
      </c>
      <c r="O45" s="379">
        <f t="shared" si="8"/>
        <v>915.8</v>
      </c>
      <c r="P45" s="380">
        <f t="shared" si="9"/>
        <v>76.3</v>
      </c>
    </row>
    <row r="46" spans="2:16" ht="22.5" customHeight="1">
      <c r="B46" s="379">
        <f t="shared" ref="B46:N46" si="13">B30</f>
        <v>2020</v>
      </c>
      <c r="C46" s="377">
        <f t="shared" si="13"/>
        <v>61</v>
      </c>
      <c r="D46" s="377">
        <f t="shared" si="13"/>
        <v>59.2</v>
      </c>
      <c r="E46" s="377">
        <f t="shared" si="13"/>
        <v>19.5</v>
      </c>
      <c r="F46" s="377">
        <f t="shared" si="13"/>
        <v>15.8</v>
      </c>
      <c r="G46" s="377">
        <f t="shared" si="13"/>
        <v>97.9</v>
      </c>
      <c r="H46" s="377">
        <f t="shared" si="13"/>
        <v>91.1</v>
      </c>
      <c r="I46" s="377">
        <f t="shared" si="13"/>
        <v>384.7</v>
      </c>
      <c r="J46" s="377">
        <f t="shared" si="13"/>
        <v>659.3</v>
      </c>
      <c r="K46" s="377">
        <f t="shared" si="13"/>
        <v>163.4</v>
      </c>
      <c r="L46" s="377">
        <f t="shared" si="13"/>
        <v>22.2</v>
      </c>
      <c r="M46" s="377">
        <f t="shared" si="13"/>
        <v>56.8</v>
      </c>
      <c r="N46" s="394">
        <f t="shared" si="13"/>
        <v>4.5999999999999996</v>
      </c>
      <c r="O46" s="379">
        <f t="shared" si="8"/>
        <v>1635.5</v>
      </c>
      <c r="P46" s="380">
        <f t="shared" si="9"/>
        <v>136.30000000000001</v>
      </c>
    </row>
    <row r="47" spans="2:16" ht="22.5" customHeight="1">
      <c r="B47" s="379">
        <f t="shared" ref="B47:N47" si="14">B31</f>
        <v>2021</v>
      </c>
      <c r="C47" s="377">
        <f t="shared" si="14"/>
        <v>24.1</v>
      </c>
      <c r="D47" s="377">
        <f t="shared" si="14"/>
        <v>9.6999999999999993</v>
      </c>
      <c r="E47" s="377">
        <f t="shared" si="14"/>
        <v>102.8</v>
      </c>
      <c r="F47" s="377">
        <f t="shared" si="14"/>
        <v>106.4</v>
      </c>
      <c r="G47" s="377">
        <f t="shared" si="14"/>
        <v>179.2</v>
      </c>
      <c r="H47" s="377">
        <f t="shared" si="14"/>
        <v>50.1</v>
      </c>
      <c r="I47" s="377">
        <f t="shared" si="14"/>
        <v>134.4</v>
      </c>
      <c r="J47" s="377">
        <f t="shared" si="14"/>
        <v>161.1</v>
      </c>
      <c r="K47" s="377">
        <f t="shared" si="14"/>
        <v>164.1</v>
      </c>
      <c r="L47" s="377">
        <f t="shared" si="14"/>
        <v>36</v>
      </c>
      <c r="M47" s="377">
        <f t="shared" si="14"/>
        <v>104.2</v>
      </c>
      <c r="N47" s="394">
        <f t="shared" si="14"/>
        <v>12.3</v>
      </c>
      <c r="O47" s="379">
        <f t="shared" si="8"/>
        <v>1084.4000000000001</v>
      </c>
      <c r="P47" s="380">
        <f t="shared" si="9"/>
        <v>90.4</v>
      </c>
    </row>
    <row r="48" spans="2:16" ht="22.5" customHeight="1">
      <c r="B48" s="379">
        <f t="shared" ref="B48:N48" si="15">B32</f>
        <v>2022</v>
      </c>
      <c r="C48" s="377">
        <f t="shared" si="15"/>
        <v>3.9</v>
      </c>
      <c r="D48" s="377">
        <f t="shared" si="15"/>
        <v>4</v>
      </c>
      <c r="E48" s="377">
        <f t="shared" si="15"/>
        <v>74.7</v>
      </c>
      <c r="F48" s="377">
        <f t="shared" si="15"/>
        <v>42.4</v>
      </c>
      <c r="G48" s="377">
        <f t="shared" si="15"/>
        <v>13.4</v>
      </c>
      <c r="H48" s="377">
        <f t="shared" si="15"/>
        <v>472.1</v>
      </c>
      <c r="I48" s="377">
        <f t="shared" si="15"/>
        <v>243</v>
      </c>
      <c r="J48" s="377">
        <f t="shared" si="15"/>
        <v>640.79999999999995</v>
      </c>
      <c r="K48" s="377">
        <f t="shared" si="15"/>
        <v>190.1</v>
      </c>
      <c r="L48" s="377">
        <f t="shared" si="15"/>
        <v>108.5</v>
      </c>
      <c r="M48" s="377">
        <f t="shared" si="15"/>
        <v>51.4</v>
      </c>
      <c r="N48" s="394">
        <f t="shared" si="15"/>
        <v>19.7</v>
      </c>
      <c r="O48" s="379">
        <f t="shared" si="8"/>
        <v>1864</v>
      </c>
      <c r="P48" s="380">
        <f t="shared" si="9"/>
        <v>155.30000000000001</v>
      </c>
    </row>
    <row r="49" spans="2:16" ht="22.5" customHeight="1">
      <c r="B49" s="379">
        <f t="shared" ref="B49:N49" si="16">B33</f>
        <v>2023</v>
      </c>
      <c r="C49" s="377">
        <f t="shared" si="16"/>
        <v>38.9</v>
      </c>
      <c r="D49" s="377">
        <f t="shared" si="16"/>
        <v>0.7</v>
      </c>
      <c r="E49" s="377">
        <f t="shared" si="16"/>
        <v>5.5</v>
      </c>
      <c r="F49" s="377">
        <f t="shared" si="16"/>
        <v>67.400000000000006</v>
      </c>
      <c r="G49" s="377">
        <f t="shared" si="16"/>
        <v>120.3</v>
      </c>
      <c r="H49" s="377">
        <f t="shared" si="16"/>
        <v>131.5</v>
      </c>
      <c r="I49" s="377">
        <f t="shared" si="16"/>
        <v>490.5</v>
      </c>
      <c r="J49" s="377">
        <f t="shared" si="16"/>
        <v>200.7</v>
      </c>
      <c r="K49" s="377">
        <f t="shared" si="16"/>
        <v>135.6</v>
      </c>
      <c r="L49" s="377">
        <f t="shared" si="16"/>
        <v>35.799999999999997</v>
      </c>
      <c r="M49" s="377">
        <f t="shared" si="16"/>
        <v>99</v>
      </c>
      <c r="N49" s="394">
        <f t="shared" si="16"/>
        <v>83.5</v>
      </c>
      <c r="O49" s="379">
        <f t="shared" si="8"/>
        <v>1409.4</v>
      </c>
      <c r="P49" s="380">
        <f t="shared" si="9"/>
        <v>117.5</v>
      </c>
    </row>
    <row r="50" spans="2:16" ht="22.5" customHeight="1" thickBot="1">
      <c r="B50" s="397">
        <f t="shared" ref="B50:N50" si="17">B34</f>
        <v>2024</v>
      </c>
      <c r="C50" s="388">
        <f t="shared" si="17"/>
        <v>21.2</v>
      </c>
      <c r="D50" s="388">
        <f t="shared" si="17"/>
        <v>74.8</v>
      </c>
      <c r="E50" s="388">
        <f>E34</f>
        <v>30.2</v>
      </c>
      <c r="F50" s="388">
        <f t="shared" si="17"/>
        <v>55</v>
      </c>
      <c r="G50" s="388">
        <f t="shared" si="17"/>
        <v>109.4</v>
      </c>
      <c r="H50" s="388">
        <f t="shared" si="17"/>
        <v>137.5</v>
      </c>
      <c r="I50" s="388">
        <f t="shared" si="17"/>
        <v>403.3</v>
      </c>
      <c r="J50" s="388">
        <f t="shared" si="17"/>
        <v>127.6</v>
      </c>
      <c r="K50" s="388">
        <f t="shared" si="17"/>
        <v>219.4</v>
      </c>
      <c r="L50" s="388">
        <f t="shared" si="17"/>
        <v>97.2</v>
      </c>
      <c r="M50" s="388">
        <f t="shared" si="17"/>
        <v>98.1</v>
      </c>
      <c r="N50" s="398">
        <f t="shared" si="17"/>
        <v>4.5</v>
      </c>
      <c r="O50" s="397">
        <f t="shared" si="8"/>
        <v>1378.2</v>
      </c>
      <c r="P50" s="389">
        <f t="shared" si="9"/>
        <v>114.9</v>
      </c>
    </row>
    <row r="51" spans="2:16" ht="22.5" customHeight="1">
      <c r="B51" s="399" t="s">
        <v>46</v>
      </c>
      <c r="C51" s="400">
        <f>MAX(C41:C50)</f>
        <v>61</v>
      </c>
      <c r="D51" s="400">
        <f t="shared" ref="D51:P51" si="18">MAX(D41:D50)</f>
        <v>74.8</v>
      </c>
      <c r="E51" s="400">
        <f t="shared" si="18"/>
        <v>102.8</v>
      </c>
      <c r="F51" s="400">
        <f t="shared" si="18"/>
        <v>128.80000000000001</v>
      </c>
      <c r="G51" s="400">
        <f t="shared" si="18"/>
        <v>196.4</v>
      </c>
      <c r="H51" s="400">
        <f t="shared" si="18"/>
        <v>472.1</v>
      </c>
      <c r="I51" s="400">
        <f t="shared" si="18"/>
        <v>684.5</v>
      </c>
      <c r="J51" s="400">
        <f t="shared" si="18"/>
        <v>659.3</v>
      </c>
      <c r="K51" s="400">
        <f t="shared" si="18"/>
        <v>219.4</v>
      </c>
      <c r="L51" s="400">
        <f t="shared" si="18"/>
        <v>132.69999999999999</v>
      </c>
      <c r="M51" s="400">
        <f t="shared" si="18"/>
        <v>116</v>
      </c>
      <c r="N51" s="401">
        <f t="shared" si="18"/>
        <v>83.5</v>
      </c>
      <c r="O51" s="399">
        <f t="shared" si="18"/>
        <v>1864</v>
      </c>
      <c r="P51" s="402">
        <f t="shared" si="18"/>
        <v>155.30000000000001</v>
      </c>
    </row>
    <row r="52" spans="2:16" ht="22.5" customHeight="1">
      <c r="B52" s="379" t="s">
        <v>47</v>
      </c>
      <c r="C52" s="377">
        <f>MIN(C41:C50)</f>
        <v>0.5</v>
      </c>
      <c r="D52" s="377">
        <f t="shared" ref="D52:P52" si="19">MIN(D41:D50)</f>
        <v>0.7</v>
      </c>
      <c r="E52" s="377">
        <f t="shared" si="19"/>
        <v>5.5</v>
      </c>
      <c r="F52" s="377">
        <f t="shared" si="19"/>
        <v>15.8</v>
      </c>
      <c r="G52" s="377">
        <f t="shared" si="19"/>
        <v>13.4</v>
      </c>
      <c r="H52" s="377">
        <f t="shared" si="19"/>
        <v>27.6</v>
      </c>
      <c r="I52" s="377">
        <f t="shared" si="19"/>
        <v>134.4</v>
      </c>
      <c r="J52" s="377">
        <f t="shared" si="19"/>
        <v>71</v>
      </c>
      <c r="K52" s="377">
        <f t="shared" si="19"/>
        <v>6.9</v>
      </c>
      <c r="L52" s="377">
        <f t="shared" si="19"/>
        <v>22.2</v>
      </c>
      <c r="M52" s="377">
        <f t="shared" si="19"/>
        <v>17.399999999999999</v>
      </c>
      <c r="N52" s="394">
        <f t="shared" si="19"/>
        <v>4.5</v>
      </c>
      <c r="O52" s="379">
        <f>MIN(O41:O50)</f>
        <v>751.1</v>
      </c>
      <c r="P52" s="380">
        <f t="shared" si="19"/>
        <v>62.6</v>
      </c>
    </row>
    <row r="53" spans="2:16" ht="22.5" customHeight="1" thickBot="1">
      <c r="B53" s="381" t="s">
        <v>30</v>
      </c>
      <c r="C53" s="382">
        <f>ROUND(AVERAGE(C41:C50),1)</f>
        <v>19.899999999999999</v>
      </c>
      <c r="D53" s="382">
        <f t="shared" ref="D53:N53" si="20">ROUND(AVERAGE(D41:D50),1)</f>
        <v>30.9</v>
      </c>
      <c r="E53" s="382">
        <f t="shared" si="20"/>
        <v>43.5</v>
      </c>
      <c r="F53" s="382">
        <f t="shared" si="20"/>
        <v>69</v>
      </c>
      <c r="G53" s="382">
        <f t="shared" si="20"/>
        <v>95.5</v>
      </c>
      <c r="H53" s="382">
        <f t="shared" si="20"/>
        <v>115.3</v>
      </c>
      <c r="I53" s="382">
        <f t="shared" si="20"/>
        <v>329.8</v>
      </c>
      <c r="J53" s="382">
        <f t="shared" si="20"/>
        <v>263</v>
      </c>
      <c r="K53" s="382">
        <f t="shared" si="20"/>
        <v>123.7</v>
      </c>
      <c r="L53" s="382">
        <f t="shared" si="20"/>
        <v>70.099999999999994</v>
      </c>
      <c r="M53" s="382">
        <f t="shared" si="20"/>
        <v>75.2</v>
      </c>
      <c r="N53" s="395">
        <f t="shared" si="20"/>
        <v>32.6</v>
      </c>
      <c r="O53" s="396">
        <f>ROUND(AVERAGE(O41:O50),1)</f>
        <v>1268.4000000000001</v>
      </c>
      <c r="P53" s="383">
        <f>ROUND(AVERAGE(P41:P50),1)</f>
        <v>105.7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6" r:id="rId4" name="CommandButton_geumsan">
          <controlPr defaultSize="0" autoLine="0" autoPict="0" r:id="rId5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4" name="CommandButton_geumsan"/>
      </mc:Fallback>
    </mc:AlternateContent>
    <mc:AlternateContent xmlns:mc="http://schemas.openxmlformats.org/markup-compatibility/2006">
      <mc:Choice Requires="x14">
        <control shapeId="218133" r:id="rId6" name="CommandButton_cheongju">
          <controlPr defaultSize="0" autoLine="0" autoPict="0" r:id="rId7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6" name="CommandButton_cheongju"/>
      </mc:Fallback>
    </mc:AlternateContent>
    <mc:AlternateContent xmlns:mc="http://schemas.openxmlformats.org/markup-compatibility/2006">
      <mc:Choice Requires="x14">
        <control shapeId="218113" r:id="rId8" name="CommandButton1">
          <controlPr defaultSize="0" autoLine="0" autoPict="0" r:id="rId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8" name="CommandButton1"/>
      </mc:Fallback>
    </mc:AlternateContent>
    <mc:AlternateContent xmlns:mc="http://schemas.openxmlformats.org/markup-compatibility/2006">
      <mc:Choice Requires="x14">
        <control shapeId="218114" r:id="rId10" name="CommandButton2">
          <controlPr defaultSize="0" autoLine="0" r:id="rId1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0" name="CommandButton2"/>
      </mc:Fallback>
    </mc:AlternateContent>
    <mc:AlternateContent xmlns:mc="http://schemas.openxmlformats.org/markup-compatibility/2006">
      <mc:Choice Requires="x14">
        <control shapeId="218124" r:id="rId12" name="CommandButton_daejeon">
          <controlPr defaultSize="0" autoLine="0" autoPict="0" r:id="rId13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2" name="CommandButton_daejeon"/>
      </mc:Fallback>
    </mc:AlternateContent>
    <mc:AlternateContent xmlns:mc="http://schemas.openxmlformats.org/markup-compatibility/2006">
      <mc:Choice Requires="x14">
        <control shapeId="218125" r:id="rId14" name="CommandButton_boryung">
          <controlPr defaultSize="0" autoLine="0" autoPict="0" r:id="rId15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4" name="CommandButton_boryung"/>
      </mc:Fallback>
    </mc:AlternateContent>
    <mc:AlternateContent xmlns:mc="http://schemas.openxmlformats.org/markup-compatibility/2006">
      <mc:Choice Requires="x14">
        <control shapeId="218126" r:id="rId16" name="CommandButton_buyeo">
          <controlPr defaultSize="0" autoLine="0" autoPict="0" r:id="rId17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6" name="CommandButton_buyeo"/>
      </mc:Fallback>
    </mc:AlternateContent>
    <mc:AlternateContent xmlns:mc="http://schemas.openxmlformats.org/markup-compatibility/2006">
      <mc:Choice Requires="x14">
        <control shapeId="218127" r:id="rId18" name="CommandButton_seosan">
          <controlPr defaultSize="0" autoLine="0" autoPict="0" r:id="rId19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8" name="CommandButton_seosan"/>
      </mc:Fallback>
    </mc:AlternateContent>
    <mc:AlternateContent xmlns:mc="http://schemas.openxmlformats.org/markup-compatibility/2006">
      <mc:Choice Requires="x14">
        <control shapeId="218131" r:id="rId20" name="CommandButton_cheonan">
          <controlPr defaultSize="0" autoLine="0" autoPict="0" r:id="rId2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20" name="CommandButton_cheonan"/>
      </mc:Fallback>
    </mc:AlternateContent>
    <mc:AlternateContent xmlns:mc="http://schemas.openxmlformats.org/markup-compatibility/2006">
      <mc:Choice Requires="x14">
        <control shapeId="218132" r:id="rId22" name="CommandButton_Seoul">
          <controlPr defaultSize="0" autoLine="0" autoPict="0" r:id="rId23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22" name="CommandButton_Seoul"/>
      </mc:Fallback>
    </mc:AlternateContent>
    <mc:AlternateContent xmlns:mc="http://schemas.openxmlformats.org/markup-compatibility/2006">
      <mc:Choice Requires="x14">
        <control shapeId="218137" r:id="rId24" name="CommandButton_suwon">
          <controlPr defaultSize="0" autoLine="0" autoPict="0" r:id="rId25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24" name="CommandButton_suwon"/>
      </mc:Fallback>
    </mc:AlternateContent>
    <mc:AlternateContent xmlns:mc="http://schemas.openxmlformats.org/markup-compatibility/2006">
      <mc:Choice Requires="x14">
        <control shapeId="218138" r:id="rId26" name="CommandButton_incheon">
          <controlPr defaultSize="0" autoLine="0" autoPict="0" r:id="rId27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26" name="CommandButton_inche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2" workbookViewId="0">
      <selection activeCell="U68" sqref="U68"/>
    </sheetView>
  </sheetViews>
  <sheetFormatPr defaultColWidth="8.88671875" defaultRowHeight="16.5" outlineLevelRow="1"/>
  <cols>
    <col min="1" max="1" width="8.88671875" style="119"/>
    <col min="2" max="2" width="8.88671875" style="352"/>
    <col min="3" max="3" width="8" style="352" customWidth="1"/>
    <col min="4" max="14" width="8.88671875" style="119"/>
    <col min="15" max="15" width="10.88671875" style="119" customWidth="1"/>
    <col min="16" max="16384" width="8.88671875" style="119"/>
  </cols>
  <sheetData>
    <row r="1" spans="2:16" ht="39" customHeight="1" thickBot="1">
      <c r="I1" s="230"/>
      <c r="J1" s="230"/>
      <c r="K1" s="230"/>
    </row>
    <row r="2" spans="2:16" ht="24" customHeight="1">
      <c r="B2" s="565"/>
      <c r="C2" s="563" t="s">
        <v>7</v>
      </c>
      <c r="D2" s="563" t="s">
        <v>8</v>
      </c>
      <c r="E2" s="563" t="s">
        <v>9</v>
      </c>
      <c r="F2" s="563" t="s">
        <v>10</v>
      </c>
      <c r="G2" s="563" t="s">
        <v>11</v>
      </c>
      <c r="H2" s="563" t="s">
        <v>12</v>
      </c>
      <c r="I2" s="563" t="s">
        <v>13</v>
      </c>
      <c r="J2" s="563" t="s">
        <v>14</v>
      </c>
      <c r="K2" s="563" t="s">
        <v>15</v>
      </c>
      <c r="L2" s="563" t="s">
        <v>16</v>
      </c>
      <c r="M2" s="563" t="s">
        <v>17</v>
      </c>
      <c r="N2" s="563" t="s">
        <v>18</v>
      </c>
      <c r="O2" s="563" t="s">
        <v>28</v>
      </c>
      <c r="P2" s="564" t="s">
        <v>20</v>
      </c>
    </row>
    <row r="3" spans="2:16" hidden="1" outlineLevel="1">
      <c r="B3" s="350">
        <f>All!B5</f>
        <v>1995</v>
      </c>
      <c r="C3" s="349">
        <f>All!C5</f>
        <v>13.4</v>
      </c>
      <c r="D3" s="349">
        <f>All!D5</f>
        <v>11.2</v>
      </c>
      <c r="E3" s="349">
        <f>All!E5</f>
        <v>46.2</v>
      </c>
      <c r="F3" s="349">
        <f>All!F5</f>
        <v>33.700000000000003</v>
      </c>
      <c r="G3" s="349">
        <f>All!G5</f>
        <v>59</v>
      </c>
      <c r="H3" s="349">
        <f>All!H5</f>
        <v>67.7</v>
      </c>
      <c r="I3" s="349">
        <f>All!I5</f>
        <v>372.9</v>
      </c>
      <c r="J3" s="349">
        <f>All!J5</f>
        <v>967.9</v>
      </c>
      <c r="K3" s="349">
        <f>All!K5</f>
        <v>24.2</v>
      </c>
      <c r="L3" s="349">
        <f>All!L5</f>
        <v>29.2</v>
      </c>
      <c r="M3" s="349">
        <f>All!M5</f>
        <v>24.8</v>
      </c>
      <c r="N3" s="349">
        <f>All!N5</f>
        <v>3.1</v>
      </c>
      <c r="O3" s="349">
        <f>All!O5</f>
        <v>1653.3</v>
      </c>
      <c r="P3" s="351">
        <f>All!P5</f>
        <v>137.80000000000001</v>
      </c>
    </row>
    <row r="4" spans="2:16" hidden="1" outlineLevel="1">
      <c r="B4" s="350">
        <f>All!B6</f>
        <v>1996</v>
      </c>
      <c r="C4" s="349">
        <f>All!C6</f>
        <v>20.399999999999999</v>
      </c>
      <c r="D4" s="349">
        <f>All!D6</f>
        <v>4.0999999999999996</v>
      </c>
      <c r="E4" s="349">
        <f>All!E6</f>
        <v>100.8</v>
      </c>
      <c r="F4" s="349">
        <f>All!F6</f>
        <v>51.1</v>
      </c>
      <c r="G4" s="349">
        <f>All!G6</f>
        <v>26.5</v>
      </c>
      <c r="H4" s="349">
        <f>All!H6</f>
        <v>286.39999999999998</v>
      </c>
      <c r="I4" s="349">
        <f>All!I6</f>
        <v>241.1</v>
      </c>
      <c r="J4" s="349">
        <f>All!J6</f>
        <v>77.5</v>
      </c>
      <c r="K4" s="349">
        <f>All!K6</f>
        <v>9.1999999999999993</v>
      </c>
      <c r="L4" s="349">
        <f>All!L6</f>
        <v>70</v>
      </c>
      <c r="M4" s="349">
        <f>All!M6</f>
        <v>49</v>
      </c>
      <c r="N4" s="349">
        <f>All!N6</f>
        <v>16</v>
      </c>
      <c r="O4" s="349">
        <f>All!O6</f>
        <v>952.1</v>
      </c>
      <c r="P4" s="351">
        <f>All!P6</f>
        <v>79.3</v>
      </c>
    </row>
    <row r="5" spans="2:16" hidden="1" outlineLevel="1">
      <c r="B5" s="350">
        <f>All!B7</f>
        <v>1997</v>
      </c>
      <c r="C5" s="349">
        <f>All!C7</f>
        <v>14.4</v>
      </c>
      <c r="D5" s="349">
        <f>All!D7</f>
        <v>41.4</v>
      </c>
      <c r="E5" s="349">
        <f>All!E7</f>
        <v>30.4</v>
      </c>
      <c r="F5" s="349">
        <f>All!F7</f>
        <v>60.7</v>
      </c>
      <c r="G5" s="349">
        <f>All!G7</f>
        <v>260.3</v>
      </c>
      <c r="H5" s="349">
        <f>All!H7</f>
        <v>150.4</v>
      </c>
      <c r="I5" s="349">
        <f>All!I7</f>
        <v>331.7</v>
      </c>
      <c r="J5" s="349">
        <f>All!J7</f>
        <v>299.2</v>
      </c>
      <c r="K5" s="349">
        <f>All!K7</f>
        <v>25</v>
      </c>
      <c r="L5" s="349">
        <f>All!L7</f>
        <v>52.3</v>
      </c>
      <c r="M5" s="349">
        <f>All!M7</f>
        <v>82</v>
      </c>
      <c r="N5" s="349">
        <f>All!N7</f>
        <v>46.5</v>
      </c>
      <c r="O5" s="349">
        <f>All!O7</f>
        <v>1394.3</v>
      </c>
      <c r="P5" s="351">
        <f>All!P7</f>
        <v>116.2</v>
      </c>
    </row>
    <row r="6" spans="2:16" hidden="1" outlineLevel="1">
      <c r="B6" s="350">
        <f>All!B8</f>
        <v>1998</v>
      </c>
      <c r="C6" s="349">
        <f>All!C8</f>
        <v>23.7</v>
      </c>
      <c r="D6" s="349">
        <f>All!D8</f>
        <v>34.299999999999997</v>
      </c>
      <c r="E6" s="349">
        <f>All!E8</f>
        <v>44</v>
      </c>
      <c r="F6" s="349">
        <f>All!F8</f>
        <v>105.9</v>
      </c>
      <c r="G6" s="349">
        <f>All!G8</f>
        <v>86.4</v>
      </c>
      <c r="H6" s="349">
        <f>All!H8</f>
        <v>213.7</v>
      </c>
      <c r="I6" s="349">
        <f>All!I8</f>
        <v>306</v>
      </c>
      <c r="J6" s="349">
        <f>All!J8</f>
        <v>591.6</v>
      </c>
      <c r="K6" s="349">
        <f>All!K8</f>
        <v>141.19999999999999</v>
      </c>
      <c r="L6" s="349">
        <f>All!L8</f>
        <v>25</v>
      </c>
      <c r="M6" s="349">
        <f>All!M8</f>
        <v>51.6</v>
      </c>
      <c r="N6" s="349">
        <f>All!N8</f>
        <v>3.5</v>
      </c>
      <c r="O6" s="349">
        <f>All!O8</f>
        <v>1626.9</v>
      </c>
      <c r="P6" s="351">
        <f>All!P8</f>
        <v>135.6</v>
      </c>
    </row>
    <row r="7" spans="2:16" hidden="1" outlineLevel="1">
      <c r="B7" s="350">
        <f>All!B9</f>
        <v>1999</v>
      </c>
      <c r="C7" s="349">
        <f>All!C9</f>
        <v>7.3</v>
      </c>
      <c r="D7" s="349">
        <f>All!D9</f>
        <v>1.8</v>
      </c>
      <c r="E7" s="349">
        <f>All!E9</f>
        <v>54</v>
      </c>
      <c r="F7" s="349">
        <f>All!F9</f>
        <v>73.599999999999994</v>
      </c>
      <c r="G7" s="349">
        <f>All!G9</f>
        <v>121.3</v>
      </c>
      <c r="H7" s="349">
        <f>All!H9</f>
        <v>76.7</v>
      </c>
      <c r="I7" s="349">
        <f>All!I9</f>
        <v>345</v>
      </c>
      <c r="J7" s="349">
        <f>All!J9</f>
        <v>338.4</v>
      </c>
      <c r="K7" s="349">
        <f>All!K9</f>
        <v>402.2</v>
      </c>
      <c r="L7" s="349">
        <f>All!L9</f>
        <v>92.3</v>
      </c>
      <c r="M7" s="349">
        <f>All!M9</f>
        <v>25.3</v>
      </c>
      <c r="N7" s="349">
        <f>All!N9</f>
        <v>18.2</v>
      </c>
      <c r="O7" s="349">
        <f>All!O9</f>
        <v>1556.1</v>
      </c>
      <c r="P7" s="351">
        <f>All!P9</f>
        <v>129.69999999999999</v>
      </c>
    </row>
    <row r="8" spans="2:16" hidden="1" outlineLevel="1">
      <c r="B8" s="350">
        <f>All!B10</f>
        <v>2000</v>
      </c>
      <c r="C8" s="349">
        <f>All!C10</f>
        <v>57.7</v>
      </c>
      <c r="D8" s="349">
        <f>All!D10</f>
        <v>1.4</v>
      </c>
      <c r="E8" s="349">
        <f>All!E10</f>
        <v>3.1</v>
      </c>
      <c r="F8" s="349">
        <f>All!F10</f>
        <v>20.399999999999999</v>
      </c>
      <c r="G8" s="349">
        <f>All!G10</f>
        <v>43.7</v>
      </c>
      <c r="H8" s="349">
        <f>All!H10</f>
        <v>118.2</v>
      </c>
      <c r="I8" s="349">
        <f>All!I10</f>
        <v>375.8</v>
      </c>
      <c r="J8" s="349">
        <f>All!J10</f>
        <v>448.8</v>
      </c>
      <c r="K8" s="349">
        <f>All!K10</f>
        <v>182.2</v>
      </c>
      <c r="L8" s="349">
        <f>All!L10</f>
        <v>21.6</v>
      </c>
      <c r="M8" s="349">
        <f>All!M10</f>
        <v>27.5</v>
      </c>
      <c r="N8" s="349">
        <f>All!N10</f>
        <v>28.4</v>
      </c>
      <c r="O8" s="349">
        <f>All!O10</f>
        <v>1328.8</v>
      </c>
      <c r="P8" s="351">
        <f>All!P10</f>
        <v>110.7</v>
      </c>
    </row>
    <row r="9" spans="2:16" hidden="1" outlineLevel="1">
      <c r="B9" s="350">
        <f>All!B11</f>
        <v>2001</v>
      </c>
      <c r="C9" s="349">
        <f>All!C11</f>
        <v>42.2</v>
      </c>
      <c r="D9" s="349">
        <f>All!D11</f>
        <v>47.4</v>
      </c>
      <c r="E9" s="349">
        <f>All!E11</f>
        <v>15.1</v>
      </c>
      <c r="F9" s="349">
        <f>All!F11</f>
        <v>12.9</v>
      </c>
      <c r="G9" s="349">
        <f>All!G11</f>
        <v>13.8</v>
      </c>
      <c r="H9" s="349">
        <f>All!H11</f>
        <v>222.3</v>
      </c>
      <c r="I9" s="349">
        <f>All!I11</f>
        <v>469.7</v>
      </c>
      <c r="J9" s="349">
        <f>All!J11</f>
        <v>144.69999999999999</v>
      </c>
      <c r="K9" s="349">
        <f>All!K11</f>
        <v>12.1</v>
      </c>
      <c r="L9" s="349">
        <f>All!L11</f>
        <v>58.1</v>
      </c>
      <c r="M9" s="349">
        <f>All!M11</f>
        <v>14.2</v>
      </c>
      <c r="N9" s="349">
        <f>All!N11</f>
        <v>14.7</v>
      </c>
      <c r="O9" s="349">
        <f>All!O11</f>
        <v>1067.2</v>
      </c>
      <c r="P9" s="351">
        <f>All!P11</f>
        <v>88.9</v>
      </c>
    </row>
    <row r="10" spans="2:16" hidden="1" outlineLevel="1">
      <c r="B10" s="350">
        <f>All!B12</f>
        <v>2002</v>
      </c>
      <c r="C10" s="349">
        <f>All!C12</f>
        <v>31.8</v>
      </c>
      <c r="D10" s="349">
        <f>All!D12</f>
        <v>3.2</v>
      </c>
      <c r="E10" s="349">
        <f>All!E12</f>
        <v>35.700000000000003</v>
      </c>
      <c r="F10" s="349">
        <f>All!F12</f>
        <v>152.4</v>
      </c>
      <c r="G10" s="349">
        <f>All!G12</f>
        <v>77</v>
      </c>
      <c r="H10" s="349">
        <f>All!H12</f>
        <v>52</v>
      </c>
      <c r="I10" s="349">
        <f>All!I12</f>
        <v>257.8</v>
      </c>
      <c r="J10" s="349">
        <f>All!J12</f>
        <v>487.3</v>
      </c>
      <c r="K10" s="349">
        <f>All!K12</f>
        <v>31.3</v>
      </c>
      <c r="L10" s="349">
        <f>All!L12</f>
        <v>73.8</v>
      </c>
      <c r="M10" s="349">
        <f>All!M12</f>
        <v>12.2</v>
      </c>
      <c r="N10" s="349">
        <f>All!N12</f>
        <v>17.2</v>
      </c>
      <c r="O10" s="349">
        <f>All!O12</f>
        <v>1231.7</v>
      </c>
      <c r="P10" s="351">
        <f>All!P12</f>
        <v>102.6</v>
      </c>
    </row>
    <row r="11" spans="2:16" hidden="1" outlineLevel="1">
      <c r="B11" s="350">
        <f>All!B13</f>
        <v>2003</v>
      </c>
      <c r="C11" s="349">
        <f>All!C13</f>
        <v>10.4</v>
      </c>
      <c r="D11" s="349">
        <f>All!D13</f>
        <v>46.2</v>
      </c>
      <c r="E11" s="349">
        <f>All!E13</f>
        <v>28.3</v>
      </c>
      <c r="F11" s="349">
        <f>All!F13</f>
        <v>182</v>
      </c>
      <c r="G11" s="349">
        <f>All!G13</f>
        <v>85.5</v>
      </c>
      <c r="H11" s="349">
        <f>All!H13</f>
        <v>159</v>
      </c>
      <c r="I11" s="349">
        <f>All!I13</f>
        <v>341.9</v>
      </c>
      <c r="J11" s="349">
        <f>All!J13</f>
        <v>293.7</v>
      </c>
      <c r="K11" s="349">
        <f>All!K13</f>
        <v>271.5</v>
      </c>
      <c r="L11" s="349">
        <f>All!L13</f>
        <v>30.6</v>
      </c>
      <c r="M11" s="349">
        <f>All!M13</f>
        <v>51.6</v>
      </c>
      <c r="N11" s="349">
        <f>All!N13</f>
        <v>14.1</v>
      </c>
      <c r="O11" s="349">
        <f>All!O13</f>
        <v>1514.8</v>
      </c>
      <c r="P11" s="351">
        <f>All!P13</f>
        <v>126.2</v>
      </c>
    </row>
    <row r="12" spans="2:16" hidden="1" outlineLevel="1">
      <c r="B12" s="350">
        <f>All!B14</f>
        <v>2004</v>
      </c>
      <c r="C12" s="349">
        <f>All!C14</f>
        <v>17.8</v>
      </c>
      <c r="D12" s="349">
        <f>All!D14</f>
        <v>42.6</v>
      </c>
      <c r="E12" s="349">
        <f>All!E14</f>
        <v>14.4</v>
      </c>
      <c r="F12" s="349">
        <f>All!F14</f>
        <v>63.8</v>
      </c>
      <c r="G12" s="349">
        <f>All!G14</f>
        <v>125.2</v>
      </c>
      <c r="H12" s="349">
        <f>All!H14</f>
        <v>135.69999999999999</v>
      </c>
      <c r="I12" s="349">
        <f>All!I14</f>
        <v>382</v>
      </c>
      <c r="J12" s="349">
        <f>All!J14</f>
        <v>157.4</v>
      </c>
      <c r="K12" s="349">
        <f>All!K14</f>
        <v>183.4</v>
      </c>
      <c r="L12" s="349">
        <f>All!L14</f>
        <v>2</v>
      </c>
      <c r="M12" s="349">
        <f>All!M14</f>
        <v>67.5</v>
      </c>
      <c r="N12" s="349">
        <f>All!N14</f>
        <v>25.2</v>
      </c>
      <c r="O12" s="349">
        <f>All!O14</f>
        <v>1217</v>
      </c>
      <c r="P12" s="351">
        <f>All!P14</f>
        <v>101.4</v>
      </c>
    </row>
    <row r="13" spans="2:16" hidden="1" outlineLevel="1">
      <c r="B13" s="350">
        <f>All!B15</f>
        <v>2005</v>
      </c>
      <c r="C13" s="349">
        <f>All!C15</f>
        <v>5.7</v>
      </c>
      <c r="D13" s="349">
        <f>All!D15</f>
        <v>15</v>
      </c>
      <c r="E13" s="349">
        <f>All!E15</f>
        <v>25.6</v>
      </c>
      <c r="F13" s="349">
        <f>All!F15</f>
        <v>85.6</v>
      </c>
      <c r="G13" s="349">
        <f>All!G15</f>
        <v>89.6</v>
      </c>
      <c r="H13" s="349">
        <f>All!H15</f>
        <v>160.80000000000001</v>
      </c>
      <c r="I13" s="349">
        <f>All!I15</f>
        <v>251.7</v>
      </c>
      <c r="J13" s="349">
        <f>All!J15</f>
        <v>357.5</v>
      </c>
      <c r="K13" s="349">
        <f>All!K15</f>
        <v>315.2</v>
      </c>
      <c r="L13" s="349">
        <f>All!L15</f>
        <v>70.2</v>
      </c>
      <c r="M13" s="349">
        <f>All!M15</f>
        <v>38.799999999999997</v>
      </c>
      <c r="N13" s="349">
        <f>All!N15</f>
        <v>12</v>
      </c>
      <c r="O13" s="349">
        <f>All!O15</f>
        <v>1427.7</v>
      </c>
      <c r="P13" s="351">
        <f>All!P15</f>
        <v>119</v>
      </c>
    </row>
    <row r="14" spans="2:16" hidden="1" outlineLevel="1">
      <c r="B14" s="350">
        <f>All!B16</f>
        <v>2006</v>
      </c>
      <c r="C14" s="349">
        <f>All!C16</f>
        <v>38.6</v>
      </c>
      <c r="D14" s="349">
        <f>All!D16</f>
        <v>19.5</v>
      </c>
      <c r="E14" s="349">
        <f>All!E16</f>
        <v>6.9</v>
      </c>
      <c r="F14" s="349">
        <f>All!F16</f>
        <v>59.9</v>
      </c>
      <c r="G14" s="349">
        <f>All!G16</f>
        <v>133.19999999999999</v>
      </c>
      <c r="H14" s="349">
        <f>All!H16</f>
        <v>156.69999999999999</v>
      </c>
      <c r="I14" s="349">
        <f>All!I16</f>
        <v>754.7</v>
      </c>
      <c r="J14" s="349">
        <f>All!J16</f>
        <v>66.400000000000006</v>
      </c>
      <c r="K14" s="349">
        <f>All!K16</f>
        <v>21.9</v>
      </c>
      <c r="L14" s="349">
        <f>All!L16</f>
        <v>18</v>
      </c>
      <c r="M14" s="349">
        <f>All!M16</f>
        <v>61.6</v>
      </c>
      <c r="N14" s="349">
        <f>All!N16</f>
        <v>25.3</v>
      </c>
      <c r="O14" s="349">
        <f>All!O16</f>
        <v>1362.7</v>
      </c>
      <c r="P14" s="351">
        <f>All!P16</f>
        <v>113.6</v>
      </c>
    </row>
    <row r="15" spans="2:16" hidden="1" outlineLevel="1">
      <c r="B15" s="350">
        <f>All!B17</f>
        <v>2007</v>
      </c>
      <c r="C15" s="349">
        <f>All!C17</f>
        <v>9.3000000000000007</v>
      </c>
      <c r="D15" s="349">
        <f>All!D17</f>
        <v>15.1</v>
      </c>
      <c r="E15" s="349">
        <f>All!E17</f>
        <v>135.30000000000001</v>
      </c>
      <c r="F15" s="349">
        <f>All!F17</f>
        <v>24.2</v>
      </c>
      <c r="G15" s="349">
        <f>All!G17</f>
        <v>146.69999999999999</v>
      </c>
      <c r="H15" s="349">
        <f>All!H17</f>
        <v>74.2</v>
      </c>
      <c r="I15" s="349">
        <f>All!I17</f>
        <v>269.7</v>
      </c>
      <c r="J15" s="349">
        <f>All!J17</f>
        <v>295</v>
      </c>
      <c r="K15" s="349">
        <f>All!K17</f>
        <v>268.8</v>
      </c>
      <c r="L15" s="349">
        <f>All!L17</f>
        <v>18.3</v>
      </c>
      <c r="M15" s="349">
        <f>All!M17</f>
        <v>57.1</v>
      </c>
      <c r="N15" s="349">
        <f>All!N17</f>
        <v>11.3</v>
      </c>
      <c r="O15" s="349">
        <f>All!O17</f>
        <v>1325</v>
      </c>
      <c r="P15" s="351">
        <f>All!P17</f>
        <v>110.4</v>
      </c>
    </row>
    <row r="16" spans="2:16" hidden="1" outlineLevel="1">
      <c r="B16" s="350">
        <f>All!B18</f>
        <v>2008</v>
      </c>
      <c r="C16" s="349">
        <f>All!C18</f>
        <v>13.6</v>
      </c>
      <c r="D16" s="349">
        <f>All!D18</f>
        <v>8.6999999999999993</v>
      </c>
      <c r="E16" s="349">
        <f>All!E18</f>
        <v>55.9</v>
      </c>
      <c r="F16" s="349">
        <f>All!F18</f>
        <v>42.2</v>
      </c>
      <c r="G16" s="349">
        <f>All!G18</f>
        <v>92.7</v>
      </c>
      <c r="H16" s="349">
        <f>All!H18</f>
        <v>198.4</v>
      </c>
      <c r="I16" s="349">
        <f>All!I18</f>
        <v>540.79999999999995</v>
      </c>
      <c r="J16" s="349">
        <f>All!J18</f>
        <v>217.2</v>
      </c>
      <c r="K16" s="349">
        <f>All!K18</f>
        <v>101.9</v>
      </c>
      <c r="L16" s="349">
        <f>All!L18</f>
        <v>35.6</v>
      </c>
      <c r="M16" s="349">
        <f>All!M18</f>
        <v>18.5</v>
      </c>
      <c r="N16" s="349">
        <f>All!N18</f>
        <v>17.399999999999999</v>
      </c>
      <c r="O16" s="349">
        <f>All!O18</f>
        <v>1342.9</v>
      </c>
      <c r="P16" s="351">
        <f>All!P18</f>
        <v>111.9</v>
      </c>
    </row>
    <row r="17" spans="2:16" hidden="1" outlineLevel="1">
      <c r="B17" s="350">
        <f>All!B19</f>
        <v>2009</v>
      </c>
      <c r="C17" s="349">
        <f>All!C19</f>
        <v>7.9</v>
      </c>
      <c r="D17" s="349">
        <f>All!D19</f>
        <v>26.8</v>
      </c>
      <c r="E17" s="349">
        <f>All!E19</f>
        <v>59.5</v>
      </c>
      <c r="F17" s="349">
        <f>All!F19</f>
        <v>45</v>
      </c>
      <c r="G17" s="349">
        <f>All!G19</f>
        <v>102.4</v>
      </c>
      <c r="H17" s="349">
        <f>All!H19</f>
        <v>118.8</v>
      </c>
      <c r="I17" s="349">
        <f>All!I19</f>
        <v>766</v>
      </c>
      <c r="J17" s="349">
        <f>All!J19</f>
        <v>207.1</v>
      </c>
      <c r="K17" s="349">
        <f>All!K19</f>
        <v>56.3</v>
      </c>
      <c r="L17" s="349">
        <f>All!L19</f>
        <v>64.5</v>
      </c>
      <c r="M17" s="349">
        <f>All!M19</f>
        <v>68.2</v>
      </c>
      <c r="N17" s="349">
        <f>All!N19</f>
        <v>18.7</v>
      </c>
      <c r="O17" s="349">
        <f>All!O19</f>
        <v>1541.2</v>
      </c>
      <c r="P17" s="351">
        <f>All!P19</f>
        <v>128.4</v>
      </c>
    </row>
    <row r="18" spans="2:16" hidden="1" outlineLevel="1">
      <c r="B18" s="350">
        <f>All!B20</f>
        <v>2010</v>
      </c>
      <c r="C18" s="349">
        <f>All!C20</f>
        <v>26.9</v>
      </c>
      <c r="D18" s="349">
        <f>All!D20</f>
        <v>56.7</v>
      </c>
      <c r="E18" s="349">
        <f>All!E20</f>
        <v>78.7</v>
      </c>
      <c r="F18" s="349">
        <f>All!F20</f>
        <v>58.6</v>
      </c>
      <c r="G18" s="349">
        <f>All!G20</f>
        <v>100.7</v>
      </c>
      <c r="H18" s="349">
        <f>All!H20</f>
        <v>116.1</v>
      </c>
      <c r="I18" s="349">
        <f>All!I20</f>
        <v>206.8</v>
      </c>
      <c r="J18" s="349">
        <f>All!J20</f>
        <v>372.8</v>
      </c>
      <c r="K18" s="349">
        <f>All!K20</f>
        <v>375.9</v>
      </c>
      <c r="L18" s="349">
        <f>All!L20</f>
        <v>30</v>
      </c>
      <c r="M18" s="349">
        <f>All!M20</f>
        <v>18.100000000000001</v>
      </c>
      <c r="N18" s="349">
        <f>All!N20</f>
        <v>29.3</v>
      </c>
      <c r="O18" s="349">
        <f>All!O20</f>
        <v>1470.6</v>
      </c>
      <c r="P18" s="351">
        <f>All!P20</f>
        <v>122.6</v>
      </c>
    </row>
    <row r="19" spans="2:16" hidden="1" outlineLevel="1">
      <c r="B19" s="350">
        <f>All!B21</f>
        <v>2011</v>
      </c>
      <c r="C19" s="349">
        <f>All!C21</f>
        <v>11.3</v>
      </c>
      <c r="D19" s="349">
        <f>All!D21</f>
        <v>49.8</v>
      </c>
      <c r="E19" s="349">
        <f>All!E21</f>
        <v>23.4</v>
      </c>
      <c r="F19" s="349">
        <f>All!F21</f>
        <v>186.4</v>
      </c>
      <c r="G19" s="349">
        <f>All!G21</f>
        <v>74.2</v>
      </c>
      <c r="H19" s="349">
        <f>All!H21</f>
        <v>391.5</v>
      </c>
      <c r="I19" s="349">
        <f>All!I21</f>
        <v>794.3</v>
      </c>
      <c r="J19" s="349">
        <f>All!J21</f>
        <v>315.10000000000002</v>
      </c>
      <c r="K19" s="349">
        <f>All!K21</f>
        <v>32.799999999999997</v>
      </c>
      <c r="L19" s="349">
        <f>All!L21</f>
        <v>38.4</v>
      </c>
      <c r="M19" s="349">
        <f>All!M21</f>
        <v>46.3</v>
      </c>
      <c r="N19" s="349">
        <f>All!N21</f>
        <v>12.4</v>
      </c>
      <c r="O19" s="349">
        <f>All!O21</f>
        <v>1975.9</v>
      </c>
      <c r="P19" s="351">
        <f>All!P21</f>
        <v>164.7</v>
      </c>
    </row>
    <row r="20" spans="2:16" hidden="1" outlineLevel="1">
      <c r="B20" s="350">
        <f>All!B22</f>
        <v>2012</v>
      </c>
      <c r="C20" s="349">
        <f>All!C22</f>
        <v>9.9</v>
      </c>
      <c r="D20" s="349">
        <f>All!D22</f>
        <v>0.7</v>
      </c>
      <c r="E20" s="349">
        <f>All!E22</f>
        <v>43.1</v>
      </c>
      <c r="F20" s="349">
        <f>All!F22</f>
        <v>125.5</v>
      </c>
      <c r="G20" s="349">
        <f>All!G22</f>
        <v>16.5</v>
      </c>
      <c r="H20" s="349">
        <f>All!H22</f>
        <v>100.8</v>
      </c>
      <c r="I20" s="349">
        <f>All!I22</f>
        <v>572.29999999999995</v>
      </c>
      <c r="J20" s="349">
        <f>All!J22</f>
        <v>426.2</v>
      </c>
      <c r="K20" s="349">
        <f>All!K22</f>
        <v>241</v>
      </c>
      <c r="L20" s="349">
        <f>All!L22</f>
        <v>98.6</v>
      </c>
      <c r="M20" s="349">
        <f>All!M22</f>
        <v>66.5</v>
      </c>
      <c r="N20" s="349">
        <f>All!N22</f>
        <v>47.2</v>
      </c>
      <c r="O20" s="349">
        <f>All!O22</f>
        <v>1748.3</v>
      </c>
      <c r="P20" s="351">
        <f>All!P22</f>
        <v>145.69999999999999</v>
      </c>
    </row>
    <row r="21" spans="2:16" hidden="1" outlineLevel="1">
      <c r="B21" s="350">
        <f>All!B23</f>
        <v>2013</v>
      </c>
      <c r="C21" s="349">
        <f>All!C23</f>
        <v>23.1</v>
      </c>
      <c r="D21" s="349">
        <f>All!D23</f>
        <v>53.4</v>
      </c>
      <c r="E21" s="349">
        <f>All!E23</f>
        <v>48.2</v>
      </c>
      <c r="F21" s="349">
        <f>All!F23</f>
        <v>69.5</v>
      </c>
      <c r="G21" s="349">
        <f>All!G23</f>
        <v>129</v>
      </c>
      <c r="H21" s="349">
        <f>All!H23</f>
        <v>69.599999999999994</v>
      </c>
      <c r="I21" s="349">
        <f>All!I23</f>
        <v>405.9</v>
      </c>
      <c r="J21" s="349">
        <f>All!J23</f>
        <v>157</v>
      </c>
      <c r="K21" s="349">
        <f>All!K23</f>
        <v>183.6</v>
      </c>
      <c r="L21" s="349">
        <f>All!L23</f>
        <v>5.4</v>
      </c>
      <c r="M21" s="349">
        <f>All!M23</f>
        <v>61.9</v>
      </c>
      <c r="N21" s="349">
        <f>All!N23</f>
        <v>33.5</v>
      </c>
      <c r="O21" s="349">
        <f>All!O23</f>
        <v>1240.0999999999999</v>
      </c>
      <c r="P21" s="351">
        <f>All!P23</f>
        <v>103.3</v>
      </c>
    </row>
    <row r="22" spans="2:16" hidden="1" outlineLevel="1">
      <c r="B22" s="350">
        <f>All!B24</f>
        <v>2014</v>
      </c>
      <c r="C22" s="349">
        <f>All!C24</f>
        <v>9.9</v>
      </c>
      <c r="D22" s="349">
        <f>All!D24</f>
        <v>16.5</v>
      </c>
      <c r="E22" s="349">
        <f>All!E24</f>
        <v>10.9</v>
      </c>
      <c r="F22" s="349">
        <f>All!F24</f>
        <v>55.7</v>
      </c>
      <c r="G22" s="349">
        <f>All!G24</f>
        <v>64.400000000000006</v>
      </c>
      <c r="H22" s="349">
        <f>All!H24</f>
        <v>68.099999999999994</v>
      </c>
      <c r="I22" s="349">
        <f>All!I24</f>
        <v>264</v>
      </c>
      <c r="J22" s="349">
        <f>All!J24</f>
        <v>290.89999999999998</v>
      </c>
      <c r="K22" s="349">
        <f>All!K24</f>
        <v>92</v>
      </c>
      <c r="L22" s="349">
        <f>All!L24</f>
        <v>85.4</v>
      </c>
      <c r="M22" s="349">
        <f>All!M24</f>
        <v>44.2</v>
      </c>
      <c r="N22" s="349">
        <f>All!N24</f>
        <v>27.1</v>
      </c>
      <c r="O22" s="349">
        <f>All!O24</f>
        <v>1029.0999999999999</v>
      </c>
      <c r="P22" s="351">
        <f>All!P24</f>
        <v>85.8</v>
      </c>
    </row>
    <row r="23" spans="2:16" collapsed="1">
      <c r="B23" s="350">
        <f>All!B25</f>
        <v>2015</v>
      </c>
      <c r="C23" s="349">
        <f>All!C25</f>
        <v>17.5</v>
      </c>
      <c r="D23" s="349">
        <f>All!D25</f>
        <v>22.7</v>
      </c>
      <c r="E23" s="349">
        <f>All!E25</f>
        <v>12.5</v>
      </c>
      <c r="F23" s="349">
        <f>All!F25</f>
        <v>99.2</v>
      </c>
      <c r="G23" s="349">
        <f>All!G25</f>
        <v>32.6</v>
      </c>
      <c r="H23" s="349">
        <f>All!H25</f>
        <v>30.2</v>
      </c>
      <c r="I23" s="349">
        <f>All!I25</f>
        <v>225.8</v>
      </c>
      <c r="J23" s="349">
        <f>All!J25</f>
        <v>71</v>
      </c>
      <c r="K23" s="349">
        <f>All!K25</f>
        <v>6.9</v>
      </c>
      <c r="L23" s="349">
        <f>All!L25</f>
        <v>67.400000000000006</v>
      </c>
      <c r="M23" s="349">
        <f>All!M25</f>
        <v>116</v>
      </c>
      <c r="N23" s="349">
        <f>All!N25</f>
        <v>49.3</v>
      </c>
      <c r="O23" s="349">
        <f>All!O25</f>
        <v>751.1</v>
      </c>
      <c r="P23" s="351">
        <f>All!P25</f>
        <v>62.6</v>
      </c>
    </row>
    <row r="24" spans="2:16">
      <c r="B24" s="350">
        <f>All!B26</f>
        <v>2016</v>
      </c>
      <c r="C24" s="349">
        <f>All!C26</f>
        <v>4.5999999999999996</v>
      </c>
      <c r="D24" s="349">
        <f>All!D26</f>
        <v>52.6</v>
      </c>
      <c r="E24" s="349">
        <f>All!E26</f>
        <v>54.8</v>
      </c>
      <c r="F24" s="349">
        <f>All!F26</f>
        <v>79.2</v>
      </c>
      <c r="G24" s="349">
        <f>All!G26</f>
        <v>156.4</v>
      </c>
      <c r="H24" s="349">
        <f>All!H26</f>
        <v>37.4</v>
      </c>
      <c r="I24" s="349">
        <f>All!I26</f>
        <v>317.7</v>
      </c>
      <c r="J24" s="349">
        <f>All!J26</f>
        <v>73</v>
      </c>
      <c r="K24" s="349">
        <f>All!K26</f>
        <v>67.8</v>
      </c>
      <c r="L24" s="349">
        <f>All!L26</f>
        <v>99.1</v>
      </c>
      <c r="M24" s="349">
        <f>All!M26</f>
        <v>17.399999999999999</v>
      </c>
      <c r="N24" s="349">
        <f>All!N26</f>
        <v>63.4</v>
      </c>
      <c r="O24" s="349">
        <f>All!O26</f>
        <v>1023.4</v>
      </c>
      <c r="P24" s="351">
        <f>All!P26</f>
        <v>85.3</v>
      </c>
    </row>
    <row r="25" spans="2:16">
      <c r="B25" s="350">
        <f>All!B27</f>
        <v>2017</v>
      </c>
      <c r="C25" s="349">
        <f>All!C27</f>
        <v>19.399999999999999</v>
      </c>
      <c r="D25" s="349">
        <f>All!D27</f>
        <v>22.5</v>
      </c>
      <c r="E25" s="349">
        <f>All!E27</f>
        <v>9</v>
      </c>
      <c r="F25" s="349">
        <f>All!F27</f>
        <v>52.5</v>
      </c>
      <c r="G25" s="349">
        <f>All!G27</f>
        <v>22.5</v>
      </c>
      <c r="H25" s="349">
        <f>All!H27</f>
        <v>27.6</v>
      </c>
      <c r="I25" s="349">
        <f>All!I27</f>
        <v>684.5</v>
      </c>
      <c r="J25" s="349">
        <f>All!J27</f>
        <v>359.7</v>
      </c>
      <c r="K25" s="349">
        <f>All!K27</f>
        <v>26.1</v>
      </c>
      <c r="L25" s="349">
        <f>All!L27</f>
        <v>28.7</v>
      </c>
      <c r="M25" s="349">
        <f>All!M27</f>
        <v>37.6</v>
      </c>
      <c r="N25" s="349">
        <f>All!N27</f>
        <v>38.5</v>
      </c>
      <c r="O25" s="349">
        <f>All!O27</f>
        <v>1328.6</v>
      </c>
      <c r="P25" s="351">
        <f>All!P27</f>
        <v>110.7</v>
      </c>
    </row>
    <row r="26" spans="2:16">
      <c r="B26" s="350">
        <f>All!B28</f>
        <v>2018</v>
      </c>
      <c r="C26" s="349">
        <f>All!C28</f>
        <v>7.9</v>
      </c>
      <c r="D26" s="349">
        <f>All!D28</f>
        <v>29.1</v>
      </c>
      <c r="E26" s="349">
        <f>All!E28</f>
        <v>86</v>
      </c>
      <c r="F26" s="349">
        <f>All!F28</f>
        <v>128.80000000000001</v>
      </c>
      <c r="G26" s="349">
        <f>All!G28</f>
        <v>196.4</v>
      </c>
      <c r="H26" s="349">
        <f>All!H28</f>
        <v>107</v>
      </c>
      <c r="I26" s="349">
        <f>All!I28</f>
        <v>222.7</v>
      </c>
      <c r="J26" s="349">
        <f>All!J28</f>
        <v>218.6</v>
      </c>
      <c r="K26" s="349">
        <f>All!K28</f>
        <v>61.7</v>
      </c>
      <c r="L26" s="349">
        <f>All!L28</f>
        <v>132.69999999999999</v>
      </c>
      <c r="M26" s="349">
        <f>All!M28</f>
        <v>78.099999999999994</v>
      </c>
      <c r="N26" s="349">
        <f>All!N28</f>
        <v>24.1</v>
      </c>
      <c r="O26" s="349">
        <f>All!O28</f>
        <v>1293.0999999999999</v>
      </c>
      <c r="P26" s="351">
        <f>All!P28</f>
        <v>107.8</v>
      </c>
    </row>
    <row r="27" spans="2:16">
      <c r="B27" s="350">
        <f>All!B29</f>
        <v>2019</v>
      </c>
      <c r="C27" s="349">
        <f>All!C29</f>
        <v>0.5</v>
      </c>
      <c r="D27" s="349">
        <f>All!D29</f>
        <v>33.4</v>
      </c>
      <c r="E27" s="349">
        <f>All!E29</f>
        <v>39.6</v>
      </c>
      <c r="F27" s="349">
        <f>All!F29</f>
        <v>43.6</v>
      </c>
      <c r="G27" s="349">
        <f>All!G29</f>
        <v>26.7</v>
      </c>
      <c r="H27" s="349">
        <f>All!H29</f>
        <v>68.8</v>
      </c>
      <c r="I27" s="349">
        <f>All!I29</f>
        <v>190.9</v>
      </c>
      <c r="J27" s="349">
        <f>All!J29</f>
        <v>117.9</v>
      </c>
      <c r="K27" s="349">
        <f>All!K29</f>
        <v>201.9</v>
      </c>
      <c r="L27" s="349">
        <f>All!L29</f>
        <v>73.099999999999994</v>
      </c>
      <c r="M27" s="349">
        <f>All!M29</f>
        <v>93.2</v>
      </c>
      <c r="N27" s="349">
        <f>All!N29</f>
        <v>26.2</v>
      </c>
      <c r="O27" s="349">
        <f>All!O29</f>
        <v>915.8</v>
      </c>
      <c r="P27" s="351">
        <f>All!P29</f>
        <v>76.3</v>
      </c>
    </row>
    <row r="28" spans="2:16">
      <c r="B28" s="350">
        <f>All!B30</f>
        <v>2020</v>
      </c>
      <c r="C28" s="349">
        <f>All!C30</f>
        <v>61</v>
      </c>
      <c r="D28" s="349">
        <f>All!D30</f>
        <v>59.2</v>
      </c>
      <c r="E28" s="349">
        <f>All!E30</f>
        <v>19.5</v>
      </c>
      <c r="F28" s="349">
        <f>All!F30</f>
        <v>15.8</v>
      </c>
      <c r="G28" s="349">
        <f>All!G30</f>
        <v>97.9</v>
      </c>
      <c r="H28" s="349">
        <f>All!H30</f>
        <v>91.1</v>
      </c>
      <c r="I28" s="349">
        <f>All!I30</f>
        <v>384.7</v>
      </c>
      <c r="J28" s="349">
        <f>All!J30</f>
        <v>659.3</v>
      </c>
      <c r="K28" s="349">
        <f>All!K30</f>
        <v>163.4</v>
      </c>
      <c r="L28" s="349">
        <f>All!L30</f>
        <v>22.2</v>
      </c>
      <c r="M28" s="349">
        <f>All!M30</f>
        <v>56.8</v>
      </c>
      <c r="N28" s="349">
        <f>All!N30</f>
        <v>4.5999999999999996</v>
      </c>
      <c r="O28" s="349">
        <f>All!O30</f>
        <v>1635.5</v>
      </c>
      <c r="P28" s="351">
        <f>All!P30</f>
        <v>136.30000000000001</v>
      </c>
    </row>
    <row r="29" spans="2:16">
      <c r="B29" s="350">
        <f>All!B31</f>
        <v>2021</v>
      </c>
      <c r="C29" s="349">
        <f>All!C31</f>
        <v>24.1</v>
      </c>
      <c r="D29" s="349">
        <f>All!D31</f>
        <v>9.6999999999999993</v>
      </c>
      <c r="E29" s="349">
        <f>All!E31</f>
        <v>102.8</v>
      </c>
      <c r="F29" s="349">
        <f>All!F31</f>
        <v>106.4</v>
      </c>
      <c r="G29" s="349">
        <f>All!G31</f>
        <v>179.2</v>
      </c>
      <c r="H29" s="349">
        <f>All!H31</f>
        <v>50.1</v>
      </c>
      <c r="I29" s="349">
        <f>All!I31</f>
        <v>134.4</v>
      </c>
      <c r="J29" s="349">
        <f>All!J31</f>
        <v>161.1</v>
      </c>
      <c r="K29" s="349">
        <f>All!K31</f>
        <v>164.1</v>
      </c>
      <c r="L29" s="349">
        <f>All!L31</f>
        <v>36</v>
      </c>
      <c r="M29" s="349">
        <f>All!M31</f>
        <v>104.2</v>
      </c>
      <c r="N29" s="349">
        <f>All!N31</f>
        <v>12.3</v>
      </c>
      <c r="O29" s="349">
        <f>All!O31</f>
        <v>1084.4000000000001</v>
      </c>
      <c r="P29" s="351">
        <f>All!P31</f>
        <v>90.4</v>
      </c>
    </row>
    <row r="30" spans="2:16">
      <c r="B30" s="350">
        <f>All!B32</f>
        <v>2022</v>
      </c>
      <c r="C30" s="349">
        <f>All!C32</f>
        <v>3.9</v>
      </c>
      <c r="D30" s="349">
        <f>All!D32</f>
        <v>4</v>
      </c>
      <c r="E30" s="349">
        <f>All!E32</f>
        <v>74.7</v>
      </c>
      <c r="F30" s="349">
        <f>All!F32</f>
        <v>42.4</v>
      </c>
      <c r="G30" s="349">
        <f>All!G32</f>
        <v>13.4</v>
      </c>
      <c r="H30" s="349">
        <f>All!H32</f>
        <v>472.1</v>
      </c>
      <c r="I30" s="349">
        <f>All!I32</f>
        <v>243</v>
      </c>
      <c r="J30" s="349">
        <f>All!J32</f>
        <v>640.79999999999995</v>
      </c>
      <c r="K30" s="349">
        <f>All!K32</f>
        <v>190.1</v>
      </c>
      <c r="L30" s="349">
        <f>All!L32</f>
        <v>108.5</v>
      </c>
      <c r="M30" s="349">
        <f>All!M32</f>
        <v>51.4</v>
      </c>
      <c r="N30" s="349">
        <f>All!N32</f>
        <v>19.7</v>
      </c>
      <c r="O30" s="349">
        <f>All!O32</f>
        <v>1864</v>
      </c>
      <c r="P30" s="351">
        <f>All!P32</f>
        <v>155.30000000000001</v>
      </c>
    </row>
    <row r="31" spans="2:16">
      <c r="B31" s="350">
        <f>All!B33</f>
        <v>2023</v>
      </c>
      <c r="C31" s="349">
        <f>All!C33</f>
        <v>38.9</v>
      </c>
      <c r="D31" s="349">
        <f>All!D33</f>
        <v>0.7</v>
      </c>
      <c r="E31" s="349">
        <f>All!E33</f>
        <v>5.5</v>
      </c>
      <c r="F31" s="349">
        <f>All!F33</f>
        <v>67.400000000000006</v>
      </c>
      <c r="G31" s="349">
        <f>All!G33</f>
        <v>120.3</v>
      </c>
      <c r="H31" s="349">
        <f>All!H33</f>
        <v>131.5</v>
      </c>
      <c r="I31" s="349">
        <f>All!I33</f>
        <v>490.5</v>
      </c>
      <c r="J31" s="349">
        <f>All!J33</f>
        <v>200.7</v>
      </c>
      <c r="K31" s="349">
        <f>All!K33</f>
        <v>135.6</v>
      </c>
      <c r="L31" s="349">
        <f>All!L33</f>
        <v>35.799999999999997</v>
      </c>
      <c r="M31" s="349">
        <f>All!M33</f>
        <v>99</v>
      </c>
      <c r="N31" s="349">
        <f>All!N33</f>
        <v>83.5</v>
      </c>
      <c r="O31" s="349">
        <f>All!O33</f>
        <v>1409.4</v>
      </c>
      <c r="P31" s="351">
        <f>All!P33</f>
        <v>117.5</v>
      </c>
    </row>
    <row r="32" spans="2:16">
      <c r="B32" s="350">
        <f>All!B34</f>
        <v>2024</v>
      </c>
      <c r="C32" s="349">
        <f>All!C34</f>
        <v>21.2</v>
      </c>
      <c r="D32" s="349">
        <f>All!D34</f>
        <v>74.8</v>
      </c>
      <c r="E32" s="349">
        <f>All!E34</f>
        <v>30.2</v>
      </c>
      <c r="F32" s="349">
        <f>All!F34</f>
        <v>55</v>
      </c>
      <c r="G32" s="349">
        <f>All!G34</f>
        <v>109.4</v>
      </c>
      <c r="H32" s="349">
        <f>All!H34</f>
        <v>137.5</v>
      </c>
      <c r="I32" s="349">
        <f>All!I34</f>
        <v>403.3</v>
      </c>
      <c r="J32" s="349">
        <f>All!J34</f>
        <v>127.6</v>
      </c>
      <c r="K32" s="349">
        <f>All!K34</f>
        <v>219.4</v>
      </c>
      <c r="L32" s="349">
        <f>All!L34</f>
        <v>97.2</v>
      </c>
      <c r="M32" s="349">
        <f>All!M34</f>
        <v>98.1</v>
      </c>
      <c r="N32" s="349">
        <f>All!N34</f>
        <v>4.5</v>
      </c>
      <c r="O32" s="349">
        <f>All!O34</f>
        <v>1378.2</v>
      </c>
      <c r="P32" s="351">
        <f>All!P34</f>
        <v>114.9</v>
      </c>
    </row>
    <row r="33" spans="2:17">
      <c r="B33" s="525" t="s">
        <v>164</v>
      </c>
      <c r="C33" s="526">
        <f>ROUND(SUM(C23:C32)/10,1)</f>
        <v>19.899999999999999</v>
      </c>
      <c r="D33" s="526">
        <f t="shared" ref="D33:P33" si="0">ROUND(SUM(D23:D32)/10,1)</f>
        <v>30.9</v>
      </c>
      <c r="E33" s="526">
        <f t="shared" si="0"/>
        <v>43.5</v>
      </c>
      <c r="F33" s="526">
        <f t="shared" si="0"/>
        <v>69</v>
      </c>
      <c r="G33" s="526">
        <f t="shared" si="0"/>
        <v>95.5</v>
      </c>
      <c r="H33" s="526">
        <f t="shared" si="0"/>
        <v>115.3</v>
      </c>
      <c r="I33" s="526">
        <f t="shared" si="0"/>
        <v>329.8</v>
      </c>
      <c r="J33" s="526">
        <f t="shared" si="0"/>
        <v>263</v>
      </c>
      <c r="K33" s="526">
        <f t="shared" si="0"/>
        <v>123.7</v>
      </c>
      <c r="L33" s="526">
        <f t="shared" si="0"/>
        <v>70.099999999999994</v>
      </c>
      <c r="M33" s="526">
        <f t="shared" si="0"/>
        <v>75.2</v>
      </c>
      <c r="N33" s="526">
        <f t="shared" si="0"/>
        <v>32.6</v>
      </c>
      <c r="O33" s="526">
        <f t="shared" si="0"/>
        <v>1268.4000000000001</v>
      </c>
      <c r="P33" s="527">
        <f t="shared" si="0"/>
        <v>105.7</v>
      </c>
    </row>
    <row r="34" spans="2:17" ht="17.25" thickBot="1">
      <c r="B34" s="528" t="s">
        <v>163</v>
      </c>
      <c r="C34" s="529">
        <f>All!C37</f>
        <v>19.8</v>
      </c>
      <c r="D34" s="529">
        <f>All!D37</f>
        <v>26.8</v>
      </c>
      <c r="E34" s="529">
        <f>All!E37</f>
        <v>43.1</v>
      </c>
      <c r="F34" s="529">
        <f>All!F37</f>
        <v>73.3</v>
      </c>
      <c r="G34" s="529">
        <f>All!G37</f>
        <v>93.4</v>
      </c>
      <c r="H34" s="529">
        <f>All!H37</f>
        <v>136.30000000000001</v>
      </c>
      <c r="I34" s="529">
        <f>All!I37</f>
        <v>384.9</v>
      </c>
      <c r="J34" s="529">
        <f>All!J37</f>
        <v>304.7</v>
      </c>
      <c r="K34" s="529">
        <f>All!K37</f>
        <v>140.30000000000001</v>
      </c>
      <c r="L34" s="529">
        <f>All!L37</f>
        <v>54</v>
      </c>
      <c r="M34" s="529">
        <f>All!M37</f>
        <v>54.6</v>
      </c>
      <c r="N34" s="529">
        <f>All!N37</f>
        <v>24.9</v>
      </c>
      <c r="O34" s="529">
        <f>All!O37</f>
        <v>1356.3</v>
      </c>
      <c r="P34" s="530">
        <f>All!P37</f>
        <v>113</v>
      </c>
    </row>
    <row r="36" spans="2:17" ht="17.25" thickBot="1"/>
    <row r="37" spans="2:17" ht="26.25" customHeight="1">
      <c r="B37" s="565" t="s">
        <v>29</v>
      </c>
      <c r="C37" s="564" t="s">
        <v>150</v>
      </c>
      <c r="D37" s="566"/>
      <c r="E37" s="567" t="s">
        <v>31</v>
      </c>
      <c r="F37" s="567" t="s">
        <v>32</v>
      </c>
      <c r="G37" s="567" t="s">
        <v>33</v>
      </c>
      <c r="H37" s="567" t="s">
        <v>34</v>
      </c>
      <c r="I37" s="567" t="s">
        <v>35</v>
      </c>
      <c r="J37" s="567" t="s">
        <v>12</v>
      </c>
      <c r="K37" s="563" t="s">
        <v>13</v>
      </c>
      <c r="L37" s="563" t="s">
        <v>14</v>
      </c>
      <c r="M37" s="563" t="s">
        <v>15</v>
      </c>
      <c r="N37" s="567" t="s">
        <v>16</v>
      </c>
      <c r="O37" s="567" t="s">
        <v>17</v>
      </c>
      <c r="P37" s="567" t="s">
        <v>18</v>
      </c>
      <c r="Q37" s="568" t="s">
        <v>30</v>
      </c>
    </row>
    <row r="38" spans="2:17" ht="17.25" thickBot="1">
      <c r="B38" s="350">
        <f>B23</f>
        <v>2015</v>
      </c>
      <c r="C38" s="351">
        <f>O23</f>
        <v>751.1</v>
      </c>
      <c r="D38" s="353" t="s">
        <v>30</v>
      </c>
      <c r="E38" s="354">
        <f>All!C53</f>
        <v>19.899999999999999</v>
      </c>
      <c r="F38" s="354">
        <f>All!D53</f>
        <v>30.9</v>
      </c>
      <c r="G38" s="354">
        <f>All!E53</f>
        <v>43.5</v>
      </c>
      <c r="H38" s="354">
        <f>All!F53</f>
        <v>69</v>
      </c>
      <c r="I38" s="354">
        <f>All!G53</f>
        <v>95.5</v>
      </c>
      <c r="J38" s="354">
        <f>All!H53</f>
        <v>115.3</v>
      </c>
      <c r="K38" s="354">
        <f>All!I53</f>
        <v>329.8</v>
      </c>
      <c r="L38" s="354">
        <f>All!J53</f>
        <v>263</v>
      </c>
      <c r="M38" s="354">
        <f>All!K53</f>
        <v>123.7</v>
      </c>
      <c r="N38" s="354">
        <f>All!L53</f>
        <v>70.099999999999994</v>
      </c>
      <c r="O38" s="354">
        <f>All!M53</f>
        <v>75.2</v>
      </c>
      <c r="P38" s="354">
        <f>All!N53</f>
        <v>32.6</v>
      </c>
      <c r="Q38" s="355">
        <f>All!P53</f>
        <v>105.7</v>
      </c>
    </row>
    <row r="39" spans="2:17">
      <c r="B39" s="350">
        <f t="shared" ref="B39:B48" si="1">B24</f>
        <v>2016</v>
      </c>
      <c r="C39" s="351">
        <f t="shared" ref="C39:C48" si="2">O24</f>
        <v>1023.4</v>
      </c>
    </row>
    <row r="40" spans="2:17">
      <c r="B40" s="350">
        <f t="shared" si="1"/>
        <v>2017</v>
      </c>
      <c r="C40" s="351">
        <f t="shared" si="2"/>
        <v>1328.6</v>
      </c>
    </row>
    <row r="41" spans="2:17">
      <c r="B41" s="350">
        <f t="shared" si="1"/>
        <v>2018</v>
      </c>
      <c r="C41" s="351">
        <f t="shared" si="2"/>
        <v>1293.0999999999999</v>
      </c>
    </row>
    <row r="42" spans="2:17">
      <c r="B42" s="350">
        <f t="shared" si="1"/>
        <v>2019</v>
      </c>
      <c r="C42" s="351">
        <f t="shared" si="2"/>
        <v>915.8</v>
      </c>
    </row>
    <row r="43" spans="2:17">
      <c r="B43" s="350">
        <f t="shared" si="1"/>
        <v>2020</v>
      </c>
      <c r="C43" s="351">
        <f t="shared" si="2"/>
        <v>1635.5</v>
      </c>
    </row>
    <row r="44" spans="2:17">
      <c r="B44" s="350">
        <f t="shared" si="1"/>
        <v>2021</v>
      </c>
      <c r="C44" s="351">
        <f t="shared" si="2"/>
        <v>1084.4000000000001</v>
      </c>
    </row>
    <row r="45" spans="2:17">
      <c r="B45" s="350">
        <f t="shared" si="1"/>
        <v>2022</v>
      </c>
      <c r="C45" s="351">
        <f t="shared" si="2"/>
        <v>1864</v>
      </c>
    </row>
    <row r="46" spans="2:17">
      <c r="B46" s="350">
        <f t="shared" si="1"/>
        <v>2023</v>
      </c>
      <c r="C46" s="351">
        <f t="shared" si="2"/>
        <v>1409.4</v>
      </c>
    </row>
    <row r="47" spans="2:17">
      <c r="B47" s="350">
        <f t="shared" si="1"/>
        <v>2024</v>
      </c>
      <c r="C47" s="351">
        <f t="shared" si="2"/>
        <v>1378.2</v>
      </c>
    </row>
    <row r="48" spans="2:17" ht="17.25" thickBot="1">
      <c r="B48" s="356" t="str">
        <f t="shared" si="1"/>
        <v>10년평균</v>
      </c>
      <c r="C48" s="357">
        <f t="shared" si="2"/>
        <v>1268.4000000000001</v>
      </c>
    </row>
    <row r="50" spans="2:3" ht="17.25" thickBot="1"/>
    <row r="51" spans="2:3">
      <c r="B51" s="566" t="s">
        <v>165</v>
      </c>
      <c r="C51" s="568" t="s">
        <v>150</v>
      </c>
    </row>
    <row r="52" spans="2:3">
      <c r="B52" s="360">
        <f>B3</f>
        <v>1995</v>
      </c>
      <c r="C52" s="361">
        <f>O3</f>
        <v>1653.3</v>
      </c>
    </row>
    <row r="53" spans="2:3">
      <c r="B53" s="360">
        <f t="shared" ref="B53:B81" si="3">B4</f>
        <v>1996</v>
      </c>
      <c r="C53" s="361">
        <f t="shared" ref="C53:C81" si="4">O4</f>
        <v>952.1</v>
      </c>
    </row>
    <row r="54" spans="2:3">
      <c r="B54" s="360">
        <f t="shared" si="3"/>
        <v>1997</v>
      </c>
      <c r="C54" s="361">
        <f t="shared" si="4"/>
        <v>1394.3</v>
      </c>
    </row>
    <row r="55" spans="2:3">
      <c r="B55" s="360">
        <f t="shared" si="3"/>
        <v>1998</v>
      </c>
      <c r="C55" s="361">
        <f t="shared" si="4"/>
        <v>1626.9</v>
      </c>
    </row>
    <row r="56" spans="2:3">
      <c r="B56" s="360">
        <f t="shared" si="3"/>
        <v>1999</v>
      </c>
      <c r="C56" s="361">
        <f t="shared" si="4"/>
        <v>1556.1</v>
      </c>
    </row>
    <row r="57" spans="2:3">
      <c r="B57" s="360">
        <f t="shared" si="3"/>
        <v>2000</v>
      </c>
      <c r="C57" s="361">
        <f t="shared" si="4"/>
        <v>1328.8</v>
      </c>
    </row>
    <row r="58" spans="2:3">
      <c r="B58" s="360">
        <f t="shared" si="3"/>
        <v>2001</v>
      </c>
      <c r="C58" s="361">
        <f t="shared" si="4"/>
        <v>1067.2</v>
      </c>
    </row>
    <row r="59" spans="2:3">
      <c r="B59" s="360">
        <f t="shared" si="3"/>
        <v>2002</v>
      </c>
      <c r="C59" s="361">
        <f t="shared" si="4"/>
        <v>1231.7</v>
      </c>
    </row>
    <row r="60" spans="2:3">
      <c r="B60" s="360">
        <f t="shared" si="3"/>
        <v>2003</v>
      </c>
      <c r="C60" s="361">
        <f t="shared" si="4"/>
        <v>1514.8</v>
      </c>
    </row>
    <row r="61" spans="2:3">
      <c r="B61" s="360">
        <f t="shared" si="3"/>
        <v>2004</v>
      </c>
      <c r="C61" s="361">
        <f t="shared" si="4"/>
        <v>1217</v>
      </c>
    </row>
    <row r="62" spans="2:3">
      <c r="B62" s="360">
        <f t="shared" si="3"/>
        <v>2005</v>
      </c>
      <c r="C62" s="361">
        <f t="shared" si="4"/>
        <v>1427.7</v>
      </c>
    </row>
    <row r="63" spans="2:3">
      <c r="B63" s="360">
        <f t="shared" si="3"/>
        <v>2006</v>
      </c>
      <c r="C63" s="361">
        <f t="shared" si="4"/>
        <v>1362.7</v>
      </c>
    </row>
    <row r="64" spans="2:3">
      <c r="B64" s="360">
        <f t="shared" si="3"/>
        <v>2007</v>
      </c>
      <c r="C64" s="361">
        <f t="shared" si="4"/>
        <v>1325</v>
      </c>
    </row>
    <row r="65" spans="2:3">
      <c r="B65" s="360">
        <f t="shared" si="3"/>
        <v>2008</v>
      </c>
      <c r="C65" s="361">
        <f t="shared" si="4"/>
        <v>1342.9</v>
      </c>
    </row>
    <row r="66" spans="2:3">
      <c r="B66" s="360">
        <f t="shared" si="3"/>
        <v>2009</v>
      </c>
      <c r="C66" s="361">
        <f t="shared" si="4"/>
        <v>1541.2</v>
      </c>
    </row>
    <row r="67" spans="2:3">
      <c r="B67" s="360">
        <f t="shared" si="3"/>
        <v>2010</v>
      </c>
      <c r="C67" s="361">
        <f t="shared" si="4"/>
        <v>1470.6</v>
      </c>
    </row>
    <row r="68" spans="2:3">
      <c r="B68" s="360">
        <f t="shared" si="3"/>
        <v>2011</v>
      </c>
      <c r="C68" s="361">
        <f t="shared" si="4"/>
        <v>1975.9</v>
      </c>
    </row>
    <row r="69" spans="2:3">
      <c r="B69" s="360">
        <f t="shared" si="3"/>
        <v>2012</v>
      </c>
      <c r="C69" s="361">
        <f t="shared" si="4"/>
        <v>1748.3</v>
      </c>
    </row>
    <row r="70" spans="2:3">
      <c r="B70" s="360">
        <f t="shared" si="3"/>
        <v>2013</v>
      </c>
      <c r="C70" s="361">
        <f t="shared" si="4"/>
        <v>1240.0999999999999</v>
      </c>
    </row>
    <row r="71" spans="2:3">
      <c r="B71" s="360">
        <f t="shared" si="3"/>
        <v>2014</v>
      </c>
      <c r="C71" s="361">
        <f t="shared" si="4"/>
        <v>1029.0999999999999</v>
      </c>
    </row>
    <row r="72" spans="2:3">
      <c r="B72" s="360">
        <f t="shared" si="3"/>
        <v>2015</v>
      </c>
      <c r="C72" s="361">
        <f t="shared" si="4"/>
        <v>751.1</v>
      </c>
    </row>
    <row r="73" spans="2:3">
      <c r="B73" s="360">
        <f t="shared" si="3"/>
        <v>2016</v>
      </c>
      <c r="C73" s="361">
        <f t="shared" si="4"/>
        <v>1023.4</v>
      </c>
    </row>
    <row r="74" spans="2:3">
      <c r="B74" s="360">
        <f t="shared" si="3"/>
        <v>2017</v>
      </c>
      <c r="C74" s="361">
        <f t="shared" si="4"/>
        <v>1328.6</v>
      </c>
    </row>
    <row r="75" spans="2:3">
      <c r="B75" s="360">
        <f t="shared" si="3"/>
        <v>2018</v>
      </c>
      <c r="C75" s="361">
        <f t="shared" si="4"/>
        <v>1293.0999999999999</v>
      </c>
    </row>
    <row r="76" spans="2:3">
      <c r="B76" s="360">
        <f t="shared" si="3"/>
        <v>2019</v>
      </c>
      <c r="C76" s="361">
        <f t="shared" si="4"/>
        <v>915.8</v>
      </c>
    </row>
    <row r="77" spans="2:3">
      <c r="B77" s="360">
        <f t="shared" si="3"/>
        <v>2020</v>
      </c>
      <c r="C77" s="361">
        <f t="shared" si="4"/>
        <v>1635.5</v>
      </c>
    </row>
    <row r="78" spans="2:3">
      <c r="B78" s="360">
        <f>B29</f>
        <v>2021</v>
      </c>
      <c r="C78" s="361">
        <f t="shared" si="4"/>
        <v>1084.4000000000001</v>
      </c>
    </row>
    <row r="79" spans="2:3">
      <c r="B79" s="360">
        <f t="shared" si="3"/>
        <v>2022</v>
      </c>
      <c r="C79" s="361">
        <f t="shared" si="4"/>
        <v>1864</v>
      </c>
    </row>
    <row r="80" spans="2:3">
      <c r="B80" s="360">
        <f t="shared" si="3"/>
        <v>2023</v>
      </c>
      <c r="C80" s="361">
        <f t="shared" si="4"/>
        <v>1409.4</v>
      </c>
    </row>
    <row r="81" spans="2:3">
      <c r="B81" s="360">
        <f t="shared" si="3"/>
        <v>2024</v>
      </c>
      <c r="C81" s="361">
        <f t="shared" si="4"/>
        <v>1378.2</v>
      </c>
    </row>
    <row r="82" spans="2:3" ht="17.25" thickBot="1">
      <c r="B82" s="353" t="str">
        <f>B34</f>
        <v>30년평균</v>
      </c>
      <c r="C82" s="362">
        <f>O34</f>
        <v>1356.3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445"/>
  <sheetViews>
    <sheetView topLeftCell="A3" zoomScaleNormal="100" workbookViewId="0">
      <selection activeCell="L34" sqref="L34"/>
    </sheetView>
  </sheetViews>
  <sheetFormatPr defaultColWidth="8.88671875" defaultRowHeight="16.5"/>
  <cols>
    <col min="1" max="1" width="17" style="119" customWidth="1"/>
    <col min="2" max="2" width="16.6640625" style="119" customWidth="1"/>
    <col min="3" max="4" width="10" style="119" customWidth="1"/>
    <col min="5" max="5" width="10.44140625" style="119" customWidth="1"/>
    <col min="6" max="14" width="8.77734375" style="119" customWidth="1"/>
    <col min="15" max="15" width="8.77734375" style="404" customWidth="1"/>
    <col min="16" max="16" width="8.77734375" style="119" customWidth="1"/>
    <col min="17" max="16384" width="8.88671875" style="119"/>
  </cols>
  <sheetData>
    <row r="2" spans="2:16" ht="20.25" customHeight="1">
      <c r="B2" s="451" t="str">
        <f>All!B2</f>
        <v>수원기상청</v>
      </c>
      <c r="C2" s="403" t="s">
        <v>309</v>
      </c>
    </row>
    <row r="3" spans="2:16" ht="20.25" customHeight="1" thickBot="1">
      <c r="B3" s="451"/>
      <c r="C3" s="403"/>
    </row>
    <row r="4" spans="2:16" ht="29.25" customHeight="1">
      <c r="B4" s="569"/>
      <c r="C4" s="575" t="s">
        <v>7</v>
      </c>
      <c r="D4" s="576" t="s">
        <v>8</v>
      </c>
      <c r="E4" s="576" t="s">
        <v>9</v>
      </c>
      <c r="F4" s="576" t="s">
        <v>10</v>
      </c>
      <c r="G4" s="576" t="s">
        <v>35</v>
      </c>
      <c r="H4" s="576" t="s">
        <v>12</v>
      </c>
      <c r="I4" s="576" t="s">
        <v>13</v>
      </c>
      <c r="J4" s="576" t="s">
        <v>14</v>
      </c>
      <c r="K4" s="576" t="s">
        <v>15</v>
      </c>
      <c r="L4" s="576" t="s">
        <v>568</v>
      </c>
      <c r="M4" s="576" t="s">
        <v>17</v>
      </c>
      <c r="N4" s="577" t="s">
        <v>18</v>
      </c>
      <c r="O4" s="578" t="s">
        <v>19</v>
      </c>
      <c r="P4" s="577" t="s">
        <v>20</v>
      </c>
    </row>
    <row r="5" spans="2:16" ht="22.15" customHeight="1">
      <c r="B5" s="571">
        <f>All!B41</f>
        <v>2015</v>
      </c>
      <c r="C5" s="685">
        <f>All!C41</f>
        <v>17.5</v>
      </c>
      <c r="D5" s="685">
        <f>All!D41</f>
        <v>22.7</v>
      </c>
      <c r="E5" s="686">
        <f>All!E41</f>
        <v>12.5</v>
      </c>
      <c r="F5" s="686">
        <f>All!F41</f>
        <v>99.2</v>
      </c>
      <c r="G5" s="686">
        <v>200</v>
      </c>
      <c r="H5" s="686">
        <v>72</v>
      </c>
      <c r="I5" s="686">
        <v>120</v>
      </c>
      <c r="J5" s="686">
        <v>120</v>
      </c>
      <c r="K5" s="686">
        <f>All!K41</f>
        <v>6.9</v>
      </c>
      <c r="L5" s="686">
        <v>5</v>
      </c>
      <c r="M5" s="686">
        <f>All!M41</f>
        <v>116</v>
      </c>
      <c r="N5" s="687">
        <f>All!N41</f>
        <v>49.3</v>
      </c>
      <c r="O5" s="515">
        <f>All!O41</f>
        <v>751.1</v>
      </c>
      <c r="P5" s="687">
        <f>All!P41</f>
        <v>62.6</v>
      </c>
    </row>
    <row r="6" spans="2:16" ht="22.15" customHeight="1">
      <c r="B6" s="571">
        <f>All!B42</f>
        <v>2016</v>
      </c>
      <c r="C6" s="685">
        <f>All!C42</f>
        <v>4.5999999999999996</v>
      </c>
      <c r="D6" s="686">
        <f>All!D42</f>
        <v>52.6</v>
      </c>
      <c r="E6" s="686">
        <f>All!E42</f>
        <v>54.8</v>
      </c>
      <c r="F6" s="686">
        <f>All!F42</f>
        <v>79.2</v>
      </c>
      <c r="G6" s="686">
        <f>All!G42</f>
        <v>156.4</v>
      </c>
      <c r="H6" s="686">
        <f>All!H42</f>
        <v>37.4</v>
      </c>
      <c r="I6" s="686">
        <f>All!I42</f>
        <v>317.7</v>
      </c>
      <c r="J6" s="686">
        <f>All!J42</f>
        <v>73</v>
      </c>
      <c r="K6" s="686">
        <f>All!K42</f>
        <v>67.8</v>
      </c>
      <c r="L6" s="686">
        <f>All!L42</f>
        <v>99.1</v>
      </c>
      <c r="M6" s="686">
        <f>All!M42</f>
        <v>17.399999999999999</v>
      </c>
      <c r="N6" s="687">
        <f>All!N42</f>
        <v>63.4</v>
      </c>
      <c r="O6" s="515">
        <f>All!O42</f>
        <v>1023.4</v>
      </c>
      <c r="P6" s="687">
        <f>All!P42</f>
        <v>85.3</v>
      </c>
    </row>
    <row r="7" spans="2:16" ht="22.15" customHeight="1">
      <c r="B7" s="571">
        <f>All!B43</f>
        <v>2017</v>
      </c>
      <c r="C7" s="685">
        <f>All!C43</f>
        <v>19.399999999999999</v>
      </c>
      <c r="D7" s="686">
        <f>All!D43</f>
        <v>22.5</v>
      </c>
      <c r="E7" s="686">
        <f>All!E43</f>
        <v>9</v>
      </c>
      <c r="F7" s="686">
        <f>All!F43</f>
        <v>52.5</v>
      </c>
      <c r="G7" s="686">
        <f>All!G43</f>
        <v>22.5</v>
      </c>
      <c r="H7" s="686">
        <f>All!H43</f>
        <v>27.6</v>
      </c>
      <c r="I7" s="686">
        <f>All!I43</f>
        <v>684.5</v>
      </c>
      <c r="J7" s="686">
        <f>All!J43</f>
        <v>359.7</v>
      </c>
      <c r="K7" s="686">
        <f>All!K43</f>
        <v>26.1</v>
      </c>
      <c r="L7" s="686">
        <f>All!L43</f>
        <v>28.7</v>
      </c>
      <c r="M7" s="686">
        <f>All!M43</f>
        <v>37.6</v>
      </c>
      <c r="N7" s="687">
        <f>All!N43</f>
        <v>38.5</v>
      </c>
      <c r="O7" s="515">
        <f>All!O43</f>
        <v>1328.6</v>
      </c>
      <c r="P7" s="687">
        <f>All!P43</f>
        <v>110.7</v>
      </c>
    </row>
    <row r="8" spans="2:16" ht="22.15" customHeight="1">
      <c r="B8" s="571">
        <f>All!B44</f>
        <v>2018</v>
      </c>
      <c r="C8" s="685">
        <f>All!C44</f>
        <v>7.9</v>
      </c>
      <c r="D8" s="686">
        <f>All!D44</f>
        <v>29.1</v>
      </c>
      <c r="E8" s="686">
        <f>All!E44</f>
        <v>86</v>
      </c>
      <c r="F8" s="686">
        <f>All!F44</f>
        <v>128.80000000000001</v>
      </c>
      <c r="G8" s="686">
        <f>All!G44</f>
        <v>196.4</v>
      </c>
      <c r="H8" s="686">
        <f>All!H44</f>
        <v>107</v>
      </c>
      <c r="I8" s="686">
        <f>All!I44</f>
        <v>222.7</v>
      </c>
      <c r="J8" s="686">
        <f>All!J44</f>
        <v>218.6</v>
      </c>
      <c r="K8" s="686">
        <f>All!K44</f>
        <v>61.7</v>
      </c>
      <c r="L8" s="686">
        <f>All!L44</f>
        <v>132.69999999999999</v>
      </c>
      <c r="M8" s="686">
        <f>All!M44</f>
        <v>78.099999999999994</v>
      </c>
      <c r="N8" s="687">
        <f>All!N44</f>
        <v>24.1</v>
      </c>
      <c r="O8" s="515">
        <f>All!O44</f>
        <v>1293.0999999999999</v>
      </c>
      <c r="P8" s="687">
        <f>All!P44</f>
        <v>107.8</v>
      </c>
    </row>
    <row r="9" spans="2:16" ht="22.15" customHeight="1">
      <c r="B9" s="571">
        <f>All!B45</f>
        <v>2019</v>
      </c>
      <c r="C9" s="685">
        <f>All!C45</f>
        <v>0.5</v>
      </c>
      <c r="D9" s="686">
        <f>All!D45</f>
        <v>33.4</v>
      </c>
      <c r="E9" s="686">
        <f>All!E45</f>
        <v>39.6</v>
      </c>
      <c r="F9" s="686">
        <f>All!F45</f>
        <v>43.6</v>
      </c>
      <c r="G9" s="686">
        <f>All!G45</f>
        <v>26.7</v>
      </c>
      <c r="H9" s="686">
        <f>All!H45</f>
        <v>68.8</v>
      </c>
      <c r="I9" s="686">
        <f>All!I45</f>
        <v>190.9</v>
      </c>
      <c r="J9" s="686">
        <f>All!J45</f>
        <v>117.9</v>
      </c>
      <c r="K9" s="686">
        <f>All!K45</f>
        <v>201.9</v>
      </c>
      <c r="L9" s="686">
        <f>All!L45</f>
        <v>73.099999999999994</v>
      </c>
      <c r="M9" s="686">
        <f>All!M45</f>
        <v>93.2</v>
      </c>
      <c r="N9" s="687">
        <f>All!N45</f>
        <v>26.2</v>
      </c>
      <c r="O9" s="515">
        <f>All!O45</f>
        <v>915.8</v>
      </c>
      <c r="P9" s="687">
        <f>All!P45</f>
        <v>76.3</v>
      </c>
    </row>
    <row r="10" spans="2:16" ht="22.15" customHeight="1">
      <c r="B10" s="571">
        <f>All!B46</f>
        <v>2020</v>
      </c>
      <c r="C10" s="685">
        <f>All!C46</f>
        <v>61</v>
      </c>
      <c r="D10" s="686">
        <f>All!D46</f>
        <v>59.2</v>
      </c>
      <c r="E10" s="686">
        <f>All!E46</f>
        <v>19.5</v>
      </c>
      <c r="F10" s="686">
        <f>All!F46</f>
        <v>15.8</v>
      </c>
      <c r="G10" s="686">
        <f>All!G46</f>
        <v>97.9</v>
      </c>
      <c r="H10" s="686">
        <f>All!H46</f>
        <v>91.1</v>
      </c>
      <c r="I10" s="686">
        <f>All!I46</f>
        <v>384.7</v>
      </c>
      <c r="J10" s="686">
        <f>All!J46</f>
        <v>659.3</v>
      </c>
      <c r="K10" s="686">
        <f>All!K46</f>
        <v>163.4</v>
      </c>
      <c r="L10" s="686">
        <f>All!L46</f>
        <v>22.2</v>
      </c>
      <c r="M10" s="686">
        <f>All!M46</f>
        <v>56.8</v>
      </c>
      <c r="N10" s="687">
        <f>All!N46</f>
        <v>4.5999999999999996</v>
      </c>
      <c r="O10" s="515">
        <f>All!O46</f>
        <v>1635.5</v>
      </c>
      <c r="P10" s="687">
        <f>All!P46</f>
        <v>136.30000000000001</v>
      </c>
    </row>
    <row r="11" spans="2:16" ht="22.15" customHeight="1">
      <c r="B11" s="571">
        <f>All!B47</f>
        <v>2021</v>
      </c>
      <c r="C11" s="685">
        <f>All!C47</f>
        <v>24.1</v>
      </c>
      <c r="D11" s="686">
        <f>All!D47</f>
        <v>9.6999999999999993</v>
      </c>
      <c r="E11" s="686">
        <f>All!E47</f>
        <v>102.8</v>
      </c>
      <c r="F11" s="686">
        <f>All!F47</f>
        <v>106.4</v>
      </c>
      <c r="G11" s="686">
        <f>All!G47</f>
        <v>179.2</v>
      </c>
      <c r="H11" s="686">
        <f>All!H47</f>
        <v>50.1</v>
      </c>
      <c r="I11" s="686">
        <f>All!I47</f>
        <v>134.4</v>
      </c>
      <c r="J11" s="686">
        <f>All!J47</f>
        <v>161.1</v>
      </c>
      <c r="K11" s="686">
        <f>All!K47</f>
        <v>164.1</v>
      </c>
      <c r="L11" s="686">
        <f>All!L47</f>
        <v>36</v>
      </c>
      <c r="M11" s="686">
        <f>All!M47</f>
        <v>104.2</v>
      </c>
      <c r="N11" s="687">
        <f>All!N47</f>
        <v>12.3</v>
      </c>
      <c r="O11" s="515">
        <f>All!O47</f>
        <v>1084.4000000000001</v>
      </c>
      <c r="P11" s="687">
        <f>All!P47</f>
        <v>90.4</v>
      </c>
    </row>
    <row r="12" spans="2:16" ht="22.15" customHeight="1">
      <c r="B12" s="570">
        <f>All!B48</f>
        <v>2022</v>
      </c>
      <c r="C12" s="521">
        <f>All!C48</f>
        <v>3.9</v>
      </c>
      <c r="D12" s="522">
        <f>All!D48</f>
        <v>4</v>
      </c>
      <c r="E12" s="522">
        <f>All!E48</f>
        <v>74.7</v>
      </c>
      <c r="F12" s="522">
        <f>All!F48</f>
        <v>42.4</v>
      </c>
      <c r="G12" s="522">
        <f>All!G48</f>
        <v>13.4</v>
      </c>
      <c r="H12" s="522">
        <f>All!H48</f>
        <v>472.1</v>
      </c>
      <c r="I12" s="522">
        <f>All!I48</f>
        <v>243</v>
      </c>
      <c r="J12" s="522">
        <f>All!J48</f>
        <v>640.79999999999995</v>
      </c>
      <c r="K12" s="522">
        <f>All!K48</f>
        <v>190.1</v>
      </c>
      <c r="L12" s="522">
        <f>All!L48</f>
        <v>108.5</v>
      </c>
      <c r="M12" s="522">
        <f>All!M48</f>
        <v>51.4</v>
      </c>
      <c r="N12" s="523">
        <f>All!N48</f>
        <v>19.7</v>
      </c>
      <c r="O12" s="524">
        <f>All!O48</f>
        <v>1864</v>
      </c>
      <c r="P12" s="523">
        <f>All!P48</f>
        <v>155.30000000000001</v>
      </c>
    </row>
    <row r="13" spans="2:16" ht="22.15" customHeight="1">
      <c r="B13" s="570">
        <f>All!B49</f>
        <v>2023</v>
      </c>
      <c r="C13" s="521">
        <f>All!C49</f>
        <v>38.9</v>
      </c>
      <c r="D13" s="522">
        <f>All!D49</f>
        <v>0.7</v>
      </c>
      <c r="E13" s="522">
        <f>All!E49</f>
        <v>5.5</v>
      </c>
      <c r="F13" s="522">
        <f>All!F49</f>
        <v>67.400000000000006</v>
      </c>
      <c r="G13" s="522">
        <f>All!G49</f>
        <v>120.3</v>
      </c>
      <c r="H13" s="522">
        <f>All!H49</f>
        <v>131.5</v>
      </c>
      <c r="I13" s="522">
        <f>All!I49</f>
        <v>490.5</v>
      </c>
      <c r="J13" s="522">
        <f>All!J49</f>
        <v>200.7</v>
      </c>
      <c r="K13" s="522">
        <f>All!K49</f>
        <v>135.6</v>
      </c>
      <c r="L13" s="522">
        <f>All!L49</f>
        <v>35.799999999999997</v>
      </c>
      <c r="M13" s="522">
        <f>All!M49</f>
        <v>99</v>
      </c>
      <c r="N13" s="523">
        <f>All!N49</f>
        <v>83.5</v>
      </c>
      <c r="O13" s="524">
        <f>All!O49</f>
        <v>1409.4</v>
      </c>
      <c r="P13" s="523">
        <f>All!P49</f>
        <v>117.5</v>
      </c>
    </row>
    <row r="14" spans="2:16" ht="22.15" customHeight="1" thickBot="1">
      <c r="B14" s="572">
        <f>All!B50</f>
        <v>2024</v>
      </c>
      <c r="C14" s="688">
        <f>All!C50</f>
        <v>21.2</v>
      </c>
      <c r="D14" s="689">
        <f>All!D50</f>
        <v>74.8</v>
      </c>
      <c r="E14" s="689">
        <f>All!E50</f>
        <v>30.2</v>
      </c>
      <c r="F14" s="689">
        <f>All!F50</f>
        <v>55</v>
      </c>
      <c r="G14" s="689">
        <f>All!G50</f>
        <v>109.4</v>
      </c>
      <c r="H14" s="689">
        <f>All!H50</f>
        <v>137.5</v>
      </c>
      <c r="I14" s="689">
        <f>All!I50</f>
        <v>403.3</v>
      </c>
      <c r="J14" s="689">
        <f>All!J50</f>
        <v>127.6</v>
      </c>
      <c r="K14" s="689">
        <f>All!K50</f>
        <v>219.4</v>
      </c>
      <c r="L14" s="689">
        <f>All!L50</f>
        <v>97.2</v>
      </c>
      <c r="M14" s="689">
        <f>All!M50</f>
        <v>98.1</v>
      </c>
      <c r="N14" s="690">
        <f>All!N50</f>
        <v>4.5</v>
      </c>
      <c r="O14" s="520">
        <f>All!O50</f>
        <v>1378.2</v>
      </c>
      <c r="P14" s="690">
        <f>All!P50</f>
        <v>114.9</v>
      </c>
    </row>
    <row r="15" spans="2:16" ht="22.15" customHeight="1">
      <c r="B15" s="573" t="s">
        <v>21</v>
      </c>
      <c r="C15" s="691">
        <f>All!C51</f>
        <v>61</v>
      </c>
      <c r="D15" s="692">
        <f>All!D51</f>
        <v>74.8</v>
      </c>
      <c r="E15" s="692">
        <f>All!E51</f>
        <v>102.8</v>
      </c>
      <c r="F15" s="692">
        <f>All!F51</f>
        <v>128.80000000000001</v>
      </c>
      <c r="G15" s="692">
        <f>All!G51</f>
        <v>196.4</v>
      </c>
      <c r="H15" s="692">
        <f>All!H51</f>
        <v>472.1</v>
      </c>
      <c r="I15" s="692">
        <f>All!I51</f>
        <v>684.5</v>
      </c>
      <c r="J15" s="692">
        <f>All!J51</f>
        <v>659.3</v>
      </c>
      <c r="K15" s="692">
        <f>All!K51</f>
        <v>219.4</v>
      </c>
      <c r="L15" s="692">
        <f>All!L51</f>
        <v>132.69999999999999</v>
      </c>
      <c r="M15" s="692">
        <f>All!M51</f>
        <v>116</v>
      </c>
      <c r="N15" s="693">
        <f>All!N51</f>
        <v>83.5</v>
      </c>
      <c r="O15" s="518">
        <f>All!O51</f>
        <v>1864</v>
      </c>
      <c r="P15" s="693">
        <f>All!P51</f>
        <v>155.30000000000001</v>
      </c>
    </row>
    <row r="16" spans="2:16" ht="22.15" customHeight="1">
      <c r="B16" s="571" t="s">
        <v>22</v>
      </c>
      <c r="C16" s="685">
        <f>All!C52</f>
        <v>0.5</v>
      </c>
      <c r="D16" s="686">
        <f>All!D52</f>
        <v>0.7</v>
      </c>
      <c r="E16" s="686">
        <f>All!E52</f>
        <v>5.5</v>
      </c>
      <c r="F16" s="686">
        <f>All!F52</f>
        <v>15.8</v>
      </c>
      <c r="G16" s="686">
        <f>All!G52</f>
        <v>13.4</v>
      </c>
      <c r="H16" s="686">
        <f>All!H52</f>
        <v>27.6</v>
      </c>
      <c r="I16" s="686">
        <f>All!I52</f>
        <v>134.4</v>
      </c>
      <c r="J16" s="686">
        <f>All!J52</f>
        <v>71</v>
      </c>
      <c r="K16" s="686">
        <f>All!K52</f>
        <v>6.9</v>
      </c>
      <c r="L16" s="686">
        <f>All!L52</f>
        <v>22.2</v>
      </c>
      <c r="M16" s="686">
        <f>All!M52</f>
        <v>17.399999999999999</v>
      </c>
      <c r="N16" s="687">
        <f>All!N52</f>
        <v>4.5</v>
      </c>
      <c r="O16" s="516">
        <f>All!O52</f>
        <v>751.1</v>
      </c>
      <c r="P16" s="687">
        <f>All!P52</f>
        <v>62.6</v>
      </c>
    </row>
    <row r="17" spans="2:16" ht="22.15" customHeight="1" thickBot="1">
      <c r="B17" s="572" t="s">
        <v>20</v>
      </c>
      <c r="C17" s="688">
        <f>All!C53</f>
        <v>19.899999999999999</v>
      </c>
      <c r="D17" s="689">
        <f>All!D53</f>
        <v>30.9</v>
      </c>
      <c r="E17" s="694">
        <f>All!E53</f>
        <v>43.5</v>
      </c>
      <c r="F17" s="689">
        <f>All!F53</f>
        <v>69</v>
      </c>
      <c r="G17" s="519">
        <f>All!G53</f>
        <v>95.5</v>
      </c>
      <c r="H17" s="519">
        <f>All!H53</f>
        <v>115.3</v>
      </c>
      <c r="I17" s="519">
        <f>All!I53</f>
        <v>329.8</v>
      </c>
      <c r="J17" s="519">
        <f>All!J53</f>
        <v>263</v>
      </c>
      <c r="K17" s="519">
        <f>All!K53</f>
        <v>123.7</v>
      </c>
      <c r="L17" s="689">
        <f>All!L53</f>
        <v>70.099999999999994</v>
      </c>
      <c r="M17" s="689">
        <f>All!M53</f>
        <v>75.2</v>
      </c>
      <c r="N17" s="690">
        <f>All!N53</f>
        <v>32.6</v>
      </c>
      <c r="O17" s="517">
        <f>All!O53</f>
        <v>1268.4000000000001</v>
      </c>
      <c r="P17" s="695">
        <f>All!P53</f>
        <v>105.7</v>
      </c>
    </row>
    <row r="18" spans="2:16" ht="29.25" customHeight="1" thickBot="1">
      <c r="B18" s="574" t="s">
        <v>23</v>
      </c>
      <c r="C18" s="406">
        <f>All!C37</f>
        <v>19.8</v>
      </c>
      <c r="D18" s="407">
        <f>All!D37</f>
        <v>26.8</v>
      </c>
      <c r="E18" s="407">
        <f>All!E37</f>
        <v>43.1</v>
      </c>
      <c r="F18" s="407">
        <f>All!F37</f>
        <v>73.3</v>
      </c>
      <c r="G18" s="407">
        <f>All!G37</f>
        <v>93.4</v>
      </c>
      <c r="H18" s="407">
        <f>All!H37</f>
        <v>136.30000000000001</v>
      </c>
      <c r="I18" s="408">
        <f>All!I37</f>
        <v>384.9</v>
      </c>
      <c r="J18" s="408">
        <f>All!J37</f>
        <v>304.7</v>
      </c>
      <c r="K18" s="408">
        <f>All!K37</f>
        <v>140.30000000000001</v>
      </c>
      <c r="L18" s="408">
        <f>All!L37</f>
        <v>54</v>
      </c>
      <c r="M18" s="408">
        <f>All!M37</f>
        <v>54.6</v>
      </c>
      <c r="N18" s="409">
        <f>All!N37</f>
        <v>24.9</v>
      </c>
      <c r="O18" s="410">
        <f>All!O37</f>
        <v>1356.3</v>
      </c>
      <c r="P18" s="409">
        <f>All!P37</f>
        <v>113</v>
      </c>
    </row>
    <row r="19" spans="2:16" ht="22.15" customHeight="1" thickBot="1"/>
    <row r="20" spans="2:16">
      <c r="B20" s="411" t="s">
        <v>24</v>
      </c>
      <c r="C20" s="412"/>
      <c r="D20" s="413">
        <f>SUM(G17:K17)</f>
        <v>927.30000000000007</v>
      </c>
      <c r="F20" s="414"/>
    </row>
    <row r="21" spans="2:16">
      <c r="B21" s="415" t="s">
        <v>156</v>
      </c>
      <c r="D21" s="416">
        <f>O17</f>
        <v>1268.4000000000001</v>
      </c>
    </row>
    <row r="22" spans="2:16" ht="17.25" thickBot="1">
      <c r="B22" s="417"/>
      <c r="C22" s="418"/>
      <c r="D22" s="419">
        <f>D20/D21</f>
        <v>0.73107852412488172</v>
      </c>
    </row>
    <row r="23" spans="2:16" ht="33.75" customHeight="1" thickBot="1">
      <c r="C23" s="420" t="s">
        <v>177</v>
      </c>
      <c r="D23" s="420" t="s">
        <v>178</v>
      </c>
      <c r="E23" s="420" t="s">
        <v>179</v>
      </c>
    </row>
    <row r="24" spans="2:16" ht="21.95" customHeight="1">
      <c r="B24" s="421" t="s">
        <v>88</v>
      </c>
      <c r="C24" s="125">
        <f>O16</f>
        <v>751.1</v>
      </c>
      <c r="D24" s="422"/>
      <c r="E24" s="359"/>
      <c r="H24" s="423" t="s">
        <v>174</v>
      </c>
      <c r="I24" s="749" t="s">
        <v>848</v>
      </c>
      <c r="J24" s="750"/>
      <c r="K24" s="671">
        <f>INDEX(Location[recharge], MATCH(I24,Location[name],0))</f>
        <v>0.14099999999999999</v>
      </c>
      <c r="L24" s="672">
        <f>INDEX(Location[ratio], MATCH(I24,Location[name],0))</f>
        <v>0.72399999999999998</v>
      </c>
    </row>
    <row r="25" spans="2:16" ht="21.95" customHeight="1">
      <c r="B25" s="424" t="s">
        <v>25</v>
      </c>
      <c r="C25" s="126">
        <f>O18</f>
        <v>1356.3</v>
      </c>
      <c r="D25" s="358"/>
      <c r="E25" s="361"/>
      <c r="H25" s="423" t="s">
        <v>175</v>
      </c>
      <c r="I25" s="751" t="s">
        <v>184</v>
      </c>
      <c r="J25" s="752"/>
      <c r="K25" s="426">
        <f>INDEX(Location[recharge], MATCH(I25,Location[name],0))</f>
        <v>0.152</v>
      </c>
      <c r="L25" s="427">
        <f>INDEX(Location[ratio], MATCH(I25,Location[name],0))</f>
        <v>0.68100000000000005</v>
      </c>
    </row>
    <row r="26" spans="2:16" ht="21.95" customHeight="1" thickBot="1">
      <c r="B26" s="425" t="s">
        <v>155</v>
      </c>
      <c r="C26" s="428">
        <f>L24</f>
        <v>0.72399999999999998</v>
      </c>
      <c r="D26" s="426">
        <f>L25</f>
        <v>0.68100000000000005</v>
      </c>
      <c r="E26" s="427">
        <f>L26</f>
        <v>0.72</v>
      </c>
      <c r="H26" s="423" t="s">
        <v>176</v>
      </c>
      <c r="I26" s="753" t="s">
        <v>232</v>
      </c>
      <c r="J26" s="754"/>
      <c r="K26" s="673">
        <f>INDEX(Location[recharge], MATCH(I26,Location[name],0))</f>
        <v>0.17100000000000001</v>
      </c>
      <c r="L26" s="674">
        <f>INDEX(Location[ratio], MATCH(I26,Location[name],0))</f>
        <v>0.72</v>
      </c>
    </row>
    <row r="27" spans="2:16" ht="21.95" customHeight="1">
      <c r="B27" s="424" t="s">
        <v>26</v>
      </c>
      <c r="C27" s="127">
        <f>Well!P4</f>
        <v>3487130.5455</v>
      </c>
      <c r="D27" s="358"/>
      <c r="E27" s="429"/>
    </row>
    <row r="28" spans="2:16" ht="21.95" customHeight="1" thickBot="1">
      <c r="B28" s="430" t="s">
        <v>27</v>
      </c>
      <c r="C28" s="431">
        <f>K24</f>
        <v>0.14099999999999999</v>
      </c>
      <c r="D28" s="432">
        <f>K25</f>
        <v>0.152</v>
      </c>
      <c r="E28" s="433">
        <f>K26</f>
        <v>0.17100000000000001</v>
      </c>
    </row>
    <row r="29" spans="2:16" ht="17.25" thickBot="1">
      <c r="E29" s="434"/>
    </row>
    <row r="30" spans="2:16" ht="22.15" customHeight="1" thickBot="1">
      <c r="B30" s="435" t="s">
        <v>157</v>
      </c>
      <c r="C30" s="436">
        <f>max*rf_1/10</f>
        <v>19.123829999999998</v>
      </c>
      <c r="D30" s="436">
        <f>max*rf_2/10</f>
        <v>20.615760000000002</v>
      </c>
      <c r="E30" s="437">
        <f>max*rf_3/10</f>
        <v>23.192730000000001</v>
      </c>
    </row>
    <row r="31" spans="2:16" ht="22.15" customHeight="1" thickBot="1">
      <c r="E31" s="434"/>
      <c r="I31" s="438" t="s">
        <v>319</v>
      </c>
    </row>
    <row r="32" spans="2:16" ht="25.5" customHeight="1" thickBot="1">
      <c r="B32" s="579" t="s">
        <v>818</v>
      </c>
      <c r="C32" s="405"/>
      <c r="D32" s="405"/>
    </row>
    <row r="33" spans="1:7" ht="17.25" customHeight="1"/>
    <row r="34" spans="1:7" ht="17.25" customHeight="1">
      <c r="A34" s="439" t="s">
        <v>158</v>
      </c>
      <c r="C34" s="405"/>
      <c r="D34" s="405"/>
    </row>
    <row r="35" spans="1:7" ht="17.25" customHeight="1">
      <c r="A35" s="439" t="s">
        <v>159</v>
      </c>
    </row>
    <row r="36" spans="1:7">
      <c r="G36" s="403"/>
    </row>
    <row r="37" spans="1:7">
      <c r="G37" s="403"/>
    </row>
    <row r="38" spans="1:7">
      <c r="G38" s="403"/>
    </row>
    <row r="39" spans="1:7">
      <c r="G39" s="403"/>
    </row>
    <row r="40" spans="1:7">
      <c r="G40" s="403"/>
    </row>
    <row r="41" spans="1:7">
      <c r="G41" s="403"/>
    </row>
    <row r="42" spans="1:7">
      <c r="G42" s="403"/>
    </row>
    <row r="43" spans="1:7">
      <c r="G43" s="403"/>
    </row>
    <row r="44" spans="1:7">
      <c r="G44" s="403"/>
    </row>
    <row r="45" spans="1:7">
      <c r="G45" s="403"/>
    </row>
    <row r="46" spans="1:7">
      <c r="G46" s="403"/>
    </row>
    <row r="47" spans="1:7">
      <c r="G47" s="403"/>
    </row>
    <row r="48" spans="1:7">
      <c r="G48" s="403"/>
    </row>
    <row r="49" spans="7:7">
      <c r="G49" s="403"/>
    </row>
    <row r="50" spans="7:7">
      <c r="G50" s="403"/>
    </row>
    <row r="51" spans="7:7">
      <c r="G51" s="403"/>
    </row>
    <row r="52" spans="7:7">
      <c r="G52" s="403"/>
    </row>
    <row r="53" spans="7:7">
      <c r="G53" s="403"/>
    </row>
    <row r="54" spans="7:7">
      <c r="G54" s="403"/>
    </row>
    <row r="55" spans="7:7">
      <c r="G55" s="403"/>
    </row>
    <row r="56" spans="7:7">
      <c r="G56" s="403"/>
    </row>
    <row r="57" spans="7:7">
      <c r="G57" s="403"/>
    </row>
    <row r="58" spans="7:7">
      <c r="G58" s="403"/>
    </row>
    <row r="59" spans="7:7">
      <c r="G59" s="403"/>
    </row>
    <row r="60" spans="7:7">
      <c r="G60" s="403"/>
    </row>
    <row r="61" spans="7:7">
      <c r="G61" s="403"/>
    </row>
    <row r="62" spans="7:7">
      <c r="G62" s="403"/>
    </row>
    <row r="63" spans="7:7">
      <c r="G63" s="403"/>
    </row>
    <row r="64" spans="7:7">
      <c r="G64" s="403"/>
    </row>
    <row r="65" spans="7:7">
      <c r="G65" s="403"/>
    </row>
    <row r="66" spans="7:7">
      <c r="G66" s="403"/>
    </row>
    <row r="67" spans="7:7">
      <c r="G67" s="403"/>
    </row>
    <row r="68" spans="7:7">
      <c r="G68" s="403"/>
    </row>
    <row r="69" spans="7:7">
      <c r="G69" s="403"/>
    </row>
    <row r="70" spans="7:7">
      <c r="G70" s="403"/>
    </row>
    <row r="71" spans="7:7">
      <c r="G71" s="403"/>
    </row>
    <row r="72" spans="7:7">
      <c r="G72" s="403"/>
    </row>
    <row r="73" spans="7:7">
      <c r="G73" s="403"/>
    </row>
    <row r="74" spans="7:7">
      <c r="G74" s="403"/>
    </row>
    <row r="75" spans="7:7">
      <c r="G75" s="403"/>
    </row>
    <row r="76" spans="7:7">
      <c r="G76" s="403"/>
    </row>
    <row r="77" spans="7:7">
      <c r="G77" s="403"/>
    </row>
    <row r="78" spans="7:7">
      <c r="G78" s="403"/>
    </row>
    <row r="79" spans="7:7">
      <c r="G79" s="403"/>
    </row>
    <row r="80" spans="7:7">
      <c r="G80" s="403"/>
    </row>
    <row r="81" spans="7:7">
      <c r="G81" s="403"/>
    </row>
    <row r="82" spans="7:7">
      <c r="G82" s="403"/>
    </row>
    <row r="83" spans="7:7">
      <c r="G83" s="403"/>
    </row>
    <row r="84" spans="7:7">
      <c r="G84" s="403"/>
    </row>
    <row r="85" spans="7:7">
      <c r="G85" s="403"/>
    </row>
    <row r="86" spans="7:7">
      <c r="G86" s="403"/>
    </row>
    <row r="87" spans="7:7">
      <c r="G87" s="403"/>
    </row>
    <row r="88" spans="7:7">
      <c r="G88" s="403"/>
    </row>
    <row r="89" spans="7:7">
      <c r="G89" s="403"/>
    </row>
    <row r="90" spans="7:7">
      <c r="G90" s="403"/>
    </row>
    <row r="91" spans="7:7">
      <c r="G91" s="403"/>
    </row>
    <row r="92" spans="7:7">
      <c r="G92" s="403"/>
    </row>
    <row r="93" spans="7:7">
      <c r="G93" s="403"/>
    </row>
    <row r="94" spans="7:7">
      <c r="G94" s="403"/>
    </row>
    <row r="95" spans="7:7">
      <c r="G95" s="403"/>
    </row>
    <row r="96" spans="7:7">
      <c r="G96" s="403"/>
    </row>
    <row r="97" spans="7:7">
      <c r="G97" s="403"/>
    </row>
    <row r="98" spans="7:7">
      <c r="G98" s="403"/>
    </row>
    <row r="99" spans="7:7">
      <c r="G99" s="403"/>
    </row>
    <row r="100" spans="7:7">
      <c r="G100" s="403"/>
    </row>
    <row r="101" spans="7:7">
      <c r="G101" s="403"/>
    </row>
    <row r="102" spans="7:7">
      <c r="G102" s="403"/>
    </row>
    <row r="103" spans="7:7">
      <c r="G103" s="403"/>
    </row>
    <row r="104" spans="7:7">
      <c r="G104" s="403"/>
    </row>
    <row r="105" spans="7:7">
      <c r="G105" s="403"/>
    </row>
    <row r="106" spans="7:7">
      <c r="G106" s="403"/>
    </row>
    <row r="107" spans="7:7">
      <c r="G107" s="403"/>
    </row>
    <row r="108" spans="7:7">
      <c r="G108" s="403"/>
    </row>
    <row r="109" spans="7:7">
      <c r="G109" s="403"/>
    </row>
    <row r="110" spans="7:7">
      <c r="G110" s="403"/>
    </row>
    <row r="111" spans="7:7">
      <c r="G111" s="403"/>
    </row>
    <row r="112" spans="7:7">
      <c r="G112" s="403"/>
    </row>
    <row r="113" spans="7:7">
      <c r="G113" s="403"/>
    </row>
    <row r="114" spans="7:7">
      <c r="G114" s="403"/>
    </row>
    <row r="115" spans="7:7">
      <c r="G115" s="403"/>
    </row>
    <row r="116" spans="7:7">
      <c r="G116" s="403"/>
    </row>
    <row r="117" spans="7:7">
      <c r="G117" s="403"/>
    </row>
    <row r="118" spans="7:7">
      <c r="G118" s="403"/>
    </row>
    <row r="119" spans="7:7">
      <c r="G119" s="403"/>
    </row>
    <row r="120" spans="7:7">
      <c r="G120" s="403"/>
    </row>
    <row r="121" spans="7:7">
      <c r="G121" s="403"/>
    </row>
    <row r="122" spans="7:7">
      <c r="G122" s="403"/>
    </row>
    <row r="123" spans="7:7">
      <c r="G123" s="403"/>
    </row>
    <row r="124" spans="7:7">
      <c r="G124" s="403"/>
    </row>
    <row r="125" spans="7:7">
      <c r="G125" s="403"/>
    </row>
    <row r="126" spans="7:7">
      <c r="G126" s="403"/>
    </row>
    <row r="127" spans="7:7">
      <c r="G127" s="403"/>
    </row>
    <row r="128" spans="7:7">
      <c r="G128" s="403"/>
    </row>
    <row r="129" spans="7:7">
      <c r="G129" s="403"/>
    </row>
    <row r="130" spans="7:7">
      <c r="G130" s="403"/>
    </row>
    <row r="131" spans="7:7">
      <c r="G131" s="403"/>
    </row>
    <row r="132" spans="7:7">
      <c r="G132" s="403"/>
    </row>
    <row r="133" spans="7:7">
      <c r="G133" s="403"/>
    </row>
    <row r="134" spans="7:7">
      <c r="G134" s="403"/>
    </row>
    <row r="135" spans="7:7">
      <c r="G135" s="403"/>
    </row>
    <row r="136" spans="7:7">
      <c r="G136" s="403"/>
    </row>
    <row r="137" spans="7:7">
      <c r="G137" s="403"/>
    </row>
    <row r="138" spans="7:7">
      <c r="G138" s="403"/>
    </row>
    <row r="139" spans="7:7">
      <c r="G139" s="403"/>
    </row>
    <row r="140" spans="7:7">
      <c r="G140" s="403"/>
    </row>
    <row r="141" spans="7:7">
      <c r="G141" s="403"/>
    </row>
    <row r="142" spans="7:7">
      <c r="G142" s="403"/>
    </row>
    <row r="143" spans="7:7">
      <c r="G143" s="403"/>
    </row>
    <row r="144" spans="7:7">
      <c r="G144" s="403"/>
    </row>
    <row r="145" spans="7:7">
      <c r="G145" s="403"/>
    </row>
    <row r="146" spans="7:7">
      <c r="G146" s="403"/>
    </row>
    <row r="147" spans="7:7">
      <c r="G147" s="403"/>
    </row>
    <row r="148" spans="7:7">
      <c r="G148" s="403"/>
    </row>
    <row r="149" spans="7:7">
      <c r="G149" s="403"/>
    </row>
    <row r="150" spans="7:7">
      <c r="G150" s="403"/>
    </row>
    <row r="151" spans="7:7">
      <c r="G151" s="403"/>
    </row>
    <row r="152" spans="7:7">
      <c r="G152" s="403"/>
    </row>
    <row r="153" spans="7:7">
      <c r="G153" s="403"/>
    </row>
    <row r="154" spans="7:7">
      <c r="G154" s="403"/>
    </row>
    <row r="155" spans="7:7">
      <c r="G155" s="403"/>
    </row>
    <row r="156" spans="7:7">
      <c r="G156" s="403"/>
    </row>
    <row r="157" spans="7:7">
      <c r="G157" s="403"/>
    </row>
    <row r="158" spans="7:7">
      <c r="G158" s="403"/>
    </row>
    <row r="159" spans="7:7">
      <c r="G159" s="403"/>
    </row>
    <row r="160" spans="7:7">
      <c r="G160" s="403"/>
    </row>
    <row r="161" spans="7:7">
      <c r="G161" s="403"/>
    </row>
    <row r="162" spans="7:7">
      <c r="G162" s="403"/>
    </row>
    <row r="163" spans="7:7">
      <c r="G163" s="403"/>
    </row>
    <row r="164" spans="7:7">
      <c r="G164" s="403"/>
    </row>
    <row r="165" spans="7:7">
      <c r="G165" s="403"/>
    </row>
    <row r="166" spans="7:7">
      <c r="G166" s="403"/>
    </row>
    <row r="167" spans="7:7">
      <c r="G167" s="403"/>
    </row>
    <row r="168" spans="7:7">
      <c r="G168" s="403"/>
    </row>
    <row r="169" spans="7:7">
      <c r="G169" s="403"/>
    </row>
    <row r="170" spans="7:7">
      <c r="G170" s="403"/>
    </row>
    <row r="171" spans="7:7">
      <c r="G171" s="403"/>
    </row>
    <row r="172" spans="7:7">
      <c r="G172" s="403"/>
    </row>
    <row r="173" spans="7:7">
      <c r="G173" s="403"/>
    </row>
    <row r="174" spans="7:7">
      <c r="G174" s="403"/>
    </row>
    <row r="175" spans="7:7">
      <c r="G175" s="403"/>
    </row>
    <row r="176" spans="7:7">
      <c r="G176" s="403"/>
    </row>
    <row r="177" spans="7:7">
      <c r="G177" s="403"/>
    </row>
    <row r="178" spans="7:7">
      <c r="G178" s="403"/>
    </row>
    <row r="179" spans="7:7">
      <c r="G179" s="403"/>
    </row>
    <row r="180" spans="7:7">
      <c r="G180" s="403"/>
    </row>
    <row r="181" spans="7:7">
      <c r="G181" s="403"/>
    </row>
    <row r="182" spans="7:7">
      <c r="G182" s="403"/>
    </row>
    <row r="183" spans="7:7">
      <c r="G183" s="403"/>
    </row>
    <row r="184" spans="7:7">
      <c r="G184" s="403"/>
    </row>
    <row r="185" spans="7:7">
      <c r="G185" s="403"/>
    </row>
    <row r="186" spans="7:7">
      <c r="G186" s="403"/>
    </row>
    <row r="187" spans="7:7">
      <c r="G187" s="403"/>
    </row>
    <row r="188" spans="7:7">
      <c r="G188" s="403"/>
    </row>
    <row r="189" spans="7:7">
      <c r="G189" s="403"/>
    </row>
    <row r="190" spans="7:7">
      <c r="G190" s="403"/>
    </row>
    <row r="191" spans="7:7">
      <c r="G191" s="403"/>
    </row>
    <row r="192" spans="7:7">
      <c r="G192" s="403"/>
    </row>
    <row r="193" spans="7:7">
      <c r="G193" s="403"/>
    </row>
    <row r="194" spans="7:7">
      <c r="G194" s="403"/>
    </row>
    <row r="195" spans="7:7">
      <c r="G195" s="403"/>
    </row>
    <row r="196" spans="7:7">
      <c r="G196" s="403"/>
    </row>
    <row r="197" spans="7:7">
      <c r="G197" s="403"/>
    </row>
    <row r="198" spans="7:7">
      <c r="G198" s="403"/>
    </row>
    <row r="199" spans="7:7">
      <c r="G199" s="403"/>
    </row>
    <row r="200" spans="7:7">
      <c r="G200" s="403"/>
    </row>
    <row r="201" spans="7:7">
      <c r="G201" s="403"/>
    </row>
    <row r="202" spans="7:7">
      <c r="G202" s="403"/>
    </row>
    <row r="203" spans="7:7">
      <c r="G203" s="403"/>
    </row>
    <row r="204" spans="7:7">
      <c r="G204" s="403"/>
    </row>
    <row r="205" spans="7:7">
      <c r="G205" s="403"/>
    </row>
    <row r="206" spans="7:7">
      <c r="G206" s="403"/>
    </row>
    <row r="207" spans="7:7">
      <c r="G207" s="403"/>
    </row>
    <row r="208" spans="7:7">
      <c r="G208" s="403"/>
    </row>
    <row r="209" spans="7:7">
      <c r="G209" s="403"/>
    </row>
    <row r="210" spans="7:7">
      <c r="G210" s="403"/>
    </row>
    <row r="211" spans="7:7">
      <c r="G211" s="403"/>
    </row>
    <row r="212" spans="7:7">
      <c r="G212" s="403"/>
    </row>
    <row r="213" spans="7:7">
      <c r="G213" s="403"/>
    </row>
    <row r="214" spans="7:7">
      <c r="G214" s="403"/>
    </row>
    <row r="215" spans="7:7">
      <c r="G215" s="403"/>
    </row>
    <row r="2159" spans="15:15" s="441" customFormat="1" ht="17.25">
      <c r="O2159" s="440"/>
    </row>
    <row r="2445" spans="2430:2430">
      <c r="COL2445" s="442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5" t="s">
        <v>304</v>
      </c>
    </row>
    <row r="19" spans="1:7">
      <c r="A19" s="16" t="s">
        <v>340</v>
      </c>
      <c r="D19" s="16" t="s">
        <v>558</v>
      </c>
      <c r="G19" s="149" t="s">
        <v>321</v>
      </c>
    </row>
    <row r="20" spans="1:7">
      <c r="A20" s="16" t="s">
        <v>333</v>
      </c>
      <c r="D20" s="16">
        <v>150</v>
      </c>
      <c r="G20" s="149" t="s">
        <v>322</v>
      </c>
    </row>
    <row r="21" spans="1:7">
      <c r="A21" s="16" t="s">
        <v>334</v>
      </c>
      <c r="D21" s="16">
        <v>200</v>
      </c>
      <c r="G21" s="149" t="s">
        <v>323</v>
      </c>
    </row>
    <row r="22" spans="1:7">
      <c r="A22" s="16" t="s">
        <v>335</v>
      </c>
      <c r="D22" s="16">
        <v>250</v>
      </c>
      <c r="G22" s="149" t="s">
        <v>324</v>
      </c>
    </row>
    <row r="23" spans="1:7">
      <c r="A23" s="16" t="s">
        <v>336</v>
      </c>
      <c r="D23" s="16">
        <v>1700</v>
      </c>
      <c r="G23" s="149" t="s">
        <v>325</v>
      </c>
    </row>
    <row r="24" spans="1:7">
      <c r="A24" s="16" t="s">
        <v>337</v>
      </c>
      <c r="G24" s="149" t="s">
        <v>326</v>
      </c>
    </row>
    <row r="25" spans="1:7">
      <c r="A25" s="16" t="s">
        <v>338</v>
      </c>
      <c r="G25" s="149" t="s">
        <v>327</v>
      </c>
    </row>
    <row r="26" spans="1:7">
      <c r="A26" s="16" t="s">
        <v>339</v>
      </c>
      <c r="G26" s="149" t="s">
        <v>328</v>
      </c>
    </row>
    <row r="27" spans="1:7">
      <c r="G27" s="149" t="s">
        <v>329</v>
      </c>
    </row>
    <row r="28" spans="1:7">
      <c r="G28" s="149" t="s">
        <v>330</v>
      </c>
    </row>
    <row r="29" spans="1:7">
      <c r="G29" s="149" t="s">
        <v>331</v>
      </c>
    </row>
    <row r="30" spans="1:7">
      <c r="G30" s="149" t="s">
        <v>332</v>
      </c>
    </row>
    <row r="31" spans="1:7">
      <c r="G31" s="161" t="s">
        <v>577</v>
      </c>
    </row>
    <row r="32" spans="1:7">
      <c r="G32" s="149" t="s">
        <v>586</v>
      </c>
    </row>
    <row r="33" spans="7:7">
      <c r="G33" s="149" t="s">
        <v>587</v>
      </c>
    </row>
    <row r="34" spans="7:7">
      <c r="G34" s="149" t="s">
        <v>593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D22" sqref="D22"/>
    </sheetView>
  </sheetViews>
  <sheetFormatPr defaultRowHeight="18" customHeight="1"/>
  <cols>
    <col min="1" max="1" width="21" style="73" customWidth="1"/>
    <col min="2" max="2" width="11.5546875" style="73" customWidth="1"/>
    <col min="3" max="3" width="13" style="73" customWidth="1"/>
    <col min="4" max="16384" width="8.88671875" style="76"/>
  </cols>
  <sheetData>
    <row r="1" spans="1:12" ht="18" customHeight="1">
      <c r="A1" s="73" t="s">
        <v>189</v>
      </c>
      <c r="B1" s="73" t="s">
        <v>190</v>
      </c>
      <c r="C1" s="73" t="s">
        <v>191</v>
      </c>
    </row>
    <row r="2" spans="1:12" ht="18" customHeight="1">
      <c r="A2" s="73" t="s">
        <v>188</v>
      </c>
      <c r="B2" s="75">
        <v>0.153</v>
      </c>
      <c r="C2" s="75">
        <v>0.70399999999999996</v>
      </c>
    </row>
    <row r="3" spans="1:12" ht="18" customHeight="1">
      <c r="A3" s="73" t="s">
        <v>180</v>
      </c>
      <c r="B3" s="75">
        <v>0.14499999999999999</v>
      </c>
      <c r="C3" s="75">
        <v>0.70499999999999996</v>
      </c>
    </row>
    <row r="4" spans="1:12" ht="18" customHeight="1">
      <c r="A4" s="73" t="s">
        <v>170</v>
      </c>
      <c r="B4" s="75">
        <v>0.161</v>
      </c>
      <c r="C4" s="75">
        <v>0.70699999999999996</v>
      </c>
      <c r="J4" s="76" t="s">
        <v>182</v>
      </c>
      <c r="K4" s="76">
        <f>INDEX(Location[recharge],MATCH(J4,Location[name],0))</f>
        <v>0.13900000000000001</v>
      </c>
      <c r="L4" s="76">
        <f>INDEX(Location[ratio], MATCH(J4,Location[name]))</f>
        <v>0.70499999999999996</v>
      </c>
    </row>
    <row r="5" spans="1:12" ht="18" customHeight="1">
      <c r="A5" s="73" t="s">
        <v>171</v>
      </c>
      <c r="B5" s="75">
        <v>0.157</v>
      </c>
      <c r="C5" s="75">
        <v>0.70599999999999996</v>
      </c>
    </row>
    <row r="6" spans="1:12" ht="18" customHeight="1">
      <c r="A6" s="73" t="s">
        <v>181</v>
      </c>
      <c r="B6" s="75">
        <v>0.13400000000000001</v>
      </c>
      <c r="C6" s="75">
        <v>0.70599999999999996</v>
      </c>
    </row>
    <row r="7" spans="1:12" ht="18" customHeight="1">
      <c r="A7" s="73" t="s">
        <v>183</v>
      </c>
      <c r="B7" s="75">
        <v>0.13900000000000001</v>
      </c>
      <c r="C7" s="75">
        <v>0.69299999999999995</v>
      </c>
      <c r="E7" s="76" t="s">
        <v>192</v>
      </c>
    </row>
    <row r="8" spans="1:12" ht="18" customHeight="1">
      <c r="A8" s="73" t="s">
        <v>184</v>
      </c>
      <c r="B8" s="75">
        <v>0.152</v>
      </c>
      <c r="C8" s="75">
        <v>0.68100000000000005</v>
      </c>
    </row>
    <row r="9" spans="1:12" ht="18" customHeight="1">
      <c r="A9" s="73" t="s">
        <v>172</v>
      </c>
      <c r="B9" s="75">
        <v>0.14699999999999999</v>
      </c>
      <c r="C9" s="75">
        <v>0.68899999999999995</v>
      </c>
    </row>
    <row r="10" spans="1:12" ht="18" customHeight="1">
      <c r="A10" s="73" t="s">
        <v>185</v>
      </c>
      <c r="B10" s="75">
        <v>0.17100000000000001</v>
      </c>
      <c r="C10" s="75">
        <v>0.72</v>
      </c>
    </row>
    <row r="11" spans="1:12" ht="18" customHeight="1">
      <c r="A11" s="73" t="s">
        <v>186</v>
      </c>
      <c r="B11" s="75">
        <v>0.17299999999999999</v>
      </c>
      <c r="C11" s="75">
        <v>0.70599999999999996</v>
      </c>
    </row>
    <row r="12" spans="1:12" ht="18" customHeight="1">
      <c r="A12" s="73" t="s">
        <v>187</v>
      </c>
      <c r="B12" s="75">
        <v>0.155</v>
      </c>
      <c r="C12" s="75">
        <v>0.69599999999999995</v>
      </c>
    </row>
    <row r="13" spans="1:12" ht="18" customHeight="1">
      <c r="A13" s="73" t="s">
        <v>200</v>
      </c>
      <c r="B13" s="75">
        <v>0.14099999999999999</v>
      </c>
      <c r="C13" s="75">
        <v>0.72399999999999998</v>
      </c>
    </row>
    <row r="14" spans="1:12" ht="18" customHeight="1">
      <c r="A14" s="73" t="s">
        <v>201</v>
      </c>
      <c r="B14" s="75">
        <v>0.128</v>
      </c>
      <c r="C14" s="75">
        <v>0.70599999999999996</v>
      </c>
    </row>
    <row r="15" spans="1:12" ht="18" customHeight="1">
      <c r="A15" s="73" t="s">
        <v>202</v>
      </c>
      <c r="B15" s="75">
        <v>0.16800000000000001</v>
      </c>
      <c r="C15" s="75">
        <v>0.67</v>
      </c>
    </row>
    <row r="16" spans="1:12" ht="18" customHeight="1">
      <c r="A16" s="73" t="s">
        <v>233</v>
      </c>
      <c r="B16" s="75">
        <v>0.153</v>
      </c>
      <c r="C16" s="75">
        <v>0.68100000000000005</v>
      </c>
    </row>
    <row r="17" spans="1:3" ht="18" customHeight="1">
      <c r="A17" s="73" t="s">
        <v>308</v>
      </c>
      <c r="B17" s="75">
        <v>0.13900000000000001</v>
      </c>
      <c r="C17" s="75">
        <v>0.70699999999999996</v>
      </c>
    </row>
    <row r="18" spans="1:3" ht="18" customHeight="1">
      <c r="A18" s="73" t="s">
        <v>804</v>
      </c>
      <c r="B18" s="75">
        <v>0.14299999999999999</v>
      </c>
      <c r="C18" s="75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Q7" sqref="Q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7" t="s">
        <v>266</v>
      </c>
    </row>
    <row r="4" spans="3:11" ht="40.5" customHeight="1">
      <c r="C4" s="154" t="s">
        <v>259</v>
      </c>
      <c r="D4" s="155" t="s">
        <v>243</v>
      </c>
      <c r="E4" s="155" t="s">
        <v>260</v>
      </c>
      <c r="F4" s="156" t="s">
        <v>265</v>
      </c>
      <c r="G4" s="155" t="s">
        <v>256</v>
      </c>
      <c r="H4" s="155" t="s">
        <v>261</v>
      </c>
      <c r="I4" s="155" t="s">
        <v>262</v>
      </c>
      <c r="J4" s="155" t="s">
        <v>263</v>
      </c>
      <c r="K4" s="157" t="s">
        <v>264</v>
      </c>
    </row>
    <row r="5" spans="3:11" ht="97.5" customHeight="1">
      <c r="C5" s="85" t="s">
        <v>219</v>
      </c>
      <c r="D5" s="113" t="s">
        <v>267</v>
      </c>
      <c r="E5" s="113" t="s">
        <v>268</v>
      </c>
      <c r="F5" s="113" t="s">
        <v>269</v>
      </c>
      <c r="G5" s="113" t="s">
        <v>831</v>
      </c>
      <c r="H5" s="113" t="s">
        <v>832</v>
      </c>
      <c r="I5" s="113" t="s">
        <v>833</v>
      </c>
      <c r="J5" s="113" t="s">
        <v>834</v>
      </c>
      <c r="K5" s="114" t="s">
        <v>835</v>
      </c>
    </row>
    <row r="6" spans="3:11" ht="97.5" customHeight="1">
      <c r="C6" s="85" t="s">
        <v>786</v>
      </c>
      <c r="D6" s="113" t="s">
        <v>267</v>
      </c>
      <c r="E6" s="113" t="s">
        <v>268</v>
      </c>
      <c r="F6" s="113" t="s">
        <v>269</v>
      </c>
      <c r="G6" s="113" t="s">
        <v>831</v>
      </c>
      <c r="H6" s="113" t="s">
        <v>836</v>
      </c>
      <c r="I6" s="113" t="s">
        <v>837</v>
      </c>
      <c r="J6" s="113" t="s">
        <v>838</v>
      </c>
      <c r="K6" s="114" t="s">
        <v>839</v>
      </c>
    </row>
    <row r="7" spans="3:11" ht="97.5" customHeight="1">
      <c r="C7" s="85" t="s">
        <v>787</v>
      </c>
      <c r="D7" s="113" t="s">
        <v>267</v>
      </c>
      <c r="E7" s="113" t="s">
        <v>268</v>
      </c>
      <c r="F7" s="113" t="s">
        <v>269</v>
      </c>
      <c r="G7" s="113" t="s">
        <v>831</v>
      </c>
      <c r="H7" s="113" t="s">
        <v>840</v>
      </c>
      <c r="I7" s="113" t="s">
        <v>841</v>
      </c>
      <c r="J7" s="113" t="s">
        <v>842</v>
      </c>
      <c r="K7" s="114" t="s">
        <v>843</v>
      </c>
    </row>
    <row r="8" spans="3:11" ht="97.5" customHeight="1">
      <c r="C8" s="85"/>
      <c r="D8" s="113"/>
      <c r="E8" s="113"/>
      <c r="F8" s="113"/>
      <c r="G8" s="113"/>
      <c r="H8" s="113"/>
      <c r="I8" s="113"/>
      <c r="J8" s="113"/>
      <c r="K8" s="114"/>
    </row>
    <row r="9" spans="3:11" ht="97.5" customHeight="1">
      <c r="C9" s="85"/>
      <c r="D9" s="113"/>
      <c r="E9" s="113"/>
      <c r="F9" s="113"/>
      <c r="G9" s="113"/>
      <c r="H9" s="113"/>
      <c r="I9" s="113"/>
      <c r="J9" s="113"/>
      <c r="K9" s="114"/>
    </row>
    <row r="10" spans="3:11" ht="97.5" customHeight="1">
      <c r="C10" s="85"/>
      <c r="D10" s="113"/>
      <c r="E10" s="113"/>
      <c r="F10" s="113"/>
      <c r="G10" s="113"/>
      <c r="H10" s="113"/>
      <c r="I10" s="113"/>
      <c r="J10" s="113"/>
      <c r="K10" s="114"/>
    </row>
    <row r="11" spans="3:11" ht="97.5" customHeight="1">
      <c r="C11" s="85"/>
      <c r="D11" s="113"/>
      <c r="E11" s="113"/>
      <c r="F11" s="113"/>
      <c r="G11" s="113"/>
      <c r="H11" s="113"/>
      <c r="I11" s="113"/>
      <c r="J11" s="113"/>
      <c r="K11" s="114"/>
    </row>
    <row r="12" spans="3:11" ht="97.5" customHeight="1">
      <c r="C12" s="85"/>
      <c r="D12" s="113"/>
      <c r="E12" s="113"/>
      <c r="F12" s="113"/>
      <c r="G12" s="113"/>
      <c r="H12" s="113"/>
      <c r="I12" s="113"/>
      <c r="J12" s="113"/>
      <c r="K12" s="114"/>
    </row>
    <row r="13" spans="3:11" ht="97.5" customHeight="1">
      <c r="C13" s="85"/>
      <c r="D13" s="113"/>
      <c r="E13" s="113"/>
      <c r="F13" s="113"/>
      <c r="G13" s="113"/>
      <c r="H13" s="113"/>
      <c r="I13" s="113"/>
      <c r="J13" s="113"/>
      <c r="K13" s="114"/>
    </row>
    <row r="14" spans="3:11" ht="97.5" customHeight="1">
      <c r="C14" s="85"/>
      <c r="D14" s="113"/>
      <c r="E14" s="113"/>
      <c r="F14" s="113"/>
      <c r="G14" s="113"/>
      <c r="H14" s="113"/>
      <c r="I14" s="113"/>
      <c r="J14" s="113"/>
      <c r="K14" s="114"/>
    </row>
    <row r="15" spans="3:11" ht="97.5" customHeight="1">
      <c r="C15" s="85"/>
      <c r="D15" s="113"/>
      <c r="E15" s="113"/>
      <c r="F15" s="113"/>
      <c r="G15" s="113"/>
      <c r="H15" s="113"/>
      <c r="I15" s="113"/>
      <c r="J15" s="113"/>
      <c r="K15" s="114"/>
    </row>
    <row r="16" spans="3:11" ht="97.5" customHeight="1">
      <c r="C16" s="85"/>
      <c r="D16" s="113"/>
      <c r="E16" s="113"/>
      <c r="F16" s="113"/>
      <c r="G16" s="113"/>
      <c r="H16" s="113"/>
      <c r="I16" s="113"/>
      <c r="J16" s="113"/>
      <c r="K16" s="114"/>
    </row>
    <row r="17" spans="3:11" ht="97.5" customHeight="1">
      <c r="C17" s="85"/>
      <c r="D17" s="113"/>
      <c r="E17" s="113"/>
      <c r="F17" s="113"/>
      <c r="G17" s="113"/>
      <c r="H17" s="113"/>
      <c r="I17" s="113"/>
      <c r="J17" s="113"/>
      <c r="K17" s="114"/>
    </row>
    <row r="18" spans="3:11" ht="97.5" customHeight="1">
      <c r="C18" s="85"/>
      <c r="D18" s="113"/>
      <c r="E18" s="113"/>
      <c r="F18" s="113"/>
      <c r="G18" s="113"/>
      <c r="H18" s="113"/>
      <c r="I18" s="113"/>
      <c r="J18" s="113"/>
      <c r="K18" s="114"/>
    </row>
    <row r="19" spans="3:11" ht="97.5" customHeight="1">
      <c r="C19" s="85"/>
      <c r="D19" s="113"/>
      <c r="E19" s="113"/>
      <c r="F19" s="113"/>
      <c r="G19" s="113"/>
      <c r="H19" s="113"/>
      <c r="I19" s="113"/>
      <c r="J19" s="113"/>
      <c r="K19" s="114"/>
    </row>
    <row r="20" spans="3:11" ht="97.5" customHeight="1">
      <c r="C20" s="85"/>
      <c r="D20" s="113"/>
      <c r="E20" s="113"/>
      <c r="F20" s="113"/>
      <c r="G20" s="113"/>
      <c r="H20" s="113"/>
      <c r="I20" s="113"/>
      <c r="J20" s="113"/>
      <c r="K20" s="114"/>
    </row>
    <row r="21" spans="3:11" ht="97.5" customHeight="1">
      <c r="C21" s="85"/>
      <c r="D21" s="113"/>
      <c r="E21" s="113"/>
      <c r="F21" s="113"/>
      <c r="G21" s="113"/>
      <c r="H21" s="113"/>
      <c r="I21" s="113"/>
      <c r="J21" s="113"/>
      <c r="K21" s="114"/>
    </row>
    <row r="22" spans="3:11" ht="97.5" customHeight="1">
      <c r="C22" s="85"/>
      <c r="D22" s="113"/>
      <c r="E22" s="113"/>
      <c r="F22" s="113"/>
      <c r="G22" s="113"/>
      <c r="H22" s="113"/>
      <c r="I22" s="113"/>
      <c r="J22" s="113"/>
      <c r="K22" s="114"/>
    </row>
    <row r="23" spans="3:11" ht="97.5" customHeight="1">
      <c r="C23" s="85"/>
      <c r="D23" s="113"/>
      <c r="E23" s="113"/>
      <c r="F23" s="113"/>
      <c r="G23" s="113"/>
      <c r="H23" s="113"/>
      <c r="I23" s="113"/>
      <c r="J23" s="113"/>
      <c r="K23" s="114"/>
    </row>
    <row r="24" spans="3:11" ht="97.5" customHeight="1">
      <c r="C24" s="85"/>
      <c r="D24" s="113"/>
      <c r="E24" s="113"/>
      <c r="F24" s="113"/>
      <c r="G24" s="113"/>
      <c r="H24" s="113"/>
      <c r="I24" s="113"/>
      <c r="J24" s="113"/>
      <c r="K24" s="114"/>
    </row>
    <row r="25" spans="3:11" ht="97.5" customHeight="1">
      <c r="C25" s="85"/>
      <c r="D25" s="113"/>
      <c r="E25" s="113"/>
      <c r="F25" s="113"/>
      <c r="G25" s="113"/>
      <c r="H25" s="113"/>
      <c r="I25" s="113"/>
      <c r="J25" s="113"/>
      <c r="K25" s="114"/>
    </row>
    <row r="26" spans="3:11" ht="97.5" customHeight="1">
      <c r="C26" s="85"/>
      <c r="D26" s="113"/>
      <c r="E26" s="113"/>
      <c r="F26" s="113"/>
      <c r="G26" s="113"/>
      <c r="H26" s="113"/>
      <c r="I26" s="113"/>
      <c r="J26" s="113"/>
      <c r="K26" s="114"/>
    </row>
    <row r="27" spans="3:11" ht="97.5" customHeight="1">
      <c r="C27" s="85"/>
      <c r="D27" s="113"/>
      <c r="E27" s="113"/>
      <c r="F27" s="113"/>
      <c r="G27" s="113"/>
      <c r="H27" s="113"/>
      <c r="I27" s="113"/>
      <c r="J27" s="113"/>
      <c r="K27" s="114"/>
    </row>
    <row r="28" spans="3:11" ht="97.5" customHeight="1">
      <c r="C28" s="85"/>
      <c r="D28" s="113"/>
      <c r="E28" s="113"/>
      <c r="F28" s="113"/>
      <c r="G28" s="113"/>
      <c r="H28" s="113"/>
      <c r="I28" s="113"/>
      <c r="J28" s="113"/>
      <c r="K28" s="114"/>
    </row>
    <row r="29" spans="3:11" ht="97.5" customHeight="1">
      <c r="C29" s="85"/>
      <c r="D29" s="113"/>
      <c r="E29" s="113"/>
      <c r="F29" s="113"/>
      <c r="G29" s="113"/>
      <c r="H29" s="113"/>
      <c r="I29" s="113"/>
      <c r="J29" s="113"/>
      <c r="K29" s="114"/>
    </row>
    <row r="30" spans="3:11" ht="97.5" customHeight="1">
      <c r="C30" s="85"/>
      <c r="D30" s="113"/>
      <c r="E30" s="113"/>
      <c r="F30" s="113"/>
      <c r="G30" s="113"/>
      <c r="H30" s="113"/>
      <c r="I30" s="113"/>
      <c r="J30" s="113"/>
      <c r="K30" s="114"/>
    </row>
    <row r="31" spans="3:11" ht="97.5" customHeight="1">
      <c r="C31" s="85"/>
      <c r="D31" s="113"/>
      <c r="E31" s="113"/>
      <c r="F31" s="113"/>
      <c r="G31" s="113"/>
      <c r="H31" s="113"/>
      <c r="I31" s="113"/>
      <c r="J31" s="113"/>
      <c r="K31" s="114"/>
    </row>
    <row r="32" spans="3:11" ht="97.5" customHeight="1">
      <c r="C32" s="85"/>
      <c r="D32" s="113"/>
      <c r="E32" s="113"/>
      <c r="F32" s="113"/>
      <c r="G32" s="113"/>
      <c r="H32" s="113"/>
      <c r="I32" s="113"/>
      <c r="J32" s="113"/>
      <c r="K32" s="114"/>
    </row>
    <row r="33" spans="3:11" ht="97.5" customHeight="1">
      <c r="C33" s="85"/>
      <c r="D33" s="113"/>
      <c r="E33" s="113"/>
      <c r="F33" s="113"/>
      <c r="G33" s="113"/>
      <c r="H33" s="113"/>
      <c r="I33" s="113"/>
      <c r="J33" s="113"/>
      <c r="K33" s="114"/>
    </row>
    <row r="34" spans="3:11" ht="97.5" customHeight="1">
      <c r="C34" s="85"/>
      <c r="D34" s="113"/>
      <c r="E34" s="113"/>
      <c r="F34" s="113"/>
      <c r="G34" s="113"/>
      <c r="H34" s="113"/>
      <c r="I34" s="113"/>
      <c r="J34" s="113"/>
      <c r="K34" s="114"/>
    </row>
    <row r="35" spans="3:11" ht="97.5" customHeight="1">
      <c r="C35" s="85"/>
      <c r="D35" s="109"/>
      <c r="E35" s="109"/>
      <c r="F35" s="109"/>
      <c r="G35" s="109"/>
      <c r="H35" s="109"/>
      <c r="I35" s="109"/>
      <c r="J35" s="109"/>
      <c r="K35" s="111"/>
    </row>
    <row r="36" spans="3:11" ht="97.5" customHeight="1" thickBot="1">
      <c r="C36" s="86"/>
      <c r="D36" s="110"/>
      <c r="E36" s="110"/>
      <c r="F36" s="110"/>
      <c r="G36" s="110"/>
      <c r="H36" s="110"/>
      <c r="I36" s="110"/>
      <c r="J36" s="110"/>
      <c r="K36" s="11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B20" sqref="B20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M13" sqref="M13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536" t="s">
        <v>247</v>
      </c>
      <c r="B4" s="537" t="s">
        <v>279</v>
      </c>
      <c r="C4" s="537" t="s">
        <v>280</v>
      </c>
      <c r="D4" s="537" t="s">
        <v>289</v>
      </c>
      <c r="E4" s="537" t="s">
        <v>297</v>
      </c>
      <c r="F4" s="537" t="s">
        <v>296</v>
      </c>
      <c r="G4" s="537" t="s">
        <v>281</v>
      </c>
      <c r="H4" s="538" t="s">
        <v>271</v>
      </c>
      <c r="I4" s="537" t="s">
        <v>282</v>
      </c>
      <c r="J4" s="537" t="s">
        <v>283</v>
      </c>
      <c r="K4" s="537" t="s">
        <v>287</v>
      </c>
      <c r="L4" s="537" t="s">
        <v>286</v>
      </c>
      <c r="M4" s="537" t="s">
        <v>284</v>
      </c>
      <c r="N4" s="537" t="s">
        <v>277</v>
      </c>
      <c r="O4" s="538" t="s">
        <v>272</v>
      </c>
      <c r="P4" s="538" t="s">
        <v>273</v>
      </c>
      <c r="Q4" s="537" t="s">
        <v>285</v>
      </c>
      <c r="R4" s="537" t="s">
        <v>290</v>
      </c>
      <c r="S4" s="537" t="s">
        <v>291</v>
      </c>
      <c r="T4" s="538" t="s">
        <v>276</v>
      </c>
      <c r="U4" s="539" t="s">
        <v>288</v>
      </c>
      <c r="V4" s="538" t="s">
        <v>274</v>
      </c>
      <c r="W4" s="538" t="s">
        <v>275</v>
      </c>
      <c r="X4" s="538" t="s">
        <v>278</v>
      </c>
      <c r="Y4" s="537" t="s">
        <v>294</v>
      </c>
      <c r="Z4" s="537" t="s">
        <v>295</v>
      </c>
      <c r="AA4" s="537" t="s">
        <v>302</v>
      </c>
      <c r="AB4" s="537" t="s">
        <v>303</v>
      </c>
      <c r="AC4" s="537" t="s">
        <v>298</v>
      </c>
      <c r="AD4" s="537" t="s">
        <v>292</v>
      </c>
      <c r="AE4" s="537" t="s">
        <v>293</v>
      </c>
      <c r="AF4" s="537" t="s">
        <v>299</v>
      </c>
      <c r="AG4" s="538" t="s">
        <v>300</v>
      </c>
      <c r="AH4" s="538" t="s">
        <v>301</v>
      </c>
      <c r="AI4" s="538" t="s">
        <v>572</v>
      </c>
      <c r="AJ4" s="538" t="s">
        <v>571</v>
      </c>
      <c r="AK4" s="538" t="s">
        <v>573</v>
      </c>
      <c r="AL4" s="538" t="s">
        <v>574</v>
      </c>
      <c r="AM4" s="538" t="s">
        <v>575</v>
      </c>
      <c r="AN4" s="538" t="s">
        <v>753</v>
      </c>
      <c r="AO4" s="538" t="s">
        <v>754</v>
      </c>
      <c r="AP4" s="538" t="s">
        <v>747</v>
      </c>
      <c r="AQ4" s="531" t="s">
        <v>748</v>
      </c>
      <c r="AR4" s="552" t="s">
        <v>752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40" t="s">
        <v>219</v>
      </c>
      <c r="B5" s="541">
        <v>11.35</v>
      </c>
      <c r="C5" s="541">
        <v>38.270000000000003</v>
      </c>
      <c r="D5" s="541">
        <v>13.282035095417495</v>
      </c>
      <c r="E5" s="541">
        <v>24.987964904582508</v>
      </c>
      <c r="F5" s="541">
        <v>26.92</v>
      </c>
      <c r="G5" s="545">
        <v>150</v>
      </c>
      <c r="H5" s="682">
        <v>7.4999999999999997E-2</v>
      </c>
      <c r="I5" s="683">
        <v>500</v>
      </c>
      <c r="J5" s="683">
        <v>36</v>
      </c>
      <c r="K5" s="683">
        <v>100</v>
      </c>
      <c r="L5" s="541">
        <v>3.9234870018388648</v>
      </c>
      <c r="M5" s="684">
        <v>5</v>
      </c>
      <c r="N5" s="541">
        <v>464</v>
      </c>
      <c r="O5" s="542">
        <v>2.8660000000000001</v>
      </c>
      <c r="P5" s="542">
        <v>1.466</v>
      </c>
      <c r="Q5" s="542">
        <v>2.1659999999999999</v>
      </c>
      <c r="R5" s="543">
        <v>6.8330000000000002E-2</v>
      </c>
      <c r="S5" s="543">
        <v>1.7789999999999999E-4</v>
      </c>
      <c r="T5" s="542">
        <v>4.6600000000000001E-3</v>
      </c>
      <c r="U5" s="544">
        <v>0.375</v>
      </c>
      <c r="V5" s="541">
        <v>39.799999999999997</v>
      </c>
      <c r="W5" s="541">
        <v>48.8</v>
      </c>
      <c r="X5" s="541">
        <v>101.4</v>
      </c>
      <c r="Y5" s="542">
        <v>-2.9757780310988386</v>
      </c>
      <c r="Z5" s="542">
        <v>1.47</v>
      </c>
      <c r="AA5" s="683">
        <v>114</v>
      </c>
      <c r="AB5" s="541">
        <v>102.54231258880085</v>
      </c>
      <c r="AC5" s="541">
        <v>62</v>
      </c>
      <c r="AD5" s="541">
        <v>11.26</v>
      </c>
      <c r="AE5" s="541">
        <v>23.95</v>
      </c>
      <c r="AF5" s="541">
        <v>5.3950000000000005E-4</v>
      </c>
      <c r="AG5" s="541">
        <v>0.14763190000000001</v>
      </c>
      <c r="AH5" s="546">
        <v>0.89473684210526316</v>
      </c>
      <c r="AI5" s="542">
        <v>6.3520341974657759</v>
      </c>
      <c r="AJ5" s="542">
        <v>5.0000000000000001E-4</v>
      </c>
      <c r="AK5" s="535" t="s">
        <v>248</v>
      </c>
      <c r="AL5" s="542">
        <v>0.13439999999999999</v>
      </c>
      <c r="AM5" s="542">
        <v>0.1348</v>
      </c>
      <c r="AN5" s="542">
        <v>0.87680000000000002</v>
      </c>
      <c r="AO5" s="535" t="s">
        <v>829</v>
      </c>
      <c r="AP5" s="535" t="s">
        <v>323</v>
      </c>
      <c r="AQ5" s="532">
        <v>82.54</v>
      </c>
      <c r="AR5" s="547" t="s">
        <v>830</v>
      </c>
    </row>
    <row r="6" spans="1:702" ht="23.1" customHeight="1">
      <c r="A6" s="540" t="s">
        <v>786</v>
      </c>
      <c r="B6" s="541">
        <v>10.11</v>
      </c>
      <c r="C6" s="541">
        <v>54.37</v>
      </c>
      <c r="D6" s="541">
        <v>12.244038655722175</v>
      </c>
      <c r="E6" s="541">
        <v>42.125961344277826</v>
      </c>
      <c r="F6" s="541">
        <v>44.26</v>
      </c>
      <c r="G6" s="545">
        <v>200</v>
      </c>
      <c r="H6" s="682">
        <v>0.1</v>
      </c>
      <c r="I6" s="683">
        <v>200</v>
      </c>
      <c r="J6" s="683">
        <v>12</v>
      </c>
      <c r="K6" s="683">
        <v>250</v>
      </c>
      <c r="L6" s="541">
        <v>5.5295270418134734</v>
      </c>
      <c r="M6" s="684">
        <v>7.5</v>
      </c>
      <c r="N6" s="541">
        <v>188</v>
      </c>
      <c r="O6" s="542">
        <v>4.21</v>
      </c>
      <c r="P6" s="542">
        <v>3.4089999999999998</v>
      </c>
      <c r="Q6" s="542">
        <v>3.8094999999999999</v>
      </c>
      <c r="R6" s="543">
        <v>8.0240000000000006E-2</v>
      </c>
      <c r="S6" s="543">
        <v>1.9819999999999999E-4</v>
      </c>
      <c r="T6" s="542">
        <v>2.026E-2</v>
      </c>
      <c r="U6" s="544">
        <v>0.41660000000000003</v>
      </c>
      <c r="V6" s="541">
        <v>106.3</v>
      </c>
      <c r="W6" s="541">
        <v>130.19999999999999</v>
      </c>
      <c r="X6" s="541">
        <v>134.19999999999999</v>
      </c>
      <c r="Y6" s="542">
        <v>-3.0019290899323217</v>
      </c>
      <c r="Z6" s="542">
        <v>2.012</v>
      </c>
      <c r="AA6" s="683">
        <v>287</v>
      </c>
      <c r="AB6" s="541">
        <v>259.6547776648431</v>
      </c>
      <c r="AC6" s="541">
        <v>157</v>
      </c>
      <c r="AD6" s="541">
        <v>18.52</v>
      </c>
      <c r="AE6" s="541">
        <v>39.39</v>
      </c>
      <c r="AF6" s="541">
        <v>1.4770000000000001E-4</v>
      </c>
      <c r="AG6" s="541">
        <v>9.43248E-2</v>
      </c>
      <c r="AH6" s="546">
        <v>0.90243902439024393</v>
      </c>
      <c r="AI6" s="542">
        <v>6.3520341974657759</v>
      </c>
      <c r="AJ6" s="542">
        <v>5.0000000000000001E-4</v>
      </c>
      <c r="AK6" s="535" t="s">
        <v>248</v>
      </c>
      <c r="AL6" s="542">
        <v>1.1292</v>
      </c>
      <c r="AM6" s="542">
        <v>1.1312</v>
      </c>
      <c r="AN6" s="542">
        <v>1.2667999999999999</v>
      </c>
      <c r="AO6" s="535" t="s">
        <v>868</v>
      </c>
      <c r="AP6" s="535" t="s">
        <v>325</v>
      </c>
      <c r="AQ6" s="532">
        <v>28.58</v>
      </c>
      <c r="AR6" s="547" t="s">
        <v>869</v>
      </c>
    </row>
    <row r="7" spans="1:702" ht="23.1" customHeight="1">
      <c r="A7" s="540"/>
      <c r="B7" s="541"/>
      <c r="C7" s="541"/>
      <c r="D7" s="541"/>
      <c r="E7" s="541"/>
      <c r="F7" s="541"/>
      <c r="G7" s="545"/>
      <c r="H7" s="682"/>
      <c r="I7" s="683"/>
      <c r="J7" s="683"/>
      <c r="K7" s="683"/>
      <c r="L7" s="541"/>
      <c r="M7" s="684"/>
      <c r="N7" s="541"/>
      <c r="O7" s="542"/>
      <c r="P7" s="542"/>
      <c r="Q7" s="542"/>
      <c r="R7" s="543"/>
      <c r="S7" s="543"/>
      <c r="T7" s="542"/>
      <c r="U7" s="544"/>
      <c r="V7" s="541"/>
      <c r="W7" s="541"/>
      <c r="X7" s="541"/>
      <c r="Y7" s="542"/>
      <c r="Z7" s="542"/>
      <c r="AA7" s="683"/>
      <c r="AB7" s="541"/>
      <c r="AC7" s="541"/>
      <c r="AD7" s="541"/>
      <c r="AE7" s="541"/>
      <c r="AF7" s="541"/>
      <c r="AG7" s="541"/>
      <c r="AH7" s="546"/>
      <c r="AI7" s="542"/>
      <c r="AJ7" s="542"/>
      <c r="AK7" s="535"/>
      <c r="AL7" s="542"/>
      <c r="AM7" s="542"/>
      <c r="AN7" s="542"/>
      <c r="AO7" s="535"/>
      <c r="AP7" s="535"/>
      <c r="AQ7" s="532"/>
      <c r="AR7" s="547"/>
    </row>
    <row r="8" spans="1:702" ht="23.1" customHeight="1">
      <c r="A8" s="540"/>
      <c r="B8" s="541"/>
      <c r="C8" s="541"/>
      <c r="D8" s="541"/>
      <c r="E8" s="541"/>
      <c r="F8" s="541"/>
      <c r="G8" s="545"/>
      <c r="H8" s="682"/>
      <c r="I8" s="683"/>
      <c r="J8" s="683"/>
      <c r="K8" s="683"/>
      <c r="L8" s="541"/>
      <c r="M8" s="684"/>
      <c r="N8" s="541"/>
      <c r="O8" s="542"/>
      <c r="P8" s="542"/>
      <c r="Q8" s="542"/>
      <c r="R8" s="543"/>
      <c r="S8" s="543"/>
      <c r="T8" s="542"/>
      <c r="U8" s="544"/>
      <c r="V8" s="541"/>
      <c r="W8" s="541"/>
      <c r="X8" s="541"/>
      <c r="Y8" s="542"/>
      <c r="Z8" s="542"/>
      <c r="AA8" s="683"/>
      <c r="AB8" s="541"/>
      <c r="AC8" s="541"/>
      <c r="AD8" s="541"/>
      <c r="AE8" s="541"/>
      <c r="AF8" s="541"/>
      <c r="AG8" s="541"/>
      <c r="AH8" s="546"/>
      <c r="AI8" s="542"/>
      <c r="AJ8" s="542"/>
      <c r="AK8" s="535"/>
      <c r="AL8" s="542"/>
      <c r="AM8" s="542"/>
      <c r="AN8" s="542"/>
      <c r="AO8" s="535"/>
      <c r="AP8" s="535"/>
      <c r="AQ8" s="532"/>
      <c r="AR8" s="547"/>
    </row>
    <row r="9" spans="1:702" ht="23.1" customHeight="1">
      <c r="A9" s="540"/>
      <c r="B9" s="541"/>
      <c r="C9" s="541"/>
      <c r="D9" s="541"/>
      <c r="E9" s="541"/>
      <c r="F9" s="541"/>
      <c r="G9" s="545"/>
      <c r="H9" s="682"/>
      <c r="I9" s="683"/>
      <c r="J9" s="683"/>
      <c r="K9" s="683"/>
      <c r="L9" s="541"/>
      <c r="M9" s="684"/>
      <c r="N9" s="541"/>
      <c r="O9" s="542"/>
      <c r="P9" s="542"/>
      <c r="Q9" s="542"/>
      <c r="R9" s="543"/>
      <c r="S9" s="543"/>
      <c r="T9" s="542"/>
      <c r="U9" s="544"/>
      <c r="V9" s="541"/>
      <c r="W9" s="541"/>
      <c r="X9" s="541"/>
      <c r="Y9" s="542"/>
      <c r="Z9" s="542"/>
      <c r="AA9" s="683"/>
      <c r="AB9" s="541"/>
      <c r="AC9" s="541"/>
      <c r="AD9" s="541"/>
      <c r="AE9" s="541"/>
      <c r="AF9" s="541"/>
      <c r="AG9" s="541"/>
      <c r="AH9" s="546"/>
      <c r="AI9" s="542"/>
      <c r="AJ9" s="542"/>
      <c r="AK9" s="535"/>
      <c r="AL9" s="542"/>
      <c r="AM9" s="542"/>
      <c r="AN9" s="542"/>
      <c r="AO9" s="535"/>
      <c r="AP9" s="535"/>
      <c r="AQ9" s="532"/>
      <c r="AR9" s="547"/>
    </row>
    <row r="10" spans="1:702" ht="23.1" customHeight="1">
      <c r="A10" s="540"/>
      <c r="B10" s="541"/>
      <c r="C10" s="541"/>
      <c r="D10" s="541"/>
      <c r="E10" s="541"/>
      <c r="F10" s="541"/>
      <c r="G10" s="545"/>
      <c r="H10" s="682"/>
      <c r="I10" s="683"/>
      <c r="J10" s="683"/>
      <c r="K10" s="683"/>
      <c r="L10" s="541"/>
      <c r="M10" s="684"/>
      <c r="N10" s="541"/>
      <c r="O10" s="542"/>
      <c r="P10" s="542"/>
      <c r="Q10" s="542"/>
      <c r="R10" s="543"/>
      <c r="S10" s="543"/>
      <c r="T10" s="542"/>
      <c r="U10" s="544"/>
      <c r="V10" s="541"/>
      <c r="W10" s="541"/>
      <c r="X10" s="541"/>
      <c r="Y10" s="542"/>
      <c r="Z10" s="542"/>
      <c r="AA10" s="683"/>
      <c r="AB10" s="541"/>
      <c r="AC10" s="541"/>
      <c r="AD10" s="541"/>
      <c r="AE10" s="541"/>
      <c r="AF10" s="541"/>
      <c r="AG10" s="541"/>
      <c r="AH10" s="546"/>
      <c r="AI10" s="542"/>
      <c r="AJ10" s="542"/>
      <c r="AK10" s="535"/>
      <c r="AL10" s="542"/>
      <c r="AM10" s="542"/>
      <c r="AN10" s="542"/>
      <c r="AO10" s="535"/>
      <c r="AP10" s="535"/>
      <c r="AQ10" s="532"/>
      <c r="AR10" s="547"/>
    </row>
    <row r="11" spans="1:702" ht="23.1" customHeight="1">
      <c r="A11" s="540"/>
      <c r="B11" s="541"/>
      <c r="C11" s="541"/>
      <c r="D11" s="541"/>
      <c r="E11" s="541"/>
      <c r="F11" s="541"/>
      <c r="G11" s="545"/>
      <c r="H11" s="682"/>
      <c r="I11" s="683"/>
      <c r="J11" s="683"/>
      <c r="K11" s="683"/>
      <c r="L11" s="541"/>
      <c r="M11" s="684"/>
      <c r="N11" s="541"/>
      <c r="O11" s="542"/>
      <c r="P11" s="542"/>
      <c r="Q11" s="542"/>
      <c r="R11" s="543"/>
      <c r="S11" s="543"/>
      <c r="T11" s="542"/>
      <c r="U11" s="544"/>
      <c r="V11" s="541"/>
      <c r="W11" s="541"/>
      <c r="X11" s="541"/>
      <c r="Y11" s="542"/>
      <c r="Z11" s="542"/>
      <c r="AA11" s="683"/>
      <c r="AB11" s="541"/>
      <c r="AC11" s="541"/>
      <c r="AD11" s="541"/>
      <c r="AE11" s="541"/>
      <c r="AF11" s="541"/>
      <c r="AG11" s="541"/>
      <c r="AH11" s="546"/>
      <c r="AI11" s="542"/>
      <c r="AJ11" s="542"/>
      <c r="AK11" s="535"/>
      <c r="AL11" s="542"/>
      <c r="AM11" s="542"/>
      <c r="AN11" s="542"/>
      <c r="AO11" s="535"/>
      <c r="AP11" s="535"/>
      <c r="AQ11" s="532"/>
      <c r="AR11" s="547"/>
    </row>
    <row r="12" spans="1:702" ht="23.1" customHeight="1">
      <c r="A12" s="540"/>
      <c r="B12" s="541"/>
      <c r="C12" s="541"/>
      <c r="D12" s="541"/>
      <c r="E12" s="541"/>
      <c r="F12" s="541"/>
      <c r="G12" s="545"/>
      <c r="H12" s="682"/>
      <c r="I12" s="683"/>
      <c r="J12" s="683"/>
      <c r="K12" s="683"/>
      <c r="L12" s="541"/>
      <c r="M12" s="684"/>
      <c r="N12" s="541"/>
      <c r="O12" s="542"/>
      <c r="P12" s="542"/>
      <c r="Q12" s="542"/>
      <c r="R12" s="543"/>
      <c r="S12" s="543"/>
      <c r="T12" s="542"/>
      <c r="U12" s="544"/>
      <c r="V12" s="541"/>
      <c r="W12" s="541"/>
      <c r="X12" s="541"/>
      <c r="Y12" s="542"/>
      <c r="Z12" s="542"/>
      <c r="AA12" s="683"/>
      <c r="AB12" s="541"/>
      <c r="AC12" s="541"/>
      <c r="AD12" s="541"/>
      <c r="AE12" s="541"/>
      <c r="AF12" s="541"/>
      <c r="AG12" s="541"/>
      <c r="AH12" s="546"/>
      <c r="AI12" s="542"/>
      <c r="AJ12" s="542"/>
      <c r="AK12" s="535"/>
      <c r="AL12" s="542"/>
      <c r="AM12" s="542"/>
      <c r="AN12" s="542"/>
      <c r="AO12" s="535"/>
      <c r="AP12" s="535"/>
      <c r="AQ12" s="532"/>
      <c r="AR12" s="547"/>
    </row>
    <row r="13" spans="1:702" ht="23.1" customHeight="1">
      <c r="A13" s="540"/>
      <c r="B13" s="541"/>
      <c r="C13" s="541"/>
      <c r="D13" s="541"/>
      <c r="E13" s="541"/>
      <c r="F13" s="541"/>
      <c r="G13" s="545"/>
      <c r="H13" s="682"/>
      <c r="I13" s="683"/>
      <c r="J13" s="683"/>
      <c r="K13" s="683"/>
      <c r="L13" s="541"/>
      <c r="M13" s="684"/>
      <c r="N13" s="541"/>
      <c r="O13" s="542"/>
      <c r="P13" s="542"/>
      <c r="Q13" s="542"/>
      <c r="R13" s="543"/>
      <c r="S13" s="543"/>
      <c r="T13" s="542"/>
      <c r="U13" s="544"/>
      <c r="V13" s="541"/>
      <c r="W13" s="541"/>
      <c r="X13" s="541"/>
      <c r="Y13" s="542"/>
      <c r="Z13" s="542"/>
      <c r="AA13" s="683"/>
      <c r="AB13" s="541"/>
      <c r="AC13" s="541"/>
      <c r="AD13" s="541"/>
      <c r="AE13" s="541"/>
      <c r="AF13" s="541"/>
      <c r="AG13" s="541"/>
      <c r="AH13" s="546"/>
      <c r="AI13" s="542"/>
      <c r="AJ13" s="542"/>
      <c r="AK13" s="535"/>
      <c r="AL13" s="542"/>
      <c r="AM13" s="542"/>
      <c r="AN13" s="542"/>
      <c r="AO13" s="535"/>
      <c r="AP13" s="535"/>
      <c r="AQ13" s="532"/>
      <c r="AR13" s="547"/>
    </row>
    <row r="14" spans="1:702" ht="23.1" customHeight="1">
      <c r="A14" s="540"/>
      <c r="B14" s="541"/>
      <c r="C14" s="541"/>
      <c r="D14" s="541"/>
      <c r="E14" s="541"/>
      <c r="F14" s="541"/>
      <c r="G14" s="545"/>
      <c r="H14" s="682"/>
      <c r="I14" s="683"/>
      <c r="J14" s="683"/>
      <c r="K14" s="683"/>
      <c r="L14" s="541"/>
      <c r="M14" s="684"/>
      <c r="N14" s="541"/>
      <c r="O14" s="542"/>
      <c r="P14" s="542"/>
      <c r="Q14" s="542"/>
      <c r="R14" s="543"/>
      <c r="S14" s="543"/>
      <c r="T14" s="542"/>
      <c r="U14" s="544"/>
      <c r="V14" s="541"/>
      <c r="W14" s="541"/>
      <c r="X14" s="541"/>
      <c r="Y14" s="542"/>
      <c r="Z14" s="542"/>
      <c r="AA14" s="683"/>
      <c r="AB14" s="541"/>
      <c r="AC14" s="541"/>
      <c r="AD14" s="541"/>
      <c r="AE14" s="541"/>
      <c r="AF14" s="541"/>
      <c r="AG14" s="541"/>
      <c r="AH14" s="546"/>
      <c r="AI14" s="542"/>
      <c r="AJ14" s="542"/>
      <c r="AK14" s="535"/>
      <c r="AL14" s="542"/>
      <c r="AM14" s="542"/>
      <c r="AN14" s="542"/>
      <c r="AO14" s="535"/>
      <c r="AP14" s="535"/>
      <c r="AQ14" s="532"/>
      <c r="AR14" s="547"/>
    </row>
    <row r="15" spans="1:702" ht="23.1" customHeight="1">
      <c r="A15" s="540"/>
      <c r="B15" s="541"/>
      <c r="C15" s="541"/>
      <c r="D15" s="541"/>
      <c r="E15" s="541"/>
      <c r="F15" s="541"/>
      <c r="G15" s="545"/>
      <c r="H15" s="682"/>
      <c r="I15" s="683"/>
      <c r="J15" s="683"/>
      <c r="K15" s="683"/>
      <c r="L15" s="541"/>
      <c r="M15" s="684"/>
      <c r="N15" s="541"/>
      <c r="O15" s="542"/>
      <c r="P15" s="542"/>
      <c r="Q15" s="542"/>
      <c r="R15" s="543"/>
      <c r="S15" s="543"/>
      <c r="T15" s="542"/>
      <c r="U15" s="544"/>
      <c r="V15" s="541"/>
      <c r="W15" s="541"/>
      <c r="X15" s="541"/>
      <c r="Y15" s="542"/>
      <c r="Z15" s="542"/>
      <c r="AA15" s="683"/>
      <c r="AB15" s="541"/>
      <c r="AC15" s="541"/>
      <c r="AD15" s="541"/>
      <c r="AE15" s="541"/>
      <c r="AF15" s="541"/>
      <c r="AG15" s="541"/>
      <c r="AH15" s="546"/>
      <c r="AI15" s="542"/>
      <c r="AJ15" s="542"/>
      <c r="AK15" s="535"/>
      <c r="AL15" s="542"/>
      <c r="AM15" s="542"/>
      <c r="AN15" s="542"/>
      <c r="AO15" s="535"/>
      <c r="AP15" s="535"/>
      <c r="AQ15" s="532"/>
      <c r="AR15" s="547"/>
    </row>
    <row r="16" spans="1:702" ht="23.1" customHeight="1">
      <c r="A16" s="540"/>
      <c r="B16" s="535"/>
      <c r="C16" s="535"/>
      <c r="D16" s="541"/>
      <c r="E16" s="541"/>
      <c r="F16" s="535"/>
      <c r="G16" s="535"/>
      <c r="H16" s="535"/>
      <c r="I16" s="535"/>
      <c r="J16" s="535"/>
      <c r="K16" s="535"/>
      <c r="L16" s="541"/>
      <c r="M16" s="535"/>
      <c r="N16" s="535"/>
      <c r="O16" s="542"/>
      <c r="P16" s="542"/>
      <c r="Q16" s="542"/>
      <c r="R16" s="535"/>
      <c r="S16" s="543"/>
      <c r="T16" s="535"/>
      <c r="U16" s="548"/>
      <c r="V16" s="541"/>
      <c r="W16" s="541"/>
      <c r="X16" s="541"/>
      <c r="Y16" s="542"/>
      <c r="Z16" s="542"/>
      <c r="AA16" s="545"/>
      <c r="AB16" s="541"/>
      <c r="AC16" s="541"/>
      <c r="AD16" s="541"/>
      <c r="AE16" s="541"/>
      <c r="AF16" s="535"/>
      <c r="AG16" s="535"/>
      <c r="AH16" s="546"/>
      <c r="AI16" s="542"/>
      <c r="AJ16" s="542"/>
      <c r="AK16" s="535"/>
      <c r="AL16" s="535"/>
      <c r="AM16" s="535"/>
      <c r="AN16" s="535"/>
      <c r="AO16" s="535"/>
      <c r="AP16" s="535"/>
      <c r="AQ16" s="532"/>
      <c r="AR16" s="547"/>
    </row>
    <row r="17" spans="1:44" ht="23.1" customHeight="1">
      <c r="A17" s="540"/>
      <c r="B17" s="535"/>
      <c r="C17" s="535"/>
      <c r="D17" s="541"/>
      <c r="E17" s="541"/>
      <c r="F17" s="535"/>
      <c r="G17" s="535"/>
      <c r="H17" s="535"/>
      <c r="I17" s="535"/>
      <c r="J17" s="535"/>
      <c r="K17" s="535"/>
      <c r="L17" s="541"/>
      <c r="M17" s="535"/>
      <c r="N17" s="535"/>
      <c r="O17" s="542"/>
      <c r="P17" s="542"/>
      <c r="Q17" s="542"/>
      <c r="R17" s="535"/>
      <c r="S17" s="543"/>
      <c r="T17" s="535"/>
      <c r="U17" s="548"/>
      <c r="V17" s="541"/>
      <c r="W17" s="541"/>
      <c r="X17" s="541"/>
      <c r="Y17" s="542"/>
      <c r="Z17" s="542"/>
      <c r="AA17" s="545"/>
      <c r="AB17" s="541"/>
      <c r="AC17" s="541"/>
      <c r="AD17" s="541"/>
      <c r="AE17" s="541"/>
      <c r="AF17" s="535"/>
      <c r="AG17" s="535"/>
      <c r="AH17" s="546"/>
      <c r="AI17" s="542"/>
      <c r="AJ17" s="542"/>
      <c r="AK17" s="535"/>
      <c r="AL17" s="535"/>
      <c r="AM17" s="535"/>
      <c r="AN17" s="535"/>
      <c r="AO17" s="535"/>
      <c r="AP17" s="535"/>
      <c r="AQ17" s="532"/>
      <c r="AR17" s="547"/>
    </row>
    <row r="18" spans="1:44" ht="23.1" customHeight="1">
      <c r="A18" s="540"/>
      <c r="B18" s="535"/>
      <c r="C18" s="535"/>
      <c r="D18" s="541"/>
      <c r="E18" s="541"/>
      <c r="F18" s="535"/>
      <c r="G18" s="535"/>
      <c r="H18" s="535"/>
      <c r="I18" s="535"/>
      <c r="J18" s="535"/>
      <c r="K18" s="535"/>
      <c r="L18" s="541"/>
      <c r="M18" s="535"/>
      <c r="N18" s="535"/>
      <c r="O18" s="542"/>
      <c r="P18" s="542"/>
      <c r="Q18" s="542"/>
      <c r="R18" s="535"/>
      <c r="S18" s="543"/>
      <c r="T18" s="535"/>
      <c r="U18" s="548"/>
      <c r="V18" s="541"/>
      <c r="W18" s="541"/>
      <c r="X18" s="541"/>
      <c r="Y18" s="542"/>
      <c r="Z18" s="542"/>
      <c r="AA18" s="545"/>
      <c r="AB18" s="541"/>
      <c r="AC18" s="541"/>
      <c r="AD18" s="541"/>
      <c r="AE18" s="541"/>
      <c r="AF18" s="535"/>
      <c r="AG18" s="535"/>
      <c r="AH18" s="546"/>
      <c r="AI18" s="542"/>
      <c r="AJ18" s="542"/>
      <c r="AK18" s="535"/>
      <c r="AL18" s="535"/>
      <c r="AM18" s="535"/>
      <c r="AN18" s="535"/>
      <c r="AO18" s="535"/>
      <c r="AP18" s="535"/>
      <c r="AQ18" s="532"/>
      <c r="AR18" s="547"/>
    </row>
    <row r="19" spans="1:44" ht="23.1" customHeight="1">
      <c r="A19" s="540"/>
      <c r="B19" s="535"/>
      <c r="C19" s="535"/>
      <c r="D19" s="535"/>
      <c r="E19" s="535"/>
      <c r="F19" s="535"/>
      <c r="G19" s="535"/>
      <c r="H19" s="535"/>
      <c r="I19" s="535"/>
      <c r="J19" s="535"/>
      <c r="K19" s="535"/>
      <c r="L19" s="535"/>
      <c r="M19" s="535"/>
      <c r="N19" s="535"/>
      <c r="O19" s="535"/>
      <c r="P19" s="535"/>
      <c r="Q19" s="535"/>
      <c r="R19" s="535"/>
      <c r="S19" s="535"/>
      <c r="T19" s="535"/>
      <c r="U19" s="535"/>
      <c r="V19" s="535"/>
      <c r="W19" s="535"/>
      <c r="X19" s="535"/>
      <c r="Y19" s="535"/>
      <c r="Z19" s="535"/>
      <c r="AA19" s="535"/>
      <c r="AB19" s="535"/>
      <c r="AC19" s="535"/>
      <c r="AD19" s="535"/>
      <c r="AE19" s="535"/>
      <c r="AF19" s="535"/>
      <c r="AG19" s="535"/>
      <c r="AH19" s="535"/>
      <c r="AI19" s="535"/>
      <c r="AJ19" s="535"/>
      <c r="AK19" s="535"/>
      <c r="AL19" s="535"/>
      <c r="AM19" s="535"/>
      <c r="AN19" s="535"/>
      <c r="AO19" s="535"/>
      <c r="AP19" s="535"/>
      <c r="AQ19" s="533"/>
      <c r="AR19" s="547"/>
    </row>
    <row r="20" spans="1:44" ht="23.1" customHeight="1">
      <c r="A20" s="540"/>
      <c r="B20" s="535"/>
      <c r="C20" s="535"/>
      <c r="D20" s="535"/>
      <c r="E20" s="535"/>
      <c r="F20" s="535"/>
      <c r="G20" s="535"/>
      <c r="H20" s="535"/>
      <c r="I20" s="535"/>
      <c r="J20" s="535"/>
      <c r="K20" s="535"/>
      <c r="L20" s="535"/>
      <c r="M20" s="535"/>
      <c r="N20" s="535"/>
      <c r="O20" s="535"/>
      <c r="P20" s="535"/>
      <c r="Q20" s="535"/>
      <c r="R20" s="535"/>
      <c r="S20" s="535"/>
      <c r="T20" s="535"/>
      <c r="U20" s="535"/>
      <c r="V20" s="535"/>
      <c r="W20" s="535"/>
      <c r="X20" s="535"/>
      <c r="Y20" s="535"/>
      <c r="Z20" s="535"/>
      <c r="AA20" s="535"/>
      <c r="AB20" s="535"/>
      <c r="AC20" s="535"/>
      <c r="AD20" s="535"/>
      <c r="AE20" s="535"/>
      <c r="AF20" s="535"/>
      <c r="AG20" s="535"/>
      <c r="AH20" s="535"/>
      <c r="AI20" s="535"/>
      <c r="AJ20" s="535"/>
      <c r="AK20" s="535"/>
      <c r="AL20" s="535"/>
      <c r="AM20" s="535"/>
      <c r="AN20" s="535"/>
      <c r="AO20" s="535"/>
      <c r="AP20" s="535"/>
      <c r="AQ20" s="533"/>
      <c r="AR20" s="547"/>
    </row>
    <row r="21" spans="1:44" ht="23.1" customHeight="1">
      <c r="A21" s="540"/>
      <c r="B21" s="535"/>
      <c r="C21" s="535"/>
      <c r="D21" s="535"/>
      <c r="E21" s="535"/>
      <c r="F21" s="535"/>
      <c r="G21" s="535"/>
      <c r="H21" s="535"/>
      <c r="I21" s="535"/>
      <c r="J21" s="535"/>
      <c r="K21" s="535"/>
      <c r="L21" s="535"/>
      <c r="M21" s="535"/>
      <c r="N21" s="535"/>
      <c r="O21" s="535"/>
      <c r="P21" s="535"/>
      <c r="Q21" s="535"/>
      <c r="R21" s="535"/>
      <c r="S21" s="535"/>
      <c r="T21" s="535"/>
      <c r="U21" s="535"/>
      <c r="V21" s="535"/>
      <c r="W21" s="535"/>
      <c r="X21" s="535"/>
      <c r="Y21" s="535"/>
      <c r="Z21" s="535"/>
      <c r="AA21" s="535"/>
      <c r="AB21" s="535"/>
      <c r="AC21" s="535"/>
      <c r="AD21" s="535"/>
      <c r="AE21" s="535"/>
      <c r="AF21" s="535"/>
      <c r="AG21" s="535"/>
      <c r="AH21" s="535"/>
      <c r="AI21" s="535"/>
      <c r="AJ21" s="535"/>
      <c r="AK21" s="535"/>
      <c r="AL21" s="535"/>
      <c r="AM21" s="535"/>
      <c r="AN21" s="535"/>
      <c r="AO21" s="535"/>
      <c r="AP21" s="535"/>
      <c r="AQ21" s="533"/>
      <c r="AR21" s="547"/>
    </row>
    <row r="22" spans="1:44" ht="23.1" customHeight="1">
      <c r="A22" s="540"/>
      <c r="B22" s="535"/>
      <c r="C22" s="535"/>
      <c r="D22" s="535"/>
      <c r="E22" s="535"/>
      <c r="F22" s="535"/>
      <c r="G22" s="535"/>
      <c r="H22" s="535"/>
      <c r="I22" s="535"/>
      <c r="J22" s="535"/>
      <c r="K22" s="535"/>
      <c r="L22" s="535"/>
      <c r="M22" s="535"/>
      <c r="N22" s="535"/>
      <c r="O22" s="535"/>
      <c r="P22" s="535"/>
      <c r="Q22" s="535"/>
      <c r="R22" s="535"/>
      <c r="S22" s="535"/>
      <c r="T22" s="535"/>
      <c r="U22" s="535"/>
      <c r="V22" s="535"/>
      <c r="W22" s="535"/>
      <c r="X22" s="535"/>
      <c r="Y22" s="535"/>
      <c r="Z22" s="535"/>
      <c r="AA22" s="535"/>
      <c r="AB22" s="535"/>
      <c r="AC22" s="535"/>
      <c r="AD22" s="535"/>
      <c r="AE22" s="535"/>
      <c r="AF22" s="535"/>
      <c r="AG22" s="535"/>
      <c r="AH22" s="535"/>
      <c r="AI22" s="535"/>
      <c r="AJ22" s="535"/>
      <c r="AK22" s="535"/>
      <c r="AL22" s="535"/>
      <c r="AM22" s="535"/>
      <c r="AN22" s="535"/>
      <c r="AO22" s="535"/>
      <c r="AP22" s="535"/>
      <c r="AQ22" s="533"/>
      <c r="AR22" s="547"/>
    </row>
    <row r="23" spans="1:44" ht="23.1" customHeight="1">
      <c r="A23" s="540"/>
      <c r="B23" s="535"/>
      <c r="C23" s="535"/>
      <c r="D23" s="535"/>
      <c r="E23" s="535"/>
      <c r="F23" s="535"/>
      <c r="G23" s="535"/>
      <c r="H23" s="535"/>
      <c r="I23" s="535"/>
      <c r="J23" s="535"/>
      <c r="K23" s="535"/>
      <c r="L23" s="535"/>
      <c r="M23" s="535"/>
      <c r="N23" s="535"/>
      <c r="O23" s="535"/>
      <c r="P23" s="535"/>
      <c r="Q23" s="535"/>
      <c r="R23" s="535"/>
      <c r="S23" s="535"/>
      <c r="T23" s="535"/>
      <c r="U23" s="535"/>
      <c r="V23" s="535"/>
      <c r="W23" s="535"/>
      <c r="X23" s="535"/>
      <c r="Y23" s="535"/>
      <c r="Z23" s="535"/>
      <c r="AA23" s="535"/>
      <c r="AB23" s="535"/>
      <c r="AC23" s="535"/>
      <c r="AD23" s="535"/>
      <c r="AE23" s="535"/>
      <c r="AF23" s="535"/>
      <c r="AG23" s="535"/>
      <c r="AH23" s="535"/>
      <c r="AI23" s="535"/>
      <c r="AJ23" s="535"/>
      <c r="AK23" s="535"/>
      <c r="AL23" s="535"/>
      <c r="AM23" s="535"/>
      <c r="AN23" s="535"/>
      <c r="AO23" s="535"/>
      <c r="AP23" s="535"/>
      <c r="AQ23" s="533"/>
      <c r="AR23" s="547"/>
    </row>
    <row r="24" spans="1:44" ht="23.1" customHeight="1">
      <c r="A24" s="540"/>
      <c r="B24" s="535"/>
      <c r="C24" s="535"/>
      <c r="D24" s="535"/>
      <c r="E24" s="535"/>
      <c r="F24" s="535"/>
      <c r="G24" s="535"/>
      <c r="H24" s="535"/>
      <c r="I24" s="535"/>
      <c r="J24" s="535"/>
      <c r="K24" s="535"/>
      <c r="L24" s="535"/>
      <c r="M24" s="535"/>
      <c r="N24" s="535"/>
      <c r="O24" s="535"/>
      <c r="P24" s="535"/>
      <c r="Q24" s="535"/>
      <c r="R24" s="535"/>
      <c r="S24" s="535"/>
      <c r="T24" s="535"/>
      <c r="U24" s="535"/>
      <c r="V24" s="535"/>
      <c r="W24" s="535"/>
      <c r="X24" s="535"/>
      <c r="Y24" s="535"/>
      <c r="Z24" s="535"/>
      <c r="AA24" s="535"/>
      <c r="AB24" s="535"/>
      <c r="AC24" s="535"/>
      <c r="AD24" s="535"/>
      <c r="AE24" s="535"/>
      <c r="AF24" s="535"/>
      <c r="AG24" s="535"/>
      <c r="AH24" s="535"/>
      <c r="AI24" s="535"/>
      <c r="AJ24" s="535"/>
      <c r="AK24" s="535"/>
      <c r="AL24" s="535"/>
      <c r="AM24" s="535"/>
      <c r="AN24" s="535"/>
      <c r="AO24" s="535"/>
      <c r="AP24" s="535"/>
      <c r="AQ24" s="533"/>
      <c r="AR24" s="547"/>
    </row>
    <row r="25" spans="1:44" ht="23.1" customHeight="1">
      <c r="A25" s="540"/>
      <c r="B25" s="535"/>
      <c r="C25" s="535"/>
      <c r="D25" s="535"/>
      <c r="E25" s="535"/>
      <c r="F25" s="535"/>
      <c r="G25" s="535"/>
      <c r="H25" s="535"/>
      <c r="I25" s="535"/>
      <c r="J25" s="535"/>
      <c r="K25" s="535"/>
      <c r="L25" s="535"/>
      <c r="M25" s="535"/>
      <c r="N25" s="535"/>
      <c r="O25" s="535"/>
      <c r="P25" s="535"/>
      <c r="Q25" s="535"/>
      <c r="R25" s="535"/>
      <c r="S25" s="535"/>
      <c r="T25" s="535"/>
      <c r="U25" s="535"/>
      <c r="V25" s="535"/>
      <c r="W25" s="535"/>
      <c r="X25" s="535"/>
      <c r="Y25" s="535"/>
      <c r="Z25" s="535"/>
      <c r="AA25" s="535"/>
      <c r="AB25" s="535"/>
      <c r="AC25" s="535"/>
      <c r="AD25" s="535"/>
      <c r="AE25" s="535"/>
      <c r="AF25" s="535"/>
      <c r="AG25" s="535"/>
      <c r="AH25" s="535"/>
      <c r="AI25" s="535"/>
      <c r="AJ25" s="535"/>
      <c r="AK25" s="535"/>
      <c r="AL25" s="535"/>
      <c r="AM25" s="535"/>
      <c r="AN25" s="535"/>
      <c r="AO25" s="535"/>
      <c r="AP25" s="535"/>
      <c r="AQ25" s="533"/>
      <c r="AR25" s="547"/>
    </row>
    <row r="26" spans="1:44" ht="23.1" customHeight="1">
      <c r="A26" s="540"/>
      <c r="B26" s="535"/>
      <c r="C26" s="535"/>
      <c r="D26" s="535"/>
      <c r="E26" s="535"/>
      <c r="F26" s="535"/>
      <c r="G26" s="535"/>
      <c r="H26" s="535"/>
      <c r="I26" s="535"/>
      <c r="J26" s="535"/>
      <c r="K26" s="535"/>
      <c r="L26" s="535"/>
      <c r="M26" s="535"/>
      <c r="N26" s="535"/>
      <c r="O26" s="535"/>
      <c r="P26" s="535"/>
      <c r="Q26" s="535"/>
      <c r="R26" s="535"/>
      <c r="S26" s="535"/>
      <c r="T26" s="535"/>
      <c r="U26" s="535"/>
      <c r="V26" s="535"/>
      <c r="W26" s="535"/>
      <c r="X26" s="535"/>
      <c r="Y26" s="535"/>
      <c r="Z26" s="535"/>
      <c r="AA26" s="535"/>
      <c r="AB26" s="535"/>
      <c r="AC26" s="535"/>
      <c r="AD26" s="535"/>
      <c r="AE26" s="535"/>
      <c r="AF26" s="535"/>
      <c r="AG26" s="535"/>
      <c r="AH26" s="535"/>
      <c r="AI26" s="535"/>
      <c r="AJ26" s="535"/>
      <c r="AK26" s="535"/>
      <c r="AL26" s="535"/>
      <c r="AM26" s="535"/>
      <c r="AN26" s="535"/>
      <c r="AO26" s="535"/>
      <c r="AP26" s="535"/>
      <c r="AQ26" s="533"/>
      <c r="AR26" s="547"/>
    </row>
    <row r="27" spans="1:44" ht="23.1" customHeight="1">
      <c r="A27" s="540"/>
      <c r="B27" s="535"/>
      <c r="C27" s="535"/>
      <c r="D27" s="535"/>
      <c r="E27" s="535"/>
      <c r="F27" s="535"/>
      <c r="G27" s="535"/>
      <c r="H27" s="535"/>
      <c r="I27" s="535"/>
      <c r="J27" s="535"/>
      <c r="K27" s="535"/>
      <c r="L27" s="535"/>
      <c r="M27" s="535"/>
      <c r="N27" s="535"/>
      <c r="O27" s="535"/>
      <c r="P27" s="535"/>
      <c r="Q27" s="535"/>
      <c r="R27" s="535"/>
      <c r="S27" s="535"/>
      <c r="T27" s="535"/>
      <c r="U27" s="535"/>
      <c r="V27" s="535"/>
      <c r="W27" s="535"/>
      <c r="X27" s="535"/>
      <c r="Y27" s="535"/>
      <c r="Z27" s="535"/>
      <c r="AA27" s="535"/>
      <c r="AB27" s="535"/>
      <c r="AC27" s="535"/>
      <c r="AD27" s="535"/>
      <c r="AE27" s="535"/>
      <c r="AF27" s="535"/>
      <c r="AG27" s="535"/>
      <c r="AH27" s="535"/>
      <c r="AI27" s="535"/>
      <c r="AJ27" s="535"/>
      <c r="AK27" s="535"/>
      <c r="AL27" s="535"/>
      <c r="AM27" s="535"/>
      <c r="AN27" s="535"/>
      <c r="AO27" s="535"/>
      <c r="AP27" s="535"/>
      <c r="AQ27" s="533"/>
      <c r="AR27" s="547"/>
    </row>
    <row r="28" spans="1:44" ht="23.1" customHeight="1">
      <c r="A28" s="540"/>
      <c r="B28" s="535"/>
      <c r="C28" s="535"/>
      <c r="D28" s="535"/>
      <c r="E28" s="535"/>
      <c r="F28" s="535"/>
      <c r="G28" s="535"/>
      <c r="H28" s="535"/>
      <c r="I28" s="535"/>
      <c r="J28" s="535"/>
      <c r="K28" s="535"/>
      <c r="L28" s="535"/>
      <c r="M28" s="535"/>
      <c r="N28" s="535"/>
      <c r="O28" s="535"/>
      <c r="P28" s="535"/>
      <c r="Q28" s="535"/>
      <c r="R28" s="535"/>
      <c r="S28" s="535"/>
      <c r="T28" s="535"/>
      <c r="U28" s="535"/>
      <c r="V28" s="535"/>
      <c r="W28" s="535"/>
      <c r="X28" s="535"/>
      <c r="Y28" s="535"/>
      <c r="Z28" s="535"/>
      <c r="AA28" s="535"/>
      <c r="AB28" s="535"/>
      <c r="AC28" s="535"/>
      <c r="AD28" s="535"/>
      <c r="AE28" s="535"/>
      <c r="AF28" s="535"/>
      <c r="AG28" s="535"/>
      <c r="AH28" s="535"/>
      <c r="AI28" s="535"/>
      <c r="AJ28" s="535"/>
      <c r="AK28" s="535"/>
      <c r="AL28" s="535"/>
      <c r="AM28" s="535"/>
      <c r="AN28" s="535"/>
      <c r="AO28" s="535"/>
      <c r="AP28" s="535"/>
      <c r="AQ28" s="533"/>
      <c r="AR28" s="547"/>
    </row>
    <row r="29" spans="1:44" ht="23.1" customHeight="1">
      <c r="A29" s="540"/>
      <c r="B29" s="535"/>
      <c r="C29" s="535"/>
      <c r="D29" s="535"/>
      <c r="E29" s="535"/>
      <c r="F29" s="535"/>
      <c r="G29" s="535"/>
      <c r="H29" s="535"/>
      <c r="I29" s="535"/>
      <c r="J29" s="535"/>
      <c r="K29" s="535"/>
      <c r="L29" s="535"/>
      <c r="M29" s="535"/>
      <c r="N29" s="535"/>
      <c r="O29" s="535"/>
      <c r="P29" s="535"/>
      <c r="Q29" s="535"/>
      <c r="R29" s="535"/>
      <c r="S29" s="535"/>
      <c r="T29" s="535"/>
      <c r="U29" s="535"/>
      <c r="V29" s="535"/>
      <c r="W29" s="535"/>
      <c r="X29" s="535"/>
      <c r="Y29" s="535"/>
      <c r="Z29" s="535"/>
      <c r="AA29" s="535"/>
      <c r="AB29" s="535"/>
      <c r="AC29" s="535"/>
      <c r="AD29" s="535"/>
      <c r="AE29" s="535"/>
      <c r="AF29" s="535"/>
      <c r="AG29" s="535"/>
      <c r="AH29" s="535"/>
      <c r="AI29" s="535"/>
      <c r="AJ29" s="535"/>
      <c r="AK29" s="535"/>
      <c r="AL29" s="535"/>
      <c r="AM29" s="535"/>
      <c r="AN29" s="535"/>
      <c r="AO29" s="535"/>
      <c r="AP29" s="535"/>
      <c r="AQ29" s="533"/>
      <c r="AR29" s="547"/>
    </row>
    <row r="30" spans="1:44" ht="23.1" customHeight="1">
      <c r="A30" s="540"/>
      <c r="B30" s="535"/>
      <c r="C30" s="535"/>
      <c r="D30" s="535"/>
      <c r="E30" s="535"/>
      <c r="F30" s="535"/>
      <c r="G30" s="535"/>
      <c r="H30" s="535"/>
      <c r="I30" s="535"/>
      <c r="J30" s="535"/>
      <c r="K30" s="535"/>
      <c r="L30" s="535"/>
      <c r="M30" s="535"/>
      <c r="N30" s="535"/>
      <c r="O30" s="535"/>
      <c r="P30" s="535"/>
      <c r="Q30" s="535"/>
      <c r="R30" s="535"/>
      <c r="S30" s="535"/>
      <c r="T30" s="535"/>
      <c r="U30" s="535"/>
      <c r="V30" s="535"/>
      <c r="W30" s="535"/>
      <c r="X30" s="535"/>
      <c r="Y30" s="535"/>
      <c r="Z30" s="535"/>
      <c r="AA30" s="535"/>
      <c r="AB30" s="535"/>
      <c r="AC30" s="535"/>
      <c r="AD30" s="535"/>
      <c r="AE30" s="535"/>
      <c r="AF30" s="535"/>
      <c r="AG30" s="535"/>
      <c r="AH30" s="535"/>
      <c r="AI30" s="535"/>
      <c r="AJ30" s="535"/>
      <c r="AK30" s="535"/>
      <c r="AL30" s="535"/>
      <c r="AM30" s="535"/>
      <c r="AN30" s="535"/>
      <c r="AO30" s="535"/>
      <c r="AP30" s="535"/>
      <c r="AQ30" s="533"/>
      <c r="AR30" s="547"/>
    </row>
    <row r="31" spans="1:44" ht="23.1" customHeight="1">
      <c r="A31" s="540"/>
      <c r="B31" s="535"/>
      <c r="C31" s="535"/>
      <c r="D31" s="535"/>
      <c r="E31" s="535"/>
      <c r="F31" s="535"/>
      <c r="G31" s="535"/>
      <c r="H31" s="535"/>
      <c r="I31" s="535"/>
      <c r="J31" s="535"/>
      <c r="K31" s="535"/>
      <c r="L31" s="535"/>
      <c r="M31" s="535"/>
      <c r="N31" s="535"/>
      <c r="O31" s="535"/>
      <c r="P31" s="535"/>
      <c r="Q31" s="535"/>
      <c r="R31" s="535"/>
      <c r="S31" s="535"/>
      <c r="T31" s="535"/>
      <c r="U31" s="535"/>
      <c r="V31" s="535"/>
      <c r="W31" s="535"/>
      <c r="X31" s="535"/>
      <c r="Y31" s="535"/>
      <c r="Z31" s="535"/>
      <c r="AA31" s="535"/>
      <c r="AB31" s="535"/>
      <c r="AC31" s="535"/>
      <c r="AD31" s="535"/>
      <c r="AE31" s="535"/>
      <c r="AF31" s="535"/>
      <c r="AG31" s="535"/>
      <c r="AH31" s="535"/>
      <c r="AI31" s="535"/>
      <c r="AJ31" s="535"/>
      <c r="AK31" s="535"/>
      <c r="AL31" s="535"/>
      <c r="AM31" s="535"/>
      <c r="AN31" s="535"/>
      <c r="AO31" s="535"/>
      <c r="AP31" s="535"/>
      <c r="AQ31" s="533"/>
      <c r="AR31" s="547"/>
    </row>
    <row r="32" spans="1:44" ht="23.1" customHeight="1">
      <c r="A32" s="540"/>
      <c r="B32" s="535"/>
      <c r="C32" s="535"/>
      <c r="D32" s="535"/>
      <c r="E32" s="535"/>
      <c r="F32" s="535"/>
      <c r="G32" s="535"/>
      <c r="H32" s="535"/>
      <c r="I32" s="535"/>
      <c r="J32" s="535"/>
      <c r="K32" s="535"/>
      <c r="L32" s="535"/>
      <c r="M32" s="535"/>
      <c r="N32" s="535"/>
      <c r="O32" s="535"/>
      <c r="P32" s="535"/>
      <c r="Q32" s="535"/>
      <c r="R32" s="535"/>
      <c r="S32" s="535"/>
      <c r="T32" s="535"/>
      <c r="U32" s="535"/>
      <c r="V32" s="535"/>
      <c r="W32" s="535"/>
      <c r="X32" s="535"/>
      <c r="Y32" s="535"/>
      <c r="Z32" s="535"/>
      <c r="AA32" s="535"/>
      <c r="AB32" s="535"/>
      <c r="AC32" s="535"/>
      <c r="AD32" s="535"/>
      <c r="AE32" s="535"/>
      <c r="AF32" s="535"/>
      <c r="AG32" s="535"/>
      <c r="AH32" s="535"/>
      <c r="AI32" s="535"/>
      <c r="AJ32" s="535"/>
      <c r="AK32" s="535"/>
      <c r="AL32" s="535"/>
      <c r="AM32" s="535"/>
      <c r="AN32" s="535"/>
      <c r="AO32" s="535"/>
      <c r="AP32" s="535"/>
      <c r="AQ32" s="533"/>
      <c r="AR32" s="547"/>
    </row>
    <row r="33" spans="1:44" ht="23.1" customHeight="1">
      <c r="A33" s="540"/>
      <c r="B33" s="535"/>
      <c r="C33" s="535"/>
      <c r="D33" s="535"/>
      <c r="E33" s="535"/>
      <c r="F33" s="535"/>
      <c r="G33" s="535"/>
      <c r="H33" s="535"/>
      <c r="I33" s="535"/>
      <c r="J33" s="535"/>
      <c r="K33" s="535"/>
      <c r="L33" s="535"/>
      <c r="M33" s="535"/>
      <c r="N33" s="535"/>
      <c r="O33" s="535"/>
      <c r="P33" s="535"/>
      <c r="Q33" s="535"/>
      <c r="R33" s="535"/>
      <c r="S33" s="535"/>
      <c r="T33" s="535"/>
      <c r="U33" s="535"/>
      <c r="V33" s="535"/>
      <c r="W33" s="535"/>
      <c r="X33" s="535"/>
      <c r="Y33" s="535"/>
      <c r="Z33" s="535"/>
      <c r="AA33" s="535"/>
      <c r="AB33" s="535"/>
      <c r="AC33" s="535"/>
      <c r="AD33" s="535"/>
      <c r="AE33" s="535"/>
      <c r="AF33" s="535"/>
      <c r="AG33" s="535"/>
      <c r="AH33" s="535"/>
      <c r="AI33" s="535"/>
      <c r="AJ33" s="535"/>
      <c r="AK33" s="535"/>
      <c r="AL33" s="535"/>
      <c r="AM33" s="535"/>
      <c r="AN33" s="535"/>
      <c r="AO33" s="535"/>
      <c r="AP33" s="535"/>
      <c r="AQ33" s="533"/>
      <c r="AR33" s="547"/>
    </row>
    <row r="34" spans="1:44" ht="23.1" customHeight="1">
      <c r="A34" s="540"/>
      <c r="B34" s="535"/>
      <c r="C34" s="535"/>
      <c r="D34" s="535"/>
      <c r="E34" s="535"/>
      <c r="F34" s="535"/>
      <c r="G34" s="535"/>
      <c r="H34" s="535"/>
      <c r="I34" s="535"/>
      <c r="J34" s="535"/>
      <c r="K34" s="535"/>
      <c r="L34" s="535"/>
      <c r="M34" s="535"/>
      <c r="N34" s="535"/>
      <c r="O34" s="535"/>
      <c r="P34" s="535"/>
      <c r="Q34" s="535"/>
      <c r="R34" s="535"/>
      <c r="S34" s="535"/>
      <c r="T34" s="535"/>
      <c r="U34" s="535"/>
      <c r="V34" s="535"/>
      <c r="W34" s="535"/>
      <c r="X34" s="535"/>
      <c r="Y34" s="535"/>
      <c r="Z34" s="535"/>
      <c r="AA34" s="535"/>
      <c r="AB34" s="535"/>
      <c r="AC34" s="535"/>
      <c r="AD34" s="535"/>
      <c r="AE34" s="535"/>
      <c r="AF34" s="535"/>
      <c r="AG34" s="535"/>
      <c r="AH34" s="535"/>
      <c r="AI34" s="535"/>
      <c r="AJ34" s="535"/>
      <c r="AK34" s="535"/>
      <c r="AL34" s="535"/>
      <c r="AM34" s="535"/>
      <c r="AN34" s="535"/>
      <c r="AO34" s="535"/>
      <c r="AP34" s="535"/>
      <c r="AQ34" s="533"/>
      <c r="AR34" s="547"/>
    </row>
    <row r="35" spans="1:44" ht="23.1" customHeight="1">
      <c r="A35" s="540"/>
      <c r="B35" s="535"/>
      <c r="C35" s="535"/>
      <c r="D35" s="535"/>
      <c r="E35" s="535"/>
      <c r="F35" s="535"/>
      <c r="G35" s="535"/>
      <c r="H35" s="535"/>
      <c r="I35" s="535"/>
      <c r="J35" s="535"/>
      <c r="K35" s="535"/>
      <c r="L35" s="535"/>
      <c r="M35" s="535"/>
      <c r="N35" s="535"/>
      <c r="O35" s="535"/>
      <c r="P35" s="535"/>
      <c r="Q35" s="535"/>
      <c r="R35" s="535"/>
      <c r="S35" s="535"/>
      <c r="T35" s="535"/>
      <c r="U35" s="535"/>
      <c r="V35" s="535"/>
      <c r="W35" s="535"/>
      <c r="X35" s="535"/>
      <c r="Y35" s="535"/>
      <c r="Z35" s="535"/>
      <c r="AA35" s="535"/>
      <c r="AB35" s="535"/>
      <c r="AC35" s="535"/>
      <c r="AD35" s="535"/>
      <c r="AE35" s="535"/>
      <c r="AF35" s="535"/>
      <c r="AG35" s="535"/>
      <c r="AH35" s="535"/>
      <c r="AI35" s="535"/>
      <c r="AJ35" s="535"/>
      <c r="AK35" s="535"/>
      <c r="AL35" s="535"/>
      <c r="AM35" s="535"/>
      <c r="AN35" s="535"/>
      <c r="AO35" s="535"/>
      <c r="AP35" s="535"/>
      <c r="AQ35" s="533"/>
      <c r="AR35" s="547"/>
    </row>
    <row r="36" spans="1:44" ht="23.1" customHeight="1">
      <c r="A36" s="540"/>
      <c r="B36" s="535"/>
      <c r="C36" s="535"/>
      <c r="D36" s="535"/>
      <c r="E36" s="535"/>
      <c r="F36" s="535"/>
      <c r="G36" s="535"/>
      <c r="H36" s="535"/>
      <c r="I36" s="535"/>
      <c r="J36" s="535"/>
      <c r="K36" s="535"/>
      <c r="L36" s="535"/>
      <c r="M36" s="535"/>
      <c r="N36" s="535"/>
      <c r="O36" s="535"/>
      <c r="P36" s="535"/>
      <c r="Q36" s="535"/>
      <c r="R36" s="535"/>
      <c r="S36" s="535"/>
      <c r="T36" s="535"/>
      <c r="U36" s="535"/>
      <c r="V36" s="535"/>
      <c r="W36" s="535"/>
      <c r="X36" s="535"/>
      <c r="Y36" s="535"/>
      <c r="Z36" s="535"/>
      <c r="AA36" s="535"/>
      <c r="AB36" s="535"/>
      <c r="AC36" s="535"/>
      <c r="AD36" s="535"/>
      <c r="AE36" s="535"/>
      <c r="AF36" s="535"/>
      <c r="AG36" s="535"/>
      <c r="AH36" s="535"/>
      <c r="AI36" s="535"/>
      <c r="AJ36" s="535"/>
      <c r="AK36" s="535"/>
      <c r="AL36" s="535"/>
      <c r="AM36" s="535"/>
      <c r="AN36" s="535"/>
      <c r="AO36" s="535"/>
      <c r="AP36" s="535"/>
      <c r="AQ36" s="533"/>
      <c r="AR36" s="547"/>
    </row>
    <row r="37" spans="1:44" ht="23.1" customHeight="1" thickBot="1">
      <c r="A37" s="549"/>
      <c r="B37" s="550"/>
      <c r="C37" s="550"/>
      <c r="D37" s="550"/>
      <c r="E37" s="550"/>
      <c r="F37" s="550"/>
      <c r="G37" s="550"/>
      <c r="H37" s="550"/>
      <c r="I37" s="550"/>
      <c r="J37" s="550"/>
      <c r="K37" s="550"/>
      <c r="L37" s="550"/>
      <c r="M37" s="550"/>
      <c r="N37" s="550"/>
      <c r="O37" s="550"/>
      <c r="P37" s="550"/>
      <c r="Q37" s="550"/>
      <c r="R37" s="550"/>
      <c r="S37" s="550"/>
      <c r="T37" s="550"/>
      <c r="U37" s="550"/>
      <c r="V37" s="550"/>
      <c r="W37" s="550"/>
      <c r="X37" s="550"/>
      <c r="Y37" s="550"/>
      <c r="Z37" s="550"/>
      <c r="AA37" s="550"/>
      <c r="AB37" s="550"/>
      <c r="AC37" s="550"/>
      <c r="AD37" s="550"/>
      <c r="AE37" s="550"/>
      <c r="AF37" s="550"/>
      <c r="AG37" s="550"/>
      <c r="AH37" s="550"/>
      <c r="AI37" s="550"/>
      <c r="AJ37" s="550"/>
      <c r="AK37" s="550"/>
      <c r="AL37" s="550"/>
      <c r="AM37" s="550"/>
      <c r="AN37" s="550"/>
      <c r="AO37" s="550"/>
      <c r="AP37" s="550"/>
      <c r="AQ37" s="534"/>
      <c r="AR37" s="551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13" sqref="F13"/>
    </sheetView>
  </sheetViews>
  <sheetFormatPr defaultRowHeight="20.100000000000001" customHeight="1"/>
  <cols>
    <col min="1" max="16384" width="8.88671875" style="79"/>
  </cols>
  <sheetData>
    <row r="1" spans="1:12" ht="27.75" customHeight="1">
      <c r="A1" s="146"/>
    </row>
    <row r="5" spans="1:12" ht="20.100000000000001" customHeight="1" thickBot="1"/>
    <row r="6" spans="1:12" ht="20.100000000000001" customHeight="1">
      <c r="D6" s="137" t="s">
        <v>243</v>
      </c>
      <c r="E6" s="138" t="s">
        <v>313</v>
      </c>
      <c r="F6" s="138"/>
      <c r="G6" s="138" t="s">
        <v>314</v>
      </c>
      <c r="H6" s="138"/>
      <c r="I6" s="138" t="s">
        <v>315</v>
      </c>
      <c r="J6" s="138"/>
      <c r="K6" s="138" t="s">
        <v>316</v>
      </c>
      <c r="L6" s="139"/>
    </row>
    <row r="7" spans="1:12" ht="20.100000000000001" customHeight="1">
      <c r="D7" s="140" t="s">
        <v>317</v>
      </c>
      <c r="E7" s="141">
        <v>76</v>
      </c>
      <c r="F7" s="141">
        <v>200.20999999999998</v>
      </c>
      <c r="G7" s="141">
        <v>44</v>
      </c>
      <c r="H7" s="141">
        <v>52.850000000000037</v>
      </c>
      <c r="I7" s="141">
        <v>31</v>
      </c>
      <c r="J7" s="141">
        <v>137.35999999999996</v>
      </c>
      <c r="K7" s="141">
        <v>1</v>
      </c>
      <c r="L7" s="142">
        <v>10</v>
      </c>
    </row>
    <row r="8" spans="1:12" ht="20.100000000000001" customHeight="1" thickBot="1">
      <c r="D8" s="143" t="s">
        <v>318</v>
      </c>
      <c r="E8" s="144">
        <v>0</v>
      </c>
      <c r="F8" s="144">
        <v>0</v>
      </c>
      <c r="G8" s="144">
        <v>0</v>
      </c>
      <c r="H8" s="144">
        <v>0</v>
      </c>
      <c r="I8" s="144">
        <v>0</v>
      </c>
      <c r="J8" s="144">
        <v>0</v>
      </c>
      <c r="K8" s="144">
        <v>0</v>
      </c>
      <c r="L8" s="145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H12" sqref="H12"/>
    </sheetView>
  </sheetViews>
  <sheetFormatPr defaultRowHeight="20.100000000000001" customHeight="1" outlineLevelRow="1"/>
  <cols>
    <col min="1" max="1" width="0" style="231" hidden="1" customWidth="1"/>
    <col min="2" max="3" width="8.88671875" style="231"/>
    <col min="4" max="5" width="0" style="231" hidden="1" customWidth="1"/>
    <col min="6" max="6" width="8.88671875" style="231"/>
    <col min="7" max="7" width="16.88671875" style="231" customWidth="1"/>
    <col min="8" max="8" width="11.77734375" style="231" customWidth="1"/>
    <col min="9" max="9" width="11.77734375" style="260" customWidth="1"/>
    <col min="10" max="10" width="11.77734375" style="231" customWidth="1"/>
    <col min="11" max="11" width="11.77734375" style="262" customWidth="1"/>
    <col min="12" max="17" width="11.77734375" style="231" customWidth="1"/>
    <col min="18" max="18" width="14" style="231" customWidth="1"/>
    <col min="19" max="19" width="15" style="231" customWidth="1"/>
    <col min="20" max="16384" width="8.88671875" style="231"/>
  </cols>
  <sheetData>
    <row r="1" spans="7:19" ht="36" customHeight="1" thickBot="1">
      <c r="G1" s="259" t="s">
        <v>221</v>
      </c>
      <c r="J1" s="261" t="s">
        <v>601</v>
      </c>
    </row>
    <row r="2" spans="7:19" ht="29.25" customHeight="1">
      <c r="G2" s="269" t="s">
        <v>199</v>
      </c>
      <c r="H2" s="270" t="s">
        <v>196</v>
      </c>
      <c r="I2" s="271" t="s">
        <v>205</v>
      </c>
      <c r="J2" s="270" t="s">
        <v>197</v>
      </c>
      <c r="K2" s="272" t="s">
        <v>198</v>
      </c>
      <c r="M2" s="273"/>
      <c r="N2" s="274" t="s">
        <v>203</v>
      </c>
      <c r="O2" s="272" t="s">
        <v>204</v>
      </c>
      <c r="Q2" s="269" t="s">
        <v>199</v>
      </c>
      <c r="R2" s="274" t="s">
        <v>207</v>
      </c>
      <c r="S2" s="272" t="s">
        <v>208</v>
      </c>
    </row>
    <row r="3" spans="7:19" ht="20.100000000000001" customHeight="1">
      <c r="G3" s="191" t="s">
        <v>219</v>
      </c>
      <c r="H3" s="192">
        <v>114</v>
      </c>
      <c r="I3" s="193">
        <v>102.54231258880085</v>
      </c>
      <c r="J3" s="192">
        <v>100</v>
      </c>
      <c r="K3" s="255">
        <v>0.89473684210526316</v>
      </c>
      <c r="M3" s="275" t="s">
        <v>198</v>
      </c>
      <c r="N3" s="263">
        <f>MIN(K3:K35)</f>
        <v>0.89473684210526316</v>
      </c>
      <c r="O3" s="264">
        <f>MAX(K3:K35)</f>
        <v>0.89473684210526316</v>
      </c>
      <c r="Q3" s="256" t="s">
        <v>219</v>
      </c>
      <c r="R3" s="257">
        <v>5.3950000000000005E-4</v>
      </c>
      <c r="S3" s="258">
        <v>0.14763190000000001</v>
      </c>
    </row>
    <row r="4" spans="7:19" ht="20.100000000000001" customHeight="1">
      <c r="G4" s="163" t="s">
        <v>786</v>
      </c>
      <c r="H4" s="164">
        <v>114</v>
      </c>
      <c r="I4" s="171">
        <v>102.51022725087313</v>
      </c>
      <c r="J4" s="164">
        <v>100</v>
      </c>
      <c r="K4" s="175">
        <v>0.89473684210526316</v>
      </c>
      <c r="M4" s="275" t="s">
        <v>205</v>
      </c>
      <c r="N4" s="265">
        <f>MIN(I3:I35)</f>
        <v>102.51022725087313</v>
      </c>
      <c r="O4" s="266">
        <f>MAX(I3:I35)</f>
        <v>102.54231258880085</v>
      </c>
      <c r="Q4" s="177" t="s">
        <v>786</v>
      </c>
      <c r="R4" s="178">
        <v>4.7790000000000002E-4</v>
      </c>
      <c r="S4" s="179">
        <v>0.13115160000000001</v>
      </c>
    </row>
    <row r="5" spans="7:19" ht="20.100000000000001" customHeight="1" thickBot="1">
      <c r="G5" s="191" t="s">
        <v>787</v>
      </c>
      <c r="H5" s="192">
        <v>114</v>
      </c>
      <c r="I5" s="193">
        <v>102.51428152808101</v>
      </c>
      <c r="J5" s="192">
        <v>100</v>
      </c>
      <c r="K5" s="255">
        <v>0.89473684210526316</v>
      </c>
      <c r="M5" s="276" t="s">
        <v>206</v>
      </c>
      <c r="N5" s="267">
        <f>MIN(J3:J35)</f>
        <v>100</v>
      </c>
      <c r="O5" s="268">
        <f>MAX(J3:J35)</f>
        <v>100</v>
      </c>
      <c r="Q5" s="256" t="s">
        <v>787</v>
      </c>
      <c r="R5" s="257">
        <v>5.3050000000000005E-4</v>
      </c>
      <c r="S5" s="258">
        <v>0.14559549999999999</v>
      </c>
    </row>
    <row r="6" spans="7:19" ht="20.100000000000001" customHeight="1">
      <c r="G6" s="163"/>
      <c r="H6" s="164"/>
      <c r="I6" s="171"/>
      <c r="J6" s="164"/>
      <c r="K6" s="176"/>
      <c r="Q6" s="177"/>
      <c r="R6" s="178"/>
      <c r="S6" s="179"/>
    </row>
    <row r="7" spans="7:19" ht="20.100000000000001" customHeight="1">
      <c r="G7" s="191"/>
      <c r="H7" s="192"/>
      <c r="I7" s="193"/>
      <c r="J7" s="192"/>
      <c r="K7" s="194"/>
      <c r="Q7" s="256"/>
      <c r="R7" s="257"/>
      <c r="S7" s="258"/>
    </row>
    <row r="8" spans="7:19" ht="20.100000000000001" customHeight="1">
      <c r="G8" s="163"/>
      <c r="H8" s="164"/>
      <c r="I8" s="171"/>
      <c r="J8" s="164"/>
      <c r="K8" s="176"/>
      <c r="Q8" s="163"/>
      <c r="R8" s="164"/>
      <c r="S8" s="166"/>
    </row>
    <row r="9" spans="7:19" ht="20.100000000000001" customHeight="1">
      <c r="G9" s="191"/>
      <c r="H9" s="192"/>
      <c r="I9" s="193"/>
      <c r="J9" s="192"/>
      <c r="K9" s="194"/>
      <c r="Q9" s="191"/>
      <c r="R9" s="192"/>
      <c r="S9" s="195"/>
    </row>
    <row r="10" spans="7:19" ht="20.100000000000001" customHeight="1">
      <c r="G10" s="163"/>
      <c r="H10" s="164"/>
      <c r="I10" s="171"/>
      <c r="J10" s="164"/>
      <c r="K10" s="176"/>
      <c r="Q10" s="163"/>
      <c r="R10" s="164"/>
      <c r="S10" s="166"/>
    </row>
    <row r="11" spans="7:19" ht="20.100000000000001" customHeight="1">
      <c r="G11" s="191"/>
      <c r="H11" s="192"/>
      <c r="I11" s="193"/>
      <c r="J11" s="192"/>
      <c r="K11" s="194"/>
      <c r="Q11" s="191"/>
      <c r="R11" s="192"/>
      <c r="S11" s="195"/>
    </row>
    <row r="12" spans="7:19" ht="20.100000000000001" customHeight="1" outlineLevel="1">
      <c r="G12" s="163"/>
      <c r="H12" s="164"/>
      <c r="I12" s="171"/>
      <c r="J12" s="164"/>
      <c r="K12" s="176"/>
      <c r="Q12" s="163"/>
      <c r="R12" s="164"/>
      <c r="S12" s="166"/>
    </row>
    <row r="13" spans="7:19" ht="20.100000000000001" customHeight="1" outlineLevel="1">
      <c r="G13" s="191"/>
      <c r="H13" s="192"/>
      <c r="I13" s="193"/>
      <c r="J13" s="192"/>
      <c r="K13" s="194"/>
      <c r="Q13" s="191"/>
      <c r="R13" s="192"/>
      <c r="S13" s="195"/>
    </row>
    <row r="14" spans="7:19" ht="20.100000000000001" customHeight="1" outlineLevel="1">
      <c r="G14" s="163"/>
      <c r="H14" s="164"/>
      <c r="I14" s="171"/>
      <c r="J14" s="164"/>
      <c r="K14" s="176"/>
      <c r="Q14" s="163"/>
      <c r="R14" s="164"/>
      <c r="S14" s="166"/>
    </row>
    <row r="15" spans="7:19" ht="20.100000000000001" customHeight="1" outlineLevel="1">
      <c r="G15" s="191"/>
      <c r="H15" s="192"/>
      <c r="I15" s="193"/>
      <c r="J15" s="192"/>
      <c r="K15" s="194"/>
      <c r="Q15" s="191"/>
      <c r="R15" s="192"/>
      <c r="S15" s="195"/>
    </row>
    <row r="16" spans="7:19" ht="20.100000000000001" customHeight="1" outlineLevel="1">
      <c r="G16" s="163"/>
      <c r="H16" s="164"/>
      <c r="I16" s="171"/>
      <c r="J16" s="164"/>
      <c r="K16" s="176"/>
      <c r="Q16" s="163"/>
      <c r="R16" s="164"/>
      <c r="S16" s="166"/>
    </row>
    <row r="17" spans="7:19" ht="20.100000000000001" customHeight="1" outlineLevel="1">
      <c r="G17" s="191"/>
      <c r="H17" s="192"/>
      <c r="I17" s="193"/>
      <c r="J17" s="192"/>
      <c r="K17" s="194"/>
      <c r="Q17" s="191"/>
      <c r="R17" s="192"/>
      <c r="S17" s="195"/>
    </row>
    <row r="18" spans="7:19" ht="20.100000000000001" customHeight="1" outlineLevel="1">
      <c r="G18" s="163"/>
      <c r="H18" s="164"/>
      <c r="I18" s="171"/>
      <c r="J18" s="164"/>
      <c r="K18" s="176"/>
      <c r="Q18" s="163"/>
      <c r="R18" s="164"/>
      <c r="S18" s="166"/>
    </row>
    <row r="19" spans="7:19" ht="20.100000000000001" customHeight="1" outlineLevel="1">
      <c r="G19" s="191"/>
      <c r="H19" s="192"/>
      <c r="I19" s="193"/>
      <c r="J19" s="192"/>
      <c r="K19" s="194"/>
      <c r="Q19" s="191"/>
      <c r="R19" s="192"/>
      <c r="S19" s="195"/>
    </row>
    <row r="20" spans="7:19" ht="20.100000000000001" customHeight="1" outlineLevel="1">
      <c r="G20" s="163"/>
      <c r="H20" s="164"/>
      <c r="I20" s="171"/>
      <c r="J20" s="164"/>
      <c r="K20" s="176"/>
      <c r="Q20" s="163"/>
      <c r="R20" s="164"/>
      <c r="S20" s="166"/>
    </row>
    <row r="21" spans="7:19" ht="20.100000000000001" customHeight="1" outlineLevel="1">
      <c r="G21" s="191"/>
      <c r="H21" s="192"/>
      <c r="I21" s="193"/>
      <c r="J21" s="192"/>
      <c r="K21" s="194"/>
      <c r="Q21" s="191"/>
      <c r="R21" s="192"/>
      <c r="S21" s="195"/>
    </row>
    <row r="22" spans="7:19" ht="20.100000000000001" customHeight="1" outlineLevel="1">
      <c r="G22" s="163"/>
      <c r="H22" s="164"/>
      <c r="I22" s="171"/>
      <c r="J22" s="164"/>
      <c r="K22" s="176"/>
      <c r="Q22" s="163"/>
      <c r="R22" s="164"/>
      <c r="S22" s="166"/>
    </row>
    <row r="23" spans="7:19" ht="20.100000000000001" customHeight="1" outlineLevel="1">
      <c r="G23" s="191"/>
      <c r="H23" s="192"/>
      <c r="I23" s="193"/>
      <c r="J23" s="192"/>
      <c r="K23" s="194"/>
      <c r="Q23" s="191"/>
      <c r="R23" s="192"/>
      <c r="S23" s="195"/>
    </row>
    <row r="24" spans="7:19" ht="20.100000000000001" customHeight="1" outlineLevel="1">
      <c r="G24" s="163"/>
      <c r="H24" s="164"/>
      <c r="I24" s="171"/>
      <c r="J24" s="164"/>
      <c r="K24" s="176"/>
      <c r="Q24" s="163"/>
      <c r="R24" s="164"/>
      <c r="S24" s="166"/>
    </row>
    <row r="25" spans="7:19" ht="20.100000000000001" customHeight="1" outlineLevel="1">
      <c r="G25" s="191"/>
      <c r="H25" s="192"/>
      <c r="I25" s="193"/>
      <c r="J25" s="192"/>
      <c r="K25" s="194"/>
      <c r="Q25" s="191"/>
      <c r="R25" s="192"/>
      <c r="S25" s="195"/>
    </row>
    <row r="26" spans="7:19" ht="20.100000000000001" customHeight="1" outlineLevel="1">
      <c r="G26" s="163"/>
      <c r="H26" s="164"/>
      <c r="I26" s="171"/>
      <c r="J26" s="164"/>
      <c r="K26" s="176"/>
      <c r="Q26" s="163"/>
      <c r="R26" s="164"/>
      <c r="S26" s="166"/>
    </row>
    <row r="27" spans="7:19" ht="20.100000000000001" customHeight="1" outlineLevel="1">
      <c r="G27" s="191"/>
      <c r="H27" s="192"/>
      <c r="I27" s="193"/>
      <c r="J27" s="192"/>
      <c r="K27" s="194"/>
      <c r="Q27" s="191"/>
      <c r="R27" s="192"/>
      <c r="S27" s="195"/>
    </row>
    <row r="28" spans="7:19" ht="20.100000000000001" customHeight="1" outlineLevel="1">
      <c r="G28" s="163"/>
      <c r="H28" s="164"/>
      <c r="I28" s="171"/>
      <c r="J28" s="164"/>
      <c r="K28" s="176"/>
      <c r="Q28" s="210"/>
      <c r="R28" s="211"/>
      <c r="S28" s="212"/>
    </row>
    <row r="29" spans="7:19" ht="20.100000000000001" customHeight="1" outlineLevel="1">
      <c r="G29" s="191"/>
      <c r="H29" s="192"/>
      <c r="I29" s="193"/>
      <c r="J29" s="192"/>
      <c r="K29" s="194"/>
      <c r="Q29" s="213"/>
      <c r="R29" s="214"/>
      <c r="S29" s="215"/>
    </row>
    <row r="30" spans="7:19" ht="20.100000000000001" customHeight="1" outlineLevel="1">
      <c r="G30" s="163"/>
      <c r="H30" s="164"/>
      <c r="I30" s="171"/>
      <c r="J30" s="164"/>
      <c r="K30" s="176"/>
      <c r="Q30" s="210"/>
      <c r="R30" s="211"/>
      <c r="S30" s="212"/>
    </row>
    <row r="31" spans="7:19" ht="20.100000000000001" customHeight="1" outlineLevel="1">
      <c r="G31" s="191"/>
      <c r="H31" s="192"/>
      <c r="I31" s="193"/>
      <c r="J31" s="192"/>
      <c r="K31" s="194"/>
      <c r="Q31" s="213"/>
      <c r="R31" s="214"/>
      <c r="S31" s="215"/>
    </row>
    <row r="32" spans="7:19" ht="20.100000000000001" customHeight="1" outlineLevel="1">
      <c r="G32" s="163"/>
      <c r="H32" s="164"/>
      <c r="I32" s="164"/>
      <c r="J32" s="164"/>
      <c r="K32" s="216"/>
      <c r="Q32" s="210"/>
      <c r="R32" s="211"/>
      <c r="S32" s="212"/>
    </row>
    <row r="33" spans="6:25" ht="20.100000000000001" customHeight="1" outlineLevel="1">
      <c r="G33" s="191"/>
      <c r="H33" s="192"/>
      <c r="I33" s="192"/>
      <c r="J33" s="192"/>
      <c r="K33" s="217"/>
      <c r="Q33" s="199"/>
      <c r="R33" s="198"/>
      <c r="S33" s="200"/>
    </row>
    <row r="34" spans="6:25" ht="20.100000000000001" customHeight="1" outlineLevel="1">
      <c r="G34" s="191"/>
      <c r="H34" s="192"/>
      <c r="I34" s="192"/>
      <c r="J34" s="192"/>
      <c r="K34" s="217"/>
      <c r="Q34" s="199"/>
      <c r="R34" s="198"/>
      <c r="S34" s="200"/>
    </row>
    <row r="35" spans="6:25" ht="20.100000000000001" customHeight="1" outlineLevel="1" thickBot="1">
      <c r="G35" s="196"/>
      <c r="H35" s="197"/>
      <c r="I35" s="197"/>
      <c r="J35" s="197"/>
      <c r="K35" s="218"/>
      <c r="Q35" s="196"/>
      <c r="R35" s="197"/>
      <c r="S35" s="245"/>
    </row>
    <row r="36" spans="6:25" ht="20.100000000000001" customHeight="1" outlineLevel="1"/>
    <row r="38" spans="6:25" ht="20.100000000000001" customHeight="1">
      <c r="M38" s="260"/>
      <c r="N38" s="260"/>
      <c r="O38" s="260"/>
      <c r="P38" s="260"/>
      <c r="Q38" s="260"/>
      <c r="R38" s="260"/>
      <c r="S38" s="260"/>
    </row>
    <row r="39" spans="6:25" ht="20.100000000000001" customHeight="1">
      <c r="M39" s="230"/>
      <c r="N39" s="230"/>
      <c r="O39" s="230"/>
      <c r="P39" s="230"/>
      <c r="Q39" s="230"/>
      <c r="R39" s="260"/>
      <c r="S39" s="260"/>
    </row>
    <row r="40" spans="6:25" ht="20.100000000000001" customHeight="1">
      <c r="M40" s="230"/>
      <c r="N40" s="230"/>
      <c r="O40" s="230"/>
      <c r="P40" s="230"/>
      <c r="Q40" s="230"/>
      <c r="R40" s="260"/>
      <c r="S40" s="260"/>
    </row>
    <row r="41" spans="6:25" ht="20.100000000000001" customHeight="1" thickBot="1">
      <c r="G41" s="259" t="s">
        <v>600</v>
      </c>
      <c r="M41" s="260"/>
      <c r="N41" s="260"/>
      <c r="O41" s="260"/>
      <c r="P41" s="260"/>
      <c r="Q41" s="260"/>
      <c r="R41" s="260"/>
      <c r="S41" s="260"/>
    </row>
    <row r="42" spans="6:25" ht="27" customHeight="1" thickBot="1">
      <c r="G42" s="277" t="s">
        <v>225</v>
      </c>
      <c r="H42" s="278"/>
      <c r="I42" s="279"/>
    </row>
    <row r="43" spans="6:25" ht="15.95" customHeight="1">
      <c r="F43" s="759" t="s">
        <v>219</v>
      </c>
      <c r="G43" s="755">
        <v>62</v>
      </c>
      <c r="H43" s="254">
        <v>23.95</v>
      </c>
      <c r="I43" s="757">
        <v>102.54231258880085</v>
      </c>
    </row>
    <row r="44" spans="6:25" ht="15.95" customHeight="1">
      <c r="F44" s="760"/>
      <c r="G44" s="756"/>
      <c r="H44" s="192">
        <v>11.26</v>
      </c>
      <c r="I44" s="758"/>
      <c r="K44" s="231"/>
    </row>
    <row r="45" spans="6:25" ht="15.95" customHeight="1">
      <c r="F45" s="761" t="s">
        <v>786</v>
      </c>
      <c r="G45" s="763">
        <v>62</v>
      </c>
      <c r="H45" s="164">
        <v>21.26</v>
      </c>
      <c r="I45" s="765">
        <v>102.51022725087313</v>
      </c>
      <c r="K45" s="231"/>
    </row>
    <row r="46" spans="6:25" ht="15.95" customHeight="1">
      <c r="F46" s="762"/>
      <c r="G46" s="764"/>
      <c r="H46" s="164">
        <v>10</v>
      </c>
      <c r="I46" s="765"/>
      <c r="K46" s="280" t="s">
        <v>749</v>
      </c>
      <c r="L46" s="230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230"/>
    </row>
    <row r="47" spans="6:25" ht="15.95" customHeight="1">
      <c r="F47" s="766" t="s">
        <v>787</v>
      </c>
      <c r="G47" s="767">
        <v>62</v>
      </c>
      <c r="H47" s="192">
        <v>23.6</v>
      </c>
      <c r="I47" s="758">
        <v>102.51428152808101</v>
      </c>
      <c r="K47" s="280" t="s">
        <v>750</v>
      </c>
      <c r="L47" s="230"/>
      <c r="M47" s="230"/>
      <c r="N47" s="230"/>
      <c r="O47" s="230"/>
      <c r="P47" s="230"/>
      <c r="Q47" s="230"/>
      <c r="R47" s="230"/>
      <c r="S47" s="230"/>
      <c r="T47" s="230"/>
      <c r="U47" s="230"/>
      <c r="V47" s="230"/>
      <c r="W47" s="230"/>
      <c r="X47" s="230"/>
      <c r="Y47" s="230"/>
    </row>
    <row r="48" spans="6:25" ht="15.95" customHeight="1">
      <c r="F48" s="760"/>
      <c r="G48" s="756"/>
      <c r="H48" s="192">
        <v>11.1</v>
      </c>
      <c r="I48" s="758"/>
      <c r="K48" s="230"/>
      <c r="L48" s="230"/>
      <c r="M48" s="230"/>
      <c r="N48" s="230"/>
      <c r="O48" s="230"/>
      <c r="P48" s="230"/>
      <c r="Q48" s="230"/>
      <c r="R48" s="230"/>
      <c r="S48" s="230"/>
      <c r="T48" s="230"/>
      <c r="U48" s="230"/>
      <c r="V48" s="230"/>
      <c r="W48" s="230"/>
      <c r="X48" s="230"/>
      <c r="Y48" s="230"/>
    </row>
    <row r="49" spans="6:25" ht="15.95" customHeight="1">
      <c r="F49" s="761"/>
      <c r="G49" s="763"/>
      <c r="H49" s="164"/>
      <c r="I49" s="765"/>
      <c r="K49" s="230"/>
      <c r="L49" s="230"/>
      <c r="M49" s="230"/>
      <c r="N49" s="230"/>
      <c r="O49" s="230"/>
      <c r="P49" s="230"/>
      <c r="Q49" s="230"/>
      <c r="R49" s="230"/>
      <c r="S49" s="230"/>
      <c r="T49" s="230"/>
      <c r="U49" s="230"/>
      <c r="V49" s="230"/>
      <c r="W49" s="230"/>
      <c r="X49" s="230"/>
      <c r="Y49" s="230"/>
    </row>
    <row r="50" spans="6:25" ht="15.95" customHeight="1">
      <c r="F50" s="762"/>
      <c r="G50" s="764"/>
      <c r="H50" s="164"/>
      <c r="I50" s="765"/>
      <c r="K50" s="231"/>
    </row>
    <row r="51" spans="6:25" ht="15.95" customHeight="1">
      <c r="F51" s="766"/>
      <c r="G51" s="767"/>
      <c r="H51" s="192"/>
      <c r="I51" s="758"/>
      <c r="K51" s="231"/>
    </row>
    <row r="52" spans="6:25" ht="15.95" customHeight="1">
      <c r="F52" s="760"/>
      <c r="G52" s="756"/>
      <c r="H52" s="192"/>
      <c r="I52" s="758"/>
      <c r="K52" s="231"/>
    </row>
    <row r="53" spans="6:25" ht="15.95" customHeight="1">
      <c r="F53" s="761"/>
      <c r="G53" s="763"/>
      <c r="H53" s="164"/>
      <c r="I53" s="765"/>
      <c r="K53" s="231"/>
    </row>
    <row r="54" spans="6:25" ht="15.95" customHeight="1">
      <c r="F54" s="762"/>
      <c r="G54" s="764"/>
      <c r="H54" s="164"/>
      <c r="I54" s="765"/>
      <c r="K54" s="231"/>
    </row>
    <row r="55" spans="6:25" ht="15.95" customHeight="1">
      <c r="F55" s="766"/>
      <c r="G55" s="767"/>
      <c r="H55" s="192"/>
      <c r="I55" s="758"/>
      <c r="K55" s="231"/>
    </row>
    <row r="56" spans="6:25" ht="15.95" customHeight="1">
      <c r="F56" s="760"/>
      <c r="G56" s="756"/>
      <c r="H56" s="192"/>
      <c r="I56" s="758"/>
      <c r="K56" s="231"/>
    </row>
    <row r="57" spans="6:25" ht="15.95" customHeight="1" outlineLevel="1">
      <c r="F57" s="761"/>
      <c r="G57" s="763"/>
      <c r="H57" s="164"/>
      <c r="I57" s="765"/>
      <c r="K57" s="231"/>
    </row>
    <row r="58" spans="6:25" ht="15.95" customHeight="1" outlineLevel="1">
      <c r="F58" s="762"/>
      <c r="G58" s="764"/>
      <c r="H58" s="164"/>
      <c r="I58" s="765"/>
      <c r="K58" s="231"/>
    </row>
    <row r="59" spans="6:25" ht="15.95" customHeight="1" outlineLevel="1">
      <c r="F59" s="766"/>
      <c r="G59" s="767"/>
      <c r="H59" s="192"/>
      <c r="I59" s="758"/>
      <c r="K59" s="231"/>
    </row>
    <row r="60" spans="6:25" ht="15.95" customHeight="1" outlineLevel="1">
      <c r="F60" s="760"/>
      <c r="G60" s="756"/>
      <c r="H60" s="192"/>
      <c r="I60" s="758"/>
      <c r="K60" s="231"/>
    </row>
    <row r="61" spans="6:25" ht="15.95" customHeight="1" outlineLevel="1">
      <c r="F61" s="761"/>
      <c r="G61" s="763"/>
      <c r="H61" s="164"/>
      <c r="I61" s="765"/>
      <c r="K61" s="231"/>
    </row>
    <row r="62" spans="6:25" ht="15.95" customHeight="1" outlineLevel="1">
      <c r="F62" s="762"/>
      <c r="G62" s="764"/>
      <c r="H62" s="164"/>
      <c r="I62" s="765"/>
      <c r="K62" s="231"/>
    </row>
    <row r="63" spans="6:25" ht="15.95" customHeight="1" outlineLevel="1">
      <c r="F63" s="766"/>
      <c r="G63" s="767"/>
      <c r="H63" s="192"/>
      <c r="I63" s="758"/>
      <c r="K63" s="231"/>
    </row>
    <row r="64" spans="6:25" ht="15.95" customHeight="1" outlineLevel="1">
      <c r="F64" s="760"/>
      <c r="G64" s="756"/>
      <c r="H64" s="192"/>
      <c r="I64" s="758"/>
      <c r="K64" s="231"/>
    </row>
    <row r="65" spans="6:11" ht="15.95" customHeight="1" outlineLevel="1">
      <c r="F65" s="761"/>
      <c r="G65" s="763"/>
      <c r="H65" s="164"/>
      <c r="I65" s="765"/>
      <c r="K65" s="231"/>
    </row>
    <row r="66" spans="6:11" ht="15.95" customHeight="1" outlineLevel="1">
      <c r="F66" s="762"/>
      <c r="G66" s="764"/>
      <c r="H66" s="164"/>
      <c r="I66" s="765"/>
      <c r="K66" s="231"/>
    </row>
    <row r="67" spans="6:11" ht="15.95" customHeight="1" outlineLevel="1">
      <c r="F67" s="766"/>
      <c r="G67" s="767"/>
      <c r="H67" s="192"/>
      <c r="I67" s="758"/>
      <c r="K67" s="231"/>
    </row>
    <row r="68" spans="6:11" ht="15.95" customHeight="1" outlineLevel="1">
      <c r="F68" s="760"/>
      <c r="G68" s="756"/>
      <c r="H68" s="192"/>
      <c r="I68" s="758"/>
      <c r="K68" s="231"/>
    </row>
    <row r="69" spans="6:11" ht="15.95" customHeight="1" outlineLevel="1">
      <c r="F69" s="761"/>
      <c r="G69" s="763"/>
      <c r="H69" s="164"/>
      <c r="I69" s="765"/>
      <c r="K69" s="231"/>
    </row>
    <row r="70" spans="6:11" ht="15.95" customHeight="1" outlineLevel="1">
      <c r="F70" s="762"/>
      <c r="G70" s="764"/>
      <c r="H70" s="164"/>
      <c r="I70" s="765"/>
      <c r="K70" s="231"/>
    </row>
    <row r="71" spans="6:11" ht="15.95" customHeight="1" outlineLevel="1">
      <c r="F71" s="766"/>
      <c r="G71" s="767"/>
      <c r="H71" s="192"/>
      <c r="I71" s="758"/>
      <c r="K71" s="231"/>
    </row>
    <row r="72" spans="6:11" ht="15.95" customHeight="1" outlineLevel="1">
      <c r="F72" s="760"/>
      <c r="G72" s="756"/>
      <c r="H72" s="192"/>
      <c r="I72" s="758"/>
      <c r="K72" s="231"/>
    </row>
    <row r="73" spans="6:11" ht="15.95" customHeight="1" outlineLevel="1">
      <c r="F73" s="761"/>
      <c r="G73" s="763"/>
      <c r="H73" s="164"/>
      <c r="I73" s="765"/>
    </row>
    <row r="74" spans="6:11" ht="15.95" customHeight="1" outlineLevel="1">
      <c r="F74" s="762"/>
      <c r="G74" s="764"/>
      <c r="H74" s="164"/>
      <c r="I74" s="765"/>
    </row>
    <row r="75" spans="6:11" ht="15.95" customHeight="1" outlineLevel="1">
      <c r="F75" s="766"/>
      <c r="G75" s="767"/>
      <c r="H75" s="192"/>
      <c r="I75" s="758"/>
    </row>
    <row r="76" spans="6:11" ht="15.95" customHeight="1" outlineLevel="1">
      <c r="F76" s="760"/>
      <c r="G76" s="756"/>
      <c r="H76" s="192"/>
      <c r="I76" s="758"/>
    </row>
    <row r="77" spans="6:11" ht="15.95" customHeight="1" outlineLevel="1">
      <c r="F77" s="761"/>
      <c r="G77" s="763"/>
      <c r="H77" s="164"/>
      <c r="I77" s="765"/>
    </row>
    <row r="78" spans="6:11" ht="15.95" customHeight="1" outlineLevel="1">
      <c r="F78" s="762"/>
      <c r="G78" s="764"/>
      <c r="H78" s="164"/>
      <c r="I78" s="765"/>
    </row>
    <row r="79" spans="6:11" ht="15.95" customHeight="1" outlineLevel="1">
      <c r="F79" s="766"/>
      <c r="G79" s="767"/>
      <c r="H79" s="192"/>
      <c r="I79" s="758"/>
    </row>
    <row r="80" spans="6:11" ht="15.95" customHeight="1" outlineLevel="1">
      <c r="F80" s="760"/>
      <c r="G80" s="756"/>
      <c r="H80" s="192"/>
      <c r="I80" s="758"/>
    </row>
    <row r="81" spans="6:9" ht="15.95" customHeight="1" outlineLevel="1">
      <c r="F81" s="761"/>
      <c r="G81" s="763"/>
      <c r="H81" s="164"/>
      <c r="I81" s="765"/>
    </row>
    <row r="82" spans="6:9" ht="15.95" customHeight="1" outlineLevel="1">
      <c r="F82" s="762"/>
      <c r="G82" s="764"/>
      <c r="H82" s="164"/>
      <c r="I82" s="765"/>
    </row>
    <row r="83" spans="6:9" ht="15.95" customHeight="1" outlineLevel="1">
      <c r="F83" s="766"/>
      <c r="G83" s="767"/>
      <c r="H83" s="192"/>
      <c r="I83" s="758"/>
    </row>
    <row r="84" spans="6:9" ht="15.95" customHeight="1" outlineLevel="1">
      <c r="F84" s="760"/>
      <c r="G84" s="756"/>
      <c r="H84" s="192"/>
      <c r="I84" s="758"/>
    </row>
    <row r="85" spans="6:9" ht="15.95" customHeight="1" outlineLevel="1">
      <c r="F85" s="761"/>
      <c r="G85" s="763"/>
      <c r="H85" s="164"/>
      <c r="I85" s="765"/>
    </row>
    <row r="86" spans="6:9" ht="15.95" customHeight="1" outlineLevel="1">
      <c r="F86" s="762"/>
      <c r="G86" s="764"/>
      <c r="H86" s="164"/>
      <c r="I86" s="765"/>
    </row>
    <row r="87" spans="6:9" ht="15.95" customHeight="1" outlineLevel="1">
      <c r="F87" s="766"/>
      <c r="G87" s="767"/>
      <c r="H87" s="192"/>
      <c r="I87" s="758"/>
    </row>
    <row r="88" spans="6:9" ht="15.95" customHeight="1" outlineLevel="1">
      <c r="F88" s="760"/>
      <c r="G88" s="756"/>
      <c r="H88" s="192"/>
      <c r="I88" s="758"/>
    </row>
    <row r="89" spans="6:9" ht="15.95" customHeight="1" outlineLevel="1">
      <c r="F89" s="761"/>
      <c r="G89" s="763"/>
      <c r="H89" s="164"/>
      <c r="I89" s="765"/>
    </row>
    <row r="90" spans="6:9" ht="15.95" customHeight="1" outlineLevel="1">
      <c r="F90" s="762"/>
      <c r="G90" s="764"/>
      <c r="H90" s="164"/>
      <c r="I90" s="765"/>
    </row>
    <row r="91" spans="6:9" ht="15.95" customHeight="1" outlineLevel="1">
      <c r="F91" s="766"/>
      <c r="G91" s="767"/>
      <c r="H91" s="192"/>
      <c r="I91" s="758"/>
    </row>
    <row r="92" spans="6:9" ht="15.95" customHeight="1" outlineLevel="1">
      <c r="F92" s="760"/>
      <c r="G92" s="756"/>
      <c r="H92" s="192"/>
      <c r="I92" s="758"/>
    </row>
    <row r="93" spans="6:9" ht="15.95" customHeight="1" outlineLevel="1">
      <c r="F93" s="761"/>
      <c r="G93" s="763"/>
      <c r="H93" s="164"/>
      <c r="I93" s="765"/>
    </row>
    <row r="94" spans="6:9" ht="15.95" customHeight="1" outlineLevel="1">
      <c r="F94" s="762"/>
      <c r="G94" s="764"/>
      <c r="H94" s="164"/>
      <c r="I94" s="765"/>
    </row>
    <row r="95" spans="6:9" ht="15.95" customHeight="1" outlineLevel="1">
      <c r="F95" s="771"/>
      <c r="G95" s="768"/>
      <c r="H95" s="120"/>
      <c r="I95" s="770"/>
    </row>
    <row r="96" spans="6:9" ht="15.95" customHeight="1" outlineLevel="1">
      <c r="F96" s="772"/>
      <c r="G96" s="769"/>
      <c r="H96" s="120"/>
      <c r="I96" s="770"/>
    </row>
    <row r="97" spans="6:9" ht="15.95" customHeight="1" outlineLevel="1">
      <c r="F97" s="773"/>
      <c r="G97" s="775"/>
      <c r="H97" s="169"/>
      <c r="I97" s="777"/>
    </row>
    <row r="98" spans="6:9" ht="15.95" customHeight="1" outlineLevel="1">
      <c r="F98" s="779"/>
      <c r="G98" s="780"/>
      <c r="H98" s="169"/>
      <c r="I98" s="777"/>
    </row>
    <row r="99" spans="6:9" ht="15.95" customHeight="1" outlineLevel="1">
      <c r="F99" s="771"/>
      <c r="G99" s="768"/>
      <c r="H99" s="120"/>
      <c r="I99" s="770"/>
    </row>
    <row r="100" spans="6:9" ht="15.95" customHeight="1" outlineLevel="1">
      <c r="F100" s="772"/>
      <c r="G100" s="769"/>
      <c r="H100" s="120"/>
      <c r="I100" s="770"/>
    </row>
    <row r="101" spans="6:9" ht="15.95" customHeight="1" outlineLevel="1">
      <c r="F101" s="773"/>
      <c r="G101" s="775"/>
      <c r="H101" s="169"/>
      <c r="I101" s="777"/>
    </row>
    <row r="102" spans="6:9" ht="15.95" customHeight="1" outlineLevel="1" thickBot="1">
      <c r="F102" s="774"/>
      <c r="G102" s="776"/>
      <c r="H102" s="247"/>
      <c r="I102" s="778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>
      <selection activeCell="D12" sqref="D12"/>
    </sheetView>
  </sheetViews>
  <sheetFormatPr defaultRowHeight="20.100000000000001" customHeight="1" outlineLevelRow="1"/>
  <cols>
    <col min="1" max="1" width="5.109375" style="280" customWidth="1"/>
    <col min="2" max="2" width="13" style="280" customWidth="1"/>
    <col min="3" max="3" width="17" style="280" customWidth="1"/>
    <col min="4" max="4" width="15.109375" style="280" customWidth="1"/>
    <col min="5" max="5" width="10.109375" style="280" customWidth="1"/>
    <col min="6" max="6" width="10.33203125" style="231" customWidth="1"/>
    <col min="7" max="7" width="10.109375" style="280" customWidth="1"/>
    <col min="8" max="8" width="10.21875" style="280" customWidth="1"/>
    <col min="9" max="9" width="11.109375" style="280" customWidth="1"/>
    <col min="10" max="10" width="11" style="280" customWidth="1"/>
    <col min="11" max="11" width="10.88671875" style="280" customWidth="1"/>
    <col min="12" max="12" width="10" style="280" customWidth="1"/>
    <col min="13" max="13" width="10.109375" style="280" bestFit="1" customWidth="1"/>
    <col min="14" max="14" width="9.88671875" style="280" customWidth="1"/>
    <col min="15" max="15" width="9.44140625" style="280" customWidth="1"/>
    <col min="16" max="16" width="9.5546875" style="280" customWidth="1"/>
    <col min="17" max="17" width="9.88671875" style="280" customWidth="1"/>
    <col min="18" max="18" width="8.77734375" style="280" customWidth="1"/>
    <col min="19" max="34" width="9.44140625" style="280" bestFit="1" customWidth="1"/>
    <col min="35" max="16384" width="8.88671875" style="280"/>
  </cols>
  <sheetData>
    <row r="1" spans="2:21" ht="41.25" customHeight="1" thickBot="1">
      <c r="C1" s="259" t="s">
        <v>270</v>
      </c>
      <c r="G1" s="259" t="s">
        <v>599</v>
      </c>
      <c r="L1" s="259" t="s">
        <v>803</v>
      </c>
      <c r="S1" s="259" t="s">
        <v>224</v>
      </c>
    </row>
    <row r="2" spans="2:21" ht="36.75" customHeight="1">
      <c r="C2" s="710" t="s">
        <v>209</v>
      </c>
      <c r="D2" s="711" t="s">
        <v>590</v>
      </c>
      <c r="E2" s="711" t="s">
        <v>206</v>
      </c>
      <c r="F2" s="711" t="s">
        <v>213</v>
      </c>
      <c r="G2" s="711" t="s">
        <v>214</v>
      </c>
      <c r="H2" s="711" t="s">
        <v>154</v>
      </c>
      <c r="I2" s="711" t="s">
        <v>215</v>
      </c>
      <c r="J2" s="712" t="s">
        <v>216</v>
      </c>
      <c r="L2" s="289" t="s">
        <v>206</v>
      </c>
      <c r="M2" s="290" t="s">
        <v>210</v>
      </c>
      <c r="N2" s="290" t="s">
        <v>211</v>
      </c>
      <c r="O2" s="290" t="s">
        <v>212</v>
      </c>
      <c r="P2" s="645" t="s">
        <v>801</v>
      </c>
      <c r="Q2" s="646" t="s">
        <v>802</v>
      </c>
      <c r="S2" s="289" t="s">
        <v>214</v>
      </c>
      <c r="T2" s="290" t="s">
        <v>217</v>
      </c>
      <c r="U2" s="291" t="s">
        <v>218</v>
      </c>
    </row>
    <row r="3" spans="2:21" ht="20.100000000000001" customHeight="1">
      <c r="C3" s="713" t="s">
        <v>219</v>
      </c>
      <c r="D3" s="714">
        <v>2880</v>
      </c>
      <c r="E3" s="714">
        <v>100</v>
      </c>
      <c r="F3" s="714">
        <v>11.35</v>
      </c>
      <c r="G3" s="714">
        <v>38.270000000000003</v>
      </c>
      <c r="H3" s="714">
        <v>26.92</v>
      </c>
      <c r="I3" s="714">
        <v>7.4999999999999997E-2</v>
      </c>
      <c r="J3" s="715">
        <v>3.9234870018388648</v>
      </c>
      <c r="K3" s="231"/>
      <c r="L3" s="191">
        <v>100</v>
      </c>
      <c r="M3" s="192">
        <v>7.4999999999999997E-2</v>
      </c>
      <c r="N3" s="192">
        <v>7.4999999999999997E-2</v>
      </c>
      <c r="O3" s="192">
        <v>464</v>
      </c>
      <c r="P3" s="192">
        <v>2.8660000000000001</v>
      </c>
      <c r="Q3" s="195">
        <v>6.8330000000000002E-2</v>
      </c>
      <c r="S3" s="242">
        <v>38.270000000000003</v>
      </c>
      <c r="T3" s="227">
        <v>13.282035095417495</v>
      </c>
      <c r="U3" s="237">
        <v>24.987964904582508</v>
      </c>
    </row>
    <row r="4" spans="2:21" ht="20.100000000000001" customHeight="1">
      <c r="C4" s="716" t="s">
        <v>786</v>
      </c>
      <c r="D4" s="717">
        <v>2880</v>
      </c>
      <c r="E4" s="717">
        <v>100</v>
      </c>
      <c r="F4" s="717">
        <v>11.43</v>
      </c>
      <c r="G4" s="717">
        <v>35.32</v>
      </c>
      <c r="H4" s="717">
        <v>23.89</v>
      </c>
      <c r="I4" s="717">
        <v>7.4999999999999997E-2</v>
      </c>
      <c r="J4" s="718">
        <v>3.9210694519925795</v>
      </c>
      <c r="K4" s="231"/>
      <c r="L4" s="163">
        <v>100</v>
      </c>
      <c r="M4" s="164">
        <v>7.4999999999999997E-2</v>
      </c>
      <c r="N4" s="164">
        <v>7.4999999999999997E-2</v>
      </c>
      <c r="O4" s="164">
        <v>464</v>
      </c>
      <c r="P4" s="164">
        <v>3.3010000000000002</v>
      </c>
      <c r="Q4" s="166">
        <v>6.3600000000000004E-2</v>
      </c>
      <c r="S4" s="207">
        <v>35.32</v>
      </c>
      <c r="T4" s="168">
        <v>13.316441013548392</v>
      </c>
      <c r="U4" s="165">
        <v>22.003558986451608</v>
      </c>
    </row>
    <row r="5" spans="2:21" ht="20.100000000000001" customHeight="1">
      <c r="C5" s="713" t="s">
        <v>787</v>
      </c>
      <c r="D5" s="714">
        <v>2880</v>
      </c>
      <c r="E5" s="714">
        <v>100</v>
      </c>
      <c r="F5" s="714">
        <v>10.94</v>
      </c>
      <c r="G5" s="714">
        <v>37.46</v>
      </c>
      <c r="H5" s="714">
        <v>26.520000000000003</v>
      </c>
      <c r="I5" s="714">
        <v>7.4999999999999997E-2</v>
      </c>
      <c r="J5" s="715">
        <v>3.9258258839347562</v>
      </c>
      <c r="K5" s="231"/>
      <c r="L5" s="191">
        <v>100</v>
      </c>
      <c r="M5" s="192">
        <v>7.4999999999999997E-2</v>
      </c>
      <c r="N5" s="192">
        <v>7.4999999999999997E-2</v>
      </c>
      <c r="O5" s="192">
        <v>464</v>
      </c>
      <c r="P5" s="192">
        <v>2.9169999999999998</v>
      </c>
      <c r="Q5" s="195">
        <v>6.7760000000000001E-2</v>
      </c>
      <c r="S5" s="242">
        <v>37.46</v>
      </c>
      <c r="T5" s="227">
        <v>12.866259102345108</v>
      </c>
      <c r="U5" s="237">
        <v>24.593740897654893</v>
      </c>
    </row>
    <row r="6" spans="2:21" ht="20.100000000000001" customHeight="1">
      <c r="C6" s="716"/>
      <c r="D6" s="717"/>
      <c r="E6" s="717"/>
      <c r="F6" s="717"/>
      <c r="G6" s="717"/>
      <c r="H6" s="717"/>
      <c r="I6" s="717"/>
      <c r="J6" s="718"/>
      <c r="K6" s="231"/>
      <c r="L6" s="163"/>
      <c r="M6" s="164"/>
      <c r="N6" s="164"/>
      <c r="O6" s="164"/>
      <c r="P6" s="164"/>
      <c r="Q6" s="166"/>
      <c r="S6" s="207"/>
      <c r="T6" s="168"/>
      <c r="U6" s="165"/>
    </row>
    <row r="7" spans="2:21" ht="20.100000000000001" customHeight="1">
      <c r="C7" s="713"/>
      <c r="D7" s="714"/>
      <c r="E7" s="714"/>
      <c r="F7" s="714"/>
      <c r="G7" s="714"/>
      <c r="H7" s="714"/>
      <c r="I7" s="714"/>
      <c r="J7" s="715"/>
      <c r="K7" s="231"/>
      <c r="L7" s="191"/>
      <c r="M7" s="192"/>
      <c r="N7" s="192"/>
      <c r="O7" s="192"/>
      <c r="P7" s="192"/>
      <c r="Q7" s="195"/>
      <c r="S7" s="242"/>
      <c r="T7" s="227"/>
      <c r="U7" s="237"/>
    </row>
    <row r="8" spans="2:21" ht="20.100000000000001" customHeight="1">
      <c r="C8" s="716"/>
      <c r="D8" s="717"/>
      <c r="E8" s="717"/>
      <c r="F8" s="717"/>
      <c r="G8" s="717"/>
      <c r="H8" s="717"/>
      <c r="I8" s="717"/>
      <c r="J8" s="718"/>
      <c r="K8" s="231"/>
      <c r="L8" s="163"/>
      <c r="M8" s="164"/>
      <c r="N8" s="164"/>
      <c r="O8" s="164"/>
      <c r="P8" s="164"/>
      <c r="Q8" s="166"/>
      <c r="S8" s="163"/>
      <c r="T8" s="168"/>
      <c r="U8" s="165"/>
    </row>
    <row r="9" spans="2:21" ht="20.100000000000001" customHeight="1">
      <c r="B9" s="280" t="s">
        <v>749</v>
      </c>
      <c r="C9" s="713"/>
      <c r="D9" s="714"/>
      <c r="E9" s="714"/>
      <c r="F9" s="714"/>
      <c r="G9" s="714"/>
      <c r="H9" s="714"/>
      <c r="I9" s="714"/>
      <c r="J9" s="715"/>
      <c r="K9" s="231"/>
      <c r="L9" s="191"/>
      <c r="M9" s="192"/>
      <c r="N9" s="192"/>
      <c r="O9" s="192"/>
      <c r="P9" s="192"/>
      <c r="Q9" s="195"/>
      <c r="S9" s="191"/>
      <c r="T9" s="227"/>
      <c r="U9" s="237"/>
    </row>
    <row r="10" spans="2:21" ht="20.100000000000001" customHeight="1">
      <c r="B10" s="280" t="s">
        <v>750</v>
      </c>
      <c r="C10" s="716"/>
      <c r="D10" s="717"/>
      <c r="E10" s="717"/>
      <c r="F10" s="717"/>
      <c r="G10" s="717"/>
      <c r="H10" s="717"/>
      <c r="I10" s="717"/>
      <c r="J10" s="718"/>
      <c r="K10" s="231"/>
      <c r="L10" s="163"/>
      <c r="M10" s="164"/>
      <c r="N10" s="164"/>
      <c r="O10" s="164"/>
      <c r="P10" s="164"/>
      <c r="Q10" s="166"/>
      <c r="S10" s="163"/>
      <c r="T10" s="168"/>
      <c r="U10" s="165"/>
    </row>
    <row r="11" spans="2:21" ht="20.100000000000001" customHeight="1">
      <c r="C11" s="713"/>
      <c r="D11" s="714"/>
      <c r="E11" s="714"/>
      <c r="F11" s="714"/>
      <c r="G11" s="714"/>
      <c r="H11" s="714"/>
      <c r="I11" s="714"/>
      <c r="J11" s="715"/>
      <c r="K11" s="231"/>
      <c r="L11" s="191"/>
      <c r="M11" s="192"/>
      <c r="N11" s="192"/>
      <c r="O11" s="192"/>
      <c r="P11" s="192"/>
      <c r="Q11" s="195"/>
      <c r="S11" s="191"/>
      <c r="T11" s="227"/>
      <c r="U11" s="237"/>
    </row>
    <row r="12" spans="2:21" ht="20.100000000000001" customHeight="1">
      <c r="C12" s="716"/>
      <c r="D12" s="717"/>
      <c r="E12" s="717"/>
      <c r="F12" s="717"/>
      <c r="G12" s="717"/>
      <c r="H12" s="717"/>
      <c r="I12" s="717"/>
      <c r="J12" s="718"/>
      <c r="K12" s="231"/>
      <c r="L12" s="163"/>
      <c r="M12" s="164"/>
      <c r="N12" s="164"/>
      <c r="O12" s="164"/>
      <c r="P12" s="164"/>
      <c r="Q12" s="166"/>
      <c r="S12" s="163"/>
      <c r="T12" s="168"/>
      <c r="U12" s="165"/>
    </row>
    <row r="13" spans="2:21" ht="20.100000000000001" customHeight="1" outlineLevel="1">
      <c r="C13" s="713"/>
      <c r="D13" s="714"/>
      <c r="E13" s="714"/>
      <c r="F13" s="714"/>
      <c r="G13" s="714"/>
      <c r="H13" s="714"/>
      <c r="I13" s="714"/>
      <c r="J13" s="715"/>
      <c r="K13" s="231"/>
      <c r="L13" s="191"/>
      <c r="M13" s="192"/>
      <c r="N13" s="192"/>
      <c r="O13" s="192"/>
      <c r="P13" s="192"/>
      <c r="Q13" s="195"/>
      <c r="S13" s="191"/>
      <c r="T13" s="227"/>
      <c r="U13" s="237"/>
    </row>
    <row r="14" spans="2:21" ht="20.100000000000001" customHeight="1" outlineLevel="1">
      <c r="C14" s="716"/>
      <c r="D14" s="717"/>
      <c r="E14" s="717"/>
      <c r="F14" s="717"/>
      <c r="G14" s="717"/>
      <c r="H14" s="717"/>
      <c r="I14" s="717"/>
      <c r="J14" s="718"/>
      <c r="K14" s="231"/>
      <c r="L14" s="163"/>
      <c r="M14" s="164"/>
      <c r="N14" s="164"/>
      <c r="O14" s="164"/>
      <c r="P14" s="164"/>
      <c r="Q14" s="166"/>
      <c r="S14" s="163"/>
      <c r="T14" s="168"/>
      <c r="U14" s="165"/>
    </row>
    <row r="15" spans="2:21" ht="20.100000000000001" customHeight="1" outlineLevel="1">
      <c r="C15" s="713"/>
      <c r="D15" s="714"/>
      <c r="E15" s="714"/>
      <c r="F15" s="714"/>
      <c r="G15" s="714"/>
      <c r="H15" s="714"/>
      <c r="I15" s="714"/>
      <c r="J15" s="715"/>
      <c r="K15" s="231"/>
      <c r="L15" s="191"/>
      <c r="M15" s="192"/>
      <c r="N15" s="192"/>
      <c r="O15" s="192"/>
      <c r="P15" s="192"/>
      <c r="Q15" s="195"/>
      <c r="S15" s="191"/>
      <c r="T15" s="227"/>
      <c r="U15" s="237"/>
    </row>
    <row r="16" spans="2:21" ht="20.100000000000001" customHeight="1" outlineLevel="1">
      <c r="C16" s="716"/>
      <c r="D16" s="717"/>
      <c r="E16" s="717"/>
      <c r="F16" s="717"/>
      <c r="G16" s="717"/>
      <c r="H16" s="717"/>
      <c r="I16" s="717"/>
      <c r="J16" s="718"/>
      <c r="K16" s="231"/>
      <c r="L16" s="163"/>
      <c r="M16" s="164"/>
      <c r="N16" s="164"/>
      <c r="O16" s="164"/>
      <c r="P16" s="164"/>
      <c r="Q16" s="166"/>
      <c r="S16" s="163"/>
      <c r="T16" s="168"/>
      <c r="U16" s="165"/>
    </row>
    <row r="17" spans="3:21" ht="20.100000000000001" customHeight="1" outlineLevel="1">
      <c r="C17" s="713"/>
      <c r="D17" s="714"/>
      <c r="E17" s="714"/>
      <c r="F17" s="714"/>
      <c r="G17" s="714"/>
      <c r="H17" s="714"/>
      <c r="I17" s="714"/>
      <c r="J17" s="715"/>
      <c r="K17" s="231"/>
      <c r="L17" s="191"/>
      <c r="M17" s="192"/>
      <c r="N17" s="192"/>
      <c r="O17" s="192"/>
      <c r="P17" s="192"/>
      <c r="Q17" s="195"/>
      <c r="S17" s="191"/>
      <c r="T17" s="227"/>
      <c r="U17" s="237"/>
    </row>
    <row r="18" spans="3:21" ht="20.100000000000001" customHeight="1" outlineLevel="1">
      <c r="C18" s="716"/>
      <c r="D18" s="717"/>
      <c r="E18" s="717"/>
      <c r="F18" s="717"/>
      <c r="G18" s="717"/>
      <c r="H18" s="717"/>
      <c r="I18" s="717"/>
      <c r="J18" s="718"/>
      <c r="K18" s="231"/>
      <c r="L18" s="163"/>
      <c r="M18" s="164"/>
      <c r="N18" s="164"/>
      <c r="O18" s="164"/>
      <c r="P18" s="164"/>
      <c r="Q18" s="166"/>
      <c r="S18" s="163"/>
      <c r="T18" s="168"/>
      <c r="U18" s="165"/>
    </row>
    <row r="19" spans="3:21" ht="20.100000000000001" customHeight="1" outlineLevel="1">
      <c r="C19" s="713"/>
      <c r="D19" s="714"/>
      <c r="E19" s="714"/>
      <c r="F19" s="714"/>
      <c r="G19" s="714"/>
      <c r="H19" s="714"/>
      <c r="I19" s="714"/>
      <c r="J19" s="715"/>
      <c r="K19" s="231"/>
      <c r="L19" s="191"/>
      <c r="M19" s="192"/>
      <c r="N19" s="192"/>
      <c r="O19" s="192"/>
      <c r="P19" s="192"/>
      <c r="Q19" s="195"/>
      <c r="S19" s="191"/>
      <c r="T19" s="227"/>
      <c r="U19" s="237"/>
    </row>
    <row r="20" spans="3:21" ht="20.100000000000001" customHeight="1" outlineLevel="1">
      <c r="C20" s="716"/>
      <c r="D20" s="717"/>
      <c r="E20" s="717"/>
      <c r="F20" s="717"/>
      <c r="G20" s="717"/>
      <c r="H20" s="717"/>
      <c r="I20" s="717"/>
      <c r="J20" s="718"/>
      <c r="K20" s="231"/>
      <c r="L20" s="163"/>
      <c r="M20" s="164"/>
      <c r="N20" s="164"/>
      <c r="O20" s="164"/>
      <c r="P20" s="164"/>
      <c r="Q20" s="166"/>
      <c r="S20" s="163"/>
      <c r="T20" s="168"/>
      <c r="U20" s="165"/>
    </row>
    <row r="21" spans="3:21" ht="20.100000000000001" customHeight="1" outlineLevel="1">
      <c r="C21" s="713"/>
      <c r="D21" s="714"/>
      <c r="E21" s="714"/>
      <c r="F21" s="714"/>
      <c r="G21" s="714"/>
      <c r="H21" s="714"/>
      <c r="I21" s="714"/>
      <c r="J21" s="715"/>
      <c r="K21" s="231"/>
      <c r="L21" s="191"/>
      <c r="M21" s="192"/>
      <c r="N21" s="192"/>
      <c r="O21" s="192"/>
      <c r="P21" s="192"/>
      <c r="Q21" s="195"/>
      <c r="S21" s="191"/>
      <c r="T21" s="227"/>
      <c r="U21" s="237"/>
    </row>
    <row r="22" spans="3:21" ht="20.100000000000001" customHeight="1" outlineLevel="1">
      <c r="C22" s="716"/>
      <c r="D22" s="717"/>
      <c r="E22" s="717"/>
      <c r="F22" s="717"/>
      <c r="G22" s="717"/>
      <c r="H22" s="717"/>
      <c r="I22" s="717"/>
      <c r="J22" s="718"/>
      <c r="K22" s="231"/>
      <c r="L22" s="163"/>
      <c r="M22" s="164"/>
      <c r="N22" s="164"/>
      <c r="O22" s="164"/>
      <c r="P22" s="164"/>
      <c r="Q22" s="166"/>
      <c r="S22" s="163"/>
      <c r="T22" s="168"/>
      <c r="U22" s="165"/>
    </row>
    <row r="23" spans="3:21" ht="20.100000000000001" customHeight="1" outlineLevel="1">
      <c r="C23" s="713"/>
      <c r="D23" s="714"/>
      <c r="E23" s="714"/>
      <c r="F23" s="714"/>
      <c r="G23" s="714"/>
      <c r="H23" s="714"/>
      <c r="I23" s="714"/>
      <c r="J23" s="715"/>
      <c r="K23" s="231"/>
      <c r="L23" s="191"/>
      <c r="M23" s="192"/>
      <c r="N23" s="192"/>
      <c r="O23" s="192"/>
      <c r="P23" s="192"/>
      <c r="Q23" s="195"/>
      <c r="S23" s="191"/>
      <c r="T23" s="227"/>
      <c r="U23" s="237"/>
    </row>
    <row r="24" spans="3:21" ht="20.100000000000001" customHeight="1" outlineLevel="1">
      <c r="C24" s="716"/>
      <c r="D24" s="717"/>
      <c r="E24" s="717"/>
      <c r="F24" s="717"/>
      <c r="G24" s="717"/>
      <c r="H24" s="717"/>
      <c r="I24" s="717"/>
      <c r="J24" s="718"/>
      <c r="K24" s="231"/>
      <c r="L24" s="163"/>
      <c r="M24" s="164"/>
      <c r="N24" s="164"/>
      <c r="O24" s="164"/>
      <c r="P24" s="164"/>
      <c r="Q24" s="166"/>
      <c r="S24" s="163"/>
      <c r="T24" s="168"/>
      <c r="U24" s="165"/>
    </row>
    <row r="25" spans="3:21" ht="20.100000000000001" customHeight="1" outlineLevel="1">
      <c r="C25" s="713"/>
      <c r="D25" s="714"/>
      <c r="E25" s="714"/>
      <c r="F25" s="714"/>
      <c r="G25" s="714"/>
      <c r="H25" s="714"/>
      <c r="I25" s="714"/>
      <c r="J25" s="715"/>
      <c r="K25" s="231"/>
      <c r="L25" s="191"/>
      <c r="M25" s="192"/>
      <c r="N25" s="192"/>
      <c r="O25" s="192"/>
      <c r="P25" s="192"/>
      <c r="Q25" s="195"/>
      <c r="S25" s="191"/>
      <c r="T25" s="227"/>
      <c r="U25" s="237"/>
    </row>
    <row r="26" spans="3:21" ht="20.100000000000001" customHeight="1" outlineLevel="1">
      <c r="C26" s="716"/>
      <c r="D26" s="717"/>
      <c r="E26" s="717"/>
      <c r="F26" s="717"/>
      <c r="G26" s="717"/>
      <c r="H26" s="717"/>
      <c r="I26" s="717"/>
      <c r="J26" s="718"/>
      <c r="K26" s="231"/>
      <c r="L26" s="163"/>
      <c r="M26" s="164"/>
      <c r="N26" s="164"/>
      <c r="O26" s="164"/>
      <c r="P26" s="164"/>
      <c r="Q26" s="166"/>
      <c r="S26" s="163"/>
      <c r="T26" s="168"/>
      <c r="U26" s="165"/>
    </row>
    <row r="27" spans="3:21" ht="20.100000000000001" customHeight="1" outlineLevel="1">
      <c r="C27" s="713"/>
      <c r="D27" s="714"/>
      <c r="E27" s="714"/>
      <c r="F27" s="714"/>
      <c r="G27" s="714"/>
      <c r="H27" s="714"/>
      <c r="I27" s="714"/>
      <c r="J27" s="715"/>
      <c r="K27" s="231"/>
      <c r="L27" s="191"/>
      <c r="M27" s="192"/>
      <c r="N27" s="192"/>
      <c r="O27" s="192"/>
      <c r="P27" s="192"/>
      <c r="Q27" s="195"/>
      <c r="S27" s="191"/>
      <c r="T27" s="227"/>
      <c r="U27" s="237"/>
    </row>
    <row r="28" spans="3:21" ht="20.100000000000001" customHeight="1" outlineLevel="1">
      <c r="C28" s="716"/>
      <c r="D28" s="717"/>
      <c r="E28" s="717"/>
      <c r="F28" s="717"/>
      <c r="G28" s="717"/>
      <c r="H28" s="717"/>
      <c r="I28" s="717"/>
      <c r="J28" s="718"/>
      <c r="K28" s="231"/>
      <c r="L28" s="163"/>
      <c r="M28" s="164"/>
      <c r="N28" s="164"/>
      <c r="O28" s="164"/>
      <c r="P28" s="164"/>
      <c r="Q28" s="166"/>
      <c r="S28" s="163"/>
      <c r="T28" s="168"/>
      <c r="U28" s="165"/>
    </row>
    <row r="29" spans="3:21" ht="20.100000000000001" customHeight="1" outlineLevel="1">
      <c r="C29" s="713"/>
      <c r="D29" s="714"/>
      <c r="E29" s="714"/>
      <c r="F29" s="714"/>
      <c r="G29" s="714"/>
      <c r="H29" s="714"/>
      <c r="I29" s="714"/>
      <c r="J29" s="715"/>
      <c r="K29" s="231"/>
      <c r="L29" s="191"/>
      <c r="M29" s="192"/>
      <c r="N29" s="192"/>
      <c r="O29" s="192"/>
      <c r="P29" s="192"/>
      <c r="Q29" s="195"/>
      <c r="S29" s="191"/>
      <c r="T29" s="227"/>
      <c r="U29" s="237"/>
    </row>
    <row r="30" spans="3:21" ht="20.100000000000001" customHeight="1" outlineLevel="1">
      <c r="C30" s="716"/>
      <c r="D30" s="717"/>
      <c r="E30" s="717"/>
      <c r="F30" s="717"/>
      <c r="G30" s="717"/>
      <c r="H30" s="717"/>
      <c r="I30" s="717"/>
      <c r="J30" s="718"/>
      <c r="K30" s="231"/>
      <c r="L30" s="163"/>
      <c r="M30" s="164"/>
      <c r="N30" s="164"/>
      <c r="O30" s="164"/>
      <c r="P30" s="164"/>
      <c r="Q30" s="166"/>
      <c r="S30" s="163"/>
      <c r="T30" s="168"/>
      <c r="U30" s="165"/>
    </row>
    <row r="31" spans="3:21" ht="20.100000000000001" customHeight="1" outlineLevel="1">
      <c r="C31" s="713"/>
      <c r="D31" s="714"/>
      <c r="E31" s="714"/>
      <c r="F31" s="714"/>
      <c r="G31" s="714"/>
      <c r="H31" s="714"/>
      <c r="I31" s="714"/>
      <c r="J31" s="715"/>
      <c r="K31" s="231"/>
      <c r="L31" s="191"/>
      <c r="M31" s="192"/>
      <c r="N31" s="192"/>
      <c r="O31" s="192"/>
      <c r="P31" s="192"/>
      <c r="Q31" s="195"/>
      <c r="S31" s="191"/>
      <c r="T31" s="227"/>
      <c r="U31" s="237"/>
    </row>
    <row r="32" spans="3:21" ht="20.100000000000001" customHeight="1" outlineLevel="1">
      <c r="C32" s="716"/>
      <c r="D32" s="717"/>
      <c r="E32" s="717"/>
      <c r="F32" s="717"/>
      <c r="G32" s="717"/>
      <c r="H32" s="717"/>
      <c r="I32" s="717"/>
      <c r="J32" s="718"/>
      <c r="K32" s="231"/>
      <c r="L32" s="163"/>
      <c r="M32" s="164"/>
      <c r="N32" s="164"/>
      <c r="O32" s="164"/>
      <c r="P32" s="164"/>
      <c r="Q32" s="166"/>
      <c r="S32" s="163"/>
      <c r="T32" s="168"/>
      <c r="U32" s="165"/>
    </row>
    <row r="33" spans="3:36" ht="20.100000000000001" customHeight="1" outlineLevel="1" thickBot="1">
      <c r="C33" s="719"/>
      <c r="D33" s="612"/>
      <c r="E33" s="720"/>
      <c r="F33" s="720"/>
      <c r="G33" s="720"/>
      <c r="H33" s="720"/>
      <c r="I33" s="720"/>
      <c r="J33" s="721"/>
      <c r="K33" s="231"/>
      <c r="L33" s="240"/>
      <c r="M33" s="238"/>
      <c r="N33" s="238"/>
      <c r="O33" s="238"/>
      <c r="P33" s="238"/>
      <c r="Q33" s="241"/>
      <c r="S33" s="240"/>
      <c r="T33" s="243"/>
      <c r="U33" s="239"/>
    </row>
    <row r="34" spans="3:36" ht="20.100000000000001" customHeight="1" outlineLevel="1">
      <c r="D34" s="231"/>
      <c r="E34" s="231"/>
      <c r="G34" s="231"/>
      <c r="H34" s="231"/>
      <c r="I34" s="231"/>
      <c r="J34" s="281"/>
      <c r="K34" s="231"/>
      <c r="L34" s="231"/>
      <c r="M34" s="231"/>
      <c r="N34" s="231"/>
      <c r="O34" s="231"/>
      <c r="P34" s="231"/>
      <c r="Q34" s="231"/>
      <c r="S34" s="231"/>
      <c r="T34" s="281"/>
      <c r="U34" s="281"/>
    </row>
    <row r="35" spans="3:36" ht="20.100000000000001" customHeight="1">
      <c r="H35" s="282"/>
      <c r="J35" s="283"/>
      <c r="K35" s="283"/>
      <c r="L35" s="283"/>
      <c r="M35" s="283"/>
      <c r="N35" s="283"/>
      <c r="O35" s="283"/>
      <c r="P35" s="283"/>
      <c r="S35" s="231"/>
      <c r="T35" s="281"/>
      <c r="U35" s="281"/>
    </row>
    <row r="36" spans="3:36" s="231" customFormat="1" ht="26.25" customHeight="1" thickBot="1">
      <c r="C36" s="259" t="s">
        <v>228</v>
      </c>
      <c r="E36" s="259" t="s">
        <v>598</v>
      </c>
      <c r="G36" s="262"/>
      <c r="S36" s="281"/>
      <c r="T36" s="281"/>
    </row>
    <row r="37" spans="3:36" s="284" customFormat="1" ht="36" customHeight="1">
      <c r="C37" s="604" t="s">
        <v>245</v>
      </c>
      <c r="D37" s="605" t="s">
        <v>81</v>
      </c>
      <c r="E37" s="605" t="s">
        <v>147</v>
      </c>
      <c r="F37" s="605" t="s">
        <v>148</v>
      </c>
      <c r="G37" s="606"/>
      <c r="H37" s="605"/>
      <c r="I37" s="605"/>
      <c r="J37" s="605"/>
      <c r="K37" s="605"/>
      <c r="L37" s="605"/>
      <c r="M37" s="605"/>
      <c r="N37" s="605"/>
      <c r="O37" s="605"/>
      <c r="P37" s="605"/>
      <c r="Q37" s="605"/>
      <c r="R37" s="605"/>
      <c r="S37" s="605"/>
      <c r="T37" s="605"/>
      <c r="U37" s="605"/>
      <c r="V37" s="605"/>
      <c r="W37" s="605"/>
      <c r="X37" s="605"/>
      <c r="Y37" s="605"/>
      <c r="Z37" s="605"/>
      <c r="AA37" s="605"/>
      <c r="AB37" s="605"/>
      <c r="AC37" s="605"/>
      <c r="AD37" s="605"/>
      <c r="AE37" s="605"/>
      <c r="AF37" s="605"/>
      <c r="AG37" s="607"/>
      <c r="AI37" s="230"/>
      <c r="AJ37" s="231"/>
    </row>
    <row r="38" spans="3:36" s="231" customFormat="1" ht="23.1" customHeight="1">
      <c r="C38" s="608" t="s">
        <v>231</v>
      </c>
      <c r="D38" s="698">
        <v>2.1659999999999999</v>
      </c>
      <c r="E38" s="699">
        <v>2.3970000000000002</v>
      </c>
      <c r="F38" s="698">
        <v>2.2244999999999999</v>
      </c>
      <c r="G38" s="699"/>
      <c r="H38" s="698"/>
      <c r="I38" s="699"/>
      <c r="J38" s="698"/>
      <c r="K38" s="699"/>
      <c r="L38" s="698"/>
      <c r="M38" s="699"/>
      <c r="N38" s="698"/>
      <c r="O38" s="706"/>
      <c r="P38" s="706"/>
      <c r="Q38" s="706"/>
      <c r="R38" s="706"/>
      <c r="S38" s="706"/>
      <c r="T38" s="706"/>
      <c r="U38" s="706"/>
      <c r="V38" s="706"/>
      <c r="W38" s="706"/>
      <c r="X38" s="706"/>
      <c r="Y38" s="706"/>
      <c r="Z38" s="706"/>
      <c r="AA38" s="706"/>
      <c r="AB38" s="706"/>
      <c r="AC38" s="706"/>
      <c r="AD38" s="706"/>
      <c r="AE38" s="706"/>
      <c r="AF38" s="706"/>
      <c r="AG38" s="707"/>
    </row>
    <row r="39" spans="3:36" s="231" customFormat="1" ht="23.1" customHeight="1">
      <c r="C39" s="608" t="s">
        <v>222</v>
      </c>
      <c r="D39" s="698">
        <v>4.6600000000000001E-3</v>
      </c>
      <c r="E39" s="699">
        <v>5.1599999999999997E-3</v>
      </c>
      <c r="F39" s="698">
        <v>4.79E-3</v>
      </c>
      <c r="G39" s="699"/>
      <c r="H39" s="698"/>
      <c r="I39" s="699"/>
      <c r="J39" s="698"/>
      <c r="K39" s="699"/>
      <c r="L39" s="698"/>
      <c r="M39" s="699"/>
      <c r="N39" s="698"/>
      <c r="O39" s="706"/>
      <c r="P39" s="706"/>
      <c r="Q39" s="706"/>
      <c r="R39" s="706"/>
      <c r="S39" s="706"/>
      <c r="T39" s="706"/>
      <c r="U39" s="706"/>
      <c r="V39" s="706"/>
      <c r="W39" s="706"/>
      <c r="X39" s="706"/>
      <c r="Y39" s="706"/>
      <c r="Z39" s="706"/>
      <c r="AA39" s="706"/>
      <c r="AB39" s="706"/>
      <c r="AC39" s="706"/>
      <c r="AD39" s="706"/>
      <c r="AE39" s="706"/>
      <c r="AF39" s="706"/>
      <c r="AG39" s="707"/>
    </row>
    <row r="40" spans="3:36" s="231" customFormat="1" ht="23.1" customHeight="1">
      <c r="C40" s="608" t="s">
        <v>223</v>
      </c>
      <c r="D40" s="700">
        <v>1.7789999999999999E-4</v>
      </c>
      <c r="E40" s="701">
        <v>1.7789999999999999E-4</v>
      </c>
      <c r="F40" s="700">
        <v>1.7780000000000001E-4</v>
      </c>
      <c r="G40" s="701"/>
      <c r="H40" s="700"/>
      <c r="I40" s="701"/>
      <c r="J40" s="700"/>
      <c r="K40" s="701"/>
      <c r="L40" s="700"/>
      <c r="M40" s="701"/>
      <c r="N40" s="700"/>
      <c r="O40" s="706"/>
      <c r="P40" s="706"/>
      <c r="Q40" s="706"/>
      <c r="R40" s="706"/>
      <c r="S40" s="706"/>
      <c r="T40" s="706"/>
      <c r="U40" s="706"/>
      <c r="V40" s="706"/>
      <c r="W40" s="706"/>
      <c r="X40" s="706"/>
      <c r="Y40" s="706"/>
      <c r="Z40" s="706"/>
      <c r="AA40" s="706"/>
      <c r="AB40" s="706"/>
      <c r="AC40" s="706"/>
      <c r="AD40" s="706"/>
      <c r="AE40" s="706"/>
      <c r="AF40" s="706"/>
      <c r="AG40" s="707"/>
    </row>
    <row r="41" spans="3:36" s="231" customFormat="1" ht="23.1" customHeight="1">
      <c r="C41" s="608" t="s">
        <v>591</v>
      </c>
      <c r="D41" s="698">
        <v>0.375</v>
      </c>
      <c r="E41" s="699">
        <v>0.375</v>
      </c>
      <c r="F41" s="698">
        <v>0.375</v>
      </c>
      <c r="G41" s="699"/>
      <c r="H41" s="698"/>
      <c r="I41" s="699"/>
      <c r="J41" s="698"/>
      <c r="K41" s="699"/>
      <c r="L41" s="698"/>
      <c r="M41" s="699"/>
      <c r="N41" s="698"/>
      <c r="O41" s="706"/>
      <c r="P41" s="706"/>
      <c r="Q41" s="706"/>
      <c r="R41" s="706"/>
      <c r="S41" s="706"/>
      <c r="T41" s="706"/>
      <c r="U41" s="706"/>
      <c r="V41" s="706"/>
      <c r="W41" s="706"/>
      <c r="X41" s="706"/>
      <c r="Y41" s="706"/>
      <c r="Z41" s="706"/>
      <c r="AA41" s="706"/>
      <c r="AB41" s="706"/>
      <c r="AC41" s="706"/>
      <c r="AD41" s="706"/>
      <c r="AE41" s="706"/>
      <c r="AF41" s="706"/>
      <c r="AG41" s="707"/>
    </row>
    <row r="42" spans="3:36" s="231" customFormat="1" ht="23.1" customHeight="1">
      <c r="C42" s="608" t="s">
        <v>230</v>
      </c>
      <c r="D42" s="702">
        <v>26.92</v>
      </c>
      <c r="E42" s="703">
        <v>23.89</v>
      </c>
      <c r="F42" s="702">
        <v>26.520000000000003</v>
      </c>
      <c r="G42" s="703"/>
      <c r="H42" s="702"/>
      <c r="I42" s="703"/>
      <c r="J42" s="702"/>
      <c r="K42" s="703"/>
      <c r="L42" s="702"/>
      <c r="M42" s="703"/>
      <c r="N42" s="702"/>
      <c r="O42" s="706"/>
      <c r="P42" s="706"/>
      <c r="Q42" s="706"/>
      <c r="R42" s="706"/>
      <c r="S42" s="706"/>
      <c r="T42" s="706"/>
      <c r="U42" s="706"/>
      <c r="V42" s="706"/>
      <c r="W42" s="706"/>
      <c r="X42" s="706"/>
      <c r="Y42" s="706"/>
      <c r="Z42" s="706"/>
      <c r="AA42" s="706"/>
      <c r="AB42" s="706"/>
      <c r="AC42" s="706"/>
      <c r="AD42" s="706"/>
      <c r="AE42" s="706"/>
      <c r="AF42" s="706"/>
      <c r="AG42" s="707"/>
    </row>
    <row r="43" spans="3:36" s="231" customFormat="1" ht="23.1" customHeight="1" thickBot="1">
      <c r="C43" s="611" t="s">
        <v>229</v>
      </c>
      <c r="D43" s="704">
        <v>464</v>
      </c>
      <c r="E43" s="705">
        <v>464</v>
      </c>
      <c r="F43" s="704">
        <v>464</v>
      </c>
      <c r="G43" s="705"/>
      <c r="H43" s="704"/>
      <c r="I43" s="705"/>
      <c r="J43" s="704"/>
      <c r="K43" s="705"/>
      <c r="L43" s="704"/>
      <c r="M43" s="705"/>
      <c r="N43" s="704"/>
      <c r="O43" s="708"/>
      <c r="P43" s="708"/>
      <c r="Q43" s="708"/>
      <c r="R43" s="708"/>
      <c r="S43" s="708"/>
      <c r="T43" s="708"/>
      <c r="U43" s="708"/>
      <c r="V43" s="708"/>
      <c r="W43" s="708"/>
      <c r="X43" s="708"/>
      <c r="Y43" s="708"/>
      <c r="Z43" s="708"/>
      <c r="AA43" s="708"/>
      <c r="AB43" s="708"/>
      <c r="AC43" s="708"/>
      <c r="AD43" s="708"/>
      <c r="AE43" s="708"/>
      <c r="AF43" s="708"/>
      <c r="AG43" s="709"/>
    </row>
    <row r="44" spans="3:36" ht="20.100000000000001" customHeight="1">
      <c r="D44" s="285"/>
      <c r="E44" s="285"/>
      <c r="F44" s="260"/>
      <c r="G44" s="285"/>
      <c r="H44" s="282"/>
      <c r="T44" s="286"/>
      <c r="U44" s="286"/>
    </row>
    <row r="45" spans="3:36" ht="20.100000000000001" customHeight="1">
      <c r="D45" s="231"/>
      <c r="E45" s="231"/>
      <c r="G45" s="231"/>
      <c r="H45" s="231"/>
      <c r="I45" s="231"/>
      <c r="J45" s="281"/>
      <c r="K45" s="231"/>
      <c r="L45" s="231"/>
      <c r="M45" s="231"/>
      <c r="N45" s="231"/>
      <c r="O45" s="231"/>
      <c r="P45" s="231"/>
      <c r="Q45" s="231"/>
      <c r="T45" s="286"/>
      <c r="U45" s="286"/>
    </row>
    <row r="46" spans="3:36" ht="32.25" customHeight="1" thickBot="1">
      <c r="C46" s="259" t="s">
        <v>592</v>
      </c>
      <c r="D46" s="231"/>
      <c r="E46" s="231"/>
      <c r="G46" s="231"/>
      <c r="H46" s="259" t="s">
        <v>796</v>
      </c>
      <c r="I46" s="259"/>
      <c r="J46" s="288"/>
      <c r="K46" s="231"/>
      <c r="L46" s="231"/>
      <c r="M46" s="231"/>
      <c r="N46" s="231"/>
      <c r="P46" s="259" t="s">
        <v>797</v>
      </c>
      <c r="Q46" s="231"/>
      <c r="R46" s="231"/>
    </row>
    <row r="47" spans="3:36" s="231" customFormat="1" ht="33.75" customHeight="1">
      <c r="C47" s="614" t="s">
        <v>259</v>
      </c>
      <c r="D47" s="615" t="s">
        <v>602</v>
      </c>
      <c r="E47" s="615" t="s">
        <v>613</v>
      </c>
      <c r="F47" s="616" t="s">
        <v>614</v>
      </c>
      <c r="H47" s="292" t="s">
        <v>199</v>
      </c>
      <c r="I47" s="293" t="s">
        <v>615</v>
      </c>
      <c r="J47" s="295" t="s">
        <v>100</v>
      </c>
      <c r="K47" s="293" t="s">
        <v>619</v>
      </c>
      <c r="L47" s="293" t="s">
        <v>616</v>
      </c>
      <c r="M47" s="293" t="s">
        <v>204</v>
      </c>
      <c r="N47" s="294" t="s">
        <v>203</v>
      </c>
      <c r="P47" s="292" t="s">
        <v>199</v>
      </c>
      <c r="Q47" s="293" t="s">
        <v>617</v>
      </c>
      <c r="R47" s="294" t="s">
        <v>618</v>
      </c>
    </row>
    <row r="48" spans="3:36" ht="20.100000000000001" customHeight="1">
      <c r="C48" s="771" t="s">
        <v>81</v>
      </c>
      <c r="D48" s="617" t="s">
        <v>798</v>
      </c>
      <c r="E48" s="609">
        <v>2.8660000000000001</v>
      </c>
      <c r="F48" s="618">
        <v>1.7789999999999999E-4</v>
      </c>
      <c r="G48" s="641"/>
      <c r="H48" s="248" t="s">
        <v>219</v>
      </c>
      <c r="I48" s="193">
        <v>39.799999999999997</v>
      </c>
      <c r="J48" s="193">
        <v>48.8</v>
      </c>
      <c r="K48" s="193">
        <v>101.4</v>
      </c>
      <c r="L48" s="193">
        <v>63.333333333333336</v>
      </c>
      <c r="M48" s="193">
        <v>101.4</v>
      </c>
      <c r="N48" s="249">
        <v>39.799999999999997</v>
      </c>
      <c r="P48" s="252" t="s">
        <v>219</v>
      </c>
      <c r="Q48" s="244">
        <v>-2.9757780310988386</v>
      </c>
      <c r="R48" s="638">
        <v>1.47</v>
      </c>
      <c r="S48" s="613"/>
      <c r="T48" s="613"/>
      <c r="U48" s="613"/>
      <c r="V48" s="613"/>
    </row>
    <row r="49" spans="3:22" ht="20.100000000000001" customHeight="1">
      <c r="C49" s="781"/>
      <c r="D49" s="619" t="s">
        <v>799</v>
      </c>
      <c r="E49" s="609">
        <v>1.466</v>
      </c>
      <c r="F49" s="644"/>
      <c r="G49" s="231"/>
      <c r="H49" s="170" t="s">
        <v>786</v>
      </c>
      <c r="I49" s="171">
        <v>39.5</v>
      </c>
      <c r="J49" s="171">
        <v>48.4</v>
      </c>
      <c r="K49" s="171">
        <v>106.6</v>
      </c>
      <c r="L49" s="171">
        <v>64.833333333333329</v>
      </c>
      <c r="M49" s="171">
        <v>106.6</v>
      </c>
      <c r="N49" s="172">
        <v>39.5</v>
      </c>
      <c r="P49" s="173" t="s">
        <v>786</v>
      </c>
      <c r="Q49" s="167">
        <v>-2.939618007068078</v>
      </c>
      <c r="R49" s="639">
        <v>1.4179999999999999</v>
      </c>
      <c r="S49" s="613"/>
      <c r="T49" s="613"/>
      <c r="U49" s="613"/>
      <c r="V49" s="613"/>
    </row>
    <row r="50" spans="3:22" ht="20.100000000000001" customHeight="1">
      <c r="C50" s="772"/>
      <c r="D50" s="619" t="s">
        <v>800</v>
      </c>
      <c r="E50" s="621">
        <v>2.1659999999999999</v>
      </c>
      <c r="F50" s="622">
        <v>1.7789999999999999E-4</v>
      </c>
      <c r="G50" s="642"/>
      <c r="H50" s="248" t="s">
        <v>787</v>
      </c>
      <c r="I50" s="193">
        <v>40.1</v>
      </c>
      <c r="J50" s="193">
        <v>49.1</v>
      </c>
      <c r="K50" s="193">
        <v>102.7</v>
      </c>
      <c r="L50" s="193">
        <v>63.966666666666669</v>
      </c>
      <c r="M50" s="193">
        <v>102.7</v>
      </c>
      <c r="N50" s="249">
        <v>40.1</v>
      </c>
      <c r="P50" s="252" t="s">
        <v>787</v>
      </c>
      <c r="Q50" s="244">
        <v>-2.9715861212020274</v>
      </c>
      <c r="R50" s="638">
        <v>1.464</v>
      </c>
      <c r="S50" s="613"/>
      <c r="T50" s="613"/>
      <c r="U50" s="613"/>
      <c r="V50" s="613"/>
    </row>
    <row r="51" spans="3:22" ht="20.100000000000001" customHeight="1">
      <c r="C51" s="773" t="s">
        <v>147</v>
      </c>
      <c r="D51" s="623" t="s">
        <v>798</v>
      </c>
      <c r="E51" s="610">
        <v>3.3010000000000002</v>
      </c>
      <c r="F51" s="624">
        <v>1.7789999999999999E-4</v>
      </c>
      <c r="G51" s="641"/>
      <c r="H51" s="170"/>
      <c r="I51" s="171"/>
      <c r="J51" s="171"/>
      <c r="K51" s="171"/>
      <c r="L51" s="171"/>
      <c r="M51" s="171"/>
      <c r="N51" s="172"/>
      <c r="P51" s="173"/>
      <c r="Q51" s="167"/>
      <c r="R51" s="639"/>
    </row>
    <row r="52" spans="3:22" ht="20.100000000000001" customHeight="1">
      <c r="C52" s="782"/>
      <c r="D52" s="623" t="s">
        <v>799</v>
      </c>
      <c r="E52" s="610">
        <v>1.4930000000000001</v>
      </c>
      <c r="F52" s="643"/>
      <c r="G52" s="231"/>
      <c r="H52" s="248"/>
      <c r="I52" s="193"/>
      <c r="J52" s="193"/>
      <c r="K52" s="193"/>
      <c r="L52" s="193"/>
      <c r="M52" s="193"/>
      <c r="N52" s="249"/>
      <c r="P52" s="252"/>
      <c r="Q52" s="244"/>
      <c r="R52" s="638"/>
    </row>
    <row r="53" spans="3:22" ht="20.100000000000001" customHeight="1">
      <c r="C53" s="779"/>
      <c r="D53" s="623" t="s">
        <v>800</v>
      </c>
      <c r="E53" s="625">
        <v>2.3970000000000002</v>
      </c>
      <c r="F53" s="626">
        <v>1.7789999999999999E-4</v>
      </c>
      <c r="G53" s="642"/>
      <c r="H53" s="170"/>
      <c r="I53" s="171"/>
      <c r="J53" s="171"/>
      <c r="K53" s="171"/>
      <c r="L53" s="171"/>
      <c r="M53" s="171"/>
      <c r="N53" s="172"/>
      <c r="P53" s="173"/>
      <c r="Q53" s="167"/>
      <c r="R53" s="639"/>
    </row>
    <row r="54" spans="3:22" ht="20.100000000000001" customHeight="1">
      <c r="C54" s="771" t="s">
        <v>148</v>
      </c>
      <c r="D54" s="619" t="s">
        <v>798</v>
      </c>
      <c r="E54" s="609">
        <v>2.9169999999999998</v>
      </c>
      <c r="F54" s="618">
        <v>1.7780000000000001E-4</v>
      </c>
      <c r="G54" s="641"/>
      <c r="H54" s="248"/>
      <c r="I54" s="193"/>
      <c r="J54" s="193"/>
      <c r="K54" s="193"/>
      <c r="L54" s="193"/>
      <c r="M54" s="193"/>
      <c r="N54" s="249"/>
      <c r="P54" s="252"/>
      <c r="Q54" s="244"/>
      <c r="R54" s="638"/>
    </row>
    <row r="55" spans="3:22" ht="20.100000000000001" customHeight="1">
      <c r="C55" s="781"/>
      <c r="D55" s="619" t="s">
        <v>799</v>
      </c>
      <c r="E55" s="609">
        <v>1.532</v>
      </c>
      <c r="F55" s="640"/>
      <c r="G55" s="231"/>
      <c r="H55" s="170"/>
      <c r="I55" s="171"/>
      <c r="J55" s="171"/>
      <c r="K55" s="171"/>
      <c r="L55" s="171"/>
      <c r="M55" s="171"/>
      <c r="N55" s="172"/>
      <c r="P55" s="173"/>
      <c r="Q55" s="167"/>
      <c r="R55" s="639"/>
    </row>
    <row r="56" spans="3:22" ht="20.100000000000001" customHeight="1">
      <c r="C56" s="772"/>
      <c r="D56" s="619" t="s">
        <v>800</v>
      </c>
      <c r="E56" s="621">
        <v>2.2244999999999999</v>
      </c>
      <c r="F56" s="622">
        <v>1.7780000000000001E-4</v>
      </c>
      <c r="G56" s="642"/>
      <c r="H56" s="248"/>
      <c r="I56" s="193"/>
      <c r="J56" s="193"/>
      <c r="K56" s="193"/>
      <c r="L56" s="193"/>
      <c r="M56" s="193"/>
      <c r="N56" s="249"/>
      <c r="P56" s="252"/>
      <c r="Q56" s="244"/>
      <c r="R56" s="638"/>
    </row>
    <row r="57" spans="3:22" ht="20.100000000000001" customHeight="1">
      <c r="C57" s="773" t="s">
        <v>813</v>
      </c>
      <c r="D57" s="623"/>
      <c r="E57" s="610"/>
      <c r="F57" s="624"/>
      <c r="G57" s="231"/>
      <c r="H57" s="170"/>
      <c r="I57" s="171"/>
      <c r="J57" s="171"/>
      <c r="K57" s="171"/>
      <c r="L57" s="171"/>
      <c r="M57" s="171"/>
      <c r="N57" s="172"/>
      <c r="P57" s="173"/>
      <c r="Q57" s="167"/>
      <c r="R57" s="639"/>
    </row>
    <row r="58" spans="3:22" ht="20.100000000000001" customHeight="1">
      <c r="C58" s="782"/>
      <c r="D58" s="623"/>
      <c r="E58" s="625"/>
      <c r="F58" s="626"/>
      <c r="G58" s="231"/>
      <c r="H58" s="248"/>
      <c r="I58" s="193"/>
      <c r="J58" s="193"/>
      <c r="K58" s="193"/>
      <c r="L58" s="193"/>
      <c r="M58" s="193"/>
      <c r="N58" s="249"/>
      <c r="P58" s="252"/>
      <c r="Q58" s="244"/>
      <c r="R58" s="638"/>
    </row>
    <row r="59" spans="3:22" ht="20.100000000000001" customHeight="1">
      <c r="C59" s="779"/>
      <c r="D59" s="623"/>
      <c r="E59" s="625"/>
      <c r="F59" s="626"/>
      <c r="G59" s="231"/>
      <c r="H59" s="170"/>
      <c r="I59" s="171"/>
      <c r="J59" s="171"/>
      <c r="K59" s="171"/>
      <c r="L59" s="171"/>
      <c r="M59" s="171"/>
      <c r="N59" s="172"/>
      <c r="P59" s="173"/>
      <c r="Q59" s="167"/>
      <c r="R59" s="174"/>
    </row>
    <row r="60" spans="3:22" ht="20.100000000000001" customHeight="1" outlineLevel="1">
      <c r="C60" s="637" t="s">
        <v>815</v>
      </c>
      <c r="D60" s="619"/>
      <c r="E60" s="609"/>
      <c r="F60" s="618"/>
      <c r="G60" s="231"/>
      <c r="H60" s="248"/>
      <c r="I60" s="193"/>
      <c r="J60" s="193"/>
      <c r="K60" s="193"/>
      <c r="L60" s="193"/>
      <c r="M60" s="193"/>
      <c r="N60" s="249"/>
      <c r="P60" s="252"/>
      <c r="Q60" s="244"/>
      <c r="R60" s="253"/>
    </row>
    <row r="61" spans="3:22" ht="20.100000000000001" customHeight="1" outlineLevel="1">
      <c r="C61" s="637"/>
      <c r="D61" s="619"/>
      <c r="E61" s="609"/>
      <c r="F61" s="620"/>
      <c r="G61" s="231"/>
      <c r="H61" s="170"/>
      <c r="I61" s="171"/>
      <c r="J61" s="171"/>
      <c r="K61" s="171"/>
      <c r="L61" s="171"/>
      <c r="M61" s="171"/>
      <c r="N61" s="172"/>
      <c r="P61" s="173"/>
      <c r="Q61" s="167"/>
      <c r="R61" s="174"/>
    </row>
    <row r="62" spans="3:22" ht="20.100000000000001" customHeight="1" outlineLevel="1">
      <c r="C62" s="637"/>
      <c r="D62" s="619"/>
      <c r="E62" s="621"/>
      <c r="F62" s="622"/>
      <c r="G62" s="231"/>
      <c r="H62" s="248"/>
      <c r="I62" s="250"/>
      <c r="J62" s="250"/>
      <c r="K62" s="250"/>
      <c r="L62" s="250"/>
      <c r="M62" s="250"/>
      <c r="N62" s="249"/>
      <c r="O62" s="231"/>
      <c r="P62" s="252"/>
      <c r="Q62" s="244"/>
      <c r="R62" s="253"/>
    </row>
    <row r="63" spans="3:22" ht="20.100000000000001" customHeight="1" outlineLevel="1">
      <c r="C63" s="636" t="s">
        <v>817</v>
      </c>
      <c r="D63" s="623"/>
      <c r="E63" s="610"/>
      <c r="F63" s="624"/>
      <c r="H63" s="170"/>
      <c r="I63" s="171"/>
      <c r="J63" s="171"/>
      <c r="K63" s="171"/>
      <c r="L63" s="171"/>
      <c r="M63" s="171"/>
      <c r="N63" s="202"/>
      <c r="P63" s="173"/>
      <c r="Q63" s="167"/>
      <c r="R63" s="174"/>
    </row>
    <row r="64" spans="3:22" ht="20.100000000000001" customHeight="1" outlineLevel="1">
      <c r="C64" s="636"/>
      <c r="D64" s="623"/>
      <c r="E64" s="610"/>
      <c r="F64" s="627"/>
      <c r="H64" s="248"/>
      <c r="I64" s="193"/>
      <c r="J64" s="193"/>
      <c r="K64" s="193"/>
      <c r="L64" s="193"/>
      <c r="M64" s="193"/>
      <c r="N64" s="251"/>
      <c r="P64" s="252"/>
      <c r="Q64" s="244"/>
      <c r="R64" s="253"/>
    </row>
    <row r="65" spans="3:18" ht="20.100000000000001" customHeight="1" outlineLevel="1">
      <c r="C65" s="636"/>
      <c r="D65" s="623"/>
      <c r="E65" s="625"/>
      <c r="F65" s="626"/>
      <c r="H65" s="170"/>
      <c r="I65" s="171"/>
      <c r="J65" s="171"/>
      <c r="K65" s="171"/>
      <c r="L65" s="171"/>
      <c r="M65" s="171"/>
      <c r="N65" s="202"/>
      <c r="P65" s="173"/>
      <c r="Q65" s="167"/>
      <c r="R65" s="174"/>
    </row>
    <row r="66" spans="3:18" ht="20.100000000000001" customHeight="1" outlineLevel="1">
      <c r="C66" s="637" t="s">
        <v>820</v>
      </c>
      <c r="D66" s="619"/>
      <c r="E66" s="609"/>
      <c r="F66" s="618"/>
      <c r="H66" s="248"/>
      <c r="I66" s="193"/>
      <c r="J66" s="193"/>
      <c r="K66" s="193"/>
      <c r="L66" s="193"/>
      <c r="M66" s="193"/>
      <c r="N66" s="251"/>
      <c r="P66" s="252"/>
      <c r="Q66" s="244"/>
      <c r="R66" s="253"/>
    </row>
    <row r="67" spans="3:18" ht="20.100000000000001" customHeight="1" outlineLevel="1">
      <c r="C67" s="637"/>
      <c r="D67" s="619"/>
      <c r="E67" s="609"/>
      <c r="F67" s="620"/>
      <c r="H67" s="170"/>
      <c r="I67" s="171"/>
      <c r="J67" s="171"/>
      <c r="K67" s="171"/>
      <c r="L67" s="171"/>
      <c r="M67" s="171"/>
      <c r="N67" s="202"/>
      <c r="P67" s="173"/>
      <c r="Q67" s="167"/>
      <c r="R67" s="174"/>
    </row>
    <row r="68" spans="3:18" ht="20.100000000000001" customHeight="1" outlineLevel="1">
      <c r="C68" s="637"/>
      <c r="D68" s="619"/>
      <c r="E68" s="621"/>
      <c r="F68" s="622"/>
      <c r="H68" s="248"/>
      <c r="I68" s="193"/>
      <c r="J68" s="193"/>
      <c r="K68" s="193"/>
      <c r="L68" s="193"/>
      <c r="M68" s="193"/>
      <c r="N68" s="251"/>
      <c r="P68" s="252"/>
      <c r="Q68" s="244"/>
      <c r="R68" s="253"/>
    </row>
    <row r="69" spans="3:18" ht="20.100000000000001" customHeight="1" outlineLevel="1">
      <c r="C69" s="636" t="s">
        <v>822</v>
      </c>
      <c r="D69" s="623"/>
      <c r="E69" s="610"/>
      <c r="F69" s="624"/>
      <c r="H69" s="170"/>
      <c r="I69" s="171"/>
      <c r="J69" s="171"/>
      <c r="K69" s="171"/>
      <c r="L69" s="171"/>
      <c r="M69" s="171"/>
      <c r="N69" s="202"/>
      <c r="P69" s="173"/>
      <c r="Q69" s="167"/>
      <c r="R69" s="174"/>
    </row>
    <row r="70" spans="3:18" ht="20.100000000000001" customHeight="1" outlineLevel="1">
      <c r="C70" s="636"/>
      <c r="D70" s="623"/>
      <c r="E70" s="610"/>
      <c r="F70" s="627"/>
      <c r="H70" s="248"/>
      <c r="I70" s="193"/>
      <c r="J70" s="193"/>
      <c r="K70" s="193"/>
      <c r="L70" s="193"/>
      <c r="M70" s="193"/>
      <c r="N70" s="251"/>
      <c r="P70" s="252"/>
      <c r="Q70" s="244"/>
      <c r="R70" s="253"/>
    </row>
    <row r="71" spans="3:18" ht="20.100000000000001" customHeight="1" outlineLevel="1">
      <c r="C71" s="636"/>
      <c r="D71" s="623"/>
      <c r="E71" s="625"/>
      <c r="F71" s="626"/>
      <c r="H71" s="170"/>
      <c r="I71" s="171"/>
      <c r="J71" s="171"/>
      <c r="K71" s="171"/>
      <c r="L71" s="171"/>
      <c r="M71" s="171"/>
      <c r="N71" s="202"/>
      <c r="P71" s="173"/>
      <c r="Q71" s="167"/>
      <c r="R71" s="174"/>
    </row>
    <row r="72" spans="3:18" ht="20.100000000000001" customHeight="1" outlineLevel="1">
      <c r="C72" s="637" t="s">
        <v>824</v>
      </c>
      <c r="D72" s="619"/>
      <c r="E72" s="609"/>
      <c r="F72" s="618"/>
      <c r="H72" s="248"/>
      <c r="I72" s="193"/>
      <c r="J72" s="193"/>
      <c r="K72" s="193"/>
      <c r="L72" s="193"/>
      <c r="M72" s="193"/>
      <c r="N72" s="251"/>
      <c r="P72" s="252"/>
      <c r="Q72" s="244"/>
      <c r="R72" s="253"/>
    </row>
    <row r="73" spans="3:18" ht="20.100000000000001" customHeight="1" outlineLevel="1">
      <c r="C73" s="637"/>
      <c r="D73" s="619"/>
      <c r="E73" s="609"/>
      <c r="F73" s="620"/>
      <c r="H73" s="170"/>
      <c r="I73" s="171"/>
      <c r="J73" s="171"/>
      <c r="K73" s="171"/>
      <c r="L73" s="171"/>
      <c r="M73" s="171"/>
      <c r="N73" s="202"/>
      <c r="P73" s="173"/>
      <c r="Q73" s="167"/>
      <c r="R73" s="174"/>
    </row>
    <row r="74" spans="3:18" ht="20.100000000000001" customHeight="1" outlineLevel="1">
      <c r="C74" s="637"/>
      <c r="D74" s="619"/>
      <c r="E74" s="621"/>
      <c r="F74" s="622"/>
      <c r="H74" s="248"/>
      <c r="I74" s="193"/>
      <c r="J74" s="193"/>
      <c r="K74" s="193"/>
      <c r="L74" s="193"/>
      <c r="M74" s="193"/>
      <c r="N74" s="251"/>
      <c r="P74" s="252"/>
      <c r="Q74" s="244"/>
      <c r="R74" s="253"/>
    </row>
    <row r="75" spans="3:18" ht="20.100000000000001" customHeight="1" outlineLevel="1">
      <c r="C75" s="636" t="s">
        <v>826</v>
      </c>
      <c r="D75" s="623"/>
      <c r="E75" s="610"/>
      <c r="F75" s="624"/>
      <c r="H75" s="170"/>
      <c r="I75" s="171"/>
      <c r="J75" s="171"/>
      <c r="K75" s="171"/>
      <c r="L75" s="171"/>
      <c r="M75" s="171"/>
      <c r="N75" s="202"/>
      <c r="P75" s="173"/>
      <c r="Q75" s="167"/>
      <c r="R75" s="174"/>
    </row>
    <row r="76" spans="3:18" ht="20.100000000000001" customHeight="1" outlineLevel="1">
      <c r="C76" s="636"/>
      <c r="D76" s="623"/>
      <c r="E76" s="610"/>
      <c r="F76" s="627"/>
      <c r="H76" s="248"/>
      <c r="I76" s="193"/>
      <c r="J76" s="193"/>
      <c r="K76" s="193"/>
      <c r="L76" s="193"/>
      <c r="M76" s="193"/>
      <c r="N76" s="251"/>
      <c r="P76" s="252"/>
      <c r="Q76" s="244"/>
      <c r="R76" s="253"/>
    </row>
    <row r="77" spans="3:18" ht="20.100000000000001" customHeight="1" outlineLevel="1" thickBot="1">
      <c r="C77" s="636"/>
      <c r="D77" s="623"/>
      <c r="E77" s="625"/>
      <c r="F77" s="626"/>
      <c r="H77" s="201"/>
      <c r="I77" s="203"/>
      <c r="J77" s="203"/>
      <c r="K77" s="203"/>
      <c r="L77" s="203"/>
      <c r="M77" s="203"/>
      <c r="N77" s="204"/>
      <c r="P77" s="190"/>
      <c r="Q77" s="205"/>
      <c r="R77" s="206"/>
    </row>
    <row r="78" spans="3:18" ht="20.100000000000001" customHeight="1" thickBot="1">
      <c r="C78" s="771" t="s">
        <v>828</v>
      </c>
      <c r="D78" s="619"/>
      <c r="E78" s="621"/>
      <c r="F78" s="622"/>
      <c r="H78" s="230"/>
      <c r="I78" s="230"/>
      <c r="J78" s="230"/>
      <c r="K78" s="230"/>
      <c r="L78" s="230"/>
      <c r="M78" s="230"/>
      <c r="N78" s="230"/>
      <c r="P78" s="230"/>
      <c r="Q78" s="230"/>
      <c r="R78" s="230"/>
    </row>
    <row r="79" spans="3:18" ht="30.75" customHeight="1">
      <c r="C79" s="781"/>
      <c r="D79" s="619"/>
      <c r="E79" s="609"/>
      <c r="F79" s="622"/>
      <c r="H79" s="313" t="s">
        <v>199</v>
      </c>
      <c r="I79" s="314" t="s">
        <v>620</v>
      </c>
      <c r="J79" s="315" t="s">
        <v>614</v>
      </c>
      <c r="K79" s="230"/>
      <c r="L79" s="230"/>
      <c r="M79" s="230"/>
      <c r="N79" s="230"/>
      <c r="P79" s="230"/>
      <c r="Q79" s="230"/>
      <c r="R79" s="230"/>
    </row>
    <row r="80" spans="3:18" ht="20.100000000000001" customHeight="1">
      <c r="C80" s="772"/>
      <c r="D80" s="619"/>
      <c r="E80" s="621"/>
      <c r="F80" s="622"/>
      <c r="H80" s="248" t="s">
        <v>219</v>
      </c>
      <c r="I80" s="304">
        <v>1.466</v>
      </c>
      <c r="J80" s="305">
        <v>1.7789999999999999E-4</v>
      </c>
      <c r="K80" s="512" t="s">
        <v>751</v>
      </c>
      <c r="L80" s="230"/>
      <c r="M80" s="230"/>
      <c r="N80" s="230"/>
      <c r="P80" s="230"/>
      <c r="Q80" s="230"/>
      <c r="R80" s="230"/>
    </row>
    <row r="81" spans="3:18" ht="20.100000000000001" customHeight="1">
      <c r="C81" s="773"/>
      <c r="D81" s="623"/>
      <c r="E81" s="610"/>
      <c r="F81" s="624"/>
      <c r="H81" s="170" t="s">
        <v>786</v>
      </c>
      <c r="I81" s="308">
        <v>1.4930000000000001</v>
      </c>
      <c r="J81" s="309">
        <v>1.7789999999999999E-4</v>
      </c>
      <c r="K81" s="230"/>
      <c r="L81" s="230"/>
      <c r="M81" s="230"/>
      <c r="N81" s="230"/>
      <c r="P81" s="230"/>
      <c r="Q81" s="230"/>
      <c r="R81" s="230"/>
    </row>
    <row r="82" spans="3:18" ht="20.100000000000001" customHeight="1" thickBot="1">
      <c r="C82" s="782"/>
      <c r="D82" s="623"/>
      <c r="E82" s="610"/>
      <c r="F82" s="624"/>
      <c r="H82" s="248" t="s">
        <v>787</v>
      </c>
      <c r="I82" s="306">
        <v>1.532</v>
      </c>
      <c r="J82" s="305">
        <v>1.7780000000000001E-4</v>
      </c>
      <c r="K82" s="230"/>
      <c r="L82" s="230"/>
      <c r="M82" s="230"/>
      <c r="N82" s="230"/>
      <c r="P82" s="230"/>
      <c r="Q82" s="230"/>
      <c r="R82" s="230"/>
    </row>
    <row r="83" spans="3:18" ht="20.100000000000001" customHeight="1" thickBot="1">
      <c r="C83" s="779"/>
      <c r="D83" s="623"/>
      <c r="E83" s="625"/>
      <c r="F83" s="626"/>
      <c r="H83" s="303"/>
      <c r="I83" s="310"/>
      <c r="J83" s="311"/>
      <c r="K83" s="230"/>
      <c r="L83" s="230"/>
      <c r="M83" s="230"/>
      <c r="N83" s="230"/>
      <c r="P83" s="230"/>
      <c r="Q83" s="230"/>
      <c r="R83" s="230"/>
    </row>
    <row r="84" spans="3:18" ht="20.100000000000001" customHeight="1">
      <c r="C84" s="771"/>
      <c r="D84" s="619"/>
      <c r="E84" s="609"/>
      <c r="F84" s="618"/>
      <c r="H84" s="248"/>
      <c r="I84" s="307"/>
      <c r="J84" s="305"/>
      <c r="K84" s="230"/>
      <c r="L84" s="230"/>
      <c r="M84" s="230"/>
      <c r="N84" s="230"/>
      <c r="P84" s="230"/>
      <c r="Q84" s="230"/>
      <c r="R84" s="230"/>
    </row>
    <row r="85" spans="3:18" ht="20.100000000000001" customHeight="1">
      <c r="C85" s="781"/>
      <c r="D85" s="619"/>
      <c r="E85" s="609"/>
      <c r="F85" s="618"/>
      <c r="H85" s="170"/>
      <c r="I85" s="308"/>
      <c r="J85" s="309"/>
      <c r="K85" s="230"/>
      <c r="L85" s="230"/>
      <c r="M85" s="230"/>
      <c r="N85" s="230"/>
      <c r="P85" s="230"/>
      <c r="Q85" s="230"/>
      <c r="R85" s="230"/>
    </row>
    <row r="86" spans="3:18" ht="20.100000000000001" customHeight="1">
      <c r="C86" s="772"/>
      <c r="D86" s="619"/>
      <c r="E86" s="621"/>
      <c r="F86" s="622"/>
      <c r="H86" s="248"/>
      <c r="I86" s="304"/>
      <c r="J86" s="305"/>
      <c r="K86" s="230"/>
      <c r="L86" s="230"/>
      <c r="M86" s="230"/>
      <c r="N86" s="230"/>
      <c r="P86" s="230"/>
      <c r="Q86" s="230"/>
      <c r="R86" s="230"/>
    </row>
    <row r="87" spans="3:18" ht="20.100000000000001" customHeight="1">
      <c r="C87" s="773"/>
      <c r="D87" s="623"/>
      <c r="E87" s="610"/>
      <c r="F87" s="624"/>
      <c r="H87" s="170"/>
      <c r="I87" s="308"/>
      <c r="J87" s="309"/>
      <c r="K87" s="230"/>
      <c r="L87" s="230"/>
      <c r="M87" s="230"/>
      <c r="N87" s="230"/>
      <c r="P87" s="230"/>
      <c r="Q87" s="230"/>
      <c r="R87" s="230"/>
    </row>
    <row r="88" spans="3:18" ht="20.100000000000001" customHeight="1">
      <c r="C88" s="782"/>
      <c r="D88" s="623"/>
      <c r="E88" s="610"/>
      <c r="F88" s="624"/>
      <c r="H88" s="248"/>
      <c r="I88" s="304"/>
      <c r="J88" s="305"/>
      <c r="K88" s="230"/>
      <c r="L88" s="230"/>
      <c r="M88" s="230"/>
      <c r="N88" s="230"/>
      <c r="P88" s="230"/>
      <c r="Q88" s="230"/>
      <c r="R88" s="230"/>
    </row>
    <row r="89" spans="3:18" ht="20.100000000000001" customHeight="1">
      <c r="C89" s="779"/>
      <c r="D89" s="623"/>
      <c r="E89" s="625"/>
      <c r="F89" s="626"/>
      <c r="H89" s="170"/>
      <c r="I89" s="308"/>
      <c r="J89" s="309"/>
      <c r="K89" s="230"/>
      <c r="L89" s="230"/>
      <c r="M89" s="230"/>
      <c r="N89" s="230"/>
      <c r="P89" s="230"/>
      <c r="Q89" s="230"/>
      <c r="R89" s="230"/>
    </row>
    <row r="90" spans="3:18" ht="20.100000000000001" customHeight="1" outlineLevel="1">
      <c r="C90" s="771"/>
      <c r="D90" s="619"/>
      <c r="E90" s="609"/>
      <c r="F90" s="618"/>
      <c r="H90" s="248"/>
      <c r="I90" s="304"/>
      <c r="J90" s="305"/>
      <c r="K90" s="230"/>
      <c r="L90" s="230"/>
      <c r="M90" s="230"/>
      <c r="N90" s="230"/>
      <c r="P90" s="230"/>
      <c r="Q90" s="230"/>
      <c r="R90" s="230"/>
    </row>
    <row r="91" spans="3:18" ht="20.100000000000001" customHeight="1" outlineLevel="1">
      <c r="C91" s="781"/>
      <c r="D91" s="619"/>
      <c r="E91" s="609"/>
      <c r="F91" s="618"/>
      <c r="H91" s="170"/>
      <c r="I91" s="308"/>
      <c r="J91" s="309"/>
      <c r="K91" s="230"/>
      <c r="L91" s="230"/>
      <c r="M91" s="230"/>
      <c r="N91" s="230"/>
      <c r="P91" s="230"/>
      <c r="Q91" s="230"/>
      <c r="R91" s="230"/>
    </row>
    <row r="92" spans="3:18" ht="20.100000000000001" customHeight="1" outlineLevel="1">
      <c r="C92" s="772"/>
      <c r="D92" s="619"/>
      <c r="E92" s="621"/>
      <c r="F92" s="622"/>
      <c r="H92" s="248"/>
      <c r="I92" s="304"/>
      <c r="J92" s="305"/>
      <c r="K92" s="230"/>
      <c r="L92" s="230"/>
      <c r="M92" s="230"/>
      <c r="N92" s="230"/>
      <c r="P92" s="230"/>
      <c r="Q92" s="230"/>
      <c r="R92" s="230"/>
    </row>
    <row r="93" spans="3:18" ht="20.100000000000001" customHeight="1" outlineLevel="1">
      <c r="C93" s="773"/>
      <c r="D93" s="623"/>
      <c r="E93" s="610"/>
      <c r="F93" s="624"/>
      <c r="H93" s="170"/>
      <c r="I93" s="308"/>
      <c r="J93" s="309"/>
      <c r="K93" s="230"/>
      <c r="L93" s="230"/>
      <c r="M93" s="230"/>
      <c r="N93" s="230"/>
      <c r="P93" s="230"/>
      <c r="Q93" s="230"/>
      <c r="R93" s="230"/>
    </row>
    <row r="94" spans="3:18" ht="20.100000000000001" customHeight="1" outlineLevel="1">
      <c r="C94" s="782"/>
      <c r="D94" s="623"/>
      <c r="E94" s="610"/>
      <c r="F94" s="624"/>
      <c r="H94" s="248"/>
      <c r="I94" s="304"/>
      <c r="J94" s="305"/>
      <c r="K94" s="230"/>
      <c r="L94" s="230"/>
      <c r="M94" s="230"/>
      <c r="N94" s="230"/>
      <c r="P94" s="230"/>
      <c r="Q94" s="230"/>
      <c r="R94" s="230"/>
    </row>
    <row r="95" spans="3:18" ht="20.100000000000001" customHeight="1" outlineLevel="1">
      <c r="C95" s="779"/>
      <c r="D95" s="623"/>
      <c r="E95" s="625"/>
      <c r="F95" s="626"/>
      <c r="H95" s="170"/>
      <c r="I95" s="308"/>
      <c r="J95" s="309"/>
      <c r="K95" s="230"/>
      <c r="L95" s="230"/>
      <c r="M95" s="230"/>
      <c r="N95" s="230"/>
      <c r="P95" s="230"/>
      <c r="Q95" s="230"/>
      <c r="R95" s="230"/>
    </row>
    <row r="96" spans="3:18" ht="20.100000000000001" customHeight="1" outlineLevel="1">
      <c r="C96" s="771"/>
      <c r="D96" s="619"/>
      <c r="E96" s="609"/>
      <c r="F96" s="618"/>
      <c r="H96" s="248"/>
      <c r="I96" s="304"/>
      <c r="J96" s="305"/>
      <c r="K96" s="230"/>
      <c r="L96" s="230"/>
      <c r="M96" s="230"/>
      <c r="N96" s="230"/>
      <c r="P96" s="230"/>
      <c r="Q96" s="230"/>
      <c r="R96" s="230"/>
    </row>
    <row r="97" spans="3:18" ht="20.100000000000001" customHeight="1" outlineLevel="1">
      <c r="C97" s="781"/>
      <c r="D97" s="619"/>
      <c r="E97" s="609"/>
      <c r="F97" s="618"/>
      <c r="H97" s="170"/>
      <c r="I97" s="308"/>
      <c r="J97" s="309"/>
      <c r="K97" s="230"/>
      <c r="L97" s="230"/>
      <c r="M97" s="230"/>
      <c r="N97" s="230"/>
      <c r="P97" s="230"/>
      <c r="Q97" s="230"/>
      <c r="R97" s="230"/>
    </row>
    <row r="98" spans="3:18" ht="20.100000000000001" customHeight="1" outlineLevel="1">
      <c r="C98" s="772"/>
      <c r="D98" s="619"/>
      <c r="E98" s="621"/>
      <c r="F98" s="622"/>
      <c r="H98" s="248"/>
      <c r="I98" s="304"/>
      <c r="J98" s="305"/>
      <c r="K98" s="230"/>
      <c r="L98" s="230"/>
      <c r="M98" s="230"/>
      <c r="N98" s="230"/>
      <c r="P98" s="230"/>
      <c r="Q98" s="230"/>
      <c r="R98" s="230"/>
    </row>
    <row r="99" spans="3:18" ht="20.100000000000001" customHeight="1" outlineLevel="1">
      <c r="C99" s="773"/>
      <c r="D99" s="623"/>
      <c r="E99" s="610"/>
      <c r="F99" s="624"/>
      <c r="H99" s="170"/>
      <c r="I99" s="308"/>
      <c r="J99" s="309"/>
      <c r="K99" s="230"/>
      <c r="L99" s="230"/>
      <c r="M99" s="230"/>
      <c r="N99" s="230"/>
      <c r="P99" s="230"/>
      <c r="Q99" s="230"/>
      <c r="R99" s="230"/>
    </row>
    <row r="100" spans="3:18" ht="20.100000000000001" customHeight="1" outlineLevel="1">
      <c r="C100" s="782"/>
      <c r="D100" s="623"/>
      <c r="E100" s="610"/>
      <c r="F100" s="624"/>
      <c r="H100" s="248"/>
      <c r="I100" s="304"/>
      <c r="J100" s="305"/>
      <c r="K100" s="230"/>
      <c r="L100" s="230"/>
      <c r="M100" s="230"/>
      <c r="N100" s="230"/>
      <c r="P100" s="230"/>
      <c r="Q100" s="230"/>
      <c r="R100" s="230"/>
    </row>
    <row r="101" spans="3:18" ht="20.100000000000001" customHeight="1" outlineLevel="1">
      <c r="C101" s="779"/>
      <c r="D101" s="623"/>
      <c r="E101" s="625"/>
      <c r="F101" s="626"/>
      <c r="H101" s="170"/>
      <c r="I101" s="308"/>
      <c r="J101" s="309"/>
      <c r="K101" s="230"/>
      <c r="L101" s="230"/>
      <c r="M101" s="230"/>
      <c r="N101" s="230"/>
      <c r="P101" s="230"/>
      <c r="Q101" s="230"/>
      <c r="R101" s="230"/>
    </row>
    <row r="102" spans="3:18" ht="20.100000000000001" customHeight="1" outlineLevel="1">
      <c r="C102" s="771"/>
      <c r="D102" s="619"/>
      <c r="E102" s="609"/>
      <c r="F102" s="618"/>
      <c r="H102" s="248"/>
      <c r="I102" s="304"/>
      <c r="J102" s="224"/>
    </row>
    <row r="103" spans="3:18" ht="20.100000000000001" customHeight="1" outlineLevel="1">
      <c r="C103" s="781"/>
      <c r="D103" s="619"/>
      <c r="E103" s="609"/>
      <c r="F103" s="620"/>
      <c r="H103" s="170"/>
      <c r="I103" s="308"/>
      <c r="J103" s="221"/>
    </row>
    <row r="104" spans="3:18" ht="20.100000000000001" customHeight="1" outlineLevel="1">
      <c r="C104" s="772"/>
      <c r="D104" s="619"/>
      <c r="E104" s="621"/>
      <c r="F104" s="622"/>
      <c r="H104" s="248"/>
      <c r="I104" s="304"/>
      <c r="J104" s="224"/>
    </row>
    <row r="105" spans="3:18" ht="20.100000000000001" customHeight="1" outlineLevel="1">
      <c r="C105" s="773"/>
      <c r="D105" s="623"/>
      <c r="E105" s="610"/>
      <c r="F105" s="624"/>
      <c r="H105" s="170"/>
      <c r="I105" s="308"/>
      <c r="J105" s="221"/>
    </row>
    <row r="106" spans="3:18" ht="20.100000000000001" customHeight="1" outlineLevel="1">
      <c r="C106" s="782"/>
      <c r="D106" s="623"/>
      <c r="E106" s="610"/>
      <c r="F106" s="627"/>
      <c r="H106" s="248"/>
      <c r="I106" s="304"/>
      <c r="J106" s="224"/>
    </row>
    <row r="107" spans="3:18" ht="20.100000000000001" customHeight="1" outlineLevel="1">
      <c r="C107" s="779"/>
      <c r="D107" s="623"/>
      <c r="E107" s="625"/>
      <c r="F107" s="626"/>
      <c r="H107" s="170"/>
      <c r="I107" s="308"/>
      <c r="J107" s="221"/>
    </row>
    <row r="108" spans="3:18" ht="20.100000000000001" customHeight="1" outlineLevel="1">
      <c r="C108" s="771"/>
      <c r="D108" s="619"/>
      <c r="E108" s="609"/>
      <c r="F108" s="618"/>
      <c r="H108" s="248"/>
      <c r="I108" s="304"/>
      <c r="J108" s="224"/>
    </row>
    <row r="109" spans="3:18" ht="20.100000000000001" customHeight="1" outlineLevel="1" thickBot="1">
      <c r="C109" s="781"/>
      <c r="D109" s="619"/>
      <c r="E109" s="609"/>
      <c r="F109" s="618"/>
      <c r="H109" s="201"/>
      <c r="I109" s="312"/>
      <c r="J109" s="236"/>
    </row>
    <row r="110" spans="3:18" ht="20.100000000000001" customHeight="1" outlineLevel="1">
      <c r="C110" s="772"/>
      <c r="D110" s="619"/>
      <c r="E110" s="621"/>
      <c r="F110" s="622"/>
      <c r="H110" s="230"/>
    </row>
    <row r="111" spans="3:18" ht="20.100000000000001" customHeight="1" outlineLevel="1">
      <c r="C111" s="773"/>
      <c r="D111" s="623"/>
      <c r="E111" s="610"/>
      <c r="F111" s="624"/>
      <c r="H111" s="230"/>
    </row>
    <row r="112" spans="3:18" ht="20.100000000000001" customHeight="1" outlineLevel="1">
      <c r="C112" s="782"/>
      <c r="D112" s="623"/>
      <c r="E112" s="610"/>
      <c r="F112" s="624"/>
      <c r="H112" s="230"/>
    </row>
    <row r="113" spans="3:8" ht="20.100000000000001" customHeight="1" outlineLevel="1">
      <c r="C113" s="779"/>
      <c r="D113" s="623"/>
      <c r="E113" s="625"/>
      <c r="F113" s="626"/>
      <c r="H113" s="230"/>
    </row>
    <row r="114" spans="3:8" ht="20.100000000000001" customHeight="1" outlineLevel="1">
      <c r="C114" s="771"/>
      <c r="D114" s="619"/>
      <c r="E114" s="609"/>
      <c r="F114" s="618"/>
      <c r="H114" s="230"/>
    </row>
    <row r="115" spans="3:8" ht="20.100000000000001" customHeight="1" outlineLevel="1">
      <c r="C115" s="781"/>
      <c r="D115" s="619"/>
      <c r="E115" s="609"/>
      <c r="F115" s="618"/>
      <c r="H115" s="230"/>
    </row>
    <row r="116" spans="3:8" ht="20.100000000000001" customHeight="1" outlineLevel="1">
      <c r="C116" s="772"/>
      <c r="D116" s="619"/>
      <c r="E116" s="621"/>
      <c r="F116" s="622"/>
      <c r="H116" s="230"/>
    </row>
    <row r="117" spans="3:8" ht="20.100000000000001" customHeight="1" outlineLevel="1">
      <c r="C117" s="773"/>
      <c r="D117" s="623"/>
      <c r="E117" s="610"/>
      <c r="F117" s="624"/>
      <c r="H117" s="230"/>
    </row>
    <row r="118" spans="3:8" ht="20.100000000000001" customHeight="1" outlineLevel="1">
      <c r="C118" s="782"/>
      <c r="D118" s="623"/>
      <c r="E118" s="610"/>
      <c r="F118" s="624"/>
      <c r="H118" s="230"/>
    </row>
    <row r="119" spans="3:8" ht="20.100000000000001" customHeight="1" outlineLevel="1">
      <c r="C119" s="779"/>
      <c r="D119" s="623"/>
      <c r="E119" s="625"/>
      <c r="F119" s="626"/>
      <c r="H119" s="230"/>
    </row>
    <row r="120" spans="3:8" ht="20.100000000000001" customHeight="1" outlineLevel="1">
      <c r="C120" s="771"/>
      <c r="D120" s="619"/>
      <c r="E120" s="609"/>
      <c r="F120" s="618"/>
      <c r="H120" s="230"/>
    </row>
    <row r="121" spans="3:8" ht="20.100000000000001" customHeight="1" outlineLevel="1">
      <c r="C121" s="781"/>
      <c r="D121" s="619"/>
      <c r="E121" s="609"/>
      <c r="F121" s="618"/>
      <c r="H121" s="230"/>
    </row>
    <row r="122" spans="3:8" ht="20.100000000000001" customHeight="1" outlineLevel="1">
      <c r="C122" s="772"/>
      <c r="D122" s="619"/>
      <c r="E122" s="621"/>
      <c r="F122" s="622"/>
      <c r="H122" s="230"/>
    </row>
    <row r="123" spans="3:8" ht="20.100000000000001" customHeight="1" outlineLevel="1">
      <c r="C123" s="773"/>
      <c r="D123" s="623"/>
      <c r="E123" s="610"/>
      <c r="F123" s="624"/>
      <c r="H123" s="230"/>
    </row>
    <row r="124" spans="3:8" ht="20.100000000000001" customHeight="1" outlineLevel="1">
      <c r="C124" s="782"/>
      <c r="D124" s="623"/>
      <c r="E124" s="610"/>
      <c r="F124" s="624"/>
      <c r="H124" s="230"/>
    </row>
    <row r="125" spans="3:8" ht="20.100000000000001" customHeight="1" outlineLevel="1">
      <c r="C125" s="779"/>
      <c r="D125" s="623"/>
      <c r="E125" s="625"/>
      <c r="F125" s="626"/>
      <c r="H125" s="230"/>
    </row>
    <row r="126" spans="3:8" ht="20.25" customHeight="1" outlineLevel="1">
      <c r="C126" s="771"/>
      <c r="D126" s="619"/>
      <c r="E126" s="609"/>
      <c r="F126" s="618"/>
      <c r="H126" s="230"/>
    </row>
    <row r="127" spans="3:8" ht="20.100000000000001" customHeight="1" outlineLevel="1">
      <c r="C127" s="781"/>
      <c r="D127" s="619"/>
      <c r="E127" s="609"/>
      <c r="F127" s="618"/>
      <c r="H127" s="230"/>
    </row>
    <row r="128" spans="3:8" ht="20.100000000000001" customHeight="1" outlineLevel="1">
      <c r="C128" s="772"/>
      <c r="D128" s="619"/>
      <c r="E128" s="621"/>
      <c r="F128" s="622"/>
      <c r="H128" s="230"/>
    </row>
    <row r="129" spans="3:12" ht="20.100000000000001" customHeight="1" outlineLevel="1">
      <c r="C129" s="773"/>
      <c r="D129" s="623"/>
      <c r="E129" s="628"/>
      <c r="F129" s="499"/>
      <c r="H129" s="230"/>
    </row>
    <row r="130" spans="3:12" ht="20.100000000000001" customHeight="1" outlineLevel="1">
      <c r="C130" s="782"/>
      <c r="D130" s="623"/>
      <c r="E130" s="628"/>
      <c r="F130" s="493"/>
    </row>
    <row r="131" spans="3:12" ht="20.100000000000001" customHeight="1" outlineLevel="1">
      <c r="C131" s="779"/>
      <c r="D131" s="623"/>
      <c r="E131" s="629"/>
      <c r="F131" s="630"/>
    </row>
    <row r="132" spans="3:12" ht="20.100000000000001" customHeight="1" outlineLevel="1">
      <c r="C132" s="771"/>
      <c r="D132" s="619"/>
      <c r="E132" s="617"/>
      <c r="F132" s="498"/>
    </row>
    <row r="133" spans="3:12" ht="20.100000000000001" customHeight="1" outlineLevel="1">
      <c r="C133" s="781"/>
      <c r="D133" s="619"/>
      <c r="E133" s="617"/>
      <c r="F133" s="482"/>
    </row>
    <row r="134" spans="3:12" ht="20.100000000000001" customHeight="1" outlineLevel="1">
      <c r="C134" s="772"/>
      <c r="D134" s="619"/>
      <c r="E134" s="631"/>
      <c r="F134" s="632"/>
    </row>
    <row r="135" spans="3:12" ht="20.100000000000001" customHeight="1" outlineLevel="1">
      <c r="C135" s="773"/>
      <c r="D135" s="623"/>
      <c r="E135" s="628"/>
      <c r="F135" s="499"/>
    </row>
    <row r="136" spans="3:12" ht="20.100000000000001" customHeight="1" outlineLevel="1">
      <c r="C136" s="782"/>
      <c r="D136" s="623"/>
      <c r="E136" s="628"/>
      <c r="F136" s="493"/>
    </row>
    <row r="137" spans="3:12" ht="20.100000000000001" customHeight="1" outlineLevel="1" thickBot="1">
      <c r="C137" s="774"/>
      <c r="D137" s="633"/>
      <c r="E137" s="634"/>
      <c r="F137" s="635"/>
    </row>
    <row r="138" spans="3:12" ht="20.100000000000001" customHeight="1">
      <c r="F138" s="641"/>
    </row>
    <row r="141" spans="3:12" ht="20.100000000000001" customHeight="1">
      <c r="F141" s="641"/>
    </row>
    <row r="143" spans="3:12" ht="20.100000000000001" customHeight="1">
      <c r="C143" s="230"/>
      <c r="D143" s="230"/>
      <c r="E143" s="230"/>
      <c r="F143" s="321"/>
      <c r="G143" s="230"/>
      <c r="H143" s="230"/>
      <c r="I143" s="230"/>
      <c r="J143" s="230"/>
      <c r="K143" s="230"/>
      <c r="L143" s="230"/>
    </row>
    <row r="144" spans="3:12" ht="20.100000000000001" customHeight="1">
      <c r="C144" s="230"/>
      <c r="D144" s="230"/>
      <c r="E144" s="230"/>
      <c r="F144" s="321"/>
      <c r="G144" s="230"/>
      <c r="H144" s="230"/>
      <c r="I144" s="230"/>
      <c r="J144" s="230"/>
      <c r="K144" s="230"/>
      <c r="L144" s="230"/>
    </row>
    <row r="145" spans="3:12" ht="20.100000000000001" customHeight="1">
      <c r="C145" s="230"/>
      <c r="D145" s="230"/>
      <c r="E145" s="230"/>
      <c r="F145" s="321"/>
      <c r="G145" s="230"/>
      <c r="H145" s="230"/>
      <c r="I145" s="230"/>
      <c r="J145" s="230"/>
      <c r="K145" s="230"/>
      <c r="L145" s="230"/>
    </row>
    <row r="146" spans="3:12" ht="20.100000000000001" customHeight="1">
      <c r="C146" s="230"/>
      <c r="D146" s="230"/>
      <c r="E146" s="230"/>
      <c r="F146" s="321"/>
      <c r="G146" s="230"/>
      <c r="H146" s="230"/>
      <c r="I146" s="230"/>
      <c r="J146" s="230"/>
      <c r="K146" s="230"/>
      <c r="L146" s="230"/>
    </row>
    <row r="147" spans="3:12" ht="20.100000000000001" customHeight="1">
      <c r="C147" s="230"/>
      <c r="D147" s="230"/>
      <c r="E147" s="230"/>
      <c r="F147" s="321"/>
      <c r="G147" s="230"/>
      <c r="H147" s="230"/>
      <c r="I147" s="230"/>
      <c r="J147" s="230"/>
      <c r="K147" s="230"/>
      <c r="L147" s="230"/>
    </row>
    <row r="148" spans="3:12" ht="20.100000000000001" customHeight="1">
      <c r="C148" s="230"/>
      <c r="D148" s="230"/>
      <c r="E148" s="230"/>
      <c r="F148" s="321"/>
      <c r="G148" s="230"/>
      <c r="H148" s="230"/>
      <c r="I148" s="230"/>
      <c r="J148" s="230"/>
      <c r="K148" s="230"/>
      <c r="L148" s="230"/>
    </row>
    <row r="149" spans="3:12" ht="20.100000000000001" customHeight="1">
      <c r="C149" s="230"/>
      <c r="D149" s="230"/>
      <c r="E149" s="230"/>
      <c r="F149" s="321"/>
      <c r="G149" s="230"/>
      <c r="H149" s="230"/>
      <c r="I149" s="230"/>
      <c r="J149" s="230"/>
      <c r="K149" s="230"/>
      <c r="L149" s="230"/>
    </row>
    <row r="150" spans="3:12" ht="20.100000000000001" customHeight="1">
      <c r="C150" s="230"/>
      <c r="D150" s="230"/>
      <c r="E150" s="230"/>
      <c r="F150" s="321"/>
      <c r="G150" s="230"/>
      <c r="H150" s="230"/>
      <c r="I150" s="230"/>
      <c r="J150" s="230"/>
      <c r="K150" s="230"/>
      <c r="L150" s="230"/>
    </row>
    <row r="151" spans="3:12" ht="20.100000000000001" customHeight="1">
      <c r="C151" s="230"/>
      <c r="D151" s="230"/>
      <c r="E151" s="230"/>
      <c r="F151" s="321"/>
      <c r="G151" s="230"/>
      <c r="H151" s="230"/>
      <c r="I151" s="230"/>
      <c r="J151" s="230"/>
      <c r="K151" s="230"/>
      <c r="L151" s="230"/>
    </row>
    <row r="152" spans="3:12" ht="20.100000000000001" customHeight="1">
      <c r="C152" s="230"/>
      <c r="D152" s="230"/>
      <c r="E152" s="230"/>
      <c r="F152" s="321"/>
      <c r="G152" s="230"/>
      <c r="H152" s="230"/>
      <c r="I152" s="230"/>
      <c r="J152" s="230"/>
      <c r="K152" s="230"/>
      <c r="L152" s="230"/>
    </row>
    <row r="153" spans="3:12" ht="20.100000000000001" customHeight="1">
      <c r="C153" s="230"/>
      <c r="D153" s="230"/>
      <c r="E153" s="230"/>
      <c r="F153" s="321"/>
      <c r="G153" s="230"/>
      <c r="H153" s="230"/>
      <c r="I153" s="230"/>
      <c r="J153" s="230"/>
      <c r="K153" s="230"/>
      <c r="L153" s="230"/>
    </row>
    <row r="154" spans="3:12" ht="20.100000000000001" customHeight="1">
      <c r="C154" s="230"/>
      <c r="D154" s="230"/>
      <c r="E154" s="230"/>
      <c r="F154" s="321"/>
      <c r="G154" s="230"/>
      <c r="H154" s="230"/>
      <c r="I154" s="230"/>
      <c r="J154" s="230"/>
      <c r="K154" s="230"/>
      <c r="L154" s="230"/>
    </row>
    <row r="155" spans="3:12" ht="20.100000000000001" customHeight="1">
      <c r="C155" s="230"/>
      <c r="D155" s="230"/>
      <c r="E155" s="230"/>
      <c r="F155" s="321"/>
      <c r="G155" s="230"/>
      <c r="H155" s="230"/>
      <c r="I155" s="230"/>
      <c r="J155" s="230"/>
      <c r="K155" s="230"/>
      <c r="L155" s="230"/>
    </row>
    <row r="156" spans="3:12" ht="20.100000000000001" customHeight="1">
      <c r="C156" s="230"/>
      <c r="D156" s="230"/>
      <c r="E156" s="230"/>
      <c r="F156" s="321"/>
      <c r="G156" s="230"/>
      <c r="H156" s="230"/>
      <c r="I156" s="230"/>
      <c r="J156" s="230"/>
      <c r="K156" s="230"/>
      <c r="L156" s="230"/>
    </row>
    <row r="157" spans="3:12" ht="20.100000000000001" customHeight="1">
      <c r="C157" s="230"/>
      <c r="D157" s="230"/>
      <c r="E157" s="230"/>
      <c r="F157" s="321"/>
      <c r="G157" s="230"/>
      <c r="H157" s="230"/>
      <c r="I157" s="230"/>
      <c r="J157" s="230"/>
      <c r="K157" s="230"/>
      <c r="L157" s="230"/>
    </row>
    <row r="158" spans="3:12" ht="20.100000000000001" customHeight="1">
      <c r="C158" s="230"/>
      <c r="D158" s="230"/>
      <c r="E158" s="230"/>
      <c r="F158" s="321"/>
      <c r="G158" s="230"/>
      <c r="H158" s="230"/>
      <c r="I158" s="230"/>
      <c r="J158" s="230"/>
      <c r="K158" s="230"/>
      <c r="L158" s="230"/>
    </row>
    <row r="159" spans="3:12" ht="20.100000000000001" customHeight="1">
      <c r="C159" s="230"/>
      <c r="D159" s="230"/>
      <c r="E159" s="230"/>
      <c r="F159" s="321"/>
      <c r="G159" s="230"/>
      <c r="H159" s="230"/>
      <c r="I159" s="230"/>
      <c r="J159" s="230"/>
      <c r="K159" s="230"/>
      <c r="L159" s="230"/>
    </row>
    <row r="160" spans="3:12" ht="20.100000000000001" customHeight="1">
      <c r="C160" s="230"/>
      <c r="D160" s="230"/>
      <c r="E160" s="230"/>
      <c r="F160" s="321"/>
      <c r="G160" s="230"/>
      <c r="H160" s="230"/>
      <c r="I160" s="230"/>
      <c r="J160" s="230"/>
      <c r="K160" s="230"/>
      <c r="L160" s="230"/>
    </row>
    <row r="161" spans="3:12" ht="20.100000000000001" customHeight="1">
      <c r="C161" s="230"/>
      <c r="D161" s="230"/>
      <c r="E161" s="230"/>
      <c r="F161" s="321"/>
      <c r="G161" s="230"/>
      <c r="H161" s="230"/>
      <c r="I161" s="230"/>
      <c r="J161" s="230"/>
      <c r="K161" s="230"/>
      <c r="L161" s="230"/>
    </row>
    <row r="162" spans="3:12" ht="20.100000000000001" customHeight="1">
      <c r="C162" s="230"/>
      <c r="D162" s="230"/>
      <c r="E162" s="230"/>
      <c r="F162" s="321"/>
      <c r="G162" s="230"/>
      <c r="H162" s="230"/>
      <c r="I162" s="230"/>
      <c r="J162" s="230"/>
      <c r="K162" s="230"/>
      <c r="L162" s="230"/>
    </row>
    <row r="163" spans="3:12" ht="20.100000000000001" customHeight="1">
      <c r="C163" s="230"/>
      <c r="D163" s="230"/>
      <c r="E163" s="230"/>
      <c r="F163" s="321"/>
      <c r="G163" s="230"/>
      <c r="H163" s="230"/>
      <c r="I163" s="230"/>
      <c r="J163" s="230"/>
      <c r="K163" s="230"/>
      <c r="L163" s="230"/>
    </row>
    <row r="164" spans="3:12" ht="20.100000000000001" customHeight="1">
      <c r="C164" s="230"/>
      <c r="D164" s="230"/>
      <c r="E164" s="230"/>
      <c r="F164" s="321"/>
      <c r="G164" s="230"/>
      <c r="H164" s="230"/>
      <c r="I164" s="230"/>
      <c r="J164" s="230"/>
      <c r="K164" s="230"/>
      <c r="L164" s="230"/>
    </row>
    <row r="165" spans="3:12" ht="20.100000000000001" customHeight="1">
      <c r="F165" s="641"/>
    </row>
    <row r="168" spans="3:12" ht="20.100000000000001" customHeight="1">
      <c r="F168" s="641"/>
    </row>
    <row r="171" spans="3:12" ht="20.100000000000001" customHeight="1">
      <c r="F171" s="641"/>
    </row>
    <row r="174" spans="3:12" ht="20.100000000000001" customHeight="1">
      <c r="F174" s="641"/>
    </row>
    <row r="177" spans="6:6" ht="20.100000000000001" customHeight="1">
      <c r="F177" s="641"/>
    </row>
    <row r="180" spans="6:6" ht="20.100000000000001" customHeight="1">
      <c r="F180" s="641"/>
    </row>
    <row r="183" spans="6:6" ht="20.100000000000001" customHeight="1">
      <c r="F183" s="641"/>
    </row>
  </sheetData>
  <mergeCells count="24"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  <mergeCell ref="C132:C134"/>
    <mergeCell ref="C135:C137"/>
    <mergeCell ref="C114:C116"/>
    <mergeCell ref="C117:C119"/>
    <mergeCell ref="C120:C122"/>
    <mergeCell ref="C123:C125"/>
    <mergeCell ref="C126:C128"/>
    <mergeCell ref="C129:C131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autoPict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autoPict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E21" sqref="E21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8" t="s">
        <v>227</v>
      </c>
    </row>
    <row r="3" spans="1:15" s="30" customFormat="1" ht="28.5" customHeight="1">
      <c r="C3" s="158" t="s">
        <v>259</v>
      </c>
      <c r="D3" s="159" t="s">
        <v>603</v>
      </c>
      <c r="E3" s="159" t="s">
        <v>256</v>
      </c>
      <c r="F3" s="159" t="s">
        <v>257</v>
      </c>
      <c r="G3" s="159" t="s">
        <v>604</v>
      </c>
      <c r="H3" s="159" t="s">
        <v>605</v>
      </c>
      <c r="I3" s="159" t="s">
        <v>606</v>
      </c>
      <c r="J3" s="159" t="s">
        <v>607</v>
      </c>
      <c r="K3" s="159" t="s">
        <v>608</v>
      </c>
      <c r="L3" s="159" t="s">
        <v>609</v>
      </c>
      <c r="M3" s="159" t="s">
        <v>610</v>
      </c>
      <c r="N3" s="159" t="s">
        <v>611</v>
      </c>
      <c r="O3" s="160" t="s">
        <v>612</v>
      </c>
    </row>
    <row r="4" spans="1:15" ht="20.100000000000001" customHeight="1">
      <c r="C4" s="503" t="s">
        <v>219</v>
      </c>
      <c r="D4" s="786" t="s">
        <v>788</v>
      </c>
      <c r="E4" s="504">
        <v>120</v>
      </c>
      <c r="F4" s="504">
        <v>5.2190000000000003</v>
      </c>
      <c r="G4" s="789">
        <v>3.9083999999999999</v>
      </c>
      <c r="H4" s="786">
        <v>0.03</v>
      </c>
      <c r="I4" s="504">
        <v>464</v>
      </c>
      <c r="J4" s="792">
        <v>464</v>
      </c>
      <c r="K4" s="504">
        <v>329</v>
      </c>
      <c r="L4" s="792">
        <v>329</v>
      </c>
      <c r="M4" s="504">
        <v>6.8999999999999999E-3</v>
      </c>
      <c r="N4" s="789">
        <v>6.3E-3</v>
      </c>
      <c r="O4" s="783" t="s">
        <v>226</v>
      </c>
    </row>
    <row r="5" spans="1:15" ht="20.100000000000001" customHeight="1">
      <c r="C5" s="503" t="s">
        <v>786</v>
      </c>
      <c r="D5" s="787"/>
      <c r="E5" s="504">
        <v>120</v>
      </c>
      <c r="F5" s="504">
        <v>4.4210000000000003</v>
      </c>
      <c r="G5" s="790"/>
      <c r="H5" s="787"/>
      <c r="I5" s="504">
        <v>464</v>
      </c>
      <c r="J5" s="793"/>
      <c r="K5" s="504">
        <v>329</v>
      </c>
      <c r="L5" s="793"/>
      <c r="M5" s="504">
        <v>6.6E-3</v>
      </c>
      <c r="N5" s="790"/>
      <c r="O5" s="784"/>
    </row>
    <row r="6" spans="1:15" ht="20.100000000000001" customHeight="1">
      <c r="A6"/>
      <c r="B6"/>
      <c r="C6" s="503" t="s">
        <v>787</v>
      </c>
      <c r="D6" s="787"/>
      <c r="E6" s="504">
        <v>120</v>
      </c>
      <c r="F6" s="504">
        <v>3.6684999999999999</v>
      </c>
      <c r="G6" s="790"/>
      <c r="H6" s="787"/>
      <c r="I6" s="504">
        <v>464</v>
      </c>
      <c r="J6" s="793"/>
      <c r="K6" s="504">
        <v>329</v>
      </c>
      <c r="L6" s="793"/>
      <c r="M6" s="504">
        <v>6.4999999999999997E-3</v>
      </c>
      <c r="N6" s="790"/>
      <c r="O6" s="784"/>
    </row>
    <row r="7" spans="1:15" ht="20.100000000000001" customHeight="1">
      <c r="A7" s="452" t="s">
        <v>749</v>
      </c>
      <c r="B7"/>
      <c r="C7" s="503" t="s">
        <v>812</v>
      </c>
      <c r="D7" s="787"/>
      <c r="E7" s="504">
        <v>120</v>
      </c>
      <c r="F7" s="504">
        <v>3.6779999999999999</v>
      </c>
      <c r="G7" s="790"/>
      <c r="H7" s="787"/>
      <c r="I7" s="504">
        <v>464</v>
      </c>
      <c r="J7" s="793"/>
      <c r="K7" s="504">
        <v>329</v>
      </c>
      <c r="L7" s="793"/>
      <c r="M7" s="504">
        <v>6.7999999999999996E-3</v>
      </c>
      <c r="N7" s="790"/>
      <c r="O7" s="784"/>
    </row>
    <row r="8" spans="1:15" ht="20.100000000000001" customHeight="1">
      <c r="A8" s="452" t="s">
        <v>750</v>
      </c>
      <c r="B8"/>
      <c r="C8" s="503" t="s">
        <v>814</v>
      </c>
      <c r="D8" s="787"/>
      <c r="E8" s="504">
        <v>120</v>
      </c>
      <c r="F8" s="504">
        <v>3.7835000000000001</v>
      </c>
      <c r="G8" s="790"/>
      <c r="H8" s="787"/>
      <c r="I8" s="504">
        <v>464</v>
      </c>
      <c r="J8" s="793"/>
      <c r="K8" s="504">
        <v>329</v>
      </c>
      <c r="L8" s="793"/>
      <c r="M8" s="504">
        <v>5.7000000000000002E-3</v>
      </c>
      <c r="N8" s="790"/>
      <c r="O8" s="784"/>
    </row>
    <row r="9" spans="1:15" ht="20.100000000000001" customHeight="1">
      <c r="A9"/>
      <c r="B9"/>
      <c r="C9" s="503" t="s">
        <v>816</v>
      </c>
      <c r="D9" s="787"/>
      <c r="E9" s="504">
        <v>120</v>
      </c>
      <c r="F9" s="504">
        <v>3.7124999999999999</v>
      </c>
      <c r="G9" s="790"/>
      <c r="H9" s="787"/>
      <c r="I9" s="504">
        <v>464</v>
      </c>
      <c r="J9" s="793"/>
      <c r="K9" s="504">
        <v>329</v>
      </c>
      <c r="L9" s="793"/>
      <c r="M9" s="504">
        <v>6.1000000000000004E-3</v>
      </c>
      <c r="N9" s="790"/>
      <c r="O9" s="784"/>
    </row>
    <row r="10" spans="1:15" ht="20.100000000000001" customHeight="1">
      <c r="A10"/>
      <c r="B10"/>
      <c r="C10" s="503" t="s">
        <v>819</v>
      </c>
      <c r="D10" s="787"/>
      <c r="E10" s="504">
        <v>120</v>
      </c>
      <c r="F10" s="504">
        <v>3.6905000000000001</v>
      </c>
      <c r="G10" s="790"/>
      <c r="H10" s="787"/>
      <c r="I10" s="504">
        <v>464</v>
      </c>
      <c r="J10" s="793"/>
      <c r="K10" s="504">
        <v>329</v>
      </c>
      <c r="L10" s="793"/>
      <c r="M10" s="504">
        <v>5.5999999999999999E-3</v>
      </c>
      <c r="N10" s="790"/>
      <c r="O10" s="784"/>
    </row>
    <row r="11" spans="1:15" ht="20.100000000000001" customHeight="1">
      <c r="A11"/>
      <c r="B11"/>
      <c r="C11" s="503" t="s">
        <v>821</v>
      </c>
      <c r="D11" s="787"/>
      <c r="E11" s="504">
        <v>120</v>
      </c>
      <c r="F11" s="504">
        <v>3.9775</v>
      </c>
      <c r="G11" s="790"/>
      <c r="H11" s="787"/>
      <c r="I11" s="504">
        <v>464</v>
      </c>
      <c r="J11" s="793"/>
      <c r="K11" s="504">
        <v>329</v>
      </c>
      <c r="L11" s="793"/>
      <c r="M11" s="504">
        <v>5.4000000000000003E-3</v>
      </c>
      <c r="N11" s="790"/>
      <c r="O11" s="784"/>
    </row>
    <row r="12" spans="1:15" ht="20.100000000000001" customHeight="1">
      <c r="C12" s="503" t="s">
        <v>823</v>
      </c>
      <c r="D12" s="787"/>
      <c r="E12" s="504">
        <v>120</v>
      </c>
      <c r="F12" s="504">
        <v>3.5615000000000001</v>
      </c>
      <c r="G12" s="790"/>
      <c r="H12" s="787"/>
      <c r="I12" s="504">
        <v>464</v>
      </c>
      <c r="J12" s="793"/>
      <c r="K12" s="504">
        <v>329</v>
      </c>
      <c r="L12" s="793"/>
      <c r="M12" s="504">
        <v>6.4999999999999997E-3</v>
      </c>
      <c r="N12" s="790"/>
      <c r="O12" s="784"/>
    </row>
    <row r="13" spans="1:15" ht="20.100000000000001" customHeight="1">
      <c r="C13" s="503" t="s">
        <v>825</v>
      </c>
      <c r="D13" s="787"/>
      <c r="E13" s="504">
        <v>120</v>
      </c>
      <c r="F13" s="504">
        <v>3.706</v>
      </c>
      <c r="G13" s="790"/>
      <c r="H13" s="787"/>
      <c r="I13" s="504">
        <v>464</v>
      </c>
      <c r="J13" s="793"/>
      <c r="K13" s="504">
        <v>329</v>
      </c>
      <c r="L13" s="793"/>
      <c r="M13" s="504">
        <v>6.3E-3</v>
      </c>
      <c r="N13" s="790"/>
      <c r="O13" s="784"/>
    </row>
    <row r="14" spans="1:15" ht="20.100000000000001" customHeight="1">
      <c r="C14" s="503" t="s">
        <v>827</v>
      </c>
      <c r="D14" s="788"/>
      <c r="E14" s="504">
        <v>120</v>
      </c>
      <c r="F14" s="504">
        <v>3.5745</v>
      </c>
      <c r="G14" s="791"/>
      <c r="H14" s="788"/>
      <c r="I14" s="504">
        <v>464</v>
      </c>
      <c r="J14" s="794"/>
      <c r="K14" s="504">
        <v>329</v>
      </c>
      <c r="L14" s="794"/>
      <c r="M14" s="504">
        <v>6.6E-3</v>
      </c>
      <c r="N14" s="791"/>
      <c r="O14" s="785"/>
    </row>
    <row r="15" spans="1:15" ht="20.100000000000001" customHeight="1">
      <c r="C15" s="503"/>
      <c r="D15" s="504"/>
      <c r="E15" s="504"/>
      <c r="F15" s="504"/>
      <c r="G15" s="505"/>
      <c r="H15" s="504"/>
      <c r="I15" s="504"/>
      <c r="J15" s="506"/>
      <c r="K15" s="504"/>
      <c r="L15" s="506"/>
      <c r="M15" s="504"/>
      <c r="N15" s="505"/>
      <c r="O15" s="507"/>
    </row>
    <row r="16" spans="1:15" ht="20.100000000000001" customHeight="1">
      <c r="C16" s="503"/>
      <c r="D16" s="504"/>
      <c r="E16" s="504"/>
      <c r="F16" s="504"/>
      <c r="G16" s="505"/>
      <c r="H16" s="504"/>
      <c r="I16" s="504"/>
      <c r="J16" s="506"/>
      <c r="K16" s="504"/>
      <c r="L16" s="506"/>
      <c r="M16" s="504"/>
      <c r="N16" s="505"/>
      <c r="O16" s="507"/>
    </row>
    <row r="17" spans="3:15" ht="20.100000000000001" customHeight="1">
      <c r="C17" s="503"/>
      <c r="D17" s="504"/>
      <c r="E17" s="504"/>
      <c r="F17" s="504"/>
      <c r="G17" s="505"/>
      <c r="H17" s="504"/>
      <c r="I17" s="504"/>
      <c r="J17" s="506"/>
      <c r="K17" s="504"/>
      <c r="L17" s="506"/>
      <c r="M17" s="504"/>
      <c r="N17" s="505"/>
      <c r="O17" s="507"/>
    </row>
    <row r="18" spans="3:15" ht="20.100000000000001" customHeight="1">
      <c r="C18" s="209"/>
      <c r="D18" s="189"/>
      <c r="E18" s="189"/>
      <c r="F18" s="189"/>
      <c r="G18" s="300"/>
      <c r="H18" s="189"/>
      <c r="I18" s="189"/>
      <c r="J18" s="301"/>
      <c r="K18" s="189"/>
      <c r="L18" s="301"/>
      <c r="M18" s="189"/>
      <c r="N18" s="300"/>
      <c r="O18" s="302"/>
    </row>
    <row r="19" spans="3:15" ht="20.100000000000001" customHeight="1">
      <c r="C19" s="503"/>
      <c r="D19" s="504"/>
      <c r="E19" s="504"/>
      <c r="F19" s="504"/>
      <c r="G19" s="505"/>
      <c r="H19" s="504"/>
      <c r="I19" s="504"/>
      <c r="J19" s="506"/>
      <c r="K19" s="504"/>
      <c r="L19" s="506"/>
      <c r="M19" s="504"/>
      <c r="N19" s="505"/>
      <c r="O19" s="507"/>
    </row>
    <row r="20" spans="3:15" ht="20.100000000000001" customHeight="1">
      <c r="C20" s="503"/>
      <c r="D20" s="504"/>
      <c r="E20" s="504"/>
      <c r="F20" s="504"/>
      <c r="G20" s="505"/>
      <c r="H20" s="504"/>
      <c r="I20" s="504"/>
      <c r="J20" s="506"/>
      <c r="K20" s="504"/>
      <c r="L20" s="506"/>
      <c r="M20" s="504"/>
      <c r="N20" s="505"/>
      <c r="O20" s="507"/>
    </row>
    <row r="21" spans="3:15" ht="20.100000000000001" customHeight="1">
      <c r="C21" s="503"/>
      <c r="D21" s="504"/>
      <c r="E21" s="504"/>
      <c r="F21" s="504"/>
      <c r="G21" s="505"/>
      <c r="H21" s="504"/>
      <c r="I21" s="504"/>
      <c r="J21" s="506"/>
      <c r="K21" s="504"/>
      <c r="L21" s="506"/>
      <c r="M21" s="504"/>
      <c r="N21" s="505"/>
      <c r="O21" s="507"/>
    </row>
    <row r="22" spans="3:15" ht="20.100000000000001" customHeight="1">
      <c r="C22" s="503"/>
      <c r="D22" s="504"/>
      <c r="E22" s="504"/>
      <c r="F22" s="504"/>
      <c r="G22" s="505"/>
      <c r="H22" s="504"/>
      <c r="I22" s="504"/>
      <c r="J22" s="506"/>
      <c r="K22" s="504"/>
      <c r="L22" s="506"/>
      <c r="M22" s="504"/>
      <c r="N22" s="505"/>
      <c r="O22" s="507"/>
    </row>
    <row r="23" spans="3:15" ht="20.100000000000001" customHeight="1">
      <c r="C23" s="503"/>
      <c r="D23" s="504"/>
      <c r="E23" s="504"/>
      <c r="F23" s="504"/>
      <c r="G23" s="505"/>
      <c r="H23" s="504"/>
      <c r="I23" s="504"/>
      <c r="J23" s="506"/>
      <c r="K23" s="504"/>
      <c r="L23" s="506"/>
      <c r="M23" s="504"/>
      <c r="N23" s="505"/>
      <c r="O23" s="507"/>
    </row>
    <row r="24" spans="3:15" ht="20.100000000000001" customHeight="1">
      <c r="C24" s="503"/>
      <c r="D24" s="504"/>
      <c r="E24" s="504"/>
      <c r="F24" s="504"/>
      <c r="G24" s="505"/>
      <c r="H24" s="504"/>
      <c r="I24" s="504"/>
      <c r="J24" s="506"/>
      <c r="K24" s="504"/>
      <c r="L24" s="506"/>
      <c r="M24" s="504"/>
      <c r="N24" s="505"/>
      <c r="O24" s="507"/>
    </row>
    <row r="25" spans="3:15" ht="20.100000000000001" customHeight="1">
      <c r="C25" s="503"/>
      <c r="D25" s="504"/>
      <c r="E25" s="504"/>
      <c r="F25" s="504"/>
      <c r="G25" s="505"/>
      <c r="H25" s="504"/>
      <c r="I25" s="504"/>
      <c r="J25" s="506"/>
      <c r="K25" s="504"/>
      <c r="L25" s="506"/>
      <c r="M25" s="504"/>
      <c r="N25" s="505"/>
      <c r="O25" s="507"/>
    </row>
    <row r="26" spans="3:15" ht="20.100000000000001" customHeight="1">
      <c r="C26" s="503"/>
      <c r="D26" s="504"/>
      <c r="E26" s="504"/>
      <c r="F26" s="504"/>
      <c r="G26" s="505"/>
      <c r="H26" s="504"/>
      <c r="I26" s="504"/>
      <c r="J26" s="506"/>
      <c r="K26" s="504"/>
      <c r="L26" s="506"/>
      <c r="M26" s="504"/>
      <c r="N26" s="505"/>
      <c r="O26" s="507"/>
    </row>
    <row r="27" spans="3:15" ht="20.100000000000001" customHeight="1">
      <c r="C27" s="503"/>
      <c r="D27" s="504"/>
      <c r="E27" s="504"/>
      <c r="F27" s="504"/>
      <c r="G27" s="505"/>
      <c r="H27" s="504"/>
      <c r="I27" s="504"/>
      <c r="J27" s="506"/>
      <c r="K27" s="504"/>
      <c r="L27" s="506"/>
      <c r="M27" s="504"/>
      <c r="N27" s="505"/>
      <c r="O27" s="507"/>
    </row>
    <row r="28" spans="3:15" ht="20.100000000000001" customHeight="1">
      <c r="C28" s="503"/>
      <c r="D28" s="504"/>
      <c r="E28" s="504"/>
      <c r="F28" s="504"/>
      <c r="G28" s="505"/>
      <c r="H28" s="504"/>
      <c r="I28" s="504"/>
      <c r="J28" s="506"/>
      <c r="K28" s="504"/>
      <c r="L28" s="506"/>
      <c r="M28" s="504"/>
      <c r="N28" s="505"/>
      <c r="O28" s="507"/>
    </row>
    <row r="29" spans="3:15" ht="20.100000000000001" customHeight="1">
      <c r="C29" s="503"/>
      <c r="D29" s="504"/>
      <c r="E29" s="504"/>
      <c r="F29" s="504"/>
      <c r="G29" s="505"/>
      <c r="H29" s="504"/>
      <c r="I29" s="504"/>
      <c r="J29" s="506"/>
      <c r="K29" s="504"/>
      <c r="L29" s="506"/>
      <c r="M29" s="504"/>
      <c r="N29" s="505"/>
      <c r="O29" s="507"/>
    </row>
    <row r="30" spans="3:15" ht="20.100000000000001" customHeight="1">
      <c r="C30" s="503"/>
      <c r="D30" s="504"/>
      <c r="E30" s="504"/>
      <c r="F30" s="504"/>
      <c r="G30" s="505"/>
      <c r="H30" s="504"/>
      <c r="I30" s="504"/>
      <c r="J30" s="506"/>
      <c r="K30" s="504"/>
      <c r="L30" s="506"/>
      <c r="M30" s="504"/>
      <c r="N30" s="505"/>
      <c r="O30" s="507"/>
    </row>
    <row r="31" spans="3:15" ht="20.100000000000001" customHeight="1">
      <c r="C31" s="503"/>
      <c r="D31" s="504"/>
      <c r="E31" s="504"/>
      <c r="F31" s="504"/>
      <c r="G31" s="505"/>
      <c r="H31" s="504"/>
      <c r="I31" s="504"/>
      <c r="J31" s="506"/>
      <c r="K31" s="504"/>
      <c r="L31" s="506"/>
      <c r="M31" s="504"/>
      <c r="N31" s="505"/>
      <c r="O31" s="507"/>
    </row>
    <row r="32" spans="3:15" ht="20.100000000000001" customHeight="1">
      <c r="C32" s="503"/>
      <c r="D32" s="504"/>
      <c r="E32" s="504"/>
      <c r="F32" s="504"/>
      <c r="G32" s="505"/>
      <c r="H32" s="504"/>
      <c r="I32" s="504"/>
      <c r="J32" s="506"/>
      <c r="K32" s="504"/>
      <c r="L32" s="506"/>
      <c r="M32" s="504"/>
      <c r="N32" s="505"/>
      <c r="O32" s="507"/>
    </row>
    <row r="33" spans="3:15" ht="20.100000000000001" customHeight="1">
      <c r="C33" s="503"/>
      <c r="D33" s="504"/>
      <c r="E33" s="504"/>
      <c r="F33" s="504"/>
      <c r="G33" s="505"/>
      <c r="H33" s="504"/>
      <c r="I33" s="504"/>
      <c r="J33" s="506"/>
      <c r="K33" s="504"/>
      <c r="L33" s="506"/>
      <c r="M33" s="504"/>
      <c r="N33" s="505"/>
      <c r="O33" s="507"/>
    </row>
    <row r="34" spans="3:15" ht="20.100000000000001" customHeight="1" thickBot="1">
      <c r="C34" s="508"/>
      <c r="D34" s="509"/>
      <c r="E34" s="510"/>
      <c r="F34" s="510"/>
      <c r="G34" s="509"/>
      <c r="H34" s="509"/>
      <c r="I34" s="510"/>
      <c r="J34" s="509"/>
      <c r="K34" s="510"/>
      <c r="L34" s="509"/>
      <c r="M34" s="510"/>
      <c r="N34" s="509"/>
      <c r="O34" s="511"/>
    </row>
  </sheetData>
  <mergeCells count="7">
    <mergeCell ref="O4:O14"/>
    <mergeCell ref="H4:H14"/>
    <mergeCell ref="D4:D14"/>
    <mergeCell ref="G4:G14"/>
    <mergeCell ref="J4:J14"/>
    <mergeCell ref="L4:L14"/>
    <mergeCell ref="N4:N14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30" customWidth="1"/>
    <col min="4" max="12" width="12.33203125" customWidth="1"/>
    <col min="13" max="18" width="11.21875" customWidth="1"/>
    <col min="19" max="19" width="11.109375" customWidth="1"/>
    <col min="20" max="20" width="12.44140625" style="230" customWidth="1"/>
    <col min="21" max="22" width="8.88671875" style="230"/>
    <col min="23" max="23" width="12.109375" style="230" customWidth="1"/>
    <col min="24" max="88" width="8.88671875" style="230"/>
  </cols>
  <sheetData>
    <row r="1" spans="1:88" s="230" customFormat="1" ht="20.100000000000001" customHeight="1"/>
    <row r="2" spans="1:88" s="317" customFormat="1" ht="27.75" customHeight="1" thickBot="1">
      <c r="D2" s="259" t="s">
        <v>235</v>
      </c>
      <c r="M2" s="259" t="s">
        <v>589</v>
      </c>
    </row>
    <row r="3" spans="1:88" s="30" customFormat="1" ht="42.75" customHeight="1">
      <c r="A3" s="287"/>
      <c r="B3" s="287"/>
      <c r="C3" s="287"/>
      <c r="D3" s="292" t="s">
        <v>249</v>
      </c>
      <c r="E3" s="296" t="s">
        <v>250</v>
      </c>
      <c r="F3" s="296" t="s">
        <v>251</v>
      </c>
      <c r="G3" s="296" t="s">
        <v>252</v>
      </c>
      <c r="H3" s="296" t="s">
        <v>253</v>
      </c>
      <c r="I3" s="296" t="s">
        <v>254</v>
      </c>
      <c r="J3" s="296" t="s">
        <v>241</v>
      </c>
      <c r="K3" s="297" t="s">
        <v>242</v>
      </c>
      <c r="L3" s="287"/>
      <c r="M3" s="292" t="s">
        <v>249</v>
      </c>
      <c r="N3" s="296" t="s">
        <v>250</v>
      </c>
      <c r="O3" s="296" t="s">
        <v>251</v>
      </c>
      <c r="P3" s="296" t="s">
        <v>253</v>
      </c>
      <c r="Q3" s="296" t="s">
        <v>254</v>
      </c>
      <c r="R3" s="296" t="s">
        <v>241</v>
      </c>
      <c r="S3" s="297" t="s">
        <v>242</v>
      </c>
      <c r="T3" s="287"/>
      <c r="U3" s="287"/>
      <c r="V3" s="287"/>
      <c r="W3" s="287"/>
      <c r="X3" s="287"/>
      <c r="Y3" s="287"/>
      <c r="Z3" s="287"/>
      <c r="AA3" s="287"/>
      <c r="AB3" s="287"/>
      <c r="AC3" s="287"/>
      <c r="AD3" s="287"/>
      <c r="AE3" s="287"/>
      <c r="AF3" s="287"/>
      <c r="AG3" s="287"/>
      <c r="AH3" s="287"/>
      <c r="AI3" s="287"/>
      <c r="AJ3" s="287"/>
      <c r="AK3" s="287"/>
      <c r="AL3" s="287"/>
      <c r="AM3" s="287"/>
      <c r="AN3" s="287"/>
      <c r="AO3" s="287"/>
      <c r="AP3" s="287"/>
      <c r="AQ3" s="287"/>
      <c r="AR3" s="287"/>
      <c r="AS3" s="287"/>
      <c r="AT3" s="287"/>
      <c r="AU3" s="287"/>
      <c r="AV3" s="287"/>
      <c r="AW3" s="287"/>
      <c r="AX3" s="287"/>
      <c r="AY3" s="287"/>
      <c r="AZ3" s="287"/>
      <c r="BA3" s="287"/>
      <c r="BB3" s="287"/>
      <c r="BC3" s="287"/>
      <c r="BD3" s="287"/>
      <c r="BE3" s="287"/>
      <c r="BF3" s="287"/>
      <c r="BG3" s="287"/>
      <c r="BH3" s="287"/>
      <c r="BI3" s="287"/>
      <c r="BJ3" s="287"/>
      <c r="BK3" s="287"/>
      <c r="BL3" s="287"/>
      <c r="BM3" s="287"/>
      <c r="BN3" s="287"/>
      <c r="BO3" s="287"/>
      <c r="BP3" s="287"/>
      <c r="BQ3" s="287"/>
      <c r="BR3" s="287"/>
      <c r="BS3" s="287"/>
      <c r="BT3" s="287"/>
      <c r="BU3" s="287"/>
      <c r="BV3" s="287"/>
      <c r="BW3" s="287"/>
      <c r="BX3" s="287"/>
      <c r="BY3" s="287"/>
      <c r="BZ3" s="287"/>
      <c r="CA3" s="287"/>
      <c r="CB3" s="287"/>
      <c r="CC3" s="287"/>
      <c r="CD3" s="287"/>
      <c r="CE3" s="287"/>
      <c r="CF3" s="287"/>
      <c r="CG3" s="287"/>
      <c r="CH3" s="287"/>
      <c r="CI3" s="287"/>
      <c r="CJ3" s="287"/>
    </row>
    <row r="4" spans="1:88" s="80" customFormat="1" ht="33.75" customHeight="1" thickBot="1">
      <c r="A4" s="318"/>
      <c r="B4" s="318"/>
      <c r="C4" s="318"/>
      <c r="D4" s="81">
        <v>3487130.5455</v>
      </c>
      <c r="E4" s="82">
        <v>1356.3</v>
      </c>
      <c r="F4" s="82">
        <v>1827.0490887657331</v>
      </c>
      <c r="G4" s="316">
        <v>0.72399999999999998</v>
      </c>
      <c r="H4" s="82">
        <v>1322.7835402663907</v>
      </c>
      <c r="I4" s="83">
        <v>200.2</v>
      </c>
      <c r="J4" s="82">
        <v>15</v>
      </c>
      <c r="K4" s="84">
        <v>1107.5835402663906</v>
      </c>
      <c r="L4" s="318"/>
      <c r="M4" s="81">
        <f>D4</f>
        <v>3487130.5455</v>
      </c>
      <c r="N4" s="82">
        <f>E4</f>
        <v>1356.3</v>
      </c>
      <c r="O4" s="82">
        <f>F4</f>
        <v>1827.0490887657331</v>
      </c>
      <c r="P4" s="82">
        <f>H4</f>
        <v>1322.7835402663907</v>
      </c>
      <c r="Q4" s="83">
        <f>I4</f>
        <v>200.2</v>
      </c>
      <c r="R4" s="82">
        <f>J4</f>
        <v>15</v>
      </c>
      <c r="S4" s="84">
        <f>K4</f>
        <v>1107.5835402663906</v>
      </c>
      <c r="T4" s="318"/>
      <c r="U4" s="318"/>
      <c r="V4" s="318"/>
      <c r="W4" s="318"/>
      <c r="X4" s="318"/>
      <c r="Y4" s="318"/>
      <c r="Z4" s="318"/>
      <c r="AA4" s="318"/>
      <c r="AB4" s="318"/>
      <c r="AC4" s="318"/>
      <c r="AD4" s="318"/>
      <c r="AE4" s="318"/>
      <c r="AF4" s="318"/>
      <c r="AG4" s="318"/>
      <c r="AH4" s="318"/>
      <c r="AI4" s="318"/>
      <c r="AJ4" s="318"/>
      <c r="AK4" s="318"/>
      <c r="AL4" s="318"/>
      <c r="AM4" s="318"/>
      <c r="AN4" s="318"/>
      <c r="AO4" s="318"/>
      <c r="AP4" s="318"/>
      <c r="AQ4" s="318"/>
      <c r="AR4" s="318"/>
      <c r="AS4" s="318"/>
      <c r="AT4" s="318"/>
      <c r="AU4" s="318"/>
      <c r="AV4" s="318"/>
      <c r="AW4" s="318"/>
      <c r="AX4" s="318"/>
      <c r="AY4" s="318"/>
      <c r="AZ4" s="318"/>
      <c r="BA4" s="318"/>
      <c r="BB4" s="318"/>
      <c r="BC4" s="318"/>
      <c r="BD4" s="318"/>
      <c r="BE4" s="318"/>
      <c r="BF4" s="318"/>
      <c r="BG4" s="318"/>
      <c r="BH4" s="318"/>
      <c r="BI4" s="318"/>
      <c r="BJ4" s="318"/>
      <c r="BK4" s="318"/>
      <c r="BL4" s="318"/>
      <c r="BM4" s="318"/>
      <c r="BN4" s="318"/>
      <c r="BO4" s="318"/>
      <c r="BP4" s="318"/>
      <c r="BQ4" s="318"/>
      <c r="BR4" s="318"/>
      <c r="BS4" s="318"/>
      <c r="BT4" s="318"/>
      <c r="BU4" s="318"/>
      <c r="BV4" s="318"/>
      <c r="BW4" s="318"/>
      <c r="BX4" s="318"/>
      <c r="BY4" s="318"/>
      <c r="BZ4" s="318"/>
      <c r="CA4" s="318"/>
      <c r="CB4" s="318"/>
      <c r="CC4" s="318"/>
      <c r="CD4" s="318"/>
      <c r="CE4" s="318"/>
      <c r="CF4" s="318"/>
      <c r="CG4" s="318"/>
      <c r="CH4" s="318"/>
      <c r="CI4" s="318"/>
      <c r="CJ4" s="318"/>
    </row>
    <row r="5" spans="1:88" s="230" customFormat="1" ht="20.100000000000001" customHeight="1"/>
    <row r="6" spans="1:88" s="230" customFormat="1" ht="20.100000000000001" customHeight="1" thickBot="1"/>
    <row r="7" spans="1:88" ht="62.25" customHeight="1">
      <c r="D7" s="292" t="s">
        <v>249</v>
      </c>
      <c r="E7" s="296" t="s">
        <v>250</v>
      </c>
      <c r="F7" s="296" t="s">
        <v>251</v>
      </c>
      <c r="G7" s="296" t="s">
        <v>252</v>
      </c>
      <c r="H7" s="296" t="s">
        <v>253</v>
      </c>
      <c r="I7" s="296" t="s">
        <v>254</v>
      </c>
      <c r="J7" s="296" t="s">
        <v>255</v>
      </c>
      <c r="K7" s="297" t="s">
        <v>241</v>
      </c>
      <c r="L7" s="230"/>
      <c r="M7" s="230"/>
      <c r="N7" s="230"/>
      <c r="O7" s="230"/>
      <c r="P7" s="230"/>
      <c r="Q7" s="230"/>
      <c r="R7" s="230"/>
      <c r="S7" s="230"/>
    </row>
    <row r="8" spans="1:88" ht="31.5" customHeight="1" thickBot="1">
      <c r="D8" s="81">
        <v>3487130.5455</v>
      </c>
      <c r="E8" s="82">
        <v>1356.3</v>
      </c>
      <c r="F8" s="82">
        <v>1827.0490887657331</v>
      </c>
      <c r="G8" s="316">
        <v>0.72399999999999998</v>
      </c>
      <c r="H8" s="82">
        <v>1322.7835402663907</v>
      </c>
      <c r="I8" s="83">
        <v>200.2</v>
      </c>
      <c r="J8" s="82">
        <v>1122.5835402663906</v>
      </c>
      <c r="K8" s="84">
        <v>15</v>
      </c>
      <c r="L8" s="230"/>
      <c r="M8" s="230"/>
      <c r="N8" s="230"/>
      <c r="O8" s="230"/>
      <c r="P8" s="230"/>
      <c r="Q8" s="230"/>
      <c r="R8" s="230"/>
      <c r="S8" s="230"/>
    </row>
    <row r="9" spans="1:88" s="230" customFormat="1" ht="20.100000000000001" customHeight="1"/>
    <row r="10" spans="1:88" s="230" customFormat="1" ht="30.75" customHeight="1" thickBot="1">
      <c r="D10" s="259" t="s">
        <v>258</v>
      </c>
      <c r="G10" s="229" t="s">
        <v>596</v>
      </c>
      <c r="M10" s="229" t="s">
        <v>597</v>
      </c>
    </row>
    <row r="11" spans="1:88" s="30" customFormat="1" ht="39" customHeight="1">
      <c r="A11" s="287"/>
      <c r="B11" s="287"/>
      <c r="C11" s="287"/>
      <c r="D11" s="474" t="s">
        <v>629</v>
      </c>
      <c r="E11" s="475" t="s">
        <v>630</v>
      </c>
      <c r="F11" s="475" t="s">
        <v>256</v>
      </c>
      <c r="G11" s="475" t="s">
        <v>631</v>
      </c>
      <c r="H11" s="475" t="s">
        <v>632</v>
      </c>
      <c r="I11" s="475" t="s">
        <v>154</v>
      </c>
      <c r="J11" s="475" t="s">
        <v>257</v>
      </c>
      <c r="K11" s="476" t="s">
        <v>633</v>
      </c>
      <c r="M11" s="471" t="s">
        <v>629</v>
      </c>
      <c r="N11" s="472" t="s">
        <v>630</v>
      </c>
      <c r="O11" s="472" t="s">
        <v>256</v>
      </c>
      <c r="P11" s="472" t="s">
        <v>631</v>
      </c>
      <c r="Q11" s="472" t="s">
        <v>632</v>
      </c>
      <c r="R11" s="472" t="s">
        <v>257</v>
      </c>
      <c r="S11" s="473" t="s">
        <v>633</v>
      </c>
      <c r="U11" s="287"/>
      <c r="V11" s="287"/>
      <c r="W11" s="287"/>
      <c r="X11" s="287"/>
      <c r="Y11" s="287"/>
      <c r="Z11" s="287"/>
      <c r="AA11" s="287"/>
      <c r="AB11" s="287"/>
      <c r="AC11" s="287"/>
      <c r="AD11" s="287"/>
      <c r="AE11" s="287"/>
      <c r="AF11" s="287"/>
      <c r="AG11" s="287"/>
      <c r="AH11" s="287"/>
      <c r="AI11" s="287"/>
      <c r="AJ11" s="287"/>
      <c r="AK11" s="287"/>
      <c r="AL11" s="287"/>
      <c r="AM11" s="287"/>
      <c r="AN11" s="287"/>
      <c r="AO11" s="287"/>
      <c r="AP11" s="287"/>
      <c r="AQ11" s="287"/>
      <c r="AR11" s="287"/>
      <c r="AS11" s="287"/>
      <c r="AT11" s="287"/>
      <c r="AU11" s="287"/>
      <c r="AV11" s="287"/>
      <c r="AW11" s="287"/>
      <c r="AX11" s="287"/>
      <c r="AY11" s="287"/>
      <c r="AZ11" s="287"/>
      <c r="BA11" s="287"/>
      <c r="BB11" s="287"/>
      <c r="BC11" s="287"/>
      <c r="BD11" s="287"/>
      <c r="BE11" s="287"/>
      <c r="BF11" s="287"/>
      <c r="BG11" s="287"/>
      <c r="BH11" s="287"/>
      <c r="BI11" s="287"/>
      <c r="BJ11" s="287"/>
      <c r="BK11" s="287"/>
      <c r="BL11" s="287"/>
      <c r="BM11" s="287"/>
      <c r="BN11" s="287"/>
      <c r="BO11" s="287"/>
      <c r="BP11" s="287"/>
      <c r="BQ11" s="287"/>
      <c r="BR11" s="287"/>
      <c r="BS11" s="287"/>
      <c r="BT11" s="287"/>
      <c r="BU11" s="287"/>
      <c r="BV11" s="287"/>
      <c r="BW11" s="287"/>
      <c r="BX11" s="287"/>
      <c r="BY11" s="287"/>
      <c r="BZ11" s="287"/>
      <c r="CA11" s="287"/>
      <c r="CB11" s="287"/>
      <c r="CC11" s="287"/>
      <c r="CD11" s="287"/>
      <c r="CE11" s="287"/>
      <c r="CF11" s="287"/>
      <c r="CG11" s="287"/>
      <c r="CH11" s="287"/>
      <c r="CI11" s="287"/>
      <c r="CJ11" s="287"/>
    </row>
    <row r="12" spans="1:88" s="16" customFormat="1" ht="20.100000000000001" customHeight="1">
      <c r="A12" s="231"/>
      <c r="B12" s="231"/>
      <c r="C12" s="231"/>
      <c r="D12" s="477" t="s">
        <v>219</v>
      </c>
      <c r="E12" s="478">
        <v>500</v>
      </c>
      <c r="F12" s="478">
        <v>100</v>
      </c>
      <c r="G12" s="479">
        <v>11.35</v>
      </c>
      <c r="H12" s="479">
        <v>38.270000000000003</v>
      </c>
      <c r="I12" s="479">
        <v>26.92</v>
      </c>
      <c r="J12" s="480">
        <v>2.1659999999999999</v>
      </c>
      <c r="K12" s="498">
        <v>1.7789999999999999E-4</v>
      </c>
      <c r="L12" s="231"/>
      <c r="M12" s="456" t="s">
        <v>219</v>
      </c>
      <c r="N12" s="457">
        <v>500</v>
      </c>
      <c r="O12" s="457">
        <v>100</v>
      </c>
      <c r="P12" s="458">
        <v>11.35</v>
      </c>
      <c r="Q12" s="458">
        <v>38.270000000000003</v>
      </c>
      <c r="R12" s="495">
        <v>2.1659999999999999</v>
      </c>
      <c r="S12" s="460">
        <v>1.7789999999999999E-4</v>
      </c>
      <c r="T12" s="230"/>
      <c r="U12" s="231"/>
      <c r="V12" s="231"/>
      <c r="W12" s="231"/>
      <c r="X12" s="231"/>
      <c r="Y12" s="231"/>
      <c r="Z12" s="231"/>
      <c r="AA12" s="231"/>
      <c r="AB12" s="231"/>
      <c r="AC12" s="231"/>
      <c r="AD12" s="231"/>
      <c r="AE12" s="231"/>
      <c r="AF12" s="231"/>
      <c r="AG12" s="231"/>
      <c r="AH12" s="231"/>
      <c r="AI12" s="231"/>
      <c r="AJ12" s="231"/>
      <c r="AK12" s="231"/>
      <c r="AL12" s="231"/>
      <c r="AM12" s="231"/>
      <c r="AN12" s="231"/>
      <c r="AO12" s="231"/>
      <c r="AP12" s="231"/>
      <c r="AQ12" s="231"/>
      <c r="AR12" s="231"/>
      <c r="AS12" s="231"/>
      <c r="AT12" s="231"/>
      <c r="AU12" s="231"/>
      <c r="AV12" s="231"/>
      <c r="AW12" s="231"/>
      <c r="AX12" s="231"/>
      <c r="AY12" s="231"/>
      <c r="AZ12" s="231"/>
      <c r="BA12" s="231"/>
      <c r="BB12" s="231"/>
      <c r="BC12" s="231"/>
      <c r="BD12" s="231"/>
      <c r="BE12" s="231"/>
      <c r="BF12" s="231"/>
      <c r="BG12" s="231"/>
      <c r="BH12" s="231"/>
      <c r="BI12" s="231"/>
      <c r="BJ12" s="231"/>
      <c r="BK12" s="231"/>
      <c r="BL12" s="231"/>
      <c r="BM12" s="231"/>
      <c r="BN12" s="231"/>
      <c r="BO12" s="231"/>
      <c r="BP12" s="231"/>
      <c r="BQ12" s="231"/>
      <c r="BR12" s="231"/>
      <c r="BS12" s="231"/>
      <c r="BT12" s="231"/>
      <c r="BU12" s="231"/>
      <c r="BV12" s="231"/>
      <c r="BW12" s="231"/>
      <c r="BX12" s="231"/>
      <c r="BY12" s="231"/>
      <c r="BZ12" s="231"/>
      <c r="CA12" s="231"/>
      <c r="CB12" s="231"/>
      <c r="CC12" s="231"/>
      <c r="CD12" s="231"/>
      <c r="CE12" s="231"/>
      <c r="CF12" s="231"/>
      <c r="CG12" s="231"/>
      <c r="CH12" s="231"/>
      <c r="CI12" s="231"/>
      <c r="CJ12" s="231"/>
    </row>
    <row r="13" spans="1:88" s="16" customFormat="1" ht="20.100000000000001" customHeight="1">
      <c r="A13" s="231"/>
      <c r="B13" s="231"/>
      <c r="C13" s="231"/>
      <c r="D13" s="483" t="s">
        <v>786</v>
      </c>
      <c r="E13" s="484">
        <v>500</v>
      </c>
      <c r="F13" s="484">
        <v>100</v>
      </c>
      <c r="G13" s="485">
        <v>11.43</v>
      </c>
      <c r="H13" s="485">
        <v>35.32</v>
      </c>
      <c r="I13" s="485">
        <v>23.89</v>
      </c>
      <c r="J13" s="486">
        <v>2.3969999999999998</v>
      </c>
      <c r="K13" s="499">
        <v>1.7789999999999999E-4</v>
      </c>
      <c r="L13" s="496"/>
      <c r="M13" s="461" t="s">
        <v>786</v>
      </c>
      <c r="N13" s="462">
        <v>500</v>
      </c>
      <c r="O13" s="462">
        <v>100</v>
      </c>
      <c r="P13" s="463">
        <v>11.43</v>
      </c>
      <c r="Q13" s="463">
        <v>35.32</v>
      </c>
      <c r="R13" s="497">
        <v>2.3969999999999998</v>
      </c>
      <c r="S13" s="464">
        <v>1.7789999999999999E-4</v>
      </c>
      <c r="T13" s="230"/>
      <c r="U13" s="231"/>
      <c r="V13" s="231"/>
      <c r="W13" s="231"/>
      <c r="X13" s="231"/>
      <c r="Y13" s="231"/>
      <c r="Z13" s="231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  <c r="AU13" s="231"/>
      <c r="AV13" s="231"/>
      <c r="AW13" s="231"/>
      <c r="AX13" s="231"/>
      <c r="AY13" s="231"/>
      <c r="AZ13" s="231"/>
      <c r="BA13" s="231"/>
      <c r="BB13" s="231"/>
      <c r="BC13" s="231"/>
      <c r="BD13" s="231"/>
      <c r="BE13" s="231"/>
      <c r="BF13" s="231"/>
      <c r="BG13" s="231"/>
      <c r="BH13" s="231"/>
      <c r="BI13" s="231"/>
      <c r="BJ13" s="231"/>
      <c r="BK13" s="231"/>
      <c r="BL13" s="231"/>
      <c r="BM13" s="231"/>
      <c r="BN13" s="231"/>
      <c r="BO13" s="231"/>
      <c r="BP13" s="231"/>
      <c r="BQ13" s="231"/>
      <c r="BR13" s="231"/>
      <c r="BS13" s="231"/>
      <c r="BT13" s="231"/>
      <c r="BU13" s="231"/>
      <c r="BV13" s="231"/>
      <c r="BW13" s="231"/>
      <c r="BX13" s="231"/>
      <c r="BY13" s="231"/>
      <c r="BZ13" s="231"/>
      <c r="CA13" s="231"/>
      <c r="CB13" s="231"/>
      <c r="CC13" s="231"/>
      <c r="CD13" s="231"/>
      <c r="CE13" s="231"/>
      <c r="CF13" s="231"/>
      <c r="CG13" s="231"/>
      <c r="CH13" s="231"/>
      <c r="CI13" s="231"/>
      <c r="CJ13" s="231"/>
    </row>
    <row r="14" spans="1:88" s="16" customFormat="1" ht="20.100000000000001" customHeight="1">
      <c r="A14" s="231"/>
      <c r="B14" s="231"/>
      <c r="C14" s="231"/>
      <c r="D14" s="477" t="s">
        <v>787</v>
      </c>
      <c r="E14" s="478">
        <v>500</v>
      </c>
      <c r="F14" s="478">
        <v>100</v>
      </c>
      <c r="G14" s="479">
        <v>10.94</v>
      </c>
      <c r="H14" s="479">
        <v>37.46</v>
      </c>
      <c r="I14" s="479">
        <v>26.520000000000003</v>
      </c>
      <c r="J14" s="480">
        <v>2.2244999999999999</v>
      </c>
      <c r="K14" s="498">
        <v>1.7780000000000001E-4</v>
      </c>
      <c r="L14" s="231"/>
      <c r="M14" s="456" t="s">
        <v>787</v>
      </c>
      <c r="N14" s="457">
        <v>500</v>
      </c>
      <c r="O14" s="457">
        <v>100</v>
      </c>
      <c r="P14" s="458">
        <v>10.94</v>
      </c>
      <c r="Q14" s="458">
        <v>37.46</v>
      </c>
      <c r="R14" s="495">
        <v>2.2244999999999999</v>
      </c>
      <c r="S14" s="460">
        <v>1.7780000000000001E-4</v>
      </c>
      <c r="T14" s="230"/>
      <c r="U14" s="231"/>
      <c r="V14" s="231"/>
      <c r="W14" s="231"/>
      <c r="X14" s="231"/>
      <c r="Y14" s="231"/>
      <c r="Z14" s="231"/>
      <c r="AA14" s="231"/>
      <c r="AB14" s="231"/>
      <c r="AC14" s="231"/>
      <c r="AD14" s="231"/>
      <c r="AE14" s="231"/>
      <c r="AF14" s="231"/>
      <c r="AG14" s="231"/>
      <c r="AH14" s="231"/>
      <c r="AI14" s="231"/>
      <c r="AJ14" s="231"/>
      <c r="AK14" s="231"/>
      <c r="AL14" s="231"/>
      <c r="AM14" s="231"/>
      <c r="AN14" s="231"/>
      <c r="AO14" s="231"/>
      <c r="AP14" s="231"/>
      <c r="AQ14" s="231"/>
      <c r="AR14" s="231"/>
      <c r="AS14" s="231"/>
      <c r="AT14" s="231"/>
      <c r="AU14" s="231"/>
      <c r="AV14" s="231"/>
      <c r="AW14" s="231"/>
      <c r="AX14" s="231"/>
      <c r="AY14" s="231"/>
      <c r="AZ14" s="231"/>
      <c r="BA14" s="231"/>
      <c r="BB14" s="231"/>
      <c r="BC14" s="231"/>
      <c r="BD14" s="231"/>
      <c r="BE14" s="231"/>
      <c r="BF14" s="231"/>
      <c r="BG14" s="231"/>
      <c r="BH14" s="231"/>
      <c r="BI14" s="231"/>
      <c r="BJ14" s="231"/>
      <c r="BK14" s="231"/>
      <c r="BL14" s="231"/>
      <c r="BM14" s="231"/>
      <c r="BN14" s="231"/>
      <c r="BO14" s="231"/>
      <c r="BP14" s="231"/>
      <c r="BQ14" s="231"/>
      <c r="BR14" s="231"/>
      <c r="BS14" s="231"/>
      <c r="BT14" s="231"/>
      <c r="BU14" s="231"/>
      <c r="BV14" s="231"/>
      <c r="BW14" s="231"/>
      <c r="BX14" s="231"/>
      <c r="BY14" s="231"/>
      <c r="BZ14" s="231"/>
      <c r="CA14" s="231"/>
      <c r="CB14" s="231"/>
      <c r="CC14" s="231"/>
      <c r="CD14" s="231"/>
      <c r="CE14" s="231"/>
      <c r="CF14" s="231"/>
      <c r="CG14" s="231"/>
      <c r="CH14" s="231"/>
      <c r="CI14" s="231"/>
      <c r="CJ14" s="231"/>
    </row>
    <row r="15" spans="1:88" s="16" customFormat="1" ht="20.100000000000001" customHeight="1">
      <c r="A15" s="231"/>
      <c r="B15" s="231"/>
      <c r="C15" s="231"/>
      <c r="D15" s="483"/>
      <c r="E15" s="484"/>
      <c r="F15" s="484"/>
      <c r="G15" s="485"/>
      <c r="H15" s="485"/>
      <c r="I15" s="485"/>
      <c r="J15" s="486"/>
      <c r="K15" s="499"/>
      <c r="L15" s="496"/>
      <c r="M15" s="461"/>
      <c r="N15" s="462"/>
      <c r="O15" s="462"/>
      <c r="P15" s="463"/>
      <c r="Q15" s="463"/>
      <c r="R15" s="497"/>
      <c r="S15" s="464"/>
      <c r="T15" s="230"/>
      <c r="U15" s="231"/>
      <c r="V15" s="231"/>
      <c r="W15" s="231"/>
      <c r="X15" s="231"/>
      <c r="Y15" s="231"/>
      <c r="Z15" s="231"/>
      <c r="AA15" s="231"/>
      <c r="AB15" s="231"/>
      <c r="AC15" s="231"/>
      <c r="AD15" s="231"/>
      <c r="AE15" s="231"/>
      <c r="AF15" s="231"/>
      <c r="AG15" s="231"/>
      <c r="AH15" s="231"/>
      <c r="AI15" s="231"/>
      <c r="AJ15" s="231"/>
      <c r="AK15" s="231"/>
      <c r="AL15" s="231"/>
      <c r="AM15" s="231"/>
      <c r="AN15" s="231"/>
      <c r="AO15" s="231"/>
      <c r="AP15" s="231"/>
      <c r="AQ15" s="231"/>
      <c r="AR15" s="231"/>
      <c r="AS15" s="231"/>
      <c r="AT15" s="231"/>
      <c r="AU15" s="231"/>
      <c r="AV15" s="231"/>
      <c r="AW15" s="231"/>
      <c r="AX15" s="231"/>
      <c r="AY15" s="231"/>
      <c r="AZ15" s="231"/>
      <c r="BA15" s="231"/>
      <c r="BB15" s="231"/>
      <c r="BC15" s="231"/>
      <c r="BD15" s="231"/>
      <c r="BE15" s="231"/>
      <c r="BF15" s="231"/>
      <c r="BG15" s="231"/>
      <c r="BH15" s="231"/>
      <c r="BI15" s="231"/>
      <c r="BJ15" s="231"/>
      <c r="BK15" s="231"/>
      <c r="BL15" s="231"/>
      <c r="BM15" s="231"/>
      <c r="BN15" s="231"/>
      <c r="BO15" s="231"/>
      <c r="BP15" s="231"/>
      <c r="BQ15" s="231"/>
      <c r="BR15" s="231"/>
      <c r="BS15" s="231"/>
      <c r="BT15" s="231"/>
      <c r="BU15" s="231"/>
      <c r="BV15" s="231"/>
      <c r="BW15" s="231"/>
      <c r="BX15" s="231"/>
      <c r="BY15" s="231"/>
      <c r="BZ15" s="231"/>
      <c r="CA15" s="231"/>
      <c r="CB15" s="231"/>
      <c r="CC15" s="231"/>
      <c r="CD15" s="231"/>
      <c r="CE15" s="231"/>
      <c r="CF15" s="231"/>
      <c r="CG15" s="231"/>
      <c r="CH15" s="231"/>
      <c r="CI15" s="231"/>
      <c r="CJ15" s="231"/>
    </row>
    <row r="16" spans="1:88" s="16" customFormat="1" ht="20.100000000000001" customHeight="1">
      <c r="A16" s="231"/>
      <c r="B16" s="231"/>
      <c r="C16" s="231"/>
      <c r="D16" s="477"/>
      <c r="E16" s="478"/>
      <c r="F16" s="478"/>
      <c r="G16" s="479"/>
      <c r="H16" s="479"/>
      <c r="I16" s="479"/>
      <c r="J16" s="480"/>
      <c r="K16" s="498"/>
      <c r="L16" s="231"/>
      <c r="M16" s="456"/>
      <c r="N16" s="457"/>
      <c r="O16" s="457"/>
      <c r="P16" s="458"/>
      <c r="Q16" s="458"/>
      <c r="R16" s="495"/>
      <c r="S16" s="460"/>
      <c r="T16" s="230"/>
      <c r="U16" s="231"/>
      <c r="V16" s="231"/>
      <c r="W16" s="231"/>
      <c r="X16" s="231"/>
      <c r="Y16" s="231"/>
      <c r="Z16" s="231"/>
      <c r="AA16" s="231"/>
      <c r="AB16" s="231"/>
      <c r="AC16" s="231"/>
      <c r="AD16" s="231"/>
      <c r="AE16" s="231"/>
      <c r="AF16" s="231"/>
      <c r="AG16" s="231"/>
      <c r="AH16" s="231"/>
      <c r="AI16" s="231"/>
      <c r="AJ16" s="231"/>
      <c r="AK16" s="231"/>
      <c r="AL16" s="231"/>
      <c r="AM16" s="231"/>
      <c r="AN16" s="231"/>
      <c r="AO16" s="231"/>
      <c r="AP16" s="231"/>
      <c r="AQ16" s="231"/>
      <c r="AR16" s="231"/>
      <c r="AS16" s="231"/>
      <c r="AT16" s="231"/>
      <c r="AU16" s="231"/>
      <c r="AV16" s="231"/>
      <c r="AW16" s="231"/>
      <c r="AX16" s="231"/>
      <c r="AY16" s="231"/>
      <c r="AZ16" s="231"/>
      <c r="BA16" s="231"/>
      <c r="BB16" s="231"/>
      <c r="BC16" s="231"/>
      <c r="BD16" s="231"/>
      <c r="BE16" s="231"/>
      <c r="BF16" s="231"/>
      <c r="BG16" s="231"/>
      <c r="BH16" s="231"/>
      <c r="BI16" s="231"/>
      <c r="BJ16" s="231"/>
      <c r="BK16" s="231"/>
      <c r="BL16" s="231"/>
      <c r="BM16" s="231"/>
      <c r="BN16" s="231"/>
      <c r="BO16" s="231"/>
      <c r="BP16" s="231"/>
      <c r="BQ16" s="231"/>
      <c r="BR16" s="231"/>
      <c r="BS16" s="231"/>
      <c r="BT16" s="231"/>
      <c r="BU16" s="231"/>
      <c r="BV16" s="231"/>
      <c r="BW16" s="231"/>
      <c r="BX16" s="231"/>
      <c r="BY16" s="231"/>
      <c r="BZ16" s="231"/>
      <c r="CA16" s="231"/>
      <c r="CB16" s="231"/>
      <c r="CC16" s="231"/>
      <c r="CD16" s="231"/>
      <c r="CE16" s="231"/>
      <c r="CF16" s="231"/>
      <c r="CG16" s="231"/>
      <c r="CH16" s="231"/>
      <c r="CI16" s="231"/>
      <c r="CJ16" s="231"/>
    </row>
    <row r="17" spans="1:88" s="16" customFormat="1" ht="20.100000000000001" customHeight="1">
      <c r="A17" s="231"/>
      <c r="B17" s="231"/>
      <c r="C17" s="231"/>
      <c r="D17" s="483"/>
      <c r="E17" s="484"/>
      <c r="F17" s="484"/>
      <c r="G17" s="485"/>
      <c r="H17" s="485"/>
      <c r="I17" s="485"/>
      <c r="J17" s="486"/>
      <c r="K17" s="499"/>
      <c r="L17" s="496"/>
      <c r="M17" s="461"/>
      <c r="N17" s="462"/>
      <c r="O17" s="462"/>
      <c r="P17" s="463"/>
      <c r="Q17" s="463"/>
      <c r="R17" s="497"/>
      <c r="S17" s="464"/>
      <c r="T17" s="230"/>
      <c r="U17" s="231"/>
      <c r="V17" s="231"/>
      <c r="W17" s="231"/>
      <c r="X17" s="231"/>
      <c r="Y17" s="231"/>
      <c r="Z17" s="231"/>
      <c r="AA17" s="231"/>
      <c r="AB17" s="231"/>
      <c r="AC17" s="231"/>
      <c r="AD17" s="231"/>
      <c r="AE17" s="231"/>
      <c r="AF17" s="231"/>
      <c r="AG17" s="231"/>
      <c r="AH17" s="231"/>
      <c r="AI17" s="231"/>
      <c r="AJ17" s="231"/>
      <c r="AK17" s="231"/>
      <c r="AL17" s="231"/>
      <c r="AM17" s="231"/>
      <c r="AN17" s="231"/>
      <c r="AO17" s="231"/>
      <c r="AP17" s="231"/>
      <c r="AQ17" s="231"/>
      <c r="AR17" s="231"/>
      <c r="AS17" s="231"/>
      <c r="AT17" s="231"/>
      <c r="AU17" s="231"/>
      <c r="AV17" s="231"/>
      <c r="AW17" s="231"/>
      <c r="AX17" s="231"/>
      <c r="AY17" s="231"/>
      <c r="AZ17" s="231"/>
      <c r="BA17" s="231"/>
      <c r="BB17" s="231"/>
      <c r="BC17" s="231"/>
      <c r="BD17" s="231"/>
      <c r="BE17" s="231"/>
      <c r="BF17" s="231"/>
      <c r="BG17" s="231"/>
      <c r="BH17" s="231"/>
      <c r="BI17" s="231"/>
      <c r="BJ17" s="231"/>
      <c r="BK17" s="231"/>
      <c r="BL17" s="231"/>
      <c r="BM17" s="231"/>
      <c r="BN17" s="231"/>
      <c r="BO17" s="231"/>
      <c r="BP17" s="231"/>
      <c r="BQ17" s="231"/>
      <c r="BR17" s="231"/>
      <c r="BS17" s="231"/>
      <c r="BT17" s="231"/>
      <c r="BU17" s="231"/>
      <c r="BV17" s="231"/>
      <c r="BW17" s="231"/>
      <c r="BX17" s="231"/>
      <c r="BY17" s="231"/>
      <c r="BZ17" s="231"/>
      <c r="CA17" s="231"/>
      <c r="CB17" s="231"/>
      <c r="CC17" s="231"/>
      <c r="CD17" s="231"/>
      <c r="CE17" s="231"/>
      <c r="CF17" s="231"/>
      <c r="CG17" s="231"/>
      <c r="CH17" s="231"/>
      <c r="CI17" s="231"/>
      <c r="CJ17" s="231"/>
    </row>
    <row r="18" spans="1:88" s="16" customFormat="1" ht="20.100000000000001" customHeight="1">
      <c r="A18" s="231"/>
      <c r="B18" s="231"/>
      <c r="C18" s="231"/>
      <c r="D18" s="477"/>
      <c r="E18" s="478"/>
      <c r="F18" s="478"/>
      <c r="G18" s="479"/>
      <c r="H18" s="479"/>
      <c r="I18" s="479"/>
      <c r="J18" s="480"/>
      <c r="K18" s="498"/>
      <c r="L18" s="231"/>
      <c r="M18" s="456"/>
      <c r="N18" s="457"/>
      <c r="O18" s="457"/>
      <c r="P18" s="458"/>
      <c r="Q18" s="458"/>
      <c r="R18" s="495"/>
      <c r="S18" s="460"/>
      <c r="T18" s="230"/>
      <c r="U18" s="231"/>
      <c r="V18" s="231"/>
      <c r="W18" s="231"/>
      <c r="X18" s="231"/>
      <c r="Y18" s="231"/>
      <c r="Z18" s="231"/>
      <c r="AA18" s="231"/>
      <c r="AB18" s="231"/>
      <c r="AC18" s="231"/>
      <c r="AD18" s="231"/>
      <c r="AE18" s="231"/>
      <c r="AF18" s="231"/>
      <c r="AG18" s="231"/>
      <c r="AH18" s="231"/>
      <c r="AI18" s="231"/>
      <c r="AJ18" s="231"/>
      <c r="AK18" s="231"/>
      <c r="AL18" s="231"/>
      <c r="AM18" s="231"/>
      <c r="AN18" s="231"/>
      <c r="AO18" s="231"/>
      <c r="AP18" s="231"/>
      <c r="AQ18" s="231"/>
      <c r="AR18" s="231"/>
      <c r="AS18" s="231"/>
      <c r="AT18" s="231"/>
      <c r="AU18" s="231"/>
      <c r="AV18" s="231"/>
      <c r="AW18" s="231"/>
      <c r="AX18" s="231"/>
      <c r="AY18" s="231"/>
      <c r="AZ18" s="231"/>
      <c r="BA18" s="231"/>
      <c r="BB18" s="231"/>
      <c r="BC18" s="231"/>
      <c r="BD18" s="231"/>
      <c r="BE18" s="231"/>
      <c r="BF18" s="231"/>
      <c r="BG18" s="231"/>
      <c r="BH18" s="231"/>
      <c r="BI18" s="231"/>
      <c r="BJ18" s="231"/>
      <c r="BK18" s="231"/>
      <c r="BL18" s="231"/>
      <c r="BM18" s="231"/>
      <c r="BN18" s="231"/>
      <c r="BO18" s="231"/>
      <c r="BP18" s="231"/>
      <c r="BQ18" s="231"/>
      <c r="BR18" s="231"/>
      <c r="BS18" s="231"/>
      <c r="BT18" s="231"/>
      <c r="BU18" s="231"/>
      <c r="BV18" s="231"/>
      <c r="BW18" s="231"/>
      <c r="BX18" s="231"/>
      <c r="BY18" s="231"/>
      <c r="BZ18" s="231"/>
      <c r="CA18" s="231"/>
      <c r="CB18" s="231"/>
      <c r="CC18" s="231"/>
      <c r="CD18" s="231"/>
      <c r="CE18" s="231"/>
      <c r="CF18" s="231"/>
      <c r="CG18" s="231"/>
      <c r="CH18" s="231"/>
      <c r="CI18" s="231"/>
      <c r="CJ18" s="231"/>
    </row>
    <row r="19" spans="1:88" s="16" customFormat="1" ht="20.100000000000001" customHeight="1">
      <c r="A19" s="231"/>
      <c r="B19" s="231"/>
      <c r="C19" s="231"/>
      <c r="D19" s="483"/>
      <c r="E19" s="484"/>
      <c r="F19" s="484"/>
      <c r="G19" s="485"/>
      <c r="H19" s="485"/>
      <c r="I19" s="485"/>
      <c r="J19" s="486"/>
      <c r="K19" s="499"/>
      <c r="L19" s="496"/>
      <c r="M19" s="461"/>
      <c r="N19" s="462"/>
      <c r="O19" s="462"/>
      <c r="P19" s="463"/>
      <c r="Q19" s="463"/>
      <c r="R19" s="497"/>
      <c r="S19" s="464"/>
      <c r="T19" s="230"/>
      <c r="U19" s="231"/>
      <c r="V19" s="231"/>
      <c r="W19" s="231"/>
      <c r="X19" s="231"/>
      <c r="Y19" s="231"/>
      <c r="Z19" s="231"/>
      <c r="AA19" s="231"/>
      <c r="AB19" s="231"/>
      <c r="AC19" s="231"/>
      <c r="AD19" s="231"/>
      <c r="AE19" s="231"/>
      <c r="AF19" s="231"/>
      <c r="AG19" s="231"/>
      <c r="AH19" s="231"/>
      <c r="AI19" s="231"/>
      <c r="AJ19" s="231"/>
      <c r="AK19" s="231"/>
      <c r="AL19" s="231"/>
      <c r="AM19" s="231"/>
      <c r="AN19" s="231"/>
      <c r="AO19" s="231"/>
      <c r="AP19" s="231"/>
      <c r="AQ19" s="231"/>
      <c r="AR19" s="231"/>
      <c r="AS19" s="231"/>
      <c r="AT19" s="231"/>
      <c r="AU19" s="231"/>
      <c r="AV19" s="231"/>
      <c r="AW19" s="231"/>
      <c r="AX19" s="231"/>
      <c r="AY19" s="231"/>
      <c r="AZ19" s="231"/>
      <c r="BA19" s="231"/>
      <c r="BB19" s="231"/>
      <c r="BC19" s="231"/>
      <c r="BD19" s="231"/>
      <c r="BE19" s="231"/>
      <c r="BF19" s="231"/>
      <c r="BG19" s="231"/>
      <c r="BH19" s="231"/>
      <c r="BI19" s="231"/>
      <c r="BJ19" s="231"/>
      <c r="BK19" s="231"/>
      <c r="BL19" s="231"/>
      <c r="BM19" s="231"/>
      <c r="BN19" s="231"/>
      <c r="BO19" s="231"/>
      <c r="BP19" s="231"/>
      <c r="BQ19" s="231"/>
      <c r="BR19" s="231"/>
      <c r="BS19" s="231"/>
      <c r="BT19" s="231"/>
      <c r="BU19" s="231"/>
      <c r="BV19" s="231"/>
      <c r="BW19" s="231"/>
      <c r="BX19" s="231"/>
      <c r="BY19" s="231"/>
      <c r="BZ19" s="231"/>
      <c r="CA19" s="231"/>
      <c r="CB19" s="231"/>
      <c r="CC19" s="231"/>
      <c r="CD19" s="231"/>
      <c r="CE19" s="231"/>
      <c r="CF19" s="231"/>
      <c r="CG19" s="231"/>
      <c r="CH19" s="231"/>
      <c r="CI19" s="231"/>
      <c r="CJ19" s="231"/>
    </row>
    <row r="20" spans="1:88" s="16" customFormat="1" ht="20.100000000000001" customHeight="1">
      <c r="A20" s="231"/>
      <c r="B20" s="231"/>
      <c r="C20" s="231"/>
      <c r="D20" s="477"/>
      <c r="E20" s="478"/>
      <c r="F20" s="478"/>
      <c r="G20" s="479"/>
      <c r="H20" s="479"/>
      <c r="I20" s="479"/>
      <c r="J20" s="480"/>
      <c r="K20" s="498"/>
      <c r="L20" s="231"/>
      <c r="M20" s="456"/>
      <c r="N20" s="457"/>
      <c r="O20" s="457"/>
      <c r="P20" s="458"/>
      <c r="Q20" s="458"/>
      <c r="R20" s="495"/>
      <c r="S20" s="460"/>
      <c r="T20" s="230"/>
      <c r="U20" s="231"/>
      <c r="V20" s="231"/>
      <c r="W20" s="231"/>
      <c r="X20" s="231"/>
      <c r="Y20" s="231"/>
      <c r="Z20" s="231"/>
      <c r="AA20" s="231"/>
      <c r="AB20" s="231"/>
      <c r="AC20" s="231"/>
      <c r="AD20" s="231"/>
      <c r="AE20" s="231"/>
      <c r="AF20" s="231"/>
      <c r="AG20" s="231"/>
      <c r="AH20" s="231"/>
      <c r="AI20" s="231"/>
      <c r="AJ20" s="231"/>
      <c r="AK20" s="231"/>
      <c r="AL20" s="231"/>
      <c r="AM20" s="231"/>
      <c r="AN20" s="231"/>
      <c r="AO20" s="231"/>
      <c r="AP20" s="231"/>
      <c r="AQ20" s="231"/>
      <c r="AR20" s="231"/>
      <c r="AS20" s="231"/>
      <c r="AT20" s="231"/>
      <c r="AU20" s="231"/>
      <c r="AV20" s="231"/>
      <c r="AW20" s="231"/>
      <c r="AX20" s="231"/>
      <c r="AY20" s="231"/>
      <c r="AZ20" s="231"/>
      <c r="BA20" s="231"/>
      <c r="BB20" s="231"/>
      <c r="BC20" s="231"/>
      <c r="BD20" s="231"/>
      <c r="BE20" s="231"/>
      <c r="BF20" s="231"/>
      <c r="BG20" s="231"/>
      <c r="BH20" s="231"/>
      <c r="BI20" s="231"/>
      <c r="BJ20" s="231"/>
      <c r="BK20" s="231"/>
      <c r="BL20" s="231"/>
      <c r="BM20" s="231"/>
      <c r="BN20" s="231"/>
      <c r="BO20" s="231"/>
      <c r="BP20" s="231"/>
      <c r="BQ20" s="231"/>
      <c r="BR20" s="231"/>
      <c r="BS20" s="231"/>
      <c r="BT20" s="231"/>
      <c r="BU20" s="231"/>
      <c r="BV20" s="231"/>
      <c r="BW20" s="231"/>
      <c r="BX20" s="231"/>
      <c r="BY20" s="231"/>
      <c r="BZ20" s="231"/>
      <c r="CA20" s="231"/>
      <c r="CB20" s="231"/>
      <c r="CC20" s="231"/>
      <c r="CD20" s="231"/>
      <c r="CE20" s="231"/>
      <c r="CF20" s="231"/>
      <c r="CG20" s="231"/>
      <c r="CH20" s="231"/>
      <c r="CI20" s="231"/>
      <c r="CJ20" s="231"/>
    </row>
    <row r="21" spans="1:88" s="16" customFormat="1" ht="20.100000000000001" customHeight="1">
      <c r="A21" s="231"/>
      <c r="B21" s="231"/>
      <c r="C21" s="231"/>
      <c r="D21" s="483"/>
      <c r="E21" s="484"/>
      <c r="F21" s="484"/>
      <c r="G21" s="485"/>
      <c r="H21" s="485"/>
      <c r="I21" s="485"/>
      <c r="J21" s="486"/>
      <c r="K21" s="499"/>
      <c r="L21" s="496"/>
      <c r="M21" s="461"/>
      <c r="N21" s="462"/>
      <c r="O21" s="462"/>
      <c r="P21" s="463"/>
      <c r="Q21" s="463"/>
      <c r="R21" s="497"/>
      <c r="S21" s="464"/>
      <c r="T21" s="230"/>
      <c r="U21" s="231"/>
      <c r="V21" s="231"/>
      <c r="W21" s="231"/>
      <c r="X21" s="231"/>
      <c r="Y21" s="231"/>
      <c r="Z21" s="231"/>
      <c r="AA21" s="231"/>
      <c r="AB21" s="231"/>
      <c r="AC21" s="231"/>
      <c r="AD21" s="231"/>
      <c r="AE21" s="231"/>
      <c r="AF21" s="231"/>
      <c r="AG21" s="231"/>
      <c r="AH21" s="231"/>
      <c r="AI21" s="231"/>
      <c r="AJ21" s="231"/>
      <c r="AK21" s="231"/>
      <c r="AL21" s="231"/>
      <c r="AM21" s="231"/>
      <c r="AN21" s="231"/>
      <c r="AO21" s="231"/>
      <c r="AP21" s="231"/>
      <c r="AQ21" s="231"/>
      <c r="AR21" s="231"/>
      <c r="AS21" s="231"/>
      <c r="AT21" s="231"/>
      <c r="AU21" s="231"/>
      <c r="AV21" s="231"/>
      <c r="AW21" s="231"/>
      <c r="AX21" s="231"/>
      <c r="AY21" s="231"/>
      <c r="AZ21" s="231"/>
      <c r="BA21" s="231"/>
      <c r="BB21" s="231"/>
      <c r="BC21" s="231"/>
      <c r="BD21" s="231"/>
      <c r="BE21" s="231"/>
      <c r="BF21" s="231"/>
      <c r="BG21" s="231"/>
      <c r="BH21" s="231"/>
      <c r="BI21" s="231"/>
      <c r="BJ21" s="231"/>
      <c r="BK21" s="231"/>
      <c r="BL21" s="231"/>
      <c r="BM21" s="231"/>
      <c r="BN21" s="231"/>
      <c r="BO21" s="231"/>
      <c r="BP21" s="231"/>
      <c r="BQ21" s="231"/>
      <c r="BR21" s="231"/>
      <c r="BS21" s="231"/>
      <c r="BT21" s="231"/>
      <c r="BU21" s="231"/>
      <c r="BV21" s="231"/>
      <c r="BW21" s="231"/>
      <c r="BX21" s="231"/>
      <c r="BY21" s="231"/>
      <c r="BZ21" s="231"/>
      <c r="CA21" s="231"/>
      <c r="CB21" s="231"/>
      <c r="CC21" s="231"/>
      <c r="CD21" s="231"/>
      <c r="CE21" s="231"/>
      <c r="CF21" s="231"/>
      <c r="CG21" s="231"/>
      <c r="CH21" s="231"/>
      <c r="CI21" s="231"/>
      <c r="CJ21" s="231"/>
    </row>
    <row r="22" spans="1:88" s="16" customFormat="1" ht="20.100000000000001" hidden="1" customHeight="1" outlineLevel="1">
      <c r="A22" s="231"/>
      <c r="B22" s="231"/>
      <c r="C22" s="231"/>
      <c r="D22" s="477"/>
      <c r="E22" s="478"/>
      <c r="F22" s="478"/>
      <c r="G22" s="479"/>
      <c r="H22" s="479"/>
      <c r="I22" s="479"/>
      <c r="J22" s="480"/>
      <c r="K22" s="498"/>
      <c r="L22" s="231"/>
      <c r="M22" s="456"/>
      <c r="N22" s="457"/>
      <c r="O22" s="457"/>
      <c r="P22" s="458"/>
      <c r="Q22" s="458"/>
      <c r="R22" s="495"/>
      <c r="S22" s="460"/>
      <c r="T22" s="230"/>
      <c r="U22" s="231"/>
      <c r="V22" s="231"/>
      <c r="W22" s="231"/>
      <c r="X22" s="231"/>
      <c r="Y22" s="231"/>
      <c r="Z22" s="231"/>
      <c r="AA22" s="231"/>
      <c r="AB22" s="231"/>
      <c r="AC22" s="231"/>
      <c r="AD22" s="231"/>
      <c r="AE22" s="231"/>
      <c r="AF22" s="231"/>
      <c r="AG22" s="231"/>
      <c r="AH22" s="231"/>
      <c r="AI22" s="231"/>
      <c r="AJ22" s="231"/>
      <c r="AK22" s="231"/>
      <c r="AL22" s="231"/>
      <c r="AM22" s="231"/>
      <c r="AN22" s="231"/>
      <c r="AO22" s="231"/>
      <c r="AP22" s="231"/>
      <c r="AQ22" s="231"/>
      <c r="AR22" s="231"/>
      <c r="AS22" s="231"/>
      <c r="AT22" s="231"/>
      <c r="AU22" s="231"/>
      <c r="AV22" s="231"/>
      <c r="AW22" s="231"/>
      <c r="AX22" s="231"/>
      <c r="AY22" s="231"/>
      <c r="AZ22" s="231"/>
      <c r="BA22" s="231"/>
      <c r="BB22" s="231"/>
      <c r="BC22" s="231"/>
      <c r="BD22" s="231"/>
      <c r="BE22" s="231"/>
      <c r="BF22" s="231"/>
      <c r="BG22" s="231"/>
      <c r="BH22" s="231"/>
      <c r="BI22" s="231"/>
      <c r="BJ22" s="231"/>
      <c r="BK22" s="231"/>
      <c r="BL22" s="231"/>
      <c r="BM22" s="231"/>
      <c r="BN22" s="231"/>
      <c r="BO22" s="231"/>
      <c r="BP22" s="231"/>
      <c r="BQ22" s="231"/>
      <c r="BR22" s="231"/>
      <c r="BS22" s="231"/>
      <c r="BT22" s="231"/>
      <c r="BU22" s="231"/>
      <c r="BV22" s="231"/>
      <c r="BW22" s="231"/>
      <c r="BX22" s="231"/>
      <c r="BY22" s="231"/>
      <c r="BZ22" s="231"/>
      <c r="CA22" s="231"/>
      <c r="CB22" s="231"/>
      <c r="CC22" s="231"/>
      <c r="CD22" s="231"/>
      <c r="CE22" s="231"/>
      <c r="CF22" s="231"/>
      <c r="CG22" s="231"/>
      <c r="CH22" s="231"/>
      <c r="CI22" s="231"/>
      <c r="CJ22" s="231"/>
    </row>
    <row r="23" spans="1:88" s="16" customFormat="1" ht="20.100000000000001" hidden="1" customHeight="1" outlineLevel="1">
      <c r="A23" s="231"/>
      <c r="B23" s="231"/>
      <c r="C23" s="231"/>
      <c r="D23" s="483"/>
      <c r="E23" s="484"/>
      <c r="F23" s="484"/>
      <c r="G23" s="485"/>
      <c r="H23" s="485"/>
      <c r="I23" s="485"/>
      <c r="J23" s="486"/>
      <c r="K23" s="499"/>
      <c r="L23" s="496"/>
      <c r="M23" s="461"/>
      <c r="N23" s="462"/>
      <c r="O23" s="462"/>
      <c r="P23" s="463"/>
      <c r="Q23" s="463"/>
      <c r="R23" s="497"/>
      <c r="S23" s="464"/>
      <c r="T23" s="230"/>
      <c r="U23" s="231"/>
      <c r="V23" s="231"/>
      <c r="W23" s="231"/>
      <c r="X23" s="231"/>
      <c r="Y23" s="231"/>
      <c r="Z23" s="231"/>
      <c r="AA23" s="231"/>
      <c r="AB23" s="231"/>
      <c r="AC23" s="231"/>
      <c r="AD23" s="231"/>
      <c r="AE23" s="231"/>
      <c r="AF23" s="231"/>
      <c r="AG23" s="231"/>
      <c r="AH23" s="231"/>
      <c r="AI23" s="231"/>
      <c r="AJ23" s="231"/>
      <c r="AK23" s="231"/>
      <c r="AL23" s="231"/>
      <c r="AM23" s="231"/>
      <c r="AN23" s="231"/>
      <c r="AO23" s="231"/>
      <c r="AP23" s="231"/>
      <c r="AQ23" s="231"/>
      <c r="AR23" s="231"/>
      <c r="AS23" s="231"/>
      <c r="AT23" s="231"/>
      <c r="AU23" s="231"/>
      <c r="AV23" s="231"/>
      <c r="AW23" s="231"/>
      <c r="AX23" s="231"/>
      <c r="AY23" s="231"/>
      <c r="AZ23" s="231"/>
      <c r="BA23" s="231"/>
      <c r="BB23" s="231"/>
      <c r="BC23" s="231"/>
      <c r="BD23" s="231"/>
      <c r="BE23" s="231"/>
      <c r="BF23" s="231"/>
      <c r="BG23" s="231"/>
      <c r="BH23" s="231"/>
      <c r="BI23" s="231"/>
      <c r="BJ23" s="231"/>
      <c r="BK23" s="231"/>
      <c r="BL23" s="231"/>
      <c r="BM23" s="231"/>
      <c r="BN23" s="231"/>
      <c r="BO23" s="231"/>
      <c r="BP23" s="231"/>
      <c r="BQ23" s="231"/>
      <c r="BR23" s="231"/>
      <c r="BS23" s="231"/>
      <c r="BT23" s="231"/>
      <c r="BU23" s="231"/>
      <c r="BV23" s="231"/>
      <c r="BW23" s="231"/>
      <c r="BX23" s="231"/>
      <c r="BY23" s="231"/>
      <c r="BZ23" s="231"/>
      <c r="CA23" s="231"/>
      <c r="CB23" s="231"/>
      <c r="CC23" s="231"/>
      <c r="CD23" s="231"/>
      <c r="CE23" s="231"/>
      <c r="CF23" s="231"/>
      <c r="CG23" s="231"/>
      <c r="CH23" s="231"/>
      <c r="CI23" s="231"/>
      <c r="CJ23" s="231"/>
    </row>
    <row r="24" spans="1:88" s="16" customFormat="1" ht="20.100000000000001" hidden="1" customHeight="1" outlineLevel="1">
      <c r="A24" s="231"/>
      <c r="B24" s="231"/>
      <c r="C24" s="231"/>
      <c r="D24" s="477"/>
      <c r="E24" s="478"/>
      <c r="F24" s="478"/>
      <c r="G24" s="479"/>
      <c r="H24" s="479"/>
      <c r="I24" s="479"/>
      <c r="J24" s="480"/>
      <c r="K24" s="498"/>
      <c r="L24" s="231"/>
      <c r="M24" s="456"/>
      <c r="N24" s="457"/>
      <c r="O24" s="457"/>
      <c r="P24" s="458"/>
      <c r="Q24" s="458"/>
      <c r="R24" s="495"/>
      <c r="S24" s="460"/>
      <c r="T24" s="230"/>
      <c r="U24" s="231"/>
      <c r="V24" s="231"/>
      <c r="W24" s="231"/>
      <c r="X24" s="231"/>
      <c r="Y24" s="231"/>
      <c r="Z24" s="231"/>
      <c r="AA24" s="231"/>
      <c r="AB24" s="231"/>
      <c r="AC24" s="231"/>
      <c r="AD24" s="231"/>
      <c r="AE24" s="231"/>
      <c r="AF24" s="231"/>
      <c r="AG24" s="231"/>
      <c r="AH24" s="231"/>
      <c r="AI24" s="231"/>
      <c r="AJ24" s="231"/>
      <c r="AK24" s="231"/>
      <c r="AL24" s="231"/>
      <c r="AM24" s="231"/>
      <c r="AN24" s="231"/>
      <c r="AO24" s="231"/>
      <c r="AP24" s="231"/>
      <c r="AQ24" s="231"/>
      <c r="AR24" s="231"/>
      <c r="AS24" s="231"/>
      <c r="AT24" s="231"/>
      <c r="AU24" s="231"/>
      <c r="AV24" s="231"/>
      <c r="AW24" s="231"/>
      <c r="AX24" s="231"/>
      <c r="AY24" s="231"/>
      <c r="AZ24" s="231"/>
      <c r="BA24" s="231"/>
      <c r="BB24" s="231"/>
      <c r="BC24" s="231"/>
      <c r="BD24" s="231"/>
      <c r="BE24" s="231"/>
      <c r="BF24" s="231"/>
      <c r="BG24" s="231"/>
      <c r="BH24" s="231"/>
      <c r="BI24" s="231"/>
      <c r="BJ24" s="231"/>
      <c r="BK24" s="231"/>
      <c r="BL24" s="231"/>
      <c r="BM24" s="231"/>
      <c r="BN24" s="231"/>
      <c r="BO24" s="231"/>
      <c r="BP24" s="231"/>
      <c r="BQ24" s="231"/>
      <c r="BR24" s="231"/>
      <c r="BS24" s="231"/>
      <c r="BT24" s="231"/>
      <c r="BU24" s="231"/>
      <c r="BV24" s="231"/>
      <c r="BW24" s="231"/>
      <c r="BX24" s="231"/>
      <c r="BY24" s="231"/>
      <c r="BZ24" s="231"/>
      <c r="CA24" s="231"/>
      <c r="CB24" s="231"/>
      <c r="CC24" s="231"/>
      <c r="CD24" s="231"/>
      <c r="CE24" s="231"/>
      <c r="CF24" s="231"/>
      <c r="CG24" s="231"/>
      <c r="CH24" s="231"/>
      <c r="CI24" s="231"/>
      <c r="CJ24" s="231"/>
    </row>
    <row r="25" spans="1:88" s="16" customFormat="1" ht="20.100000000000001" hidden="1" customHeight="1" outlineLevel="1">
      <c r="A25" s="231"/>
      <c r="B25" s="231"/>
      <c r="C25" s="231"/>
      <c r="D25" s="483"/>
      <c r="E25" s="484"/>
      <c r="F25" s="484"/>
      <c r="G25" s="485"/>
      <c r="H25" s="485"/>
      <c r="I25" s="485"/>
      <c r="J25" s="486"/>
      <c r="K25" s="499"/>
      <c r="L25" s="496"/>
      <c r="M25" s="461"/>
      <c r="N25" s="462"/>
      <c r="O25" s="462"/>
      <c r="P25" s="463"/>
      <c r="Q25" s="463"/>
      <c r="R25" s="497"/>
      <c r="S25" s="464"/>
      <c r="T25" s="230"/>
      <c r="U25" s="231"/>
      <c r="V25" s="231"/>
      <c r="W25" s="231"/>
      <c r="X25" s="231"/>
      <c r="Y25" s="231"/>
      <c r="Z25" s="231"/>
      <c r="AA25" s="231"/>
      <c r="AB25" s="231"/>
      <c r="AC25" s="231"/>
      <c r="AD25" s="231"/>
      <c r="AE25" s="231"/>
      <c r="AF25" s="231"/>
      <c r="AG25" s="231"/>
      <c r="AH25" s="231"/>
      <c r="AI25" s="231"/>
      <c r="AJ25" s="231"/>
      <c r="AK25" s="231"/>
      <c r="AL25" s="231"/>
      <c r="AM25" s="231"/>
      <c r="AN25" s="231"/>
      <c r="AO25" s="231"/>
      <c r="AP25" s="231"/>
      <c r="AQ25" s="231"/>
      <c r="AR25" s="231"/>
      <c r="AS25" s="231"/>
      <c r="AT25" s="231"/>
      <c r="AU25" s="231"/>
      <c r="AV25" s="231"/>
      <c r="AW25" s="231"/>
      <c r="AX25" s="231"/>
      <c r="AY25" s="231"/>
      <c r="AZ25" s="231"/>
      <c r="BA25" s="231"/>
      <c r="BB25" s="231"/>
      <c r="BC25" s="231"/>
      <c r="BD25" s="231"/>
      <c r="BE25" s="231"/>
      <c r="BF25" s="231"/>
      <c r="BG25" s="231"/>
      <c r="BH25" s="231"/>
      <c r="BI25" s="231"/>
      <c r="BJ25" s="231"/>
      <c r="BK25" s="231"/>
      <c r="BL25" s="231"/>
      <c r="BM25" s="231"/>
      <c r="BN25" s="231"/>
      <c r="BO25" s="231"/>
      <c r="BP25" s="231"/>
      <c r="BQ25" s="231"/>
      <c r="BR25" s="231"/>
      <c r="BS25" s="231"/>
      <c r="BT25" s="231"/>
      <c r="BU25" s="231"/>
      <c r="BV25" s="231"/>
      <c r="BW25" s="231"/>
      <c r="BX25" s="231"/>
      <c r="BY25" s="231"/>
      <c r="BZ25" s="231"/>
      <c r="CA25" s="231"/>
      <c r="CB25" s="231"/>
      <c r="CC25" s="231"/>
      <c r="CD25" s="231"/>
      <c r="CE25" s="231"/>
      <c r="CF25" s="231"/>
      <c r="CG25" s="231"/>
      <c r="CH25" s="231"/>
      <c r="CI25" s="231"/>
      <c r="CJ25" s="231"/>
    </row>
    <row r="26" spans="1:88" s="16" customFormat="1" ht="20.100000000000001" hidden="1" customHeight="1" outlineLevel="1">
      <c r="A26" s="231"/>
      <c r="B26" s="231"/>
      <c r="C26" s="231"/>
      <c r="D26" s="477"/>
      <c r="E26" s="478"/>
      <c r="F26" s="478"/>
      <c r="G26" s="479"/>
      <c r="H26" s="479"/>
      <c r="I26" s="480"/>
      <c r="J26" s="481"/>
      <c r="K26" s="482"/>
      <c r="L26" s="231"/>
      <c r="M26" s="456"/>
      <c r="N26" s="457"/>
      <c r="O26" s="457"/>
      <c r="P26" s="458"/>
      <c r="Q26" s="458"/>
      <c r="R26" s="459"/>
      <c r="S26" s="500"/>
      <c r="T26" s="230"/>
      <c r="U26" s="231"/>
      <c r="V26" s="231"/>
      <c r="W26" s="231"/>
      <c r="X26" s="231"/>
      <c r="Y26" s="231"/>
      <c r="Z26" s="231"/>
      <c r="AA26" s="231"/>
      <c r="AB26" s="231"/>
      <c r="AC26" s="231"/>
      <c r="AD26" s="231"/>
      <c r="AE26" s="231"/>
      <c r="AF26" s="231"/>
      <c r="AG26" s="231"/>
      <c r="AH26" s="231"/>
      <c r="AI26" s="231"/>
      <c r="AJ26" s="231"/>
      <c r="AK26" s="231"/>
      <c r="AL26" s="231"/>
      <c r="AM26" s="231"/>
      <c r="AN26" s="231"/>
      <c r="AO26" s="231"/>
      <c r="AP26" s="231"/>
      <c r="AQ26" s="231"/>
      <c r="AR26" s="231"/>
      <c r="AS26" s="231"/>
      <c r="AT26" s="231"/>
      <c r="AU26" s="231"/>
      <c r="AV26" s="231"/>
      <c r="AW26" s="231"/>
      <c r="AX26" s="231"/>
      <c r="AY26" s="231"/>
      <c r="AZ26" s="231"/>
      <c r="BA26" s="231"/>
      <c r="BB26" s="231"/>
      <c r="BC26" s="231"/>
      <c r="BD26" s="231"/>
      <c r="BE26" s="231"/>
      <c r="BF26" s="231"/>
      <c r="BG26" s="231"/>
      <c r="BH26" s="231"/>
      <c r="BI26" s="231"/>
      <c r="BJ26" s="231"/>
      <c r="BK26" s="231"/>
      <c r="BL26" s="231"/>
      <c r="BM26" s="231"/>
      <c r="BN26" s="231"/>
      <c r="BO26" s="231"/>
      <c r="BP26" s="231"/>
      <c r="BQ26" s="231"/>
      <c r="BR26" s="231"/>
      <c r="BS26" s="231"/>
      <c r="BT26" s="231"/>
      <c r="BU26" s="231"/>
      <c r="BV26" s="231"/>
      <c r="BW26" s="231"/>
      <c r="BX26" s="231"/>
      <c r="BY26" s="231"/>
      <c r="BZ26" s="231"/>
      <c r="CA26" s="231"/>
      <c r="CB26" s="231"/>
      <c r="CC26" s="231"/>
      <c r="CD26" s="231"/>
      <c r="CE26" s="231"/>
      <c r="CF26" s="231"/>
      <c r="CG26" s="231"/>
      <c r="CH26" s="231"/>
      <c r="CI26" s="231"/>
      <c r="CJ26" s="231"/>
    </row>
    <row r="27" spans="1:88" s="16" customFormat="1" ht="20.100000000000001" hidden="1" customHeight="1" outlineLevel="1">
      <c r="A27" s="231"/>
      <c r="B27" s="231"/>
      <c r="C27" s="231"/>
      <c r="D27" s="483"/>
      <c r="E27" s="484"/>
      <c r="F27" s="484"/>
      <c r="G27" s="485"/>
      <c r="H27" s="485"/>
      <c r="I27" s="486"/>
      <c r="J27" s="487"/>
      <c r="K27" s="493"/>
      <c r="L27" s="231"/>
      <c r="M27" s="461"/>
      <c r="N27" s="462"/>
      <c r="O27" s="462"/>
      <c r="P27" s="463"/>
      <c r="Q27" s="463"/>
      <c r="R27" s="465"/>
      <c r="S27" s="501"/>
      <c r="T27" s="230"/>
      <c r="U27" s="231"/>
      <c r="V27" s="231"/>
      <c r="W27" s="231"/>
      <c r="X27" s="231"/>
      <c r="Y27" s="231"/>
      <c r="Z27" s="231"/>
      <c r="AA27" s="231"/>
      <c r="AB27" s="231"/>
      <c r="AC27" s="231"/>
      <c r="AD27" s="231"/>
      <c r="AE27" s="231"/>
      <c r="AF27" s="231"/>
      <c r="AG27" s="231"/>
      <c r="AH27" s="231"/>
      <c r="AI27" s="231"/>
      <c r="AJ27" s="231"/>
      <c r="AK27" s="231"/>
      <c r="AL27" s="231"/>
      <c r="AM27" s="231"/>
      <c r="AN27" s="231"/>
      <c r="AO27" s="231"/>
      <c r="AP27" s="231"/>
      <c r="AQ27" s="231"/>
      <c r="AR27" s="231"/>
      <c r="AS27" s="231"/>
      <c r="AT27" s="231"/>
      <c r="AU27" s="231"/>
      <c r="AV27" s="231"/>
      <c r="AW27" s="231"/>
      <c r="AX27" s="231"/>
      <c r="AY27" s="231"/>
      <c r="AZ27" s="231"/>
      <c r="BA27" s="231"/>
      <c r="BB27" s="231"/>
      <c r="BC27" s="231"/>
      <c r="BD27" s="231"/>
      <c r="BE27" s="231"/>
      <c r="BF27" s="231"/>
      <c r="BG27" s="231"/>
      <c r="BH27" s="231"/>
      <c r="BI27" s="231"/>
      <c r="BJ27" s="231"/>
      <c r="BK27" s="231"/>
      <c r="BL27" s="231"/>
      <c r="BM27" s="231"/>
      <c r="BN27" s="231"/>
      <c r="BO27" s="231"/>
      <c r="BP27" s="231"/>
      <c r="BQ27" s="231"/>
      <c r="BR27" s="231"/>
      <c r="BS27" s="231"/>
      <c r="BT27" s="231"/>
      <c r="BU27" s="231"/>
      <c r="BV27" s="231"/>
      <c r="BW27" s="231"/>
      <c r="BX27" s="231"/>
      <c r="BY27" s="231"/>
      <c r="BZ27" s="231"/>
      <c r="CA27" s="231"/>
      <c r="CB27" s="231"/>
      <c r="CC27" s="231"/>
      <c r="CD27" s="231"/>
      <c r="CE27" s="231"/>
      <c r="CF27" s="231"/>
      <c r="CG27" s="231"/>
      <c r="CH27" s="231"/>
      <c r="CI27" s="231"/>
      <c r="CJ27" s="231"/>
    </row>
    <row r="28" spans="1:88" s="16" customFormat="1" ht="20.100000000000001" hidden="1" customHeight="1" outlineLevel="1">
      <c r="A28" s="231"/>
      <c r="B28" s="231"/>
      <c r="C28" s="231"/>
      <c r="D28" s="477"/>
      <c r="E28" s="478"/>
      <c r="F28" s="478"/>
      <c r="G28" s="479"/>
      <c r="H28" s="479"/>
      <c r="I28" s="480"/>
      <c r="J28" s="481"/>
      <c r="K28" s="482"/>
      <c r="L28" s="231"/>
      <c r="M28" s="456"/>
      <c r="N28" s="457"/>
      <c r="O28" s="457"/>
      <c r="P28" s="458"/>
      <c r="Q28" s="458"/>
      <c r="R28" s="466"/>
      <c r="S28" s="500"/>
      <c r="T28" s="230"/>
      <c r="U28" s="231"/>
      <c r="V28" s="231"/>
      <c r="W28" s="231"/>
      <c r="X28" s="231"/>
      <c r="Y28" s="231"/>
      <c r="Z28" s="231"/>
      <c r="AA28" s="231"/>
      <c r="AB28" s="231"/>
      <c r="AC28" s="231"/>
      <c r="AD28" s="231"/>
      <c r="AE28" s="231"/>
      <c r="AF28" s="231"/>
      <c r="AG28" s="231"/>
      <c r="AH28" s="231"/>
      <c r="AI28" s="231"/>
      <c r="AJ28" s="231"/>
      <c r="AK28" s="231"/>
      <c r="AL28" s="231"/>
      <c r="AM28" s="231"/>
      <c r="AN28" s="231"/>
      <c r="AO28" s="231"/>
      <c r="AP28" s="231"/>
      <c r="AQ28" s="231"/>
      <c r="AR28" s="231"/>
      <c r="AS28" s="231"/>
      <c r="AT28" s="231"/>
      <c r="AU28" s="231"/>
      <c r="AV28" s="231"/>
      <c r="AW28" s="231"/>
      <c r="AX28" s="231"/>
      <c r="AY28" s="231"/>
      <c r="AZ28" s="231"/>
      <c r="BA28" s="231"/>
      <c r="BB28" s="231"/>
      <c r="BC28" s="231"/>
      <c r="BD28" s="231"/>
      <c r="BE28" s="231"/>
      <c r="BF28" s="231"/>
      <c r="BG28" s="231"/>
      <c r="BH28" s="231"/>
      <c r="BI28" s="231"/>
      <c r="BJ28" s="231"/>
      <c r="BK28" s="231"/>
      <c r="BL28" s="231"/>
      <c r="BM28" s="231"/>
      <c r="BN28" s="231"/>
      <c r="BO28" s="231"/>
      <c r="BP28" s="231"/>
      <c r="BQ28" s="231"/>
      <c r="BR28" s="231"/>
      <c r="BS28" s="231"/>
      <c r="BT28" s="231"/>
      <c r="BU28" s="231"/>
      <c r="BV28" s="231"/>
      <c r="BW28" s="231"/>
      <c r="BX28" s="231"/>
      <c r="BY28" s="231"/>
      <c r="BZ28" s="231"/>
      <c r="CA28" s="231"/>
      <c r="CB28" s="231"/>
      <c r="CC28" s="231"/>
      <c r="CD28" s="231"/>
      <c r="CE28" s="231"/>
      <c r="CF28" s="231"/>
      <c r="CG28" s="231"/>
      <c r="CH28" s="231"/>
      <c r="CI28" s="231"/>
      <c r="CJ28" s="231"/>
    </row>
    <row r="29" spans="1:88" s="16" customFormat="1" ht="20.100000000000001" hidden="1" customHeight="1" outlineLevel="1">
      <c r="A29" s="231"/>
      <c r="B29" s="231"/>
      <c r="C29" s="231"/>
      <c r="D29" s="483"/>
      <c r="E29" s="484"/>
      <c r="F29" s="484"/>
      <c r="G29" s="485"/>
      <c r="H29" s="485"/>
      <c r="I29" s="486"/>
      <c r="J29" s="487"/>
      <c r="K29" s="493"/>
      <c r="L29" s="231"/>
      <c r="M29" s="461"/>
      <c r="N29" s="462"/>
      <c r="O29" s="462"/>
      <c r="P29" s="463"/>
      <c r="Q29" s="463"/>
      <c r="R29" s="465"/>
      <c r="S29" s="501"/>
      <c r="T29" s="230"/>
      <c r="U29" s="231"/>
      <c r="V29" s="231"/>
      <c r="W29" s="231"/>
      <c r="X29" s="231"/>
      <c r="Y29" s="231"/>
      <c r="Z29" s="231"/>
      <c r="AA29" s="231"/>
      <c r="AB29" s="231"/>
      <c r="AC29" s="231"/>
      <c r="AD29" s="231"/>
      <c r="AE29" s="231"/>
      <c r="AF29" s="231"/>
      <c r="AG29" s="231"/>
      <c r="AH29" s="231"/>
      <c r="AI29" s="231"/>
      <c r="AJ29" s="231"/>
      <c r="AK29" s="231"/>
      <c r="AL29" s="231"/>
      <c r="AM29" s="231"/>
      <c r="AN29" s="231"/>
      <c r="AO29" s="231"/>
      <c r="AP29" s="231"/>
      <c r="AQ29" s="231"/>
      <c r="AR29" s="231"/>
      <c r="AS29" s="231"/>
      <c r="AT29" s="231"/>
      <c r="AU29" s="231"/>
      <c r="AV29" s="231"/>
      <c r="AW29" s="231"/>
      <c r="AX29" s="231"/>
      <c r="AY29" s="231"/>
      <c r="AZ29" s="231"/>
      <c r="BA29" s="231"/>
      <c r="BB29" s="231"/>
      <c r="BC29" s="231"/>
      <c r="BD29" s="231"/>
      <c r="BE29" s="231"/>
      <c r="BF29" s="231"/>
      <c r="BG29" s="231"/>
      <c r="BH29" s="231"/>
      <c r="BI29" s="231"/>
      <c r="BJ29" s="231"/>
      <c r="BK29" s="231"/>
      <c r="BL29" s="231"/>
      <c r="BM29" s="231"/>
      <c r="BN29" s="231"/>
      <c r="BO29" s="231"/>
      <c r="BP29" s="231"/>
      <c r="BQ29" s="231"/>
      <c r="BR29" s="231"/>
      <c r="BS29" s="231"/>
      <c r="BT29" s="231"/>
      <c r="BU29" s="231"/>
      <c r="BV29" s="231"/>
      <c r="BW29" s="231"/>
      <c r="BX29" s="231"/>
      <c r="BY29" s="231"/>
      <c r="BZ29" s="231"/>
      <c r="CA29" s="231"/>
      <c r="CB29" s="231"/>
      <c r="CC29" s="231"/>
      <c r="CD29" s="231"/>
      <c r="CE29" s="231"/>
      <c r="CF29" s="231"/>
      <c r="CG29" s="231"/>
      <c r="CH29" s="231"/>
      <c r="CI29" s="231"/>
      <c r="CJ29" s="231"/>
    </row>
    <row r="30" spans="1:88" s="16" customFormat="1" ht="20.100000000000001" hidden="1" customHeight="1" outlineLevel="1">
      <c r="A30" s="231"/>
      <c r="B30" s="231"/>
      <c r="C30" s="231"/>
      <c r="D30" s="477"/>
      <c r="E30" s="478"/>
      <c r="F30" s="478"/>
      <c r="G30" s="479"/>
      <c r="H30" s="479"/>
      <c r="I30" s="480"/>
      <c r="J30" s="481"/>
      <c r="K30" s="482"/>
      <c r="L30" s="231"/>
      <c r="M30" s="456"/>
      <c r="N30" s="457"/>
      <c r="O30" s="457"/>
      <c r="P30" s="458"/>
      <c r="Q30" s="458"/>
      <c r="R30" s="466"/>
      <c r="S30" s="500"/>
      <c r="T30" s="230"/>
      <c r="U30" s="231"/>
      <c r="V30" s="231"/>
      <c r="W30" s="231"/>
      <c r="X30" s="231"/>
      <c r="Y30" s="231"/>
      <c r="Z30" s="231"/>
      <c r="AA30" s="231"/>
      <c r="AB30" s="231"/>
      <c r="AC30" s="231"/>
      <c r="AD30" s="231"/>
      <c r="AE30" s="231"/>
      <c r="AF30" s="231"/>
      <c r="AG30" s="231"/>
      <c r="AH30" s="231"/>
      <c r="AI30" s="231"/>
      <c r="AJ30" s="231"/>
      <c r="AK30" s="231"/>
      <c r="AL30" s="231"/>
      <c r="AM30" s="231"/>
      <c r="AN30" s="231"/>
      <c r="AO30" s="231"/>
      <c r="AP30" s="231"/>
      <c r="AQ30" s="231"/>
      <c r="AR30" s="231"/>
      <c r="AS30" s="231"/>
      <c r="AT30" s="231"/>
      <c r="AU30" s="231"/>
      <c r="AV30" s="231"/>
      <c r="AW30" s="231"/>
      <c r="AX30" s="231"/>
      <c r="AY30" s="231"/>
      <c r="AZ30" s="231"/>
      <c r="BA30" s="231"/>
      <c r="BB30" s="231"/>
      <c r="BC30" s="231"/>
      <c r="BD30" s="231"/>
      <c r="BE30" s="231"/>
      <c r="BF30" s="231"/>
      <c r="BG30" s="231"/>
      <c r="BH30" s="231"/>
      <c r="BI30" s="231"/>
      <c r="BJ30" s="231"/>
      <c r="BK30" s="231"/>
      <c r="BL30" s="231"/>
      <c r="BM30" s="231"/>
      <c r="BN30" s="231"/>
      <c r="BO30" s="231"/>
      <c r="BP30" s="231"/>
      <c r="BQ30" s="231"/>
      <c r="BR30" s="231"/>
      <c r="BS30" s="231"/>
      <c r="BT30" s="231"/>
      <c r="BU30" s="231"/>
      <c r="BV30" s="231"/>
      <c r="BW30" s="231"/>
      <c r="BX30" s="231"/>
      <c r="BY30" s="231"/>
      <c r="BZ30" s="231"/>
      <c r="CA30" s="231"/>
      <c r="CB30" s="231"/>
      <c r="CC30" s="231"/>
      <c r="CD30" s="231"/>
      <c r="CE30" s="231"/>
      <c r="CF30" s="231"/>
      <c r="CG30" s="231"/>
      <c r="CH30" s="231"/>
      <c r="CI30" s="231"/>
      <c r="CJ30" s="231"/>
    </row>
    <row r="31" spans="1:88" s="16" customFormat="1" ht="20.100000000000001" hidden="1" customHeight="1" outlineLevel="1">
      <c r="A31" s="231"/>
      <c r="B31" s="231"/>
      <c r="C31" s="231"/>
      <c r="D31" s="483"/>
      <c r="E31" s="484"/>
      <c r="F31" s="484"/>
      <c r="G31" s="485"/>
      <c r="H31" s="485"/>
      <c r="I31" s="486"/>
      <c r="J31" s="487"/>
      <c r="K31" s="493"/>
      <c r="L31" s="231"/>
      <c r="M31" s="461"/>
      <c r="N31" s="462"/>
      <c r="O31" s="462"/>
      <c r="P31" s="463"/>
      <c r="Q31" s="463"/>
      <c r="R31" s="465"/>
      <c r="S31" s="501"/>
      <c r="T31" s="230"/>
      <c r="U31" s="231"/>
      <c r="V31" s="231"/>
      <c r="W31" s="231"/>
      <c r="X31" s="231"/>
      <c r="Y31" s="231"/>
      <c r="Z31" s="231"/>
      <c r="AA31" s="231"/>
      <c r="AB31" s="231"/>
      <c r="AC31" s="231"/>
      <c r="AD31" s="231"/>
      <c r="AE31" s="231"/>
      <c r="AF31" s="231"/>
      <c r="AG31" s="231"/>
      <c r="AH31" s="231"/>
      <c r="AI31" s="231"/>
      <c r="AJ31" s="231"/>
      <c r="AK31" s="231"/>
      <c r="AL31" s="231"/>
      <c r="AM31" s="231"/>
      <c r="AN31" s="231"/>
      <c r="AO31" s="231"/>
      <c r="AP31" s="231"/>
      <c r="AQ31" s="231"/>
      <c r="AR31" s="231"/>
      <c r="AS31" s="231"/>
      <c r="AT31" s="231"/>
      <c r="AU31" s="231"/>
      <c r="AV31" s="231"/>
      <c r="AW31" s="231"/>
      <c r="AX31" s="231"/>
      <c r="AY31" s="231"/>
      <c r="AZ31" s="231"/>
      <c r="BA31" s="231"/>
      <c r="BB31" s="231"/>
      <c r="BC31" s="231"/>
      <c r="BD31" s="231"/>
      <c r="BE31" s="231"/>
      <c r="BF31" s="231"/>
      <c r="BG31" s="231"/>
      <c r="BH31" s="231"/>
      <c r="BI31" s="231"/>
      <c r="BJ31" s="231"/>
      <c r="BK31" s="231"/>
      <c r="BL31" s="231"/>
      <c r="BM31" s="231"/>
      <c r="BN31" s="231"/>
      <c r="BO31" s="231"/>
      <c r="BP31" s="231"/>
      <c r="BQ31" s="231"/>
      <c r="BR31" s="231"/>
      <c r="BS31" s="231"/>
      <c r="BT31" s="231"/>
      <c r="BU31" s="231"/>
      <c r="BV31" s="231"/>
      <c r="BW31" s="231"/>
      <c r="BX31" s="231"/>
      <c r="BY31" s="231"/>
      <c r="BZ31" s="231"/>
      <c r="CA31" s="231"/>
      <c r="CB31" s="231"/>
      <c r="CC31" s="231"/>
      <c r="CD31" s="231"/>
      <c r="CE31" s="231"/>
      <c r="CF31" s="231"/>
      <c r="CG31" s="231"/>
      <c r="CH31" s="231"/>
      <c r="CI31" s="231"/>
      <c r="CJ31" s="231"/>
    </row>
    <row r="32" spans="1:88" s="16" customFormat="1" ht="20.100000000000001" hidden="1" customHeight="1" outlineLevel="1">
      <c r="A32" s="231"/>
      <c r="B32" s="231"/>
      <c r="C32" s="231"/>
      <c r="D32" s="477"/>
      <c r="E32" s="478"/>
      <c r="F32" s="478"/>
      <c r="G32" s="479"/>
      <c r="H32" s="479"/>
      <c r="I32" s="480"/>
      <c r="J32" s="481"/>
      <c r="K32" s="482"/>
      <c r="L32" s="231"/>
      <c r="M32" s="456"/>
      <c r="N32" s="457"/>
      <c r="O32" s="457"/>
      <c r="P32" s="458"/>
      <c r="Q32" s="458"/>
      <c r="R32" s="466"/>
      <c r="S32" s="500"/>
      <c r="T32" s="230"/>
      <c r="U32" s="231"/>
      <c r="V32" s="231"/>
      <c r="W32" s="231"/>
      <c r="X32" s="231"/>
      <c r="Y32" s="231"/>
      <c r="Z32" s="231"/>
      <c r="AA32" s="231"/>
      <c r="AB32" s="231"/>
      <c r="AC32" s="231"/>
      <c r="AD32" s="231"/>
      <c r="AE32" s="231"/>
      <c r="AF32" s="231"/>
      <c r="AG32" s="231"/>
      <c r="AH32" s="231"/>
      <c r="AI32" s="231"/>
      <c r="AJ32" s="231"/>
      <c r="AK32" s="231"/>
      <c r="AL32" s="231"/>
      <c r="AM32" s="231"/>
      <c r="AN32" s="231"/>
      <c r="AO32" s="231"/>
      <c r="AP32" s="231"/>
      <c r="AQ32" s="231"/>
      <c r="AR32" s="231"/>
      <c r="AS32" s="231"/>
      <c r="AT32" s="231"/>
      <c r="AU32" s="231"/>
      <c r="AV32" s="231"/>
      <c r="AW32" s="231"/>
      <c r="AX32" s="231"/>
      <c r="AY32" s="231"/>
      <c r="AZ32" s="231"/>
      <c r="BA32" s="231"/>
      <c r="BB32" s="231"/>
      <c r="BC32" s="231"/>
      <c r="BD32" s="231"/>
      <c r="BE32" s="231"/>
      <c r="BF32" s="231"/>
      <c r="BG32" s="231"/>
      <c r="BH32" s="231"/>
      <c r="BI32" s="231"/>
      <c r="BJ32" s="231"/>
      <c r="BK32" s="231"/>
      <c r="BL32" s="231"/>
      <c r="BM32" s="231"/>
      <c r="BN32" s="231"/>
      <c r="BO32" s="231"/>
      <c r="BP32" s="231"/>
      <c r="BQ32" s="231"/>
      <c r="BR32" s="231"/>
      <c r="BS32" s="231"/>
      <c r="BT32" s="231"/>
      <c r="BU32" s="231"/>
      <c r="BV32" s="231"/>
      <c r="BW32" s="231"/>
      <c r="BX32" s="231"/>
      <c r="BY32" s="231"/>
      <c r="BZ32" s="231"/>
      <c r="CA32" s="231"/>
      <c r="CB32" s="231"/>
      <c r="CC32" s="231"/>
      <c r="CD32" s="231"/>
      <c r="CE32" s="231"/>
      <c r="CF32" s="231"/>
      <c r="CG32" s="231"/>
      <c r="CH32" s="231"/>
      <c r="CI32" s="231"/>
      <c r="CJ32" s="231"/>
    </row>
    <row r="33" spans="1:88" s="16" customFormat="1" ht="20.100000000000001" hidden="1" customHeight="1" outlineLevel="1">
      <c r="A33" s="231"/>
      <c r="B33" s="231"/>
      <c r="C33" s="231"/>
      <c r="D33" s="483"/>
      <c r="E33" s="484"/>
      <c r="F33" s="484"/>
      <c r="G33" s="485"/>
      <c r="H33" s="485"/>
      <c r="I33" s="486"/>
      <c r="J33" s="487"/>
      <c r="K33" s="493"/>
      <c r="L33" s="231"/>
      <c r="M33" s="461"/>
      <c r="N33" s="462"/>
      <c r="O33" s="462"/>
      <c r="P33" s="463"/>
      <c r="Q33" s="463"/>
      <c r="R33" s="465"/>
      <c r="S33" s="501"/>
      <c r="T33" s="230"/>
      <c r="U33" s="231"/>
      <c r="V33" s="231"/>
      <c r="W33" s="231"/>
      <c r="X33" s="231"/>
      <c r="Y33" s="231"/>
      <c r="Z33" s="231"/>
      <c r="AA33" s="231"/>
      <c r="AB33" s="231"/>
      <c r="AC33" s="231"/>
      <c r="AD33" s="231"/>
      <c r="AE33" s="231"/>
      <c r="AF33" s="231"/>
      <c r="AG33" s="231"/>
      <c r="AH33" s="231"/>
      <c r="AI33" s="231"/>
      <c r="AJ33" s="231"/>
      <c r="AK33" s="231"/>
      <c r="AL33" s="231"/>
      <c r="AM33" s="231"/>
      <c r="AN33" s="231"/>
      <c r="AO33" s="231"/>
      <c r="AP33" s="231"/>
      <c r="AQ33" s="231"/>
      <c r="AR33" s="231"/>
      <c r="AS33" s="231"/>
      <c r="AT33" s="231"/>
      <c r="AU33" s="231"/>
      <c r="AV33" s="231"/>
      <c r="AW33" s="231"/>
      <c r="AX33" s="231"/>
      <c r="AY33" s="231"/>
      <c r="AZ33" s="231"/>
      <c r="BA33" s="231"/>
      <c r="BB33" s="231"/>
      <c r="BC33" s="231"/>
      <c r="BD33" s="231"/>
      <c r="BE33" s="231"/>
      <c r="BF33" s="231"/>
      <c r="BG33" s="231"/>
      <c r="BH33" s="231"/>
      <c r="BI33" s="231"/>
      <c r="BJ33" s="231"/>
      <c r="BK33" s="231"/>
      <c r="BL33" s="231"/>
      <c r="BM33" s="231"/>
      <c r="BN33" s="231"/>
      <c r="BO33" s="231"/>
      <c r="BP33" s="231"/>
      <c r="BQ33" s="231"/>
      <c r="BR33" s="231"/>
      <c r="BS33" s="231"/>
      <c r="BT33" s="231"/>
      <c r="BU33" s="231"/>
      <c r="BV33" s="231"/>
      <c r="BW33" s="231"/>
      <c r="BX33" s="231"/>
      <c r="BY33" s="231"/>
      <c r="BZ33" s="231"/>
      <c r="CA33" s="231"/>
      <c r="CB33" s="231"/>
      <c r="CC33" s="231"/>
      <c r="CD33" s="231"/>
      <c r="CE33" s="231"/>
      <c r="CF33" s="231"/>
      <c r="CG33" s="231"/>
      <c r="CH33" s="231"/>
      <c r="CI33" s="231"/>
      <c r="CJ33" s="231"/>
    </row>
    <row r="34" spans="1:88" s="16" customFormat="1" ht="20.100000000000001" hidden="1" customHeight="1" outlineLevel="1">
      <c r="A34" s="231"/>
      <c r="B34" s="231"/>
      <c r="C34" s="231"/>
      <c r="D34" s="477"/>
      <c r="E34" s="478"/>
      <c r="F34" s="478"/>
      <c r="G34" s="479"/>
      <c r="H34" s="479"/>
      <c r="I34" s="480"/>
      <c r="J34" s="481"/>
      <c r="K34" s="482"/>
      <c r="L34" s="231"/>
      <c r="M34" s="456"/>
      <c r="N34" s="457"/>
      <c r="O34" s="457"/>
      <c r="P34" s="458"/>
      <c r="Q34" s="458"/>
      <c r="R34" s="466"/>
      <c r="S34" s="500"/>
      <c r="T34" s="230"/>
      <c r="U34" s="231"/>
      <c r="V34" s="231"/>
      <c r="W34" s="231"/>
      <c r="X34" s="231"/>
      <c r="Y34" s="231"/>
      <c r="Z34" s="231"/>
      <c r="AA34" s="231"/>
      <c r="AB34" s="231"/>
      <c r="AC34" s="231"/>
      <c r="AD34" s="231"/>
      <c r="AE34" s="231"/>
      <c r="AF34" s="231"/>
      <c r="AG34" s="231"/>
      <c r="AH34" s="231"/>
      <c r="AI34" s="231"/>
      <c r="AJ34" s="231"/>
      <c r="AK34" s="231"/>
      <c r="AL34" s="231"/>
      <c r="AM34" s="231"/>
      <c r="AN34" s="231"/>
      <c r="AO34" s="231"/>
      <c r="AP34" s="231"/>
      <c r="AQ34" s="231"/>
      <c r="AR34" s="231"/>
      <c r="AS34" s="231"/>
      <c r="AT34" s="231"/>
      <c r="AU34" s="231"/>
      <c r="AV34" s="231"/>
      <c r="AW34" s="231"/>
      <c r="AX34" s="231"/>
      <c r="AY34" s="231"/>
      <c r="AZ34" s="231"/>
      <c r="BA34" s="231"/>
      <c r="BB34" s="231"/>
      <c r="BC34" s="231"/>
      <c r="BD34" s="231"/>
      <c r="BE34" s="231"/>
      <c r="BF34" s="231"/>
      <c r="BG34" s="231"/>
      <c r="BH34" s="231"/>
      <c r="BI34" s="231"/>
      <c r="BJ34" s="231"/>
      <c r="BK34" s="231"/>
      <c r="BL34" s="231"/>
      <c r="BM34" s="231"/>
      <c r="BN34" s="231"/>
      <c r="BO34" s="231"/>
      <c r="BP34" s="231"/>
      <c r="BQ34" s="231"/>
      <c r="BR34" s="231"/>
      <c r="BS34" s="231"/>
      <c r="BT34" s="231"/>
      <c r="BU34" s="231"/>
      <c r="BV34" s="231"/>
      <c r="BW34" s="231"/>
      <c r="BX34" s="231"/>
      <c r="BY34" s="231"/>
      <c r="BZ34" s="231"/>
      <c r="CA34" s="231"/>
      <c r="CB34" s="231"/>
      <c r="CC34" s="231"/>
      <c r="CD34" s="231"/>
      <c r="CE34" s="231"/>
      <c r="CF34" s="231"/>
      <c r="CG34" s="231"/>
      <c r="CH34" s="231"/>
      <c r="CI34" s="231"/>
      <c r="CJ34" s="231"/>
    </row>
    <row r="35" spans="1:88" s="16" customFormat="1" ht="20.100000000000001" hidden="1" customHeight="1" outlineLevel="1">
      <c r="A35" s="231"/>
      <c r="B35" s="231"/>
      <c r="C35" s="231"/>
      <c r="D35" s="483"/>
      <c r="E35" s="484"/>
      <c r="F35" s="484"/>
      <c r="G35" s="485"/>
      <c r="H35" s="485"/>
      <c r="I35" s="486"/>
      <c r="J35" s="487"/>
      <c r="K35" s="493"/>
      <c r="L35" s="231"/>
      <c r="M35" s="461"/>
      <c r="N35" s="462"/>
      <c r="O35" s="462"/>
      <c r="P35" s="463"/>
      <c r="Q35" s="463"/>
      <c r="R35" s="465"/>
      <c r="S35" s="501"/>
      <c r="T35" s="230"/>
      <c r="U35" s="231"/>
      <c r="V35" s="231"/>
      <c r="W35" s="231"/>
      <c r="X35" s="231"/>
      <c r="Y35" s="231"/>
      <c r="Z35" s="231"/>
      <c r="AA35" s="231"/>
      <c r="AB35" s="231"/>
      <c r="AC35" s="231"/>
      <c r="AD35" s="231"/>
      <c r="AE35" s="231"/>
      <c r="AF35" s="231"/>
      <c r="AG35" s="231"/>
      <c r="AH35" s="231"/>
      <c r="AI35" s="231"/>
      <c r="AJ35" s="231"/>
      <c r="AK35" s="231"/>
      <c r="AL35" s="231"/>
      <c r="AM35" s="231"/>
      <c r="AN35" s="231"/>
      <c r="AO35" s="231"/>
      <c r="AP35" s="231"/>
      <c r="AQ35" s="231"/>
      <c r="AR35" s="231"/>
      <c r="AS35" s="231"/>
      <c r="AT35" s="231"/>
      <c r="AU35" s="231"/>
      <c r="AV35" s="231"/>
      <c r="AW35" s="231"/>
      <c r="AX35" s="231"/>
      <c r="AY35" s="231"/>
      <c r="AZ35" s="231"/>
      <c r="BA35" s="231"/>
      <c r="BB35" s="231"/>
      <c r="BC35" s="231"/>
      <c r="BD35" s="231"/>
      <c r="BE35" s="231"/>
      <c r="BF35" s="231"/>
      <c r="BG35" s="231"/>
      <c r="BH35" s="231"/>
      <c r="BI35" s="231"/>
      <c r="BJ35" s="231"/>
      <c r="BK35" s="231"/>
      <c r="BL35" s="231"/>
      <c r="BM35" s="231"/>
      <c r="BN35" s="231"/>
      <c r="BO35" s="231"/>
      <c r="BP35" s="231"/>
      <c r="BQ35" s="231"/>
      <c r="BR35" s="231"/>
      <c r="BS35" s="231"/>
      <c r="BT35" s="231"/>
      <c r="BU35" s="231"/>
      <c r="BV35" s="231"/>
      <c r="BW35" s="231"/>
      <c r="BX35" s="231"/>
      <c r="BY35" s="231"/>
      <c r="BZ35" s="231"/>
      <c r="CA35" s="231"/>
      <c r="CB35" s="231"/>
      <c r="CC35" s="231"/>
      <c r="CD35" s="231"/>
      <c r="CE35" s="231"/>
      <c r="CF35" s="231"/>
      <c r="CG35" s="231"/>
      <c r="CH35" s="231"/>
      <c r="CI35" s="231"/>
      <c r="CJ35" s="231"/>
    </row>
    <row r="36" spans="1:88" s="16" customFormat="1" ht="20.100000000000001" hidden="1" customHeight="1" outlineLevel="1">
      <c r="A36" s="231"/>
      <c r="B36" s="231"/>
      <c r="C36" s="231"/>
      <c r="D36" s="477"/>
      <c r="E36" s="478"/>
      <c r="F36" s="478"/>
      <c r="G36" s="479"/>
      <c r="H36" s="479"/>
      <c r="I36" s="480"/>
      <c r="J36" s="481"/>
      <c r="K36" s="482"/>
      <c r="L36" s="231"/>
      <c r="M36" s="456"/>
      <c r="N36" s="457"/>
      <c r="O36" s="457"/>
      <c r="P36" s="458"/>
      <c r="Q36" s="458"/>
      <c r="R36" s="466"/>
      <c r="S36" s="500"/>
      <c r="T36" s="230"/>
      <c r="U36" s="231"/>
      <c r="V36" s="231"/>
      <c r="W36" s="231"/>
      <c r="X36" s="231"/>
      <c r="Y36" s="231"/>
      <c r="Z36" s="231"/>
      <c r="AA36" s="231"/>
      <c r="AB36" s="231"/>
      <c r="AC36" s="231"/>
      <c r="AD36" s="231"/>
      <c r="AE36" s="231"/>
      <c r="AF36" s="231"/>
      <c r="AG36" s="231"/>
      <c r="AH36" s="231"/>
      <c r="AI36" s="231"/>
      <c r="AJ36" s="231"/>
      <c r="AK36" s="231"/>
      <c r="AL36" s="231"/>
      <c r="AM36" s="231"/>
      <c r="AN36" s="231"/>
      <c r="AO36" s="231"/>
      <c r="AP36" s="231"/>
      <c r="AQ36" s="231"/>
      <c r="AR36" s="231"/>
      <c r="AS36" s="231"/>
      <c r="AT36" s="231"/>
      <c r="AU36" s="231"/>
      <c r="AV36" s="231"/>
      <c r="AW36" s="231"/>
      <c r="AX36" s="231"/>
      <c r="AY36" s="231"/>
      <c r="AZ36" s="231"/>
      <c r="BA36" s="231"/>
      <c r="BB36" s="231"/>
      <c r="BC36" s="231"/>
      <c r="BD36" s="231"/>
      <c r="BE36" s="231"/>
      <c r="BF36" s="231"/>
      <c r="BG36" s="231"/>
      <c r="BH36" s="231"/>
      <c r="BI36" s="231"/>
      <c r="BJ36" s="231"/>
      <c r="BK36" s="231"/>
      <c r="BL36" s="231"/>
      <c r="BM36" s="231"/>
      <c r="BN36" s="231"/>
      <c r="BO36" s="231"/>
      <c r="BP36" s="231"/>
      <c r="BQ36" s="231"/>
      <c r="BR36" s="231"/>
      <c r="BS36" s="231"/>
      <c r="BT36" s="231"/>
      <c r="BU36" s="231"/>
      <c r="BV36" s="231"/>
      <c r="BW36" s="231"/>
      <c r="BX36" s="231"/>
      <c r="BY36" s="231"/>
      <c r="BZ36" s="231"/>
      <c r="CA36" s="231"/>
      <c r="CB36" s="231"/>
      <c r="CC36" s="231"/>
      <c r="CD36" s="231"/>
      <c r="CE36" s="231"/>
      <c r="CF36" s="231"/>
      <c r="CG36" s="231"/>
      <c r="CH36" s="231"/>
      <c r="CI36" s="231"/>
      <c r="CJ36" s="231"/>
    </row>
    <row r="37" spans="1:88" s="16" customFormat="1" ht="20.100000000000001" hidden="1" customHeight="1" outlineLevel="1">
      <c r="A37" s="231"/>
      <c r="B37" s="231"/>
      <c r="C37" s="231"/>
      <c r="D37" s="483"/>
      <c r="E37" s="484"/>
      <c r="F37" s="484"/>
      <c r="G37" s="485"/>
      <c r="H37" s="485"/>
      <c r="I37" s="486"/>
      <c r="J37" s="487"/>
      <c r="K37" s="493"/>
      <c r="L37" s="231"/>
      <c r="M37" s="461"/>
      <c r="N37" s="462"/>
      <c r="O37" s="462"/>
      <c r="P37" s="463"/>
      <c r="Q37" s="463"/>
      <c r="R37" s="465"/>
      <c r="S37" s="501"/>
      <c r="T37" s="230"/>
      <c r="U37" s="231"/>
      <c r="V37" s="231"/>
      <c r="W37" s="231"/>
      <c r="X37" s="231"/>
      <c r="Y37" s="231"/>
      <c r="Z37" s="231"/>
      <c r="AA37" s="231"/>
      <c r="AB37" s="231"/>
      <c r="AC37" s="231"/>
      <c r="AD37" s="231"/>
      <c r="AE37" s="231"/>
      <c r="AF37" s="231"/>
      <c r="AG37" s="231"/>
      <c r="AH37" s="231"/>
      <c r="AI37" s="231"/>
      <c r="AJ37" s="231"/>
      <c r="AK37" s="231"/>
      <c r="AL37" s="231"/>
      <c r="AM37" s="231"/>
      <c r="AN37" s="231"/>
      <c r="AO37" s="231"/>
      <c r="AP37" s="231"/>
      <c r="AQ37" s="231"/>
      <c r="AR37" s="231"/>
      <c r="AS37" s="231"/>
      <c r="AT37" s="231"/>
      <c r="AU37" s="231"/>
      <c r="AV37" s="231"/>
      <c r="AW37" s="231"/>
      <c r="AX37" s="231"/>
      <c r="AY37" s="231"/>
      <c r="AZ37" s="231"/>
      <c r="BA37" s="231"/>
      <c r="BB37" s="231"/>
      <c r="BC37" s="231"/>
      <c r="BD37" s="231"/>
      <c r="BE37" s="231"/>
      <c r="BF37" s="231"/>
      <c r="BG37" s="231"/>
      <c r="BH37" s="231"/>
      <c r="BI37" s="231"/>
      <c r="BJ37" s="231"/>
      <c r="BK37" s="231"/>
      <c r="BL37" s="231"/>
      <c r="BM37" s="231"/>
      <c r="BN37" s="231"/>
      <c r="BO37" s="231"/>
      <c r="BP37" s="231"/>
      <c r="BQ37" s="231"/>
      <c r="BR37" s="231"/>
      <c r="BS37" s="231"/>
      <c r="BT37" s="231"/>
      <c r="BU37" s="231"/>
      <c r="BV37" s="231"/>
      <c r="BW37" s="231"/>
      <c r="BX37" s="231"/>
      <c r="BY37" s="231"/>
      <c r="BZ37" s="231"/>
      <c r="CA37" s="231"/>
      <c r="CB37" s="231"/>
      <c r="CC37" s="231"/>
      <c r="CD37" s="231"/>
      <c r="CE37" s="231"/>
      <c r="CF37" s="231"/>
      <c r="CG37" s="231"/>
      <c r="CH37" s="231"/>
      <c r="CI37" s="231"/>
      <c r="CJ37" s="231"/>
    </row>
    <row r="38" spans="1:88" s="16" customFormat="1" ht="20.100000000000001" hidden="1" customHeight="1" outlineLevel="1">
      <c r="A38" s="231"/>
      <c r="B38" s="231"/>
      <c r="C38" s="231"/>
      <c r="D38" s="477"/>
      <c r="E38" s="478"/>
      <c r="F38" s="478"/>
      <c r="G38" s="479"/>
      <c r="H38" s="479"/>
      <c r="I38" s="480"/>
      <c r="J38" s="481"/>
      <c r="K38" s="482"/>
      <c r="L38" s="231"/>
      <c r="M38" s="456"/>
      <c r="N38" s="457"/>
      <c r="O38" s="457"/>
      <c r="P38" s="458"/>
      <c r="Q38" s="458"/>
      <c r="R38" s="466"/>
      <c r="S38" s="500"/>
      <c r="T38" s="230"/>
      <c r="U38" s="231"/>
      <c r="V38" s="231"/>
      <c r="W38" s="231"/>
      <c r="X38" s="231"/>
      <c r="Y38" s="231"/>
      <c r="Z38" s="231"/>
      <c r="AA38" s="231"/>
      <c r="AB38" s="231"/>
      <c r="AC38" s="231"/>
      <c r="AD38" s="231"/>
      <c r="AE38" s="231"/>
      <c r="AF38" s="231"/>
      <c r="AG38" s="231"/>
      <c r="AH38" s="231"/>
      <c r="AI38" s="231"/>
      <c r="AJ38" s="231"/>
      <c r="AK38" s="231"/>
      <c r="AL38" s="231"/>
      <c r="AM38" s="231"/>
      <c r="AN38" s="231"/>
      <c r="AO38" s="231"/>
      <c r="AP38" s="231"/>
      <c r="AQ38" s="231"/>
      <c r="AR38" s="231"/>
      <c r="AS38" s="231"/>
      <c r="AT38" s="231"/>
      <c r="AU38" s="231"/>
      <c r="AV38" s="231"/>
      <c r="AW38" s="231"/>
      <c r="AX38" s="231"/>
      <c r="AY38" s="231"/>
      <c r="AZ38" s="231"/>
      <c r="BA38" s="231"/>
      <c r="BB38" s="231"/>
      <c r="BC38" s="231"/>
      <c r="BD38" s="231"/>
      <c r="BE38" s="231"/>
      <c r="BF38" s="231"/>
      <c r="BG38" s="231"/>
      <c r="BH38" s="231"/>
      <c r="BI38" s="231"/>
      <c r="BJ38" s="231"/>
      <c r="BK38" s="231"/>
      <c r="BL38" s="231"/>
      <c r="BM38" s="231"/>
      <c r="BN38" s="231"/>
      <c r="BO38" s="231"/>
      <c r="BP38" s="231"/>
      <c r="BQ38" s="231"/>
      <c r="BR38" s="231"/>
      <c r="BS38" s="231"/>
      <c r="BT38" s="231"/>
      <c r="BU38" s="231"/>
      <c r="BV38" s="231"/>
      <c r="BW38" s="231"/>
      <c r="BX38" s="231"/>
      <c r="BY38" s="231"/>
      <c r="BZ38" s="231"/>
      <c r="CA38" s="231"/>
      <c r="CB38" s="231"/>
      <c r="CC38" s="231"/>
      <c r="CD38" s="231"/>
      <c r="CE38" s="231"/>
      <c r="CF38" s="231"/>
      <c r="CG38" s="231"/>
      <c r="CH38" s="231"/>
      <c r="CI38" s="231"/>
      <c r="CJ38" s="231"/>
    </row>
    <row r="39" spans="1:88" s="16" customFormat="1" ht="20.100000000000001" hidden="1" customHeight="1" outlineLevel="1">
      <c r="A39" s="231"/>
      <c r="B39" s="231"/>
      <c r="C39" s="231"/>
      <c r="D39" s="483"/>
      <c r="E39" s="484"/>
      <c r="F39" s="484"/>
      <c r="G39" s="485"/>
      <c r="H39" s="485"/>
      <c r="I39" s="486"/>
      <c r="J39" s="487"/>
      <c r="K39" s="493"/>
      <c r="L39" s="231"/>
      <c r="M39" s="461"/>
      <c r="N39" s="462"/>
      <c r="O39" s="462"/>
      <c r="P39" s="463"/>
      <c r="Q39" s="463"/>
      <c r="R39" s="465"/>
      <c r="S39" s="501"/>
      <c r="T39" s="230"/>
      <c r="U39" s="231"/>
      <c r="V39" s="231"/>
      <c r="W39" s="231"/>
      <c r="X39" s="231"/>
      <c r="Y39" s="231"/>
      <c r="Z39" s="231"/>
      <c r="AA39" s="231"/>
      <c r="AB39" s="231"/>
      <c r="AC39" s="231"/>
      <c r="AD39" s="231"/>
      <c r="AE39" s="231"/>
      <c r="AF39" s="231"/>
      <c r="AG39" s="231"/>
      <c r="AH39" s="231"/>
      <c r="AI39" s="231"/>
      <c r="AJ39" s="231"/>
      <c r="AK39" s="231"/>
      <c r="AL39" s="231"/>
      <c r="AM39" s="231"/>
      <c r="AN39" s="231"/>
      <c r="AO39" s="231"/>
      <c r="AP39" s="231"/>
      <c r="AQ39" s="231"/>
      <c r="AR39" s="231"/>
      <c r="AS39" s="231"/>
      <c r="AT39" s="231"/>
      <c r="AU39" s="231"/>
      <c r="AV39" s="231"/>
      <c r="AW39" s="231"/>
      <c r="AX39" s="231"/>
      <c r="AY39" s="231"/>
      <c r="AZ39" s="231"/>
      <c r="BA39" s="231"/>
      <c r="BB39" s="231"/>
      <c r="BC39" s="231"/>
      <c r="BD39" s="231"/>
      <c r="BE39" s="231"/>
      <c r="BF39" s="231"/>
      <c r="BG39" s="231"/>
      <c r="BH39" s="231"/>
      <c r="BI39" s="231"/>
      <c r="BJ39" s="231"/>
      <c r="BK39" s="231"/>
      <c r="BL39" s="231"/>
      <c r="BM39" s="231"/>
      <c r="BN39" s="231"/>
      <c r="BO39" s="231"/>
      <c r="BP39" s="231"/>
      <c r="BQ39" s="231"/>
      <c r="BR39" s="231"/>
      <c r="BS39" s="231"/>
      <c r="BT39" s="231"/>
      <c r="BU39" s="231"/>
      <c r="BV39" s="231"/>
      <c r="BW39" s="231"/>
      <c r="BX39" s="231"/>
      <c r="BY39" s="231"/>
      <c r="BZ39" s="231"/>
      <c r="CA39" s="231"/>
      <c r="CB39" s="231"/>
      <c r="CC39" s="231"/>
      <c r="CD39" s="231"/>
      <c r="CE39" s="231"/>
      <c r="CF39" s="231"/>
      <c r="CG39" s="231"/>
      <c r="CH39" s="231"/>
      <c r="CI39" s="231"/>
      <c r="CJ39" s="231"/>
    </row>
    <row r="40" spans="1:88" s="16" customFormat="1" ht="20.100000000000001" hidden="1" customHeight="1" outlineLevel="1">
      <c r="A40" s="231"/>
      <c r="B40" s="231"/>
      <c r="C40" s="231"/>
      <c r="D40" s="477"/>
      <c r="E40" s="478"/>
      <c r="F40" s="478"/>
      <c r="G40" s="479"/>
      <c r="H40" s="479"/>
      <c r="I40" s="480"/>
      <c r="J40" s="481"/>
      <c r="K40" s="482"/>
      <c r="L40" s="231"/>
      <c r="M40" s="456"/>
      <c r="N40" s="457"/>
      <c r="O40" s="457"/>
      <c r="P40" s="458"/>
      <c r="Q40" s="458"/>
      <c r="R40" s="466"/>
      <c r="S40" s="500"/>
      <c r="T40" s="230"/>
      <c r="U40" s="231"/>
      <c r="V40" s="231"/>
      <c r="W40" s="231"/>
      <c r="X40" s="231"/>
      <c r="Y40" s="231"/>
      <c r="Z40" s="231"/>
      <c r="AA40" s="231"/>
      <c r="AB40" s="231"/>
      <c r="AC40" s="231"/>
      <c r="AD40" s="231"/>
      <c r="AE40" s="231"/>
      <c r="AF40" s="231"/>
      <c r="AG40" s="231"/>
      <c r="AH40" s="231"/>
      <c r="AI40" s="231"/>
      <c r="AJ40" s="231"/>
      <c r="AK40" s="231"/>
      <c r="AL40" s="231"/>
      <c r="AM40" s="231"/>
      <c r="AN40" s="231"/>
      <c r="AO40" s="231"/>
      <c r="AP40" s="231"/>
      <c r="AQ40" s="231"/>
      <c r="AR40" s="231"/>
      <c r="AS40" s="231"/>
      <c r="AT40" s="231"/>
      <c r="AU40" s="231"/>
      <c r="AV40" s="231"/>
      <c r="AW40" s="231"/>
      <c r="AX40" s="231"/>
      <c r="AY40" s="231"/>
      <c r="AZ40" s="231"/>
      <c r="BA40" s="231"/>
      <c r="BB40" s="231"/>
      <c r="BC40" s="231"/>
      <c r="BD40" s="231"/>
      <c r="BE40" s="231"/>
      <c r="BF40" s="231"/>
      <c r="BG40" s="231"/>
      <c r="BH40" s="231"/>
      <c r="BI40" s="231"/>
      <c r="BJ40" s="231"/>
      <c r="BK40" s="231"/>
      <c r="BL40" s="231"/>
      <c r="BM40" s="231"/>
      <c r="BN40" s="231"/>
      <c r="BO40" s="231"/>
      <c r="BP40" s="231"/>
      <c r="BQ40" s="231"/>
      <c r="BR40" s="231"/>
      <c r="BS40" s="231"/>
      <c r="BT40" s="231"/>
      <c r="BU40" s="231"/>
      <c r="BV40" s="231"/>
      <c r="BW40" s="231"/>
      <c r="BX40" s="231"/>
      <c r="BY40" s="231"/>
      <c r="BZ40" s="231"/>
      <c r="CA40" s="231"/>
      <c r="CB40" s="231"/>
      <c r="CC40" s="231"/>
      <c r="CD40" s="231"/>
      <c r="CE40" s="231"/>
      <c r="CF40" s="231"/>
      <c r="CG40" s="231"/>
      <c r="CH40" s="231"/>
      <c r="CI40" s="231"/>
      <c r="CJ40" s="231"/>
    </row>
    <row r="41" spans="1:88" s="16" customFormat="1" ht="20.100000000000001" hidden="1" customHeight="1" outlineLevel="1" thickBot="1">
      <c r="A41" s="231"/>
      <c r="B41" s="231"/>
      <c r="C41" s="231"/>
      <c r="D41" s="488"/>
      <c r="E41" s="489"/>
      <c r="F41" s="489"/>
      <c r="G41" s="490"/>
      <c r="H41" s="490"/>
      <c r="I41" s="491"/>
      <c r="J41" s="492"/>
      <c r="K41" s="494"/>
      <c r="L41" s="231"/>
      <c r="M41" s="467"/>
      <c r="N41" s="468"/>
      <c r="O41" s="468"/>
      <c r="P41" s="469"/>
      <c r="Q41" s="469"/>
      <c r="R41" s="470"/>
      <c r="S41" s="502"/>
      <c r="T41" s="230"/>
      <c r="U41" s="231"/>
      <c r="V41" s="231"/>
      <c r="W41" s="231"/>
      <c r="X41" s="231"/>
      <c r="Y41" s="231"/>
      <c r="Z41" s="231"/>
      <c r="AA41" s="231"/>
      <c r="AB41" s="231"/>
      <c r="AC41" s="231"/>
      <c r="AD41" s="231"/>
      <c r="AE41" s="231"/>
      <c r="AF41" s="231"/>
      <c r="AG41" s="231"/>
      <c r="AH41" s="231"/>
      <c r="AI41" s="231"/>
      <c r="AJ41" s="231"/>
      <c r="AK41" s="231"/>
      <c r="AL41" s="231"/>
      <c r="AM41" s="231"/>
      <c r="AN41" s="231"/>
      <c r="AO41" s="231"/>
      <c r="AP41" s="231"/>
      <c r="AQ41" s="231"/>
      <c r="AR41" s="231"/>
      <c r="AS41" s="231"/>
      <c r="AT41" s="231"/>
      <c r="AU41" s="231"/>
      <c r="AV41" s="231"/>
      <c r="AW41" s="231"/>
      <c r="AX41" s="231"/>
      <c r="AY41" s="231"/>
      <c r="AZ41" s="231"/>
      <c r="BA41" s="231"/>
      <c r="BB41" s="231"/>
      <c r="BC41" s="231"/>
      <c r="BD41" s="231"/>
      <c r="BE41" s="231"/>
      <c r="BF41" s="231"/>
      <c r="BG41" s="231"/>
      <c r="BH41" s="231"/>
      <c r="BI41" s="231"/>
      <c r="BJ41" s="231"/>
      <c r="BK41" s="231"/>
      <c r="BL41" s="231"/>
      <c r="BM41" s="231"/>
      <c r="BN41" s="231"/>
      <c r="BO41" s="231"/>
      <c r="BP41" s="231"/>
      <c r="BQ41" s="231"/>
      <c r="BR41" s="231"/>
      <c r="BS41" s="231"/>
      <c r="BT41" s="231"/>
      <c r="BU41" s="231"/>
      <c r="BV41" s="231"/>
      <c r="BW41" s="231"/>
      <c r="BX41" s="231"/>
      <c r="BY41" s="231"/>
      <c r="BZ41" s="231"/>
      <c r="CA41" s="231"/>
      <c r="CB41" s="231"/>
      <c r="CC41" s="231"/>
      <c r="CD41" s="231"/>
      <c r="CE41" s="231"/>
      <c r="CF41" s="231"/>
      <c r="CG41" s="231"/>
      <c r="CH41" s="231"/>
      <c r="CI41" s="231"/>
      <c r="CJ41" s="231"/>
    </row>
    <row r="42" spans="1:88" s="231" customFormat="1" ht="20.100000000000001" customHeight="1" collapsed="1">
      <c r="D42" s="228"/>
      <c r="E42" s="228"/>
      <c r="F42" s="228"/>
      <c r="G42" s="228"/>
      <c r="H42" s="228"/>
      <c r="I42" s="228"/>
      <c r="J42" s="228"/>
    </row>
    <row r="43" spans="1:88" s="230" customFormat="1" ht="20.100000000000001" customHeight="1" thickBot="1">
      <c r="D43" s="229" t="s">
        <v>594</v>
      </c>
      <c r="I43" s="229" t="s">
        <v>595</v>
      </c>
      <c r="M43" s="232" t="s">
        <v>588</v>
      </c>
    </row>
    <row r="44" spans="1:88" ht="31.5" customHeight="1" thickBot="1">
      <c r="D44" s="106" t="s">
        <v>243</v>
      </c>
      <c r="E44" s="107" t="s">
        <v>634</v>
      </c>
      <c r="F44" s="107" t="s">
        <v>635</v>
      </c>
      <c r="G44" s="108" t="s">
        <v>311</v>
      </c>
      <c r="H44" s="230"/>
      <c r="I44" s="106" t="s">
        <v>243</v>
      </c>
      <c r="J44" s="107" t="s">
        <v>636</v>
      </c>
      <c r="K44" s="108" t="s">
        <v>637</v>
      </c>
      <c r="L44" s="230"/>
      <c r="M44" s="106" t="s">
        <v>36</v>
      </c>
      <c r="N44" s="107" t="s">
        <v>37</v>
      </c>
      <c r="O44" s="108" t="s">
        <v>45</v>
      </c>
      <c r="P44" s="230"/>
      <c r="Q44" s="287" t="s">
        <v>320</v>
      </c>
      <c r="R44" s="230"/>
      <c r="S44" s="230"/>
    </row>
    <row r="45" spans="1:88" s="16" customFormat="1" ht="20.100000000000001" customHeight="1">
      <c r="A45" s="231"/>
      <c r="B45" s="231"/>
      <c r="C45" s="231"/>
      <c r="D45" s="222" t="s">
        <v>219</v>
      </c>
      <c r="E45" s="223" t="s">
        <v>849</v>
      </c>
      <c r="F45" s="223" t="s">
        <v>789</v>
      </c>
      <c r="G45" s="224" t="s">
        <v>790</v>
      </c>
      <c r="H45" s="231"/>
      <c r="I45" s="222" t="s">
        <v>219</v>
      </c>
      <c r="J45" s="223">
        <v>105</v>
      </c>
      <c r="K45" s="224">
        <v>129</v>
      </c>
      <c r="L45" s="231"/>
      <c r="M45" s="222" t="s">
        <v>849</v>
      </c>
      <c r="N45" s="223" t="s">
        <v>850</v>
      </c>
      <c r="O45" s="224" t="s">
        <v>851</v>
      </c>
      <c r="P45" s="231"/>
      <c r="Q45" s="147">
        <f>MAX(K45:K74)</f>
        <v>129</v>
      </c>
      <c r="R45" s="148" t="s">
        <v>581</v>
      </c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  <c r="CB45" s="231"/>
      <c r="CC45" s="231"/>
      <c r="CD45" s="231"/>
      <c r="CE45" s="231"/>
      <c r="CF45" s="231"/>
      <c r="CG45" s="231"/>
      <c r="CH45" s="231"/>
      <c r="CI45" s="231"/>
      <c r="CJ45" s="231"/>
    </row>
    <row r="46" spans="1:88" s="16" customFormat="1" ht="20.100000000000001" customHeight="1" thickBot="1">
      <c r="A46" s="231"/>
      <c r="B46" s="231"/>
      <c r="C46" s="231"/>
      <c r="D46" s="219" t="s">
        <v>786</v>
      </c>
      <c r="E46" s="220" t="s">
        <v>852</v>
      </c>
      <c r="F46" s="220" t="s">
        <v>789</v>
      </c>
      <c r="G46" s="221" t="s">
        <v>790</v>
      </c>
      <c r="H46" s="231"/>
      <c r="I46" s="219" t="s">
        <v>786</v>
      </c>
      <c r="J46" s="220">
        <v>105</v>
      </c>
      <c r="K46" s="221">
        <v>129</v>
      </c>
      <c r="L46" s="231"/>
      <c r="M46" s="219" t="s">
        <v>852</v>
      </c>
      <c r="N46" s="220" t="s">
        <v>853</v>
      </c>
      <c r="O46" s="221" t="s">
        <v>854</v>
      </c>
      <c r="P46" s="231"/>
      <c r="Q46" s="86">
        <f>MIN(J45:J74)</f>
        <v>105</v>
      </c>
      <c r="R46" s="112" t="s">
        <v>628</v>
      </c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  <c r="CB46" s="231"/>
      <c r="CC46" s="231"/>
      <c r="CD46" s="231"/>
      <c r="CE46" s="231"/>
      <c r="CF46" s="231"/>
      <c r="CG46" s="231"/>
      <c r="CH46" s="231"/>
      <c r="CI46" s="231"/>
      <c r="CJ46" s="231"/>
    </row>
    <row r="47" spans="1:88" s="16" customFormat="1" ht="20.100000000000001" customHeight="1" thickBot="1">
      <c r="A47" s="231"/>
      <c r="B47" s="231"/>
      <c r="C47" s="231"/>
      <c r="D47" s="222" t="s">
        <v>787</v>
      </c>
      <c r="E47" s="223" t="s">
        <v>855</v>
      </c>
      <c r="F47" s="223" t="s">
        <v>789</v>
      </c>
      <c r="G47" s="224" t="s">
        <v>790</v>
      </c>
      <c r="H47" s="231"/>
      <c r="I47" s="222" t="s">
        <v>787</v>
      </c>
      <c r="J47" s="223">
        <v>105</v>
      </c>
      <c r="K47" s="224">
        <v>129</v>
      </c>
      <c r="L47" s="231"/>
      <c r="M47" s="222" t="s">
        <v>855</v>
      </c>
      <c r="N47" s="223" t="s">
        <v>856</v>
      </c>
      <c r="O47" s="224" t="s">
        <v>857</v>
      </c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  <c r="CB47" s="231"/>
      <c r="CC47" s="231"/>
      <c r="CD47" s="231"/>
      <c r="CE47" s="231"/>
      <c r="CF47" s="231"/>
      <c r="CG47" s="231"/>
      <c r="CH47" s="231"/>
      <c r="CI47" s="231"/>
      <c r="CJ47" s="231"/>
    </row>
    <row r="48" spans="1:88" s="16" customFormat="1" ht="20.100000000000001" customHeight="1">
      <c r="A48" s="231"/>
      <c r="B48" s="231"/>
      <c r="C48" s="231"/>
      <c r="D48" s="219"/>
      <c r="E48" s="220"/>
      <c r="F48" s="220"/>
      <c r="G48" s="221"/>
      <c r="H48" s="231"/>
      <c r="I48" s="219"/>
      <c r="J48" s="220"/>
      <c r="K48" s="221"/>
      <c r="L48" s="231"/>
      <c r="M48" s="219"/>
      <c r="N48" s="220"/>
      <c r="O48" s="221"/>
      <c r="P48" s="231"/>
      <c r="Q48" s="147" t="s">
        <v>582</v>
      </c>
      <c r="R48" s="148">
        <v>106.6</v>
      </c>
      <c r="S48" s="231"/>
      <c r="T48" s="231"/>
      <c r="U48" s="231"/>
      <c r="V48" s="231"/>
      <c r="W48" s="231"/>
      <c r="X48" s="231"/>
      <c r="Y48" s="231"/>
      <c r="Z48" s="231"/>
      <c r="AA48" s="231"/>
      <c r="AB48" s="231"/>
      <c r="AC48" s="231"/>
      <c r="AD48" s="231"/>
      <c r="AE48" s="231"/>
      <c r="AF48" s="231"/>
      <c r="AG48" s="231"/>
      <c r="AH48" s="231"/>
      <c r="AI48" s="231"/>
      <c r="AJ48" s="231"/>
      <c r="AK48" s="231"/>
      <c r="AL48" s="231"/>
      <c r="AM48" s="231"/>
      <c r="AN48" s="231"/>
      <c r="AO48" s="231"/>
      <c r="AP48" s="231"/>
      <c r="AQ48" s="231"/>
      <c r="AR48" s="231"/>
      <c r="AS48" s="231"/>
      <c r="AT48" s="231"/>
      <c r="AU48" s="231"/>
      <c r="AV48" s="231"/>
      <c r="AW48" s="231"/>
      <c r="AX48" s="231"/>
      <c r="AY48" s="231"/>
      <c r="AZ48" s="231"/>
      <c r="BA48" s="231"/>
      <c r="BB48" s="231"/>
      <c r="BC48" s="231"/>
      <c r="BD48" s="231"/>
      <c r="BE48" s="231"/>
      <c r="BF48" s="231"/>
      <c r="BG48" s="231"/>
      <c r="BH48" s="231"/>
      <c r="BI48" s="231"/>
      <c r="BJ48" s="231"/>
      <c r="BK48" s="231"/>
      <c r="BL48" s="231"/>
      <c r="BM48" s="231"/>
      <c r="BN48" s="231"/>
      <c r="BO48" s="231"/>
      <c r="BP48" s="231"/>
      <c r="BQ48" s="231"/>
      <c r="BR48" s="231"/>
      <c r="BS48" s="231"/>
      <c r="BT48" s="231"/>
      <c r="BU48" s="231"/>
      <c r="BV48" s="231"/>
      <c r="BW48" s="231"/>
      <c r="BX48" s="231"/>
      <c r="BY48" s="231"/>
      <c r="BZ48" s="231"/>
      <c r="CA48" s="231"/>
      <c r="CB48" s="231"/>
      <c r="CC48" s="231"/>
      <c r="CD48" s="231"/>
      <c r="CE48" s="231"/>
      <c r="CF48" s="231"/>
      <c r="CG48" s="231"/>
      <c r="CH48" s="231"/>
      <c r="CI48" s="231"/>
      <c r="CJ48" s="231"/>
    </row>
    <row r="49" spans="1:88" s="16" customFormat="1" ht="20.100000000000001" customHeight="1" thickBot="1">
      <c r="A49" s="231"/>
      <c r="B49" s="231"/>
      <c r="C49" s="231"/>
      <c r="D49" s="222"/>
      <c r="E49" s="223"/>
      <c r="F49" s="223"/>
      <c r="G49" s="224"/>
      <c r="H49" s="231"/>
      <c r="I49" s="222"/>
      <c r="J49" s="223"/>
      <c r="K49" s="224"/>
      <c r="L49" s="231"/>
      <c r="M49" s="222"/>
      <c r="N49" s="223"/>
      <c r="O49" s="224"/>
      <c r="P49" s="231"/>
      <c r="Q49" s="86" t="s">
        <v>583</v>
      </c>
      <c r="R49" s="112">
        <v>101.4</v>
      </c>
      <c r="S49" s="231"/>
      <c r="T49" s="231"/>
      <c r="U49" s="231"/>
      <c r="V49" s="231"/>
      <c r="W49" s="231"/>
      <c r="X49" s="231"/>
      <c r="Y49" s="231"/>
      <c r="Z49" s="231"/>
      <c r="AA49" s="231"/>
      <c r="AB49" s="231"/>
      <c r="AC49" s="231"/>
      <c r="AD49" s="231"/>
      <c r="AE49" s="231"/>
      <c r="AF49" s="231"/>
      <c r="AG49" s="231"/>
      <c r="AH49" s="231"/>
      <c r="AI49" s="231"/>
      <c r="AJ49" s="231"/>
      <c r="AK49" s="231"/>
      <c r="AL49" s="231"/>
      <c r="AM49" s="231"/>
      <c r="AN49" s="231"/>
      <c r="AO49" s="231"/>
      <c r="AP49" s="231"/>
      <c r="AQ49" s="231"/>
      <c r="AR49" s="231"/>
      <c r="AS49" s="231"/>
      <c r="AT49" s="231"/>
      <c r="AU49" s="231"/>
      <c r="AV49" s="231"/>
      <c r="AW49" s="231"/>
      <c r="AX49" s="231"/>
      <c r="AY49" s="231"/>
      <c r="AZ49" s="231"/>
      <c r="BA49" s="231"/>
      <c r="BB49" s="231"/>
      <c r="BC49" s="231"/>
      <c r="BD49" s="231"/>
      <c r="BE49" s="231"/>
      <c r="BF49" s="231"/>
      <c r="BG49" s="231"/>
      <c r="BH49" s="231"/>
      <c r="BI49" s="231"/>
      <c r="BJ49" s="231"/>
      <c r="BK49" s="231"/>
      <c r="BL49" s="231"/>
      <c r="BM49" s="231"/>
      <c r="BN49" s="231"/>
      <c r="BO49" s="231"/>
      <c r="BP49" s="231"/>
      <c r="BQ49" s="231"/>
      <c r="BR49" s="231"/>
      <c r="BS49" s="231"/>
      <c r="BT49" s="231"/>
      <c r="BU49" s="231"/>
      <c r="BV49" s="231"/>
      <c r="BW49" s="231"/>
      <c r="BX49" s="231"/>
      <c r="BY49" s="231"/>
      <c r="BZ49" s="231"/>
      <c r="CA49" s="231"/>
      <c r="CB49" s="231"/>
      <c r="CC49" s="231"/>
      <c r="CD49" s="231"/>
      <c r="CE49" s="231"/>
      <c r="CF49" s="231"/>
      <c r="CG49" s="231"/>
      <c r="CH49" s="231"/>
      <c r="CI49" s="231"/>
      <c r="CJ49" s="231"/>
    </row>
    <row r="50" spans="1:88" s="16" customFormat="1" ht="20.100000000000001" customHeight="1" thickBot="1">
      <c r="A50" s="231"/>
      <c r="B50" s="231"/>
      <c r="C50" s="231"/>
      <c r="D50" s="219"/>
      <c r="E50" s="220"/>
      <c r="F50" s="220"/>
      <c r="G50" s="221"/>
      <c r="H50" s="231"/>
      <c r="I50" s="219"/>
      <c r="J50" s="220"/>
      <c r="K50" s="221"/>
      <c r="L50" s="231"/>
      <c r="M50" s="219"/>
      <c r="N50" s="220"/>
      <c r="O50" s="221"/>
      <c r="P50" s="231"/>
      <c r="Q50" s="231"/>
      <c r="R50" s="231"/>
      <c r="S50" s="231"/>
      <c r="T50" s="231"/>
      <c r="U50" s="231"/>
      <c r="V50" s="231"/>
      <c r="W50" s="231"/>
      <c r="X50" s="231"/>
      <c r="Y50" s="231"/>
      <c r="Z50" s="231"/>
      <c r="AA50" s="231"/>
      <c r="AB50" s="231"/>
      <c r="AC50" s="231"/>
      <c r="AD50" s="231"/>
      <c r="AE50" s="231"/>
      <c r="AF50" s="231"/>
      <c r="AG50" s="231"/>
      <c r="AH50" s="231"/>
      <c r="AI50" s="231"/>
      <c r="AJ50" s="231"/>
      <c r="AK50" s="231"/>
      <c r="AL50" s="231"/>
      <c r="AM50" s="231"/>
      <c r="AN50" s="231"/>
      <c r="AO50" s="231"/>
      <c r="AP50" s="231"/>
      <c r="AQ50" s="231"/>
      <c r="AR50" s="231"/>
      <c r="AS50" s="231"/>
      <c r="AT50" s="231"/>
      <c r="AU50" s="231"/>
      <c r="AV50" s="231"/>
      <c r="AW50" s="231"/>
      <c r="AX50" s="231"/>
      <c r="AY50" s="231"/>
      <c r="AZ50" s="231"/>
      <c r="BA50" s="231"/>
      <c r="BB50" s="231"/>
      <c r="BC50" s="231"/>
      <c r="BD50" s="231"/>
      <c r="BE50" s="231"/>
      <c r="BF50" s="231"/>
      <c r="BG50" s="231"/>
      <c r="BH50" s="231"/>
      <c r="BI50" s="231"/>
      <c r="BJ50" s="231"/>
      <c r="BK50" s="231"/>
      <c r="BL50" s="231"/>
      <c r="BM50" s="231"/>
      <c r="BN50" s="231"/>
      <c r="BO50" s="231"/>
      <c r="BP50" s="231"/>
      <c r="BQ50" s="231"/>
      <c r="BR50" s="231"/>
      <c r="BS50" s="231"/>
      <c r="BT50" s="231"/>
      <c r="BU50" s="231"/>
      <c r="BV50" s="231"/>
      <c r="BW50" s="231"/>
      <c r="BX50" s="231"/>
      <c r="BY50" s="231"/>
      <c r="BZ50" s="231"/>
      <c r="CA50" s="231"/>
      <c r="CB50" s="231"/>
      <c r="CC50" s="231"/>
      <c r="CD50" s="231"/>
      <c r="CE50" s="231"/>
      <c r="CF50" s="231"/>
      <c r="CG50" s="231"/>
      <c r="CH50" s="231"/>
      <c r="CI50" s="231"/>
      <c r="CJ50" s="231"/>
    </row>
    <row r="51" spans="1:88" s="16" customFormat="1" ht="20.100000000000001" customHeight="1">
      <c r="A51" s="231"/>
      <c r="B51" s="231"/>
      <c r="C51" s="231"/>
      <c r="D51" s="222"/>
      <c r="E51" s="223"/>
      <c r="F51" s="223"/>
      <c r="G51" s="224"/>
      <c r="H51" s="231"/>
      <c r="I51" s="222"/>
      <c r="J51" s="223"/>
      <c r="K51" s="224"/>
      <c r="L51" s="231"/>
      <c r="M51" s="222"/>
      <c r="N51" s="223"/>
      <c r="O51" s="224"/>
      <c r="P51" s="231"/>
      <c r="Q51" s="147" t="s">
        <v>584</v>
      </c>
      <c r="R51" s="148">
        <v>228</v>
      </c>
      <c r="S51" s="231"/>
      <c r="T51" s="231"/>
      <c r="U51" s="231"/>
      <c r="V51" s="231"/>
      <c r="W51" s="231"/>
      <c r="X51" s="231"/>
      <c r="Y51" s="231"/>
      <c r="Z51" s="231"/>
      <c r="AA51" s="231"/>
      <c r="AB51" s="231"/>
      <c r="AC51" s="231"/>
      <c r="AD51" s="231"/>
      <c r="AE51" s="231"/>
      <c r="AF51" s="231"/>
      <c r="AG51" s="231"/>
      <c r="AH51" s="231"/>
      <c r="AI51" s="231"/>
      <c r="AJ51" s="231"/>
      <c r="AK51" s="231"/>
      <c r="AL51" s="231"/>
      <c r="AM51" s="231"/>
      <c r="AN51" s="231"/>
      <c r="AO51" s="231"/>
      <c r="AP51" s="231"/>
      <c r="AQ51" s="231"/>
      <c r="AR51" s="231"/>
      <c r="AS51" s="231"/>
      <c r="AT51" s="231"/>
      <c r="AU51" s="231"/>
      <c r="AV51" s="231"/>
      <c r="AW51" s="231"/>
      <c r="AX51" s="231"/>
      <c r="AY51" s="231"/>
      <c r="AZ51" s="231"/>
      <c r="BA51" s="231"/>
      <c r="BB51" s="231"/>
      <c r="BC51" s="231"/>
      <c r="BD51" s="231"/>
      <c r="BE51" s="231"/>
      <c r="BF51" s="231"/>
      <c r="BG51" s="231"/>
      <c r="BH51" s="231"/>
      <c r="BI51" s="231"/>
      <c r="BJ51" s="231"/>
      <c r="BK51" s="231"/>
      <c r="BL51" s="231"/>
      <c r="BM51" s="231"/>
      <c r="BN51" s="231"/>
      <c r="BO51" s="231"/>
      <c r="BP51" s="231"/>
      <c r="BQ51" s="231"/>
      <c r="BR51" s="231"/>
      <c r="BS51" s="231"/>
      <c r="BT51" s="231"/>
      <c r="BU51" s="231"/>
      <c r="BV51" s="231"/>
      <c r="BW51" s="231"/>
      <c r="BX51" s="231"/>
      <c r="BY51" s="231"/>
      <c r="BZ51" s="231"/>
      <c r="CA51" s="231"/>
      <c r="CB51" s="231"/>
      <c r="CC51" s="231"/>
      <c r="CD51" s="231"/>
      <c r="CE51" s="231"/>
      <c r="CF51" s="231"/>
      <c r="CG51" s="231"/>
      <c r="CH51" s="231"/>
      <c r="CI51" s="231"/>
      <c r="CJ51" s="231"/>
    </row>
    <row r="52" spans="1:88" s="16" customFormat="1" ht="19.5" customHeight="1" thickBot="1">
      <c r="A52" s="231"/>
      <c r="B52" s="231"/>
      <c r="C52" s="231"/>
      <c r="D52" s="219"/>
      <c r="E52" s="220"/>
      <c r="F52" s="220"/>
      <c r="G52" s="221"/>
      <c r="H52" s="231"/>
      <c r="I52" s="219"/>
      <c r="J52" s="220"/>
      <c r="K52" s="221"/>
      <c r="L52" s="231"/>
      <c r="M52" s="219"/>
      <c r="N52" s="220"/>
      <c r="O52" s="221"/>
      <c r="P52" s="231"/>
      <c r="Q52" s="86" t="s">
        <v>585</v>
      </c>
      <c r="R52" s="112">
        <v>228</v>
      </c>
      <c r="S52" s="231"/>
      <c r="T52" s="231"/>
      <c r="U52" s="231"/>
      <c r="V52" s="231"/>
      <c r="W52" s="231"/>
      <c r="X52" s="231"/>
      <c r="Y52" s="231"/>
      <c r="Z52" s="231"/>
      <c r="AA52" s="231"/>
      <c r="AB52" s="231"/>
      <c r="AC52" s="231"/>
      <c r="AD52" s="231"/>
      <c r="AE52" s="231"/>
      <c r="AF52" s="231"/>
      <c r="AG52" s="231"/>
      <c r="AH52" s="231"/>
      <c r="AI52" s="231"/>
      <c r="AJ52" s="231"/>
      <c r="AK52" s="231"/>
      <c r="AL52" s="231"/>
      <c r="AM52" s="231"/>
      <c r="AN52" s="231"/>
      <c r="AO52" s="231"/>
      <c r="AP52" s="231"/>
      <c r="AQ52" s="231"/>
      <c r="AR52" s="231"/>
      <c r="AS52" s="231"/>
      <c r="AT52" s="231"/>
      <c r="AU52" s="231"/>
      <c r="AV52" s="231"/>
      <c r="AW52" s="231"/>
      <c r="AX52" s="231"/>
      <c r="AY52" s="231"/>
      <c r="AZ52" s="231"/>
      <c r="BA52" s="231"/>
      <c r="BB52" s="231"/>
      <c r="BC52" s="231"/>
      <c r="BD52" s="231"/>
      <c r="BE52" s="231"/>
      <c r="BF52" s="231"/>
      <c r="BG52" s="231"/>
      <c r="BH52" s="231"/>
      <c r="BI52" s="231"/>
      <c r="BJ52" s="231"/>
      <c r="BK52" s="231"/>
      <c r="BL52" s="231"/>
      <c r="BM52" s="231"/>
      <c r="BN52" s="231"/>
      <c r="BO52" s="231"/>
      <c r="BP52" s="231"/>
      <c r="BQ52" s="231"/>
      <c r="BR52" s="231"/>
      <c r="BS52" s="231"/>
      <c r="BT52" s="231"/>
      <c r="BU52" s="231"/>
      <c r="BV52" s="231"/>
      <c r="BW52" s="231"/>
      <c r="BX52" s="231"/>
      <c r="BY52" s="231"/>
      <c r="BZ52" s="231"/>
      <c r="CA52" s="231"/>
      <c r="CB52" s="231"/>
      <c r="CC52" s="231"/>
      <c r="CD52" s="231"/>
      <c r="CE52" s="231"/>
      <c r="CF52" s="231"/>
      <c r="CG52" s="231"/>
      <c r="CH52" s="231"/>
      <c r="CI52" s="231"/>
      <c r="CJ52" s="231"/>
    </row>
    <row r="53" spans="1:88" s="16" customFormat="1" ht="20.100000000000001" customHeight="1">
      <c r="A53" s="231"/>
      <c r="B53" s="231"/>
      <c r="C53" s="231"/>
      <c r="D53" s="222"/>
      <c r="E53" s="223"/>
      <c r="F53" s="223"/>
      <c r="G53" s="224"/>
      <c r="H53" s="231"/>
      <c r="I53" s="222"/>
      <c r="J53" s="223"/>
      <c r="K53" s="224"/>
      <c r="L53" s="231"/>
      <c r="M53" s="222"/>
      <c r="N53" s="223"/>
      <c r="O53" s="224"/>
      <c r="P53" s="231"/>
      <c r="Q53" s="231"/>
      <c r="R53" s="231"/>
      <c r="S53" s="231"/>
      <c r="T53" s="231"/>
      <c r="U53" s="231"/>
      <c r="V53" s="231"/>
      <c r="W53" s="231"/>
      <c r="X53" s="231"/>
      <c r="Y53" s="231"/>
      <c r="Z53" s="231"/>
      <c r="AA53" s="231"/>
      <c r="AB53" s="231"/>
      <c r="AC53" s="231"/>
      <c r="AD53" s="231"/>
      <c r="AE53" s="231"/>
      <c r="AF53" s="231"/>
      <c r="AG53" s="231"/>
      <c r="AH53" s="231"/>
      <c r="AI53" s="231"/>
      <c r="AJ53" s="231"/>
      <c r="AK53" s="231"/>
      <c r="AL53" s="231"/>
      <c r="AM53" s="231"/>
      <c r="AN53" s="231"/>
      <c r="AO53" s="231"/>
      <c r="AP53" s="231"/>
      <c r="AQ53" s="231"/>
      <c r="AR53" s="231"/>
      <c r="AS53" s="231"/>
      <c r="AT53" s="231"/>
      <c r="AU53" s="231"/>
      <c r="AV53" s="231"/>
      <c r="AW53" s="231"/>
      <c r="AX53" s="231"/>
      <c r="AY53" s="231"/>
      <c r="AZ53" s="231"/>
      <c r="BA53" s="231"/>
      <c r="BB53" s="231"/>
      <c r="BC53" s="231"/>
      <c r="BD53" s="231"/>
      <c r="BE53" s="231"/>
      <c r="BF53" s="231"/>
      <c r="BG53" s="231"/>
      <c r="BH53" s="231"/>
      <c r="BI53" s="231"/>
      <c r="BJ53" s="231"/>
      <c r="BK53" s="231"/>
      <c r="BL53" s="231"/>
      <c r="BM53" s="231"/>
      <c r="BN53" s="231"/>
      <c r="BO53" s="231"/>
      <c r="BP53" s="231"/>
      <c r="BQ53" s="231"/>
      <c r="BR53" s="231"/>
      <c r="BS53" s="231"/>
      <c r="BT53" s="231"/>
      <c r="BU53" s="231"/>
      <c r="BV53" s="231"/>
      <c r="BW53" s="231"/>
      <c r="BX53" s="231"/>
      <c r="BY53" s="231"/>
      <c r="BZ53" s="231"/>
      <c r="CA53" s="231"/>
      <c r="CB53" s="231"/>
      <c r="CC53" s="231"/>
      <c r="CD53" s="231"/>
      <c r="CE53" s="231"/>
      <c r="CF53" s="231"/>
      <c r="CG53" s="231"/>
      <c r="CH53" s="231"/>
      <c r="CI53" s="231"/>
      <c r="CJ53" s="231"/>
    </row>
    <row r="54" spans="1:88" s="16" customFormat="1" ht="20.100000000000001" customHeight="1">
      <c r="A54" s="231"/>
      <c r="B54" s="231"/>
      <c r="C54" s="231"/>
      <c r="D54" s="219"/>
      <c r="E54" s="220"/>
      <c r="F54" s="220"/>
      <c r="G54" s="221"/>
      <c r="H54" s="231"/>
      <c r="I54" s="219"/>
      <c r="J54" s="220"/>
      <c r="K54" s="221"/>
      <c r="L54" s="231"/>
      <c r="M54" s="219"/>
      <c r="N54" s="220"/>
      <c r="O54" s="221"/>
      <c r="P54" s="231"/>
      <c r="Q54" s="231"/>
      <c r="R54" s="231"/>
      <c r="S54" s="231"/>
      <c r="T54" s="231"/>
      <c r="U54" s="231"/>
      <c r="V54" s="231"/>
      <c r="W54" s="231"/>
      <c r="X54" s="231"/>
      <c r="Y54" s="231"/>
      <c r="Z54" s="231"/>
      <c r="AA54" s="231"/>
      <c r="AB54" s="231"/>
      <c r="AC54" s="231"/>
      <c r="AD54" s="231"/>
      <c r="AE54" s="231"/>
      <c r="AF54" s="231"/>
      <c r="AG54" s="231"/>
      <c r="AH54" s="231"/>
      <c r="AI54" s="231"/>
      <c r="AJ54" s="231"/>
      <c r="AK54" s="231"/>
      <c r="AL54" s="231"/>
      <c r="AM54" s="231"/>
      <c r="AN54" s="231"/>
      <c r="AO54" s="231"/>
      <c r="AP54" s="231"/>
      <c r="AQ54" s="231"/>
      <c r="AR54" s="231"/>
      <c r="AS54" s="231"/>
      <c r="AT54" s="231"/>
      <c r="AU54" s="231"/>
      <c r="AV54" s="231"/>
      <c r="AW54" s="231"/>
      <c r="AX54" s="231"/>
      <c r="AY54" s="231"/>
      <c r="AZ54" s="231"/>
      <c r="BA54" s="231"/>
      <c r="BB54" s="231"/>
      <c r="BC54" s="231"/>
      <c r="BD54" s="231"/>
      <c r="BE54" s="231"/>
      <c r="BF54" s="231"/>
      <c r="BG54" s="231"/>
      <c r="BH54" s="231"/>
      <c r="BI54" s="231"/>
      <c r="BJ54" s="231"/>
      <c r="BK54" s="231"/>
      <c r="BL54" s="231"/>
      <c r="BM54" s="231"/>
      <c r="BN54" s="231"/>
      <c r="BO54" s="231"/>
      <c r="BP54" s="231"/>
      <c r="BQ54" s="231"/>
      <c r="BR54" s="231"/>
      <c r="BS54" s="231"/>
      <c r="BT54" s="231"/>
      <c r="BU54" s="231"/>
      <c r="BV54" s="231"/>
      <c r="BW54" s="231"/>
      <c r="BX54" s="231"/>
      <c r="BY54" s="231"/>
      <c r="BZ54" s="231"/>
      <c r="CA54" s="231"/>
      <c r="CB54" s="231"/>
      <c r="CC54" s="231"/>
      <c r="CD54" s="231"/>
      <c r="CE54" s="231"/>
      <c r="CF54" s="231"/>
      <c r="CG54" s="231"/>
      <c r="CH54" s="231"/>
      <c r="CI54" s="231"/>
      <c r="CJ54" s="231"/>
    </row>
    <row r="55" spans="1:88" s="16" customFormat="1" ht="20.100000000000001" customHeight="1">
      <c r="A55" s="231"/>
      <c r="B55" s="231"/>
      <c r="C55" s="231"/>
      <c r="D55" s="222"/>
      <c r="E55" s="223"/>
      <c r="F55" s="223"/>
      <c r="G55" s="224"/>
      <c r="H55" s="231"/>
      <c r="I55" s="222"/>
      <c r="J55" s="223"/>
      <c r="K55" s="224"/>
      <c r="L55" s="231"/>
      <c r="M55" s="222"/>
      <c r="N55" s="223"/>
      <c r="O55" s="224"/>
      <c r="P55" s="231"/>
      <c r="Q55" s="231"/>
      <c r="R55" s="231"/>
      <c r="S55" s="231"/>
      <c r="T55" s="231"/>
      <c r="U55" s="231"/>
      <c r="V55" s="231"/>
      <c r="W55" s="231"/>
      <c r="X55" s="231"/>
      <c r="Y55" s="231"/>
      <c r="Z55" s="231"/>
      <c r="AA55" s="231"/>
      <c r="AB55" s="231"/>
      <c r="AC55" s="231"/>
      <c r="AD55" s="231"/>
      <c r="AE55" s="231"/>
      <c r="AF55" s="231"/>
      <c r="AG55" s="231"/>
      <c r="AH55" s="231"/>
      <c r="AI55" s="231"/>
      <c r="AJ55" s="231"/>
      <c r="AK55" s="231"/>
      <c r="AL55" s="231"/>
      <c r="AM55" s="231"/>
      <c r="AN55" s="231"/>
      <c r="AO55" s="231"/>
      <c r="AP55" s="231"/>
      <c r="AQ55" s="231"/>
      <c r="AR55" s="231"/>
      <c r="AS55" s="231"/>
      <c r="AT55" s="231"/>
      <c r="AU55" s="231"/>
      <c r="AV55" s="231"/>
      <c r="AW55" s="231"/>
      <c r="AX55" s="231"/>
      <c r="AY55" s="231"/>
      <c r="AZ55" s="231"/>
      <c r="BA55" s="231"/>
      <c r="BB55" s="231"/>
      <c r="BC55" s="231"/>
      <c r="BD55" s="231"/>
      <c r="BE55" s="231"/>
      <c r="BF55" s="231"/>
      <c r="BG55" s="231"/>
      <c r="BH55" s="231"/>
      <c r="BI55" s="231"/>
      <c r="BJ55" s="231"/>
      <c r="BK55" s="231"/>
      <c r="BL55" s="231"/>
      <c r="BM55" s="231"/>
      <c r="BN55" s="231"/>
      <c r="BO55" s="231"/>
      <c r="BP55" s="231"/>
      <c r="BQ55" s="231"/>
      <c r="BR55" s="231"/>
      <c r="BS55" s="231"/>
      <c r="BT55" s="231"/>
      <c r="BU55" s="231"/>
      <c r="BV55" s="231"/>
      <c r="BW55" s="231"/>
      <c r="BX55" s="231"/>
      <c r="BY55" s="231"/>
      <c r="BZ55" s="231"/>
      <c r="CA55" s="231"/>
      <c r="CB55" s="231"/>
      <c r="CC55" s="231"/>
      <c r="CD55" s="231"/>
      <c r="CE55" s="231"/>
      <c r="CF55" s="231"/>
      <c r="CG55" s="231"/>
      <c r="CH55" s="231"/>
      <c r="CI55" s="231"/>
      <c r="CJ55" s="231"/>
    </row>
    <row r="56" spans="1:88" s="16" customFormat="1" ht="20.100000000000001" hidden="1" customHeight="1" outlineLevel="1">
      <c r="A56" s="231"/>
      <c r="B56" s="231"/>
      <c r="C56" s="231"/>
      <c r="D56" s="219"/>
      <c r="E56" s="220"/>
      <c r="F56" s="220"/>
      <c r="G56" s="221"/>
      <c r="H56" s="231"/>
      <c r="I56" s="219"/>
      <c r="J56" s="220"/>
      <c r="K56" s="221"/>
      <c r="L56" s="231"/>
      <c r="M56" s="219"/>
      <c r="N56" s="220"/>
      <c r="O56" s="221"/>
      <c r="P56" s="231"/>
      <c r="Q56" s="231"/>
      <c r="R56" s="231"/>
      <c r="S56" s="231"/>
      <c r="T56" s="231"/>
      <c r="U56" s="231"/>
      <c r="V56" s="231"/>
      <c r="W56" s="231"/>
      <c r="X56" s="231"/>
      <c r="Y56" s="231"/>
      <c r="Z56" s="231"/>
      <c r="AA56" s="231"/>
      <c r="AB56" s="231"/>
      <c r="AC56" s="231"/>
      <c r="AD56" s="231"/>
      <c r="AE56" s="231"/>
      <c r="AF56" s="231"/>
      <c r="AG56" s="231"/>
      <c r="AH56" s="231"/>
      <c r="AI56" s="231"/>
      <c r="AJ56" s="231"/>
      <c r="AK56" s="231"/>
      <c r="AL56" s="231"/>
      <c r="AM56" s="231"/>
      <c r="AN56" s="231"/>
      <c r="AO56" s="231"/>
      <c r="AP56" s="231"/>
      <c r="AQ56" s="231"/>
      <c r="AR56" s="231"/>
      <c r="AS56" s="231"/>
      <c r="AT56" s="231"/>
      <c r="AU56" s="231"/>
      <c r="AV56" s="231"/>
      <c r="AW56" s="231"/>
      <c r="AX56" s="231"/>
      <c r="AY56" s="231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BJ56" s="231"/>
      <c r="BK56" s="231"/>
      <c r="BL56" s="231"/>
      <c r="BM56" s="231"/>
      <c r="BN56" s="231"/>
      <c r="BO56" s="231"/>
      <c r="BP56" s="231"/>
      <c r="BQ56" s="231"/>
      <c r="BR56" s="231"/>
      <c r="BS56" s="231"/>
      <c r="BT56" s="231"/>
      <c r="BU56" s="231"/>
      <c r="BV56" s="231"/>
      <c r="BW56" s="231"/>
      <c r="BX56" s="231"/>
      <c r="BY56" s="231"/>
      <c r="BZ56" s="231"/>
      <c r="CA56" s="231"/>
      <c r="CB56" s="231"/>
      <c r="CC56" s="231"/>
      <c r="CD56" s="231"/>
      <c r="CE56" s="231"/>
      <c r="CF56" s="231"/>
      <c r="CG56" s="231"/>
      <c r="CH56" s="231"/>
      <c r="CI56" s="231"/>
      <c r="CJ56" s="231"/>
    </row>
    <row r="57" spans="1:88" s="16" customFormat="1" ht="20.100000000000001" hidden="1" customHeight="1" outlineLevel="1">
      <c r="A57" s="231"/>
      <c r="B57" s="231"/>
      <c r="C57" s="231"/>
      <c r="D57" s="222"/>
      <c r="E57" s="223"/>
      <c r="F57" s="223"/>
      <c r="G57" s="224"/>
      <c r="H57" s="231"/>
      <c r="I57" s="222"/>
      <c r="J57" s="223"/>
      <c r="K57" s="224"/>
      <c r="L57" s="231"/>
      <c r="M57" s="222"/>
      <c r="N57" s="223"/>
      <c r="O57" s="224"/>
      <c r="P57" s="231"/>
      <c r="Q57" s="231"/>
      <c r="R57" s="231"/>
      <c r="S57" s="231"/>
      <c r="T57" s="231"/>
      <c r="U57" s="231"/>
      <c r="V57" s="231"/>
      <c r="W57" s="231"/>
      <c r="X57" s="231"/>
      <c r="Y57" s="231"/>
      <c r="Z57" s="231"/>
      <c r="AA57" s="231"/>
      <c r="AB57" s="231"/>
      <c r="AC57" s="231"/>
      <c r="AD57" s="231"/>
      <c r="AE57" s="231"/>
      <c r="AF57" s="231"/>
      <c r="AG57" s="231"/>
      <c r="AH57" s="231"/>
      <c r="AI57" s="231"/>
      <c r="AJ57" s="231"/>
      <c r="AK57" s="231"/>
      <c r="AL57" s="231"/>
      <c r="AM57" s="231"/>
      <c r="AN57" s="231"/>
      <c r="AO57" s="231"/>
      <c r="AP57" s="231"/>
      <c r="AQ57" s="231"/>
      <c r="AR57" s="231"/>
      <c r="AS57" s="231"/>
      <c r="AT57" s="231"/>
      <c r="AU57" s="231"/>
      <c r="AV57" s="231"/>
      <c r="AW57" s="231"/>
      <c r="AX57" s="231"/>
      <c r="AY57" s="231"/>
      <c r="AZ57" s="231"/>
      <c r="BA57" s="231"/>
      <c r="BB57" s="231"/>
      <c r="BC57" s="231"/>
      <c r="BD57" s="231"/>
      <c r="BE57" s="231"/>
      <c r="BF57" s="231"/>
      <c r="BG57" s="231"/>
      <c r="BH57" s="231"/>
      <c r="BI57" s="231"/>
      <c r="BJ57" s="231"/>
      <c r="BK57" s="231"/>
      <c r="BL57" s="231"/>
      <c r="BM57" s="231"/>
      <c r="BN57" s="231"/>
      <c r="BO57" s="231"/>
      <c r="BP57" s="231"/>
      <c r="BQ57" s="231"/>
      <c r="BR57" s="231"/>
      <c r="BS57" s="231"/>
      <c r="BT57" s="231"/>
      <c r="BU57" s="231"/>
      <c r="BV57" s="231"/>
      <c r="BW57" s="231"/>
      <c r="BX57" s="231"/>
      <c r="BY57" s="231"/>
      <c r="BZ57" s="231"/>
      <c r="CA57" s="231"/>
      <c r="CB57" s="231"/>
      <c r="CC57" s="231"/>
      <c r="CD57" s="231"/>
      <c r="CE57" s="231"/>
      <c r="CF57" s="231"/>
      <c r="CG57" s="231"/>
      <c r="CH57" s="231"/>
      <c r="CI57" s="231"/>
      <c r="CJ57" s="231"/>
    </row>
    <row r="58" spans="1:88" s="16" customFormat="1" ht="20.100000000000001" hidden="1" customHeight="1" outlineLevel="1">
      <c r="A58" s="231"/>
      <c r="B58" s="231"/>
      <c r="C58" s="231"/>
      <c r="D58" s="219"/>
      <c r="E58" s="220"/>
      <c r="F58" s="220"/>
      <c r="G58" s="221"/>
      <c r="H58" s="231"/>
      <c r="I58" s="219"/>
      <c r="J58" s="220"/>
      <c r="K58" s="221"/>
      <c r="L58" s="231"/>
      <c r="M58" s="219"/>
      <c r="N58" s="220"/>
      <c r="O58" s="221"/>
      <c r="P58" s="231"/>
      <c r="Q58" s="231"/>
      <c r="R58" s="231"/>
      <c r="S58" s="231"/>
      <c r="T58" s="231"/>
      <c r="U58" s="231"/>
      <c r="V58" s="231"/>
      <c r="W58" s="231"/>
      <c r="X58" s="231"/>
      <c r="Y58" s="231"/>
      <c r="Z58" s="231"/>
      <c r="AA58" s="231"/>
      <c r="AB58" s="231"/>
      <c r="AC58" s="231"/>
      <c r="AD58" s="231"/>
      <c r="AE58" s="231"/>
      <c r="AF58" s="231"/>
      <c r="AG58" s="231"/>
      <c r="AH58" s="231"/>
      <c r="AI58" s="231"/>
      <c r="AJ58" s="231"/>
      <c r="AK58" s="231"/>
      <c r="AL58" s="231"/>
      <c r="AM58" s="231"/>
      <c r="AN58" s="231"/>
      <c r="AO58" s="231"/>
      <c r="AP58" s="231"/>
      <c r="AQ58" s="231"/>
      <c r="AR58" s="231"/>
      <c r="AS58" s="231"/>
      <c r="AT58" s="231"/>
      <c r="AU58" s="231"/>
      <c r="AV58" s="231"/>
      <c r="AW58" s="231"/>
      <c r="AX58" s="231"/>
      <c r="AY58" s="231"/>
      <c r="AZ58" s="231"/>
      <c r="BA58" s="231"/>
      <c r="BB58" s="231"/>
      <c r="BC58" s="231"/>
      <c r="BD58" s="231"/>
      <c r="BE58" s="231"/>
      <c r="BF58" s="231"/>
      <c r="BG58" s="231"/>
      <c r="BH58" s="231"/>
      <c r="BI58" s="231"/>
      <c r="BJ58" s="231"/>
      <c r="BK58" s="231"/>
      <c r="BL58" s="231"/>
      <c r="BM58" s="231"/>
      <c r="BN58" s="231"/>
      <c r="BO58" s="231"/>
      <c r="BP58" s="231"/>
      <c r="BQ58" s="231"/>
      <c r="BR58" s="231"/>
      <c r="BS58" s="231"/>
      <c r="BT58" s="231"/>
      <c r="BU58" s="231"/>
      <c r="BV58" s="231"/>
      <c r="BW58" s="231"/>
      <c r="BX58" s="231"/>
      <c r="BY58" s="231"/>
      <c r="BZ58" s="231"/>
      <c r="CA58" s="231"/>
      <c r="CB58" s="231"/>
      <c r="CC58" s="231"/>
      <c r="CD58" s="231"/>
      <c r="CE58" s="231"/>
      <c r="CF58" s="231"/>
      <c r="CG58" s="231"/>
      <c r="CH58" s="231"/>
      <c r="CI58" s="231"/>
      <c r="CJ58" s="231"/>
    </row>
    <row r="59" spans="1:88" s="16" customFormat="1" ht="20.100000000000001" hidden="1" customHeight="1" outlineLevel="1">
      <c r="A59" s="231"/>
      <c r="B59" s="231"/>
      <c r="C59" s="231"/>
      <c r="D59" s="222"/>
      <c r="E59" s="223"/>
      <c r="F59" s="223"/>
      <c r="G59" s="224"/>
      <c r="H59" s="231"/>
      <c r="I59" s="222"/>
      <c r="J59" s="223"/>
      <c r="K59" s="224"/>
      <c r="L59" s="231"/>
      <c r="M59" s="222"/>
      <c r="N59" s="223"/>
      <c r="O59" s="224"/>
      <c r="P59" s="231"/>
      <c r="Q59" s="231"/>
      <c r="R59" s="231"/>
      <c r="S59" s="231"/>
      <c r="T59" s="231"/>
      <c r="U59" s="231"/>
      <c r="V59" s="231"/>
      <c r="W59" s="231"/>
      <c r="X59" s="231"/>
      <c r="Y59" s="231"/>
      <c r="Z59" s="231"/>
      <c r="AA59" s="231"/>
      <c r="AB59" s="231"/>
      <c r="AC59" s="231"/>
      <c r="AD59" s="231"/>
      <c r="AE59" s="231"/>
      <c r="AF59" s="231"/>
      <c r="AG59" s="231"/>
      <c r="AH59" s="231"/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1"/>
      <c r="AU59" s="231"/>
      <c r="AV59" s="231"/>
      <c r="AW59" s="231"/>
      <c r="AX59" s="231"/>
      <c r="AY59" s="231"/>
      <c r="AZ59" s="231"/>
      <c r="BA59" s="231"/>
      <c r="BB59" s="231"/>
      <c r="BC59" s="231"/>
      <c r="BD59" s="231"/>
      <c r="BE59" s="231"/>
      <c r="BF59" s="231"/>
      <c r="BG59" s="231"/>
      <c r="BH59" s="231"/>
      <c r="BI59" s="231"/>
      <c r="BJ59" s="231"/>
      <c r="BK59" s="231"/>
      <c r="BL59" s="231"/>
      <c r="BM59" s="231"/>
      <c r="BN59" s="231"/>
      <c r="BO59" s="231"/>
      <c r="BP59" s="231"/>
      <c r="BQ59" s="231"/>
      <c r="BR59" s="231"/>
      <c r="BS59" s="231"/>
      <c r="BT59" s="231"/>
      <c r="BU59" s="231"/>
      <c r="BV59" s="231"/>
      <c r="BW59" s="231"/>
      <c r="BX59" s="231"/>
      <c r="BY59" s="231"/>
      <c r="BZ59" s="231"/>
      <c r="CA59" s="231"/>
      <c r="CB59" s="231"/>
      <c r="CC59" s="231"/>
      <c r="CD59" s="231"/>
      <c r="CE59" s="231"/>
      <c r="CF59" s="231"/>
      <c r="CG59" s="231"/>
      <c r="CH59" s="231"/>
      <c r="CI59" s="231"/>
      <c r="CJ59" s="231"/>
    </row>
    <row r="60" spans="1:88" s="16" customFormat="1" ht="20.100000000000001" hidden="1" customHeight="1" outlineLevel="1">
      <c r="A60" s="231"/>
      <c r="B60" s="231"/>
      <c r="C60" s="231"/>
      <c r="D60" s="219"/>
      <c r="E60" s="220"/>
      <c r="F60" s="220"/>
      <c r="G60" s="221"/>
      <c r="H60" s="231"/>
      <c r="I60" s="219"/>
      <c r="J60" s="220"/>
      <c r="K60" s="221"/>
      <c r="L60" s="231"/>
      <c r="M60" s="219"/>
      <c r="N60" s="220"/>
      <c r="O60" s="221"/>
      <c r="P60" s="231"/>
      <c r="Q60" s="231"/>
      <c r="R60" s="231"/>
      <c r="S60" s="231"/>
      <c r="T60" s="231"/>
      <c r="U60" s="231"/>
      <c r="V60" s="231"/>
      <c r="W60" s="231"/>
      <c r="X60" s="231"/>
      <c r="Y60" s="231"/>
      <c r="Z60" s="231"/>
      <c r="AA60" s="231"/>
      <c r="AB60" s="231"/>
      <c r="AC60" s="231"/>
      <c r="AD60" s="231"/>
      <c r="AE60" s="231"/>
      <c r="AF60" s="231"/>
      <c r="AG60" s="231"/>
      <c r="AH60" s="231"/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1"/>
      <c r="AU60" s="231"/>
      <c r="AV60" s="231"/>
      <c r="AW60" s="231"/>
      <c r="AX60" s="231"/>
      <c r="AY60" s="231"/>
      <c r="AZ60" s="231"/>
      <c r="BA60" s="231"/>
      <c r="BB60" s="231"/>
      <c r="BC60" s="231"/>
      <c r="BD60" s="231"/>
      <c r="BE60" s="231"/>
      <c r="BF60" s="231"/>
      <c r="BG60" s="231"/>
      <c r="BH60" s="231"/>
      <c r="BI60" s="231"/>
      <c r="BJ60" s="231"/>
      <c r="BK60" s="231"/>
      <c r="BL60" s="231"/>
      <c r="BM60" s="231"/>
      <c r="BN60" s="231"/>
      <c r="BO60" s="231"/>
      <c r="BP60" s="231"/>
      <c r="BQ60" s="231"/>
      <c r="BR60" s="231"/>
      <c r="BS60" s="231"/>
      <c r="BT60" s="231"/>
      <c r="BU60" s="231"/>
      <c r="BV60" s="231"/>
      <c r="BW60" s="231"/>
      <c r="BX60" s="231"/>
      <c r="BY60" s="231"/>
      <c r="BZ60" s="231"/>
      <c r="CA60" s="231"/>
      <c r="CB60" s="231"/>
      <c r="CC60" s="231"/>
      <c r="CD60" s="231"/>
      <c r="CE60" s="231"/>
      <c r="CF60" s="231"/>
      <c r="CG60" s="231"/>
      <c r="CH60" s="231"/>
      <c r="CI60" s="231"/>
      <c r="CJ60" s="231"/>
    </row>
    <row r="61" spans="1:88" s="16" customFormat="1" ht="20.100000000000001" hidden="1" customHeight="1" outlineLevel="1">
      <c r="A61" s="231"/>
      <c r="B61" s="231"/>
      <c r="C61" s="231"/>
      <c r="D61" s="222"/>
      <c r="E61" s="223"/>
      <c r="F61" s="223"/>
      <c r="G61" s="224"/>
      <c r="H61" s="231"/>
      <c r="I61" s="222"/>
      <c r="J61" s="223"/>
      <c r="K61" s="224"/>
      <c r="L61" s="231"/>
      <c r="M61" s="222"/>
      <c r="N61" s="223"/>
      <c r="O61" s="224"/>
      <c r="P61" s="231"/>
      <c r="Q61" s="231"/>
      <c r="R61" s="231"/>
      <c r="S61" s="231"/>
      <c r="T61" s="231"/>
      <c r="U61" s="231"/>
      <c r="V61" s="231"/>
      <c r="W61" s="231"/>
      <c r="X61" s="231"/>
      <c r="Y61" s="231"/>
      <c r="Z61" s="231"/>
      <c r="AA61" s="231"/>
      <c r="AB61" s="231"/>
      <c r="AC61" s="231"/>
      <c r="AD61" s="231"/>
      <c r="AE61" s="231"/>
      <c r="AF61" s="231"/>
      <c r="AG61" s="231"/>
      <c r="AH61" s="231"/>
      <c r="AI61" s="231"/>
      <c r="AJ61" s="231"/>
      <c r="AK61" s="231"/>
      <c r="AL61" s="231"/>
      <c r="AM61" s="231"/>
      <c r="AN61" s="231"/>
      <c r="AO61" s="231"/>
      <c r="AP61" s="231"/>
      <c r="AQ61" s="231"/>
      <c r="AR61" s="231"/>
      <c r="AS61" s="231"/>
      <c r="AT61" s="231"/>
      <c r="AU61" s="231"/>
      <c r="AV61" s="231"/>
      <c r="AW61" s="231"/>
      <c r="AX61" s="231"/>
      <c r="AY61" s="231"/>
      <c r="AZ61" s="231"/>
      <c r="BA61" s="231"/>
      <c r="BB61" s="231"/>
      <c r="BC61" s="231"/>
      <c r="BD61" s="231"/>
      <c r="BE61" s="231"/>
      <c r="BF61" s="231"/>
      <c r="BG61" s="231"/>
      <c r="BH61" s="231"/>
      <c r="BI61" s="231"/>
      <c r="BJ61" s="231"/>
      <c r="BK61" s="231"/>
      <c r="BL61" s="231"/>
      <c r="BM61" s="231"/>
      <c r="BN61" s="231"/>
      <c r="BO61" s="231"/>
      <c r="BP61" s="231"/>
      <c r="BQ61" s="231"/>
      <c r="BR61" s="231"/>
      <c r="BS61" s="231"/>
      <c r="BT61" s="231"/>
      <c r="BU61" s="231"/>
      <c r="BV61" s="231"/>
      <c r="BW61" s="231"/>
      <c r="BX61" s="231"/>
      <c r="BY61" s="231"/>
      <c r="BZ61" s="231"/>
      <c r="CA61" s="231"/>
      <c r="CB61" s="231"/>
      <c r="CC61" s="231"/>
      <c r="CD61" s="231"/>
      <c r="CE61" s="231"/>
      <c r="CF61" s="231"/>
      <c r="CG61" s="231"/>
      <c r="CH61" s="231"/>
      <c r="CI61" s="231"/>
      <c r="CJ61" s="231"/>
    </row>
    <row r="62" spans="1:88" s="16" customFormat="1" ht="20.100000000000001" hidden="1" customHeight="1" outlineLevel="1">
      <c r="A62" s="231"/>
      <c r="B62" s="231"/>
      <c r="C62" s="231"/>
      <c r="D62" s="219"/>
      <c r="E62" s="220"/>
      <c r="F62" s="220"/>
      <c r="G62" s="221"/>
      <c r="H62" s="231"/>
      <c r="I62" s="219"/>
      <c r="J62" s="220"/>
      <c r="K62" s="221"/>
      <c r="L62" s="231"/>
      <c r="M62" s="219"/>
      <c r="N62" s="220"/>
      <c r="O62" s="221"/>
      <c r="P62" s="231"/>
      <c r="Q62" s="231"/>
      <c r="R62" s="231"/>
      <c r="S62" s="231"/>
      <c r="T62" s="231"/>
      <c r="U62" s="231"/>
      <c r="V62" s="231"/>
      <c r="W62" s="231"/>
      <c r="X62" s="231"/>
      <c r="Y62" s="231"/>
      <c r="Z62" s="231"/>
      <c r="AA62" s="231"/>
      <c r="AB62" s="231"/>
      <c r="AC62" s="231"/>
      <c r="AD62" s="231"/>
      <c r="AE62" s="231"/>
      <c r="AF62" s="231"/>
      <c r="AG62" s="231"/>
      <c r="AH62" s="231"/>
      <c r="AI62" s="231"/>
      <c r="AJ62" s="231"/>
      <c r="AK62" s="231"/>
      <c r="AL62" s="231"/>
      <c r="AM62" s="231"/>
      <c r="AN62" s="231"/>
      <c r="AO62" s="231"/>
      <c r="AP62" s="231"/>
      <c r="AQ62" s="231"/>
      <c r="AR62" s="231"/>
      <c r="AS62" s="231"/>
      <c r="AT62" s="231"/>
      <c r="AU62" s="231"/>
      <c r="AV62" s="231"/>
      <c r="AW62" s="231"/>
      <c r="AX62" s="231"/>
      <c r="AY62" s="231"/>
      <c r="AZ62" s="231"/>
      <c r="BA62" s="231"/>
      <c r="BB62" s="231"/>
      <c r="BC62" s="231"/>
      <c r="BD62" s="231"/>
      <c r="BE62" s="231"/>
      <c r="BF62" s="231"/>
      <c r="BG62" s="231"/>
      <c r="BH62" s="231"/>
      <c r="BI62" s="231"/>
      <c r="BJ62" s="231"/>
      <c r="BK62" s="231"/>
      <c r="BL62" s="231"/>
      <c r="BM62" s="231"/>
      <c r="BN62" s="231"/>
      <c r="BO62" s="231"/>
      <c r="BP62" s="231"/>
      <c r="BQ62" s="231"/>
      <c r="BR62" s="231"/>
      <c r="BS62" s="231"/>
      <c r="BT62" s="231"/>
      <c r="BU62" s="231"/>
      <c r="BV62" s="231"/>
      <c r="BW62" s="231"/>
      <c r="BX62" s="231"/>
      <c r="BY62" s="231"/>
      <c r="BZ62" s="231"/>
      <c r="CA62" s="231"/>
      <c r="CB62" s="231"/>
      <c r="CC62" s="231"/>
      <c r="CD62" s="231"/>
      <c r="CE62" s="231"/>
      <c r="CF62" s="231"/>
      <c r="CG62" s="231"/>
      <c r="CH62" s="231"/>
      <c r="CI62" s="231"/>
      <c r="CJ62" s="231"/>
    </row>
    <row r="63" spans="1:88" s="16" customFormat="1" ht="20.100000000000001" hidden="1" customHeight="1" outlineLevel="1">
      <c r="A63" s="231"/>
      <c r="B63" s="231"/>
      <c r="C63" s="231"/>
      <c r="D63" s="222"/>
      <c r="E63" s="223"/>
      <c r="F63" s="223"/>
      <c r="G63" s="224"/>
      <c r="H63" s="231"/>
      <c r="I63" s="222"/>
      <c r="J63" s="223"/>
      <c r="K63" s="224"/>
      <c r="L63" s="231"/>
      <c r="M63" s="222"/>
      <c r="N63" s="223"/>
      <c r="O63" s="224"/>
      <c r="P63" s="231"/>
      <c r="Q63" s="231"/>
      <c r="R63" s="231"/>
      <c r="S63" s="231"/>
      <c r="T63" s="231"/>
      <c r="U63" s="231"/>
      <c r="V63" s="231"/>
      <c r="W63" s="231"/>
      <c r="X63" s="231"/>
      <c r="Y63" s="231"/>
      <c r="Z63" s="231"/>
      <c r="AA63" s="231"/>
      <c r="AB63" s="231"/>
      <c r="AC63" s="231"/>
      <c r="AD63" s="231"/>
      <c r="AE63" s="231"/>
      <c r="AF63" s="231"/>
      <c r="AG63" s="231"/>
      <c r="AH63" s="231"/>
      <c r="AI63" s="231"/>
      <c r="AJ63" s="231"/>
      <c r="AK63" s="231"/>
      <c r="AL63" s="231"/>
      <c r="AM63" s="231"/>
      <c r="AN63" s="231"/>
      <c r="AO63" s="231"/>
      <c r="AP63" s="231"/>
      <c r="AQ63" s="231"/>
      <c r="AR63" s="231"/>
      <c r="AS63" s="231"/>
      <c r="AT63" s="231"/>
      <c r="AU63" s="231"/>
      <c r="AV63" s="231"/>
      <c r="AW63" s="231"/>
      <c r="AX63" s="231"/>
      <c r="AY63" s="231"/>
      <c r="AZ63" s="231"/>
      <c r="BA63" s="231"/>
      <c r="BB63" s="231"/>
      <c r="BC63" s="231"/>
      <c r="BD63" s="231"/>
      <c r="BE63" s="231"/>
      <c r="BF63" s="231"/>
      <c r="BG63" s="231"/>
      <c r="BH63" s="231"/>
      <c r="BI63" s="231"/>
      <c r="BJ63" s="231"/>
      <c r="BK63" s="231"/>
      <c r="BL63" s="231"/>
      <c r="BM63" s="231"/>
      <c r="BN63" s="231"/>
      <c r="BO63" s="231"/>
      <c r="BP63" s="231"/>
      <c r="BQ63" s="231"/>
      <c r="BR63" s="231"/>
      <c r="BS63" s="231"/>
      <c r="BT63" s="231"/>
      <c r="BU63" s="231"/>
      <c r="BV63" s="231"/>
      <c r="BW63" s="231"/>
      <c r="BX63" s="231"/>
      <c r="BY63" s="231"/>
      <c r="BZ63" s="231"/>
      <c r="CA63" s="231"/>
      <c r="CB63" s="231"/>
      <c r="CC63" s="231"/>
      <c r="CD63" s="231"/>
      <c r="CE63" s="231"/>
      <c r="CF63" s="231"/>
      <c r="CG63" s="231"/>
      <c r="CH63" s="231"/>
      <c r="CI63" s="231"/>
      <c r="CJ63" s="231"/>
    </row>
    <row r="64" spans="1:88" s="16" customFormat="1" ht="20.100000000000001" hidden="1" customHeight="1" outlineLevel="1">
      <c r="A64" s="231"/>
      <c r="B64" s="231"/>
      <c r="C64" s="231"/>
      <c r="D64" s="219"/>
      <c r="E64" s="220"/>
      <c r="F64" s="220"/>
      <c r="G64" s="221"/>
      <c r="H64" s="231"/>
      <c r="I64" s="219"/>
      <c r="J64" s="220"/>
      <c r="K64" s="221"/>
      <c r="L64" s="231"/>
      <c r="M64" s="219"/>
      <c r="N64" s="220"/>
      <c r="O64" s="221"/>
      <c r="P64" s="231"/>
      <c r="Q64" s="231"/>
      <c r="R64" s="231"/>
      <c r="S64" s="231"/>
      <c r="T64" s="231"/>
      <c r="U64" s="231"/>
      <c r="V64" s="231"/>
      <c r="W64" s="231"/>
      <c r="X64" s="231"/>
      <c r="Y64" s="231"/>
      <c r="Z64" s="231"/>
      <c r="AA64" s="231"/>
      <c r="AB64" s="231"/>
      <c r="AC64" s="231"/>
      <c r="AD64" s="231"/>
      <c r="AE64" s="231"/>
      <c r="AF64" s="231"/>
      <c r="AG64" s="231"/>
      <c r="AH64" s="231"/>
      <c r="AI64" s="231"/>
      <c r="AJ64" s="231"/>
      <c r="AK64" s="231"/>
      <c r="AL64" s="231"/>
      <c r="AM64" s="231"/>
      <c r="AN64" s="231"/>
      <c r="AO64" s="231"/>
      <c r="AP64" s="231"/>
      <c r="AQ64" s="231"/>
      <c r="AR64" s="231"/>
      <c r="AS64" s="231"/>
      <c r="AT64" s="231"/>
      <c r="AU64" s="231"/>
      <c r="AV64" s="231"/>
      <c r="AW64" s="231"/>
      <c r="AX64" s="231"/>
      <c r="AY64" s="231"/>
      <c r="AZ64" s="231"/>
      <c r="BA64" s="231"/>
      <c r="BB64" s="231"/>
      <c r="BC64" s="231"/>
      <c r="BD64" s="231"/>
      <c r="BE64" s="231"/>
      <c r="BF64" s="231"/>
      <c r="BG64" s="231"/>
      <c r="BH64" s="231"/>
      <c r="BI64" s="231"/>
      <c r="BJ64" s="231"/>
      <c r="BK64" s="231"/>
      <c r="BL64" s="231"/>
      <c r="BM64" s="231"/>
      <c r="BN64" s="231"/>
      <c r="BO64" s="231"/>
      <c r="BP64" s="231"/>
      <c r="BQ64" s="231"/>
      <c r="BR64" s="231"/>
      <c r="BS64" s="231"/>
      <c r="BT64" s="231"/>
      <c r="BU64" s="231"/>
      <c r="BV64" s="231"/>
      <c r="BW64" s="231"/>
      <c r="BX64" s="231"/>
      <c r="BY64" s="231"/>
      <c r="BZ64" s="231"/>
      <c r="CA64" s="231"/>
      <c r="CB64" s="231"/>
      <c r="CC64" s="231"/>
      <c r="CD64" s="231"/>
      <c r="CE64" s="231"/>
      <c r="CF64" s="231"/>
      <c r="CG64" s="231"/>
      <c r="CH64" s="231"/>
      <c r="CI64" s="231"/>
      <c r="CJ64" s="231"/>
    </row>
    <row r="65" spans="1:88" s="16" customFormat="1" ht="20.100000000000001" hidden="1" customHeight="1" outlineLevel="1">
      <c r="A65" s="231"/>
      <c r="B65" s="231"/>
      <c r="C65" s="231"/>
      <c r="D65" s="222"/>
      <c r="E65" s="223"/>
      <c r="F65" s="223"/>
      <c r="G65" s="224"/>
      <c r="H65" s="231"/>
      <c r="I65" s="222"/>
      <c r="J65" s="223"/>
      <c r="K65" s="224"/>
      <c r="L65" s="231"/>
      <c r="M65" s="222"/>
      <c r="N65" s="223"/>
      <c r="O65" s="224"/>
      <c r="P65" s="231"/>
      <c r="Q65" s="231"/>
      <c r="R65" s="231"/>
      <c r="S65" s="231"/>
      <c r="T65" s="231"/>
      <c r="U65" s="231"/>
      <c r="V65" s="231"/>
      <c r="W65" s="231"/>
      <c r="X65" s="231"/>
      <c r="Y65" s="231"/>
      <c r="Z65" s="231"/>
      <c r="AA65" s="231"/>
      <c r="AB65" s="231"/>
      <c r="AC65" s="231"/>
      <c r="AD65" s="231"/>
      <c r="AE65" s="231"/>
      <c r="AF65" s="231"/>
      <c r="AG65" s="231"/>
      <c r="AH65" s="231"/>
      <c r="AI65" s="231"/>
      <c r="AJ65" s="231"/>
      <c r="AK65" s="231"/>
      <c r="AL65" s="231"/>
      <c r="AM65" s="231"/>
      <c r="AN65" s="231"/>
      <c r="AO65" s="231"/>
      <c r="AP65" s="231"/>
      <c r="AQ65" s="231"/>
      <c r="AR65" s="231"/>
      <c r="AS65" s="231"/>
      <c r="AT65" s="231"/>
      <c r="AU65" s="231"/>
      <c r="AV65" s="231"/>
      <c r="AW65" s="231"/>
      <c r="AX65" s="231"/>
      <c r="AY65" s="231"/>
      <c r="AZ65" s="231"/>
      <c r="BA65" s="231"/>
      <c r="BB65" s="231"/>
      <c r="BC65" s="231"/>
      <c r="BD65" s="231"/>
      <c r="BE65" s="231"/>
      <c r="BF65" s="231"/>
      <c r="BG65" s="231"/>
      <c r="BH65" s="231"/>
      <c r="BI65" s="231"/>
      <c r="BJ65" s="231"/>
      <c r="BK65" s="231"/>
      <c r="BL65" s="231"/>
      <c r="BM65" s="231"/>
      <c r="BN65" s="231"/>
      <c r="BO65" s="231"/>
      <c r="BP65" s="231"/>
      <c r="BQ65" s="231"/>
      <c r="BR65" s="231"/>
      <c r="BS65" s="231"/>
      <c r="BT65" s="231"/>
      <c r="BU65" s="231"/>
      <c r="BV65" s="231"/>
      <c r="BW65" s="231"/>
      <c r="BX65" s="231"/>
      <c r="BY65" s="231"/>
      <c r="BZ65" s="231"/>
      <c r="CA65" s="231"/>
      <c r="CB65" s="231"/>
      <c r="CC65" s="231"/>
      <c r="CD65" s="231"/>
      <c r="CE65" s="231"/>
      <c r="CF65" s="231"/>
      <c r="CG65" s="231"/>
      <c r="CH65" s="231"/>
      <c r="CI65" s="231"/>
      <c r="CJ65" s="231"/>
    </row>
    <row r="66" spans="1:88" s="16" customFormat="1" ht="20.100000000000001" hidden="1" customHeight="1" outlineLevel="1">
      <c r="A66" s="231"/>
      <c r="B66" s="231"/>
      <c r="C66" s="231"/>
      <c r="D66" s="219"/>
      <c r="E66" s="220"/>
      <c r="F66" s="220"/>
      <c r="G66" s="221"/>
      <c r="H66" s="231"/>
      <c r="I66" s="219"/>
      <c r="J66" s="220"/>
      <c r="K66" s="221"/>
      <c r="L66" s="231"/>
      <c r="M66" s="219"/>
      <c r="N66" s="220"/>
      <c r="O66" s="221"/>
      <c r="P66" s="231"/>
      <c r="Q66" s="231"/>
      <c r="R66" s="231"/>
      <c r="S66" s="231"/>
      <c r="T66" s="231"/>
      <c r="U66" s="231"/>
      <c r="V66" s="231"/>
      <c r="W66" s="231"/>
      <c r="X66" s="231"/>
      <c r="Y66" s="231"/>
      <c r="Z66" s="231"/>
      <c r="AA66" s="231"/>
      <c r="AB66" s="231"/>
      <c r="AC66" s="231"/>
      <c r="AD66" s="231"/>
      <c r="AE66" s="231"/>
      <c r="AF66" s="231"/>
      <c r="AG66" s="231"/>
      <c r="AH66" s="231"/>
      <c r="AI66" s="231"/>
      <c r="AJ66" s="231"/>
      <c r="AK66" s="231"/>
      <c r="AL66" s="231"/>
      <c r="AM66" s="231"/>
      <c r="AN66" s="231"/>
      <c r="AO66" s="231"/>
      <c r="AP66" s="231"/>
      <c r="AQ66" s="231"/>
      <c r="AR66" s="231"/>
      <c r="AS66" s="231"/>
      <c r="AT66" s="231"/>
      <c r="AU66" s="231"/>
      <c r="AV66" s="231"/>
      <c r="AW66" s="231"/>
      <c r="AX66" s="231"/>
      <c r="AY66" s="231"/>
      <c r="AZ66" s="231"/>
      <c r="BA66" s="231"/>
      <c r="BB66" s="231"/>
      <c r="BC66" s="231"/>
      <c r="BD66" s="231"/>
      <c r="BE66" s="231"/>
      <c r="BF66" s="231"/>
      <c r="BG66" s="231"/>
      <c r="BH66" s="231"/>
      <c r="BI66" s="231"/>
      <c r="BJ66" s="231"/>
      <c r="BK66" s="231"/>
      <c r="BL66" s="231"/>
      <c r="BM66" s="231"/>
      <c r="BN66" s="231"/>
      <c r="BO66" s="231"/>
      <c r="BP66" s="231"/>
      <c r="BQ66" s="231"/>
      <c r="BR66" s="231"/>
      <c r="BS66" s="231"/>
      <c r="BT66" s="231"/>
      <c r="BU66" s="231"/>
      <c r="BV66" s="231"/>
      <c r="BW66" s="231"/>
      <c r="BX66" s="231"/>
      <c r="BY66" s="231"/>
      <c r="BZ66" s="231"/>
      <c r="CA66" s="231"/>
      <c r="CB66" s="231"/>
      <c r="CC66" s="231"/>
      <c r="CD66" s="231"/>
      <c r="CE66" s="231"/>
      <c r="CF66" s="231"/>
      <c r="CG66" s="231"/>
      <c r="CH66" s="231"/>
      <c r="CI66" s="231"/>
      <c r="CJ66" s="231"/>
    </row>
    <row r="67" spans="1:88" s="16" customFormat="1" ht="20.100000000000001" hidden="1" customHeight="1" outlineLevel="1">
      <c r="A67" s="231"/>
      <c r="B67" s="231"/>
      <c r="C67" s="231"/>
      <c r="D67" s="222"/>
      <c r="E67" s="223"/>
      <c r="F67" s="223"/>
      <c r="G67" s="224"/>
      <c r="H67" s="231"/>
      <c r="I67" s="222"/>
      <c r="J67" s="223"/>
      <c r="K67" s="224"/>
      <c r="L67" s="231"/>
      <c r="M67" s="222"/>
      <c r="N67" s="223"/>
      <c r="O67" s="224"/>
      <c r="P67" s="231"/>
      <c r="Q67" s="231"/>
      <c r="R67" s="231"/>
      <c r="S67" s="231"/>
      <c r="T67" s="231"/>
      <c r="U67" s="231"/>
      <c r="V67" s="231"/>
      <c r="W67" s="231"/>
      <c r="X67" s="231"/>
      <c r="Y67" s="231"/>
      <c r="Z67" s="231"/>
      <c r="AA67" s="231"/>
      <c r="AB67" s="231"/>
      <c r="AC67" s="231"/>
      <c r="AD67" s="231"/>
      <c r="AE67" s="231"/>
      <c r="AF67" s="231"/>
      <c r="AG67" s="231"/>
      <c r="AH67" s="231"/>
      <c r="AI67" s="231"/>
      <c r="AJ67" s="231"/>
      <c r="AK67" s="231"/>
      <c r="AL67" s="231"/>
      <c r="AM67" s="231"/>
      <c r="AN67" s="231"/>
      <c r="AO67" s="231"/>
      <c r="AP67" s="231"/>
      <c r="AQ67" s="231"/>
      <c r="AR67" s="231"/>
      <c r="AS67" s="231"/>
      <c r="AT67" s="231"/>
      <c r="AU67" s="231"/>
      <c r="AV67" s="231"/>
      <c r="AW67" s="231"/>
      <c r="AX67" s="231"/>
      <c r="AY67" s="231"/>
      <c r="AZ67" s="231"/>
      <c r="BA67" s="231"/>
      <c r="BB67" s="231"/>
      <c r="BC67" s="231"/>
      <c r="BD67" s="231"/>
      <c r="BE67" s="231"/>
      <c r="BF67" s="231"/>
      <c r="BG67" s="231"/>
      <c r="BH67" s="231"/>
      <c r="BI67" s="231"/>
      <c r="BJ67" s="231"/>
      <c r="BK67" s="231"/>
      <c r="BL67" s="231"/>
      <c r="BM67" s="231"/>
      <c r="BN67" s="231"/>
      <c r="BO67" s="231"/>
      <c r="BP67" s="231"/>
      <c r="BQ67" s="231"/>
      <c r="BR67" s="231"/>
      <c r="BS67" s="231"/>
      <c r="BT67" s="231"/>
      <c r="BU67" s="231"/>
      <c r="BV67" s="231"/>
      <c r="BW67" s="231"/>
      <c r="BX67" s="231"/>
      <c r="BY67" s="231"/>
      <c r="BZ67" s="231"/>
      <c r="CA67" s="231"/>
      <c r="CB67" s="231"/>
      <c r="CC67" s="231"/>
      <c r="CD67" s="231"/>
      <c r="CE67" s="231"/>
      <c r="CF67" s="231"/>
      <c r="CG67" s="231"/>
      <c r="CH67" s="231"/>
      <c r="CI67" s="231"/>
      <c r="CJ67" s="231"/>
    </row>
    <row r="68" spans="1:88" s="16" customFormat="1" ht="20.100000000000001" hidden="1" customHeight="1" outlineLevel="1">
      <c r="A68" s="231"/>
      <c r="B68" s="231"/>
      <c r="C68" s="231"/>
      <c r="D68" s="219"/>
      <c r="E68" s="220"/>
      <c r="F68" s="220"/>
      <c r="G68" s="221"/>
      <c r="H68" s="231"/>
      <c r="I68" s="219"/>
      <c r="J68" s="220"/>
      <c r="K68" s="221"/>
      <c r="L68" s="231"/>
      <c r="M68" s="219"/>
      <c r="N68" s="220"/>
      <c r="O68" s="221"/>
      <c r="P68" s="231"/>
      <c r="Q68" s="231"/>
      <c r="R68" s="231"/>
      <c r="S68" s="231"/>
      <c r="T68" s="231"/>
      <c r="U68" s="231"/>
      <c r="V68" s="231"/>
      <c r="W68" s="231"/>
      <c r="X68" s="231"/>
      <c r="Y68" s="231"/>
      <c r="Z68" s="231"/>
      <c r="AA68" s="231"/>
      <c r="AB68" s="231"/>
      <c r="AC68" s="231"/>
      <c r="AD68" s="231"/>
      <c r="AE68" s="231"/>
      <c r="AF68" s="231"/>
      <c r="AG68" s="231"/>
      <c r="AH68" s="231"/>
      <c r="AI68" s="231"/>
      <c r="AJ68" s="231"/>
      <c r="AK68" s="231"/>
      <c r="AL68" s="231"/>
      <c r="AM68" s="231"/>
      <c r="AN68" s="231"/>
      <c r="AO68" s="231"/>
      <c r="AP68" s="231"/>
      <c r="AQ68" s="231"/>
      <c r="AR68" s="231"/>
      <c r="AS68" s="231"/>
      <c r="AT68" s="231"/>
      <c r="AU68" s="231"/>
      <c r="AV68" s="231"/>
      <c r="AW68" s="231"/>
      <c r="AX68" s="231"/>
      <c r="AY68" s="231"/>
      <c r="AZ68" s="231"/>
      <c r="BA68" s="231"/>
      <c r="BB68" s="231"/>
      <c r="BC68" s="231"/>
      <c r="BD68" s="231"/>
      <c r="BE68" s="231"/>
      <c r="BF68" s="231"/>
      <c r="BG68" s="231"/>
      <c r="BH68" s="231"/>
      <c r="BI68" s="231"/>
      <c r="BJ68" s="231"/>
      <c r="BK68" s="231"/>
      <c r="BL68" s="231"/>
      <c r="BM68" s="231"/>
      <c r="BN68" s="231"/>
      <c r="BO68" s="231"/>
      <c r="BP68" s="231"/>
      <c r="BQ68" s="231"/>
      <c r="BR68" s="231"/>
      <c r="BS68" s="231"/>
      <c r="BT68" s="231"/>
      <c r="BU68" s="231"/>
      <c r="BV68" s="231"/>
      <c r="BW68" s="231"/>
      <c r="BX68" s="231"/>
      <c r="BY68" s="231"/>
      <c r="BZ68" s="231"/>
      <c r="CA68" s="231"/>
      <c r="CB68" s="231"/>
      <c r="CC68" s="231"/>
      <c r="CD68" s="231"/>
      <c r="CE68" s="231"/>
      <c r="CF68" s="231"/>
      <c r="CG68" s="231"/>
      <c r="CH68" s="231"/>
      <c r="CI68" s="231"/>
      <c r="CJ68" s="231"/>
    </row>
    <row r="69" spans="1:88" s="16" customFormat="1" ht="20.100000000000001" hidden="1" customHeight="1" outlineLevel="1">
      <c r="A69" s="231"/>
      <c r="B69" s="231"/>
      <c r="C69" s="231"/>
      <c r="D69" s="222"/>
      <c r="E69" s="223"/>
      <c r="F69" s="223"/>
      <c r="G69" s="224"/>
      <c r="H69" s="231"/>
      <c r="I69" s="222"/>
      <c r="J69" s="223"/>
      <c r="K69" s="224"/>
      <c r="L69" s="231"/>
      <c r="M69" s="222"/>
      <c r="N69" s="223"/>
      <c r="O69" s="224"/>
      <c r="P69" s="231"/>
      <c r="Q69" s="231"/>
      <c r="R69" s="231"/>
      <c r="S69" s="231"/>
      <c r="T69" s="231"/>
      <c r="U69" s="231"/>
      <c r="V69" s="231"/>
      <c r="W69" s="231"/>
      <c r="X69" s="231"/>
      <c r="Y69" s="231"/>
      <c r="Z69" s="231"/>
      <c r="AA69" s="231"/>
      <c r="AB69" s="231"/>
      <c r="AC69" s="231"/>
      <c r="AD69" s="231"/>
      <c r="AE69" s="231"/>
      <c r="AF69" s="231"/>
      <c r="AG69" s="231"/>
      <c r="AH69" s="231"/>
      <c r="AI69" s="231"/>
      <c r="AJ69" s="231"/>
      <c r="AK69" s="231"/>
      <c r="AL69" s="231"/>
      <c r="AM69" s="231"/>
      <c r="AN69" s="231"/>
      <c r="AO69" s="231"/>
      <c r="AP69" s="231"/>
      <c r="AQ69" s="231"/>
      <c r="AR69" s="231"/>
      <c r="AS69" s="231"/>
      <c r="AT69" s="231"/>
      <c r="AU69" s="231"/>
      <c r="AV69" s="231"/>
      <c r="AW69" s="231"/>
      <c r="AX69" s="231"/>
      <c r="AY69" s="231"/>
      <c r="AZ69" s="231"/>
      <c r="BA69" s="231"/>
      <c r="BB69" s="231"/>
      <c r="BC69" s="231"/>
      <c r="BD69" s="231"/>
      <c r="BE69" s="231"/>
      <c r="BF69" s="231"/>
      <c r="BG69" s="231"/>
      <c r="BH69" s="231"/>
      <c r="BI69" s="231"/>
      <c r="BJ69" s="231"/>
      <c r="BK69" s="231"/>
      <c r="BL69" s="231"/>
      <c r="BM69" s="231"/>
      <c r="BN69" s="231"/>
      <c r="BO69" s="231"/>
      <c r="BP69" s="231"/>
      <c r="BQ69" s="231"/>
      <c r="BR69" s="231"/>
      <c r="BS69" s="231"/>
      <c r="BT69" s="231"/>
      <c r="BU69" s="231"/>
      <c r="BV69" s="231"/>
      <c r="BW69" s="231"/>
      <c r="BX69" s="231"/>
      <c r="BY69" s="231"/>
      <c r="BZ69" s="231"/>
      <c r="CA69" s="231"/>
      <c r="CB69" s="231"/>
      <c r="CC69" s="231"/>
      <c r="CD69" s="231"/>
      <c r="CE69" s="231"/>
      <c r="CF69" s="231"/>
      <c r="CG69" s="231"/>
      <c r="CH69" s="231"/>
      <c r="CI69" s="231"/>
      <c r="CJ69" s="231"/>
    </row>
    <row r="70" spans="1:88" s="16" customFormat="1" ht="20.100000000000001" hidden="1" customHeight="1" outlineLevel="1">
      <c r="A70" s="231"/>
      <c r="B70" s="231"/>
      <c r="C70" s="231"/>
      <c r="D70" s="219"/>
      <c r="E70" s="220"/>
      <c r="F70" s="220"/>
      <c r="G70" s="221"/>
      <c r="H70" s="231"/>
      <c r="I70" s="219"/>
      <c r="J70" s="220"/>
      <c r="K70" s="221"/>
      <c r="L70" s="231"/>
      <c r="M70" s="219"/>
      <c r="N70" s="220"/>
      <c r="O70" s="221"/>
      <c r="P70" s="231"/>
      <c r="Q70" s="231"/>
      <c r="R70" s="231"/>
      <c r="S70" s="231"/>
      <c r="T70" s="231"/>
      <c r="U70" s="231"/>
      <c r="V70" s="231"/>
      <c r="W70" s="231"/>
      <c r="X70" s="231"/>
      <c r="Y70" s="231"/>
      <c r="Z70" s="231"/>
      <c r="AA70" s="231"/>
      <c r="AB70" s="231"/>
      <c r="AC70" s="231"/>
      <c r="AD70" s="231"/>
      <c r="AE70" s="231"/>
      <c r="AF70" s="231"/>
      <c r="AG70" s="231"/>
      <c r="AH70" s="231"/>
      <c r="AI70" s="231"/>
      <c r="AJ70" s="231"/>
      <c r="AK70" s="231"/>
      <c r="AL70" s="231"/>
      <c r="AM70" s="231"/>
      <c r="AN70" s="231"/>
      <c r="AO70" s="231"/>
      <c r="AP70" s="231"/>
      <c r="AQ70" s="231"/>
      <c r="AR70" s="231"/>
      <c r="AS70" s="231"/>
      <c r="AT70" s="231"/>
      <c r="AU70" s="231"/>
      <c r="AV70" s="231"/>
      <c r="AW70" s="231"/>
      <c r="AX70" s="231"/>
      <c r="AY70" s="231"/>
      <c r="AZ70" s="231"/>
      <c r="BA70" s="231"/>
      <c r="BB70" s="231"/>
      <c r="BC70" s="231"/>
      <c r="BD70" s="231"/>
      <c r="BE70" s="231"/>
      <c r="BF70" s="231"/>
      <c r="BG70" s="231"/>
      <c r="BH70" s="231"/>
      <c r="BI70" s="231"/>
      <c r="BJ70" s="231"/>
      <c r="BK70" s="231"/>
      <c r="BL70" s="231"/>
      <c r="BM70" s="231"/>
      <c r="BN70" s="231"/>
      <c r="BO70" s="231"/>
      <c r="BP70" s="231"/>
      <c r="BQ70" s="231"/>
      <c r="BR70" s="231"/>
      <c r="BS70" s="231"/>
      <c r="BT70" s="231"/>
      <c r="BU70" s="231"/>
      <c r="BV70" s="231"/>
      <c r="BW70" s="231"/>
      <c r="BX70" s="231"/>
      <c r="BY70" s="231"/>
      <c r="BZ70" s="231"/>
      <c r="CA70" s="231"/>
      <c r="CB70" s="231"/>
      <c r="CC70" s="231"/>
      <c r="CD70" s="231"/>
      <c r="CE70" s="231"/>
      <c r="CF70" s="231"/>
      <c r="CG70" s="231"/>
      <c r="CH70" s="231"/>
      <c r="CI70" s="231"/>
      <c r="CJ70" s="231"/>
    </row>
    <row r="71" spans="1:88" s="16" customFormat="1" ht="19.5" hidden="1" customHeight="1" outlineLevel="1">
      <c r="A71" s="231"/>
      <c r="B71" s="231"/>
      <c r="C71" s="231"/>
      <c r="D71" s="222"/>
      <c r="E71" s="223"/>
      <c r="F71" s="223"/>
      <c r="G71" s="224"/>
      <c r="H71" s="231"/>
      <c r="I71" s="222"/>
      <c r="J71" s="223"/>
      <c r="K71" s="224"/>
      <c r="L71" s="231"/>
      <c r="M71" s="222"/>
      <c r="N71" s="223"/>
      <c r="O71" s="224"/>
      <c r="P71" s="231"/>
      <c r="Q71" s="231"/>
      <c r="R71" s="231"/>
      <c r="S71" s="231"/>
      <c r="T71" s="231"/>
      <c r="U71" s="231"/>
      <c r="V71" s="231"/>
      <c r="W71" s="231"/>
      <c r="X71" s="231"/>
      <c r="Y71" s="231"/>
      <c r="Z71" s="231"/>
      <c r="AA71" s="231"/>
      <c r="AB71" s="231"/>
      <c r="AC71" s="231"/>
      <c r="AD71" s="231"/>
      <c r="AE71" s="231"/>
      <c r="AF71" s="231"/>
      <c r="AG71" s="231"/>
      <c r="AH71" s="231"/>
      <c r="AI71" s="231"/>
      <c r="AJ71" s="231"/>
      <c r="AK71" s="231"/>
      <c r="AL71" s="231"/>
      <c r="AM71" s="231"/>
      <c r="AN71" s="231"/>
      <c r="AO71" s="231"/>
      <c r="AP71" s="231"/>
      <c r="AQ71" s="231"/>
      <c r="AR71" s="231"/>
      <c r="AS71" s="231"/>
      <c r="AT71" s="231"/>
      <c r="AU71" s="231"/>
      <c r="AV71" s="231"/>
      <c r="AW71" s="231"/>
      <c r="AX71" s="231"/>
      <c r="AY71" s="231"/>
      <c r="AZ71" s="231"/>
      <c r="BA71" s="231"/>
      <c r="BB71" s="231"/>
      <c r="BC71" s="231"/>
      <c r="BD71" s="231"/>
      <c r="BE71" s="231"/>
      <c r="BF71" s="231"/>
      <c r="BG71" s="231"/>
      <c r="BH71" s="231"/>
      <c r="BI71" s="231"/>
      <c r="BJ71" s="231"/>
      <c r="BK71" s="231"/>
      <c r="BL71" s="231"/>
      <c r="BM71" s="231"/>
      <c r="BN71" s="231"/>
      <c r="BO71" s="231"/>
      <c r="BP71" s="231"/>
      <c r="BQ71" s="231"/>
      <c r="BR71" s="231"/>
      <c r="BS71" s="231"/>
      <c r="BT71" s="231"/>
      <c r="BU71" s="231"/>
      <c r="BV71" s="231"/>
      <c r="BW71" s="231"/>
      <c r="BX71" s="231"/>
      <c r="BY71" s="231"/>
      <c r="BZ71" s="231"/>
      <c r="CA71" s="231"/>
      <c r="CB71" s="231"/>
      <c r="CC71" s="231"/>
      <c r="CD71" s="231"/>
      <c r="CE71" s="231"/>
      <c r="CF71" s="231"/>
      <c r="CG71" s="231"/>
      <c r="CH71" s="231"/>
      <c r="CI71" s="231"/>
      <c r="CJ71" s="231"/>
    </row>
    <row r="72" spans="1:88" s="16" customFormat="1" ht="19.5" hidden="1" customHeight="1" outlineLevel="1">
      <c r="A72" s="231"/>
      <c r="B72" s="231"/>
      <c r="C72" s="231"/>
      <c r="D72" s="219"/>
      <c r="E72" s="220"/>
      <c r="F72" s="220"/>
      <c r="G72" s="221"/>
      <c r="H72" s="231"/>
      <c r="I72" s="219"/>
      <c r="J72" s="220"/>
      <c r="K72" s="221"/>
      <c r="L72" s="231"/>
      <c r="M72" s="219"/>
      <c r="N72" s="220"/>
      <c r="O72" s="221"/>
      <c r="P72" s="231"/>
      <c r="Q72" s="231"/>
      <c r="R72" s="231"/>
      <c r="S72" s="231"/>
      <c r="T72" s="231"/>
      <c r="U72" s="231"/>
      <c r="V72" s="231"/>
      <c r="W72" s="231"/>
      <c r="X72" s="231"/>
      <c r="Y72" s="231"/>
      <c r="Z72" s="231"/>
      <c r="AA72" s="231"/>
      <c r="AB72" s="231"/>
      <c r="AC72" s="231"/>
      <c r="AD72" s="231"/>
      <c r="AE72" s="231"/>
      <c r="AF72" s="231"/>
      <c r="AG72" s="231"/>
      <c r="AH72" s="231"/>
      <c r="AI72" s="231"/>
      <c r="AJ72" s="231"/>
      <c r="AK72" s="231"/>
      <c r="AL72" s="231"/>
      <c r="AM72" s="231"/>
      <c r="AN72" s="231"/>
      <c r="AO72" s="231"/>
      <c r="AP72" s="231"/>
      <c r="AQ72" s="231"/>
      <c r="AR72" s="231"/>
      <c r="AS72" s="231"/>
      <c r="AT72" s="231"/>
      <c r="AU72" s="231"/>
      <c r="AV72" s="231"/>
      <c r="AW72" s="231"/>
      <c r="AX72" s="231"/>
      <c r="AY72" s="231"/>
      <c r="AZ72" s="231"/>
      <c r="BA72" s="231"/>
      <c r="BB72" s="231"/>
      <c r="BC72" s="231"/>
      <c r="BD72" s="231"/>
      <c r="BE72" s="231"/>
      <c r="BF72" s="231"/>
      <c r="BG72" s="231"/>
      <c r="BH72" s="231"/>
      <c r="BI72" s="231"/>
      <c r="BJ72" s="231"/>
      <c r="BK72" s="231"/>
      <c r="BL72" s="231"/>
      <c r="BM72" s="231"/>
      <c r="BN72" s="231"/>
      <c r="BO72" s="231"/>
      <c r="BP72" s="231"/>
      <c r="BQ72" s="231"/>
      <c r="BR72" s="231"/>
      <c r="BS72" s="231"/>
      <c r="BT72" s="231"/>
      <c r="BU72" s="231"/>
      <c r="BV72" s="231"/>
      <c r="BW72" s="231"/>
      <c r="BX72" s="231"/>
      <c r="BY72" s="231"/>
      <c r="BZ72" s="231"/>
      <c r="CA72" s="231"/>
      <c r="CB72" s="231"/>
      <c r="CC72" s="231"/>
      <c r="CD72" s="231"/>
      <c r="CE72" s="231"/>
      <c r="CF72" s="231"/>
      <c r="CG72" s="231"/>
      <c r="CH72" s="231"/>
      <c r="CI72" s="231"/>
      <c r="CJ72" s="231"/>
    </row>
    <row r="73" spans="1:88" s="16" customFormat="1" ht="19.5" hidden="1" customHeight="1" outlineLevel="1">
      <c r="A73" s="231"/>
      <c r="B73" s="231"/>
      <c r="C73" s="231"/>
      <c r="D73" s="225"/>
      <c r="E73" s="226"/>
      <c r="F73" s="226"/>
      <c r="G73" s="233"/>
      <c r="H73" s="231"/>
      <c r="I73" s="225"/>
      <c r="J73" s="226"/>
      <c r="K73" s="233"/>
      <c r="L73" s="231"/>
      <c r="M73" s="225"/>
      <c r="N73" s="226"/>
      <c r="O73" s="233"/>
      <c r="P73" s="231"/>
      <c r="Q73" s="231"/>
      <c r="R73" s="231"/>
      <c r="S73" s="231"/>
      <c r="T73" s="231"/>
      <c r="U73" s="231"/>
      <c r="V73" s="231"/>
      <c r="W73" s="231"/>
      <c r="X73" s="231"/>
      <c r="Y73" s="231"/>
      <c r="Z73" s="231"/>
      <c r="AA73" s="231"/>
      <c r="AB73" s="231"/>
      <c r="AC73" s="231"/>
      <c r="AD73" s="231"/>
      <c r="AE73" s="231"/>
      <c r="AF73" s="231"/>
      <c r="AG73" s="231"/>
      <c r="AH73" s="231"/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1"/>
      <c r="AU73" s="231"/>
      <c r="AV73" s="231"/>
      <c r="AW73" s="231"/>
      <c r="AX73" s="231"/>
      <c r="AY73" s="231"/>
      <c r="AZ73" s="231"/>
      <c r="BA73" s="231"/>
      <c r="BB73" s="231"/>
      <c r="BC73" s="231"/>
      <c r="BD73" s="231"/>
      <c r="BE73" s="231"/>
      <c r="BF73" s="231"/>
      <c r="BG73" s="231"/>
      <c r="BH73" s="231"/>
      <c r="BI73" s="231"/>
      <c r="BJ73" s="231"/>
      <c r="BK73" s="231"/>
      <c r="BL73" s="231"/>
      <c r="BM73" s="231"/>
      <c r="BN73" s="231"/>
      <c r="BO73" s="231"/>
      <c r="BP73" s="231"/>
      <c r="BQ73" s="231"/>
      <c r="BR73" s="231"/>
      <c r="BS73" s="231"/>
      <c r="BT73" s="231"/>
      <c r="BU73" s="231"/>
      <c r="BV73" s="231"/>
      <c r="BW73" s="231"/>
      <c r="BX73" s="231"/>
      <c r="BY73" s="231"/>
      <c r="BZ73" s="231"/>
      <c r="CA73" s="231"/>
      <c r="CB73" s="231"/>
      <c r="CC73" s="231"/>
      <c r="CD73" s="231"/>
      <c r="CE73" s="231"/>
      <c r="CF73" s="231"/>
      <c r="CG73" s="231"/>
      <c r="CH73" s="231"/>
      <c r="CI73" s="231"/>
      <c r="CJ73" s="231"/>
    </row>
    <row r="74" spans="1:88" s="16" customFormat="1" ht="19.5" hidden="1" customHeight="1" outlineLevel="1" thickBot="1">
      <c r="A74" s="231"/>
      <c r="B74" s="231"/>
      <c r="C74" s="231"/>
      <c r="D74" s="234"/>
      <c r="E74" s="235"/>
      <c r="F74" s="235"/>
      <c r="G74" s="236"/>
      <c r="I74" s="234"/>
      <c r="J74" s="235"/>
      <c r="K74" s="236"/>
      <c r="L74" s="231"/>
      <c r="M74" s="234"/>
      <c r="N74" s="235"/>
      <c r="O74" s="236"/>
      <c r="P74" s="231"/>
      <c r="Q74" s="231"/>
      <c r="R74" s="231"/>
      <c r="S74" s="231"/>
      <c r="T74" s="231"/>
      <c r="U74" s="231"/>
      <c r="V74" s="231"/>
      <c r="W74" s="231"/>
      <c r="X74" s="231"/>
      <c r="Y74" s="231"/>
      <c r="Z74" s="231"/>
      <c r="AA74" s="231"/>
      <c r="AB74" s="231"/>
      <c r="AC74" s="231"/>
      <c r="AD74" s="231"/>
      <c r="AE74" s="231"/>
      <c r="AF74" s="231"/>
      <c r="AG74" s="231"/>
      <c r="AH74" s="231"/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1"/>
      <c r="AU74" s="231"/>
      <c r="AV74" s="231"/>
      <c r="AW74" s="231"/>
      <c r="AX74" s="231"/>
      <c r="AY74" s="231"/>
      <c r="AZ74" s="231"/>
      <c r="BA74" s="231"/>
      <c r="BB74" s="231"/>
      <c r="BC74" s="231"/>
      <c r="BD74" s="231"/>
      <c r="BE74" s="231"/>
      <c r="BF74" s="231"/>
      <c r="BG74" s="231"/>
      <c r="BH74" s="231"/>
      <c r="BI74" s="231"/>
      <c r="BJ74" s="231"/>
      <c r="BK74" s="231"/>
      <c r="BL74" s="231"/>
      <c r="BM74" s="231"/>
      <c r="BN74" s="231"/>
      <c r="BO74" s="231"/>
      <c r="BP74" s="231"/>
      <c r="BQ74" s="231"/>
      <c r="BR74" s="231"/>
      <c r="BS74" s="231"/>
      <c r="BT74" s="231"/>
      <c r="BU74" s="231"/>
      <c r="BV74" s="231"/>
      <c r="BW74" s="231"/>
      <c r="BX74" s="231"/>
      <c r="BY74" s="231"/>
      <c r="BZ74" s="231"/>
      <c r="CA74" s="231"/>
      <c r="CB74" s="231"/>
      <c r="CC74" s="231"/>
      <c r="CD74" s="231"/>
      <c r="CE74" s="231"/>
      <c r="CF74" s="231"/>
      <c r="CG74" s="231"/>
      <c r="CH74" s="231"/>
      <c r="CI74" s="231"/>
      <c r="CJ74" s="231"/>
    </row>
    <row r="75" spans="1:88" s="230" customFormat="1" ht="15.95" customHeight="1" collapsed="1">
      <c r="D75" s="321"/>
      <c r="L75" s="322"/>
    </row>
    <row r="76" spans="1:88" s="230" customFormat="1" ht="15.95" customHeight="1">
      <c r="D76" s="321"/>
    </row>
    <row r="77" spans="1:88" s="230" customFormat="1" ht="15.95" customHeight="1" thickBot="1">
      <c r="D77" s="323" t="s">
        <v>234</v>
      </c>
    </row>
    <row r="78" spans="1:88" s="16" customFormat="1" ht="30" customHeight="1">
      <c r="A78" s="231"/>
      <c r="B78" s="231"/>
      <c r="C78" s="231"/>
      <c r="D78" s="292" t="s">
        <v>219</v>
      </c>
      <c r="E78" s="293" t="s">
        <v>786</v>
      </c>
      <c r="F78" s="293" t="s">
        <v>787</v>
      </c>
      <c r="G78" s="293"/>
      <c r="H78" s="293"/>
      <c r="I78" s="293"/>
      <c r="J78" s="293"/>
      <c r="K78" s="293"/>
      <c r="L78" s="293"/>
      <c r="M78" s="293"/>
      <c r="N78" s="293"/>
      <c r="O78" s="293"/>
      <c r="P78" s="293"/>
      <c r="Q78" s="293"/>
      <c r="R78" s="293"/>
      <c r="S78" s="293"/>
      <c r="T78" s="293"/>
      <c r="U78" s="293"/>
      <c r="V78" s="293"/>
      <c r="W78" s="293"/>
      <c r="X78" s="293"/>
      <c r="Y78" s="293"/>
      <c r="Z78" s="293"/>
      <c r="AA78" s="293"/>
      <c r="AB78" s="293"/>
      <c r="AC78" s="293"/>
      <c r="AD78" s="293"/>
      <c r="AE78" s="293"/>
      <c r="AF78" s="293"/>
      <c r="AG78" s="294"/>
      <c r="AH78" s="231"/>
      <c r="AI78" s="231"/>
      <c r="AJ78" s="231"/>
      <c r="AK78" s="231"/>
      <c r="AL78" s="231"/>
      <c r="AM78" s="231"/>
      <c r="AN78" s="231"/>
      <c r="AO78" s="231"/>
      <c r="AP78" s="231"/>
      <c r="AQ78" s="231"/>
      <c r="AR78" s="231"/>
      <c r="AS78" s="231"/>
      <c r="AT78" s="231"/>
      <c r="AU78" s="231"/>
      <c r="AV78" s="231"/>
      <c r="AW78" s="231"/>
      <c r="AX78" s="231"/>
      <c r="AY78" s="231"/>
      <c r="AZ78" s="231"/>
      <c r="BA78" s="231"/>
      <c r="BB78" s="231"/>
      <c r="BC78" s="231"/>
      <c r="BD78" s="231"/>
      <c r="BE78" s="231"/>
      <c r="BF78" s="231"/>
      <c r="BG78" s="231"/>
      <c r="BH78" s="231"/>
      <c r="BI78" s="231"/>
      <c r="BJ78" s="231"/>
      <c r="BK78" s="231"/>
      <c r="BL78" s="231"/>
      <c r="BM78" s="231"/>
      <c r="BN78" s="231"/>
      <c r="BO78" s="231"/>
      <c r="BP78" s="231"/>
      <c r="BQ78" s="231"/>
      <c r="BR78" s="231"/>
      <c r="BS78" s="231"/>
      <c r="BT78" s="231"/>
      <c r="BU78" s="231"/>
      <c r="BV78" s="231"/>
      <c r="BW78" s="231"/>
      <c r="BX78" s="231"/>
      <c r="BY78" s="231"/>
      <c r="BZ78" s="231"/>
      <c r="CA78" s="231"/>
      <c r="CB78" s="231"/>
      <c r="CC78" s="231"/>
      <c r="CD78" s="231"/>
      <c r="CE78" s="231"/>
      <c r="CF78" s="231"/>
      <c r="CG78" s="231"/>
      <c r="CH78" s="231"/>
      <c r="CI78" s="231"/>
      <c r="CJ78" s="231"/>
    </row>
    <row r="79" spans="1:88" s="103" customFormat="1" ht="30" customHeight="1" thickBot="1">
      <c r="A79" s="324"/>
      <c r="B79" s="324"/>
      <c r="C79" s="324"/>
      <c r="D79" s="104" t="s">
        <v>858</v>
      </c>
      <c r="E79" s="105" t="s">
        <v>858</v>
      </c>
      <c r="F79" s="105" t="s">
        <v>858</v>
      </c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97"/>
      <c r="U79" s="197"/>
      <c r="V79" s="197"/>
      <c r="W79" s="197"/>
      <c r="X79" s="197"/>
      <c r="Y79" s="197"/>
      <c r="Z79" s="197"/>
      <c r="AA79" s="197"/>
      <c r="AB79" s="197"/>
      <c r="AC79" s="197"/>
      <c r="AD79" s="197"/>
      <c r="AE79" s="197"/>
      <c r="AF79" s="197"/>
      <c r="AG79" s="245"/>
      <c r="AH79" s="324"/>
      <c r="AI79" s="324"/>
      <c r="AJ79" s="324"/>
      <c r="AK79" s="324"/>
      <c r="AL79" s="324"/>
      <c r="AM79" s="324"/>
      <c r="AN79" s="324"/>
      <c r="AO79" s="324"/>
      <c r="AP79" s="324"/>
      <c r="AQ79" s="324"/>
      <c r="AR79" s="324"/>
      <c r="AS79" s="324"/>
      <c r="AT79" s="324"/>
      <c r="AU79" s="324"/>
      <c r="AV79" s="324"/>
      <c r="AW79" s="324"/>
      <c r="AX79" s="324"/>
      <c r="AY79" s="324"/>
      <c r="AZ79" s="324"/>
      <c r="BA79" s="324"/>
      <c r="BB79" s="324"/>
      <c r="BC79" s="324"/>
      <c r="BD79" s="324"/>
      <c r="BE79" s="324"/>
      <c r="BF79" s="324"/>
      <c r="BG79" s="324"/>
      <c r="BH79" s="324"/>
      <c r="BI79" s="324"/>
      <c r="BJ79" s="324"/>
      <c r="BK79" s="324"/>
      <c r="BL79" s="324"/>
      <c r="BM79" s="324"/>
      <c r="BN79" s="324"/>
      <c r="BO79" s="324"/>
      <c r="BP79" s="324"/>
      <c r="BQ79" s="324"/>
      <c r="BR79" s="324"/>
      <c r="BS79" s="324"/>
      <c r="BT79" s="324"/>
      <c r="BU79" s="324"/>
      <c r="BV79" s="324"/>
      <c r="BW79" s="324"/>
      <c r="BX79" s="324"/>
      <c r="BY79" s="324"/>
      <c r="BZ79" s="324"/>
      <c r="CA79" s="324"/>
      <c r="CB79" s="324"/>
      <c r="CC79" s="324"/>
      <c r="CD79" s="324"/>
      <c r="CE79" s="324"/>
      <c r="CF79" s="324"/>
      <c r="CG79" s="324"/>
      <c r="CH79" s="324"/>
      <c r="CI79" s="324"/>
      <c r="CJ79" s="324"/>
    </row>
    <row r="80" spans="1:88" s="230" customFormat="1" ht="15.95" customHeight="1">
      <c r="D80" s="321"/>
    </row>
    <row r="81" spans="1:88" s="230" customFormat="1" ht="15.95" customHeight="1">
      <c r="D81" s="321"/>
    </row>
    <row r="82" spans="1:88" s="230" customFormat="1" ht="15.95" customHeight="1" thickBot="1">
      <c r="D82" s="323" t="s">
        <v>244</v>
      </c>
    </row>
    <row r="83" spans="1:88" s="16" customFormat="1" ht="30" customHeight="1">
      <c r="A83" s="231"/>
      <c r="B83" s="231"/>
      <c r="C83" s="231"/>
      <c r="D83" s="292" t="s">
        <v>219</v>
      </c>
      <c r="E83" s="293" t="s">
        <v>786</v>
      </c>
      <c r="F83" s="293" t="s">
        <v>787</v>
      </c>
      <c r="G83" s="293"/>
      <c r="H83" s="293"/>
      <c r="I83" s="293"/>
      <c r="J83" s="293"/>
      <c r="K83" s="293"/>
      <c r="L83" s="293"/>
      <c r="M83" s="293"/>
      <c r="N83" s="293"/>
      <c r="O83" s="293"/>
      <c r="P83" s="293"/>
      <c r="Q83" s="293"/>
      <c r="R83" s="293"/>
      <c r="S83" s="293"/>
      <c r="T83" s="293"/>
      <c r="U83" s="293"/>
      <c r="V83" s="293"/>
      <c r="W83" s="293"/>
      <c r="X83" s="293"/>
      <c r="Y83" s="293"/>
      <c r="Z83" s="293"/>
      <c r="AA83" s="293"/>
      <c r="AB83" s="293"/>
      <c r="AC83" s="293"/>
      <c r="AD83" s="293"/>
      <c r="AE83" s="293"/>
      <c r="AF83" s="293"/>
      <c r="AG83" s="294"/>
      <c r="AH83" s="231"/>
      <c r="AI83" s="231"/>
      <c r="AJ83" s="231"/>
      <c r="AK83" s="231"/>
      <c r="AL83" s="231"/>
      <c r="AM83" s="231"/>
      <c r="AN83" s="231"/>
      <c r="AO83" s="231"/>
      <c r="AP83" s="231"/>
      <c r="AQ83" s="231"/>
      <c r="AR83" s="231"/>
      <c r="AS83" s="231"/>
      <c r="AT83" s="231"/>
      <c r="AU83" s="231"/>
      <c r="AV83" s="231"/>
      <c r="AW83" s="231"/>
      <c r="AX83" s="231"/>
      <c r="AY83" s="231"/>
      <c r="AZ83" s="231"/>
      <c r="BA83" s="231"/>
      <c r="BB83" s="231"/>
      <c r="BC83" s="231"/>
      <c r="BD83" s="231"/>
      <c r="BE83" s="231"/>
      <c r="BF83" s="231"/>
      <c r="BG83" s="231"/>
      <c r="BH83" s="231"/>
      <c r="BI83" s="231"/>
      <c r="BJ83" s="231"/>
      <c r="BK83" s="231"/>
      <c r="BL83" s="231"/>
      <c r="BM83" s="231"/>
      <c r="BN83" s="231"/>
      <c r="BO83" s="231"/>
      <c r="BP83" s="231"/>
      <c r="BQ83" s="231"/>
      <c r="BR83" s="231"/>
      <c r="BS83" s="231"/>
      <c r="BT83" s="231"/>
      <c r="BU83" s="231"/>
      <c r="BV83" s="231"/>
      <c r="BW83" s="231"/>
      <c r="BX83" s="231"/>
      <c r="BY83" s="231"/>
      <c r="BZ83" s="231"/>
      <c r="CA83" s="231"/>
      <c r="CB83" s="231"/>
      <c r="CC83" s="231"/>
      <c r="CD83" s="231"/>
      <c r="CE83" s="231"/>
      <c r="CF83" s="231"/>
      <c r="CG83" s="231"/>
      <c r="CH83" s="231"/>
      <c r="CI83" s="231"/>
      <c r="CJ83" s="231"/>
    </row>
    <row r="84" spans="1:88" s="103" customFormat="1" ht="30" customHeight="1" thickBot="1">
      <c r="A84" s="324"/>
      <c r="B84" s="324"/>
      <c r="C84" s="324"/>
      <c r="D84" s="104" t="s">
        <v>859</v>
      </c>
      <c r="E84" s="105" t="s">
        <v>859</v>
      </c>
      <c r="F84" s="105" t="s">
        <v>859</v>
      </c>
      <c r="G84" s="102"/>
      <c r="H84" s="102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97"/>
      <c r="U84" s="197"/>
      <c r="V84" s="197"/>
      <c r="W84" s="197"/>
      <c r="X84" s="197"/>
      <c r="Y84" s="197"/>
      <c r="Z84" s="197"/>
      <c r="AA84" s="197"/>
      <c r="AB84" s="197"/>
      <c r="AC84" s="197"/>
      <c r="AD84" s="197"/>
      <c r="AE84" s="197"/>
      <c r="AF84" s="197"/>
      <c r="AG84" s="245"/>
      <c r="AH84" s="324"/>
      <c r="AI84" s="324"/>
      <c r="AJ84" s="324"/>
      <c r="AK84" s="324"/>
      <c r="AL84" s="324"/>
      <c r="AM84" s="324"/>
      <c r="AN84" s="324"/>
      <c r="AO84" s="324"/>
      <c r="AP84" s="324"/>
      <c r="AQ84" s="324"/>
      <c r="AR84" s="324"/>
      <c r="AS84" s="324"/>
      <c r="AT84" s="324"/>
      <c r="AU84" s="324"/>
      <c r="AV84" s="324"/>
      <c r="AW84" s="324"/>
      <c r="AX84" s="324"/>
      <c r="AY84" s="324"/>
      <c r="AZ84" s="324"/>
      <c r="BA84" s="324"/>
      <c r="BB84" s="324"/>
      <c r="BC84" s="324"/>
      <c r="BD84" s="324"/>
      <c r="BE84" s="324"/>
      <c r="BF84" s="324"/>
      <c r="BG84" s="324"/>
      <c r="BH84" s="324"/>
      <c r="BI84" s="324"/>
      <c r="BJ84" s="324"/>
      <c r="BK84" s="324"/>
      <c r="BL84" s="324"/>
      <c r="BM84" s="324"/>
      <c r="BN84" s="324"/>
      <c r="BO84" s="324"/>
      <c r="BP84" s="324"/>
      <c r="BQ84" s="324"/>
      <c r="BR84" s="324"/>
      <c r="BS84" s="324"/>
      <c r="BT84" s="324"/>
      <c r="BU84" s="324"/>
      <c r="BV84" s="324"/>
      <c r="BW84" s="324"/>
      <c r="BX84" s="324"/>
      <c r="BY84" s="324"/>
      <c r="BZ84" s="324"/>
      <c r="CA84" s="324"/>
      <c r="CB84" s="324"/>
      <c r="CC84" s="324"/>
      <c r="CD84" s="324"/>
      <c r="CE84" s="324"/>
      <c r="CF84" s="324"/>
      <c r="CG84" s="324"/>
      <c r="CH84" s="324"/>
      <c r="CI84" s="324"/>
      <c r="CJ84" s="324"/>
    </row>
    <row r="85" spans="1:88" s="230" customFormat="1" ht="15.95" customHeight="1">
      <c r="D85" s="321"/>
    </row>
    <row r="86" spans="1:88" s="230" customFormat="1" ht="15.95" customHeight="1">
      <c r="D86" s="321"/>
    </row>
    <row r="87" spans="1:88" s="230" customFormat="1" ht="15.95" customHeight="1" thickBot="1">
      <c r="D87" s="323" t="s">
        <v>621</v>
      </c>
    </row>
    <row r="88" spans="1:88" ht="30" customHeight="1">
      <c r="D88" s="292" t="s">
        <v>219</v>
      </c>
      <c r="E88" s="293" t="s">
        <v>786</v>
      </c>
      <c r="F88" s="293" t="s">
        <v>787</v>
      </c>
      <c r="G88" s="293"/>
      <c r="H88" s="293"/>
      <c r="I88" s="293"/>
      <c r="J88" s="293"/>
      <c r="K88" s="293"/>
      <c r="L88" s="293"/>
      <c r="M88" s="293"/>
      <c r="N88" s="293"/>
      <c r="O88" s="293"/>
      <c r="P88" s="293"/>
      <c r="Q88" s="293"/>
      <c r="R88" s="293"/>
      <c r="S88" s="293"/>
      <c r="T88" s="293"/>
      <c r="U88" s="293"/>
      <c r="V88" s="293"/>
      <c r="W88" s="293"/>
      <c r="X88" s="293"/>
      <c r="Y88" s="293"/>
      <c r="Z88" s="293"/>
      <c r="AA88" s="293"/>
      <c r="AB88" s="293"/>
      <c r="AC88" s="293"/>
      <c r="AD88" s="293"/>
      <c r="AE88" s="293"/>
      <c r="AF88" s="293"/>
      <c r="AG88" s="294"/>
    </row>
    <row r="89" spans="1:88" ht="30" customHeight="1" thickBot="1">
      <c r="D89" s="104" t="s">
        <v>866</v>
      </c>
      <c r="E89" s="105" t="s">
        <v>866</v>
      </c>
      <c r="F89" s="105" t="s">
        <v>866</v>
      </c>
      <c r="G89" s="102"/>
      <c r="H89" s="102"/>
      <c r="I89" s="102"/>
      <c r="J89" s="102"/>
      <c r="K89" s="102"/>
      <c r="L89" s="102"/>
      <c r="M89" s="102"/>
      <c r="N89" s="102"/>
      <c r="O89" s="102"/>
      <c r="P89" s="102"/>
      <c r="Q89" s="208"/>
      <c r="R89" s="208"/>
      <c r="S89" s="208"/>
      <c r="T89" s="325"/>
      <c r="U89" s="325"/>
      <c r="V89" s="325"/>
      <c r="W89" s="325"/>
      <c r="X89" s="325"/>
      <c r="Y89" s="325"/>
      <c r="Z89" s="325"/>
      <c r="AA89" s="325"/>
      <c r="AB89" s="325"/>
      <c r="AC89" s="325"/>
      <c r="AD89" s="325"/>
      <c r="AE89" s="325"/>
      <c r="AF89" s="325"/>
      <c r="AG89" s="326"/>
    </row>
    <row r="90" spans="1:88" s="230" customFormat="1" ht="15.95" customHeight="1"/>
    <row r="91" spans="1:88" s="230" customFormat="1" ht="15.95" customHeight="1"/>
    <row r="92" spans="1:88" s="230" customFormat="1" ht="15.95" customHeight="1" thickBot="1">
      <c r="D92" s="323" t="s">
        <v>213</v>
      </c>
      <c r="E92" s="327">
        <v>11.43</v>
      </c>
      <c r="F92" s="327">
        <v>10.94</v>
      </c>
      <c r="G92" s="328" t="s">
        <v>795</v>
      </c>
    </row>
    <row r="93" spans="1:88" ht="30" customHeight="1">
      <c r="D93" s="292" t="s">
        <v>219</v>
      </c>
      <c r="E93" s="293" t="s">
        <v>786</v>
      </c>
      <c r="F93" s="293" t="s">
        <v>787</v>
      </c>
      <c r="G93" s="293"/>
      <c r="H93" s="293"/>
      <c r="I93" s="293"/>
      <c r="J93" s="293"/>
      <c r="K93" s="293"/>
      <c r="L93" s="293"/>
      <c r="M93" s="293"/>
      <c r="N93" s="293"/>
      <c r="O93" s="293"/>
      <c r="P93" s="293"/>
      <c r="Q93" s="293"/>
      <c r="R93" s="293"/>
      <c r="S93" s="293"/>
      <c r="T93" s="293"/>
      <c r="U93" s="293"/>
      <c r="V93" s="293"/>
      <c r="W93" s="293"/>
      <c r="X93" s="293"/>
      <c r="Y93" s="293"/>
      <c r="Z93" s="293"/>
      <c r="AA93" s="293"/>
      <c r="AB93" s="293"/>
      <c r="AC93" s="293"/>
      <c r="AD93" s="293"/>
      <c r="AE93" s="293"/>
      <c r="AF93" s="293"/>
      <c r="AG93" s="294"/>
    </row>
    <row r="94" spans="1:88" ht="30" customHeight="1" thickBot="1">
      <c r="D94" s="104" t="s">
        <v>860</v>
      </c>
      <c r="E94" s="105" t="s">
        <v>861</v>
      </c>
      <c r="F94" s="105" t="s">
        <v>862</v>
      </c>
      <c r="G94" s="102"/>
      <c r="H94" s="102"/>
      <c r="I94" s="102"/>
      <c r="J94" s="102"/>
      <c r="K94" s="102"/>
      <c r="L94" s="102"/>
      <c r="M94" s="102"/>
      <c r="N94" s="102"/>
      <c r="O94" s="102"/>
      <c r="P94" s="102"/>
      <c r="Q94" s="102"/>
      <c r="R94" s="102"/>
      <c r="S94" s="102"/>
      <c r="T94" s="197"/>
      <c r="U94" s="197"/>
      <c r="V94" s="197"/>
      <c r="W94" s="197"/>
      <c r="X94" s="197"/>
      <c r="Y94" s="197"/>
      <c r="Z94" s="197"/>
      <c r="AA94" s="197"/>
      <c r="AB94" s="197"/>
      <c r="AC94" s="197"/>
      <c r="AD94" s="197"/>
      <c r="AE94" s="197"/>
      <c r="AF94" s="197"/>
      <c r="AG94" s="245"/>
    </row>
    <row r="95" spans="1:88" s="230" customFormat="1" ht="15.95" customHeight="1"/>
    <row r="96" spans="1:88" s="230" customFormat="1" ht="15.95" customHeight="1"/>
    <row r="97" spans="1:88" s="230" customFormat="1" ht="15.95" customHeight="1" thickBot="1">
      <c r="D97" s="323" t="s">
        <v>214</v>
      </c>
      <c r="E97" s="327">
        <v>38.270000000000003</v>
      </c>
      <c r="F97" s="327">
        <v>35.32</v>
      </c>
      <c r="G97" s="328" t="s">
        <v>580</v>
      </c>
    </row>
    <row r="98" spans="1:88" ht="30" customHeight="1">
      <c r="D98" s="292" t="s">
        <v>219</v>
      </c>
      <c r="E98" s="293" t="s">
        <v>786</v>
      </c>
      <c r="F98" s="293" t="s">
        <v>787</v>
      </c>
      <c r="G98" s="293"/>
      <c r="H98" s="293"/>
      <c r="I98" s="293"/>
      <c r="J98" s="293"/>
      <c r="K98" s="293"/>
      <c r="L98" s="293"/>
      <c r="M98" s="293"/>
      <c r="N98" s="293"/>
      <c r="O98" s="293"/>
      <c r="P98" s="293"/>
      <c r="Q98" s="293"/>
      <c r="R98" s="293"/>
      <c r="S98" s="293"/>
      <c r="T98" s="293"/>
      <c r="U98" s="293"/>
      <c r="V98" s="293"/>
      <c r="W98" s="293"/>
      <c r="X98" s="293"/>
      <c r="Y98" s="293"/>
      <c r="Z98" s="293"/>
      <c r="AA98" s="293"/>
      <c r="AB98" s="293"/>
      <c r="AC98" s="293"/>
      <c r="AD98" s="293"/>
      <c r="AE98" s="293"/>
      <c r="AF98" s="293"/>
      <c r="AG98" s="294"/>
    </row>
    <row r="99" spans="1:88" ht="30" customHeight="1" thickBot="1">
      <c r="D99" s="104" t="s">
        <v>863</v>
      </c>
      <c r="E99" s="105" t="s">
        <v>864</v>
      </c>
      <c r="F99" s="105" t="s">
        <v>865</v>
      </c>
      <c r="G99" s="102"/>
      <c r="H99" s="102"/>
      <c r="I99" s="102"/>
      <c r="J99" s="102"/>
      <c r="K99" s="102"/>
      <c r="L99" s="102"/>
      <c r="M99" s="102"/>
      <c r="N99" s="102"/>
      <c r="O99" s="102"/>
      <c r="P99" s="102"/>
      <c r="Q99" s="208"/>
      <c r="R99" s="208"/>
      <c r="S99" s="208"/>
      <c r="T99" s="325"/>
      <c r="U99" s="325"/>
      <c r="V99" s="329"/>
      <c r="W99" s="325"/>
      <c r="X99" s="325"/>
      <c r="Y99" s="325"/>
      <c r="Z99" s="325"/>
      <c r="AA99" s="325"/>
      <c r="AB99" s="325"/>
      <c r="AC99" s="325"/>
      <c r="AD99" s="325"/>
      <c r="AE99" s="325"/>
      <c r="AF99" s="325"/>
      <c r="AG99" s="326"/>
    </row>
    <row r="100" spans="1:88" s="230" customFormat="1" ht="15.95" customHeight="1"/>
    <row r="101" spans="1:88" s="230" customFormat="1" ht="15.95" customHeight="1"/>
    <row r="102" spans="1:88" s="230" customFormat="1" ht="15.95" customHeight="1" thickBot="1">
      <c r="D102" s="323" t="s">
        <v>622</v>
      </c>
    </row>
    <row r="103" spans="1:88" ht="30" customHeight="1">
      <c r="D103" s="292" t="s">
        <v>219</v>
      </c>
      <c r="E103" s="293" t="s">
        <v>786</v>
      </c>
      <c r="F103" s="293" t="s">
        <v>787</v>
      </c>
      <c r="G103" s="293"/>
      <c r="H103" s="293"/>
      <c r="I103" s="293"/>
      <c r="J103" s="293"/>
      <c r="K103" s="293"/>
      <c r="L103" s="293"/>
      <c r="M103" s="293"/>
      <c r="N103" s="293"/>
      <c r="O103" s="293"/>
      <c r="P103" s="293"/>
      <c r="Q103" s="293"/>
      <c r="R103" s="293"/>
      <c r="S103" s="293"/>
      <c r="T103" s="293"/>
      <c r="U103" s="293"/>
      <c r="V103" s="293"/>
      <c r="W103" s="293"/>
      <c r="X103" s="293"/>
      <c r="Y103" s="293"/>
      <c r="Z103" s="293"/>
      <c r="AA103" s="293"/>
      <c r="AB103" s="293"/>
      <c r="AC103" s="293"/>
      <c r="AD103" s="293"/>
      <c r="AE103" s="293"/>
      <c r="AF103" s="293"/>
      <c r="AG103" s="294"/>
    </row>
    <row r="104" spans="1:88" ht="30" customHeight="1" thickBot="1">
      <c r="D104" s="104" t="s">
        <v>867</v>
      </c>
      <c r="E104" s="105" t="s">
        <v>867</v>
      </c>
      <c r="F104" s="105" t="s">
        <v>867</v>
      </c>
      <c r="G104" s="102"/>
      <c r="H104" s="102"/>
      <c r="I104" s="102"/>
      <c r="J104" s="102"/>
      <c r="K104" s="102"/>
      <c r="L104" s="102"/>
      <c r="M104" s="102"/>
      <c r="N104" s="102"/>
      <c r="O104" s="102"/>
      <c r="P104" s="102"/>
      <c r="Q104" s="208"/>
      <c r="R104" s="208"/>
      <c r="S104" s="208"/>
      <c r="T104" s="325"/>
      <c r="U104" s="325"/>
      <c r="V104" s="325"/>
      <c r="W104" s="325"/>
      <c r="X104" s="325"/>
      <c r="Y104" s="325"/>
      <c r="Z104" s="325"/>
      <c r="AA104" s="325"/>
      <c r="AB104" s="325"/>
      <c r="AC104" s="325"/>
      <c r="AD104" s="325"/>
      <c r="AE104" s="325"/>
      <c r="AF104" s="325"/>
      <c r="AG104" s="326"/>
    </row>
    <row r="105" spans="1:88" s="230" customFormat="1" ht="15.95" customHeight="1"/>
    <row r="106" spans="1:88" s="230" customFormat="1" ht="15.95" customHeight="1"/>
    <row r="107" spans="1:88" s="230" customFormat="1" ht="15.95" customHeight="1" thickBot="1">
      <c r="D107" s="323" t="s">
        <v>246</v>
      </c>
    </row>
    <row r="108" spans="1:88" s="16" customFormat="1" ht="30" customHeight="1">
      <c r="A108" s="231"/>
      <c r="B108" s="231"/>
      <c r="C108" s="231"/>
      <c r="D108" s="292" t="s">
        <v>219</v>
      </c>
      <c r="E108" s="293" t="s">
        <v>786</v>
      </c>
      <c r="F108" s="293" t="s">
        <v>787</v>
      </c>
      <c r="G108" s="293"/>
      <c r="H108" s="293"/>
      <c r="I108" s="293"/>
      <c r="J108" s="293"/>
      <c r="K108" s="293"/>
      <c r="L108" s="293"/>
      <c r="M108" s="293"/>
      <c r="N108" s="293"/>
      <c r="O108" s="293"/>
      <c r="P108" s="293"/>
      <c r="Q108" s="293"/>
      <c r="R108" s="293"/>
      <c r="S108" s="293"/>
      <c r="T108" s="293"/>
      <c r="U108" s="293"/>
      <c r="V108" s="293"/>
      <c r="W108" s="293"/>
      <c r="X108" s="293"/>
      <c r="Y108" s="293"/>
      <c r="Z108" s="293"/>
      <c r="AA108" s="293"/>
      <c r="AB108" s="293"/>
      <c r="AC108" s="293"/>
      <c r="AD108" s="293"/>
      <c r="AE108" s="293"/>
      <c r="AF108" s="293"/>
      <c r="AG108" s="294"/>
      <c r="AH108" s="231"/>
      <c r="AI108" s="231"/>
      <c r="AJ108" s="231"/>
      <c r="AK108" s="231"/>
      <c r="AL108" s="231"/>
      <c r="AM108" s="231"/>
      <c r="AN108" s="231"/>
      <c r="AO108" s="231"/>
      <c r="AP108" s="231"/>
      <c r="AQ108" s="231"/>
      <c r="AR108" s="231"/>
      <c r="AS108" s="231"/>
      <c r="AT108" s="231"/>
      <c r="AU108" s="231"/>
      <c r="AV108" s="231"/>
      <c r="AW108" s="231"/>
      <c r="AX108" s="231"/>
      <c r="AY108" s="231"/>
      <c r="AZ108" s="231"/>
      <c r="BA108" s="231"/>
      <c r="BB108" s="231"/>
      <c r="BC108" s="231"/>
      <c r="BD108" s="231"/>
      <c r="BE108" s="231"/>
      <c r="BF108" s="231"/>
      <c r="BG108" s="231"/>
      <c r="BH108" s="231"/>
      <c r="BI108" s="231"/>
      <c r="BJ108" s="231"/>
      <c r="BK108" s="231"/>
      <c r="BL108" s="231"/>
      <c r="BM108" s="231"/>
      <c r="BN108" s="231"/>
      <c r="BO108" s="231"/>
      <c r="BP108" s="231"/>
      <c r="BQ108" s="231"/>
      <c r="BR108" s="231"/>
      <c r="BS108" s="231"/>
      <c r="BT108" s="231"/>
      <c r="BU108" s="231"/>
      <c r="BV108" s="231"/>
      <c r="BW108" s="231"/>
      <c r="BX108" s="231"/>
      <c r="BY108" s="231"/>
      <c r="BZ108" s="231"/>
      <c r="CA108" s="231"/>
      <c r="CB108" s="231"/>
      <c r="CC108" s="231"/>
      <c r="CD108" s="231"/>
      <c r="CE108" s="231"/>
      <c r="CF108" s="231"/>
      <c r="CG108" s="231"/>
      <c r="CH108" s="231"/>
      <c r="CI108" s="231"/>
      <c r="CJ108" s="231"/>
    </row>
    <row r="109" spans="1:88" s="103" customFormat="1" ht="30" customHeight="1" thickBot="1">
      <c r="A109" s="324"/>
      <c r="B109" s="324"/>
      <c r="C109" s="324"/>
      <c r="D109" s="104" t="s">
        <v>791</v>
      </c>
      <c r="E109" s="105" t="s">
        <v>791</v>
      </c>
      <c r="F109" s="105" t="s">
        <v>791</v>
      </c>
      <c r="G109" s="102"/>
      <c r="H109" s="102"/>
      <c r="I109" s="102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97"/>
      <c r="U109" s="197"/>
      <c r="V109" s="197"/>
      <c r="W109" s="197"/>
      <c r="X109" s="197"/>
      <c r="Y109" s="197"/>
      <c r="Z109" s="197"/>
      <c r="AA109" s="197"/>
      <c r="AB109" s="197"/>
      <c r="AC109" s="197"/>
      <c r="AD109" s="197"/>
      <c r="AE109" s="197"/>
      <c r="AF109" s="197"/>
      <c r="AG109" s="245"/>
      <c r="AH109" s="324"/>
      <c r="AI109" s="324"/>
      <c r="AJ109" s="324"/>
      <c r="AK109" s="324"/>
      <c r="AL109" s="324"/>
      <c r="AM109" s="324"/>
      <c r="AN109" s="324"/>
      <c r="AO109" s="324"/>
      <c r="AP109" s="324"/>
      <c r="AQ109" s="324"/>
      <c r="AR109" s="324"/>
      <c r="AS109" s="324"/>
      <c r="AT109" s="324"/>
      <c r="AU109" s="324"/>
      <c r="AV109" s="324"/>
      <c r="AW109" s="324"/>
      <c r="AX109" s="324"/>
      <c r="AY109" s="324"/>
      <c r="AZ109" s="324"/>
      <c r="BA109" s="324"/>
      <c r="BB109" s="324"/>
      <c r="BC109" s="324"/>
      <c r="BD109" s="324"/>
      <c r="BE109" s="324"/>
      <c r="BF109" s="324"/>
      <c r="BG109" s="324"/>
      <c r="BH109" s="324"/>
      <c r="BI109" s="324"/>
      <c r="BJ109" s="324"/>
      <c r="BK109" s="324"/>
      <c r="BL109" s="324"/>
      <c r="BM109" s="324"/>
      <c r="BN109" s="324"/>
      <c r="BO109" s="324"/>
      <c r="BP109" s="324"/>
      <c r="BQ109" s="324"/>
      <c r="BR109" s="324"/>
      <c r="BS109" s="324"/>
      <c r="BT109" s="324"/>
      <c r="BU109" s="324"/>
      <c r="BV109" s="324"/>
      <c r="BW109" s="324"/>
      <c r="BX109" s="324"/>
      <c r="BY109" s="324"/>
      <c r="BZ109" s="324"/>
      <c r="CA109" s="324"/>
      <c r="CB109" s="324"/>
      <c r="CC109" s="324"/>
      <c r="CD109" s="324"/>
      <c r="CE109" s="324"/>
      <c r="CF109" s="324"/>
      <c r="CG109" s="324"/>
      <c r="CH109" s="324"/>
      <c r="CI109" s="324"/>
      <c r="CJ109" s="324"/>
    </row>
    <row r="110" spans="1:88" s="230" customFormat="1" ht="15.95" customHeight="1"/>
    <row r="111" spans="1:88" s="230" customFormat="1" ht="15.95" customHeight="1"/>
    <row r="112" spans="1:88" s="230" customFormat="1" ht="15.95" customHeight="1" thickBot="1">
      <c r="D112" s="323" t="s">
        <v>579</v>
      </c>
    </row>
    <row r="113" spans="4:33" ht="30" customHeight="1">
      <c r="D113" s="292" t="s">
        <v>219</v>
      </c>
      <c r="E113" s="293" t="s">
        <v>786</v>
      </c>
      <c r="F113" s="293" t="s">
        <v>787</v>
      </c>
      <c r="G113" s="293"/>
      <c r="H113" s="293"/>
      <c r="I113" s="293"/>
      <c r="J113" s="293"/>
      <c r="K113" s="293"/>
      <c r="L113" s="293"/>
      <c r="M113" s="293"/>
      <c r="N113" s="293"/>
      <c r="O113" s="293"/>
      <c r="P113" s="293"/>
      <c r="Q113" s="293"/>
      <c r="R113" s="293"/>
      <c r="S113" s="293"/>
      <c r="T113" s="293"/>
      <c r="U113" s="293"/>
      <c r="V113" s="293"/>
      <c r="W113" s="293"/>
      <c r="X113" s="293"/>
      <c r="Y113" s="293"/>
      <c r="Z113" s="293"/>
      <c r="AA113" s="293"/>
      <c r="AB113" s="293"/>
      <c r="AC113" s="293"/>
      <c r="AD113" s="293"/>
      <c r="AE113" s="293"/>
      <c r="AF113" s="293"/>
      <c r="AG113" s="294"/>
    </row>
    <row r="114" spans="4:33" ht="30" customHeight="1" thickBot="1">
      <c r="D114" s="104" t="s">
        <v>793</v>
      </c>
      <c r="E114" s="105" t="s">
        <v>793</v>
      </c>
      <c r="F114" s="105" t="s">
        <v>793</v>
      </c>
      <c r="G114" s="102"/>
      <c r="H114" s="102"/>
      <c r="I114" s="102"/>
      <c r="J114" s="102"/>
      <c r="K114" s="102"/>
      <c r="L114" s="102"/>
      <c r="M114" s="102"/>
      <c r="N114" s="102"/>
      <c r="O114" s="102"/>
      <c r="P114" s="102"/>
      <c r="Q114" s="208"/>
      <c r="R114" s="208"/>
      <c r="S114" s="208"/>
      <c r="T114" s="325"/>
      <c r="U114" s="325"/>
      <c r="V114" s="325"/>
      <c r="W114" s="325"/>
      <c r="X114" s="325"/>
      <c r="Y114" s="325"/>
      <c r="Z114" s="325"/>
      <c r="AA114" s="325"/>
      <c r="AB114" s="325"/>
      <c r="AC114" s="325"/>
      <c r="AD114" s="325"/>
      <c r="AE114" s="325"/>
      <c r="AF114" s="325"/>
      <c r="AG114" s="326"/>
    </row>
    <row r="115" spans="4:33" s="230" customFormat="1" ht="15.95" customHeight="1"/>
    <row r="116" spans="4:33" s="230" customFormat="1" ht="15.95" customHeight="1"/>
    <row r="117" spans="4:33" s="230" customFormat="1" ht="15.95" customHeight="1" thickBot="1">
      <c r="D117" s="323" t="s">
        <v>578</v>
      </c>
    </row>
    <row r="118" spans="4:33" ht="30" customHeight="1">
      <c r="D118" s="292" t="s">
        <v>219</v>
      </c>
      <c r="E118" s="293" t="s">
        <v>786</v>
      </c>
      <c r="F118" s="293" t="s">
        <v>787</v>
      </c>
      <c r="G118" s="293"/>
      <c r="H118" s="293"/>
      <c r="I118" s="293"/>
      <c r="J118" s="293"/>
      <c r="K118" s="293"/>
      <c r="L118" s="293"/>
      <c r="M118" s="293"/>
      <c r="N118" s="293"/>
      <c r="O118" s="293"/>
      <c r="P118" s="293"/>
      <c r="Q118" s="293"/>
      <c r="R118" s="293"/>
      <c r="S118" s="293"/>
      <c r="T118" s="293"/>
      <c r="U118" s="293"/>
      <c r="V118" s="293"/>
      <c r="W118" s="293"/>
      <c r="X118" s="293"/>
      <c r="Y118" s="293"/>
      <c r="Z118" s="293"/>
      <c r="AA118" s="293"/>
      <c r="AB118" s="293"/>
      <c r="AC118" s="293"/>
      <c r="AD118" s="293"/>
      <c r="AE118" s="293"/>
      <c r="AF118" s="293"/>
      <c r="AG118" s="294"/>
    </row>
    <row r="119" spans="4:33" ht="30" customHeight="1" thickBot="1">
      <c r="D119" s="104" t="s">
        <v>792</v>
      </c>
      <c r="E119" s="105" t="s">
        <v>792</v>
      </c>
      <c r="F119" s="105" t="s">
        <v>792</v>
      </c>
      <c r="G119" s="102"/>
      <c r="H119" s="102"/>
      <c r="I119" s="102"/>
      <c r="J119" s="102"/>
      <c r="K119" s="102"/>
      <c r="L119" s="102"/>
      <c r="M119" s="102"/>
      <c r="N119" s="102"/>
      <c r="O119" s="102"/>
      <c r="P119" s="102"/>
      <c r="Q119" s="208"/>
      <c r="R119" s="208"/>
      <c r="S119" s="208"/>
      <c r="T119" s="325"/>
      <c r="U119" s="325"/>
      <c r="V119" s="325"/>
      <c r="W119" s="325"/>
      <c r="X119" s="325"/>
      <c r="Y119" s="325"/>
      <c r="Z119" s="325"/>
      <c r="AA119" s="325"/>
      <c r="AB119" s="325"/>
      <c r="AC119" s="325"/>
      <c r="AD119" s="325"/>
      <c r="AE119" s="325"/>
      <c r="AF119" s="325"/>
      <c r="AG119" s="326"/>
    </row>
    <row r="120" spans="4:33" s="230" customFormat="1" ht="20.100000000000001" customHeight="1"/>
    <row r="121" spans="4:33" s="230" customFormat="1" ht="20.100000000000001" customHeight="1"/>
    <row r="122" spans="4:33" s="230" customFormat="1" ht="20.100000000000001" customHeight="1"/>
    <row r="123" spans="4:33" s="230" customFormat="1" ht="20.100000000000001" customHeight="1"/>
    <row r="124" spans="4:33" s="230" customFormat="1" ht="20.100000000000001" customHeight="1"/>
    <row r="125" spans="4:33" s="230" customFormat="1" ht="20.100000000000001" customHeight="1"/>
    <row r="126" spans="4:33" s="230" customFormat="1" ht="20.100000000000001" customHeight="1"/>
    <row r="127" spans="4:33" s="230" customFormat="1" ht="20.100000000000001" customHeight="1"/>
    <row r="128" spans="4:33" s="230" customFormat="1" ht="20.100000000000001" customHeight="1"/>
    <row r="129" s="230" customFormat="1" ht="20.100000000000001" customHeight="1"/>
    <row r="130" s="230" customFormat="1" ht="20.100000000000001" customHeight="1"/>
    <row r="131" s="230" customFormat="1" ht="20.100000000000001" customHeight="1"/>
    <row r="132" s="230" customFormat="1" ht="20.100000000000001" customHeight="1"/>
    <row r="133" s="230" customFormat="1" ht="20.100000000000001" customHeight="1"/>
    <row r="134" s="230" customFormat="1" ht="20.100000000000001" customHeight="1"/>
    <row r="135" s="230" customFormat="1" ht="20.100000000000001" customHeight="1"/>
    <row r="136" s="230" customFormat="1" ht="20.100000000000001" customHeight="1"/>
    <row r="137" s="230" customFormat="1" ht="20.100000000000001" customHeight="1"/>
    <row r="138" s="230" customFormat="1" ht="20.100000000000001" customHeight="1"/>
    <row r="139" s="230" customFormat="1" ht="20.100000000000001" customHeight="1"/>
    <row r="140" s="230" customFormat="1" ht="20.100000000000001" customHeight="1"/>
    <row r="141" s="230" customFormat="1" ht="20.100000000000001" customHeight="1"/>
    <row r="142" s="230" customFormat="1" ht="20.100000000000001" customHeight="1"/>
    <row r="143" s="230" customFormat="1" ht="20.100000000000001" customHeight="1"/>
    <row r="144" s="230" customFormat="1" ht="20.100000000000001" customHeight="1"/>
    <row r="145" s="230" customFormat="1" ht="20.100000000000001" customHeight="1"/>
    <row r="146" s="230" customFormat="1" ht="20.100000000000001" customHeight="1"/>
    <row r="147" s="230" customFormat="1" ht="20.100000000000001" customHeight="1"/>
    <row r="148" s="230" customFormat="1" ht="20.100000000000001" customHeight="1"/>
    <row r="149" s="230" customFormat="1" ht="20.100000000000001" customHeight="1"/>
    <row r="150" s="230" customFormat="1" ht="20.100000000000001" customHeight="1"/>
    <row r="151" s="230" customFormat="1" ht="20.100000000000001" customHeight="1"/>
    <row r="152" s="230" customFormat="1" ht="20.100000000000001" customHeight="1"/>
    <row r="153" s="230" customFormat="1" ht="20.100000000000001" customHeight="1"/>
    <row r="154" s="230" customFormat="1" ht="20.100000000000001" customHeight="1"/>
    <row r="155" s="230" customFormat="1" ht="20.100000000000001" customHeight="1"/>
    <row r="156" s="230" customFormat="1" ht="20.100000000000001" customHeight="1"/>
    <row r="157" s="230" customFormat="1" ht="20.100000000000001" customHeight="1"/>
    <row r="158" s="230" customFormat="1" ht="20.100000000000001" customHeight="1"/>
    <row r="159" s="230" customFormat="1" ht="20.100000000000001" customHeight="1"/>
    <row r="160" s="230" customFormat="1" ht="20.100000000000001" customHeight="1"/>
    <row r="161" s="230" customFormat="1" ht="20.100000000000001" customHeight="1"/>
    <row r="162" s="230" customFormat="1" ht="20.100000000000001" customHeight="1"/>
    <row r="163" s="230" customFormat="1" ht="20.100000000000001" customHeight="1"/>
    <row r="164" s="230" customFormat="1" ht="20.100000000000001" customHeight="1"/>
    <row r="165" s="230" customFormat="1" ht="20.100000000000001" customHeight="1"/>
    <row r="166" s="230" customFormat="1" ht="20.100000000000001" customHeight="1"/>
    <row r="167" s="230" customFormat="1" ht="20.100000000000001" customHeight="1"/>
    <row r="168" s="230" customFormat="1" ht="20.100000000000001" customHeight="1"/>
    <row r="169" s="230" customFormat="1" ht="20.100000000000001" customHeight="1"/>
    <row r="170" s="230" customFormat="1" ht="20.100000000000001" customHeight="1"/>
    <row r="171" s="230" customFormat="1" ht="20.100000000000001" customHeight="1"/>
    <row r="172" s="230" customFormat="1" ht="20.100000000000001" customHeight="1"/>
    <row r="173" s="230" customFormat="1" ht="20.100000000000001" customHeight="1"/>
    <row r="174" s="230" customFormat="1" ht="20.100000000000001" customHeight="1"/>
    <row r="175" s="230" customFormat="1" ht="20.100000000000001" customHeight="1"/>
    <row r="176" s="230" customFormat="1" ht="20.100000000000001" customHeight="1"/>
    <row r="177" s="230" customFormat="1" ht="20.100000000000001" customHeight="1"/>
    <row r="178" s="230" customFormat="1" ht="20.100000000000001" customHeight="1"/>
    <row r="179" s="230" customFormat="1" ht="20.100000000000001" customHeight="1"/>
    <row r="180" s="230" customFormat="1" ht="20.100000000000001" customHeight="1"/>
    <row r="181" s="230" customFormat="1" ht="20.100000000000001" customHeight="1"/>
    <row r="182" s="230" customFormat="1" ht="20.100000000000001" customHeight="1"/>
    <row r="183" s="230" customFormat="1" ht="20.100000000000001" customHeight="1"/>
    <row r="184" s="230" customFormat="1" ht="20.100000000000001" customHeight="1"/>
    <row r="185" s="230" customFormat="1" ht="20.100000000000001" customHeight="1"/>
    <row r="186" s="230" customFormat="1" ht="20.100000000000001" customHeight="1"/>
    <row r="187" s="230" customFormat="1" ht="20.100000000000001" customHeight="1"/>
    <row r="188" s="230" customFormat="1" ht="20.100000000000001" customHeight="1"/>
    <row r="189" s="230" customFormat="1" ht="20.100000000000001" customHeight="1"/>
    <row r="190" s="230" customFormat="1" ht="20.100000000000001" customHeight="1"/>
    <row r="191" s="230" customFormat="1" ht="20.100000000000001" customHeight="1"/>
    <row r="192" s="230" customFormat="1" ht="20.100000000000001" customHeight="1"/>
    <row r="193" s="230" customFormat="1" ht="20.100000000000001" customHeight="1"/>
    <row r="194" s="230" customFormat="1" ht="20.100000000000001" customHeight="1"/>
    <row r="195" s="230" customFormat="1" ht="20.100000000000001" customHeight="1"/>
    <row r="196" s="230" customFormat="1" ht="20.100000000000001" customHeight="1"/>
    <row r="197" s="230" customFormat="1" ht="20.100000000000001" customHeight="1"/>
    <row r="198" s="230" customFormat="1" ht="20.100000000000001" customHeight="1"/>
    <row r="199" s="230" customFormat="1" ht="20.100000000000001" customHeight="1"/>
    <row r="200" s="230" customFormat="1" ht="20.100000000000001" customHeight="1"/>
    <row r="201" s="230" customFormat="1" ht="20.100000000000001" customHeight="1"/>
    <row r="202" s="230" customFormat="1" ht="20.100000000000001" customHeight="1"/>
    <row r="203" s="230" customFormat="1" ht="20.100000000000001" customHeight="1"/>
    <row r="204" s="230" customFormat="1" ht="20.100000000000001" customHeight="1"/>
    <row r="205" s="230" customFormat="1" ht="20.100000000000001" customHeight="1"/>
    <row r="206" s="230" customFormat="1" ht="20.100000000000001" customHeight="1"/>
    <row r="207" s="230" customFormat="1" ht="20.100000000000001" customHeight="1"/>
    <row r="208" s="230" customFormat="1" ht="20.100000000000001" customHeight="1"/>
    <row r="209" s="230" customFormat="1" ht="20.100000000000001" customHeight="1"/>
    <row r="210" s="230" customFormat="1" ht="20.100000000000001" customHeight="1"/>
    <row r="211" s="230" customFormat="1" ht="20.100000000000001" customHeight="1"/>
    <row r="212" s="230" customFormat="1" ht="20.100000000000001" customHeight="1"/>
    <row r="213" s="230" customFormat="1" ht="20.100000000000001" customHeight="1"/>
    <row r="214" s="230" customFormat="1" ht="20.100000000000001" customHeight="1"/>
    <row r="215" s="230" customFormat="1" ht="20.100000000000001" customHeight="1"/>
    <row r="216" s="230" customFormat="1" ht="20.100000000000001" customHeight="1"/>
    <row r="217" s="230" customFormat="1" ht="20.100000000000001" customHeight="1"/>
    <row r="218" s="230" customFormat="1" ht="20.100000000000001" customHeight="1"/>
    <row r="219" s="230" customFormat="1" ht="20.100000000000001" customHeight="1"/>
    <row r="220" s="230" customFormat="1" ht="20.100000000000001" customHeight="1"/>
    <row r="221" s="230" customFormat="1" ht="20.100000000000001" customHeight="1"/>
    <row r="222" s="230" customFormat="1" ht="20.100000000000001" customHeight="1"/>
    <row r="223" s="230" customFormat="1" ht="20.100000000000001" customHeight="1"/>
    <row r="224" s="230" customFormat="1" ht="20.100000000000001" customHeight="1"/>
    <row r="225" s="230" customFormat="1" ht="20.100000000000001" customHeight="1"/>
    <row r="226" s="230" customFormat="1" ht="20.100000000000001" customHeight="1"/>
    <row r="227" s="230" customFormat="1" ht="20.100000000000001" customHeight="1"/>
    <row r="228" s="230" customFormat="1" ht="20.100000000000001" customHeight="1"/>
    <row r="229" s="230" customFormat="1" ht="20.100000000000001" customHeight="1"/>
    <row r="230" s="230" customFormat="1" ht="20.100000000000001" customHeight="1"/>
    <row r="231" s="230" customFormat="1" ht="20.100000000000001" customHeight="1"/>
    <row r="232" s="230" customFormat="1" ht="20.100000000000001" customHeight="1"/>
    <row r="233" s="230" customFormat="1" ht="20.100000000000001" customHeight="1"/>
    <row r="234" s="230" customFormat="1" ht="20.100000000000001" customHeight="1"/>
    <row r="235" s="230" customFormat="1" ht="20.100000000000001" customHeight="1"/>
    <row r="236" s="230" customFormat="1" ht="20.100000000000001" customHeight="1"/>
    <row r="237" s="230" customFormat="1" ht="20.100000000000001" customHeight="1"/>
    <row r="238" s="230" customFormat="1" ht="20.100000000000001" customHeight="1"/>
    <row r="239" s="230" customFormat="1" ht="20.100000000000001" customHeight="1"/>
    <row r="240" s="230" customFormat="1" ht="20.100000000000001" customHeight="1"/>
    <row r="241" s="230" customFormat="1" ht="20.100000000000001" customHeight="1"/>
    <row r="242" s="230" customFormat="1" ht="20.100000000000001" customHeight="1"/>
    <row r="243" s="230" customFormat="1" ht="20.100000000000001" customHeight="1"/>
    <row r="244" s="230" customFormat="1" ht="20.100000000000001" customHeight="1"/>
    <row r="245" s="230" customFormat="1" ht="20.100000000000001" customHeight="1"/>
    <row r="246" s="230" customFormat="1" ht="20.100000000000001" customHeight="1"/>
    <row r="247" s="230" customFormat="1" ht="20.100000000000001" customHeight="1"/>
    <row r="248" s="230" customFormat="1" ht="20.100000000000001" customHeight="1"/>
    <row r="249" s="230" customFormat="1" ht="20.100000000000001" customHeight="1"/>
    <row r="250" s="230" customFormat="1" ht="20.100000000000001" customHeight="1"/>
    <row r="251" s="230" customFormat="1" ht="20.100000000000001" customHeight="1"/>
    <row r="252" s="230" customFormat="1" ht="20.100000000000001" customHeight="1"/>
    <row r="253" s="230" customFormat="1" ht="20.100000000000001" customHeight="1"/>
    <row r="254" s="230" customFormat="1" ht="20.100000000000001" customHeight="1"/>
    <row r="255" s="230" customFormat="1" ht="20.100000000000001" customHeight="1"/>
    <row r="256" s="230" customFormat="1" ht="20.100000000000001" customHeight="1"/>
    <row r="257" s="230" customFormat="1" ht="20.100000000000001" customHeight="1"/>
    <row r="258" s="230" customFormat="1" ht="20.100000000000001" customHeight="1"/>
    <row r="259" s="230" customFormat="1" ht="20.100000000000001" customHeight="1"/>
    <row r="260" s="230" customFormat="1" ht="20.100000000000001" customHeight="1"/>
    <row r="261" s="230" customFormat="1" ht="20.100000000000001" customHeight="1"/>
    <row r="262" s="230" customFormat="1" ht="20.100000000000001" customHeight="1"/>
    <row r="263" s="230" customFormat="1" ht="20.100000000000001" customHeight="1"/>
    <row r="264" s="230" customFormat="1" ht="20.100000000000001" customHeight="1"/>
    <row r="265" s="230" customFormat="1" ht="20.100000000000001" customHeight="1"/>
    <row r="266" s="230" customFormat="1" ht="20.100000000000001" customHeight="1"/>
    <row r="267" s="230" customFormat="1" ht="20.100000000000001" customHeight="1"/>
    <row r="268" s="230" customFormat="1" ht="20.100000000000001" customHeight="1"/>
    <row r="269" s="230" customFormat="1" ht="20.100000000000001" customHeight="1"/>
    <row r="270" s="230" customFormat="1" ht="20.100000000000001" customHeight="1"/>
    <row r="271" s="230" customFormat="1" ht="20.100000000000001" customHeight="1"/>
    <row r="272" s="230" customFormat="1" ht="20.100000000000001" customHeight="1"/>
    <row r="273" s="230" customFormat="1" ht="20.100000000000001" customHeight="1"/>
    <row r="274" s="230" customFormat="1" ht="20.100000000000001" customHeight="1"/>
    <row r="275" s="230" customFormat="1" ht="20.100000000000001" customHeight="1"/>
    <row r="276" s="230" customFormat="1" ht="20.100000000000001" customHeight="1"/>
    <row r="277" s="230" customFormat="1" ht="20.100000000000001" customHeight="1"/>
    <row r="278" s="230" customFormat="1" ht="20.100000000000001" customHeight="1"/>
    <row r="279" s="230" customFormat="1" ht="20.100000000000001" customHeight="1"/>
    <row r="280" s="230" customFormat="1" ht="20.100000000000001" customHeight="1"/>
    <row r="281" s="230" customFormat="1" ht="20.100000000000001" customHeight="1"/>
    <row r="282" s="230" customFormat="1" ht="20.100000000000001" customHeight="1"/>
    <row r="283" s="230" customFormat="1" ht="20.100000000000001" customHeight="1"/>
    <row r="284" s="230" customFormat="1" ht="20.100000000000001" customHeight="1"/>
    <row r="285" s="230" customFormat="1" ht="20.100000000000001" customHeight="1"/>
    <row r="286" s="230" customFormat="1" ht="20.100000000000001" customHeight="1"/>
    <row r="287" s="230" customFormat="1" ht="20.100000000000001" customHeight="1"/>
    <row r="288" s="230" customFormat="1" ht="20.100000000000001" customHeight="1"/>
    <row r="289" s="230" customFormat="1" ht="20.100000000000001" customHeight="1"/>
    <row r="290" s="230" customFormat="1" ht="20.100000000000001" customHeight="1"/>
    <row r="291" s="230" customFormat="1" ht="20.100000000000001" customHeight="1"/>
    <row r="292" s="230" customFormat="1" ht="20.100000000000001" customHeight="1"/>
    <row r="293" s="230" customFormat="1" ht="20.100000000000001" customHeight="1"/>
    <row r="294" s="230" customFormat="1" ht="20.100000000000001" customHeight="1"/>
    <row r="295" s="230" customFormat="1" ht="20.100000000000001" customHeight="1"/>
    <row r="296" s="230" customFormat="1" ht="20.100000000000001" customHeight="1"/>
    <row r="297" s="230" customFormat="1" ht="20.100000000000001" customHeight="1"/>
    <row r="298" s="230" customFormat="1" ht="20.100000000000001" customHeight="1"/>
    <row r="299" s="230" customFormat="1" ht="20.100000000000001" customHeight="1"/>
    <row r="300" s="230" customFormat="1" ht="20.100000000000001" customHeight="1"/>
    <row r="301" s="230" customFormat="1" ht="20.100000000000001" customHeight="1"/>
    <row r="302" s="230" customFormat="1" ht="20.100000000000001" customHeight="1"/>
    <row r="303" s="230" customFormat="1" ht="20.100000000000001" customHeight="1"/>
    <row r="304" s="230" customFormat="1" ht="20.100000000000001" customHeight="1"/>
    <row r="305" s="230" customFormat="1" ht="20.100000000000001" customHeight="1"/>
    <row r="306" s="230" customFormat="1" ht="20.100000000000001" customHeight="1"/>
    <row r="307" s="230" customFormat="1" ht="20.100000000000001" customHeight="1"/>
    <row r="308" s="230" customFormat="1" ht="20.100000000000001" customHeight="1"/>
    <row r="309" s="230" customFormat="1" ht="20.100000000000001" customHeight="1"/>
    <row r="310" s="230" customFormat="1" ht="20.100000000000001" customHeight="1"/>
    <row r="311" s="230" customFormat="1" ht="20.100000000000001" customHeight="1"/>
    <row r="312" s="230" customFormat="1" ht="20.100000000000001" customHeight="1"/>
    <row r="313" s="230" customFormat="1" ht="20.100000000000001" customHeight="1"/>
    <row r="314" s="230" customFormat="1" ht="20.100000000000001" customHeight="1"/>
    <row r="315" s="230" customFormat="1" ht="20.100000000000001" customHeight="1"/>
    <row r="316" s="230" customFormat="1" ht="20.100000000000001" customHeight="1"/>
    <row r="317" s="230" customFormat="1" ht="20.100000000000001" customHeight="1"/>
    <row r="318" s="230" customFormat="1" ht="20.100000000000001" customHeight="1"/>
    <row r="319" s="230" customFormat="1" ht="20.100000000000001" customHeight="1"/>
    <row r="320" s="230" customFormat="1" ht="20.100000000000001" customHeight="1"/>
    <row r="321" s="230" customFormat="1" ht="20.100000000000001" customHeight="1"/>
    <row r="322" s="230" customFormat="1" ht="20.100000000000001" customHeight="1"/>
    <row r="323" s="230" customFormat="1" ht="20.100000000000001" customHeight="1"/>
    <row r="324" s="230" customFormat="1" ht="20.100000000000001" customHeight="1"/>
    <row r="325" s="230" customFormat="1" ht="20.100000000000001" customHeight="1"/>
    <row r="326" s="230" customFormat="1" ht="20.100000000000001" customHeight="1"/>
    <row r="327" s="230" customFormat="1" ht="20.100000000000001" customHeight="1"/>
    <row r="328" s="230" customFormat="1" ht="20.100000000000001" customHeight="1"/>
    <row r="329" s="230" customFormat="1" ht="20.100000000000001" customHeight="1"/>
    <row r="330" s="230" customFormat="1" ht="20.100000000000001" customHeight="1"/>
    <row r="331" s="230" customFormat="1" ht="20.100000000000001" customHeight="1"/>
    <row r="332" s="230" customFormat="1" ht="20.100000000000001" customHeight="1"/>
    <row r="333" s="230" customFormat="1" ht="20.100000000000001" customHeight="1"/>
    <row r="334" s="230" customFormat="1" ht="20.100000000000001" customHeight="1"/>
    <row r="335" s="230" customFormat="1" ht="20.100000000000001" customHeight="1"/>
    <row r="336" s="230" customFormat="1" ht="20.100000000000001" customHeight="1"/>
    <row r="337" s="230" customFormat="1" ht="20.100000000000001" customHeight="1"/>
    <row r="338" s="230" customFormat="1" ht="20.100000000000001" customHeight="1"/>
    <row r="339" s="230" customFormat="1" ht="20.100000000000001" customHeight="1"/>
    <row r="340" s="230" customFormat="1" ht="20.100000000000001" customHeight="1"/>
    <row r="341" s="230" customFormat="1" ht="20.100000000000001" customHeight="1"/>
    <row r="342" s="230" customFormat="1" ht="20.100000000000001" customHeight="1"/>
    <row r="343" s="230" customFormat="1" ht="20.100000000000001" customHeight="1"/>
    <row r="344" s="230" customFormat="1" ht="20.100000000000001" customHeight="1"/>
    <row r="345" s="230" customFormat="1" ht="20.100000000000001" customHeight="1"/>
    <row r="346" s="230" customFormat="1" ht="20.100000000000001" customHeight="1"/>
    <row r="347" s="230" customFormat="1" ht="20.100000000000001" customHeight="1"/>
    <row r="348" s="230" customFormat="1" ht="20.100000000000001" customHeight="1"/>
    <row r="349" s="230" customFormat="1" ht="20.100000000000001" customHeight="1"/>
    <row r="350" s="230" customFormat="1" ht="20.100000000000001" customHeight="1"/>
    <row r="351" s="230" customFormat="1" ht="20.100000000000001" customHeight="1"/>
    <row r="352" s="230" customFormat="1" ht="20.100000000000001" customHeight="1"/>
    <row r="353" s="230" customFormat="1" ht="20.100000000000001" customHeight="1"/>
    <row r="354" s="230" customFormat="1" ht="20.100000000000001" customHeight="1"/>
    <row r="355" s="230" customFormat="1" ht="20.100000000000001" customHeight="1"/>
    <row r="356" s="230" customFormat="1" ht="20.100000000000001" customHeight="1"/>
    <row r="357" s="230" customFormat="1" ht="20.100000000000001" customHeight="1"/>
    <row r="358" s="230" customFormat="1" ht="20.100000000000001" customHeight="1"/>
    <row r="359" s="230" customFormat="1" ht="20.100000000000001" customHeight="1"/>
    <row r="360" s="230" customFormat="1" ht="20.100000000000001" customHeight="1"/>
    <row r="361" s="230" customFormat="1" ht="20.100000000000001" customHeight="1"/>
    <row r="362" s="230" customFormat="1" ht="20.100000000000001" customHeight="1"/>
    <row r="363" s="230" customFormat="1" ht="20.100000000000001" customHeight="1"/>
    <row r="364" s="230" customFormat="1" ht="20.100000000000001" customHeight="1"/>
    <row r="365" s="230" customFormat="1" ht="20.100000000000001" customHeight="1"/>
    <row r="366" s="230" customFormat="1" ht="20.100000000000001" customHeight="1"/>
    <row r="367" s="230" customFormat="1" ht="20.100000000000001" customHeight="1"/>
    <row r="368" s="230" customFormat="1" ht="20.100000000000001" customHeight="1"/>
    <row r="369" s="230" customFormat="1" ht="20.100000000000001" customHeight="1"/>
    <row r="370" s="230" customFormat="1" ht="20.100000000000001" customHeight="1"/>
    <row r="371" s="230" customFormat="1" ht="20.100000000000001" customHeight="1"/>
    <row r="372" s="230" customFormat="1" ht="20.100000000000001" customHeight="1"/>
    <row r="373" s="230" customFormat="1" ht="20.100000000000001" customHeight="1"/>
    <row r="374" s="230" customFormat="1" ht="20.100000000000001" customHeight="1"/>
    <row r="375" s="230" customFormat="1" ht="20.100000000000001" customHeight="1"/>
    <row r="376" s="230" customFormat="1" ht="20.100000000000001" customHeight="1"/>
    <row r="377" s="230" customFormat="1" ht="20.100000000000001" customHeight="1"/>
    <row r="378" s="230" customFormat="1" ht="20.100000000000001" customHeight="1"/>
    <row r="379" s="230" customFormat="1" ht="20.100000000000001" customHeight="1"/>
    <row r="380" s="230" customFormat="1" ht="20.100000000000001" customHeight="1"/>
    <row r="381" s="230" customFormat="1" ht="20.100000000000001" customHeight="1"/>
    <row r="382" s="230" customFormat="1" ht="20.100000000000001" customHeight="1"/>
    <row r="383" s="230" customFormat="1" ht="20.100000000000001" customHeight="1"/>
    <row r="384" s="230" customFormat="1" ht="20.100000000000001" customHeight="1"/>
    <row r="385" s="230" customFormat="1" ht="20.100000000000001" customHeight="1"/>
    <row r="386" s="230" customFormat="1" ht="20.100000000000001" customHeight="1"/>
    <row r="387" s="230" customFormat="1" ht="20.100000000000001" customHeight="1"/>
    <row r="388" s="230" customFormat="1" ht="20.100000000000001" customHeight="1"/>
    <row r="389" s="230" customFormat="1" ht="20.100000000000001" customHeight="1"/>
    <row r="390" s="230" customFormat="1" ht="20.100000000000001" customHeight="1"/>
    <row r="391" s="230" customFormat="1" ht="20.100000000000001" customHeight="1"/>
    <row r="392" s="230" customFormat="1" ht="20.100000000000001" customHeight="1"/>
    <row r="393" s="230" customFormat="1" ht="20.100000000000001" customHeight="1"/>
    <row r="394" s="230" customFormat="1" ht="20.100000000000001" customHeight="1"/>
    <row r="395" s="230" customFormat="1" ht="20.100000000000001" customHeight="1"/>
    <row r="396" s="230" customFormat="1" ht="20.100000000000001" customHeight="1"/>
    <row r="397" s="230" customFormat="1" ht="20.100000000000001" customHeight="1"/>
    <row r="398" s="230" customFormat="1" ht="20.100000000000001" customHeight="1"/>
    <row r="399" s="230" customFormat="1" ht="20.100000000000001" customHeight="1"/>
    <row r="400" s="230" customFormat="1" ht="20.100000000000001" customHeight="1"/>
    <row r="401" s="230" customFormat="1" ht="20.100000000000001" customHeight="1"/>
    <row r="402" s="230" customFormat="1" ht="20.100000000000001" customHeight="1"/>
    <row r="403" s="230" customFormat="1" ht="20.100000000000001" customHeight="1"/>
    <row r="404" s="230" customFormat="1" ht="20.100000000000001" customHeight="1"/>
    <row r="405" s="230" customFormat="1" ht="20.100000000000001" customHeight="1"/>
    <row r="406" s="230" customFormat="1" ht="20.100000000000001" customHeight="1"/>
    <row r="407" s="230" customFormat="1" ht="20.100000000000001" customHeight="1"/>
    <row r="408" s="230" customFormat="1" ht="20.100000000000001" customHeight="1"/>
    <row r="409" s="230" customFormat="1" ht="20.100000000000001" customHeight="1"/>
    <row r="410" s="230" customFormat="1" ht="20.100000000000001" customHeight="1"/>
    <row r="411" s="230" customFormat="1" ht="20.100000000000001" customHeight="1"/>
    <row r="412" s="230" customFormat="1" ht="20.100000000000001" customHeight="1"/>
    <row r="413" s="230" customFormat="1" ht="20.100000000000001" customHeight="1"/>
    <row r="414" s="230" customFormat="1" ht="20.100000000000001" customHeight="1"/>
    <row r="415" s="230" customFormat="1" ht="20.100000000000001" customHeight="1"/>
    <row r="416" s="230" customFormat="1" ht="20.100000000000001" customHeight="1"/>
    <row r="417" s="230" customFormat="1" ht="20.100000000000001" customHeight="1"/>
    <row r="418" s="230" customFormat="1" ht="20.100000000000001" customHeight="1"/>
    <row r="419" s="230" customFormat="1" ht="20.100000000000001" customHeight="1"/>
    <row r="420" s="230" customFormat="1" ht="20.100000000000001" customHeight="1"/>
    <row r="421" s="230" customFormat="1" ht="20.100000000000001" customHeight="1"/>
    <row r="422" s="230" customFormat="1" ht="20.100000000000001" customHeight="1"/>
    <row r="423" s="230" customFormat="1" ht="20.100000000000001" customHeight="1"/>
    <row r="424" s="230" customFormat="1" ht="20.100000000000001" customHeight="1"/>
    <row r="425" s="230" customFormat="1" ht="20.100000000000001" customHeight="1"/>
    <row r="426" s="230" customFormat="1" ht="20.100000000000001" customHeight="1"/>
    <row r="427" s="230" customFormat="1" ht="20.100000000000001" customHeight="1"/>
    <row r="428" s="230" customFormat="1" ht="20.100000000000001" customHeight="1"/>
    <row r="429" s="230" customFormat="1" ht="20.100000000000001" customHeight="1"/>
    <row r="430" s="230" customFormat="1" ht="20.100000000000001" customHeight="1"/>
    <row r="431" s="230" customFormat="1" ht="20.100000000000001" customHeight="1"/>
    <row r="432" s="230" customFormat="1" ht="20.100000000000001" customHeight="1"/>
    <row r="433" s="230" customFormat="1" ht="20.100000000000001" customHeight="1"/>
    <row r="434" s="230" customFormat="1" ht="20.100000000000001" customHeight="1"/>
    <row r="435" s="230" customFormat="1" ht="20.100000000000001" customHeight="1"/>
    <row r="436" s="230" customFormat="1" ht="20.100000000000001" customHeight="1"/>
    <row r="437" s="230" customFormat="1" ht="20.100000000000001" customHeight="1"/>
    <row r="438" s="230" customFormat="1" ht="20.100000000000001" customHeight="1"/>
    <row r="439" s="230" customFormat="1" ht="20.100000000000001" customHeight="1"/>
    <row r="440" s="230" customFormat="1" ht="20.100000000000001" customHeight="1"/>
    <row r="441" s="230" customFormat="1" ht="20.100000000000001" customHeight="1"/>
    <row r="442" s="230" customFormat="1" ht="20.100000000000001" customHeight="1"/>
    <row r="443" s="230" customFormat="1" ht="20.100000000000001" customHeight="1"/>
    <row r="444" s="230" customFormat="1" ht="20.100000000000001" customHeight="1"/>
    <row r="445" s="230" customFormat="1" ht="20.100000000000001" customHeight="1"/>
    <row r="446" s="230" customFormat="1" ht="20.100000000000001" customHeight="1"/>
    <row r="447" s="230" customFormat="1" ht="20.100000000000001" customHeight="1"/>
    <row r="448" s="230" customFormat="1" ht="20.100000000000001" customHeight="1"/>
    <row r="449" s="230" customFormat="1" ht="20.100000000000001" customHeight="1"/>
    <row r="450" s="230" customFormat="1" ht="20.100000000000001" customHeight="1"/>
    <row r="451" s="230" customFormat="1" ht="20.100000000000001" customHeight="1"/>
    <row r="452" s="230" customFormat="1" ht="20.100000000000001" customHeight="1"/>
    <row r="453" s="230" customFormat="1" ht="20.100000000000001" customHeight="1"/>
    <row r="454" s="230" customFormat="1" ht="20.100000000000001" customHeight="1"/>
    <row r="455" s="230" customFormat="1" ht="20.100000000000001" customHeight="1"/>
    <row r="456" s="230" customFormat="1" ht="20.100000000000001" customHeight="1"/>
    <row r="457" s="230" customFormat="1" ht="20.100000000000001" customHeight="1"/>
    <row r="458" s="230" customFormat="1" ht="20.100000000000001" customHeight="1"/>
    <row r="459" s="230" customFormat="1" ht="20.100000000000001" customHeight="1"/>
    <row r="460" s="230" customFormat="1" ht="20.100000000000001" customHeight="1"/>
    <row r="461" s="230" customFormat="1" ht="20.100000000000001" customHeight="1"/>
    <row r="462" s="230" customFormat="1" ht="20.100000000000001" customHeight="1"/>
    <row r="463" s="230" customFormat="1" ht="20.100000000000001" customHeight="1"/>
    <row r="464" s="230" customFormat="1" ht="20.100000000000001" customHeight="1"/>
    <row r="465" s="230" customFormat="1" ht="20.100000000000001" customHeight="1"/>
    <row r="466" s="230" customFormat="1" ht="20.100000000000001" customHeight="1"/>
    <row r="467" s="230" customFormat="1" ht="20.100000000000001" customHeight="1"/>
    <row r="468" s="230" customFormat="1" ht="20.100000000000001" customHeight="1"/>
    <row r="469" s="230" customFormat="1" ht="20.100000000000001" customHeight="1"/>
    <row r="470" s="230" customFormat="1" ht="20.100000000000001" customHeight="1"/>
    <row r="471" s="230" customFormat="1" ht="20.100000000000001" customHeight="1"/>
    <row r="472" s="230" customFormat="1" ht="20.100000000000001" customHeight="1"/>
    <row r="473" s="230" customFormat="1" ht="20.100000000000001" customHeight="1"/>
    <row r="474" s="230" customFormat="1" ht="20.100000000000001" customHeight="1"/>
    <row r="475" s="230" customFormat="1" ht="20.100000000000001" customHeight="1"/>
    <row r="476" s="230" customFormat="1" ht="20.100000000000001" customHeight="1"/>
    <row r="477" s="230" customFormat="1" ht="20.100000000000001" customHeight="1"/>
    <row r="478" s="230" customFormat="1" ht="20.100000000000001" customHeight="1"/>
    <row r="479" s="230" customFormat="1" ht="20.100000000000001" customHeight="1"/>
    <row r="480" s="230" customFormat="1" ht="20.100000000000001" customHeight="1"/>
    <row r="481" s="230" customFormat="1" ht="20.100000000000001" customHeight="1"/>
    <row r="482" s="230" customFormat="1" ht="20.100000000000001" customHeight="1"/>
    <row r="483" s="230" customFormat="1" ht="20.100000000000001" customHeight="1"/>
    <row r="484" s="230" customFormat="1" ht="20.100000000000001" customHeight="1"/>
    <row r="485" s="230" customFormat="1" ht="20.100000000000001" customHeight="1"/>
    <row r="486" s="230" customFormat="1" ht="20.100000000000001" customHeight="1"/>
    <row r="487" s="230" customFormat="1" ht="20.100000000000001" customHeight="1"/>
    <row r="488" s="230" customFormat="1" ht="20.100000000000001" customHeight="1"/>
    <row r="489" s="230" customFormat="1" ht="20.100000000000001" customHeight="1"/>
    <row r="490" s="230" customFormat="1" ht="20.100000000000001" customHeight="1"/>
    <row r="491" s="230" customFormat="1" ht="20.100000000000001" customHeight="1"/>
    <row r="492" s="230" customFormat="1" ht="20.100000000000001" customHeight="1"/>
    <row r="493" s="230" customFormat="1" ht="20.100000000000001" customHeight="1"/>
    <row r="494" s="230" customFormat="1" ht="20.100000000000001" customHeight="1"/>
    <row r="495" s="230" customFormat="1" ht="20.100000000000001" customHeight="1"/>
    <row r="496" s="230" customFormat="1" ht="20.100000000000001" customHeight="1"/>
    <row r="497" s="230" customFormat="1" ht="20.100000000000001" customHeight="1"/>
    <row r="498" s="230" customFormat="1" ht="20.100000000000001" customHeight="1"/>
    <row r="499" s="230" customFormat="1" ht="20.100000000000001" customHeight="1"/>
    <row r="500" s="230" customFormat="1" ht="20.100000000000001" customHeight="1"/>
    <row r="501" s="230" customFormat="1" ht="20.100000000000001" customHeight="1"/>
    <row r="502" s="230" customFormat="1" ht="20.100000000000001" customHeight="1"/>
    <row r="503" s="230" customFormat="1" ht="20.100000000000001" customHeight="1"/>
    <row r="504" s="230" customFormat="1" ht="20.100000000000001" customHeight="1"/>
    <row r="505" s="230" customFormat="1" ht="20.100000000000001" customHeight="1"/>
    <row r="506" s="230" customFormat="1" ht="20.100000000000001" customHeight="1"/>
    <row r="507" s="230" customFormat="1" ht="20.100000000000001" customHeight="1"/>
    <row r="508" s="230" customFormat="1" ht="20.100000000000001" customHeight="1"/>
    <row r="509" s="230" customFormat="1" ht="20.100000000000001" customHeight="1"/>
    <row r="510" s="230" customFormat="1" ht="20.100000000000001" customHeight="1"/>
    <row r="511" s="230" customFormat="1" ht="20.100000000000001" customHeight="1"/>
    <row r="512" s="230" customFormat="1" ht="20.100000000000001" customHeight="1"/>
    <row r="513" s="230" customFormat="1" ht="20.100000000000001" customHeight="1"/>
    <row r="514" s="230" customFormat="1" ht="20.100000000000001" customHeight="1"/>
    <row r="515" s="230" customFormat="1" ht="20.100000000000001" customHeight="1"/>
    <row r="516" s="230" customFormat="1" ht="20.100000000000001" customHeight="1"/>
    <row r="517" s="230" customFormat="1" ht="20.100000000000001" customHeight="1"/>
    <row r="518" s="230" customFormat="1" ht="20.100000000000001" customHeight="1"/>
    <row r="519" s="230" customFormat="1" ht="20.100000000000001" customHeight="1"/>
    <row r="520" s="230" customFormat="1" ht="20.100000000000001" customHeight="1"/>
    <row r="521" s="230" customFormat="1" ht="20.100000000000001" customHeight="1"/>
    <row r="522" s="230" customFormat="1" ht="20.100000000000001" customHeight="1"/>
    <row r="523" s="230" customFormat="1" ht="20.100000000000001" customHeight="1"/>
    <row r="524" s="230" customFormat="1" ht="20.100000000000001" customHeight="1"/>
    <row r="525" s="230" customFormat="1" ht="20.100000000000001" customHeight="1"/>
    <row r="526" s="230" customFormat="1" ht="20.100000000000001" customHeight="1"/>
    <row r="527" s="230" customFormat="1" ht="20.100000000000001" customHeight="1"/>
    <row r="528" s="230" customFormat="1" ht="20.100000000000001" customHeight="1"/>
    <row r="529" s="230" customFormat="1" ht="20.100000000000001" customHeight="1"/>
    <row r="530" s="230" customFormat="1" ht="20.100000000000001" customHeight="1"/>
    <row r="531" s="230" customFormat="1" ht="20.100000000000001" customHeight="1"/>
    <row r="532" s="230" customFormat="1" ht="20.100000000000001" customHeight="1"/>
    <row r="533" s="230" customFormat="1" ht="20.100000000000001" customHeight="1"/>
    <row r="534" s="230" customFormat="1" ht="20.100000000000001" customHeight="1"/>
    <row r="535" s="230" customFormat="1" ht="20.100000000000001" customHeight="1"/>
    <row r="536" s="230" customFormat="1" ht="20.100000000000001" customHeight="1"/>
    <row r="537" s="230" customFormat="1" ht="20.100000000000001" customHeight="1"/>
    <row r="538" s="230" customFormat="1" ht="20.100000000000001" customHeight="1"/>
    <row r="539" s="230" customFormat="1" ht="20.100000000000001" customHeight="1"/>
    <row r="540" s="230" customFormat="1" ht="20.100000000000001" customHeight="1"/>
    <row r="541" s="230" customFormat="1" ht="20.100000000000001" customHeight="1"/>
    <row r="542" s="230" customFormat="1" ht="20.100000000000001" customHeight="1"/>
    <row r="543" s="230" customFormat="1" ht="20.100000000000001" customHeight="1"/>
    <row r="544" s="230" customFormat="1" ht="20.100000000000001" customHeight="1"/>
    <row r="545" s="230" customFormat="1" ht="20.100000000000001" customHeight="1"/>
    <row r="546" s="230" customFormat="1" ht="20.100000000000001" customHeight="1"/>
    <row r="547" s="230" customFormat="1" ht="20.100000000000001" customHeight="1"/>
    <row r="548" s="230" customFormat="1" ht="20.100000000000001" customHeight="1"/>
    <row r="549" s="230" customFormat="1" ht="20.100000000000001" customHeight="1"/>
    <row r="550" s="230" customFormat="1" ht="20.100000000000001" customHeight="1"/>
    <row r="551" s="230" customFormat="1" ht="20.100000000000001" customHeight="1"/>
    <row r="552" s="230" customFormat="1" ht="20.100000000000001" customHeight="1"/>
    <row r="553" s="230" customFormat="1" ht="20.100000000000001" customHeight="1"/>
    <row r="554" s="230" customFormat="1" ht="20.100000000000001" customHeight="1"/>
    <row r="555" s="230" customFormat="1" ht="20.100000000000001" customHeight="1"/>
    <row r="556" s="230" customFormat="1" ht="20.100000000000001" customHeight="1"/>
    <row r="557" s="230" customFormat="1" ht="20.100000000000001" customHeight="1"/>
    <row r="558" s="230" customFormat="1" ht="20.100000000000001" customHeight="1"/>
    <row r="559" s="230" customFormat="1" ht="20.100000000000001" customHeight="1"/>
    <row r="560" s="230" customFormat="1" ht="20.100000000000001" customHeight="1"/>
    <row r="561" s="230" customFormat="1" ht="20.100000000000001" customHeight="1"/>
    <row r="562" s="230" customFormat="1" ht="20.100000000000001" customHeight="1"/>
    <row r="563" s="230" customFormat="1" ht="20.100000000000001" customHeight="1"/>
    <row r="564" s="230" customFormat="1" ht="20.100000000000001" customHeight="1"/>
    <row r="565" s="230" customFormat="1" ht="20.100000000000001" customHeight="1"/>
    <row r="566" s="230" customFormat="1" ht="20.100000000000001" customHeight="1"/>
    <row r="567" s="230" customFormat="1" ht="20.100000000000001" customHeight="1"/>
    <row r="568" s="230" customFormat="1" ht="20.100000000000001" customHeight="1"/>
    <row r="569" s="230" customFormat="1" ht="20.100000000000001" customHeight="1"/>
    <row r="570" s="230" customFormat="1" ht="20.100000000000001" customHeight="1"/>
    <row r="571" s="230" customFormat="1" ht="20.100000000000001" customHeight="1"/>
    <row r="572" s="230" customFormat="1" ht="20.100000000000001" customHeight="1"/>
    <row r="573" s="230" customFormat="1" ht="20.100000000000001" customHeight="1"/>
    <row r="574" s="230" customFormat="1" ht="20.100000000000001" customHeight="1"/>
    <row r="575" s="230" customFormat="1" ht="20.100000000000001" customHeight="1"/>
    <row r="576" s="230" customFormat="1" ht="20.100000000000001" customHeight="1"/>
    <row r="577" s="230" customFormat="1" ht="20.100000000000001" customHeight="1"/>
    <row r="578" s="230" customFormat="1" ht="20.100000000000001" customHeight="1"/>
    <row r="579" s="230" customFormat="1" ht="20.100000000000001" customHeight="1"/>
    <row r="580" s="230" customFormat="1" ht="20.100000000000001" customHeight="1"/>
    <row r="581" s="230" customFormat="1" ht="20.100000000000001" customHeight="1"/>
    <row r="582" s="230" customFormat="1" ht="20.100000000000001" customHeight="1"/>
    <row r="583" s="230" customFormat="1" ht="20.100000000000001" customHeight="1"/>
    <row r="584" s="230" customFormat="1" ht="20.100000000000001" customHeight="1"/>
    <row r="585" s="230" customFormat="1" ht="20.100000000000001" customHeight="1"/>
    <row r="586" s="230" customFormat="1" ht="20.100000000000001" customHeight="1"/>
    <row r="587" s="230" customFormat="1" ht="20.100000000000001" customHeight="1"/>
    <row r="588" s="230" customFormat="1" ht="20.100000000000001" customHeight="1"/>
    <row r="589" s="230" customFormat="1" ht="20.100000000000001" customHeight="1"/>
    <row r="590" s="230" customFormat="1" ht="20.100000000000001" customHeight="1"/>
    <row r="591" s="230" customFormat="1" ht="20.100000000000001" customHeight="1"/>
    <row r="592" s="230" customFormat="1" ht="20.100000000000001" customHeight="1"/>
    <row r="593" s="230" customFormat="1" ht="20.100000000000001" customHeight="1"/>
    <row r="594" s="230" customFormat="1" ht="20.100000000000001" customHeight="1"/>
    <row r="595" s="230" customFormat="1" ht="20.100000000000001" customHeight="1"/>
    <row r="596" s="230" customFormat="1" ht="20.100000000000001" customHeight="1"/>
    <row r="597" s="230" customFormat="1" ht="20.100000000000001" customHeight="1"/>
    <row r="598" s="230" customFormat="1" ht="20.100000000000001" customHeight="1"/>
    <row r="599" s="230" customFormat="1" ht="20.100000000000001" customHeight="1"/>
    <row r="600" s="230" customFormat="1" ht="20.100000000000001" customHeight="1"/>
    <row r="601" s="230" customFormat="1" ht="20.100000000000001" customHeight="1"/>
    <row r="602" s="230" customFormat="1" ht="20.100000000000001" customHeight="1"/>
    <row r="603" s="230" customFormat="1" ht="20.100000000000001" customHeight="1"/>
    <row r="604" s="230" customFormat="1" ht="20.100000000000001" customHeight="1"/>
    <row r="605" s="230" customFormat="1" ht="20.100000000000001" customHeight="1"/>
    <row r="606" s="230" customFormat="1" ht="20.100000000000001" customHeight="1"/>
    <row r="607" s="230" customFormat="1" ht="20.100000000000001" customHeight="1"/>
    <row r="608" s="230" customFormat="1" ht="20.100000000000001" customHeight="1"/>
    <row r="609" s="230" customFormat="1" ht="20.100000000000001" customHeight="1"/>
    <row r="610" s="230" customFormat="1" ht="20.100000000000001" customHeight="1"/>
    <row r="611" s="230" customFormat="1" ht="20.100000000000001" customHeight="1"/>
    <row r="612" s="230" customFormat="1" ht="20.100000000000001" customHeight="1"/>
    <row r="613" s="230" customFormat="1" ht="20.100000000000001" customHeight="1"/>
    <row r="614" s="230" customFormat="1" ht="20.100000000000001" customHeight="1"/>
    <row r="615" s="230" customFormat="1" ht="20.100000000000001" customHeight="1"/>
    <row r="616" s="230" customFormat="1" ht="20.100000000000001" customHeight="1"/>
    <row r="617" s="230" customFormat="1" ht="20.100000000000001" customHeight="1"/>
    <row r="618" s="230" customFormat="1" ht="20.100000000000001" customHeight="1"/>
    <row r="619" s="230" customFormat="1" ht="20.100000000000001" customHeight="1"/>
    <row r="620" s="230" customFormat="1" ht="20.100000000000001" customHeight="1"/>
    <row r="621" s="230" customFormat="1" ht="20.100000000000001" customHeight="1"/>
    <row r="622" s="230" customFormat="1" ht="20.100000000000001" customHeight="1"/>
    <row r="623" s="230" customFormat="1" ht="20.100000000000001" customHeight="1"/>
    <row r="624" s="230" customFormat="1" ht="20.100000000000001" customHeight="1"/>
    <row r="625" s="230" customFormat="1" ht="20.100000000000001" customHeight="1"/>
    <row r="626" s="230" customFormat="1" ht="20.100000000000001" customHeight="1"/>
    <row r="627" s="230" customFormat="1" ht="20.100000000000001" customHeight="1"/>
    <row r="628" s="230" customFormat="1" ht="20.100000000000001" customHeight="1"/>
    <row r="629" s="230" customFormat="1" ht="20.100000000000001" customHeight="1"/>
    <row r="630" s="230" customFormat="1" ht="20.100000000000001" customHeight="1"/>
    <row r="631" s="230" customFormat="1" ht="20.100000000000001" customHeight="1"/>
    <row r="632" s="230" customFormat="1" ht="20.100000000000001" customHeight="1"/>
    <row r="633" s="230" customFormat="1" ht="20.100000000000001" customHeight="1"/>
    <row r="634" s="230" customFormat="1" ht="20.100000000000001" customHeight="1"/>
    <row r="635" s="230" customFormat="1" ht="20.100000000000001" customHeight="1"/>
    <row r="636" s="230" customFormat="1" ht="20.100000000000001" customHeight="1"/>
    <row r="637" s="230" customFormat="1" ht="20.100000000000001" customHeight="1"/>
    <row r="638" s="230" customFormat="1" ht="20.100000000000001" customHeight="1"/>
    <row r="639" s="230" customFormat="1" ht="20.100000000000001" customHeight="1"/>
    <row r="640" s="230" customFormat="1" ht="20.100000000000001" customHeight="1"/>
    <row r="641" s="230" customFormat="1" ht="20.100000000000001" customHeight="1"/>
    <row r="642" s="230" customFormat="1" ht="20.100000000000001" customHeight="1"/>
    <row r="643" s="230" customFormat="1" ht="20.100000000000001" customHeight="1"/>
    <row r="644" s="230" customFormat="1" ht="20.100000000000001" customHeight="1"/>
    <row r="645" s="230" customFormat="1" ht="20.100000000000001" customHeight="1"/>
    <row r="646" s="230" customFormat="1" ht="20.100000000000001" customHeight="1"/>
    <row r="647" s="230" customFormat="1" ht="20.100000000000001" customHeight="1"/>
    <row r="648" s="230" customFormat="1" ht="20.100000000000001" customHeight="1"/>
    <row r="649" s="230" customFormat="1" ht="20.100000000000001" customHeight="1"/>
    <row r="650" s="230" customFormat="1" ht="20.100000000000001" customHeight="1"/>
    <row r="651" s="230" customFormat="1" ht="20.100000000000001" customHeight="1"/>
    <row r="652" s="230" customFormat="1" ht="20.100000000000001" customHeight="1"/>
    <row r="653" s="230" customFormat="1" ht="20.100000000000001" customHeight="1"/>
    <row r="654" s="230" customFormat="1" ht="20.100000000000001" customHeight="1"/>
    <row r="655" s="230" customFormat="1" ht="20.100000000000001" customHeight="1"/>
    <row r="656" s="230" customFormat="1" ht="20.100000000000001" customHeight="1"/>
    <row r="657" s="230" customFormat="1" ht="20.100000000000001" customHeight="1"/>
    <row r="658" s="230" customFormat="1" ht="20.100000000000001" customHeight="1"/>
    <row r="659" s="230" customFormat="1" ht="20.100000000000001" customHeight="1"/>
    <row r="660" s="230" customFormat="1" ht="20.100000000000001" customHeight="1"/>
    <row r="661" s="230" customFormat="1" ht="20.100000000000001" customHeight="1"/>
    <row r="662" s="230" customFormat="1" ht="20.100000000000001" customHeight="1"/>
    <row r="663" s="230" customFormat="1" ht="20.100000000000001" customHeight="1"/>
    <row r="664" s="230" customFormat="1" ht="20.100000000000001" customHeight="1"/>
    <row r="665" s="230" customFormat="1" ht="20.100000000000001" customHeight="1"/>
    <row r="666" s="230" customFormat="1" ht="20.100000000000001" customHeight="1"/>
    <row r="667" s="230" customFormat="1" ht="20.100000000000001" customHeight="1"/>
    <row r="668" s="230" customFormat="1" ht="20.100000000000001" customHeight="1"/>
    <row r="669" s="230" customFormat="1" ht="20.100000000000001" customHeight="1"/>
    <row r="670" s="230" customFormat="1" ht="20.100000000000001" customHeight="1"/>
    <row r="671" s="230" customFormat="1" ht="20.100000000000001" customHeight="1"/>
    <row r="672" s="230" customFormat="1" ht="20.100000000000001" customHeight="1"/>
    <row r="673" s="230" customFormat="1" ht="20.100000000000001" customHeight="1"/>
    <row r="674" s="230" customFormat="1" ht="20.100000000000001" customHeight="1"/>
    <row r="675" s="230" customFormat="1" ht="20.100000000000001" customHeight="1"/>
    <row r="676" s="230" customFormat="1" ht="20.100000000000001" customHeight="1"/>
    <row r="677" s="230" customFormat="1" ht="20.100000000000001" customHeight="1"/>
    <row r="678" s="230" customFormat="1" ht="20.100000000000001" customHeight="1"/>
    <row r="679" s="230" customFormat="1" ht="20.100000000000001" customHeight="1"/>
    <row r="680" s="230" customFormat="1" ht="20.100000000000001" customHeight="1"/>
    <row r="681" s="230" customFormat="1" ht="20.100000000000001" customHeight="1"/>
    <row r="682" s="230" customFormat="1" ht="20.100000000000001" customHeight="1"/>
    <row r="683" s="230" customFormat="1" ht="20.100000000000001" customHeight="1"/>
    <row r="684" s="230" customFormat="1" ht="20.100000000000001" customHeight="1"/>
    <row r="685" s="230" customFormat="1" ht="20.100000000000001" customHeight="1"/>
    <row r="686" s="230" customFormat="1" ht="20.100000000000001" customHeight="1"/>
    <row r="687" s="230" customFormat="1" ht="20.100000000000001" customHeight="1"/>
    <row r="688" s="230" customFormat="1" ht="20.100000000000001" customHeight="1"/>
    <row r="689" s="230" customFormat="1" ht="20.100000000000001" customHeight="1"/>
    <row r="690" s="230" customFormat="1" ht="20.100000000000001" customHeight="1"/>
    <row r="691" s="230" customFormat="1" ht="20.100000000000001" customHeight="1"/>
    <row r="692" s="230" customFormat="1" ht="20.100000000000001" customHeight="1"/>
    <row r="693" s="230" customFormat="1" ht="20.100000000000001" customHeight="1"/>
    <row r="694" s="230" customFormat="1" ht="20.100000000000001" customHeight="1"/>
    <row r="695" s="230" customFormat="1" ht="20.100000000000001" customHeight="1"/>
    <row r="696" s="230" customFormat="1" ht="20.100000000000001" customHeight="1"/>
    <row r="697" s="230" customFormat="1" ht="20.100000000000001" customHeight="1"/>
    <row r="698" s="230" customFormat="1" ht="20.100000000000001" customHeight="1"/>
    <row r="699" s="230" customFormat="1" ht="20.100000000000001" customHeight="1"/>
    <row r="700" s="230" customFormat="1" ht="20.100000000000001" customHeight="1"/>
    <row r="701" s="230" customFormat="1" ht="20.100000000000001" customHeight="1"/>
    <row r="702" s="230" customFormat="1" ht="20.100000000000001" customHeight="1"/>
    <row r="703" s="230" customFormat="1" ht="20.100000000000001" customHeight="1"/>
    <row r="704" s="230" customFormat="1" ht="20.100000000000001" customHeight="1"/>
    <row r="705" s="230" customFormat="1" ht="20.100000000000001" customHeight="1"/>
    <row r="706" s="230" customFormat="1" ht="20.100000000000001" customHeight="1"/>
    <row r="707" s="230" customFormat="1" ht="20.100000000000001" customHeight="1"/>
    <row r="708" s="230" customFormat="1" ht="20.100000000000001" customHeight="1"/>
    <row r="709" s="230" customFormat="1" ht="20.100000000000001" customHeight="1"/>
    <row r="710" s="230" customFormat="1" ht="20.100000000000001" customHeight="1"/>
    <row r="711" s="230" customFormat="1" ht="20.100000000000001" customHeight="1"/>
    <row r="712" s="230" customFormat="1" ht="20.100000000000001" customHeight="1"/>
    <row r="713" s="230" customFormat="1" ht="20.100000000000001" customHeight="1"/>
    <row r="714" s="230" customFormat="1" ht="20.100000000000001" customHeight="1"/>
    <row r="715" s="230" customFormat="1" ht="20.100000000000001" customHeight="1"/>
    <row r="716" s="230" customFormat="1" ht="20.100000000000001" customHeight="1"/>
    <row r="717" s="230" customFormat="1" ht="20.100000000000001" customHeight="1"/>
    <row r="718" s="230" customFormat="1" ht="20.100000000000001" customHeight="1"/>
    <row r="719" s="230" customFormat="1" ht="20.100000000000001" customHeight="1"/>
    <row r="720" s="230" customFormat="1" ht="20.100000000000001" customHeight="1"/>
    <row r="721" s="230" customFormat="1" ht="20.100000000000001" customHeight="1"/>
    <row r="722" s="230" customFormat="1" ht="20.100000000000001" customHeight="1"/>
    <row r="723" s="230" customFormat="1" ht="20.100000000000001" customHeight="1"/>
    <row r="724" s="230" customFormat="1" ht="20.100000000000001" customHeight="1"/>
    <row r="725" s="230" customFormat="1" ht="20.100000000000001" customHeight="1"/>
    <row r="726" s="230" customFormat="1" ht="20.100000000000001" customHeight="1"/>
    <row r="727" s="230" customFormat="1" ht="20.100000000000001" customHeight="1"/>
    <row r="728" s="230" customFormat="1" ht="20.100000000000001" customHeight="1"/>
    <row r="729" s="230" customFormat="1" ht="20.100000000000001" customHeight="1"/>
    <row r="730" s="230" customFormat="1" ht="20.100000000000001" customHeight="1"/>
    <row r="731" s="230" customFormat="1" ht="20.100000000000001" customHeight="1"/>
    <row r="732" s="230" customFormat="1" ht="20.100000000000001" customHeight="1"/>
    <row r="733" s="230" customFormat="1" ht="20.100000000000001" customHeight="1"/>
    <row r="734" s="230" customFormat="1" ht="20.100000000000001" customHeight="1"/>
    <row r="735" s="230" customFormat="1" ht="20.100000000000001" customHeight="1"/>
    <row r="736" s="230" customFormat="1" ht="20.100000000000001" customHeight="1"/>
    <row r="737" s="230" customFormat="1" ht="20.100000000000001" customHeight="1"/>
    <row r="738" s="230" customFormat="1" ht="20.100000000000001" customHeight="1"/>
    <row r="739" s="230" customFormat="1" ht="20.100000000000001" customHeight="1"/>
    <row r="740" s="230" customFormat="1" ht="20.100000000000001" customHeight="1"/>
    <row r="741" s="230" customFormat="1" ht="20.100000000000001" customHeight="1"/>
    <row r="742" s="230" customFormat="1" ht="20.100000000000001" customHeight="1"/>
    <row r="743" s="230" customFormat="1" ht="20.100000000000001" customHeight="1"/>
    <row r="744" s="230" customFormat="1" ht="20.100000000000001" customHeight="1"/>
    <row r="745" s="230" customFormat="1" ht="20.100000000000001" customHeight="1"/>
    <row r="746" s="230" customFormat="1" ht="20.100000000000001" customHeight="1"/>
    <row r="747" s="230" customFormat="1" ht="20.100000000000001" customHeight="1"/>
    <row r="748" s="230" customFormat="1" ht="20.100000000000001" customHeight="1"/>
    <row r="749" s="230" customFormat="1" ht="20.100000000000001" customHeight="1"/>
    <row r="750" s="230" customFormat="1" ht="20.100000000000001" customHeight="1"/>
    <row r="751" s="230" customFormat="1" ht="20.100000000000001" customHeight="1"/>
    <row r="752" s="230" customFormat="1" ht="20.100000000000001" customHeight="1"/>
    <row r="753" s="230" customFormat="1" ht="20.100000000000001" customHeight="1"/>
    <row r="754" s="230" customFormat="1" ht="20.100000000000001" customHeight="1"/>
    <row r="755" s="230" customFormat="1" ht="20.100000000000001" customHeight="1"/>
    <row r="756" s="230" customFormat="1" ht="20.100000000000001" customHeight="1"/>
    <row r="757" s="230" customFormat="1" ht="20.100000000000001" customHeight="1"/>
    <row r="758" s="230" customFormat="1" ht="20.100000000000001" customHeight="1"/>
    <row r="759" s="230" customFormat="1" ht="20.100000000000001" customHeight="1"/>
    <row r="760" s="230" customFormat="1" ht="20.100000000000001" customHeight="1"/>
    <row r="761" s="230" customFormat="1" ht="20.100000000000001" customHeight="1"/>
    <row r="762" s="230" customFormat="1" ht="20.100000000000001" customHeight="1"/>
    <row r="763" s="230" customFormat="1" ht="20.100000000000001" customHeight="1"/>
    <row r="764" s="230" customFormat="1" ht="20.100000000000001" customHeight="1"/>
    <row r="765" s="230" customFormat="1" ht="20.100000000000001" customHeight="1"/>
    <row r="766" s="230" customFormat="1" ht="20.100000000000001" customHeight="1"/>
    <row r="767" s="230" customFormat="1" ht="20.100000000000001" customHeight="1"/>
    <row r="768" s="230" customFormat="1" ht="20.100000000000001" customHeight="1"/>
    <row r="769" s="230" customFormat="1" ht="20.100000000000001" customHeight="1"/>
    <row r="770" s="230" customFormat="1" ht="20.100000000000001" customHeight="1"/>
    <row r="771" s="230" customFormat="1" ht="20.100000000000001" customHeight="1"/>
    <row r="772" s="230" customFormat="1" ht="20.100000000000001" customHeight="1"/>
    <row r="773" s="230" customFormat="1" ht="20.100000000000001" customHeight="1"/>
    <row r="774" s="230" customFormat="1" ht="20.100000000000001" customHeight="1"/>
    <row r="775" s="230" customFormat="1" ht="20.100000000000001" customHeight="1"/>
    <row r="776" s="230" customFormat="1" ht="20.100000000000001" customHeight="1"/>
    <row r="777" s="230" customFormat="1" ht="20.100000000000001" customHeight="1"/>
    <row r="778" s="230" customFormat="1" ht="20.100000000000001" customHeight="1"/>
    <row r="779" s="230" customFormat="1" ht="20.100000000000001" customHeight="1"/>
    <row r="780" s="230" customFormat="1" ht="20.100000000000001" customHeight="1"/>
    <row r="781" s="230" customFormat="1" ht="20.100000000000001" customHeight="1"/>
    <row r="782" s="230" customFormat="1" ht="20.100000000000001" customHeight="1"/>
    <row r="783" s="230" customFormat="1" ht="20.100000000000001" customHeight="1"/>
    <row r="784" s="230" customFormat="1" ht="20.100000000000001" customHeight="1"/>
    <row r="785" s="230" customFormat="1" ht="20.100000000000001" customHeight="1"/>
    <row r="786" s="230" customFormat="1" ht="20.100000000000001" customHeight="1"/>
    <row r="787" s="230" customFormat="1" ht="20.100000000000001" customHeight="1"/>
    <row r="788" s="230" customFormat="1" ht="20.100000000000001" customHeight="1"/>
    <row r="789" s="230" customFormat="1" ht="20.100000000000001" customHeight="1"/>
    <row r="790" s="230" customFormat="1" ht="20.100000000000001" customHeight="1"/>
    <row r="791" s="230" customFormat="1" ht="20.100000000000001" customHeight="1"/>
    <row r="792" s="230" customFormat="1" ht="20.100000000000001" customHeight="1"/>
    <row r="793" s="230" customFormat="1" ht="20.100000000000001" customHeight="1"/>
    <row r="794" s="230" customFormat="1" ht="20.100000000000001" customHeight="1"/>
    <row r="795" s="230" customFormat="1" ht="20.100000000000001" customHeight="1"/>
    <row r="796" s="230" customFormat="1" ht="20.100000000000001" customHeight="1"/>
    <row r="797" s="230" customFormat="1" ht="20.100000000000001" customHeight="1"/>
    <row r="798" s="230" customFormat="1" ht="20.100000000000001" customHeight="1"/>
    <row r="799" s="230" customFormat="1" ht="20.100000000000001" customHeight="1"/>
    <row r="800" s="230" customFormat="1" ht="20.100000000000001" customHeight="1"/>
    <row r="801" s="230" customFormat="1" ht="20.100000000000001" customHeight="1"/>
    <row r="802" s="230" customFormat="1" ht="20.100000000000001" customHeight="1"/>
    <row r="803" s="230" customFormat="1" ht="20.100000000000001" customHeight="1"/>
    <row r="804" s="230" customFormat="1" ht="20.100000000000001" customHeight="1"/>
    <row r="805" s="230" customFormat="1" ht="20.100000000000001" customHeight="1"/>
    <row r="806" s="230" customFormat="1" ht="20.100000000000001" customHeight="1"/>
    <row r="807" s="230" customFormat="1" ht="20.100000000000001" customHeight="1"/>
    <row r="808" s="230" customFormat="1" ht="20.100000000000001" customHeight="1"/>
    <row r="809" s="230" customFormat="1" ht="20.100000000000001" customHeight="1"/>
    <row r="810" s="230" customFormat="1" ht="20.100000000000001" customHeight="1"/>
    <row r="811" s="230" customFormat="1" ht="20.100000000000001" customHeight="1"/>
    <row r="812" s="230" customFormat="1" ht="20.100000000000001" customHeight="1"/>
    <row r="813" s="230" customFormat="1" ht="20.100000000000001" customHeight="1"/>
    <row r="814" s="230" customFormat="1" ht="20.100000000000001" customHeight="1"/>
    <row r="815" s="230" customFormat="1" ht="20.100000000000001" customHeight="1"/>
    <row r="816" s="230" customFormat="1" ht="20.100000000000001" customHeight="1"/>
    <row r="817" s="230" customFormat="1" ht="20.100000000000001" customHeight="1"/>
    <row r="818" s="230" customFormat="1" ht="20.100000000000001" customHeight="1"/>
    <row r="819" s="230" customFormat="1" ht="20.100000000000001" customHeight="1"/>
    <row r="820" s="230" customFormat="1" ht="20.100000000000001" customHeight="1"/>
    <row r="821" s="230" customFormat="1" ht="20.100000000000001" customHeight="1"/>
    <row r="822" s="230" customFormat="1" ht="20.100000000000001" customHeight="1"/>
    <row r="823" s="230" customFormat="1" ht="20.100000000000001" customHeight="1"/>
    <row r="824" s="230" customFormat="1" ht="20.100000000000001" customHeight="1"/>
    <row r="825" s="230" customFormat="1" ht="20.100000000000001" customHeight="1"/>
    <row r="826" s="230" customFormat="1" ht="20.100000000000001" customHeight="1"/>
    <row r="827" s="230" customFormat="1" ht="20.100000000000001" customHeight="1"/>
    <row r="828" s="230" customFormat="1" ht="20.100000000000001" customHeight="1"/>
    <row r="829" s="230" customFormat="1" ht="20.100000000000001" customHeight="1"/>
    <row r="830" s="230" customFormat="1" ht="20.100000000000001" customHeight="1"/>
    <row r="831" s="230" customFormat="1" ht="20.100000000000001" customHeight="1"/>
    <row r="832" s="230" customFormat="1" ht="20.100000000000001" customHeight="1"/>
    <row r="833" s="230" customFormat="1" ht="20.100000000000001" customHeight="1"/>
    <row r="834" s="230" customFormat="1" ht="20.100000000000001" customHeight="1"/>
    <row r="835" s="230" customFormat="1" ht="20.100000000000001" customHeight="1"/>
    <row r="836" s="230" customFormat="1" ht="20.100000000000001" customHeight="1"/>
    <row r="837" s="230" customFormat="1" ht="20.100000000000001" customHeight="1"/>
    <row r="838" s="230" customFormat="1" ht="20.100000000000001" customHeight="1"/>
    <row r="839" s="230" customFormat="1" ht="20.100000000000001" customHeight="1"/>
    <row r="840" s="230" customFormat="1" ht="20.100000000000001" customHeight="1"/>
    <row r="841" s="230" customFormat="1" ht="20.100000000000001" customHeight="1"/>
    <row r="842" s="230" customFormat="1" ht="20.100000000000001" customHeight="1"/>
    <row r="843" s="230" customFormat="1" ht="20.100000000000001" customHeight="1"/>
    <row r="844" s="230" customFormat="1" ht="20.100000000000001" customHeight="1"/>
    <row r="845" s="230" customFormat="1" ht="20.100000000000001" customHeight="1"/>
    <row r="846" s="230" customFormat="1" ht="20.100000000000001" customHeight="1"/>
    <row r="847" s="230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8"/>
  <sheetViews>
    <sheetView tabSelected="1" zoomScaleNormal="100" workbookViewId="0">
      <selection activeCell="D12" sqref="D12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66" customFormat="1" ht="107.25" customHeight="1" thickBot="1">
      <c r="A1" s="666"/>
      <c r="B1" s="667"/>
      <c r="C1" s="667"/>
      <c r="D1" s="668" t="s">
        <v>844</v>
      </c>
      <c r="E1" s="666"/>
      <c r="F1" s="668"/>
      <c r="G1" s="667"/>
      <c r="H1" s="667"/>
      <c r="I1" s="667"/>
      <c r="J1" s="669"/>
      <c r="K1" s="667"/>
      <c r="L1" s="667"/>
      <c r="M1" s="667"/>
      <c r="N1" s="667"/>
      <c r="O1" s="667"/>
      <c r="P1" s="670"/>
      <c r="Q1" s="667"/>
      <c r="R1" s="667"/>
    </row>
    <row r="2" spans="1:18" s="46" customFormat="1" ht="23.1" customHeight="1">
      <c r="A2" s="805" t="s">
        <v>0</v>
      </c>
      <c r="B2" s="795" t="s">
        <v>39</v>
      </c>
      <c r="C2" s="795" t="s">
        <v>6</v>
      </c>
      <c r="D2" s="795" t="s">
        <v>38</v>
      </c>
      <c r="E2" s="795" t="s">
        <v>194</v>
      </c>
      <c r="F2" s="795" t="s">
        <v>193</v>
      </c>
      <c r="G2" s="799" t="s">
        <v>1</v>
      </c>
      <c r="H2" s="799" t="s">
        <v>2</v>
      </c>
      <c r="I2" s="799" t="s">
        <v>162</v>
      </c>
      <c r="J2" s="803" t="s">
        <v>239</v>
      </c>
      <c r="K2" s="799" t="s">
        <v>238</v>
      </c>
      <c r="L2" s="799" t="s">
        <v>3</v>
      </c>
      <c r="M2" s="799" t="s">
        <v>4</v>
      </c>
      <c r="N2" s="799" t="s">
        <v>5</v>
      </c>
      <c r="O2" s="799" t="s">
        <v>237</v>
      </c>
      <c r="P2" s="801" t="s">
        <v>236</v>
      </c>
      <c r="Q2" s="795" t="s">
        <v>149</v>
      </c>
      <c r="R2" s="797" t="s">
        <v>87</v>
      </c>
    </row>
    <row r="3" spans="1:18" s="46" customFormat="1" ht="27" customHeight="1">
      <c r="A3" s="806"/>
      <c r="B3" s="796"/>
      <c r="C3" s="796"/>
      <c r="D3" s="796"/>
      <c r="E3" s="796"/>
      <c r="F3" s="796"/>
      <c r="G3" s="800"/>
      <c r="H3" s="800"/>
      <c r="I3" s="800"/>
      <c r="J3" s="804"/>
      <c r="K3" s="800"/>
      <c r="L3" s="800"/>
      <c r="M3" s="800"/>
      <c r="N3" s="800"/>
      <c r="O3" s="800"/>
      <c r="P3" s="802"/>
      <c r="Q3" s="796"/>
      <c r="R3" s="798"/>
    </row>
    <row r="4" spans="1:18" ht="23.1" customHeight="1">
      <c r="A4" s="733" t="s">
        <v>805</v>
      </c>
      <c r="B4" s="734" t="str">
        <f>Recharge!$B$32</f>
        <v>주식회사 한일지하수</v>
      </c>
      <c r="C4" s="735"/>
      <c r="D4" s="736" t="s">
        <v>845</v>
      </c>
      <c r="E4" s="736" t="str">
        <f>Recharge!$I$24</f>
        <v>한강/한강서울</v>
      </c>
      <c r="F4" s="736" t="str">
        <f>All!$B$2</f>
        <v>수원기상청</v>
      </c>
      <c r="G4" s="736">
        <v>150</v>
      </c>
      <c r="H4" s="736">
        <v>500</v>
      </c>
      <c r="I4" s="736">
        <v>5</v>
      </c>
      <c r="J4" s="736">
        <v>100</v>
      </c>
      <c r="K4" s="736">
        <v>240</v>
      </c>
      <c r="L4" s="736">
        <v>5</v>
      </c>
      <c r="M4" s="736">
        <v>70</v>
      </c>
      <c r="N4" s="737">
        <v>40</v>
      </c>
      <c r="O4" s="738">
        <f>ROUND(water!$F$7, 1)</f>
        <v>200.2</v>
      </c>
      <c r="P4" s="739">
        <v>3487130.5455</v>
      </c>
      <c r="Q4" s="736"/>
      <c r="R4" s="740"/>
    </row>
    <row r="5" spans="1:18" ht="23.1" customHeight="1">
      <c r="A5" s="733" t="s">
        <v>808</v>
      </c>
      <c r="B5" s="734" t="str">
        <f>Recharge!$B$32</f>
        <v>주식회사 한일지하수</v>
      </c>
      <c r="C5" s="735"/>
      <c r="D5" s="736" t="s">
        <v>845</v>
      </c>
      <c r="E5" s="736" t="str">
        <f>Recharge!$I$24</f>
        <v>한강/한강서울</v>
      </c>
      <c r="F5" s="736" t="str">
        <f>All!$B$2</f>
        <v>수원기상청</v>
      </c>
      <c r="G5" s="736">
        <v>150</v>
      </c>
      <c r="H5" s="736">
        <v>500</v>
      </c>
      <c r="I5" s="736">
        <v>5</v>
      </c>
      <c r="J5" s="736">
        <v>100</v>
      </c>
      <c r="K5" s="736">
        <v>240</v>
      </c>
      <c r="L5" s="736">
        <v>5</v>
      </c>
      <c r="M5" s="736">
        <v>70</v>
      </c>
      <c r="N5" s="737">
        <v>40</v>
      </c>
      <c r="O5" s="738">
        <f>ROUND(water!$F$7, 1)</f>
        <v>200.2</v>
      </c>
      <c r="P5" s="739">
        <v>3487130.5455</v>
      </c>
      <c r="Q5" s="736"/>
      <c r="R5" s="740"/>
    </row>
    <row r="6" spans="1:18" ht="23.1" customHeight="1" thickBot="1">
      <c r="A6" s="741" t="s">
        <v>809</v>
      </c>
      <c r="B6" s="742" t="str">
        <f>Recharge!$B$32</f>
        <v>주식회사 한일지하수</v>
      </c>
      <c r="C6" s="743"/>
      <c r="D6" s="744" t="s">
        <v>846</v>
      </c>
      <c r="E6" s="744" t="str">
        <f>Recharge!$I$24</f>
        <v>한강/한강서울</v>
      </c>
      <c r="F6" s="744" t="str">
        <f>All!$B$2</f>
        <v>수원기상청</v>
      </c>
      <c r="G6" s="744">
        <v>150</v>
      </c>
      <c r="H6" s="744">
        <v>500</v>
      </c>
      <c r="I6" s="744">
        <v>5</v>
      </c>
      <c r="J6" s="744">
        <v>100</v>
      </c>
      <c r="K6" s="744">
        <v>240</v>
      </c>
      <c r="L6" s="744">
        <v>5</v>
      </c>
      <c r="M6" s="744">
        <v>70</v>
      </c>
      <c r="N6" s="745">
        <v>40</v>
      </c>
      <c r="O6" s="746">
        <f>ROUND(water!$F$7, 1)</f>
        <v>200.2</v>
      </c>
      <c r="P6" s="747">
        <v>3487130.5455</v>
      </c>
      <c r="Q6" s="744"/>
      <c r="R6" s="748"/>
    </row>
    <row r="7" spans="1:18" ht="23.25" customHeight="1" thickBot="1">
      <c r="A7" s="73"/>
      <c r="J7" s="87"/>
      <c r="P7" s="88"/>
    </row>
    <row r="8" spans="1:18" ht="23.25" customHeight="1" thickBot="1">
      <c r="I8" s="162">
        <f>SUM(I4:I7)</f>
        <v>15</v>
      </c>
    </row>
    <row r="12" spans="1:18">
      <c r="Q12" s="16" t="s">
        <v>112</v>
      </c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7" sqref="F2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146</v>
      </c>
      <c r="C2" s="445" t="str">
        <f>Well!D4</f>
        <v>경기도 안양시 동안구 호계동 1001-28</v>
      </c>
      <c r="D2" s="446"/>
      <c r="E2" s="514">
        <f>K7</f>
        <v>0</v>
      </c>
      <c r="F2" s="514">
        <f>(G7*E2^2)/E7</f>
        <v>0</v>
      </c>
      <c r="G2" s="446"/>
      <c r="H2"/>
      <c r="I2" s="72" t="s">
        <v>195</v>
      </c>
      <c r="J2"/>
      <c r="K2"/>
      <c r="L2"/>
      <c r="M2"/>
    </row>
    <row r="3" spans="1:13" ht="20.100000000000001" customHeight="1">
      <c r="B3" s="584" t="s">
        <v>48</v>
      </c>
      <c r="C3" s="722">
        <f>Well!C4</f>
        <v>0</v>
      </c>
      <c r="D3" s="589" t="s">
        <v>49</v>
      </c>
      <c r="E3" s="590" t="s">
        <v>108</v>
      </c>
      <c r="F3" s="591" t="s">
        <v>98</v>
      </c>
      <c r="G3" s="592" t="s">
        <v>623</v>
      </c>
      <c r="H3"/>
      <c r="I3"/>
      <c r="J3"/>
      <c r="K3"/>
      <c r="L3"/>
      <c r="M3"/>
    </row>
    <row r="4" spans="1:13" ht="20.100000000000001" customHeight="1" thickBot="1">
      <c r="B4" s="585" t="s">
        <v>50</v>
      </c>
      <c r="C4" s="723">
        <f>Well!R4</f>
        <v>0</v>
      </c>
      <c r="D4" s="593" t="s">
        <v>51</v>
      </c>
      <c r="E4" s="594">
        <v>0</v>
      </c>
      <c r="F4" s="594"/>
      <c r="G4" s="595">
        <v>6.8330000000000002E-2</v>
      </c>
      <c r="H4"/>
      <c r="I4"/>
      <c r="J4"/>
      <c r="K4"/>
      <c r="L4"/>
      <c r="M4"/>
    </row>
    <row r="5" spans="1:13" ht="20.100000000000001" customHeight="1" thickBot="1">
      <c r="B5" s="585" t="s">
        <v>52</v>
      </c>
      <c r="C5" s="723">
        <f>Well!Q4</f>
        <v>0</v>
      </c>
      <c r="D5" s="593" t="s">
        <v>53</v>
      </c>
      <c r="E5" s="596">
        <v>2.8660000000000001</v>
      </c>
      <c r="F5" s="597">
        <f>$E$5/$C$14</f>
        <v>6.1767241379310344E-3</v>
      </c>
      <c r="G5" s="598">
        <v>1.7789999999999999E-4</v>
      </c>
      <c r="H5" s="447">
        <v>-2.9757780310988386</v>
      </c>
      <c r="I5"/>
      <c r="J5" s="136" t="s">
        <v>312</v>
      </c>
      <c r="K5"/>
      <c r="L5"/>
      <c r="M5"/>
    </row>
    <row r="6" spans="1:13" ht="20.100000000000001" customHeight="1" thickBot="1">
      <c r="B6" s="585" t="s">
        <v>54</v>
      </c>
      <c r="C6" s="724" t="str">
        <f>Well!D4</f>
        <v>경기도 안양시 동안구 호계동 1001-28</v>
      </c>
      <c r="D6" s="593" t="s">
        <v>56</v>
      </c>
      <c r="E6" s="597">
        <v>1.466</v>
      </c>
      <c r="F6" s="597">
        <f>$E$6/$C$14</f>
        <v>3.1594827586206896E-3</v>
      </c>
      <c r="G6" s="599">
        <v>82.54</v>
      </c>
      <c r="H6" s="448">
        <v>1.47</v>
      </c>
      <c r="I6"/>
      <c r="J6" s="678" t="s">
        <v>310</v>
      </c>
      <c r="K6" s="679">
        <v>228</v>
      </c>
      <c r="L6"/>
      <c r="M6"/>
    </row>
    <row r="7" spans="1:13" ht="20.100000000000001" customHeight="1" thickBot="1">
      <c r="B7" s="586" t="s">
        <v>55</v>
      </c>
      <c r="C7" s="725">
        <f>Well!H4</f>
        <v>500</v>
      </c>
      <c r="D7" s="600" t="s">
        <v>58</v>
      </c>
      <c r="E7" s="601">
        <f>ROUND((E5+E6)/2,4)</f>
        <v>2.1659999999999999</v>
      </c>
      <c r="F7" s="602">
        <f>$E$7/$C$14</f>
        <v>4.6681034482758616E-3</v>
      </c>
      <c r="G7" s="603">
        <f>G5</f>
        <v>1.7789999999999999E-4</v>
      </c>
      <c r="I7"/>
      <c r="J7" s="680" t="s">
        <v>311</v>
      </c>
      <c r="K7" s="681">
        <v>0</v>
      </c>
      <c r="L7"/>
      <c r="M7"/>
    </row>
    <row r="8" spans="1:13" ht="20.100000000000001" customHeight="1" thickBot="1">
      <c r="B8" s="586" t="s">
        <v>57</v>
      </c>
      <c r="C8" s="726">
        <f>Well!G4</f>
        <v>150</v>
      </c>
      <c r="D8" s="513">
        <f>C8/2000</f>
        <v>7.4999999999999997E-2</v>
      </c>
    </row>
    <row r="9" spans="1:13" ht="25.5" customHeight="1" thickBot="1">
      <c r="B9" s="586" t="s">
        <v>59</v>
      </c>
      <c r="C9" s="727">
        <f>C10+C11</f>
        <v>36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101.4</v>
      </c>
    </row>
    <row r="10" spans="1:13" ht="20.100000000000001" customHeight="1" thickBot="1">
      <c r="B10" s="585" t="s">
        <v>60</v>
      </c>
      <c r="C10" s="697">
        <v>5</v>
      </c>
      <c r="D10" s="124" t="s">
        <v>61</v>
      </c>
      <c r="E10" s="453">
        <v>39.799999999999997</v>
      </c>
      <c r="F10" s="454">
        <v>48.8</v>
      </c>
      <c r="G10" s="455">
        <v>101.4</v>
      </c>
      <c r="H10" s="153">
        <f>MIN(E10,F10,G10)</f>
        <v>39.799999999999997</v>
      </c>
      <c r="I10" s="4"/>
    </row>
    <row r="11" spans="1:13" ht="25.5" customHeight="1" thickBot="1">
      <c r="B11" s="585" t="s">
        <v>62</v>
      </c>
      <c r="C11" s="697">
        <v>31</v>
      </c>
      <c r="D11" s="74" t="s">
        <v>63</v>
      </c>
      <c r="E11" s="66">
        <f>ROUND(AVERAGE(E10:G10),1)</f>
        <v>63.3</v>
      </c>
      <c r="F11" s="121">
        <f>ROUND((E10+F10)/2,1)</f>
        <v>44.3</v>
      </c>
      <c r="H11" s="152">
        <f>ROUND(AVERAGE(E10:G10),1)</f>
        <v>63.3</v>
      </c>
      <c r="I11" s="4"/>
      <c r="J11" s="583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585" t="s">
        <v>64</v>
      </c>
      <c r="C12" s="728">
        <f>C7-C9</f>
        <v>464</v>
      </c>
      <c r="H12" s="6"/>
      <c r="J12" s="128" t="s">
        <v>109</v>
      </c>
      <c r="K12" s="581">
        <v>149</v>
      </c>
      <c r="L12" s="580">
        <f>K12+180</f>
        <v>329</v>
      </c>
    </row>
    <row r="13" spans="1:13" ht="20.100000000000001" customHeight="1">
      <c r="A13" s="5">
        <f>C10+C11+C12+C13</f>
        <v>500</v>
      </c>
      <c r="B13" s="585" t="s">
        <v>65</v>
      </c>
      <c r="C13" s="728"/>
      <c r="D13" s="67" t="str">
        <f>All!B2</f>
        <v>수원기상청</v>
      </c>
      <c r="E13" s="67" t="str">
        <f>Recharge!I24</f>
        <v>한강/한강서울</v>
      </c>
      <c r="F13" s="449">
        <f>rf_1</f>
        <v>0.14099999999999999</v>
      </c>
      <c r="G13" s="449">
        <f>allow_ratio</f>
        <v>0.72399999999999998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586" t="s">
        <v>66</v>
      </c>
      <c r="C14" s="729">
        <f>C7-IF(C20&gt;C9,C20,C9)</f>
        <v>464</v>
      </c>
      <c r="F14" s="450"/>
      <c r="G14" s="449">
        <f>max</f>
        <v>1356.3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586" t="s">
        <v>67</v>
      </c>
      <c r="C15" s="726">
        <f>Well!I4</f>
        <v>5</v>
      </c>
      <c r="E15" s="19">
        <v>1</v>
      </c>
      <c r="J15" s="128" t="s">
        <v>104</v>
      </c>
      <c r="K15" s="134">
        <v>2</v>
      </c>
      <c r="L15" s="131"/>
    </row>
    <row r="16" spans="1:13" ht="20.100000000000001" customHeight="1">
      <c r="B16" s="585" t="s">
        <v>68</v>
      </c>
      <c r="C16" s="730">
        <f>Well!J4</f>
        <v>100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6.65</v>
      </c>
      <c r="L16" s="131"/>
    </row>
    <row r="17" spans="2:12" ht="20.100000000000001" customHeight="1" thickBot="1">
      <c r="B17" s="585" t="s">
        <v>69</v>
      </c>
      <c r="C17" s="731">
        <f>Well!L4</f>
        <v>5</v>
      </c>
      <c r="E17" s="116">
        <f>Well!P4</f>
        <v>3487130.5455</v>
      </c>
      <c r="F17" s="71">
        <f>(max*rf_1*E17/1000)</f>
        <v>666872.91739949258</v>
      </c>
      <c r="G17" s="70">
        <f>F17*allow_ratio</f>
        <v>482815.99219723261</v>
      </c>
      <c r="J17" s="128" t="s">
        <v>105</v>
      </c>
      <c r="K17" s="135">
        <f>K16-K15</f>
        <v>4.6500000000000004</v>
      </c>
      <c r="L17" s="131"/>
    </row>
    <row r="18" spans="2:12" ht="20.100000000000001" customHeight="1" thickBot="1">
      <c r="B18" s="585" t="s">
        <v>70</v>
      </c>
      <c r="C18" s="731">
        <f>Well!M4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5.6024096385542173E-3</v>
      </c>
      <c r="L18" s="133">
        <f>K18*100</f>
        <v>0.56024096385542177</v>
      </c>
    </row>
    <row r="19" spans="2:12" ht="20.100000000000001" customHeight="1" thickBot="1">
      <c r="B19" s="585" t="s">
        <v>72</v>
      </c>
      <c r="C19" s="731">
        <f>Well!N4</f>
        <v>40</v>
      </c>
      <c r="E19" s="116">
        <f>E17</f>
        <v>3487130.5455</v>
      </c>
      <c r="F19" s="68">
        <f>(max*rf_1*E19/1000)/365</f>
        <v>1827.0490887657331</v>
      </c>
      <c r="G19" s="69">
        <f>F19*allow_ratio</f>
        <v>1322.7835402663907</v>
      </c>
      <c r="H19" s="65">
        <f>G19-F21</f>
        <v>1122.5835402663906</v>
      </c>
    </row>
    <row r="20" spans="2:12" ht="20.100000000000001" customHeight="1">
      <c r="B20" s="586" t="s">
        <v>73</v>
      </c>
      <c r="C20" s="696">
        <v>11.35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586" t="s">
        <v>74</v>
      </c>
      <c r="C21" s="696">
        <v>38.270000000000003</v>
      </c>
      <c r="D21" s="5"/>
      <c r="E21" s="117">
        <f>Well!$I$8</f>
        <v>15</v>
      </c>
      <c r="F21" s="118">
        <f>Well!O4</f>
        <v>200.2</v>
      </c>
      <c r="G21" s="70">
        <f>G19-E21-F21</f>
        <v>1107.5835402663906</v>
      </c>
    </row>
    <row r="22" spans="2:12" ht="20.100000000000001" customHeight="1" thickBot="1">
      <c r="B22" s="586" t="s">
        <v>154</v>
      </c>
      <c r="C22" s="732">
        <f>C21-C20</f>
        <v>26.92</v>
      </c>
      <c r="E22" s="298">
        <f>E21+F21</f>
        <v>215.2</v>
      </c>
      <c r="F22" s="299"/>
      <c r="G22" s="8"/>
      <c r="I22" s="7"/>
    </row>
    <row r="23" spans="2:12" ht="20.100000000000001" customHeight="1" thickBot="1">
      <c r="B23" s="587" t="s">
        <v>220</v>
      </c>
      <c r="C23" s="588">
        <v>3.92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75" t="s">
        <v>559</v>
      </c>
      <c r="C25" s="647"/>
      <c r="D25" s="648" t="s">
        <v>96</v>
      </c>
      <c r="E25" s="648" t="s">
        <v>97</v>
      </c>
      <c r="F25" s="648" t="s">
        <v>89</v>
      </c>
      <c r="G25" s="648" t="s">
        <v>90</v>
      </c>
      <c r="H25" s="648" t="s">
        <v>111</v>
      </c>
      <c r="I25" s="648" t="s">
        <v>91</v>
      </c>
      <c r="J25" s="649" t="s">
        <v>92</v>
      </c>
      <c r="K25" s="650" t="s">
        <v>93</v>
      </c>
    </row>
    <row r="26" spans="2:12" ht="25.5" customHeight="1">
      <c r="B26" s="807" t="s">
        <v>49</v>
      </c>
      <c r="C26" s="651" t="s">
        <v>94</v>
      </c>
      <c r="D26" s="662">
        <f>C20</f>
        <v>11.35</v>
      </c>
      <c r="E26" s="663">
        <f>Recharge!C30</f>
        <v>19.123829999999998</v>
      </c>
      <c r="F26" s="652" t="s">
        <v>173</v>
      </c>
      <c r="G26" s="662" t="s">
        <v>341</v>
      </c>
      <c r="H26" s="664">
        <f>L18</f>
        <v>0.56024096385542177</v>
      </c>
      <c r="I26" s="651" t="s">
        <v>173</v>
      </c>
      <c r="J26" s="665">
        <f>((E7/C14)/86400)</f>
        <v>5.4028975095785433E-8</v>
      </c>
      <c r="K26" s="653" t="s">
        <v>628</v>
      </c>
    </row>
    <row r="27" spans="2:12" ht="25.5" customHeight="1">
      <c r="B27" s="807"/>
      <c r="C27" s="654" t="s">
        <v>95</v>
      </c>
      <c r="D27" s="661">
        <v>5</v>
      </c>
      <c r="E27" s="661">
        <v>8</v>
      </c>
      <c r="F27" s="661">
        <v>3</v>
      </c>
      <c r="G27" s="661">
        <v>3</v>
      </c>
      <c r="H27" s="661">
        <v>10</v>
      </c>
      <c r="I27" s="661">
        <v>4</v>
      </c>
      <c r="J27" s="661">
        <v>1</v>
      </c>
      <c r="K27" s="653" t="s">
        <v>581</v>
      </c>
    </row>
    <row r="28" spans="2:12" ht="25.5" customHeight="1">
      <c r="B28" s="807"/>
      <c r="C28" s="655" t="s">
        <v>166</v>
      </c>
      <c r="D28" s="656">
        <v>5</v>
      </c>
      <c r="E28" s="656">
        <v>4</v>
      </c>
      <c r="F28" s="656">
        <v>3</v>
      </c>
      <c r="G28" s="656">
        <v>2</v>
      </c>
      <c r="H28" s="656">
        <v>1</v>
      </c>
      <c r="I28" s="656">
        <v>5</v>
      </c>
      <c r="J28" s="656">
        <v>3</v>
      </c>
      <c r="K28" s="657"/>
    </row>
    <row r="29" spans="2:12" ht="25.5" customHeight="1">
      <c r="B29" s="807"/>
      <c r="C29" s="655" t="s">
        <v>167</v>
      </c>
      <c r="D29" s="656">
        <v>5</v>
      </c>
      <c r="E29" s="656">
        <v>4</v>
      </c>
      <c r="F29" s="656">
        <v>3</v>
      </c>
      <c r="G29" s="656">
        <v>5</v>
      </c>
      <c r="H29" s="656">
        <v>3</v>
      </c>
      <c r="I29" s="656">
        <v>4</v>
      </c>
      <c r="J29" s="656">
        <v>2</v>
      </c>
      <c r="K29" s="657"/>
    </row>
    <row r="30" spans="2:12" ht="25.5" customHeight="1">
      <c r="B30" s="807"/>
      <c r="C30" s="651" t="s">
        <v>168</v>
      </c>
      <c r="D30" s="658">
        <f>D27*D28</f>
        <v>25</v>
      </c>
      <c r="E30" s="658">
        <f t="shared" ref="E30:J30" si="0">E27*E28</f>
        <v>32</v>
      </c>
      <c r="F30" s="658">
        <f t="shared" si="0"/>
        <v>9</v>
      </c>
      <c r="G30" s="658">
        <f t="shared" si="0"/>
        <v>6</v>
      </c>
      <c r="H30" s="658">
        <f t="shared" si="0"/>
        <v>10</v>
      </c>
      <c r="I30" s="658">
        <f t="shared" si="0"/>
        <v>20</v>
      </c>
      <c r="J30" s="658">
        <f t="shared" si="0"/>
        <v>3</v>
      </c>
      <c r="K30" s="676">
        <f>SUM(D30:J30)</f>
        <v>105</v>
      </c>
    </row>
    <row r="31" spans="2:12" ht="25.5" customHeight="1" thickBot="1">
      <c r="B31" s="808"/>
      <c r="C31" s="659" t="s">
        <v>169</v>
      </c>
      <c r="D31" s="660">
        <f t="shared" ref="D31:J31" si="1">D27*D29</f>
        <v>25</v>
      </c>
      <c r="E31" s="660">
        <f t="shared" si="1"/>
        <v>32</v>
      </c>
      <c r="F31" s="660">
        <f t="shared" si="1"/>
        <v>9</v>
      </c>
      <c r="G31" s="660">
        <f t="shared" si="1"/>
        <v>15</v>
      </c>
      <c r="H31" s="660">
        <f t="shared" si="1"/>
        <v>30</v>
      </c>
      <c r="I31" s="660">
        <f t="shared" si="1"/>
        <v>16</v>
      </c>
      <c r="J31" s="660">
        <f t="shared" si="1"/>
        <v>2</v>
      </c>
      <c r="K31" s="677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6D138-A2F3-431F-BB34-FFD681625B5F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147</v>
      </c>
      <c r="C2" s="445" t="str">
        <f>Well!D5</f>
        <v>경기도 안양시 동안구 호계동 1001-28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806</v>
      </c>
      <c r="J2"/>
      <c r="K2"/>
      <c r="L2"/>
      <c r="M2"/>
    </row>
    <row r="3" spans="1:13" ht="20.100000000000001" customHeight="1">
      <c r="B3" s="584" t="s">
        <v>6</v>
      </c>
      <c r="C3" s="722">
        <f>Well!C5</f>
        <v>0</v>
      </c>
      <c r="D3" s="589" t="s">
        <v>49</v>
      </c>
      <c r="E3" s="590" t="s">
        <v>108</v>
      </c>
      <c r="F3" s="591" t="s">
        <v>98</v>
      </c>
      <c r="G3" s="592" t="s">
        <v>623</v>
      </c>
      <c r="H3"/>
      <c r="I3"/>
      <c r="J3"/>
      <c r="K3"/>
      <c r="L3"/>
      <c r="M3"/>
    </row>
    <row r="4" spans="1:13" ht="20.100000000000001" customHeight="1" thickBot="1">
      <c r="B4" s="585" t="s">
        <v>50</v>
      </c>
      <c r="C4" s="723">
        <f>Well!R5</f>
        <v>0</v>
      </c>
      <c r="D4" s="593" t="s">
        <v>51</v>
      </c>
      <c r="E4" s="594">
        <v>0</v>
      </c>
      <c r="F4" s="594"/>
      <c r="G4" s="595">
        <v>6.3600000000000004E-2</v>
      </c>
      <c r="H4"/>
      <c r="I4"/>
      <c r="J4"/>
      <c r="K4"/>
      <c r="L4"/>
      <c r="M4"/>
    </row>
    <row r="5" spans="1:13" ht="20.100000000000001" customHeight="1" thickBot="1">
      <c r="B5" s="585" t="s">
        <v>52</v>
      </c>
      <c r="C5" s="723">
        <f>Well!Q5</f>
        <v>0</v>
      </c>
      <c r="D5" s="593" t="s">
        <v>53</v>
      </c>
      <c r="E5" s="596">
        <v>3.3010000000000002</v>
      </c>
      <c r="F5" s="597">
        <f>$E$5/$C$14</f>
        <v>7.1142241379310352E-3</v>
      </c>
      <c r="G5" s="598">
        <v>1.7789999999999999E-4</v>
      </c>
      <c r="H5" s="447">
        <v>-2.939618007068078</v>
      </c>
      <c r="I5"/>
      <c r="J5" s="136" t="s">
        <v>312</v>
      </c>
      <c r="K5"/>
      <c r="L5"/>
      <c r="M5"/>
    </row>
    <row r="6" spans="1:13" ht="20.100000000000001" customHeight="1" thickBot="1">
      <c r="B6" s="585" t="s">
        <v>54</v>
      </c>
      <c r="C6" s="724" t="str">
        <f>Well!D5</f>
        <v>경기도 안양시 동안구 호계동 1001-28</v>
      </c>
      <c r="D6" s="593" t="s">
        <v>56</v>
      </c>
      <c r="E6" s="597">
        <v>1.4930000000000001</v>
      </c>
      <c r="F6" s="597">
        <f>$E$6/$C$14</f>
        <v>3.2176724137931035E-3</v>
      </c>
      <c r="G6" s="599">
        <v>119.8</v>
      </c>
      <c r="H6" s="448">
        <v>1.4179999999999999</v>
      </c>
      <c r="I6"/>
      <c r="J6" s="678" t="s">
        <v>310</v>
      </c>
      <c r="K6" s="679">
        <v>228</v>
      </c>
      <c r="L6"/>
      <c r="M6"/>
    </row>
    <row r="7" spans="1:13" ht="20.100000000000001" customHeight="1" thickBot="1">
      <c r="B7" s="586" t="s">
        <v>55</v>
      </c>
      <c r="C7" s="725">
        <f>Well!H5</f>
        <v>500</v>
      </c>
      <c r="D7" s="600" t="s">
        <v>58</v>
      </c>
      <c r="E7" s="601">
        <f>ROUND((E5+E6)/2,4)</f>
        <v>2.3969999999999998</v>
      </c>
      <c r="F7" s="602">
        <f>$E$7/$C$14</f>
        <v>5.1659482758620685E-3</v>
      </c>
      <c r="G7" s="603">
        <f>G5</f>
        <v>1.7789999999999999E-4</v>
      </c>
      <c r="I7"/>
      <c r="J7" s="680" t="s">
        <v>311</v>
      </c>
      <c r="K7" s="681">
        <v>0</v>
      </c>
      <c r="L7"/>
      <c r="M7"/>
    </row>
    <row r="8" spans="1:13" ht="20.100000000000001" customHeight="1" thickBot="1">
      <c r="B8" s="586" t="s">
        <v>57</v>
      </c>
      <c r="C8" s="726">
        <f>Well!G5</f>
        <v>150</v>
      </c>
      <c r="D8" s="513">
        <f>C8/2000</f>
        <v>7.4999999999999997E-2</v>
      </c>
    </row>
    <row r="9" spans="1:13" ht="25.5" customHeight="1" thickBot="1">
      <c r="B9" s="586" t="s">
        <v>59</v>
      </c>
      <c r="C9" s="727">
        <f>C10+C11</f>
        <v>36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106.6</v>
      </c>
    </row>
    <row r="10" spans="1:13" ht="20.100000000000001" customHeight="1" thickBot="1">
      <c r="B10" s="585" t="s">
        <v>60</v>
      </c>
      <c r="C10" s="697">
        <v>5</v>
      </c>
      <c r="D10" s="124" t="s">
        <v>61</v>
      </c>
      <c r="E10" s="453">
        <v>39.5</v>
      </c>
      <c r="F10" s="454">
        <v>48.4</v>
      </c>
      <c r="G10" s="455">
        <v>106.6</v>
      </c>
      <c r="H10" s="153">
        <f>MIN(E10,F10,G10)</f>
        <v>39.5</v>
      </c>
      <c r="I10" s="4"/>
    </row>
    <row r="11" spans="1:13" ht="25.5" customHeight="1" thickBot="1">
      <c r="B11" s="585" t="s">
        <v>62</v>
      </c>
      <c r="C11" s="697">
        <v>31</v>
      </c>
      <c r="D11" s="74" t="s">
        <v>63</v>
      </c>
      <c r="E11" s="66">
        <f>ROUND(AVERAGE(E10:G10),1)</f>
        <v>64.8</v>
      </c>
      <c r="F11" s="121">
        <f>ROUND((E10+F10)/2,1)</f>
        <v>44</v>
      </c>
      <c r="H11" s="152">
        <f>ROUND(AVERAGE(E10:G10),1)</f>
        <v>64.8</v>
      </c>
      <c r="I11" s="4"/>
      <c r="J11" s="583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585" t="s">
        <v>64</v>
      </c>
      <c r="C12" s="728">
        <f>C7-C9</f>
        <v>464</v>
      </c>
      <c r="H12" s="6"/>
      <c r="J12" s="128" t="s">
        <v>109</v>
      </c>
      <c r="K12" s="581">
        <v>149</v>
      </c>
      <c r="L12" s="580">
        <f>K12+180</f>
        <v>329</v>
      </c>
    </row>
    <row r="13" spans="1:13" ht="20.100000000000001" customHeight="1">
      <c r="A13" s="5">
        <f>C10+C11+C12+C13</f>
        <v>500</v>
      </c>
      <c r="B13" s="585" t="s">
        <v>65</v>
      </c>
      <c r="C13" s="728"/>
      <c r="D13" s="67" t="str">
        <f>All!B2</f>
        <v>수원기상청</v>
      </c>
      <c r="E13" s="67" t="str">
        <f>Recharge!I24</f>
        <v>한강/한강서울</v>
      </c>
      <c r="F13" s="449">
        <f>rf_1</f>
        <v>0.14099999999999999</v>
      </c>
      <c r="G13" s="449">
        <f>allow_ratio</f>
        <v>0.72399999999999998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586" t="s">
        <v>66</v>
      </c>
      <c r="C14" s="729">
        <f>C7-IF(C20&gt;C9,C20,C9)</f>
        <v>464</v>
      </c>
      <c r="F14" s="450"/>
      <c r="G14" s="449">
        <f>max</f>
        <v>1356.3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586" t="s">
        <v>67</v>
      </c>
      <c r="C15" s="726">
        <f>Well!I5</f>
        <v>5</v>
      </c>
      <c r="E15" s="19">
        <v>2</v>
      </c>
      <c r="J15" s="128" t="s">
        <v>104</v>
      </c>
      <c r="K15" s="134">
        <v>2</v>
      </c>
      <c r="L15" s="131"/>
    </row>
    <row r="16" spans="1:13" ht="20.100000000000001" customHeight="1">
      <c r="B16" s="585" t="s">
        <v>68</v>
      </c>
      <c r="C16" s="730">
        <f>Well!J5</f>
        <v>100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6.57</v>
      </c>
      <c r="L16" s="131"/>
    </row>
    <row r="17" spans="2:12" ht="20.100000000000001" customHeight="1" thickBot="1">
      <c r="B17" s="585" t="s">
        <v>69</v>
      </c>
      <c r="C17" s="731">
        <f>Well!L5</f>
        <v>5</v>
      </c>
      <c r="E17" s="116">
        <f>Well!P5</f>
        <v>3487130.5455</v>
      </c>
      <c r="F17" s="71">
        <f>(max*rf_1*E17/1000)</f>
        <v>666872.91739949258</v>
      </c>
      <c r="G17" s="70">
        <f>F17*allow_ratio</f>
        <v>482815.99219723261</v>
      </c>
      <c r="J17" s="128" t="s">
        <v>105</v>
      </c>
      <c r="K17" s="135">
        <f>K16-K15</f>
        <v>4.57</v>
      </c>
      <c r="L17" s="131"/>
    </row>
    <row r="18" spans="2:12" ht="20.100000000000001" customHeight="1" thickBot="1">
      <c r="B18" s="585" t="s">
        <v>70</v>
      </c>
      <c r="C18" s="731">
        <f>Well!M5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5.5060240963855428E-3</v>
      </c>
      <c r="L18" s="133">
        <f>K18*100</f>
        <v>0.55060240963855422</v>
      </c>
    </row>
    <row r="19" spans="2:12" ht="20.100000000000001" customHeight="1" thickBot="1">
      <c r="B19" s="585" t="s">
        <v>72</v>
      </c>
      <c r="C19" s="731">
        <f>Well!N5</f>
        <v>40</v>
      </c>
      <c r="E19" s="116">
        <f>E17</f>
        <v>3487130.5455</v>
      </c>
      <c r="F19" s="68">
        <f>(max*rf_1*E19/1000)/365</f>
        <v>1827.0490887657331</v>
      </c>
      <c r="G19" s="69">
        <f>F19*allow_ratio</f>
        <v>1322.7835402663907</v>
      </c>
      <c r="H19" s="65">
        <f>G19-F21</f>
        <v>1122.5835402663906</v>
      </c>
    </row>
    <row r="20" spans="2:12" ht="20.100000000000001" customHeight="1">
      <c r="B20" s="586" t="s">
        <v>73</v>
      </c>
      <c r="C20" s="696">
        <v>11.43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586" t="s">
        <v>74</v>
      </c>
      <c r="C21" s="696">
        <v>35.32</v>
      </c>
      <c r="D21" s="5"/>
      <c r="E21" s="117">
        <f>Well!$I$8</f>
        <v>15</v>
      </c>
      <c r="F21" s="118">
        <f>Well!O5</f>
        <v>200.2</v>
      </c>
      <c r="G21" s="70">
        <f>G19-E21-F21</f>
        <v>1107.5835402663906</v>
      </c>
    </row>
    <row r="22" spans="2:12" ht="20.100000000000001" customHeight="1" thickBot="1">
      <c r="B22" s="586" t="s">
        <v>154</v>
      </c>
      <c r="C22" s="732">
        <f>C21-C20</f>
        <v>23.89</v>
      </c>
      <c r="E22" s="298">
        <f>E21+F21</f>
        <v>215.2</v>
      </c>
      <c r="F22" s="299"/>
      <c r="G22" s="8"/>
      <c r="I22" s="7"/>
    </row>
    <row r="23" spans="2:12" ht="20.100000000000001" customHeight="1" thickBot="1">
      <c r="B23" s="587" t="s">
        <v>220</v>
      </c>
      <c r="C23" s="588">
        <v>3.92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75" t="s">
        <v>559</v>
      </c>
      <c r="C25" s="647"/>
      <c r="D25" s="648" t="s">
        <v>96</v>
      </c>
      <c r="E25" s="648" t="s">
        <v>97</v>
      </c>
      <c r="F25" s="648" t="s">
        <v>89</v>
      </c>
      <c r="G25" s="648" t="s">
        <v>90</v>
      </c>
      <c r="H25" s="648" t="s">
        <v>111</v>
      </c>
      <c r="I25" s="648" t="s">
        <v>91</v>
      </c>
      <c r="J25" s="649" t="s">
        <v>92</v>
      </c>
      <c r="K25" s="650" t="s">
        <v>93</v>
      </c>
    </row>
    <row r="26" spans="2:12" ht="25.5" customHeight="1">
      <c r="B26" s="807" t="s">
        <v>810</v>
      </c>
      <c r="C26" s="651" t="s">
        <v>94</v>
      </c>
      <c r="D26" s="662">
        <f>C20</f>
        <v>11.43</v>
      </c>
      <c r="E26" s="663">
        <f>Recharge!C30</f>
        <v>19.123829999999998</v>
      </c>
      <c r="F26" s="652" t="s">
        <v>173</v>
      </c>
      <c r="G26" s="662" t="s">
        <v>341</v>
      </c>
      <c r="H26" s="664">
        <f>L18</f>
        <v>0.55060240963855422</v>
      </c>
      <c r="I26" s="651" t="s">
        <v>173</v>
      </c>
      <c r="J26" s="665">
        <f>((E7/C14)/86400)</f>
        <v>5.9791068007662833E-8</v>
      </c>
      <c r="K26" s="653" t="s">
        <v>628</v>
      </c>
    </row>
    <row r="27" spans="2:12" ht="25.5" customHeight="1">
      <c r="B27" s="807"/>
      <c r="C27" s="654" t="s">
        <v>95</v>
      </c>
      <c r="D27" s="661">
        <v>5</v>
      </c>
      <c r="E27" s="661">
        <v>8</v>
      </c>
      <c r="F27" s="661">
        <v>3</v>
      </c>
      <c r="G27" s="661">
        <v>3</v>
      </c>
      <c r="H27" s="661">
        <v>10</v>
      </c>
      <c r="I27" s="661">
        <v>4</v>
      </c>
      <c r="J27" s="661">
        <v>1</v>
      </c>
      <c r="K27" s="653" t="s">
        <v>581</v>
      </c>
    </row>
    <row r="28" spans="2:12" ht="25.5" customHeight="1">
      <c r="B28" s="807"/>
      <c r="C28" s="655" t="s">
        <v>166</v>
      </c>
      <c r="D28" s="656">
        <v>5</v>
      </c>
      <c r="E28" s="656">
        <v>4</v>
      </c>
      <c r="F28" s="656">
        <v>3</v>
      </c>
      <c r="G28" s="656">
        <v>2</v>
      </c>
      <c r="H28" s="656">
        <v>1</v>
      </c>
      <c r="I28" s="656">
        <v>5</v>
      </c>
      <c r="J28" s="656">
        <v>3</v>
      </c>
      <c r="K28" s="657"/>
    </row>
    <row r="29" spans="2:12" ht="25.5" customHeight="1">
      <c r="B29" s="807"/>
      <c r="C29" s="655" t="s">
        <v>167</v>
      </c>
      <c r="D29" s="656">
        <v>5</v>
      </c>
      <c r="E29" s="656">
        <v>4</v>
      </c>
      <c r="F29" s="656">
        <v>3</v>
      </c>
      <c r="G29" s="656">
        <v>5</v>
      </c>
      <c r="H29" s="656">
        <v>3</v>
      </c>
      <c r="I29" s="656">
        <v>4</v>
      </c>
      <c r="J29" s="656">
        <v>2</v>
      </c>
      <c r="K29" s="657"/>
    </row>
    <row r="30" spans="2:12" ht="25.5" customHeight="1">
      <c r="B30" s="807"/>
      <c r="C30" s="651" t="s">
        <v>168</v>
      </c>
      <c r="D30" s="658">
        <f>D27*D28</f>
        <v>25</v>
      </c>
      <c r="E30" s="658">
        <f t="shared" ref="E30:J30" si="0">E27*E28</f>
        <v>32</v>
      </c>
      <c r="F30" s="658">
        <f t="shared" si="0"/>
        <v>9</v>
      </c>
      <c r="G30" s="658">
        <f t="shared" si="0"/>
        <v>6</v>
      </c>
      <c r="H30" s="658">
        <f t="shared" si="0"/>
        <v>10</v>
      </c>
      <c r="I30" s="658">
        <f t="shared" si="0"/>
        <v>20</v>
      </c>
      <c r="J30" s="658">
        <f t="shared" si="0"/>
        <v>3</v>
      </c>
      <c r="K30" s="676">
        <f>SUM(D30:J30)</f>
        <v>105</v>
      </c>
    </row>
    <row r="31" spans="2:12" ht="25.5" customHeight="1" thickBot="1">
      <c r="B31" s="808"/>
      <c r="C31" s="659" t="s">
        <v>169</v>
      </c>
      <c r="D31" s="660">
        <f t="shared" ref="D31:J31" si="1">D27*D29</f>
        <v>25</v>
      </c>
      <c r="E31" s="660">
        <f t="shared" si="1"/>
        <v>32</v>
      </c>
      <c r="F31" s="660">
        <f t="shared" si="1"/>
        <v>9</v>
      </c>
      <c r="G31" s="660">
        <f t="shared" si="1"/>
        <v>15</v>
      </c>
      <c r="H31" s="660">
        <f t="shared" si="1"/>
        <v>30</v>
      </c>
      <c r="I31" s="660">
        <f t="shared" si="1"/>
        <v>16</v>
      </c>
      <c r="J31" s="660">
        <f t="shared" si="1"/>
        <v>2</v>
      </c>
      <c r="K31" s="677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249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62497" r:id="rId4" name="CommandButton5"/>
      </mc:Fallback>
    </mc:AlternateContent>
    <mc:AlternateContent xmlns:mc="http://schemas.openxmlformats.org/markup-compatibility/2006">
      <mc:Choice Requires="x14">
        <control shapeId="36249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62498" r:id="rId6" name="Frame1"/>
      </mc:Fallback>
    </mc:AlternateContent>
    <mc:AlternateContent xmlns:mc="http://schemas.openxmlformats.org/markup-compatibility/2006">
      <mc:Choice Requires="x14">
        <control shapeId="362499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62499" r:id="rId8" name="CommandButton6"/>
      </mc:Fallback>
    </mc:AlternateContent>
    <mc:AlternateContent xmlns:mc="http://schemas.openxmlformats.org/markup-compatibility/2006">
      <mc:Choice Requires="x14">
        <control shapeId="36250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250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2A3AB46-A9DF-4713-914E-A70B4354E0DB}">
          <x14:formula1>
            <xm:f>drastic!$G$4:$G$14</xm:f>
          </x14:formula1>
          <xm:sqref>I26</xm:sqref>
        </x14:dataValidation>
        <x14:dataValidation type="list" allowBlank="1" showInputMessage="1" showErrorMessage="1" xr:uid="{07B373F4-909B-4E4F-A568-E647F9D3558F}">
          <x14:formula1>
            <xm:f>drastic!$D$4:$D$14</xm:f>
          </x14:formula1>
          <xm:sqref>G26</xm:sqref>
        </x14:dataValidation>
        <x14:dataValidation type="list" allowBlank="1" showInputMessage="1" showErrorMessage="1" xr:uid="{C1249EE1-8E92-4CD6-A083-D1A3D49140BE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D3538-799E-426A-9939-CDF33BF0114B}">
  <sheetPr codeName="Sheet_W3">
    <tabColor rgb="FFC00000"/>
  </sheetPr>
  <dimension ref="A1:M41"/>
  <sheetViews>
    <sheetView topLeftCell="A2"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148</v>
      </c>
      <c r="C2" s="445" t="str">
        <f>Well!D6</f>
        <v>경기도 안양시 동안구 호계동 1001-38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807</v>
      </c>
      <c r="J2"/>
      <c r="K2"/>
      <c r="L2"/>
      <c r="M2"/>
    </row>
    <row r="3" spans="1:13" ht="20.100000000000001" customHeight="1">
      <c r="B3" s="584" t="s">
        <v>6</v>
      </c>
      <c r="C3" s="722">
        <f>Well!C6</f>
        <v>0</v>
      </c>
      <c r="D3" s="589" t="s">
        <v>49</v>
      </c>
      <c r="E3" s="590" t="s">
        <v>108</v>
      </c>
      <c r="F3" s="591" t="s">
        <v>98</v>
      </c>
      <c r="G3" s="592" t="s">
        <v>623</v>
      </c>
      <c r="H3"/>
      <c r="I3"/>
      <c r="J3"/>
      <c r="K3"/>
      <c r="L3"/>
      <c r="M3"/>
    </row>
    <row r="4" spans="1:13" ht="20.100000000000001" customHeight="1" thickBot="1">
      <c r="B4" s="585" t="s">
        <v>50</v>
      </c>
      <c r="C4" s="723">
        <f>Well!R6</f>
        <v>0</v>
      </c>
      <c r="D4" s="593" t="s">
        <v>51</v>
      </c>
      <c r="E4" s="594">
        <v>0</v>
      </c>
      <c r="F4" s="594"/>
      <c r="G4" s="595">
        <v>6.7760000000000001E-2</v>
      </c>
      <c r="H4"/>
      <c r="I4"/>
      <c r="J4"/>
      <c r="K4"/>
      <c r="L4"/>
      <c r="M4"/>
    </row>
    <row r="5" spans="1:13" ht="20.100000000000001" customHeight="1" thickBot="1">
      <c r="B5" s="585" t="s">
        <v>52</v>
      </c>
      <c r="C5" s="723">
        <f>Well!Q6</f>
        <v>0</v>
      </c>
      <c r="D5" s="593" t="s">
        <v>53</v>
      </c>
      <c r="E5" s="596">
        <v>2.9169999999999998</v>
      </c>
      <c r="F5" s="597">
        <f>$E$5/$C$14</f>
        <v>6.2866379310344825E-3</v>
      </c>
      <c r="G5" s="598">
        <v>1.7780000000000001E-4</v>
      </c>
      <c r="H5" s="447">
        <v>-2.9715861212020274</v>
      </c>
      <c r="I5"/>
      <c r="J5" s="136" t="s">
        <v>312</v>
      </c>
      <c r="K5"/>
      <c r="L5"/>
      <c r="M5"/>
    </row>
    <row r="6" spans="1:13" ht="20.100000000000001" customHeight="1" thickBot="1">
      <c r="B6" s="585" t="s">
        <v>54</v>
      </c>
      <c r="C6" s="724" t="str">
        <f>Well!D6</f>
        <v>경기도 안양시 동안구 호계동 1001-38</v>
      </c>
      <c r="D6" s="593" t="s">
        <v>56</v>
      </c>
      <c r="E6" s="597">
        <v>1.532</v>
      </c>
      <c r="F6" s="597">
        <f>$E$6/$C$14</f>
        <v>3.3017241379310345E-3</v>
      </c>
      <c r="G6" s="599">
        <v>78.069999999999993</v>
      </c>
      <c r="H6" s="448">
        <v>1.464</v>
      </c>
      <c r="I6"/>
      <c r="J6" s="678" t="s">
        <v>310</v>
      </c>
      <c r="K6" s="679">
        <v>228</v>
      </c>
      <c r="L6"/>
      <c r="M6"/>
    </row>
    <row r="7" spans="1:13" ht="20.100000000000001" customHeight="1" thickBot="1">
      <c r="B7" s="586" t="s">
        <v>55</v>
      </c>
      <c r="C7" s="725">
        <f>Well!H6</f>
        <v>500</v>
      </c>
      <c r="D7" s="600" t="s">
        <v>58</v>
      </c>
      <c r="E7" s="601">
        <f>ROUND((E5+E6)/2,4)</f>
        <v>2.2244999999999999</v>
      </c>
      <c r="F7" s="602">
        <f>$E$7/$C$14</f>
        <v>4.7941810344827585E-3</v>
      </c>
      <c r="G7" s="603">
        <f>G5</f>
        <v>1.7780000000000001E-4</v>
      </c>
      <c r="I7"/>
      <c r="J7" s="680" t="s">
        <v>311</v>
      </c>
      <c r="K7" s="681">
        <v>0</v>
      </c>
      <c r="L7"/>
      <c r="M7"/>
    </row>
    <row r="8" spans="1:13" ht="20.100000000000001" customHeight="1" thickBot="1">
      <c r="B8" s="586" t="s">
        <v>57</v>
      </c>
      <c r="C8" s="726">
        <f>Well!G6</f>
        <v>150</v>
      </c>
      <c r="D8" s="513">
        <f>C8/2000</f>
        <v>7.4999999999999997E-2</v>
      </c>
    </row>
    <row r="9" spans="1:13" ht="25.5" customHeight="1" thickBot="1">
      <c r="B9" s="586" t="s">
        <v>59</v>
      </c>
      <c r="C9" s="727">
        <f>C10+C11</f>
        <v>36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102.7</v>
      </c>
    </row>
    <row r="10" spans="1:13" ht="20.100000000000001" customHeight="1" thickBot="1">
      <c r="B10" s="585" t="s">
        <v>60</v>
      </c>
      <c r="C10" s="697">
        <v>5</v>
      </c>
      <c r="D10" s="124" t="s">
        <v>61</v>
      </c>
      <c r="E10" s="453">
        <v>40.1</v>
      </c>
      <c r="F10" s="454">
        <v>49.1</v>
      </c>
      <c r="G10" s="455">
        <v>102.7</v>
      </c>
      <c r="H10" s="153">
        <f>MIN(E10,F10,G10)</f>
        <v>40.1</v>
      </c>
      <c r="I10" s="4"/>
    </row>
    <row r="11" spans="1:13" ht="25.5" customHeight="1" thickBot="1">
      <c r="B11" s="585" t="s">
        <v>62</v>
      </c>
      <c r="C11" s="697">
        <v>31</v>
      </c>
      <c r="D11" s="74" t="s">
        <v>63</v>
      </c>
      <c r="E11" s="66">
        <f>ROUND(AVERAGE(E10:G10),1)</f>
        <v>64</v>
      </c>
      <c r="F11" s="121">
        <f>ROUND((E10+F10)/2,1)</f>
        <v>44.6</v>
      </c>
      <c r="H11" s="152">
        <f>ROUND(AVERAGE(E10:G10),1)</f>
        <v>64</v>
      </c>
      <c r="I11" s="4"/>
      <c r="J11" s="583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585" t="s">
        <v>64</v>
      </c>
      <c r="C12" s="728">
        <f>C7-C9</f>
        <v>464</v>
      </c>
      <c r="H12" s="6"/>
      <c r="J12" s="128" t="s">
        <v>109</v>
      </c>
      <c r="K12" s="581">
        <v>149</v>
      </c>
      <c r="L12" s="580">
        <f>K12+180</f>
        <v>329</v>
      </c>
    </row>
    <row r="13" spans="1:13" ht="20.100000000000001" customHeight="1">
      <c r="A13" s="5">
        <f>C10+C11+C12+C13</f>
        <v>500</v>
      </c>
      <c r="B13" s="585" t="s">
        <v>65</v>
      </c>
      <c r="C13" s="728"/>
      <c r="D13" s="67" t="str">
        <f>All!B2</f>
        <v>수원기상청</v>
      </c>
      <c r="E13" s="67" t="str">
        <f>Recharge!I24</f>
        <v>한강/한강서울</v>
      </c>
      <c r="F13" s="449">
        <f>rf_1</f>
        <v>0.14099999999999999</v>
      </c>
      <c r="G13" s="449">
        <f>allow_ratio</f>
        <v>0.72399999999999998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586" t="s">
        <v>66</v>
      </c>
      <c r="C14" s="729">
        <f>C7-IF(C20&gt;C9,C20,C9)</f>
        <v>464</v>
      </c>
      <c r="F14" s="450"/>
      <c r="G14" s="449">
        <f>max</f>
        <v>1356.3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586" t="s">
        <v>67</v>
      </c>
      <c r="C15" s="726">
        <f>Well!I6</f>
        <v>5</v>
      </c>
      <c r="E15" s="19">
        <v>3</v>
      </c>
      <c r="J15" s="128" t="s">
        <v>104</v>
      </c>
      <c r="K15" s="134">
        <v>2</v>
      </c>
      <c r="L15" s="131"/>
    </row>
    <row r="16" spans="1:13" ht="20.100000000000001" customHeight="1">
      <c r="B16" s="585" t="s">
        <v>68</v>
      </c>
      <c r="C16" s="730">
        <f>Well!J6</f>
        <v>100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7.0600000000000005</v>
      </c>
      <c r="L16" s="131"/>
    </row>
    <row r="17" spans="2:12" ht="20.100000000000001" customHeight="1" thickBot="1">
      <c r="B17" s="585" t="s">
        <v>69</v>
      </c>
      <c r="C17" s="731">
        <f>Well!L6</f>
        <v>5</v>
      </c>
      <c r="E17" s="116">
        <f>Well!P6</f>
        <v>3487130.5455</v>
      </c>
      <c r="F17" s="71">
        <f>(max*rf_1*E17/1000)</f>
        <v>666872.91739949258</v>
      </c>
      <c r="G17" s="70">
        <f>F17*allow_ratio</f>
        <v>482815.99219723261</v>
      </c>
      <c r="J17" s="128" t="s">
        <v>105</v>
      </c>
      <c r="K17" s="135">
        <f>K16-K15</f>
        <v>5.0600000000000005</v>
      </c>
      <c r="L17" s="131"/>
    </row>
    <row r="18" spans="2:12" ht="20.100000000000001" customHeight="1" thickBot="1">
      <c r="B18" s="585" t="s">
        <v>70</v>
      </c>
      <c r="C18" s="731">
        <f>Well!M6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6.0963855421686756E-3</v>
      </c>
      <c r="L18" s="133">
        <f>K18*100</f>
        <v>0.60963855421686752</v>
      </c>
    </row>
    <row r="19" spans="2:12" ht="20.100000000000001" customHeight="1" thickBot="1">
      <c r="B19" s="585" t="s">
        <v>72</v>
      </c>
      <c r="C19" s="731">
        <f>Well!N6</f>
        <v>40</v>
      </c>
      <c r="E19" s="116">
        <f>E17</f>
        <v>3487130.5455</v>
      </c>
      <c r="F19" s="68">
        <f>(max*rf_1*E19/1000)/365</f>
        <v>1827.0490887657331</v>
      </c>
      <c r="G19" s="69">
        <f>F19*allow_ratio</f>
        <v>1322.7835402663907</v>
      </c>
      <c r="H19" s="65">
        <f>G19-F21</f>
        <v>1122.5835402663906</v>
      </c>
    </row>
    <row r="20" spans="2:12" ht="20.100000000000001" customHeight="1">
      <c r="B20" s="586" t="s">
        <v>73</v>
      </c>
      <c r="C20" s="696">
        <v>10.94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586" t="s">
        <v>74</v>
      </c>
      <c r="C21" s="696">
        <v>37.46</v>
      </c>
      <c r="D21" s="5"/>
      <c r="E21" s="117">
        <f>Well!$I$8</f>
        <v>15</v>
      </c>
      <c r="F21" s="118">
        <f>Well!O6</f>
        <v>200.2</v>
      </c>
      <c r="G21" s="70">
        <f>G19-E21-F21</f>
        <v>1107.5835402663906</v>
      </c>
    </row>
    <row r="22" spans="2:12" ht="20.100000000000001" customHeight="1" thickBot="1">
      <c r="B22" s="586" t="s">
        <v>154</v>
      </c>
      <c r="C22" s="732">
        <f>C21-C20</f>
        <v>26.520000000000003</v>
      </c>
      <c r="E22" s="298">
        <f>E21+F21</f>
        <v>215.2</v>
      </c>
      <c r="F22" s="299"/>
      <c r="G22" s="8"/>
      <c r="I22" s="7"/>
    </row>
    <row r="23" spans="2:12" ht="20.100000000000001" customHeight="1" thickBot="1">
      <c r="B23" s="587" t="s">
        <v>220</v>
      </c>
      <c r="C23" s="588">
        <v>3.93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75" t="s">
        <v>559</v>
      </c>
      <c r="C25" s="647"/>
      <c r="D25" s="648" t="s">
        <v>96</v>
      </c>
      <c r="E25" s="648" t="s">
        <v>97</v>
      </c>
      <c r="F25" s="648" t="s">
        <v>89</v>
      </c>
      <c r="G25" s="648" t="s">
        <v>90</v>
      </c>
      <c r="H25" s="648" t="s">
        <v>111</v>
      </c>
      <c r="I25" s="648" t="s">
        <v>91</v>
      </c>
      <c r="J25" s="649" t="s">
        <v>92</v>
      </c>
      <c r="K25" s="650" t="s">
        <v>93</v>
      </c>
    </row>
    <row r="26" spans="2:12" ht="25.5" customHeight="1">
      <c r="B26" s="807" t="s">
        <v>811</v>
      </c>
      <c r="C26" s="651" t="s">
        <v>94</v>
      </c>
      <c r="D26" s="662">
        <f>C20</f>
        <v>10.94</v>
      </c>
      <c r="E26" s="663">
        <f>Recharge!C30</f>
        <v>19.123829999999998</v>
      </c>
      <c r="F26" s="652" t="s">
        <v>173</v>
      </c>
      <c r="G26" s="662" t="s">
        <v>341</v>
      </c>
      <c r="H26" s="664">
        <f>L18</f>
        <v>0.60963855421686752</v>
      </c>
      <c r="I26" s="651" t="s">
        <v>173</v>
      </c>
      <c r="J26" s="665">
        <f>((E7/C14)/86400)</f>
        <v>5.5488206417624519E-8</v>
      </c>
      <c r="K26" s="653" t="s">
        <v>628</v>
      </c>
    </row>
    <row r="27" spans="2:12" ht="25.5" customHeight="1">
      <c r="B27" s="807"/>
      <c r="C27" s="654" t="s">
        <v>95</v>
      </c>
      <c r="D27" s="661">
        <v>5</v>
      </c>
      <c r="E27" s="661">
        <v>8</v>
      </c>
      <c r="F27" s="661">
        <v>3</v>
      </c>
      <c r="G27" s="661">
        <v>3</v>
      </c>
      <c r="H27" s="661">
        <v>10</v>
      </c>
      <c r="I27" s="661">
        <v>4</v>
      </c>
      <c r="J27" s="661">
        <v>1</v>
      </c>
      <c r="K27" s="653" t="s">
        <v>581</v>
      </c>
    </row>
    <row r="28" spans="2:12" ht="25.5" customHeight="1">
      <c r="B28" s="807"/>
      <c r="C28" s="655" t="s">
        <v>166</v>
      </c>
      <c r="D28" s="656">
        <v>5</v>
      </c>
      <c r="E28" s="656">
        <v>4</v>
      </c>
      <c r="F28" s="656">
        <v>3</v>
      </c>
      <c r="G28" s="656">
        <v>2</v>
      </c>
      <c r="H28" s="656">
        <v>1</v>
      </c>
      <c r="I28" s="656">
        <v>5</v>
      </c>
      <c r="J28" s="656">
        <v>3</v>
      </c>
      <c r="K28" s="657"/>
    </row>
    <row r="29" spans="2:12" ht="25.5" customHeight="1">
      <c r="B29" s="807"/>
      <c r="C29" s="655" t="s">
        <v>167</v>
      </c>
      <c r="D29" s="656">
        <v>5</v>
      </c>
      <c r="E29" s="656">
        <v>4</v>
      </c>
      <c r="F29" s="656">
        <v>3</v>
      </c>
      <c r="G29" s="656">
        <v>5</v>
      </c>
      <c r="H29" s="656">
        <v>3</v>
      </c>
      <c r="I29" s="656">
        <v>4</v>
      </c>
      <c r="J29" s="656">
        <v>2</v>
      </c>
      <c r="K29" s="657"/>
    </row>
    <row r="30" spans="2:12" ht="25.5" customHeight="1">
      <c r="B30" s="807"/>
      <c r="C30" s="651" t="s">
        <v>168</v>
      </c>
      <c r="D30" s="658">
        <f>D27*D28</f>
        <v>25</v>
      </c>
      <c r="E30" s="658">
        <f t="shared" ref="E30:J30" si="0">E27*E28</f>
        <v>32</v>
      </c>
      <c r="F30" s="658">
        <f t="shared" si="0"/>
        <v>9</v>
      </c>
      <c r="G30" s="658">
        <f t="shared" si="0"/>
        <v>6</v>
      </c>
      <c r="H30" s="658">
        <f t="shared" si="0"/>
        <v>10</v>
      </c>
      <c r="I30" s="658">
        <f t="shared" si="0"/>
        <v>20</v>
      </c>
      <c r="J30" s="658">
        <f t="shared" si="0"/>
        <v>3</v>
      </c>
      <c r="K30" s="676">
        <f>SUM(D30:J30)</f>
        <v>105</v>
      </c>
    </row>
    <row r="31" spans="2:12" ht="25.5" customHeight="1" thickBot="1">
      <c r="B31" s="808"/>
      <c r="C31" s="659" t="s">
        <v>169</v>
      </c>
      <c r="D31" s="660">
        <f t="shared" ref="D31:J31" si="1">D27*D29</f>
        <v>25</v>
      </c>
      <c r="E31" s="660">
        <f t="shared" si="1"/>
        <v>32</v>
      </c>
      <c r="F31" s="660">
        <f t="shared" si="1"/>
        <v>9</v>
      </c>
      <c r="G31" s="660">
        <f t="shared" si="1"/>
        <v>15</v>
      </c>
      <c r="H31" s="660">
        <f t="shared" si="1"/>
        <v>30</v>
      </c>
      <c r="I31" s="660">
        <f t="shared" si="1"/>
        <v>16</v>
      </c>
      <c r="J31" s="660">
        <f t="shared" si="1"/>
        <v>2</v>
      </c>
      <c r="K31" s="677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352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63521" r:id="rId4" name="CommandButton5"/>
      </mc:Fallback>
    </mc:AlternateContent>
    <mc:AlternateContent xmlns:mc="http://schemas.openxmlformats.org/markup-compatibility/2006">
      <mc:Choice Requires="x14">
        <control shapeId="36352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63522" r:id="rId6" name="Frame1"/>
      </mc:Fallback>
    </mc:AlternateContent>
    <mc:AlternateContent xmlns:mc="http://schemas.openxmlformats.org/markup-compatibility/2006">
      <mc:Choice Requires="x14">
        <control shapeId="363523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63523" r:id="rId8" name="CommandButton6"/>
      </mc:Fallback>
    </mc:AlternateContent>
    <mc:AlternateContent xmlns:mc="http://schemas.openxmlformats.org/markup-compatibility/2006">
      <mc:Choice Requires="x14">
        <control shapeId="36352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352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0E6CAF5-C5F0-445D-A252-A39DB6DCA73D}">
          <x14:formula1>
            <xm:f>drastic!$A$4:$A$13</xm:f>
          </x14:formula1>
          <xm:sqref>F26</xm:sqref>
        </x14:dataValidation>
        <x14:dataValidation type="list" allowBlank="1" showInputMessage="1" showErrorMessage="1" xr:uid="{D6713732-FBD8-468E-929D-11E292D1C289}">
          <x14:formula1>
            <xm:f>drastic!$D$4:$D$14</xm:f>
          </x14:formula1>
          <xm:sqref>G26</xm:sqref>
        </x14:dataValidation>
        <x14:dataValidation type="list" allowBlank="1" showInputMessage="1" showErrorMessage="1" xr:uid="{D0BDF9E1-387C-41D2-B61F-AF00EBD16D47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45187.430555555555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14.8</v>
      </c>
      <c r="D7" s="47"/>
      <c r="E7" s="16"/>
      <c r="F7" s="16"/>
    </row>
    <row r="8" spans="2:14" s="17" customFormat="1" ht="26.1" customHeight="1">
      <c r="B8" s="89" t="s">
        <v>78</v>
      </c>
      <c r="C8" s="100">
        <v>215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11" t="s">
        <v>80</v>
      </c>
      <c r="C12" s="812"/>
      <c r="D12" s="812" t="s">
        <v>81</v>
      </c>
      <c r="E12" s="812"/>
      <c r="F12" s="813"/>
      <c r="H12" s="811" t="s">
        <v>81</v>
      </c>
      <c r="I12" s="812"/>
      <c r="J12" s="813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45187.434027777774</v>
      </c>
      <c r="C14" s="331">
        <v>5</v>
      </c>
      <c r="D14" s="331">
        <f t="shared" ref="D14:D20" si="0">baseTemp+H14</f>
        <v>15.100000000000001</v>
      </c>
      <c r="E14" s="332">
        <f>$C$8+I14</f>
        <v>221</v>
      </c>
      <c r="F14" s="341">
        <f>$C$9+J14</f>
        <v>7.0100000000000007</v>
      </c>
      <c r="H14" s="345">
        <v>0.3</v>
      </c>
      <c r="I14" s="346">
        <v>6</v>
      </c>
      <c r="J14" s="347">
        <v>0.11</v>
      </c>
      <c r="L14"/>
      <c r="M14"/>
      <c r="N14"/>
    </row>
    <row r="15" spans="2:14" s="16" customFormat="1" ht="26.1" customHeight="1">
      <c r="B15" s="344">
        <f t="shared" ref="B15:B23" si="1">$C$6+C15/1440</f>
        <v>45187.451388888891</v>
      </c>
      <c r="C15" s="331">
        <v>30</v>
      </c>
      <c r="D15" s="331">
        <f t="shared" si="0"/>
        <v>14.5</v>
      </c>
      <c r="E15" s="332">
        <f t="shared" ref="E15:E20" si="2">$C$8+I15</f>
        <v>231</v>
      </c>
      <c r="F15" s="341">
        <f t="shared" ref="F15:F20" si="3">$C$9+J15</f>
        <v>6.99</v>
      </c>
      <c r="H15" s="85">
        <v>-0.3</v>
      </c>
      <c r="I15" s="109">
        <v>16</v>
      </c>
      <c r="J15" s="111">
        <v>0.09</v>
      </c>
      <c r="L15"/>
      <c r="M15"/>
      <c r="N15"/>
    </row>
    <row r="16" spans="2:14" s="16" customFormat="1" ht="26.1" customHeight="1">
      <c r="B16" s="344">
        <f t="shared" si="1"/>
        <v>45187.472222222219</v>
      </c>
      <c r="C16" s="331">
        <v>60</v>
      </c>
      <c r="D16" s="331">
        <f t="shared" si="0"/>
        <v>14.600000000000001</v>
      </c>
      <c r="E16" s="332">
        <f t="shared" si="2"/>
        <v>217</v>
      </c>
      <c r="F16" s="341">
        <f t="shared" si="3"/>
        <v>6.8100000000000005</v>
      </c>
      <c r="H16" s="85">
        <v>-0.2</v>
      </c>
      <c r="I16" s="109">
        <v>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45187.513888888891</v>
      </c>
      <c r="C17" s="331">
        <v>120</v>
      </c>
      <c r="D17" s="331">
        <f t="shared" si="0"/>
        <v>15</v>
      </c>
      <c r="E17" s="332">
        <f t="shared" si="2"/>
        <v>204</v>
      </c>
      <c r="F17" s="341">
        <f t="shared" si="3"/>
        <v>6.98</v>
      </c>
      <c r="H17" s="85">
        <v>0.2</v>
      </c>
      <c r="I17" s="109">
        <v>-11</v>
      </c>
      <c r="J17" s="111">
        <v>0.08</v>
      </c>
      <c r="L17"/>
      <c r="M17"/>
      <c r="N17"/>
    </row>
    <row r="18" spans="2:14" s="16" customFormat="1" ht="26.1" customHeight="1">
      <c r="B18" s="344">
        <f t="shared" si="1"/>
        <v>45187.597222222219</v>
      </c>
      <c r="C18" s="331">
        <v>240</v>
      </c>
      <c r="D18" s="331">
        <f t="shared" si="0"/>
        <v>14.9</v>
      </c>
      <c r="E18" s="332">
        <f t="shared" si="2"/>
        <v>208</v>
      </c>
      <c r="F18" s="341">
        <f t="shared" si="3"/>
        <v>6.78</v>
      </c>
      <c r="H18" s="85">
        <v>0.1</v>
      </c>
      <c r="I18" s="109">
        <v>-7</v>
      </c>
      <c r="J18" s="111">
        <v>-0.12</v>
      </c>
      <c r="L18"/>
      <c r="M18"/>
      <c r="N18"/>
    </row>
    <row r="19" spans="2:14" s="16" customFormat="1" ht="26.1" customHeight="1">
      <c r="B19" s="344">
        <f t="shared" si="1"/>
        <v>45187.763888888891</v>
      </c>
      <c r="C19" s="331">
        <v>480</v>
      </c>
      <c r="D19" s="334">
        <f t="shared" si="0"/>
        <v>14.600000000000001</v>
      </c>
      <c r="E19" s="332">
        <f t="shared" si="2"/>
        <v>230</v>
      </c>
      <c r="F19" s="341">
        <f t="shared" si="3"/>
        <v>6.78</v>
      </c>
      <c r="H19" s="85">
        <v>-0.2</v>
      </c>
      <c r="I19" s="109">
        <v>15</v>
      </c>
      <c r="J19" s="111">
        <v>-0.12</v>
      </c>
      <c r="L19"/>
      <c r="M19"/>
      <c r="N19"/>
    </row>
    <row r="20" spans="2:14" s="17" customFormat="1" ht="26.1" customHeight="1">
      <c r="B20" s="344">
        <f t="shared" si="1"/>
        <v>45188.430555555555</v>
      </c>
      <c r="C20" s="331">
        <v>1440</v>
      </c>
      <c r="D20" s="331">
        <f t="shared" si="0"/>
        <v>14.600000000000001</v>
      </c>
      <c r="E20" s="332">
        <f t="shared" si="2"/>
        <v>207</v>
      </c>
      <c r="F20" s="341">
        <f t="shared" si="3"/>
        <v>6.82</v>
      </c>
      <c r="H20" s="85">
        <v>-0.2</v>
      </c>
      <c r="I20" s="109">
        <v>-8</v>
      </c>
      <c r="J20" s="111">
        <v>-0.08</v>
      </c>
      <c r="L20"/>
      <c r="M20"/>
      <c r="N20"/>
    </row>
    <row r="21" spans="2:14" s="17" customFormat="1" ht="26.1" customHeight="1">
      <c r="B21" s="344">
        <f t="shared" si="1"/>
        <v>45188.597222222219</v>
      </c>
      <c r="C21" s="331">
        <v>1680</v>
      </c>
      <c r="D21" s="331">
        <f>$D$20</f>
        <v>14.600000000000001</v>
      </c>
      <c r="E21" s="332">
        <f>$E$20</f>
        <v>207</v>
      </c>
      <c r="F21" s="341">
        <f>$F$20</f>
        <v>6.82</v>
      </c>
      <c r="H21" s="85">
        <v>-0.3</v>
      </c>
      <c r="I21" s="109">
        <v>-14</v>
      </c>
      <c r="J21" s="111">
        <v>0.11</v>
      </c>
      <c r="L21"/>
      <c r="M21"/>
      <c r="N21"/>
    </row>
    <row r="22" spans="2:14" s="17" customFormat="1" ht="26.1" customHeight="1">
      <c r="B22" s="344">
        <f t="shared" si="1"/>
        <v>45188.763888888891</v>
      </c>
      <c r="C22" s="331">
        <v>1920</v>
      </c>
      <c r="D22" s="331">
        <f t="shared" ref="D22:D23" si="4">$D$20</f>
        <v>14.600000000000001</v>
      </c>
      <c r="E22" s="332">
        <f t="shared" ref="E22:E23" si="5">$E$20</f>
        <v>207</v>
      </c>
      <c r="F22" s="341">
        <f t="shared" ref="F22:F23" si="6">$F$20</f>
        <v>6.82</v>
      </c>
      <c r="H22" s="85">
        <v>-0.2</v>
      </c>
      <c r="I22" s="109">
        <v>-17</v>
      </c>
      <c r="J22" s="111">
        <v>0.08</v>
      </c>
      <c r="L22"/>
      <c r="M22"/>
      <c r="N22"/>
    </row>
    <row r="23" spans="2:14" s="17" customFormat="1" ht="26.1" customHeight="1" thickBot="1">
      <c r="B23" s="344">
        <f t="shared" si="1"/>
        <v>45189.430555555555</v>
      </c>
      <c r="C23" s="331">
        <v>2880</v>
      </c>
      <c r="D23" s="331">
        <f t="shared" si="4"/>
        <v>14.600000000000001</v>
      </c>
      <c r="E23" s="332">
        <f t="shared" si="5"/>
        <v>207</v>
      </c>
      <c r="F23" s="341">
        <f t="shared" si="6"/>
        <v>6.82</v>
      </c>
      <c r="H23" s="86">
        <v>-0.2</v>
      </c>
      <c r="I23" s="110">
        <v>3</v>
      </c>
      <c r="J23" s="112">
        <v>-0.09</v>
      </c>
      <c r="L23"/>
      <c r="M23"/>
      <c r="N23"/>
    </row>
    <row r="24" spans="2:14" s="17" customFormat="1" ht="26.1" customHeight="1">
      <c r="B24" s="814" t="s">
        <v>36</v>
      </c>
      <c r="C24" s="815"/>
      <c r="D24" s="330">
        <f>MAX(D14:D23)</f>
        <v>15.100000000000001</v>
      </c>
      <c r="E24" s="330">
        <f t="shared" ref="E24:F24" si="7">MAX(E14:E23)</f>
        <v>231</v>
      </c>
      <c r="F24" s="339">
        <f t="shared" si="7"/>
        <v>7.0100000000000007</v>
      </c>
      <c r="H24" s="16"/>
      <c r="I24" s="16"/>
      <c r="J24" s="16"/>
    </row>
    <row r="25" spans="2:14" s="17" customFormat="1" ht="26.1" customHeight="1">
      <c r="B25" s="814" t="s">
        <v>37</v>
      </c>
      <c r="C25" s="815"/>
      <c r="D25" s="330">
        <f>MIN(D14:D23)</f>
        <v>14.5</v>
      </c>
      <c r="E25" s="330">
        <f t="shared" ref="E25:F25" si="8">MIN(E14:E23)</f>
        <v>204</v>
      </c>
      <c r="F25" s="339">
        <f t="shared" si="8"/>
        <v>6.78</v>
      </c>
      <c r="H25" s="16"/>
      <c r="I25" s="16"/>
      <c r="J25" s="16"/>
    </row>
    <row r="26" spans="2:14" s="17" customFormat="1" ht="26.1" customHeight="1" thickBot="1">
      <c r="B26" s="809" t="s">
        <v>86</v>
      </c>
      <c r="C26" s="810"/>
      <c r="D26" s="342">
        <f>D24-D25</f>
        <v>0.60000000000000142</v>
      </c>
      <c r="E26" s="342">
        <f t="shared" ref="E26:F26" si="9">E24-E25</f>
        <v>27</v>
      </c>
      <c r="F26" s="343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306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4" t="s">
        <v>76</v>
      </c>
      <c r="C6" s="180">
        <v>44753.861111111109</v>
      </c>
      <c r="D6" s="183"/>
      <c r="E6" s="16"/>
      <c r="F6" s="16"/>
    </row>
    <row r="7" spans="2:9" s="17" customFormat="1" ht="26.1" customHeight="1" thickBot="1">
      <c r="B7" s="91" t="s">
        <v>77</v>
      </c>
      <c r="C7" s="181">
        <v>14</v>
      </c>
      <c r="D7" s="184">
        <v>14</v>
      </c>
      <c r="E7" s="16"/>
      <c r="F7" s="16"/>
    </row>
    <row r="8" spans="2:9" s="17" customFormat="1" ht="26.1" customHeight="1">
      <c r="B8" s="89" t="s">
        <v>78</v>
      </c>
      <c r="C8" s="90">
        <v>226</v>
      </c>
      <c r="D8" s="182">
        <v>229</v>
      </c>
      <c r="E8" s="16"/>
      <c r="F8" s="16"/>
    </row>
    <row r="9" spans="2:9" s="17" customFormat="1" ht="26.1" customHeight="1" thickBot="1">
      <c r="B9" s="91" t="s">
        <v>79</v>
      </c>
      <c r="C9" s="92">
        <v>7.9</v>
      </c>
      <c r="D9" s="93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11" t="s">
        <v>80</v>
      </c>
      <c r="C12" s="812"/>
      <c r="D12" s="812" t="s">
        <v>81</v>
      </c>
      <c r="E12" s="812"/>
      <c r="F12" s="812"/>
      <c r="G12" s="812" t="s">
        <v>147</v>
      </c>
      <c r="H12" s="812"/>
      <c r="I12" s="813"/>
    </row>
    <row r="13" spans="2:9" s="16" customFormat="1" ht="26.1" customHeight="1">
      <c r="B13" s="338" t="s">
        <v>76</v>
      </c>
      <c r="C13" s="330" t="s">
        <v>82</v>
      </c>
      <c r="D13" s="330" t="s">
        <v>83</v>
      </c>
      <c r="E13" s="330" t="s">
        <v>84</v>
      </c>
      <c r="F13" s="330" t="s">
        <v>85</v>
      </c>
      <c r="G13" s="330" t="s">
        <v>83</v>
      </c>
      <c r="H13" s="330" t="s">
        <v>84</v>
      </c>
      <c r="I13" s="339" t="s">
        <v>85</v>
      </c>
    </row>
    <row r="14" spans="2:9" s="16" customFormat="1" ht="26.1" customHeight="1">
      <c r="B14" s="340">
        <f>$C$6+C14/1440</f>
        <v>44753.864583333328</v>
      </c>
      <c r="C14" s="331">
        <v>5</v>
      </c>
      <c r="D14" s="335">
        <f t="shared" ref="D14:D23" si="0">baseTemp+D31</f>
        <v>14</v>
      </c>
      <c r="E14" s="336">
        <f t="shared" ref="E14:E20" si="1">$C$8+E31</f>
        <v>223</v>
      </c>
      <c r="F14" s="333">
        <f t="shared" ref="F14:F20" si="2">$C$9+F31</f>
        <v>7.83</v>
      </c>
      <c r="G14" s="335">
        <f t="shared" ref="G14:G23" si="3">baseTemp2+H31</f>
        <v>14</v>
      </c>
      <c r="H14" s="336">
        <f>$D$8+I31</f>
        <v>232</v>
      </c>
      <c r="I14" s="341">
        <f>$D$9+J31</f>
        <v>7.89</v>
      </c>
    </row>
    <row r="15" spans="2:9" s="16" customFormat="1" ht="26.1" customHeight="1">
      <c r="B15" s="340">
        <f t="shared" ref="B15:B23" si="4">$C$6+C15/1440</f>
        <v>44753.881944444445</v>
      </c>
      <c r="C15" s="331">
        <v>30</v>
      </c>
      <c r="D15" s="335">
        <f t="shared" si="0"/>
        <v>14.1</v>
      </c>
      <c r="E15" s="336">
        <f t="shared" si="1"/>
        <v>224</v>
      </c>
      <c r="F15" s="333">
        <f t="shared" si="2"/>
        <v>7.82</v>
      </c>
      <c r="G15" s="335">
        <f t="shared" si="3"/>
        <v>14</v>
      </c>
      <c r="H15" s="336">
        <f t="shared" ref="H15:H20" si="5">$D$8+I32</f>
        <v>226</v>
      </c>
      <c r="I15" s="341">
        <f t="shared" ref="I15:I20" si="6">$D$9+J32</f>
        <v>7.71</v>
      </c>
    </row>
    <row r="16" spans="2:9" s="16" customFormat="1" ht="26.1" customHeight="1">
      <c r="B16" s="340">
        <f t="shared" si="4"/>
        <v>44753.902777777774</v>
      </c>
      <c r="C16" s="331">
        <v>60</v>
      </c>
      <c r="D16" s="335">
        <f t="shared" si="0"/>
        <v>14</v>
      </c>
      <c r="E16" s="336">
        <f t="shared" si="1"/>
        <v>228</v>
      </c>
      <c r="F16" s="333">
        <f t="shared" si="2"/>
        <v>8.01</v>
      </c>
      <c r="G16" s="335">
        <f t="shared" si="3"/>
        <v>13.9</v>
      </c>
      <c r="H16" s="336">
        <f t="shared" si="5"/>
        <v>232</v>
      </c>
      <c r="I16" s="341">
        <f t="shared" si="6"/>
        <v>7.7</v>
      </c>
    </row>
    <row r="17" spans="2:10" s="16" customFormat="1" ht="26.1" customHeight="1">
      <c r="B17" s="340">
        <f t="shared" si="4"/>
        <v>44753.944444444445</v>
      </c>
      <c r="C17" s="331">
        <v>120</v>
      </c>
      <c r="D17" s="335">
        <f t="shared" si="0"/>
        <v>14</v>
      </c>
      <c r="E17" s="336">
        <f t="shared" si="1"/>
        <v>228</v>
      </c>
      <c r="F17" s="333">
        <f t="shared" si="2"/>
        <v>8.01</v>
      </c>
      <c r="G17" s="335">
        <f t="shared" si="3"/>
        <v>13.9</v>
      </c>
      <c r="H17" s="336">
        <f t="shared" si="5"/>
        <v>228</v>
      </c>
      <c r="I17" s="341">
        <f t="shared" si="6"/>
        <v>7.7</v>
      </c>
    </row>
    <row r="18" spans="2:10" s="16" customFormat="1" ht="26.1" customHeight="1">
      <c r="B18" s="340">
        <f t="shared" si="4"/>
        <v>44754.027777777774</v>
      </c>
      <c r="C18" s="331">
        <v>240</v>
      </c>
      <c r="D18" s="335">
        <f t="shared" si="0"/>
        <v>14.1</v>
      </c>
      <c r="E18" s="336">
        <f t="shared" si="1"/>
        <v>227</v>
      </c>
      <c r="F18" s="333">
        <f t="shared" si="2"/>
        <v>8.01</v>
      </c>
      <c r="G18" s="335">
        <f t="shared" si="3"/>
        <v>13.9</v>
      </c>
      <c r="H18" s="336">
        <f t="shared" si="5"/>
        <v>230</v>
      </c>
      <c r="I18" s="341">
        <f t="shared" si="6"/>
        <v>7.7</v>
      </c>
    </row>
    <row r="19" spans="2:10" s="16" customFormat="1" ht="26.1" customHeight="1">
      <c r="B19" s="340">
        <f t="shared" si="4"/>
        <v>44754.194444444445</v>
      </c>
      <c r="C19" s="331">
        <v>480</v>
      </c>
      <c r="D19" s="335">
        <f t="shared" si="0"/>
        <v>14</v>
      </c>
      <c r="E19" s="336">
        <f t="shared" si="1"/>
        <v>225</v>
      </c>
      <c r="F19" s="333">
        <f t="shared" si="2"/>
        <v>7.78</v>
      </c>
      <c r="G19" s="335">
        <f t="shared" si="3"/>
        <v>13.9</v>
      </c>
      <c r="H19" s="336">
        <f t="shared" si="5"/>
        <v>228</v>
      </c>
      <c r="I19" s="341">
        <f t="shared" si="6"/>
        <v>7.92</v>
      </c>
    </row>
    <row r="20" spans="2:10" s="17" customFormat="1" ht="26.1" customHeight="1">
      <c r="B20" s="340">
        <f t="shared" si="4"/>
        <v>44754.861111111109</v>
      </c>
      <c r="C20" s="331">
        <v>1440</v>
      </c>
      <c r="D20" s="335">
        <f t="shared" si="0"/>
        <v>14.1</v>
      </c>
      <c r="E20" s="336">
        <f t="shared" si="1"/>
        <v>227</v>
      </c>
      <c r="F20" s="333">
        <f t="shared" si="2"/>
        <v>7.9700000000000006</v>
      </c>
      <c r="G20" s="335">
        <f t="shared" si="3"/>
        <v>13.9</v>
      </c>
      <c r="H20" s="336">
        <f t="shared" si="5"/>
        <v>227</v>
      </c>
      <c r="I20" s="341">
        <f t="shared" si="6"/>
        <v>7.7299999999999995</v>
      </c>
    </row>
    <row r="21" spans="2:10" s="17" customFormat="1" ht="26.1" customHeight="1">
      <c r="B21" s="340">
        <f t="shared" si="4"/>
        <v>44755.027777777774</v>
      </c>
      <c r="C21" s="331">
        <v>1680</v>
      </c>
      <c r="D21" s="335">
        <f t="shared" si="0"/>
        <v>14</v>
      </c>
      <c r="E21" s="336">
        <f>$E$20</f>
        <v>227</v>
      </c>
      <c r="F21" s="333">
        <f>$F$20</f>
        <v>7.9700000000000006</v>
      </c>
      <c r="G21" s="335">
        <f t="shared" si="3"/>
        <v>14.1</v>
      </c>
      <c r="H21" s="336">
        <f>$H$20</f>
        <v>227</v>
      </c>
      <c r="I21" s="341">
        <f>$I$20</f>
        <v>7.7299999999999995</v>
      </c>
    </row>
    <row r="22" spans="2:10" s="17" customFormat="1" ht="26.1" customHeight="1">
      <c r="B22" s="340">
        <f t="shared" si="4"/>
        <v>44755.194444444445</v>
      </c>
      <c r="C22" s="331">
        <v>1920</v>
      </c>
      <c r="D22" s="335">
        <f t="shared" si="0"/>
        <v>14</v>
      </c>
      <c r="E22" s="336">
        <f t="shared" ref="E22:E23" si="7">$E$20</f>
        <v>227</v>
      </c>
      <c r="F22" s="333">
        <f t="shared" ref="F22:F23" si="8">$F$20</f>
        <v>7.9700000000000006</v>
      </c>
      <c r="G22" s="335">
        <f t="shared" si="3"/>
        <v>13.9</v>
      </c>
      <c r="H22" s="336">
        <f t="shared" ref="H22:H23" si="9">$H$20</f>
        <v>227</v>
      </c>
      <c r="I22" s="341">
        <f t="shared" ref="I22:I23" si="10">$I$20</f>
        <v>7.7299999999999995</v>
      </c>
    </row>
    <row r="23" spans="2:10" s="17" customFormat="1" ht="26.1" customHeight="1">
      <c r="B23" s="340">
        <f t="shared" si="4"/>
        <v>44755.861111111109</v>
      </c>
      <c r="C23" s="331">
        <v>2880</v>
      </c>
      <c r="D23" s="335">
        <f t="shared" si="0"/>
        <v>14</v>
      </c>
      <c r="E23" s="336">
        <f t="shared" si="7"/>
        <v>227</v>
      </c>
      <c r="F23" s="333">
        <f t="shared" si="8"/>
        <v>7.9700000000000006</v>
      </c>
      <c r="G23" s="335">
        <f t="shared" si="3"/>
        <v>13.9</v>
      </c>
      <c r="H23" s="336">
        <f t="shared" si="9"/>
        <v>227</v>
      </c>
      <c r="I23" s="341">
        <f t="shared" si="10"/>
        <v>7.7299999999999995</v>
      </c>
    </row>
    <row r="24" spans="2:10" s="17" customFormat="1" ht="26.1" customHeight="1">
      <c r="B24" s="814" t="s">
        <v>36</v>
      </c>
      <c r="C24" s="815"/>
      <c r="D24" s="330">
        <f>MAX(D14:D23)</f>
        <v>14.1</v>
      </c>
      <c r="E24" s="330">
        <f t="shared" ref="E24:F24" si="11">MAX(E14:E23)</f>
        <v>228</v>
      </c>
      <c r="F24" s="330">
        <f t="shared" si="11"/>
        <v>8.01</v>
      </c>
      <c r="G24" s="330">
        <f>MAX(G14:G23)</f>
        <v>14.1</v>
      </c>
      <c r="H24" s="330">
        <f t="shared" ref="H24:I24" si="12">MAX(H14:H23)</f>
        <v>232</v>
      </c>
      <c r="I24" s="339">
        <f t="shared" si="12"/>
        <v>7.92</v>
      </c>
      <c r="J24" s="16"/>
    </row>
    <row r="25" spans="2:10" s="17" customFormat="1" ht="26.1" customHeight="1">
      <c r="B25" s="814" t="s">
        <v>37</v>
      </c>
      <c r="C25" s="815"/>
      <c r="D25" s="330">
        <f>MIN(D14:D23)</f>
        <v>14</v>
      </c>
      <c r="E25" s="330">
        <f t="shared" ref="E25:F25" si="13">MIN(E14:E23)</f>
        <v>223</v>
      </c>
      <c r="F25" s="337">
        <f t="shared" si="13"/>
        <v>7.78</v>
      </c>
      <c r="G25" s="330">
        <f>MIN(G14:G23)</f>
        <v>13.9</v>
      </c>
      <c r="H25" s="330">
        <f t="shared" ref="H25:I25" si="14">MIN(H14:H23)</f>
        <v>226</v>
      </c>
      <c r="I25" s="339">
        <f t="shared" si="14"/>
        <v>7.7</v>
      </c>
      <c r="J25" s="16"/>
    </row>
    <row r="26" spans="2:10" s="17" customFormat="1" ht="26.1" customHeight="1" thickBot="1">
      <c r="B26" s="809" t="s">
        <v>86</v>
      </c>
      <c r="C26" s="810"/>
      <c r="D26" s="342">
        <f>D24-D25</f>
        <v>9.9999999999999645E-2</v>
      </c>
      <c r="E26" s="342">
        <f t="shared" ref="E26:F26" si="15">E24-E25</f>
        <v>5</v>
      </c>
      <c r="F26" s="342">
        <f t="shared" si="15"/>
        <v>0.22999999999999954</v>
      </c>
      <c r="G26" s="342">
        <f>G24-G25</f>
        <v>0.19999999999999929</v>
      </c>
      <c r="H26" s="342">
        <f t="shared" ref="H26:I26" si="16">H24-H25</f>
        <v>6</v>
      </c>
      <c r="I26" s="343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16" t="s">
        <v>81</v>
      </c>
      <c r="E29" s="817"/>
      <c r="F29" s="818"/>
      <c r="H29" s="816" t="s">
        <v>147</v>
      </c>
      <c r="I29" s="817"/>
      <c r="J29" s="818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307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4" t="s">
        <v>76</v>
      </c>
      <c r="C6" s="95">
        <v>44717.430555555555</v>
      </c>
      <c r="D6" s="47"/>
      <c r="E6" s="47"/>
      <c r="F6" s="16"/>
    </row>
    <row r="7" spans="2:12" s="17" customFormat="1" ht="26.1" customHeight="1" thickBot="1">
      <c r="B7" s="97" t="s">
        <v>77</v>
      </c>
      <c r="C7" s="185">
        <v>14.7</v>
      </c>
      <c r="D7" s="187">
        <v>14.8</v>
      </c>
      <c r="E7" s="188">
        <v>14.9</v>
      </c>
      <c r="F7" s="16"/>
    </row>
    <row r="8" spans="2:12" s="17" customFormat="1" ht="26.1" customHeight="1">
      <c r="B8" s="89" t="s">
        <v>78</v>
      </c>
      <c r="C8" s="90">
        <v>197</v>
      </c>
      <c r="D8" s="186">
        <v>197</v>
      </c>
      <c r="E8" s="182">
        <v>194</v>
      </c>
      <c r="F8" s="16"/>
    </row>
    <row r="9" spans="2:12" s="17" customFormat="1" ht="26.1" customHeight="1" thickBot="1">
      <c r="B9" s="91" t="s">
        <v>79</v>
      </c>
      <c r="C9" s="92">
        <v>8.4</v>
      </c>
      <c r="D9" s="98">
        <v>8.3000000000000007</v>
      </c>
      <c r="E9" s="93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11" t="s">
        <v>80</v>
      </c>
      <c r="C12" s="812"/>
      <c r="D12" s="812" t="s">
        <v>81</v>
      </c>
      <c r="E12" s="812"/>
      <c r="F12" s="812"/>
      <c r="G12" s="812" t="s">
        <v>147</v>
      </c>
      <c r="H12" s="812"/>
      <c r="I12" s="812"/>
      <c r="J12" s="812" t="s">
        <v>148</v>
      </c>
      <c r="K12" s="812"/>
      <c r="L12" s="813"/>
    </row>
    <row r="13" spans="2:12" s="16" customFormat="1" ht="26.1" customHeight="1">
      <c r="B13" s="338" t="s">
        <v>76</v>
      </c>
      <c r="C13" s="330" t="s">
        <v>82</v>
      </c>
      <c r="D13" s="330" t="s">
        <v>151</v>
      </c>
      <c r="E13" s="330" t="s">
        <v>160</v>
      </c>
      <c r="F13" s="330" t="s">
        <v>85</v>
      </c>
      <c r="G13" s="330" t="s">
        <v>151</v>
      </c>
      <c r="H13" s="330" t="s">
        <v>160</v>
      </c>
      <c r="I13" s="330" t="s">
        <v>85</v>
      </c>
      <c r="J13" s="330" t="s">
        <v>151</v>
      </c>
      <c r="K13" s="330" t="s">
        <v>160</v>
      </c>
      <c r="L13" s="339" t="s">
        <v>85</v>
      </c>
    </row>
    <row r="14" spans="2:12" s="16" customFormat="1" ht="26.1" customHeight="1">
      <c r="B14" s="340">
        <f>$C$6+C14/1440</f>
        <v>44717.434027777774</v>
      </c>
      <c r="C14" s="331">
        <v>5</v>
      </c>
      <c r="D14" s="331">
        <f t="shared" ref="D14:D20" si="0">baseTemp+D31</f>
        <v>14.7</v>
      </c>
      <c r="E14" s="336">
        <f t="shared" ref="E14:E20" si="1">$C$8+E31</f>
        <v>194</v>
      </c>
      <c r="F14" s="333">
        <f t="shared" ref="F14:F20" si="2">$C$9+F31</f>
        <v>8.33</v>
      </c>
      <c r="G14" s="335">
        <f t="shared" ref="G14:G20" si="3">bTemp2+H31</f>
        <v>14.8</v>
      </c>
      <c r="H14" s="336">
        <f>$D$8+I31</f>
        <v>200</v>
      </c>
      <c r="I14" s="333">
        <f>$D$9+J31</f>
        <v>8.39</v>
      </c>
      <c r="J14" s="335">
        <f t="shared" ref="J14:J20" si="4">bTemp3+L31</f>
        <v>14.9</v>
      </c>
      <c r="K14" s="336">
        <f>$E$8+M31</f>
        <v>195</v>
      </c>
      <c r="L14" s="341">
        <f>$E$9+N31</f>
        <v>8.2800000000000011</v>
      </c>
    </row>
    <row r="15" spans="2:12" s="16" customFormat="1" ht="26.1" customHeight="1">
      <c r="B15" s="340">
        <f t="shared" ref="B15:B23" si="5">$C$6+C15/1440</f>
        <v>44717.451388888891</v>
      </c>
      <c r="C15" s="331">
        <v>30</v>
      </c>
      <c r="D15" s="331">
        <f t="shared" si="0"/>
        <v>14.799999999999999</v>
      </c>
      <c r="E15" s="336">
        <f t="shared" si="1"/>
        <v>195</v>
      </c>
      <c r="F15" s="333">
        <f t="shared" si="2"/>
        <v>8.32</v>
      </c>
      <c r="G15" s="335">
        <f t="shared" si="3"/>
        <v>14.8</v>
      </c>
      <c r="H15" s="336">
        <f t="shared" ref="H15:H20" si="6">$D$8+I32</f>
        <v>194</v>
      </c>
      <c r="I15" s="333">
        <f t="shared" ref="I15:I20" si="7">$D$9+J32</f>
        <v>8.2100000000000009</v>
      </c>
      <c r="J15" s="335">
        <f t="shared" si="4"/>
        <v>14.9</v>
      </c>
      <c r="K15" s="336">
        <f t="shared" ref="K15:K20" si="8">$E$8+M32</f>
        <v>192</v>
      </c>
      <c r="L15" s="341">
        <f t="shared" ref="L15:L20" si="9">$E$9+N32</f>
        <v>8.49</v>
      </c>
    </row>
    <row r="16" spans="2:12" s="16" customFormat="1" ht="26.1" customHeight="1">
      <c r="B16" s="340">
        <f t="shared" si="5"/>
        <v>44717.472222222219</v>
      </c>
      <c r="C16" s="331">
        <v>60</v>
      </c>
      <c r="D16" s="331">
        <f t="shared" si="0"/>
        <v>14.7</v>
      </c>
      <c r="E16" s="336">
        <f t="shared" si="1"/>
        <v>199</v>
      </c>
      <c r="F16" s="333">
        <f t="shared" si="2"/>
        <v>8.51</v>
      </c>
      <c r="G16" s="335">
        <f t="shared" si="3"/>
        <v>14.700000000000001</v>
      </c>
      <c r="H16" s="336">
        <f t="shared" si="6"/>
        <v>200</v>
      </c>
      <c r="I16" s="333">
        <f t="shared" si="7"/>
        <v>8.2000000000000011</v>
      </c>
      <c r="J16" s="335">
        <f t="shared" si="4"/>
        <v>15</v>
      </c>
      <c r="K16" s="336">
        <f t="shared" si="8"/>
        <v>193</v>
      </c>
      <c r="L16" s="341">
        <f t="shared" si="9"/>
        <v>8.51</v>
      </c>
    </row>
    <row r="17" spans="2:14" s="16" customFormat="1" ht="26.1" customHeight="1">
      <c r="B17" s="340">
        <f t="shared" si="5"/>
        <v>44717.513888888891</v>
      </c>
      <c r="C17" s="331">
        <v>120</v>
      </c>
      <c r="D17" s="331">
        <f t="shared" si="0"/>
        <v>14.7</v>
      </c>
      <c r="E17" s="336">
        <f t="shared" si="1"/>
        <v>199</v>
      </c>
      <c r="F17" s="333">
        <f t="shared" si="2"/>
        <v>8.51</v>
      </c>
      <c r="G17" s="335">
        <f t="shared" si="3"/>
        <v>14.700000000000001</v>
      </c>
      <c r="H17" s="336">
        <f t="shared" si="6"/>
        <v>196</v>
      </c>
      <c r="I17" s="333">
        <f t="shared" si="7"/>
        <v>8.2000000000000011</v>
      </c>
      <c r="J17" s="335">
        <f t="shared" si="4"/>
        <v>15</v>
      </c>
      <c r="K17" s="336">
        <f t="shared" si="8"/>
        <v>196</v>
      </c>
      <c r="L17" s="341">
        <f t="shared" si="9"/>
        <v>8.3000000000000007</v>
      </c>
    </row>
    <row r="18" spans="2:14" s="16" customFormat="1" ht="26.1" customHeight="1">
      <c r="B18" s="340">
        <f t="shared" si="5"/>
        <v>44717.597222222219</v>
      </c>
      <c r="C18" s="331">
        <v>240</v>
      </c>
      <c r="D18" s="331">
        <f t="shared" si="0"/>
        <v>14.799999999999999</v>
      </c>
      <c r="E18" s="336">
        <f t="shared" si="1"/>
        <v>198</v>
      </c>
      <c r="F18" s="333">
        <f t="shared" si="2"/>
        <v>8.51</v>
      </c>
      <c r="G18" s="335">
        <f t="shared" si="3"/>
        <v>14.700000000000001</v>
      </c>
      <c r="H18" s="336">
        <f t="shared" si="6"/>
        <v>198</v>
      </c>
      <c r="I18" s="333">
        <f t="shared" si="7"/>
        <v>8.2000000000000011</v>
      </c>
      <c r="J18" s="335">
        <f t="shared" si="4"/>
        <v>14.8</v>
      </c>
      <c r="K18" s="336">
        <f t="shared" si="8"/>
        <v>196</v>
      </c>
      <c r="L18" s="341">
        <f t="shared" si="9"/>
        <v>8.52</v>
      </c>
    </row>
    <row r="19" spans="2:14" s="16" customFormat="1" ht="26.1" customHeight="1">
      <c r="B19" s="340">
        <f t="shared" si="5"/>
        <v>44717.763888888891</v>
      </c>
      <c r="C19" s="331">
        <v>480</v>
      </c>
      <c r="D19" s="331">
        <f t="shared" si="0"/>
        <v>14.7</v>
      </c>
      <c r="E19" s="336">
        <f t="shared" si="1"/>
        <v>196</v>
      </c>
      <c r="F19" s="333">
        <f t="shared" si="2"/>
        <v>8.2800000000000011</v>
      </c>
      <c r="G19" s="335">
        <f t="shared" si="3"/>
        <v>14.700000000000001</v>
      </c>
      <c r="H19" s="336">
        <f t="shared" si="6"/>
        <v>196</v>
      </c>
      <c r="I19" s="333">
        <f t="shared" si="7"/>
        <v>8.42</v>
      </c>
      <c r="J19" s="335">
        <f t="shared" si="4"/>
        <v>15</v>
      </c>
      <c r="K19" s="336">
        <f t="shared" si="8"/>
        <v>191</v>
      </c>
      <c r="L19" s="341">
        <f t="shared" si="9"/>
        <v>8.2800000000000011</v>
      </c>
    </row>
    <row r="20" spans="2:14" s="17" customFormat="1" ht="26.1" customHeight="1">
      <c r="B20" s="340">
        <f t="shared" si="5"/>
        <v>44718.430555555555</v>
      </c>
      <c r="C20" s="331">
        <v>1440</v>
      </c>
      <c r="D20" s="331">
        <f t="shared" si="0"/>
        <v>14.799999999999999</v>
      </c>
      <c r="E20" s="336">
        <f t="shared" si="1"/>
        <v>198</v>
      </c>
      <c r="F20" s="333">
        <f t="shared" si="2"/>
        <v>8.4700000000000006</v>
      </c>
      <c r="G20" s="335">
        <f t="shared" si="3"/>
        <v>14.700000000000001</v>
      </c>
      <c r="H20" s="336">
        <f t="shared" si="6"/>
        <v>195</v>
      </c>
      <c r="I20" s="333">
        <f t="shared" si="7"/>
        <v>8.23</v>
      </c>
      <c r="J20" s="335">
        <f t="shared" si="4"/>
        <v>14.8</v>
      </c>
      <c r="K20" s="336">
        <f t="shared" si="8"/>
        <v>191</v>
      </c>
      <c r="L20" s="341">
        <f t="shared" si="9"/>
        <v>8.33</v>
      </c>
    </row>
    <row r="21" spans="2:14" s="17" customFormat="1" ht="26.1" customHeight="1">
      <c r="B21" s="340">
        <f t="shared" si="5"/>
        <v>44718.597222222219</v>
      </c>
      <c r="C21" s="331">
        <v>1680</v>
      </c>
      <c r="D21" s="331">
        <f>$D$20</f>
        <v>14.799999999999999</v>
      </c>
      <c r="E21" s="336">
        <f>$E$20</f>
        <v>198</v>
      </c>
      <c r="F21" s="333">
        <f>$F$20</f>
        <v>8.4700000000000006</v>
      </c>
      <c r="G21" s="335">
        <f>$G$20</f>
        <v>14.700000000000001</v>
      </c>
      <c r="H21" s="336">
        <f>$H$20</f>
        <v>195</v>
      </c>
      <c r="I21" s="333">
        <f>$I$20</f>
        <v>8.23</v>
      </c>
      <c r="J21" s="335">
        <f>$J$20</f>
        <v>14.8</v>
      </c>
      <c r="K21" s="336">
        <f>$K$20</f>
        <v>191</v>
      </c>
      <c r="L21" s="341">
        <f>$L$20</f>
        <v>8.33</v>
      </c>
    </row>
    <row r="22" spans="2:14" s="17" customFormat="1" ht="26.1" customHeight="1">
      <c r="B22" s="340">
        <f t="shared" si="5"/>
        <v>44718.763888888891</v>
      </c>
      <c r="C22" s="331">
        <v>1920</v>
      </c>
      <c r="D22" s="331">
        <f t="shared" ref="D22:D23" si="10">$D$20</f>
        <v>14.799999999999999</v>
      </c>
      <c r="E22" s="336">
        <f t="shared" ref="E22:E23" si="11">$E$20</f>
        <v>198</v>
      </c>
      <c r="F22" s="333">
        <f t="shared" ref="F22:F23" si="12">$F$20</f>
        <v>8.4700000000000006</v>
      </c>
      <c r="G22" s="335">
        <f t="shared" ref="G22:G23" si="13">$G$20</f>
        <v>14.700000000000001</v>
      </c>
      <c r="H22" s="336">
        <f t="shared" ref="H22:H23" si="14">$H$20</f>
        <v>195</v>
      </c>
      <c r="I22" s="333">
        <f t="shared" ref="I22:I23" si="15">$I$20</f>
        <v>8.23</v>
      </c>
      <c r="J22" s="335">
        <f t="shared" ref="J22:J23" si="16">$J$20</f>
        <v>14.8</v>
      </c>
      <c r="K22" s="336">
        <f t="shared" ref="K22:K23" si="17">$K$20</f>
        <v>191</v>
      </c>
      <c r="L22" s="341">
        <f t="shared" ref="L22:L23" si="18">$L$20</f>
        <v>8.33</v>
      </c>
    </row>
    <row r="23" spans="2:14" s="17" customFormat="1" ht="26.1" customHeight="1">
      <c r="B23" s="340">
        <f t="shared" si="5"/>
        <v>44719.430555555555</v>
      </c>
      <c r="C23" s="331">
        <v>2880</v>
      </c>
      <c r="D23" s="331">
        <f t="shared" si="10"/>
        <v>14.799999999999999</v>
      </c>
      <c r="E23" s="336">
        <f t="shared" si="11"/>
        <v>198</v>
      </c>
      <c r="F23" s="333">
        <f t="shared" si="12"/>
        <v>8.4700000000000006</v>
      </c>
      <c r="G23" s="335">
        <f t="shared" si="13"/>
        <v>14.700000000000001</v>
      </c>
      <c r="H23" s="336">
        <f t="shared" si="14"/>
        <v>195</v>
      </c>
      <c r="I23" s="333">
        <f t="shared" si="15"/>
        <v>8.23</v>
      </c>
      <c r="J23" s="335">
        <f t="shared" si="16"/>
        <v>14.8</v>
      </c>
      <c r="K23" s="336">
        <f t="shared" si="17"/>
        <v>191</v>
      </c>
      <c r="L23" s="341">
        <f t="shared" si="18"/>
        <v>8.33</v>
      </c>
    </row>
    <row r="24" spans="2:14" s="17" customFormat="1" ht="26.1" customHeight="1">
      <c r="B24" s="814" t="s">
        <v>36</v>
      </c>
      <c r="C24" s="815"/>
      <c r="D24" s="330">
        <f>MAX(D14:D23)</f>
        <v>14.799999999999999</v>
      </c>
      <c r="E24" s="330">
        <f t="shared" ref="E24:F24" si="19">MAX(E14:E23)</f>
        <v>199</v>
      </c>
      <c r="F24" s="330">
        <f t="shared" si="19"/>
        <v>8.51</v>
      </c>
      <c r="G24" s="330">
        <f>MAX(G14:G23)</f>
        <v>14.8</v>
      </c>
      <c r="H24" s="330">
        <f t="shared" ref="H24:I24" si="20">MAX(H14:H23)</f>
        <v>200</v>
      </c>
      <c r="I24" s="330">
        <f t="shared" si="20"/>
        <v>8.42</v>
      </c>
      <c r="J24" s="330">
        <f>MAX(J14:J23)</f>
        <v>15</v>
      </c>
      <c r="K24" s="330">
        <f t="shared" ref="K24:L24" si="21">MAX(K14:K23)</f>
        <v>196</v>
      </c>
      <c r="L24" s="339">
        <f t="shared" si="21"/>
        <v>8.52</v>
      </c>
    </row>
    <row r="25" spans="2:14" s="17" customFormat="1" ht="26.1" customHeight="1">
      <c r="B25" s="814" t="s">
        <v>37</v>
      </c>
      <c r="C25" s="815"/>
      <c r="D25" s="330">
        <f>MIN(D14:D23)</f>
        <v>14.7</v>
      </c>
      <c r="E25" s="330">
        <f t="shared" ref="E25:F25" si="22">MIN(E14:E23)</f>
        <v>194</v>
      </c>
      <c r="F25" s="330">
        <f t="shared" si="22"/>
        <v>8.2800000000000011</v>
      </c>
      <c r="G25" s="330">
        <f>MIN(G14:G23)</f>
        <v>14.700000000000001</v>
      </c>
      <c r="H25" s="330">
        <f t="shared" ref="H25:I25" si="23">MIN(H14:H23)</f>
        <v>194</v>
      </c>
      <c r="I25" s="330">
        <f t="shared" si="23"/>
        <v>8.2000000000000011</v>
      </c>
      <c r="J25" s="330">
        <f>MIN(J14:J23)</f>
        <v>14.8</v>
      </c>
      <c r="K25" s="330">
        <f t="shared" ref="K25:L25" si="24">MIN(K14:K23)</f>
        <v>191</v>
      </c>
      <c r="L25" s="339">
        <f t="shared" si="24"/>
        <v>8.2800000000000011</v>
      </c>
    </row>
    <row r="26" spans="2:14" s="17" customFormat="1" ht="26.1" customHeight="1" thickBot="1">
      <c r="B26" s="809" t="s">
        <v>86</v>
      </c>
      <c r="C26" s="810"/>
      <c r="D26" s="342">
        <f>D24-D25</f>
        <v>9.9999999999999645E-2</v>
      </c>
      <c r="E26" s="342">
        <f t="shared" ref="E26:F26" si="25">E24-E25</f>
        <v>5</v>
      </c>
      <c r="F26" s="342">
        <f t="shared" si="25"/>
        <v>0.22999999999999865</v>
      </c>
      <c r="G26" s="342">
        <f>G24-G25</f>
        <v>9.9999999999999645E-2</v>
      </c>
      <c r="H26" s="342">
        <f t="shared" ref="H26:I26" si="26">H24-H25</f>
        <v>6</v>
      </c>
      <c r="I26" s="342">
        <f t="shared" si="26"/>
        <v>0.21999999999999886</v>
      </c>
      <c r="J26" s="342">
        <f>J24-J25</f>
        <v>0.19999999999999929</v>
      </c>
      <c r="K26" s="342">
        <f t="shared" ref="K26:L26" si="27">K24-K25</f>
        <v>5</v>
      </c>
      <c r="L26" s="343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16" t="s">
        <v>81</v>
      </c>
      <c r="E29" s="817"/>
      <c r="F29" s="818"/>
      <c r="H29" s="816" t="s">
        <v>147</v>
      </c>
      <c r="I29" s="817"/>
      <c r="J29" s="818"/>
      <c r="L29" s="816" t="s">
        <v>148</v>
      </c>
      <c r="M29" s="817"/>
      <c r="N29" s="818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36</vt:i4>
      </vt:variant>
    </vt:vector>
  </HeadingPairs>
  <TitlesOfParts>
    <vt:vector size="58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2025-03-26T08:48:22Z</dcterms:modified>
</cp:coreProperties>
</file>