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BB5491C-304A-46EF-9D79-645B0B9F1947}" xr6:coauthVersionLast="47" xr6:coauthVersionMax="47" xr10:uidLastSave="{00000000-0000-0000-0000-000000000000}"/>
  <bookViews>
    <workbookView xWindow="3435" yWindow="1140" windowWidth="31365" windowHeight="1951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14" r:id="rId18"/>
    <sheet name="Q1" sheetId="100" r:id="rId19"/>
    <sheet name="Q2" sheetId="117" r:id="rId20"/>
    <sheet name="Q3" sheetId="115" r:id="rId21"/>
    <sheet name="p1" sheetId="213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F21" i="214"/>
  <c r="E17" i="214"/>
  <c r="C19" i="214"/>
  <c r="C18" i="214"/>
  <c r="C17" i="214"/>
  <c r="C16" i="214"/>
  <c r="C15" i="214"/>
  <c r="C8" i="214"/>
  <c r="C7" i="214"/>
  <c r="C12" i="214" s="1"/>
  <c r="A13" i="214" s="1"/>
  <c r="A12" i="214" s="1"/>
  <c r="C6" i="214"/>
  <c r="C5" i="214"/>
  <c r="C4" i="214"/>
  <c r="C3" i="214"/>
  <c r="C2" i="214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E30" i="214"/>
  <c r="D30" i="214"/>
  <c r="D26" i="214"/>
  <c r="C22" i="214"/>
  <c r="E19" i="214"/>
  <c r="K16" i="214"/>
  <c r="K17" i="214" s="1"/>
  <c r="K18" i="214" s="1"/>
  <c r="L18" i="214" s="1"/>
  <c r="H26" i="214" s="1"/>
  <c r="G14" i="214"/>
  <c r="E13" i="214"/>
  <c r="D13" i="214"/>
  <c r="L12" i="214"/>
  <c r="H11" i="214"/>
  <c r="F11" i="214"/>
  <c r="E11" i="214"/>
  <c r="H10" i="214"/>
  <c r="H9" i="214"/>
  <c r="C9" i="214"/>
  <c r="G7" i="214"/>
  <c r="E7" i="214"/>
  <c r="B23" i="213"/>
  <c r="B22" i="213"/>
  <c r="B21" i="213"/>
  <c r="F20" i="213"/>
  <c r="F23" i="213" s="1"/>
  <c r="E20" i="213"/>
  <c r="E23" i="213" s="1"/>
  <c r="D20" i="213"/>
  <c r="D23" i="213" s="1"/>
  <c r="B20" i="213"/>
  <c r="F19" i="213"/>
  <c r="E19" i="213"/>
  <c r="D19" i="213"/>
  <c r="B19" i="213"/>
  <c r="F18" i="213"/>
  <c r="E18" i="213"/>
  <c r="D18" i="213"/>
  <c r="B18" i="213"/>
  <c r="F17" i="213"/>
  <c r="E17" i="213"/>
  <c r="D17" i="213"/>
  <c r="B17" i="213"/>
  <c r="F16" i="213"/>
  <c r="E16" i="213"/>
  <c r="D16" i="213"/>
  <c r="B16" i="213"/>
  <c r="F15" i="213"/>
  <c r="E15" i="213"/>
  <c r="D15" i="213"/>
  <c r="B15" i="213"/>
  <c r="F14" i="213"/>
  <c r="E14" i="213"/>
  <c r="D14" i="213"/>
  <c r="B14" i="213"/>
  <c r="K30" i="214" l="1"/>
  <c r="C14" i="214"/>
  <c r="F5" i="214" s="1"/>
  <c r="J26" i="214"/>
  <c r="F6" i="214"/>
  <c r="F7" i="214"/>
  <c r="D21" i="213"/>
  <c r="E21" i="213"/>
  <c r="F21" i="213"/>
  <c r="D22" i="213"/>
  <c r="E22" i="213"/>
  <c r="F22" i="213"/>
  <c r="D24" i="213"/>
  <c r="E24" i="213"/>
  <c r="F24" i="213"/>
  <c r="F25" i="213" l="1"/>
  <c r="E25" i="213"/>
  <c r="E26" i="213" s="1"/>
  <c r="D25" i="213"/>
  <c r="D26" i="213" s="1"/>
  <c r="F26" i="213"/>
  <c r="E13" i="55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4" l="1"/>
  <c r="E21" i="55"/>
  <c r="E22" i="214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14" s="1"/>
  <c r="D26" i="55"/>
  <c r="F13" i="214" l="1"/>
  <c r="F17" i="214"/>
  <c r="G17" i="214" s="1"/>
  <c r="F19" i="214"/>
  <c r="G19" i="214" s="1"/>
  <c r="G13" i="55"/>
  <c r="F13" i="55"/>
  <c r="K30" i="55"/>
  <c r="H19" i="214" l="1"/>
  <c r="G21" i="214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55" l="1"/>
  <c r="G17" i="55" s="1"/>
  <c r="F19" i="55"/>
  <c r="G19" i="55" s="1"/>
  <c r="E30" i="23"/>
  <c r="G14" i="55"/>
  <c r="D30" i="23"/>
  <c r="C30" i="23"/>
  <c r="E26" i="214" s="1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58591261-EEA4-4C8D-B561-A5D15931B4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ED725C85-E5A1-4DC9-826C-E771FB9DF0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50B63AF-52C5-4A5F-99F1-1A55C3372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221DC80A-E2DC-410E-86A0-72CEBD1B2B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7FAA7D4-C3F5-46EE-829A-2782830605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F5952E6-654D-43BB-98AB-2C2F0B17E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9EC43B2-AA21-413A-BC4F-18ABE462D4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01DF98E-EBB1-4055-BA2C-B320B7E8E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462AC13-F6B9-4149-8192-E071CFC4A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B849722-8CB4-46DD-A1CC-9DDF655DE1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2BB3A14E-A683-4AF7-8D13-B5A449B7F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5F9E374-2C23-46B7-86D5-7162BF90C9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8AF927-CF8A-48B5-9FDF-EF085FC103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3BF9114-4D3F-48A0-ACA3-69DB1B98E7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54F83EF-0683-4B82-B113-2A08F0EC75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B5D3747-D230-4559-BB96-785E30F1AB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FCD665-C70C-488B-9495-12512A12C5D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CC99F72-D095-4852-9B4F-2E06EDF03D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213E133-DE62-453C-AB65-9B3827A38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988EC5-1AE9-451A-885B-42EB55F37A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74A8CDB-7BD8-4F85-B62F-B1409DA43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5804DD-A72C-4DC0-8B13-2C30278AB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585684-9F8D-494F-A88B-9F35647811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95AC779-7CF7-4345-B2D5-B51D79AC1A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E4B61D-6F2A-45A7-AF58-25D723ED3F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B248BC-C4F9-4324-AE5F-7F2E84C6F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F6AB728-6AEE-4685-AF2A-7F404C415B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F4AFDC-0793-4941-BFAA-03EE11F480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95841B7-A36D-44E1-BDB8-C9B5DBCB1F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<sst xmlns="http://schemas.openxmlformats.org/spreadsheetml/2006/main" count="1347" uniqueCount="837">
  <si>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</si>
  <si>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</si>
  <si>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</si>
  <si>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</si>
  <si>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</si>
  <si>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</si>
  <si>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</si>
  <si>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</si>
  <si>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</si>
  <si>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</si>
  <si>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</si>
  <si>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</si>
  <si>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</si>
  <si>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</si>
  <si>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</si>
  <si>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</si>
  <si>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</si>
  <si>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</si>
  <si>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</si>
  <si>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</si>
  <si>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</si>
  <si>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</si>
  <si>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</si>
  <si>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</si>
  <si>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</si>
  <si>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</si>
  <si>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</si>
  <si>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</si>
  <si>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</si>
  <si>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</si>
  <si>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</si>
  <si>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</si>
  <si>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</si>
  <si>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</si>
  <si>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</si>
  <si>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</si>
  <si>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</si>
  <si>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</si>
  <si>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</si>
  <si>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</si>
  <si>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</si>
  <si>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</si>
  <si>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</si>
  <si>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</si>
  <si>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</si>
  <si>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</si>
  <si>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</si>
  <si>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</si>
  <si>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</si>
  <si>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</si>
  <si>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</si>
  <si>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</si>
  <si>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</si>
  <si>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</si>
  <si>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</si>
  <si>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</si>
  <si>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</si>
  <si>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</si>
  <si>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</si>
  <si>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</si>
  <si>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</si>
  <si>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</si>
  <si>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</si>
  <si>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</si>
  <si>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</si>
  <si>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</si>
  <si>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</si>
  <si>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</si>
  <si>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</si>
  <si>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</si>
  <si>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</si>
  <si>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</si>
  <si>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</si>
  <si>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</si>
  <si>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</si>
  <si>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</si>
  <si>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</si>
  <si>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</si>
  <si>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</si>
  <si>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</si>
  <si>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</si>
  <si>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</si>
  <si>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</si>
  <si>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</si>
  <si>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</si>
  <si>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</si>
  <si>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</si>
  <si>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</si>
  <si>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</si>
  <si>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</si>
  <si>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</si>
  <si>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</si>
  <si>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</si>
  <si>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</si>
  <si>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</si>
  <si>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</si>
  <si>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</si>
  <si>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</si>
  <si>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</si>
  <si>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</si>
  <si>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</si>
  <si>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</si>
  <si>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</si>
  <si>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</si>
  <si>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</si>
  <si>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</si>
  <si>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</si>
  <si>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</si>
  <si>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</si>
  <si>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</si>
  <si>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</si>
  <si>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</si>
  <si>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</si>
  <si>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</si>
  <si>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</si>
  <si>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</si>
  <si>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</si>
  <si>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</si>
  <si>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</si>
  <si>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</si>
  <si>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</si>
  <si>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</si>
  <si>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</si>
  <si>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</si>
  <si>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</si>
  <si>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</si>
  <si>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</si>
  <si>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</si>
  <si>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</si>
  <si>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</si>
  <si>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</si>
  <si>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</si>
  <si>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</si>
  <si>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</si>
  <si>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</si>
  <si>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</si>
  <si>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</si>
  <si>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</si>
  <si>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</si>
  <si>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</si>
  <si>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</si>
  <si>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</si>
  <si>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</si>
  <si>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</si>
  <si>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</si>
  <si>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</si>
  <si>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</si>
  <si>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</si>
  <si>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</si>
  <si>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</si>
  <si>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</si>
  <si>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</si>
  <si>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</si>
  <si>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</si>
  <si>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</si>
  <si>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</si>
  <si>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</si>
  <si>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</si>
  <si>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</si>
  <si>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</si>
  <si>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</si>
  <si>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</si>
  <si>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</si>
  <si>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</si>
  <si>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</si>
  <si>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</si>
  <si>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</si>
  <si>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</si>
  <si>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</si>
  <si>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</si>
  <si>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</si>
  <si>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</si>
  <si>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</si>
  <si>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</si>
  <si>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</si>
  <si>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</si>
  <si>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</si>
  <si>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</si>
  <si>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</si>
  <si>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</si>
  <si>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</si>
  <si>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</si>
  <si>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</si>
  <si>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</si>
  <si>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</si>
  <si>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</si>
  <si>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</si>
  <si>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</si>
  <si>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</si>
  <si>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</si>
  <si>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</si>
  <si>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</si>
  <si>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</si>
  <si>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</si>
  <si>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</si>
  <si>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</si>
  <si>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</si>
  <si>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</si>
  <si>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</si>
  <si>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</si>
  <si>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</si>
  <si>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</si>
  <si>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</si>
  <si>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</si>
  <si>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</si>
  <si>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</si>
  <si>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</si>
  <si>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</si>
  <si>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</si>
  <si>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</si>
  <si>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</si>
  <si>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</si>
  <si>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</si>
  <si>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</si>
  <si>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</si>
  <si>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</si>
  <si>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</si>
  <si>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</si>
  <si>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</si>
  <si>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</si>
  <si>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</si>
  <si>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</si>
  <si>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</si>
  <si>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</si>
  <si>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</si>
  <si>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</si>
  <si>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</si>
  <si>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</si>
  <si>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</si>
  <si>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</si>
  <si>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</si>
  <si>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</si>
  <si>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</si>
  <si>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</si>
  <si>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</si>
  <si>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</si>
  <si>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</si>
  <si>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</si>
  <si>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</si>
  <si>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</si>
  <si>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</si>
  <si>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</si>
  <si>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</si>
  <si>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</si>
  <si>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</si>
  <si>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</si>
  <si>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</si>
  <si>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</si>
  <si>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</si>
  <si>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</si>
  <si>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</si>
  <si>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</si>
  <si>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</si>
  <si>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</si>
  <si>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</si>
  <si>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</si>
  <si>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</si>
  <si>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</si>
  <si>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</si>
  <si>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</si>
  <si>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</si>
  <si>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</si>
  <si>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</si>
  <si>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</si>
  <si>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</si>
  <si>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</si>
  <si>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</si>
  <si>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</si>
  <si>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</si>
  <si>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</si>
  <si>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</si>
  <si>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</si>
  <si>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</si>
  <si>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</si>
  <si>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</si>
  <si>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</si>
  <si>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</si>
  <si>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</si>
  <si>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</si>
  <si>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</si>
  <si>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</si>
  <si>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</si>
  <si>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</si>
  <si>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</si>
  <si>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</si>
  <si>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</si>
  <si>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</si>
  <si>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</si>
  <si>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</si>
  <si>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</si>
  <si>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</si>
  <si>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</si>
  <si>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</si>
  <si>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</si>
  <si>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</si>
  <si>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</si>
  <si>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</si>
  <si>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</si>
  <si>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</si>
  <si>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</si>
  <si>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</si>
  <si>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</si>
  <si>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</si>
  <si>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</si>
  <si>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</si>
  <si>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</si>
  <si>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</si>
  <si>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</si>
  <si>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</si>
  <si>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</si>
  <si>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</si>
  <si>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</si>
  <si>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</si>
  <si>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</si>
  <si>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</si>
  <si>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</si>
  <si>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</si>
  <si>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</si>
  <si>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</si>
  <si>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</si>
  <si>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</si>
  <si>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</si>
  <si>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</si>
  <si>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</si>
  <si>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</si>
  <si>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</si>
  <si>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</si>
  <si>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</si>
  <si>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</si>
  <si>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</si>
  <si>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</si>
  <si>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</si>
  <si>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</si>
  <si>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</si>
  <si>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</si>
  <si>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</si>
  <si>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</si>
  <si>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</si>
  <si>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</si>
  <si>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</si>
  <si>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</si>
  <si>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</si>
  <si>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</si>
  <si>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</si>
  <si>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</si>
  <si>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</si>
  <si>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</si>
  <si>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</si>
  <si>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</si>
  <si>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</si>
  <si>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</si>
  <si>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</si>
  <si>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</si>
  <si>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</si>
  <si>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</si>
  <si>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</si>
  <si>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</si>
  <si>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</si>
  <si>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</si>
  <si>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</si>
  <si>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</si>
  <si>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</si>
  <si>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</si>
  <si>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</si>
  <si>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</si>
  <si>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</si>
  <si>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</si>
  <si>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</si>
  <si>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</si>
  <si>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</si>
  <si>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</si>
  <si>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</si>
  <si>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</si>
  <si>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</si>
  <si>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</si>
  <si>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</si>
  <si>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</si>
  <si>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</si>
  <si>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</si>
  <si>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</si>
  <si>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</si>
  <si>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</si>
  <si>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</si>
  <si>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</si>
  <si>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</si>
  <si>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</si>
  <si>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</si>
  <si>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</si>
  <si>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</si>
  <si>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</si>
  <si>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</si>
  <si>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</si>
  <si>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</si>
  <si>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</si>
  <si>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</si>
  <si>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</si>
  <si>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</si>
  <si>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</si>
  <si>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</si>
  <si>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</si>
  <si>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</si>
  <si>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</si>
  <si>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</si>
  <si>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</si>
  <si>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</si>
  <si>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</si>
  <si>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</si>
  <si>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</si>
  <si>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</si>
  <si>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</si>
  <si>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</si>
  <si>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</si>
  <si>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</si>
  <si>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</si>
  <si>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</si>
  <si>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</si>
  <si>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</si>
  <si>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</si>
  <si>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</si>
  <si>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</si>
  <si>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</si>
  <si>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</si>
  <si>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</si>
  <si>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</si>
  <si>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</si>
  <si>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</si>
  <si>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</si>
  <si>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</si>
  <si>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</si>
  <si>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</si>
  <si>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</si>
  <si>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</si>
  <si>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</si>
  <si>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</si>
  <si>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</si>
  <si>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</si>
  <si>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</si>
  <si>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</si>
  <si>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</si>
  <si>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</si>
  <si>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</si>
  <si>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</si>
  <si>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</si>
  <si>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</si>
  <si>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</si>
  <si>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</si>
  <si>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</si>
  <si>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</si>
  <si>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</si>
  <si>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</si>
  <si>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</si>
  <si>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</si>
  <si>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</si>
  <si>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</si>
  <si>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</si>
  <si>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</si>
  <si>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</si>
  <si>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</si>
  <si>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</si>
  <si>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</si>
  <si>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</si>
  <si>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</si>
  <si>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</si>
  <si>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</si>
  <si>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</si>
  <si>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</si>
  <si>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</si>
  <si>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</si>
  <si>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</si>
  <si>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</si>
  <si>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</si>
  <si>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</si>
  <si>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</si>
  <si>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</si>
  <si>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</si>
  <si>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</si>
  <si>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</si>
  <si>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</si>
  <si>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</si>
  <si>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</si>
  <si>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</si>
  <si>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</si>
  <si>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</si>
  <si>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</si>
  <si>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</si>
  <si>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</si>
  <si>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</si>
  <si>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</si>
  <si>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</si>
  <si>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</si>
  <si>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</si>
  <si>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</si>
  <si>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</si>
  <si>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</si>
  <si>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</si>
  <si>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</si>
  <si>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</si>
  <si>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</si>
  <si>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</si>
  <si>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</si>
  <si>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</si>
  <si>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</si>
  <si>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</si>
  <si>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</si>
  <si>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</si>
  <si>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</si>
  <si>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</si>
  <si>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</si>
  <si>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</si>
  <si>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</si>
  <si>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</si>
  <si>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</si>
  <si>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</si>
  <si>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</si>
  <si>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</si>
  <si>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</si>
  <si>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</si>
  <si>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</si>
  <si>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</si>
  <si>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</si>
  <si>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</si>
  <si>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</si>
  <si>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</si>
  <si>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</si>
  <si>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</si>
  <si>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</si>
  <si>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</si>
  <si>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</si>
  <si>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</si>
  <si>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</si>
  <si>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</si>
  <si>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</si>
  <si>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</si>
  <si>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</si>
  <si>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</si>
  <si>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</si>
  <si>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</si>
  <si>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</si>
  <si>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</si>
  <si>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</si>
  <si>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</si>
  <si>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</si>
  <si>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</si>
  <si>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</si>
  <si>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</si>
  <si>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</si>
  <si>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</si>
  <si>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</si>
  <si>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</si>
  <si>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</si>
  <si>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</si>
  <si>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</si>
  <si>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</si>
  <si>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</si>
  <si>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</si>
  <si>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</si>
  <si>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</si>
  <si>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</si>
  <si>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</si>
  <si>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</si>
  <si>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</si>
  <si>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</si>
  <si>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</si>
  <si>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</si>
  <si>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</si>
  <si>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</si>
  <si>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</si>
  <si>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</si>
  <si>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</si>
  <si>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</si>
  <si>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</si>
  <si>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</si>
  <si>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</si>
  <si>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</si>
  <si>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</si>
  <si>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</si>
  <si>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</si>
  <si>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</si>
  <si>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</si>
  <si>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</si>
  <si>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</si>
  <si>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</si>
  <si>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</si>
  <si>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</si>
  <si>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</si>
  <si>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</si>
  <si>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</si>
  <si>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</si>
  <si>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</si>
  <si>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</si>
  <si>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</si>
  <si>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</si>
  <si>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</si>
  <si>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</si>
  <si>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</si>
  <si>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</si>
  <si>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</si>
  <si>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</si>
  <si>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</si>
  <si>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</si>
  <si>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</si>
  <si>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</si>
  <si>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</si>
  <si>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</si>
  <si>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</si>
  <si>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</si>
  <si>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</si>
  <si>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</si>
  <si>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</si>
  <si>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</si>
  <si>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</si>
  <si>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</si>
  <si>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</si>
  <si>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</si>
  <si>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</si>
  <si>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</si>
  <si>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</si>
  <si>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</si>
  <si>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</si>
  <si>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</si>
  <si>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</si>
  <si>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</si>
  <si>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</si>
  <si>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</si>
  <si>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</si>
  <si>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</si>
  <si>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</si>
  <si>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</si>
  <si>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</si>
  <si>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</si>
  <si>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</si>
  <si>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</si>
  <si>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</si>
  <si>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</si>
  <si>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</si>
  <si>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</si>
  <si>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</si>
  <si>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</si>
  <si>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</si>
  <si>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</si>
  <si>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</si>
  <si>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</si>
  <si>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</si>
  <si>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</si>
  <si>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</si>
  <si>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</si>
  <si>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</si>
  <si>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</si>
  <si>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</si>
  <si>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</si>
  <si>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</si>
  <si>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</si>
  <si>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</si>
  <si>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</si>
  <si>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</si>
  <si>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</si>
  <si>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</si>
  <si>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</si>
  <si>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</si>
  <si>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</si>
  <si>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</si>
  <si>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</si>
  <si>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</si>
  <si>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</si>
  <si>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</si>
  <si>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</si>
  <si>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</si>
  <si>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</si>
  <si>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</si>
  <si>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</si>
  <si>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</si>
  <si>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</si>
  <si>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</si>
  <si>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</si>
  <si>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</si>
  <si>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</si>
  <si>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</si>
  <si>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</si>
  <si>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</si>
  <si>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</si>
  <si>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</si>
  <si>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</si>
  <si>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</si>
  <si>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</si>
  <si>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</si>
  <si>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</si>
  <si>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</si>
  <si>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</si>
  <si>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</si>
  <si>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</si>
  <si>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</si>
  <si>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</si>
  <si>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</si>
  <si>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</si>
  <si>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</si>
  <si>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</si>
  <si>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</si>
  <si>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</si>
  <si>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</si>
  <si>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</si>
  <si>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</si>
  <si>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</si>
  <si>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</si>
  <si>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</si>
  <si>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</si>
  <si>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</si>
  <si>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</si>
  <si>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</si>
  <si>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</si>
  <si>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</si>
  <si>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</si>
  <si>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</si>
  <si>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</si>
  <si>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</si>
  <si>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</si>
  <si>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</si>
  <si>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</si>
  <si>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</si>
  <si>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</si>
  <si>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</si>
  <si>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</si>
  <si>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</si>
  <si>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</si>
  <si>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</si>
  <si>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</si>
  <si>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</si>
  <si>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</si>
  <si>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</si>
  <si>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</si>
  <si>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</si>
  <si>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</si>
  <si>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</si>
  <si>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</si>
  <si>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</si>
  <si>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</si>
  <si>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</si>
  <si>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</si>
  <si>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</si>
  <si>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</si>
  <si>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</si>
  <si>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</si>
  <si>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</si>
  <si>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</si>
  <si>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</si>
  <si>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</si>
  <si>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</si>
  <si>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</si>
  <si>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</si>
  <si>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</si>
  <si>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</si>
  <si>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</si>
  <si>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</si>
  <si>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</si>
  <si>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</si>
  <si>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</si>
  <si>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</si>
  <si>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</si>
  <si>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</si>
  <si>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</si>
  <si>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</si>
  <si>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</si>
  <si>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</si>
  <si>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</si>
  <si>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</si>
  <si>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</si>
  <si>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</si>
  <si>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</si>
  <si>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</si>
  <si>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</si>
  <si>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</si>
  <si>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</si>
  <si>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</si>
  <si>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</si>
  <si>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</si>
  <si>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</si>
  <si>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</si>
  <si>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</si>
  <si>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</si>
  <si>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</si>
  <si>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</si>
  <si>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</si>
  <si>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</si>
  <si>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</si>
  <si>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</si>
  <si>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</si>
  <si>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</si>
  <si>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</si>
  <si>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</si>
  <si>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</si>
  <si>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</si>
  <si>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</si>
  <si>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</si>
  <si>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</si>
  <si>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</si>
  <si>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</si>
  <si>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</si>
  <si>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</si>
  <si>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</si>
  <si>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</si>
  <si>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</si>
  <si>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</si>
  <si>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</si>
  <si>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</si>
  <si>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주식회사 한일지하수</t>
    <phoneticPr fontId="7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</si>
  <si>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</si>
  <si>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</si>
  <si>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</si>
  <si>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</si>
  <si>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</si>
  <si>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</si>
  <si>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</si>
  <si>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</si>
  <si>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</si>
  <si>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</si>
  <si>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</si>
  <si>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</si>
  <si>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</si>
  <si>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</si>
  <si>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</si>
  <si>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</si>
  <si>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</si>
  <si>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</si>
  <si>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</si>
  <si>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</si>
  <si>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</si>
  <si>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</si>
  <si>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충청남도 당진시 송악읍 반촌리 374-3번지</t>
  </si>
  <si>
    <t>157
200
244
287
330</t>
  </si>
  <si>
    <t>21.54
25.57
30.09
35.14
42.84</t>
  </si>
  <si>
    <t>12.07
16.10
20.62
25.67
33.37</t>
  </si>
  <si>
    <t>13.007
12.422
11.831
11.180
9.891</t>
  </si>
  <si>
    <t>0.076879
0.080500
0.084526
0.089443
0.101106</t>
  </si>
  <si>
    <t>A2_ge_OriginalSaveFile.xlsm</t>
    <phoneticPr fontId="7" type="noConversion"/>
  </si>
  <si>
    <t>W2</t>
  </si>
  <si>
    <t>W-2</t>
    <phoneticPr fontId="14" type="noConversion"/>
  </si>
  <si>
    <t>당진시 송산면 유곡리 219-10번지</t>
  </si>
  <si>
    <t>2024, 순성, 세안근로자 아파트 2개공 연장허가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</si>
</sst>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0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1.emf"/><Relationship Id="rId3" Type="http://schemas.openxmlformats.org/officeDocument/2006/relationships/image" Target="../media/image43.emf"/><Relationship Id="rId7" Type="http://schemas.openxmlformats.org/officeDocument/2006/relationships/image" Target="../media/image40.emf"/><Relationship Id="rId12" Type="http://schemas.openxmlformats.org/officeDocument/2006/relationships/image" Target="../media/image39.emf"/><Relationship Id="rId2" Type="http://schemas.openxmlformats.org/officeDocument/2006/relationships/image" Target="../media/image44.emf"/><Relationship Id="rId16" Type="http://schemas.openxmlformats.org/officeDocument/2006/relationships/image" Target="../media/image52.emf"/><Relationship Id="rId1" Type="http://schemas.openxmlformats.org/officeDocument/2006/relationships/image" Target="../media/image45.emf"/><Relationship Id="rId6" Type="http://schemas.openxmlformats.org/officeDocument/2006/relationships/image" Target="../media/image46.emf"/><Relationship Id="rId11" Type="http://schemas.openxmlformats.org/officeDocument/2006/relationships/image" Target="../media/image50.emf"/><Relationship Id="rId5" Type="http://schemas.openxmlformats.org/officeDocument/2006/relationships/image" Target="../media/image41.emf"/><Relationship Id="rId15" Type="http://schemas.openxmlformats.org/officeDocument/2006/relationships/image" Target="../media/image37.emf"/><Relationship Id="rId10" Type="http://schemas.openxmlformats.org/officeDocument/2006/relationships/image" Target="../media/image49.emf"/><Relationship Id="rId4" Type="http://schemas.openxmlformats.org/officeDocument/2006/relationships/image" Target="../media/image42.emf"/><Relationship Id="rId9" Type="http://schemas.openxmlformats.org/officeDocument/2006/relationships/image" Target="../media/image48.emf"/><Relationship Id="rId14" Type="http://schemas.openxmlformats.org/officeDocument/2006/relationships/image" Target="../media/image3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5" Type="http://schemas.openxmlformats.org/officeDocument/2006/relationships/image" Target="../media/image57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5" Type="http://schemas.openxmlformats.org/officeDocument/2006/relationships/image" Target="../media/image60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1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1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1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5" name="CommandButton8" hidden="1">
              <a:extLst>
                <a:ext uri="{63B3BB69-23CF-44E3-9099-C40C66FF867C}">
                  <a14:compatExt spid="_x0000_s348165"/>
                </a:ext>
                <a:ext uri="{FF2B5EF4-FFF2-40B4-BE49-F238E27FC236}">
                  <a16:creationId xmlns:a16="http://schemas.microsoft.com/office/drawing/2014/main" id="{00000000-0008-0000-1100-000005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7137" name="CommandButton2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5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1.emf"/><Relationship Id="rId5" Type="http://schemas.openxmlformats.org/officeDocument/2006/relationships/image" Target="../media/image6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8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2.emf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354</v>
      </c>
      <c r="C2" s="633" t="s">
        <v>798</v>
      </c>
    </row>
    <row r="3" spans="2:3" ht="20.100000000000001" customHeight="1">
      <c r="B3" s="633" t="s">
        <v>693</v>
      </c>
      <c r="C3" s="633" t="s">
        <v>690</v>
      </c>
    </row>
    <row r="4" spans="2:3" ht="20.100000000000001" customHeight="1">
      <c r="B4" s="633" t="s">
        <v>694</v>
      </c>
      <c r="C4" s="633" t="s">
        <v>690</v>
      </c>
    </row>
    <row r="5" spans="2:3" ht="20.100000000000001" customHeight="1">
      <c r="B5" s="633" t="s">
        <v>695</v>
      </c>
      <c r="C5" s="633" t="s">
        <v>690</v>
      </c>
    </row>
    <row r="6" spans="2:3" ht="20.100000000000001" customHeight="1">
      <c r="B6" s="633" t="s">
        <v>696</v>
      </c>
      <c r="C6" s="633" t="s">
        <v>690</v>
      </c>
    </row>
    <row r="7" spans="2:3" ht="20.100000000000001" customHeight="1">
      <c r="B7" s="633" t="s">
        <v>697</v>
      </c>
      <c r="C7" s="633" t="s">
        <v>690</v>
      </c>
    </row>
    <row r="8" spans="2:3" ht="20.100000000000001" customHeight="1">
      <c r="B8" s="633" t="s">
        <v>698</v>
      </c>
      <c r="C8" s="633" t="s">
        <v>690</v>
      </c>
    </row>
    <row r="9" spans="2:3" ht="20.100000000000001" customHeight="1">
      <c r="B9" s="633" t="s">
        <v>692</v>
      </c>
      <c r="C9" s="633" t="s">
        <v>690</v>
      </c>
    </row>
    <row r="10" spans="2:3" ht="20.100000000000001" customHeight="1">
      <c r="B10" s="633" t="s">
        <v>691</v>
      </c>
      <c r="C10" s="633" t="s">
        <v>690</v>
      </c>
    </row>
    <row r="11" spans="2:3" ht="20.100000000000001" customHeight="1">
      <c r="B11" s="633" t="s">
        <v>699</v>
      </c>
      <c r="C11" s="633" t="s">
        <v>690</v>
      </c>
    </row>
    <row r="12" spans="2:3" ht="20.100000000000001" customHeight="1">
      <c r="B12" s="633" t="s">
        <v>700</v>
      </c>
      <c r="C12" s="633" t="s">
        <v>690</v>
      </c>
    </row>
    <row r="13" spans="2:3" ht="20.100000000000001" customHeight="1">
      <c r="B13" s="633" t="s">
        <v>701</v>
      </c>
      <c r="C13" s="633" t="s">
        <v>690</v>
      </c>
    </row>
    <row r="14" spans="2:3" ht="20.100000000000001" customHeight="1">
      <c r="B14" s="633" t="s">
        <v>702</v>
      </c>
      <c r="C14" s="633" t="s">
        <v>690</v>
      </c>
    </row>
    <row r="15" spans="2:3" ht="20.100000000000001" customHeight="1">
      <c r="B15" s="633" t="s">
        <v>703</v>
      </c>
      <c r="C15" s="633" t="s">
        <v>704</v>
      </c>
    </row>
    <row r="16" spans="2:3" ht="20.100000000000001" customHeight="1">
      <c r="B16" s="633" t="s">
        <v>705</v>
      </c>
      <c r="C16" s="633" t="s">
        <v>704</v>
      </c>
    </row>
    <row r="17" spans="2:3" ht="20.100000000000001" customHeight="1">
      <c r="B17" s="633" t="s">
        <v>706</v>
      </c>
      <c r="C17" s="633" t="s">
        <v>704</v>
      </c>
    </row>
    <row r="18" spans="2:3" ht="20.100000000000001" customHeight="1">
      <c r="B18" s="633" t="s">
        <v>707</v>
      </c>
      <c r="C18" s="633" t="s">
        <v>704</v>
      </c>
    </row>
    <row r="19" spans="2:3" ht="20.100000000000001" customHeight="1">
      <c r="B19" s="633" t="s">
        <v>708</v>
      </c>
      <c r="C19" s="633" t="s">
        <v>704</v>
      </c>
    </row>
    <row r="20" spans="2:3" ht="20.100000000000001" customHeight="1">
      <c r="B20" s="633" t="s">
        <v>709</v>
      </c>
      <c r="C20" s="633" t="s">
        <v>704</v>
      </c>
    </row>
    <row r="21" spans="2:3" ht="20.100000000000001" customHeight="1">
      <c r="B21" s="633" t="s">
        <v>710</v>
      </c>
      <c r="C21" s="633" t="s">
        <v>704</v>
      </c>
    </row>
    <row r="22" spans="2:3" ht="20.100000000000001" customHeight="1">
      <c r="B22" s="633" t="s">
        <v>711</v>
      </c>
      <c r="C22" s="633" t="s">
        <v>704</v>
      </c>
    </row>
    <row r="23" spans="2:3" ht="20.100000000000001" customHeight="1">
      <c r="B23" s="633" t="s">
        <v>712</v>
      </c>
      <c r="C23" s="633" t="s">
        <v>704</v>
      </c>
    </row>
    <row r="24" spans="2:3" ht="20.100000000000001" customHeight="1">
      <c r="B24" s="633" t="s">
        <v>713</v>
      </c>
      <c r="C24" s="633" t="s">
        <v>704</v>
      </c>
    </row>
    <row r="25" spans="2:3" ht="20.100000000000001" customHeight="1">
      <c r="B25" s="633" t="s">
        <v>714</v>
      </c>
      <c r="C25" s="633" t="s">
        <v>715</v>
      </c>
    </row>
    <row r="26" spans="2:3" ht="20.100000000000001" customHeight="1">
      <c r="B26" s="633" t="s">
        <v>716</v>
      </c>
      <c r="C26" s="633" t="s">
        <v>715</v>
      </c>
    </row>
    <row r="27" spans="2:3" ht="20.100000000000001" customHeight="1">
      <c r="B27" s="633" t="s">
        <v>717</v>
      </c>
      <c r="C27" s="633" t="s">
        <v>715</v>
      </c>
    </row>
    <row r="28" spans="2:3" ht="20.100000000000001" customHeight="1">
      <c r="B28" s="633" t="s">
        <v>718</v>
      </c>
      <c r="C28" s="633" t="s">
        <v>715</v>
      </c>
    </row>
    <row r="29" spans="2:3" ht="20.100000000000001" customHeight="1">
      <c r="B29" s="633" t="s">
        <v>719</v>
      </c>
      <c r="C29" s="633" t="s">
        <v>715</v>
      </c>
    </row>
    <row r="30" spans="2:3" ht="20.100000000000001" customHeight="1">
      <c r="B30" s="633" t="s">
        <v>720</v>
      </c>
      <c r="C30" s="633" t="s">
        <v>715</v>
      </c>
    </row>
    <row r="31" spans="2:3" ht="20.100000000000001" customHeight="1">
      <c r="B31" s="633" t="s">
        <v>721</v>
      </c>
      <c r="C31" s="633" t="s">
        <v>715</v>
      </c>
    </row>
    <row r="32" spans="2:3" ht="20.100000000000001" customHeight="1">
      <c r="B32" s="633" t="s">
        <v>722</v>
      </c>
      <c r="C32" s="633" t="s">
        <v>715</v>
      </c>
    </row>
    <row r="33" spans="2:3" ht="20.100000000000001" customHeight="1">
      <c r="B33" s="633" t="s">
        <v>723</v>
      </c>
      <c r="C33" s="633" t="s">
        <v>715</v>
      </c>
    </row>
    <row r="34" spans="2:3" ht="20.100000000000001" customHeight="1">
      <c r="B34" s="633" t="s">
        <v>724</v>
      </c>
      <c r="C34" s="633" t="s">
        <v>715</v>
      </c>
    </row>
    <row r="35" spans="2:3" ht="20.100000000000001" customHeight="1">
      <c r="B35" s="633" t="s">
        <v>725</v>
      </c>
      <c r="C35" s="633" t="s">
        <v>715</v>
      </c>
    </row>
    <row r="36" spans="2:3" ht="20.100000000000001" customHeight="1">
      <c r="B36" s="633" t="s">
        <v>726</v>
      </c>
      <c r="C36" s="633" t="s">
        <v>715</v>
      </c>
    </row>
    <row r="37" spans="2:3" ht="20.100000000000001" customHeight="1">
      <c r="B37" s="633" t="s">
        <v>727</v>
      </c>
      <c r="C37" s="633" t="s">
        <v>715</v>
      </c>
    </row>
    <row r="38" spans="2:3" ht="20.100000000000001" customHeight="1">
      <c r="B38" s="633" t="s">
        <v>728</v>
      </c>
      <c r="C38" s="633" t="s">
        <v>715</v>
      </c>
    </row>
    <row r="39" spans="2:3" ht="20.100000000000001" customHeight="1">
      <c r="B39" s="633" t="s">
        <v>729</v>
      </c>
      <c r="C39" s="633" t="s">
        <v>715</v>
      </c>
    </row>
    <row r="40" spans="2:3" ht="20.100000000000001" customHeight="1">
      <c r="B40" s="633" t="s">
        <v>730</v>
      </c>
      <c r="C40" s="633" t="s">
        <v>731</v>
      </c>
    </row>
    <row r="41" spans="2:3" ht="20.100000000000001" customHeight="1">
      <c r="B41" s="633" t="s">
        <v>732</v>
      </c>
      <c r="C41" s="633" t="s">
        <v>731</v>
      </c>
    </row>
    <row r="42" spans="2:3" ht="20.100000000000001" customHeight="1">
      <c r="B42" s="633" t="s">
        <v>733</v>
      </c>
      <c r="C42" s="633" t="s">
        <v>731</v>
      </c>
    </row>
    <row r="43" spans="2:3" ht="20.100000000000001" customHeight="1">
      <c r="B43" s="633" t="s">
        <v>734</v>
      </c>
      <c r="C43" s="633" t="s">
        <v>731</v>
      </c>
    </row>
    <row r="44" spans="2:3" ht="20.100000000000001" customHeight="1">
      <c r="B44" s="633" t="s">
        <v>735</v>
      </c>
      <c r="C44" s="633" t="s">
        <v>731</v>
      </c>
    </row>
    <row r="45" spans="2:3" ht="20.100000000000001" customHeight="1">
      <c r="B45" s="633" t="s">
        <v>736</v>
      </c>
      <c r="C45" s="633" t="s">
        <v>731</v>
      </c>
    </row>
    <row r="46" spans="2:3" ht="20.100000000000001" customHeight="1">
      <c r="B46" s="633" t="s">
        <v>737</v>
      </c>
      <c r="C46" s="633" t="s">
        <v>731</v>
      </c>
    </row>
    <row r="47" spans="2:3" ht="20.100000000000001" customHeight="1">
      <c r="B47" s="633" t="s">
        <v>738</v>
      </c>
      <c r="C47" s="633" t="s">
        <v>731</v>
      </c>
    </row>
    <row r="48" spans="2:3" ht="20.100000000000001" customHeight="1">
      <c r="B48" s="633" t="s">
        <v>739</v>
      </c>
      <c r="C48" s="633" t="s">
        <v>731</v>
      </c>
    </row>
    <row r="49" spans="2:3" ht="20.100000000000001" customHeight="1">
      <c r="B49" s="633" t="s">
        <v>740</v>
      </c>
      <c r="C49" s="633" t="s">
        <v>731</v>
      </c>
    </row>
    <row r="50" spans="2:3" ht="20.100000000000001" customHeight="1">
      <c r="B50" s="633" t="s">
        <v>741</v>
      </c>
      <c r="C50" s="633" t="s">
        <v>731</v>
      </c>
    </row>
    <row r="51" spans="2:3" ht="20.100000000000001" customHeight="1">
      <c r="B51" s="633" t="s">
        <v>742</v>
      </c>
      <c r="C51" s="633" t="s">
        <v>731</v>
      </c>
    </row>
    <row r="52" spans="2:3" ht="20.100000000000001" customHeight="1">
      <c r="B52" s="633" t="s">
        <v>743</v>
      </c>
      <c r="C52" s="633" t="s">
        <v>731</v>
      </c>
    </row>
    <row r="53" spans="2:3" ht="20.100000000000001" customHeight="1">
      <c r="B53" s="633" t="s">
        <v>744</v>
      </c>
      <c r="C53" s="633" t="s">
        <v>731</v>
      </c>
    </row>
    <row r="54" spans="2:3" ht="20.100000000000001" customHeight="1">
      <c r="B54" s="633" t="s">
        <v>745</v>
      </c>
      <c r="C54" s="633" t="s">
        <v>731</v>
      </c>
    </row>
    <row r="55" spans="2:3" ht="20.100000000000001" customHeight="1">
      <c r="B55" s="633" t="s">
        <v>746</v>
      </c>
      <c r="C55" s="633" t="s">
        <v>731</v>
      </c>
    </row>
    <row r="56" spans="2:3" ht="20.100000000000001" customHeight="1">
      <c r="B56" s="633" t="s">
        <v>747</v>
      </c>
      <c r="C56" s="633" t="s">
        <v>731</v>
      </c>
    </row>
    <row r="57" spans="2:3" ht="20.100000000000001" customHeight="1">
      <c r="B57" s="633" t="s">
        <v>748</v>
      </c>
      <c r="C57" s="633" t="s">
        <v>731</v>
      </c>
    </row>
    <row r="58" spans="2:3" ht="20.100000000000001" customHeight="1">
      <c r="B58" s="633" t="s">
        <v>749</v>
      </c>
      <c r="C58" s="633" t="s">
        <v>731</v>
      </c>
    </row>
    <row r="59" spans="2:3" ht="20.100000000000001" customHeight="1">
      <c r="B59" s="633" t="s">
        <v>750</v>
      </c>
      <c r="C59" s="633" t="s">
        <v>731</v>
      </c>
    </row>
    <row r="60" spans="2:3" ht="20.100000000000001" customHeight="1">
      <c r="B60" s="633" t="s">
        <v>751</v>
      </c>
      <c r="C60" s="633" t="s">
        <v>731</v>
      </c>
    </row>
    <row r="61" spans="2:3" ht="20.100000000000001" customHeight="1">
      <c r="B61" s="633" t="s">
        <v>752</v>
      </c>
      <c r="C61" s="633" t="s">
        <v>731</v>
      </c>
    </row>
    <row r="62" spans="2:3" ht="20.100000000000001" customHeight="1">
      <c r="B62" s="633" t="s">
        <v>753</v>
      </c>
      <c r="C62" s="633" t="s">
        <v>731</v>
      </c>
    </row>
    <row r="63" spans="2:3" ht="20.100000000000001" customHeight="1">
      <c r="B63" s="633" t="s">
        <v>754</v>
      </c>
      <c r="C63" s="633" t="s">
        <v>731</v>
      </c>
    </row>
    <row r="64" spans="2:3" ht="20.100000000000001" customHeight="1">
      <c r="B64" s="633" t="s">
        <v>755</v>
      </c>
      <c r="C64" s="633" t="s">
        <v>731</v>
      </c>
    </row>
    <row r="65" spans="2:3" ht="20.100000000000001" customHeight="1">
      <c r="B65" s="633" t="s">
        <v>756</v>
      </c>
      <c r="C65" s="633" t="s">
        <v>731</v>
      </c>
    </row>
    <row r="66" spans="2:3" ht="20.100000000000001" customHeight="1">
      <c r="B66" s="633" t="s">
        <v>757</v>
      </c>
      <c r="C66" s="633" t="s">
        <v>731</v>
      </c>
    </row>
    <row r="67" spans="2:3" ht="20.100000000000001" customHeight="1">
      <c r="B67" s="633" t="s">
        <v>758</v>
      </c>
      <c r="C67" s="633" t="s">
        <v>731</v>
      </c>
    </row>
    <row r="68" spans="2:3" ht="20.100000000000001" customHeight="1">
      <c r="B68" s="633" t="s">
        <v>759</v>
      </c>
      <c r="C68" s="633" t="s">
        <v>760</v>
      </c>
    </row>
    <row r="69" spans="2:3" ht="20.100000000000001" customHeight="1">
      <c r="B69" s="633" t="s">
        <v>761</v>
      </c>
      <c r="C69" s="633" t="s">
        <v>760</v>
      </c>
    </row>
    <row r="70" spans="2:3" ht="20.100000000000001" customHeight="1">
      <c r="B70" s="633" t="s">
        <v>762</v>
      </c>
      <c r="C70" s="633" t="s">
        <v>760</v>
      </c>
    </row>
    <row r="71" spans="2:3" ht="20.100000000000001" customHeight="1">
      <c r="B71" s="633" t="s">
        <v>763</v>
      </c>
      <c r="C71" s="633" t="s">
        <v>760</v>
      </c>
    </row>
    <row r="72" spans="2:3" ht="20.100000000000001" customHeight="1">
      <c r="B72" s="633" t="s">
        <v>764</v>
      </c>
      <c r="C72" s="633" t="s">
        <v>760</v>
      </c>
    </row>
    <row r="73" spans="2:3" ht="20.100000000000001" customHeight="1">
      <c r="B73" s="633" t="s">
        <v>765</v>
      </c>
      <c r="C73" s="633" t="s">
        <v>760</v>
      </c>
    </row>
    <row r="74" spans="2:3" ht="20.100000000000001" customHeight="1">
      <c r="B74" s="633" t="s">
        <v>766</v>
      </c>
      <c r="C74" s="633" t="s">
        <v>760</v>
      </c>
    </row>
    <row r="75" spans="2:3" ht="20.100000000000001" customHeight="1">
      <c r="B75" s="633" t="s">
        <v>767</v>
      </c>
      <c r="C75" s="633" t="s">
        <v>760</v>
      </c>
    </row>
    <row r="76" spans="2:3" ht="20.100000000000001" customHeight="1">
      <c r="B76" s="633" t="s">
        <v>768</v>
      </c>
      <c r="C76" s="633" t="s">
        <v>760</v>
      </c>
    </row>
    <row r="77" spans="2:3" ht="20.100000000000001" customHeight="1">
      <c r="B77" s="633" t="s">
        <v>769</v>
      </c>
      <c r="C77" s="633" t="s">
        <v>760</v>
      </c>
    </row>
    <row r="78" spans="2:3" ht="20.100000000000001" customHeight="1">
      <c r="B78" s="633" t="s">
        <v>770</v>
      </c>
      <c r="C78" s="633" t="s">
        <v>760</v>
      </c>
    </row>
    <row r="79" spans="2:3" ht="20.100000000000001" customHeight="1">
      <c r="B79" s="633" t="s">
        <v>771</v>
      </c>
      <c r="C79" s="633" t="s">
        <v>760</v>
      </c>
    </row>
    <row r="80" spans="2:3" ht="20.100000000000001" customHeight="1">
      <c r="B80" s="633" t="s">
        <v>772</v>
      </c>
      <c r="C80" s="633" t="s">
        <v>760</v>
      </c>
    </row>
    <row r="81" spans="2:3" ht="20.100000000000001" customHeight="1">
      <c r="B81" s="633" t="s">
        <v>773</v>
      </c>
      <c r="C81" s="633" t="s">
        <v>760</v>
      </c>
    </row>
    <row r="82" spans="2:3" ht="20.100000000000001" customHeight="1">
      <c r="B82" s="633" t="s">
        <v>774</v>
      </c>
      <c r="C82" s="633" t="s">
        <v>760</v>
      </c>
    </row>
    <row r="83" spans="2:3" ht="20.100000000000001" customHeight="1">
      <c r="B83" s="633" t="s">
        <v>775</v>
      </c>
      <c r="C83" s="633" t="s">
        <v>760</v>
      </c>
    </row>
    <row r="84" spans="2:3" ht="20.100000000000001" customHeight="1">
      <c r="B84" s="633" t="s">
        <v>776</v>
      </c>
      <c r="C84" s="633" t="s">
        <v>760</v>
      </c>
    </row>
    <row r="85" spans="2:3" ht="20.100000000000001" customHeight="1">
      <c r="B85" s="633" t="s">
        <v>777</v>
      </c>
      <c r="C85" s="633" t="s">
        <v>760</v>
      </c>
    </row>
    <row r="86" spans="2:3" ht="20.100000000000001" customHeight="1">
      <c r="B86" s="633" t="s">
        <v>778</v>
      </c>
      <c r="C86" s="633" t="s">
        <v>760</v>
      </c>
    </row>
    <row r="87" spans="2:3" ht="20.100000000000001" customHeight="1">
      <c r="B87" s="633" t="s">
        <v>779</v>
      </c>
      <c r="C87" s="633" t="s">
        <v>760</v>
      </c>
    </row>
    <row r="88" spans="2:3" ht="20.100000000000001" customHeight="1">
      <c r="B88" s="633" t="s">
        <v>780</v>
      </c>
      <c r="C88" s="633" t="s">
        <v>760</v>
      </c>
    </row>
    <row r="89" spans="2:3" ht="20.100000000000001" customHeight="1">
      <c r="B89" s="633" t="s">
        <v>781</v>
      </c>
      <c r="C89" s="633" t="s">
        <v>760</v>
      </c>
    </row>
    <row r="90" spans="2:3" ht="20.100000000000001" customHeight="1">
      <c r="B90" s="633" t="s">
        <v>782</v>
      </c>
      <c r="C90" s="633" t="s">
        <v>760</v>
      </c>
    </row>
    <row r="91" spans="2:3" ht="20.100000000000001" customHeight="1">
      <c r="B91" s="633" t="s">
        <v>783</v>
      </c>
      <c r="C91" s="633" t="s">
        <v>760</v>
      </c>
    </row>
    <row r="92" spans="2:3" ht="20.100000000000001" customHeight="1">
      <c r="B92" s="633" t="s">
        <v>784</v>
      </c>
      <c r="C92" s="633" t="s">
        <v>760</v>
      </c>
    </row>
    <row r="93" spans="2:3" ht="20.100000000000001" customHeight="1">
      <c r="B93" s="633" t="s">
        <v>785</v>
      </c>
      <c r="C93" s="633" t="s">
        <v>760</v>
      </c>
    </row>
    <row r="94" spans="2:3" ht="20.100000000000001" customHeight="1">
      <c r="B94" s="633" t="s">
        <v>786</v>
      </c>
      <c r="C94" s="633" t="s">
        <v>760</v>
      </c>
    </row>
    <row r="95" spans="2:3" ht="20.100000000000001" customHeight="1">
      <c r="B95" s="633" t="s">
        <v>787</v>
      </c>
      <c r="C95" s="633" t="s">
        <v>760</v>
      </c>
    </row>
    <row r="96" spans="2:3" ht="20.100000000000001" customHeight="1">
      <c r="B96" s="633" t="s">
        <v>788</v>
      </c>
      <c r="C96" s="633" t="s">
        <v>760</v>
      </c>
    </row>
    <row r="97" spans="2:3" ht="20.100000000000001" customHeight="1">
      <c r="B97" s="633" t="s">
        <v>789</v>
      </c>
      <c r="C97" s="633" t="s">
        <v>760</v>
      </c>
    </row>
    <row r="98" spans="2:3" ht="20.100000000000001" customHeight="1">
      <c r="B98" s="633" t="s">
        <v>790</v>
      </c>
      <c r="C98" s="633" t="s">
        <v>760</v>
      </c>
    </row>
    <row r="99" spans="2:3" ht="20.100000000000001" customHeight="1">
      <c r="B99" s="633" t="s">
        <v>791</v>
      </c>
      <c r="C99" s="633" t="s">
        <v>760</v>
      </c>
    </row>
    <row r="100" spans="2:3" ht="20.100000000000001" customHeight="1">
      <c r="B100" s="633" t="s">
        <v>792</v>
      </c>
      <c r="C100" s="633" t="s">
        <v>793</v>
      </c>
    </row>
    <row r="101" spans="2:3" ht="20.100000000000001" customHeight="1">
      <c r="B101" s="633" t="s">
        <v>794</v>
      </c>
      <c r="C101" s="633" t="s">
        <v>793</v>
      </c>
    </row>
    <row r="102" spans="2:3" ht="20.100000000000001" customHeight="1">
      <c r="B102" s="633" t="s">
        <v>795</v>
      </c>
      <c r="C102" s="633" t="s">
        <v>793</v>
      </c>
    </row>
    <row r="103" spans="2:3" ht="20.100000000000001" customHeight="1">
      <c r="B103" s="633" t="s">
        <v>796</v>
      </c>
      <c r="C103" s="633" t="s">
        <v>793</v>
      </c>
    </row>
    <row r="104" spans="2:3" ht="16.5">
      <c r="B104" s="633" t="s">
        <v>797</v>
      </c>
      <c r="C104" s="633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351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594</v>
      </c>
      <c r="T2" s="491" t="s">
        <v>668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574</v>
      </c>
      <c r="E4" s="511" t="s">
        <v>575</v>
      </c>
      <c r="F4" s="511" t="s">
        <v>576</v>
      </c>
      <c r="G4" s="511" t="s">
        <v>577</v>
      </c>
      <c r="H4" s="511" t="s">
        <v>578</v>
      </c>
      <c r="I4" s="511" t="s">
        <v>579</v>
      </c>
      <c r="J4" s="511" t="s">
        <v>580</v>
      </c>
      <c r="K4" s="511" t="s">
        <v>581</v>
      </c>
      <c r="L4" s="511" t="s">
        <v>582</v>
      </c>
      <c r="M4" s="511" t="s">
        <v>583</v>
      </c>
      <c r="N4" s="512" t="s">
        <v>584</v>
      </c>
      <c r="O4" s="513" t="s">
        <v>44</v>
      </c>
      <c r="P4" s="512" t="s">
        <v>45</v>
      </c>
      <c r="S4" s="534" t="s">
        <v>570</v>
      </c>
      <c r="T4" s="535" t="s">
        <v>571</v>
      </c>
    </row>
    <row r="5" spans="2:23" ht="22.5" customHeight="1">
      <c r="B5" s="335">
        <v>1994</v>
      </c>
      <c r="C5" s="500">
        <v>14.6</v>
      </c>
      <c r="D5" s="500">
        <v>5.9</v>
      </c>
      <c r="E5" s="500">
        <v>65.599999999999994</v>
      </c>
      <c r="F5" s="500">
        <v>32.4</v>
      </c>
      <c r="G5" s="500">
        <v>156</v>
      </c>
      <c r="H5" s="500">
        <v>167.8</v>
      </c>
      <c r="I5" s="500">
        <v>107.1</v>
      </c>
      <c r="J5" s="501">
        <v>309.7</v>
      </c>
      <c r="K5" s="500">
        <v>99.2</v>
      </c>
      <c r="L5" s="500">
        <v>216.3</v>
      </c>
      <c r="M5" s="500">
        <v>23.3</v>
      </c>
      <c r="N5" s="506">
        <v>36.6</v>
      </c>
      <c r="O5" s="514">
        <f>ROUND(SUM(C5:N5),1)</f>
        <v>1234.5</v>
      </c>
      <c r="P5" s="320">
        <f>ROUND(O5/12,1)</f>
        <v>102.9</v>
      </c>
      <c r="Q5" s="493"/>
      <c r="R5" s="494"/>
      <c r="S5" s="495" t="s">
        <v>547</v>
      </c>
      <c r="T5" s="496" t="s">
        <v>674</v>
      </c>
      <c r="V5" s="494"/>
      <c r="W5" s="497"/>
    </row>
    <row r="6" spans="2:23" ht="22.5" customHeight="1" thickBot="1">
      <c r="B6" s="335">
        <v>1995</v>
      </c>
      <c r="C6" s="500">
        <v>22.7</v>
      </c>
      <c r="D6" s="500">
        <v>7.2</v>
      </c>
      <c r="E6" s="500">
        <v>37.299999999999997</v>
      </c>
      <c r="F6" s="500">
        <v>48.2</v>
      </c>
      <c r="G6" s="500">
        <v>67.099999999999994</v>
      </c>
      <c r="H6" s="500">
        <v>24.5</v>
      </c>
      <c r="I6" s="500">
        <v>144.1</v>
      </c>
      <c r="J6" s="501">
        <v>992.7</v>
      </c>
      <c r="K6" s="500">
        <v>20.2</v>
      </c>
      <c r="L6" s="500">
        <v>19.3</v>
      </c>
      <c r="M6" s="500">
        <v>49.9</v>
      </c>
      <c r="N6" s="506">
        <v>15.1</v>
      </c>
      <c r="O6" s="514">
        <f t="shared" ref="O6:O34" si="0">ROUND(SUM(C6:N6),1)</f>
        <v>1448.3</v>
      </c>
      <c r="P6" s="320">
        <f t="shared" ref="P6:P34" si="1">ROUND(O6/12,1)</f>
        <v>120.7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SEOSAN</v>
      </c>
      <c r="V6" s="494"/>
      <c r="W6" s="497"/>
    </row>
    <row r="7" spans="2:23" ht="22.5" customHeight="1">
      <c r="B7" s="335">
        <v>1996</v>
      </c>
      <c r="C7" s="500">
        <v>29.1</v>
      </c>
      <c r="D7" s="500">
        <v>5.7</v>
      </c>
      <c r="E7" s="500">
        <v>115.1</v>
      </c>
      <c r="F7" s="500">
        <v>48.1</v>
      </c>
      <c r="G7" s="500">
        <v>20</v>
      </c>
      <c r="H7" s="500">
        <v>179.2</v>
      </c>
      <c r="I7" s="500">
        <v>152.80000000000001</v>
      </c>
      <c r="J7" s="500">
        <v>74.099999999999994</v>
      </c>
      <c r="K7" s="500">
        <v>6.4</v>
      </c>
      <c r="L7" s="500">
        <v>92.2</v>
      </c>
      <c r="M7" s="500">
        <v>72.099999999999994</v>
      </c>
      <c r="N7" s="506">
        <v>35.299999999999997</v>
      </c>
      <c r="O7" s="514">
        <f t="shared" si="0"/>
        <v>830.1</v>
      </c>
      <c r="P7" s="320">
        <f t="shared" si="1"/>
        <v>69.2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20.5</v>
      </c>
      <c r="D8" s="500">
        <v>32.5</v>
      </c>
      <c r="E8" s="500">
        <v>29.6</v>
      </c>
      <c r="F8" s="500">
        <v>69.5</v>
      </c>
      <c r="G8" s="500">
        <v>232.8</v>
      </c>
      <c r="H8" s="500">
        <v>204.4</v>
      </c>
      <c r="I8" s="500">
        <v>298.7</v>
      </c>
      <c r="J8" s="500">
        <v>87.2</v>
      </c>
      <c r="K8" s="500">
        <v>16.100000000000001</v>
      </c>
      <c r="L8" s="500">
        <v>8.6999999999999993</v>
      </c>
      <c r="M8" s="500">
        <v>116.7</v>
      </c>
      <c r="N8" s="506">
        <v>40.200000000000003</v>
      </c>
      <c r="O8" s="514">
        <f t="shared" si="0"/>
        <v>1156.9000000000001</v>
      </c>
      <c r="P8" s="320">
        <f t="shared" si="1"/>
        <v>96.4</v>
      </c>
      <c r="Q8" s="493"/>
      <c r="T8" s="292"/>
      <c r="V8" s="494"/>
      <c r="W8" s="497"/>
    </row>
    <row r="9" spans="2:23" ht="22.5" customHeight="1">
      <c r="B9" s="335">
        <v>1998</v>
      </c>
      <c r="C9" s="500">
        <v>40.1</v>
      </c>
      <c r="D9" s="500">
        <v>54.2</v>
      </c>
      <c r="E9" s="500">
        <v>35</v>
      </c>
      <c r="F9" s="500">
        <v>160.6</v>
      </c>
      <c r="G9" s="500">
        <v>95.5</v>
      </c>
      <c r="H9" s="500">
        <v>281.7</v>
      </c>
      <c r="I9" s="500">
        <v>295.60000000000002</v>
      </c>
      <c r="J9" s="500">
        <v>491.8</v>
      </c>
      <c r="K9" s="500">
        <v>168</v>
      </c>
      <c r="L9" s="500">
        <v>24.3</v>
      </c>
      <c r="M9" s="500">
        <v>55.6</v>
      </c>
      <c r="N9" s="506">
        <v>9.1999999999999993</v>
      </c>
      <c r="O9" s="514">
        <f t="shared" si="0"/>
        <v>1711.6</v>
      </c>
      <c r="P9" s="320">
        <f t="shared" si="1"/>
        <v>142.6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8</v>
      </c>
      <c r="D10" s="500">
        <v>7.8</v>
      </c>
      <c r="E10" s="500">
        <v>59.9</v>
      </c>
      <c r="F10" s="500">
        <v>90.1</v>
      </c>
      <c r="G10" s="500">
        <v>178.8</v>
      </c>
      <c r="H10" s="500">
        <v>105.1</v>
      </c>
      <c r="I10" s="500">
        <v>175.6</v>
      </c>
      <c r="J10" s="500">
        <v>497.4</v>
      </c>
      <c r="K10" s="500">
        <v>532.6</v>
      </c>
      <c r="L10" s="500">
        <v>111.3</v>
      </c>
      <c r="M10" s="500">
        <v>36.6</v>
      </c>
      <c r="N10" s="506">
        <v>23.4</v>
      </c>
      <c r="O10" s="514">
        <f t="shared" si="0"/>
        <v>1826.6</v>
      </c>
      <c r="P10" s="320">
        <f t="shared" si="1"/>
        <v>152.19999999999999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63</v>
      </c>
      <c r="D11" s="500">
        <v>2.9</v>
      </c>
      <c r="E11" s="500">
        <v>3.7</v>
      </c>
      <c r="F11" s="500">
        <v>38.1</v>
      </c>
      <c r="G11" s="500">
        <v>62.1</v>
      </c>
      <c r="H11" s="500">
        <v>204.4</v>
      </c>
      <c r="I11" s="500">
        <v>60.8</v>
      </c>
      <c r="J11" s="500">
        <v>608.1</v>
      </c>
      <c r="K11" s="500">
        <v>298.10000000000002</v>
      </c>
      <c r="L11" s="500">
        <v>34.4</v>
      </c>
      <c r="M11" s="500">
        <v>24.8</v>
      </c>
      <c r="N11" s="506">
        <v>24.4</v>
      </c>
      <c r="O11" s="514">
        <f t="shared" si="0"/>
        <v>1424.8</v>
      </c>
      <c r="P11" s="320">
        <f t="shared" si="1"/>
        <v>118.7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66.900000000000006</v>
      </c>
      <c r="D12" s="500">
        <v>40.4</v>
      </c>
      <c r="E12" s="500">
        <v>12.7</v>
      </c>
      <c r="F12" s="500">
        <v>18.7</v>
      </c>
      <c r="G12" s="500">
        <v>17.8</v>
      </c>
      <c r="H12" s="500">
        <v>200.2</v>
      </c>
      <c r="I12" s="500">
        <v>402</v>
      </c>
      <c r="J12" s="500">
        <v>136.6</v>
      </c>
      <c r="K12" s="500">
        <v>15</v>
      </c>
      <c r="L12" s="500">
        <v>47.5</v>
      </c>
      <c r="M12" s="500">
        <v>8.1999999999999993</v>
      </c>
      <c r="N12" s="506">
        <v>20.8</v>
      </c>
      <c r="O12" s="514">
        <f t="shared" si="0"/>
        <v>986.8</v>
      </c>
      <c r="P12" s="320">
        <f t="shared" si="1"/>
        <v>82.2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22.5</v>
      </c>
      <c r="D13" s="500">
        <v>7</v>
      </c>
      <c r="E13" s="500">
        <v>29.3</v>
      </c>
      <c r="F13" s="500">
        <v>179.5</v>
      </c>
      <c r="G13" s="500">
        <v>177.3</v>
      </c>
      <c r="H13" s="500">
        <v>60.8</v>
      </c>
      <c r="I13" s="500">
        <v>296.10000000000002</v>
      </c>
      <c r="J13" s="500">
        <v>428.2</v>
      </c>
      <c r="K13" s="500">
        <v>57.5</v>
      </c>
      <c r="L13" s="500">
        <v>78.3</v>
      </c>
      <c r="M13" s="500">
        <v>36.299999999999997</v>
      </c>
      <c r="N13" s="506">
        <v>14.8</v>
      </c>
      <c r="O13" s="514">
        <f t="shared" si="0"/>
        <v>1387.6</v>
      </c>
      <c r="P13" s="320">
        <f t="shared" si="1"/>
        <v>115.6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20.9</v>
      </c>
      <c r="D14" s="500">
        <v>39</v>
      </c>
      <c r="E14" s="500">
        <v>22.5</v>
      </c>
      <c r="F14" s="500">
        <v>180</v>
      </c>
      <c r="G14" s="500">
        <v>105.5</v>
      </c>
      <c r="H14" s="500">
        <v>221.8</v>
      </c>
      <c r="I14" s="500">
        <v>290.2</v>
      </c>
      <c r="J14" s="500">
        <v>257.89999999999998</v>
      </c>
      <c r="K14" s="500">
        <v>201.9</v>
      </c>
      <c r="L14" s="500">
        <v>23</v>
      </c>
      <c r="M14" s="500">
        <v>53.6</v>
      </c>
      <c r="N14" s="506">
        <v>17.100000000000001</v>
      </c>
      <c r="O14" s="514">
        <f t="shared" si="0"/>
        <v>1433.4</v>
      </c>
      <c r="P14" s="320">
        <f t="shared" si="1"/>
        <v>119.5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27.3</v>
      </c>
      <c r="D15" s="500">
        <v>26.3</v>
      </c>
      <c r="E15" s="500">
        <v>15.7</v>
      </c>
      <c r="F15" s="500">
        <v>80.2</v>
      </c>
      <c r="G15" s="500">
        <v>140.30000000000001</v>
      </c>
      <c r="H15" s="500">
        <v>211.1</v>
      </c>
      <c r="I15" s="500">
        <v>321.89999999999998</v>
      </c>
      <c r="J15" s="500">
        <v>131.19999999999999</v>
      </c>
      <c r="K15" s="500">
        <v>282.60000000000002</v>
      </c>
      <c r="L15" s="500">
        <v>1.8</v>
      </c>
      <c r="M15" s="500">
        <v>70.5</v>
      </c>
      <c r="N15" s="506">
        <v>32</v>
      </c>
      <c r="O15" s="514">
        <f t="shared" si="0"/>
        <v>1340.9</v>
      </c>
      <c r="P15" s="320">
        <f t="shared" si="1"/>
        <v>111.7</v>
      </c>
      <c r="S15" s="292"/>
    </row>
    <row r="16" spans="2:23" ht="22.5" customHeight="1">
      <c r="B16" s="335">
        <v>2005</v>
      </c>
      <c r="C16" s="500">
        <v>10.4</v>
      </c>
      <c r="D16" s="500">
        <v>34</v>
      </c>
      <c r="E16" s="500">
        <v>36.1</v>
      </c>
      <c r="F16" s="500">
        <v>77.2</v>
      </c>
      <c r="G16" s="500">
        <v>56.1</v>
      </c>
      <c r="H16" s="500">
        <v>147</v>
      </c>
      <c r="I16" s="500">
        <v>386.1</v>
      </c>
      <c r="J16" s="500">
        <v>270.5</v>
      </c>
      <c r="K16" s="500">
        <v>228.7</v>
      </c>
      <c r="L16" s="500">
        <v>30.9</v>
      </c>
      <c r="M16" s="500">
        <v>19.600000000000001</v>
      </c>
      <c r="N16" s="506">
        <v>37.6</v>
      </c>
      <c r="O16" s="514">
        <f t="shared" si="0"/>
        <v>1334.2</v>
      </c>
      <c r="P16" s="320">
        <f t="shared" si="1"/>
        <v>111.2</v>
      </c>
      <c r="S16" s="292"/>
    </row>
    <row r="17" spans="2:19" ht="22.5" customHeight="1">
      <c r="B17" s="335">
        <v>2006</v>
      </c>
      <c r="C17" s="500">
        <v>29.7</v>
      </c>
      <c r="D17" s="500">
        <v>18.899999999999999</v>
      </c>
      <c r="E17" s="500">
        <v>5</v>
      </c>
      <c r="F17" s="500">
        <v>77.3</v>
      </c>
      <c r="G17" s="500">
        <v>133.5</v>
      </c>
      <c r="H17" s="500">
        <v>226.8</v>
      </c>
      <c r="I17" s="500">
        <v>494.5</v>
      </c>
      <c r="J17" s="500">
        <v>58.2</v>
      </c>
      <c r="K17" s="500">
        <v>10.1</v>
      </c>
      <c r="L17" s="500">
        <v>10.5</v>
      </c>
      <c r="M17" s="500">
        <v>55</v>
      </c>
      <c r="N17" s="506">
        <v>19.7</v>
      </c>
      <c r="O17" s="514">
        <f t="shared" si="0"/>
        <v>1139.2</v>
      </c>
      <c r="P17" s="320">
        <f t="shared" si="1"/>
        <v>94.9</v>
      </c>
      <c r="S17" s="292"/>
    </row>
    <row r="18" spans="2:19" ht="22.5" customHeight="1">
      <c r="B18" s="335">
        <v>2007</v>
      </c>
      <c r="C18" s="500">
        <v>13</v>
      </c>
      <c r="D18" s="500">
        <v>25.5</v>
      </c>
      <c r="E18" s="500">
        <v>127.2</v>
      </c>
      <c r="F18" s="500">
        <v>28.1</v>
      </c>
      <c r="G18" s="500">
        <v>108.5</v>
      </c>
      <c r="H18" s="500">
        <v>123.5</v>
      </c>
      <c r="I18" s="500">
        <v>257</v>
      </c>
      <c r="J18" s="500">
        <v>414.6</v>
      </c>
      <c r="K18" s="500">
        <v>305.8</v>
      </c>
      <c r="L18" s="500">
        <v>30.7</v>
      </c>
      <c r="M18" s="500">
        <v>14.4</v>
      </c>
      <c r="N18" s="506">
        <v>22.8</v>
      </c>
      <c r="O18" s="514">
        <f t="shared" si="0"/>
        <v>1471.1</v>
      </c>
      <c r="P18" s="320">
        <f t="shared" si="1"/>
        <v>122.6</v>
      </c>
    </row>
    <row r="19" spans="2:19" ht="22.5" customHeight="1">
      <c r="B19" s="335">
        <v>2008</v>
      </c>
      <c r="C19" s="500">
        <v>15</v>
      </c>
      <c r="D19" s="500">
        <v>7</v>
      </c>
      <c r="E19" s="500">
        <v>26</v>
      </c>
      <c r="F19" s="500">
        <v>46.1</v>
      </c>
      <c r="G19" s="500">
        <v>88.5</v>
      </c>
      <c r="H19" s="500">
        <v>118.1</v>
      </c>
      <c r="I19" s="500">
        <v>335.5</v>
      </c>
      <c r="J19" s="500">
        <v>114.2</v>
      </c>
      <c r="K19" s="500">
        <v>62.7</v>
      </c>
      <c r="L19" s="500">
        <v>34</v>
      </c>
      <c r="M19" s="500">
        <v>34.6</v>
      </c>
      <c r="N19" s="506">
        <v>27.9</v>
      </c>
      <c r="O19" s="514">
        <f t="shared" si="0"/>
        <v>909.6</v>
      </c>
      <c r="P19" s="320">
        <f t="shared" si="1"/>
        <v>75.8</v>
      </c>
    </row>
    <row r="20" spans="2:19" ht="22.5" customHeight="1">
      <c r="B20" s="335">
        <v>2009</v>
      </c>
      <c r="C20" s="500">
        <v>15.2</v>
      </c>
      <c r="D20" s="500">
        <v>26.5</v>
      </c>
      <c r="E20" s="500">
        <v>67</v>
      </c>
      <c r="F20" s="500">
        <v>43</v>
      </c>
      <c r="G20" s="500">
        <v>117.9</v>
      </c>
      <c r="H20" s="500">
        <v>74.900000000000006</v>
      </c>
      <c r="I20" s="500">
        <v>364.9</v>
      </c>
      <c r="J20" s="500">
        <v>196.3</v>
      </c>
      <c r="K20" s="500">
        <v>16</v>
      </c>
      <c r="L20" s="500">
        <v>49.2</v>
      </c>
      <c r="M20" s="500">
        <v>59.1</v>
      </c>
      <c r="N20" s="506">
        <v>44.3</v>
      </c>
      <c r="O20" s="514">
        <f t="shared" si="0"/>
        <v>1074.3</v>
      </c>
      <c r="P20" s="320">
        <f t="shared" si="1"/>
        <v>89.5</v>
      </c>
    </row>
    <row r="21" spans="2:19" ht="22.5" customHeight="1">
      <c r="B21" s="335">
        <v>2010</v>
      </c>
      <c r="C21" s="500">
        <v>55.5</v>
      </c>
      <c r="D21" s="500">
        <v>58.4</v>
      </c>
      <c r="E21" s="500">
        <v>79.2</v>
      </c>
      <c r="F21" s="500">
        <v>52.2</v>
      </c>
      <c r="G21" s="500">
        <v>168</v>
      </c>
      <c r="H21" s="500">
        <v>94.9</v>
      </c>
      <c r="I21" s="500">
        <v>447.1</v>
      </c>
      <c r="J21" s="500">
        <v>707</v>
      </c>
      <c r="K21" s="500">
        <v>402</v>
      </c>
      <c r="L21" s="500">
        <v>29.1</v>
      </c>
      <c r="M21" s="500">
        <v>12</v>
      </c>
      <c r="N21" s="506">
        <v>36.4</v>
      </c>
      <c r="O21" s="514">
        <f t="shared" si="0"/>
        <v>2141.8000000000002</v>
      </c>
      <c r="P21" s="320">
        <f t="shared" si="1"/>
        <v>178.5</v>
      </c>
    </row>
    <row r="22" spans="2:19" ht="22.5" customHeight="1">
      <c r="B22" s="335">
        <v>2011</v>
      </c>
      <c r="C22" s="500">
        <v>8.8000000000000007</v>
      </c>
      <c r="D22" s="500">
        <v>55.8</v>
      </c>
      <c r="E22" s="500">
        <v>34.5</v>
      </c>
      <c r="F22" s="500">
        <v>96.2</v>
      </c>
      <c r="G22" s="500">
        <v>107.9</v>
      </c>
      <c r="H22" s="500">
        <v>462.6</v>
      </c>
      <c r="I22" s="500">
        <v>656.5</v>
      </c>
      <c r="J22" s="500">
        <v>151.19999999999999</v>
      </c>
      <c r="K22" s="500">
        <v>50.3</v>
      </c>
      <c r="L22" s="500">
        <v>18.100000000000001</v>
      </c>
      <c r="M22" s="500">
        <v>48.9</v>
      </c>
      <c r="N22" s="506">
        <v>13.6</v>
      </c>
      <c r="O22" s="514">
        <f t="shared" si="0"/>
        <v>1704.4</v>
      </c>
      <c r="P22" s="320">
        <f t="shared" si="1"/>
        <v>142</v>
      </c>
    </row>
    <row r="23" spans="2:19" ht="22.5" customHeight="1">
      <c r="B23" s="335">
        <v>2012</v>
      </c>
      <c r="C23" s="500">
        <v>15.1</v>
      </c>
      <c r="D23" s="500">
        <v>2.4</v>
      </c>
      <c r="E23" s="500">
        <v>41.6</v>
      </c>
      <c r="F23" s="500">
        <v>113.5</v>
      </c>
      <c r="G23" s="500">
        <v>14.5</v>
      </c>
      <c r="H23" s="500">
        <v>91.1</v>
      </c>
      <c r="I23" s="500">
        <v>266.8</v>
      </c>
      <c r="J23" s="500">
        <v>647.9</v>
      </c>
      <c r="K23" s="500">
        <v>201.5</v>
      </c>
      <c r="L23" s="500">
        <v>100.7</v>
      </c>
      <c r="M23" s="500">
        <v>82.1</v>
      </c>
      <c r="N23" s="506">
        <v>65.400000000000006</v>
      </c>
      <c r="O23" s="514">
        <f t="shared" si="0"/>
        <v>1642.6</v>
      </c>
      <c r="P23" s="320">
        <f t="shared" si="1"/>
        <v>136.9</v>
      </c>
    </row>
    <row r="24" spans="2:19" ht="22.5" customHeight="1">
      <c r="B24" s="335">
        <v>2013</v>
      </c>
      <c r="C24" s="500">
        <v>36.799999999999997</v>
      </c>
      <c r="D24" s="500">
        <v>64.8</v>
      </c>
      <c r="E24" s="500">
        <v>60.8</v>
      </c>
      <c r="F24" s="500">
        <v>61.8</v>
      </c>
      <c r="G24" s="500">
        <v>114.9</v>
      </c>
      <c r="H24" s="500">
        <v>94.4</v>
      </c>
      <c r="I24" s="500">
        <v>213.8</v>
      </c>
      <c r="J24" s="500">
        <v>120.6</v>
      </c>
      <c r="K24" s="500">
        <v>147.4</v>
      </c>
      <c r="L24" s="500">
        <v>5.7</v>
      </c>
      <c r="M24" s="500">
        <v>64.900000000000006</v>
      </c>
      <c r="N24" s="506">
        <v>32.799999999999997</v>
      </c>
      <c r="O24" s="514">
        <f t="shared" si="0"/>
        <v>1018.7</v>
      </c>
      <c r="P24" s="320">
        <f t="shared" si="1"/>
        <v>84.9</v>
      </c>
    </row>
    <row r="25" spans="2:19" ht="22.5" customHeight="1">
      <c r="B25" s="335">
        <v>2014</v>
      </c>
      <c r="C25" s="500">
        <v>7</v>
      </c>
      <c r="D25" s="500">
        <v>17</v>
      </c>
      <c r="E25" s="500">
        <v>31.2</v>
      </c>
      <c r="F25" s="500">
        <v>85.6</v>
      </c>
      <c r="G25" s="500">
        <v>52.7</v>
      </c>
      <c r="H25" s="500">
        <v>69.3</v>
      </c>
      <c r="I25" s="500">
        <v>151.69999999999999</v>
      </c>
      <c r="J25" s="500">
        <v>242.3</v>
      </c>
      <c r="K25" s="500">
        <v>106.7</v>
      </c>
      <c r="L25" s="500">
        <v>117.2</v>
      </c>
      <c r="M25" s="500">
        <v>37.799999999999997</v>
      </c>
      <c r="N25" s="506">
        <v>81.599999999999994</v>
      </c>
      <c r="O25" s="514">
        <f t="shared" si="0"/>
        <v>1000.1</v>
      </c>
      <c r="P25" s="320">
        <f t="shared" si="1"/>
        <v>83.3</v>
      </c>
    </row>
    <row r="26" spans="2:19" ht="22.5" customHeight="1">
      <c r="B26" s="335">
        <v>2015</v>
      </c>
      <c r="C26" s="500">
        <v>20.7</v>
      </c>
      <c r="D26" s="500">
        <v>23.1</v>
      </c>
      <c r="E26" s="500">
        <v>20.6</v>
      </c>
      <c r="F26" s="500">
        <v>116.8</v>
      </c>
      <c r="G26" s="500">
        <v>40.6</v>
      </c>
      <c r="H26" s="500">
        <v>64.099999999999994</v>
      </c>
      <c r="I26" s="500">
        <v>158.5</v>
      </c>
      <c r="J26" s="500">
        <v>63.1</v>
      </c>
      <c r="K26" s="500">
        <v>15.1</v>
      </c>
      <c r="L26" s="500">
        <v>73.099999999999994</v>
      </c>
      <c r="M26" s="500">
        <v>156.6</v>
      </c>
      <c r="N26" s="506">
        <v>63.6</v>
      </c>
      <c r="O26" s="514">
        <f t="shared" si="0"/>
        <v>815.9</v>
      </c>
      <c r="P26" s="320">
        <f t="shared" si="1"/>
        <v>68</v>
      </c>
    </row>
    <row r="27" spans="2:19" ht="22.5" customHeight="1">
      <c r="B27" s="335">
        <v>2016</v>
      </c>
      <c r="C27" s="500">
        <v>21.9</v>
      </c>
      <c r="D27" s="500">
        <v>61.7</v>
      </c>
      <c r="E27" s="500">
        <v>24.3</v>
      </c>
      <c r="F27" s="500">
        <v>87</v>
      </c>
      <c r="G27" s="500">
        <v>153.69999999999999</v>
      </c>
      <c r="H27" s="500">
        <v>36.799999999999997</v>
      </c>
      <c r="I27" s="500">
        <v>295.60000000000002</v>
      </c>
      <c r="J27" s="500">
        <v>34</v>
      </c>
      <c r="K27" s="500">
        <v>53.1</v>
      </c>
      <c r="L27" s="500">
        <v>73.8</v>
      </c>
      <c r="M27" s="500">
        <v>17.5</v>
      </c>
      <c r="N27" s="506">
        <v>62.7</v>
      </c>
      <c r="O27" s="514">
        <f t="shared" si="0"/>
        <v>922.1</v>
      </c>
      <c r="P27" s="320">
        <f t="shared" si="1"/>
        <v>76.8</v>
      </c>
    </row>
    <row r="28" spans="2:19" ht="22.5" customHeight="1">
      <c r="B28" s="335">
        <v>2017</v>
      </c>
      <c r="C28" s="500">
        <v>21.3</v>
      </c>
      <c r="D28" s="500">
        <v>31.4</v>
      </c>
      <c r="E28" s="500">
        <v>4.8</v>
      </c>
      <c r="F28" s="500">
        <v>38.9</v>
      </c>
      <c r="G28" s="500">
        <v>27.9</v>
      </c>
      <c r="H28" s="500">
        <v>23.3</v>
      </c>
      <c r="I28" s="500">
        <v>327.8</v>
      </c>
      <c r="J28" s="500">
        <v>231.3</v>
      </c>
      <c r="K28" s="500">
        <v>37.6</v>
      </c>
      <c r="L28" s="500">
        <v>25.5</v>
      </c>
      <c r="M28" s="500">
        <v>24.7</v>
      </c>
      <c r="N28" s="506">
        <v>35.9</v>
      </c>
      <c r="O28" s="514">
        <f t="shared" si="0"/>
        <v>830.4</v>
      </c>
      <c r="P28" s="320">
        <f t="shared" si="1"/>
        <v>69.2</v>
      </c>
    </row>
    <row r="29" spans="2:19" ht="22.5" customHeight="1">
      <c r="B29" s="335">
        <v>2018</v>
      </c>
      <c r="C29" s="500">
        <v>21</v>
      </c>
      <c r="D29" s="500">
        <v>40.5</v>
      </c>
      <c r="E29" s="500">
        <v>76.599999999999994</v>
      </c>
      <c r="F29" s="500">
        <v>132.80000000000001</v>
      </c>
      <c r="G29" s="500">
        <v>147.69999999999999</v>
      </c>
      <c r="H29" s="500">
        <v>162.30000000000001</v>
      </c>
      <c r="I29" s="500">
        <v>152.9</v>
      </c>
      <c r="J29" s="500">
        <v>156.80000000000001</v>
      </c>
      <c r="K29" s="500">
        <v>82.7</v>
      </c>
      <c r="L29" s="500">
        <v>153.19999999999999</v>
      </c>
      <c r="M29" s="500">
        <v>73.900000000000006</v>
      </c>
      <c r="N29" s="506">
        <v>26.8</v>
      </c>
      <c r="O29" s="514">
        <f t="shared" si="0"/>
        <v>1227.2</v>
      </c>
      <c r="P29" s="320">
        <f t="shared" si="1"/>
        <v>102.3</v>
      </c>
    </row>
    <row r="30" spans="2:19" ht="22.5" customHeight="1">
      <c r="B30" s="335">
        <v>2019</v>
      </c>
      <c r="C30" s="500">
        <v>1.1000000000000001</v>
      </c>
      <c r="D30" s="500">
        <v>30.2</v>
      </c>
      <c r="E30" s="500">
        <v>43.7</v>
      </c>
      <c r="F30" s="500">
        <v>43.9</v>
      </c>
      <c r="G30" s="500">
        <v>20.100000000000001</v>
      </c>
      <c r="H30" s="500">
        <v>56.3</v>
      </c>
      <c r="I30" s="500">
        <v>174.5</v>
      </c>
      <c r="J30" s="500">
        <v>121.1</v>
      </c>
      <c r="K30" s="500">
        <v>181.1</v>
      </c>
      <c r="L30" s="500">
        <v>81</v>
      </c>
      <c r="M30" s="500">
        <v>124.6</v>
      </c>
      <c r="N30" s="506">
        <v>37.4</v>
      </c>
      <c r="O30" s="514">
        <f t="shared" si="0"/>
        <v>915</v>
      </c>
      <c r="P30" s="320">
        <f t="shared" si="1"/>
        <v>76.3</v>
      </c>
    </row>
    <row r="31" spans="2:19" ht="22.5" customHeight="1">
      <c r="B31" s="335">
        <v>2020</v>
      </c>
      <c r="C31" s="500">
        <v>46</v>
      </c>
      <c r="D31" s="500">
        <v>72.3</v>
      </c>
      <c r="E31" s="500">
        <v>23</v>
      </c>
      <c r="F31" s="500">
        <v>20.7</v>
      </c>
      <c r="G31" s="500">
        <v>101.3</v>
      </c>
      <c r="H31" s="500">
        <v>144</v>
      </c>
      <c r="I31" s="500">
        <v>329.4</v>
      </c>
      <c r="J31" s="500">
        <v>400</v>
      </c>
      <c r="K31" s="500">
        <v>257.7</v>
      </c>
      <c r="L31" s="500">
        <v>12.6</v>
      </c>
      <c r="M31" s="500">
        <v>72</v>
      </c>
      <c r="N31" s="506">
        <v>9.6999999999999993</v>
      </c>
      <c r="O31" s="514">
        <f t="shared" si="0"/>
        <v>1488.7</v>
      </c>
      <c r="P31" s="320">
        <f t="shared" si="1"/>
        <v>124.1</v>
      </c>
    </row>
    <row r="32" spans="2:19" ht="22.5" customHeight="1">
      <c r="B32" s="335">
        <v>2021</v>
      </c>
      <c r="C32" s="500">
        <v>25.3</v>
      </c>
      <c r="D32" s="500">
        <v>9.6</v>
      </c>
      <c r="E32" s="500">
        <v>112.8</v>
      </c>
      <c r="F32" s="500">
        <v>110.6</v>
      </c>
      <c r="G32" s="500">
        <v>132.30000000000001</v>
      </c>
      <c r="H32" s="500">
        <v>70.900000000000006</v>
      </c>
      <c r="I32" s="500">
        <v>121.6</v>
      </c>
      <c r="J32" s="500">
        <v>217.8</v>
      </c>
      <c r="K32" s="500">
        <v>206</v>
      </c>
      <c r="L32" s="500">
        <v>55.9</v>
      </c>
      <c r="M32" s="500">
        <v>126.2</v>
      </c>
      <c r="N32" s="506">
        <v>18.3</v>
      </c>
      <c r="O32" s="514">
        <f t="shared" si="0"/>
        <v>1207.3</v>
      </c>
      <c r="P32" s="320">
        <f t="shared" si="1"/>
        <v>100.6</v>
      </c>
    </row>
    <row r="33" spans="2:16" ht="22.5" customHeight="1">
      <c r="B33" s="335">
        <v>2022</v>
      </c>
      <c r="C33" s="500">
        <v>8.6</v>
      </c>
      <c r="D33" s="500">
        <v>4.7</v>
      </c>
      <c r="E33" s="500">
        <v>72.099999999999994</v>
      </c>
      <c r="F33" s="500">
        <v>52.2</v>
      </c>
      <c r="G33" s="500">
        <v>2.9</v>
      </c>
      <c r="H33" s="500">
        <v>352.4</v>
      </c>
      <c r="I33" s="500">
        <v>178.4</v>
      </c>
      <c r="J33" s="500">
        <v>468.7</v>
      </c>
      <c r="K33" s="500">
        <v>165.9</v>
      </c>
      <c r="L33" s="500">
        <v>160</v>
      </c>
      <c r="M33" s="500">
        <v>72.900000000000006</v>
      </c>
      <c r="N33" s="506">
        <v>31.9</v>
      </c>
      <c r="O33" s="514">
        <f t="shared" si="0"/>
        <v>1570.7</v>
      </c>
      <c r="P33" s="320">
        <f t="shared" si="1"/>
        <v>130.9</v>
      </c>
    </row>
    <row r="34" spans="2:16" ht="22.5" customHeight="1" thickBot="1">
      <c r="B34" s="517">
        <v>2023</v>
      </c>
      <c r="C34" s="518">
        <v>30.5</v>
      </c>
      <c r="D34" s="518">
        <v>0.1</v>
      </c>
      <c r="E34" s="518">
        <v>6.4</v>
      </c>
      <c r="F34" s="518">
        <v>54.6</v>
      </c>
      <c r="G34" s="518">
        <v>132.9</v>
      </c>
      <c r="H34" s="518">
        <v>138.1</v>
      </c>
      <c r="I34" s="518">
        <v>507</v>
      </c>
      <c r="J34" s="518">
        <v>225</v>
      </c>
      <c r="K34" s="518">
        <v>166.1</v>
      </c>
      <c r="L34" s="518">
        <v>39.6</v>
      </c>
      <c r="M34" s="518">
        <v>122.9</v>
      </c>
      <c r="N34" s="519">
        <v>103.5</v>
      </c>
      <c r="O34" s="520">
        <f t="shared" si="0"/>
        <v>1526.7</v>
      </c>
      <c r="P34" s="521">
        <f t="shared" si="1"/>
        <v>127.2</v>
      </c>
    </row>
    <row r="35" spans="2:16" ht="22.5" customHeight="1">
      <c r="B35" s="422" t="s">
        <v>36</v>
      </c>
      <c r="C35" s="522">
        <f>MAX(C5:C34)</f>
        <v>66.900000000000006</v>
      </c>
      <c r="D35" s="522">
        <f t="shared" ref="D35:N35" si="2">MAX(D5:D34)</f>
        <v>72.3</v>
      </c>
      <c r="E35" s="522">
        <f t="shared" si="2"/>
        <v>127.2</v>
      </c>
      <c r="F35" s="522">
        <f t="shared" si="2"/>
        <v>180</v>
      </c>
      <c r="G35" s="522">
        <f t="shared" si="2"/>
        <v>232.8</v>
      </c>
      <c r="H35" s="522">
        <f t="shared" si="2"/>
        <v>462.6</v>
      </c>
      <c r="I35" s="522">
        <f t="shared" si="2"/>
        <v>656.5</v>
      </c>
      <c r="J35" s="522">
        <f t="shared" si="2"/>
        <v>992.7</v>
      </c>
      <c r="K35" s="522">
        <f t="shared" si="2"/>
        <v>532.6</v>
      </c>
      <c r="L35" s="522">
        <f t="shared" si="2"/>
        <v>216.3</v>
      </c>
      <c r="M35" s="522">
        <f t="shared" si="2"/>
        <v>156.6</v>
      </c>
      <c r="N35" s="423">
        <f t="shared" si="2"/>
        <v>103.5</v>
      </c>
      <c r="O35" s="523">
        <f t="shared" ref="O35" si="3">MAX(O5:O34)</f>
        <v>2141.8000000000002</v>
      </c>
      <c r="P35" s="423">
        <f>MAX(P5:P34)</f>
        <v>178.5</v>
      </c>
    </row>
    <row r="36" spans="2:16" ht="22.5" customHeight="1">
      <c r="B36" s="335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20">
        <f t="shared" si="4"/>
        <v>9.1999999999999993</v>
      </c>
      <c r="O36" s="515">
        <f>ROUND(MIN(O5:O34),1)</f>
        <v>815.9</v>
      </c>
      <c r="P36" s="506">
        <f>ROUND(MIN(P5:P34),1)</f>
        <v>68</v>
      </c>
    </row>
    <row r="37" spans="2:16" ht="22.5" customHeight="1" thickBot="1">
      <c r="B37" s="303" t="s">
        <v>45</v>
      </c>
      <c r="C37" s="301">
        <f>ROUND(AVERAGE(C5:C34),1)</f>
        <v>24.6</v>
      </c>
      <c r="D37" s="301">
        <f t="shared" ref="D37:N37" si="5">ROUND(AVERAGE(D5:D34),1)</f>
        <v>27.1</v>
      </c>
      <c r="E37" s="301">
        <f t="shared" si="5"/>
        <v>44</v>
      </c>
      <c r="F37" s="301">
        <f t="shared" si="5"/>
        <v>76.099999999999994</v>
      </c>
      <c r="G37" s="301">
        <f t="shared" si="5"/>
        <v>99.2</v>
      </c>
      <c r="H37" s="301">
        <f t="shared" si="5"/>
        <v>147.1</v>
      </c>
      <c r="I37" s="301">
        <f t="shared" si="5"/>
        <v>278.8</v>
      </c>
      <c r="J37" s="301">
        <f t="shared" si="5"/>
        <v>295.2</v>
      </c>
      <c r="K37" s="301">
        <f t="shared" si="5"/>
        <v>146.5</v>
      </c>
      <c r="L37" s="301">
        <f t="shared" si="5"/>
        <v>58.6</v>
      </c>
      <c r="M37" s="301">
        <f t="shared" si="5"/>
        <v>58.9</v>
      </c>
      <c r="N37" s="304">
        <f t="shared" si="5"/>
        <v>34.700000000000003</v>
      </c>
      <c r="O37" s="516">
        <f>ROUND(AVERAGE(O5:O34),1)</f>
        <v>1290.7</v>
      </c>
      <c r="P37" s="509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7</v>
      </c>
      <c r="D41" s="500">
        <f t="shared" si="6"/>
        <v>17</v>
      </c>
      <c r="E41" s="500">
        <f t="shared" si="6"/>
        <v>31.2</v>
      </c>
      <c r="F41" s="500">
        <f t="shared" si="6"/>
        <v>85.6</v>
      </c>
      <c r="G41" s="500">
        <f t="shared" si="6"/>
        <v>52.7</v>
      </c>
      <c r="H41" s="500">
        <f t="shared" si="6"/>
        <v>69.3</v>
      </c>
      <c r="I41" s="500">
        <f t="shared" si="6"/>
        <v>151.69999999999999</v>
      </c>
      <c r="J41" s="500">
        <f t="shared" si="6"/>
        <v>242.3</v>
      </c>
      <c r="K41" s="500">
        <f t="shared" si="6"/>
        <v>106.7</v>
      </c>
      <c r="L41" s="500">
        <f t="shared" si="6"/>
        <v>117.2</v>
      </c>
      <c r="M41" s="500">
        <f t="shared" si="6"/>
        <v>37.799999999999997</v>
      </c>
      <c r="N41" s="525">
        <f t="shared" si="6"/>
        <v>81.599999999999994</v>
      </c>
      <c r="O41" s="505">
        <f>ROUND(SUM(C41:N41),1)</f>
        <v>1000.1</v>
      </c>
      <c r="P41" s="506">
        <f>ROUND(O41/12,1)</f>
        <v>83.3</v>
      </c>
    </row>
    <row r="42" spans="2:16" ht="22.5" customHeight="1">
      <c r="B42" s="505">
        <f t="shared" ref="B42:N42" si="7">B26</f>
        <v>2015</v>
      </c>
      <c r="C42" s="500">
        <f t="shared" si="7"/>
        <v>20.7</v>
      </c>
      <c r="D42" s="500">
        <f t="shared" si="7"/>
        <v>23.1</v>
      </c>
      <c r="E42" s="500">
        <f t="shared" si="7"/>
        <v>20.6</v>
      </c>
      <c r="F42" s="500">
        <f t="shared" si="7"/>
        <v>116.8</v>
      </c>
      <c r="G42" s="500">
        <f t="shared" si="7"/>
        <v>40.6</v>
      </c>
      <c r="H42" s="500">
        <f t="shared" si="7"/>
        <v>64.099999999999994</v>
      </c>
      <c r="I42" s="500">
        <f t="shared" si="7"/>
        <v>158.5</v>
      </c>
      <c r="J42" s="500">
        <f t="shared" si="7"/>
        <v>63.1</v>
      </c>
      <c r="K42" s="500">
        <f t="shared" si="7"/>
        <v>15.1</v>
      </c>
      <c r="L42" s="500">
        <f t="shared" si="7"/>
        <v>73.099999999999994</v>
      </c>
      <c r="M42" s="500">
        <f t="shared" si="7"/>
        <v>156.6</v>
      </c>
      <c r="N42" s="525">
        <f t="shared" si="7"/>
        <v>63.6</v>
      </c>
      <c r="O42" s="505">
        <f t="shared" ref="O42:O50" si="8">ROUND(SUM(C42:N42),1)</f>
        <v>815.9</v>
      </c>
      <c r="P42" s="506">
        <f t="shared" ref="P42:P50" si="9">ROUND(O42/12,1)</f>
        <v>68</v>
      </c>
    </row>
    <row r="43" spans="2:16" ht="22.5" customHeight="1">
      <c r="B43" s="505">
        <f t="shared" ref="B43:N43" si="10">B27</f>
        <v>2016</v>
      </c>
      <c r="C43" s="500">
        <f t="shared" si="10"/>
        <v>21.9</v>
      </c>
      <c r="D43" s="500">
        <f t="shared" si="10"/>
        <v>61.7</v>
      </c>
      <c r="E43" s="500">
        <f t="shared" si="10"/>
        <v>24.3</v>
      </c>
      <c r="F43" s="500">
        <f t="shared" si="10"/>
        <v>87</v>
      </c>
      <c r="G43" s="500">
        <f t="shared" si="10"/>
        <v>153.69999999999999</v>
      </c>
      <c r="H43" s="500">
        <f t="shared" si="10"/>
        <v>36.799999999999997</v>
      </c>
      <c r="I43" s="500">
        <f t="shared" si="10"/>
        <v>295.60000000000002</v>
      </c>
      <c r="J43" s="500">
        <f t="shared" si="10"/>
        <v>34</v>
      </c>
      <c r="K43" s="500">
        <f t="shared" si="10"/>
        <v>53.1</v>
      </c>
      <c r="L43" s="500">
        <f t="shared" si="10"/>
        <v>73.8</v>
      </c>
      <c r="M43" s="500">
        <f t="shared" si="10"/>
        <v>17.5</v>
      </c>
      <c r="N43" s="525">
        <f t="shared" si="10"/>
        <v>62.7</v>
      </c>
      <c r="O43" s="505">
        <f t="shared" si="8"/>
        <v>922.1</v>
      </c>
      <c r="P43" s="506">
        <f t="shared" si="9"/>
        <v>76.8</v>
      </c>
    </row>
    <row r="44" spans="2:16" ht="22.5" customHeight="1">
      <c r="B44" s="505">
        <f t="shared" ref="B44:N44" si="11">B28</f>
        <v>2017</v>
      </c>
      <c r="C44" s="500">
        <f t="shared" si="11"/>
        <v>21.3</v>
      </c>
      <c r="D44" s="500">
        <f t="shared" si="11"/>
        <v>31.4</v>
      </c>
      <c r="E44" s="500">
        <f t="shared" si="11"/>
        <v>4.8</v>
      </c>
      <c r="F44" s="500">
        <f t="shared" si="11"/>
        <v>38.9</v>
      </c>
      <c r="G44" s="500">
        <f t="shared" si="11"/>
        <v>27.9</v>
      </c>
      <c r="H44" s="500">
        <f t="shared" si="11"/>
        <v>23.3</v>
      </c>
      <c r="I44" s="500">
        <f t="shared" si="11"/>
        <v>327.8</v>
      </c>
      <c r="J44" s="500">
        <f t="shared" si="11"/>
        <v>231.3</v>
      </c>
      <c r="K44" s="500">
        <f t="shared" si="11"/>
        <v>37.6</v>
      </c>
      <c r="L44" s="500">
        <f t="shared" si="11"/>
        <v>25.5</v>
      </c>
      <c r="M44" s="500">
        <f t="shared" si="11"/>
        <v>24.7</v>
      </c>
      <c r="N44" s="525">
        <f t="shared" si="11"/>
        <v>35.9</v>
      </c>
      <c r="O44" s="505">
        <f t="shared" si="8"/>
        <v>830.4</v>
      </c>
      <c r="P44" s="506">
        <f t="shared" si="9"/>
        <v>69.2</v>
      </c>
    </row>
    <row r="45" spans="2:16" ht="22.5" customHeight="1">
      <c r="B45" s="505">
        <f t="shared" ref="B45:N45" si="12">B29</f>
        <v>2018</v>
      </c>
      <c r="C45" s="500">
        <f t="shared" si="12"/>
        <v>21</v>
      </c>
      <c r="D45" s="500">
        <f t="shared" si="12"/>
        <v>40.5</v>
      </c>
      <c r="E45" s="500">
        <f t="shared" si="12"/>
        <v>76.599999999999994</v>
      </c>
      <c r="F45" s="500">
        <f t="shared" si="12"/>
        <v>132.80000000000001</v>
      </c>
      <c r="G45" s="500">
        <f t="shared" si="12"/>
        <v>147.69999999999999</v>
      </c>
      <c r="H45" s="500">
        <f t="shared" si="12"/>
        <v>162.30000000000001</v>
      </c>
      <c r="I45" s="500">
        <f t="shared" si="12"/>
        <v>152.9</v>
      </c>
      <c r="J45" s="500">
        <f t="shared" si="12"/>
        <v>156.80000000000001</v>
      </c>
      <c r="K45" s="500">
        <f t="shared" si="12"/>
        <v>82.7</v>
      </c>
      <c r="L45" s="500">
        <f t="shared" si="12"/>
        <v>153.19999999999999</v>
      </c>
      <c r="M45" s="500">
        <f t="shared" si="12"/>
        <v>73.900000000000006</v>
      </c>
      <c r="N45" s="525">
        <f t="shared" si="12"/>
        <v>26.8</v>
      </c>
      <c r="O45" s="505">
        <f t="shared" si="8"/>
        <v>1227.2</v>
      </c>
      <c r="P45" s="506">
        <f t="shared" si="9"/>
        <v>102.3</v>
      </c>
    </row>
    <row r="46" spans="2:16" ht="22.5" customHeight="1">
      <c r="B46" s="505">
        <f t="shared" ref="B46:N46" si="13">B30</f>
        <v>2019</v>
      </c>
      <c r="C46" s="500">
        <f t="shared" si="13"/>
        <v>1.1000000000000001</v>
      </c>
      <c r="D46" s="500">
        <f t="shared" si="13"/>
        <v>30.2</v>
      </c>
      <c r="E46" s="500">
        <f t="shared" si="13"/>
        <v>43.7</v>
      </c>
      <c r="F46" s="500">
        <f t="shared" si="13"/>
        <v>43.9</v>
      </c>
      <c r="G46" s="500">
        <f t="shared" si="13"/>
        <v>20.100000000000001</v>
      </c>
      <c r="H46" s="500">
        <f t="shared" si="13"/>
        <v>56.3</v>
      </c>
      <c r="I46" s="500">
        <f t="shared" si="13"/>
        <v>174.5</v>
      </c>
      <c r="J46" s="500">
        <f t="shared" si="13"/>
        <v>121.1</v>
      </c>
      <c r="K46" s="500">
        <f t="shared" si="13"/>
        <v>181.1</v>
      </c>
      <c r="L46" s="500">
        <f t="shared" si="13"/>
        <v>81</v>
      </c>
      <c r="M46" s="500">
        <f t="shared" si="13"/>
        <v>124.6</v>
      </c>
      <c r="N46" s="525">
        <f t="shared" si="13"/>
        <v>37.4</v>
      </c>
      <c r="O46" s="505">
        <f t="shared" si="8"/>
        <v>915</v>
      </c>
      <c r="P46" s="506">
        <f t="shared" si="9"/>
        <v>76.3</v>
      </c>
    </row>
    <row r="47" spans="2:16" ht="22.5" customHeight="1">
      <c r="B47" s="505">
        <f t="shared" ref="B47:N47" si="14">B31</f>
        <v>2020</v>
      </c>
      <c r="C47" s="500">
        <f t="shared" si="14"/>
        <v>46</v>
      </c>
      <c r="D47" s="500">
        <f t="shared" si="14"/>
        <v>72.3</v>
      </c>
      <c r="E47" s="500">
        <f t="shared" si="14"/>
        <v>23</v>
      </c>
      <c r="F47" s="500">
        <f t="shared" si="14"/>
        <v>20.7</v>
      </c>
      <c r="G47" s="500">
        <f t="shared" si="14"/>
        <v>101.3</v>
      </c>
      <c r="H47" s="500">
        <f t="shared" si="14"/>
        <v>144</v>
      </c>
      <c r="I47" s="500">
        <f t="shared" si="14"/>
        <v>329.4</v>
      </c>
      <c r="J47" s="500">
        <f t="shared" si="14"/>
        <v>400</v>
      </c>
      <c r="K47" s="500">
        <f t="shared" si="14"/>
        <v>257.7</v>
      </c>
      <c r="L47" s="500">
        <f t="shared" si="14"/>
        <v>12.6</v>
      </c>
      <c r="M47" s="500">
        <f t="shared" si="14"/>
        <v>72</v>
      </c>
      <c r="N47" s="525">
        <f t="shared" si="14"/>
        <v>9.6999999999999993</v>
      </c>
      <c r="O47" s="505">
        <f t="shared" si="8"/>
        <v>1488.7</v>
      </c>
      <c r="P47" s="506">
        <f t="shared" si="9"/>
        <v>124.1</v>
      </c>
    </row>
    <row r="48" spans="2:16" ht="22.5" customHeight="1">
      <c r="B48" s="505">
        <f t="shared" ref="B48:N48" si="15">B32</f>
        <v>2021</v>
      </c>
      <c r="C48" s="500">
        <f t="shared" si="15"/>
        <v>25.3</v>
      </c>
      <c r="D48" s="500">
        <f t="shared" si="15"/>
        <v>9.6</v>
      </c>
      <c r="E48" s="500">
        <f t="shared" si="15"/>
        <v>112.8</v>
      </c>
      <c r="F48" s="500">
        <f t="shared" si="15"/>
        <v>110.6</v>
      </c>
      <c r="G48" s="500">
        <f t="shared" si="15"/>
        <v>132.30000000000001</v>
      </c>
      <c r="H48" s="500">
        <f t="shared" si="15"/>
        <v>70.900000000000006</v>
      </c>
      <c r="I48" s="500">
        <f t="shared" si="15"/>
        <v>121.6</v>
      </c>
      <c r="J48" s="500">
        <f t="shared" si="15"/>
        <v>217.8</v>
      </c>
      <c r="K48" s="500">
        <f t="shared" si="15"/>
        <v>206</v>
      </c>
      <c r="L48" s="500">
        <f t="shared" si="15"/>
        <v>55.9</v>
      </c>
      <c r="M48" s="500">
        <f t="shared" si="15"/>
        <v>126.2</v>
      </c>
      <c r="N48" s="525">
        <f t="shared" si="15"/>
        <v>18.3</v>
      </c>
      <c r="O48" s="505">
        <f t="shared" si="8"/>
        <v>1207.3</v>
      </c>
      <c r="P48" s="506">
        <f t="shared" si="9"/>
        <v>100.6</v>
      </c>
    </row>
    <row r="49" spans="2:16" ht="22.5" customHeight="1">
      <c r="B49" s="505">
        <f t="shared" ref="B49:N49" si="16">B33</f>
        <v>2022</v>
      </c>
      <c r="C49" s="500">
        <f t="shared" si="16"/>
        <v>8.6</v>
      </c>
      <c r="D49" s="500">
        <f t="shared" si="16"/>
        <v>4.7</v>
      </c>
      <c r="E49" s="500">
        <f t="shared" si="16"/>
        <v>72.099999999999994</v>
      </c>
      <c r="F49" s="500">
        <f t="shared" si="16"/>
        <v>52.2</v>
      </c>
      <c r="G49" s="500">
        <f t="shared" si="16"/>
        <v>2.9</v>
      </c>
      <c r="H49" s="500">
        <f t="shared" si="16"/>
        <v>352.4</v>
      </c>
      <c r="I49" s="500">
        <f t="shared" si="16"/>
        <v>178.4</v>
      </c>
      <c r="J49" s="500">
        <f t="shared" si="16"/>
        <v>468.7</v>
      </c>
      <c r="K49" s="500">
        <f t="shared" si="16"/>
        <v>165.9</v>
      </c>
      <c r="L49" s="500">
        <f t="shared" si="16"/>
        <v>160</v>
      </c>
      <c r="M49" s="500">
        <f t="shared" si="16"/>
        <v>72.900000000000006</v>
      </c>
      <c r="N49" s="525">
        <f t="shared" si="16"/>
        <v>31.9</v>
      </c>
      <c r="O49" s="505">
        <f t="shared" si="8"/>
        <v>1570.7</v>
      </c>
      <c r="P49" s="506">
        <f t="shared" si="9"/>
        <v>130.9</v>
      </c>
    </row>
    <row r="50" spans="2:16" ht="22.5" customHeight="1" thickBot="1">
      <c r="B50" s="528">
        <f t="shared" ref="B50:N50" si="17">B34</f>
        <v>2023</v>
      </c>
      <c r="C50" s="518">
        <f t="shared" si="17"/>
        <v>30.5</v>
      </c>
      <c r="D50" s="518">
        <f t="shared" si="17"/>
        <v>0.1</v>
      </c>
      <c r="E50" s="518">
        <f>E34</f>
        <v>6.4</v>
      </c>
      <c r="F50" s="518">
        <f t="shared" si="17"/>
        <v>54.6</v>
      </c>
      <c r="G50" s="518">
        <f t="shared" si="17"/>
        <v>132.9</v>
      </c>
      <c r="H50" s="518">
        <f t="shared" si="17"/>
        <v>138.1</v>
      </c>
      <c r="I50" s="518">
        <f t="shared" si="17"/>
        <v>507</v>
      </c>
      <c r="J50" s="518">
        <f t="shared" si="17"/>
        <v>225</v>
      </c>
      <c r="K50" s="518">
        <f t="shared" si="17"/>
        <v>166.1</v>
      </c>
      <c r="L50" s="518">
        <f t="shared" si="17"/>
        <v>39.6</v>
      </c>
      <c r="M50" s="518">
        <f t="shared" si="17"/>
        <v>122.9</v>
      </c>
      <c r="N50" s="529">
        <f t="shared" si="17"/>
        <v>103.5</v>
      </c>
      <c r="O50" s="528">
        <f t="shared" si="8"/>
        <v>1526.7</v>
      </c>
      <c r="P50" s="519">
        <f t="shared" si="9"/>
        <v>127.2</v>
      </c>
    </row>
    <row r="51" spans="2:16" ht="22.5" customHeight="1">
      <c r="B51" s="530" t="s">
        <v>46</v>
      </c>
      <c r="C51" s="531">
        <f>MAX(C41:C50)</f>
        <v>46</v>
      </c>
      <c r="D51" s="531">
        <f t="shared" ref="D51:P51" si="18">MAX(D41:D50)</f>
        <v>72.3</v>
      </c>
      <c r="E51" s="531">
        <f t="shared" si="18"/>
        <v>112.8</v>
      </c>
      <c r="F51" s="531">
        <f t="shared" si="18"/>
        <v>132.80000000000001</v>
      </c>
      <c r="G51" s="531">
        <f t="shared" si="18"/>
        <v>153.69999999999999</v>
      </c>
      <c r="H51" s="531">
        <f t="shared" si="18"/>
        <v>352.4</v>
      </c>
      <c r="I51" s="531">
        <f t="shared" si="18"/>
        <v>507</v>
      </c>
      <c r="J51" s="531">
        <f t="shared" si="18"/>
        <v>468.7</v>
      </c>
      <c r="K51" s="531">
        <f t="shared" si="18"/>
        <v>257.7</v>
      </c>
      <c r="L51" s="531">
        <f t="shared" si="18"/>
        <v>160</v>
      </c>
      <c r="M51" s="531">
        <f t="shared" si="18"/>
        <v>156.6</v>
      </c>
      <c r="N51" s="532">
        <f t="shared" si="18"/>
        <v>103.5</v>
      </c>
      <c r="O51" s="530">
        <f t="shared" si="18"/>
        <v>1570.7</v>
      </c>
      <c r="P51" s="533">
        <f t="shared" si="18"/>
        <v>130.9</v>
      </c>
    </row>
    <row r="52" spans="2:16" ht="22.5" customHeight="1">
      <c r="B52" s="505" t="s">
        <v>47</v>
      </c>
      <c r="C52" s="500">
        <f>MIN(C41:C50)</f>
        <v>1.1000000000000001</v>
      </c>
      <c r="D52" s="500">
        <f t="shared" ref="D52:P52" si="19">MIN(D41:D50)</f>
        <v>0.1</v>
      </c>
      <c r="E52" s="500">
        <f t="shared" si="19"/>
        <v>4.8</v>
      </c>
      <c r="F52" s="500">
        <f t="shared" si="19"/>
        <v>20.7</v>
      </c>
      <c r="G52" s="500">
        <f t="shared" si="19"/>
        <v>2.9</v>
      </c>
      <c r="H52" s="500">
        <f t="shared" si="19"/>
        <v>23.3</v>
      </c>
      <c r="I52" s="500">
        <f t="shared" si="19"/>
        <v>121.6</v>
      </c>
      <c r="J52" s="500">
        <f t="shared" si="19"/>
        <v>34</v>
      </c>
      <c r="K52" s="500">
        <f t="shared" si="19"/>
        <v>15.1</v>
      </c>
      <c r="L52" s="500">
        <f t="shared" si="19"/>
        <v>12.6</v>
      </c>
      <c r="M52" s="500">
        <f t="shared" si="19"/>
        <v>17.5</v>
      </c>
      <c r="N52" s="525">
        <f t="shared" si="19"/>
        <v>9.6999999999999993</v>
      </c>
      <c r="O52" s="505">
        <f>MIN(O41:O50)</f>
        <v>815.9</v>
      </c>
      <c r="P52" s="506">
        <f t="shared" si="19"/>
        <v>68</v>
      </c>
    </row>
    <row r="53" spans="2:16" ht="22.5" customHeight="1" thickBot="1">
      <c r="B53" s="507" t="s">
        <v>30</v>
      </c>
      <c r="C53" s="508">
        <f>ROUND(AVERAGE(C41:C50),1)</f>
        <v>20.3</v>
      </c>
      <c r="D53" s="508">
        <f t="shared" ref="D53:N53" si="20">ROUND(AVERAGE(D41:D50),1)</f>
        <v>29.1</v>
      </c>
      <c r="E53" s="508">
        <f t="shared" si="20"/>
        <v>41.6</v>
      </c>
      <c r="F53" s="508">
        <f t="shared" si="20"/>
        <v>74.3</v>
      </c>
      <c r="G53" s="508">
        <f t="shared" si="20"/>
        <v>81.2</v>
      </c>
      <c r="H53" s="508">
        <f t="shared" si="20"/>
        <v>111.8</v>
      </c>
      <c r="I53" s="508">
        <f t="shared" si="20"/>
        <v>239.7</v>
      </c>
      <c r="J53" s="508">
        <f t="shared" si="20"/>
        <v>216</v>
      </c>
      <c r="K53" s="508">
        <f t="shared" si="20"/>
        <v>127.2</v>
      </c>
      <c r="L53" s="508">
        <f t="shared" si="20"/>
        <v>79.2</v>
      </c>
      <c r="M53" s="508">
        <f t="shared" si="20"/>
        <v>82.9</v>
      </c>
      <c r="N53" s="526">
        <f t="shared" si="20"/>
        <v>47.1</v>
      </c>
      <c r="O53" s="527">
        <f>ROUND(AVERAGE(O41:O50),1)</f>
        <v>1150.4000000000001</v>
      </c>
      <c r="P53" s="509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14.6</v>
      </c>
      <c r="D3" s="459">
        <f>All!D5</f>
        <v>5.9</v>
      </c>
      <c r="E3" s="459">
        <f>All!E5</f>
        <v>65.599999999999994</v>
      </c>
      <c r="F3" s="459">
        <f>All!F5</f>
        <v>32.4</v>
      </c>
      <c r="G3" s="459">
        <f>All!G5</f>
        <v>156</v>
      </c>
      <c r="H3" s="459">
        <f>All!H5</f>
        <v>167.8</v>
      </c>
      <c r="I3" s="459">
        <f>All!I5</f>
        <v>107.1</v>
      </c>
      <c r="J3" s="459">
        <f>All!J5</f>
        <v>309.7</v>
      </c>
      <c r="K3" s="459">
        <f>All!K5</f>
        <v>99.2</v>
      </c>
      <c r="L3" s="459">
        <f>All!L5</f>
        <v>216.3</v>
      </c>
      <c r="M3" s="459">
        <f>All!M5</f>
        <v>23.3</v>
      </c>
      <c r="N3" s="459">
        <f>All!N5</f>
        <v>36.6</v>
      </c>
      <c r="O3" s="459">
        <f>All!O5</f>
        <v>1234.5</v>
      </c>
      <c r="P3" s="464">
        <f>All!P5</f>
        <v>102.9</v>
      </c>
    </row>
    <row r="4" spans="2:16">
      <c r="B4" s="463">
        <f>All!B6</f>
        <v>1995</v>
      </c>
      <c r="C4" s="459">
        <f>All!C6</f>
        <v>22.7</v>
      </c>
      <c r="D4" s="459">
        <f>All!D6</f>
        <v>7.2</v>
      </c>
      <c r="E4" s="459">
        <f>All!E6</f>
        <v>37.299999999999997</v>
      </c>
      <c r="F4" s="459">
        <f>All!F6</f>
        <v>48.2</v>
      </c>
      <c r="G4" s="459">
        <f>All!G6</f>
        <v>67.099999999999994</v>
      </c>
      <c r="H4" s="459">
        <f>All!H6</f>
        <v>24.5</v>
      </c>
      <c r="I4" s="459">
        <f>All!I6</f>
        <v>144.1</v>
      </c>
      <c r="J4" s="459">
        <f>All!J6</f>
        <v>992.7</v>
      </c>
      <c r="K4" s="459">
        <f>All!K6</f>
        <v>20.2</v>
      </c>
      <c r="L4" s="459">
        <f>All!L6</f>
        <v>19.3</v>
      </c>
      <c r="M4" s="459">
        <f>All!M6</f>
        <v>49.9</v>
      </c>
      <c r="N4" s="459">
        <f>All!N6</f>
        <v>15.1</v>
      </c>
      <c r="O4" s="459">
        <f>All!O6</f>
        <v>1448.3</v>
      </c>
      <c r="P4" s="464">
        <f>All!P6</f>
        <v>120.7</v>
      </c>
    </row>
    <row r="5" spans="2:16">
      <c r="B5" s="463">
        <f>All!B7</f>
        <v>1996</v>
      </c>
      <c r="C5" s="459">
        <f>All!C7</f>
        <v>29.1</v>
      </c>
      <c r="D5" s="459">
        <f>All!D7</f>
        <v>5.7</v>
      </c>
      <c r="E5" s="459">
        <f>All!E7</f>
        <v>115.1</v>
      </c>
      <c r="F5" s="459">
        <f>All!F7</f>
        <v>48.1</v>
      </c>
      <c r="G5" s="459">
        <f>All!G7</f>
        <v>20</v>
      </c>
      <c r="H5" s="459">
        <f>All!H7</f>
        <v>179.2</v>
      </c>
      <c r="I5" s="459">
        <f>All!I7</f>
        <v>152.80000000000001</v>
      </c>
      <c r="J5" s="459">
        <f>All!J7</f>
        <v>74.099999999999994</v>
      </c>
      <c r="K5" s="459">
        <f>All!K7</f>
        <v>6.4</v>
      </c>
      <c r="L5" s="459">
        <f>All!L7</f>
        <v>92.2</v>
      </c>
      <c r="M5" s="459">
        <f>All!M7</f>
        <v>72.099999999999994</v>
      </c>
      <c r="N5" s="459">
        <f>All!N7</f>
        <v>35.299999999999997</v>
      </c>
      <c r="O5" s="459">
        <f>All!O7</f>
        <v>830.1</v>
      </c>
      <c r="P5" s="464">
        <f>All!P7</f>
        <v>69.2</v>
      </c>
    </row>
    <row r="6" spans="2:16">
      <c r="B6" s="463">
        <f>All!B8</f>
        <v>1997</v>
      </c>
      <c r="C6" s="459">
        <f>All!C8</f>
        <v>20.5</v>
      </c>
      <c r="D6" s="459">
        <f>All!D8</f>
        <v>32.5</v>
      </c>
      <c r="E6" s="459">
        <f>All!E8</f>
        <v>29.6</v>
      </c>
      <c r="F6" s="459">
        <f>All!F8</f>
        <v>69.5</v>
      </c>
      <c r="G6" s="459">
        <f>All!G8</f>
        <v>232.8</v>
      </c>
      <c r="H6" s="459">
        <f>All!H8</f>
        <v>204.4</v>
      </c>
      <c r="I6" s="459">
        <f>All!I8</f>
        <v>298.7</v>
      </c>
      <c r="J6" s="459">
        <f>All!J8</f>
        <v>87.2</v>
      </c>
      <c r="K6" s="459">
        <f>All!K8</f>
        <v>16.100000000000001</v>
      </c>
      <c r="L6" s="459">
        <f>All!L8</f>
        <v>8.6999999999999993</v>
      </c>
      <c r="M6" s="459">
        <f>All!M8</f>
        <v>116.7</v>
      </c>
      <c r="N6" s="459">
        <f>All!N8</f>
        <v>40.200000000000003</v>
      </c>
      <c r="O6" s="459">
        <f>All!O8</f>
        <v>1156.9000000000001</v>
      </c>
      <c r="P6" s="464">
        <f>All!P8</f>
        <v>96.4</v>
      </c>
    </row>
    <row r="7" spans="2:16">
      <c r="B7" s="463">
        <f>All!B9</f>
        <v>1998</v>
      </c>
      <c r="C7" s="459">
        <f>All!C9</f>
        <v>40.1</v>
      </c>
      <c r="D7" s="459">
        <f>All!D9</f>
        <v>54.2</v>
      </c>
      <c r="E7" s="459">
        <f>All!E9</f>
        <v>35</v>
      </c>
      <c r="F7" s="459">
        <f>All!F9</f>
        <v>160.6</v>
      </c>
      <c r="G7" s="459">
        <f>All!G9</f>
        <v>95.5</v>
      </c>
      <c r="H7" s="459">
        <f>All!H9</f>
        <v>281.7</v>
      </c>
      <c r="I7" s="459">
        <f>All!I9</f>
        <v>295.60000000000002</v>
      </c>
      <c r="J7" s="459">
        <f>All!J9</f>
        <v>491.8</v>
      </c>
      <c r="K7" s="459">
        <f>All!K9</f>
        <v>168</v>
      </c>
      <c r="L7" s="459">
        <f>All!L9</f>
        <v>24.3</v>
      </c>
      <c r="M7" s="459">
        <f>All!M9</f>
        <v>55.6</v>
      </c>
      <c r="N7" s="459">
        <f>All!N9</f>
        <v>9.1999999999999993</v>
      </c>
      <c r="O7" s="459">
        <f>All!O9</f>
        <v>1711.6</v>
      </c>
      <c r="P7" s="464">
        <f>All!P9</f>
        <v>142.6</v>
      </c>
    </row>
    <row r="8" spans="2:16">
      <c r="B8" s="463">
        <f>All!B10</f>
        <v>1999</v>
      </c>
      <c r="C8" s="459">
        <f>All!C10</f>
        <v>8</v>
      </c>
      <c r="D8" s="459">
        <f>All!D10</f>
        <v>7.8</v>
      </c>
      <c r="E8" s="459">
        <f>All!E10</f>
        <v>59.9</v>
      </c>
      <c r="F8" s="459">
        <f>All!F10</f>
        <v>90.1</v>
      </c>
      <c r="G8" s="459">
        <f>All!G10</f>
        <v>178.8</v>
      </c>
      <c r="H8" s="459">
        <f>All!H10</f>
        <v>105.1</v>
      </c>
      <c r="I8" s="459">
        <f>All!I10</f>
        <v>175.6</v>
      </c>
      <c r="J8" s="459">
        <f>All!J10</f>
        <v>497.4</v>
      </c>
      <c r="K8" s="459">
        <f>All!K10</f>
        <v>532.6</v>
      </c>
      <c r="L8" s="459">
        <f>All!L10</f>
        <v>111.3</v>
      </c>
      <c r="M8" s="459">
        <f>All!M10</f>
        <v>36.6</v>
      </c>
      <c r="N8" s="459">
        <f>All!N10</f>
        <v>23.4</v>
      </c>
      <c r="O8" s="459">
        <f>All!O10</f>
        <v>1826.6</v>
      </c>
      <c r="P8" s="464">
        <f>All!P10</f>
        <v>152.19999999999999</v>
      </c>
    </row>
    <row r="9" spans="2:16">
      <c r="B9" s="463">
        <f>All!B11</f>
        <v>2000</v>
      </c>
      <c r="C9" s="459">
        <f>All!C11</f>
        <v>63</v>
      </c>
      <c r="D9" s="459">
        <f>All!D11</f>
        <v>2.9</v>
      </c>
      <c r="E9" s="459">
        <f>All!E11</f>
        <v>3.7</v>
      </c>
      <c r="F9" s="459">
        <f>All!F11</f>
        <v>38.1</v>
      </c>
      <c r="G9" s="459">
        <f>All!G11</f>
        <v>62.1</v>
      </c>
      <c r="H9" s="459">
        <f>All!H11</f>
        <v>204.4</v>
      </c>
      <c r="I9" s="459">
        <f>All!I11</f>
        <v>60.8</v>
      </c>
      <c r="J9" s="459">
        <f>All!J11</f>
        <v>608.1</v>
      </c>
      <c r="K9" s="459">
        <f>All!K11</f>
        <v>298.10000000000002</v>
      </c>
      <c r="L9" s="459">
        <f>All!L11</f>
        <v>34.4</v>
      </c>
      <c r="M9" s="459">
        <f>All!M11</f>
        <v>24.8</v>
      </c>
      <c r="N9" s="459">
        <f>All!N11</f>
        <v>24.4</v>
      </c>
      <c r="O9" s="459">
        <f>All!O11</f>
        <v>1424.8</v>
      </c>
      <c r="P9" s="464">
        <f>All!P11</f>
        <v>118.7</v>
      </c>
    </row>
    <row r="10" spans="2:16">
      <c r="B10" s="463">
        <f>All!B12</f>
        <v>2001</v>
      </c>
      <c r="C10" s="459">
        <f>All!C12</f>
        <v>66.900000000000006</v>
      </c>
      <c r="D10" s="459">
        <f>All!D12</f>
        <v>40.4</v>
      </c>
      <c r="E10" s="459">
        <f>All!E12</f>
        <v>12.7</v>
      </c>
      <c r="F10" s="459">
        <f>All!F12</f>
        <v>18.7</v>
      </c>
      <c r="G10" s="459">
        <f>All!G12</f>
        <v>17.8</v>
      </c>
      <c r="H10" s="459">
        <f>All!H12</f>
        <v>200.2</v>
      </c>
      <c r="I10" s="459">
        <f>All!I12</f>
        <v>402</v>
      </c>
      <c r="J10" s="459">
        <f>All!J12</f>
        <v>136.6</v>
      </c>
      <c r="K10" s="459">
        <f>All!K12</f>
        <v>15</v>
      </c>
      <c r="L10" s="459">
        <f>All!L12</f>
        <v>47.5</v>
      </c>
      <c r="M10" s="459">
        <f>All!M12</f>
        <v>8.1999999999999993</v>
      </c>
      <c r="N10" s="459">
        <f>All!N12</f>
        <v>20.8</v>
      </c>
      <c r="O10" s="459">
        <f>All!O12</f>
        <v>986.8</v>
      </c>
      <c r="P10" s="464">
        <f>All!P12</f>
        <v>82.2</v>
      </c>
    </row>
    <row r="11" spans="2:16">
      <c r="B11" s="463">
        <f>All!B13</f>
        <v>2002</v>
      </c>
      <c r="C11" s="459">
        <f>All!C13</f>
        <v>22.5</v>
      </c>
      <c r="D11" s="459">
        <f>All!D13</f>
        <v>7</v>
      </c>
      <c r="E11" s="459">
        <f>All!E13</f>
        <v>29.3</v>
      </c>
      <c r="F11" s="459">
        <f>All!F13</f>
        <v>179.5</v>
      </c>
      <c r="G11" s="459">
        <f>All!G13</f>
        <v>177.3</v>
      </c>
      <c r="H11" s="459">
        <f>All!H13</f>
        <v>60.8</v>
      </c>
      <c r="I11" s="459">
        <f>All!I13</f>
        <v>296.10000000000002</v>
      </c>
      <c r="J11" s="459">
        <f>All!J13</f>
        <v>428.2</v>
      </c>
      <c r="K11" s="459">
        <f>All!K13</f>
        <v>57.5</v>
      </c>
      <c r="L11" s="459">
        <f>All!L13</f>
        <v>78.3</v>
      </c>
      <c r="M11" s="459">
        <f>All!M13</f>
        <v>36.299999999999997</v>
      </c>
      <c r="N11" s="459">
        <f>All!N13</f>
        <v>14.8</v>
      </c>
      <c r="O11" s="459">
        <f>All!O13</f>
        <v>1387.6</v>
      </c>
      <c r="P11" s="464">
        <f>All!P13</f>
        <v>115.6</v>
      </c>
    </row>
    <row r="12" spans="2:16">
      <c r="B12" s="463">
        <f>All!B14</f>
        <v>2003</v>
      </c>
      <c r="C12" s="459">
        <f>All!C14</f>
        <v>20.9</v>
      </c>
      <c r="D12" s="459">
        <f>All!D14</f>
        <v>39</v>
      </c>
      <c r="E12" s="459">
        <f>All!E14</f>
        <v>22.5</v>
      </c>
      <c r="F12" s="459">
        <f>All!F14</f>
        <v>180</v>
      </c>
      <c r="G12" s="459">
        <f>All!G14</f>
        <v>105.5</v>
      </c>
      <c r="H12" s="459">
        <f>All!H14</f>
        <v>221.8</v>
      </c>
      <c r="I12" s="459">
        <f>All!I14</f>
        <v>290.2</v>
      </c>
      <c r="J12" s="459">
        <f>All!J14</f>
        <v>257.89999999999998</v>
      </c>
      <c r="K12" s="459">
        <f>All!K14</f>
        <v>201.9</v>
      </c>
      <c r="L12" s="459">
        <f>All!L14</f>
        <v>23</v>
      </c>
      <c r="M12" s="459">
        <f>All!M14</f>
        <v>53.6</v>
      </c>
      <c r="N12" s="459">
        <f>All!N14</f>
        <v>17.100000000000001</v>
      </c>
      <c r="O12" s="459">
        <f>All!O14</f>
        <v>1433.4</v>
      </c>
      <c r="P12" s="464">
        <f>All!P14</f>
        <v>119.5</v>
      </c>
    </row>
    <row r="13" spans="2:16">
      <c r="B13" s="463">
        <f>All!B15</f>
        <v>2004</v>
      </c>
      <c r="C13" s="459">
        <f>All!C15</f>
        <v>27.3</v>
      </c>
      <c r="D13" s="459">
        <f>All!D15</f>
        <v>26.3</v>
      </c>
      <c r="E13" s="459">
        <f>All!E15</f>
        <v>15.7</v>
      </c>
      <c r="F13" s="459">
        <f>All!F15</f>
        <v>80.2</v>
      </c>
      <c r="G13" s="459">
        <f>All!G15</f>
        <v>140.30000000000001</v>
      </c>
      <c r="H13" s="459">
        <f>All!H15</f>
        <v>211.1</v>
      </c>
      <c r="I13" s="459">
        <f>All!I15</f>
        <v>321.89999999999998</v>
      </c>
      <c r="J13" s="459">
        <f>All!J15</f>
        <v>131.19999999999999</v>
      </c>
      <c r="K13" s="459">
        <f>All!K15</f>
        <v>282.60000000000002</v>
      </c>
      <c r="L13" s="459">
        <f>All!L15</f>
        <v>1.8</v>
      </c>
      <c r="M13" s="459">
        <f>All!M15</f>
        <v>70.5</v>
      </c>
      <c r="N13" s="459">
        <f>All!N15</f>
        <v>32</v>
      </c>
      <c r="O13" s="459">
        <f>All!O15</f>
        <v>1340.9</v>
      </c>
      <c r="P13" s="464">
        <f>All!P15</f>
        <v>111.7</v>
      </c>
    </row>
    <row r="14" spans="2:16">
      <c r="B14" s="463">
        <f>All!B16</f>
        <v>2005</v>
      </c>
      <c r="C14" s="459">
        <f>All!C16</f>
        <v>10.4</v>
      </c>
      <c r="D14" s="459">
        <f>All!D16</f>
        <v>34</v>
      </c>
      <c r="E14" s="459">
        <f>All!E16</f>
        <v>36.1</v>
      </c>
      <c r="F14" s="459">
        <f>All!F16</f>
        <v>77.2</v>
      </c>
      <c r="G14" s="459">
        <f>All!G16</f>
        <v>56.1</v>
      </c>
      <c r="H14" s="459">
        <f>All!H16</f>
        <v>147</v>
      </c>
      <c r="I14" s="459">
        <f>All!I16</f>
        <v>386.1</v>
      </c>
      <c r="J14" s="459">
        <f>All!J16</f>
        <v>270.5</v>
      </c>
      <c r="K14" s="459">
        <f>All!K16</f>
        <v>228.7</v>
      </c>
      <c r="L14" s="459">
        <f>All!L16</f>
        <v>30.9</v>
      </c>
      <c r="M14" s="459">
        <f>All!M16</f>
        <v>19.600000000000001</v>
      </c>
      <c r="N14" s="459">
        <f>All!N16</f>
        <v>37.6</v>
      </c>
      <c r="O14" s="459">
        <f>All!O16</f>
        <v>1334.2</v>
      </c>
      <c r="P14" s="464">
        <f>All!P16</f>
        <v>111.2</v>
      </c>
    </row>
    <row r="15" spans="2:16">
      <c r="B15" s="463">
        <f>All!B17</f>
        <v>2006</v>
      </c>
      <c r="C15" s="459">
        <f>All!C17</f>
        <v>29.7</v>
      </c>
      <c r="D15" s="459">
        <f>All!D17</f>
        <v>18.899999999999999</v>
      </c>
      <c r="E15" s="459">
        <f>All!E17</f>
        <v>5</v>
      </c>
      <c r="F15" s="459">
        <f>All!F17</f>
        <v>77.3</v>
      </c>
      <c r="G15" s="459">
        <f>All!G17</f>
        <v>133.5</v>
      </c>
      <c r="H15" s="459">
        <f>All!H17</f>
        <v>226.8</v>
      </c>
      <c r="I15" s="459">
        <f>All!I17</f>
        <v>494.5</v>
      </c>
      <c r="J15" s="459">
        <f>All!J17</f>
        <v>58.2</v>
      </c>
      <c r="K15" s="459">
        <f>All!K17</f>
        <v>10.1</v>
      </c>
      <c r="L15" s="459">
        <f>All!L17</f>
        <v>10.5</v>
      </c>
      <c r="M15" s="459">
        <f>All!M17</f>
        <v>55</v>
      </c>
      <c r="N15" s="459">
        <f>All!N17</f>
        <v>19.7</v>
      </c>
      <c r="O15" s="459">
        <f>All!O17</f>
        <v>1139.2</v>
      </c>
      <c r="P15" s="464">
        <f>All!P17</f>
        <v>94.9</v>
      </c>
    </row>
    <row r="16" spans="2:16">
      <c r="B16" s="463">
        <f>All!B18</f>
        <v>2007</v>
      </c>
      <c r="C16" s="459">
        <f>All!C18</f>
        <v>13</v>
      </c>
      <c r="D16" s="459">
        <f>All!D18</f>
        <v>25.5</v>
      </c>
      <c r="E16" s="459">
        <f>All!E18</f>
        <v>127.2</v>
      </c>
      <c r="F16" s="459">
        <f>All!F18</f>
        <v>28.1</v>
      </c>
      <c r="G16" s="459">
        <f>All!G18</f>
        <v>108.5</v>
      </c>
      <c r="H16" s="459">
        <f>All!H18</f>
        <v>123.5</v>
      </c>
      <c r="I16" s="459">
        <f>All!I18</f>
        <v>257</v>
      </c>
      <c r="J16" s="459">
        <f>All!J18</f>
        <v>414.6</v>
      </c>
      <c r="K16" s="459">
        <f>All!K18</f>
        <v>305.8</v>
      </c>
      <c r="L16" s="459">
        <f>All!L18</f>
        <v>30.7</v>
      </c>
      <c r="M16" s="459">
        <f>All!M18</f>
        <v>14.4</v>
      </c>
      <c r="N16" s="459">
        <f>All!N18</f>
        <v>22.8</v>
      </c>
      <c r="O16" s="459">
        <f>All!O18</f>
        <v>1471.1</v>
      </c>
      <c r="P16" s="464">
        <f>All!P18</f>
        <v>122.6</v>
      </c>
    </row>
    <row r="17" spans="2:16">
      <c r="B17" s="463">
        <f>All!B19</f>
        <v>2008</v>
      </c>
      <c r="C17" s="459">
        <f>All!C19</f>
        <v>15</v>
      </c>
      <c r="D17" s="459">
        <f>All!D19</f>
        <v>7</v>
      </c>
      <c r="E17" s="459">
        <f>All!E19</f>
        <v>26</v>
      </c>
      <c r="F17" s="459">
        <f>All!F19</f>
        <v>46.1</v>
      </c>
      <c r="G17" s="459">
        <f>All!G19</f>
        <v>88.5</v>
      </c>
      <c r="H17" s="459">
        <f>All!H19</f>
        <v>118.1</v>
      </c>
      <c r="I17" s="459">
        <f>All!I19</f>
        <v>335.5</v>
      </c>
      <c r="J17" s="459">
        <f>All!J19</f>
        <v>114.2</v>
      </c>
      <c r="K17" s="459">
        <f>All!K19</f>
        <v>62.7</v>
      </c>
      <c r="L17" s="459">
        <f>All!L19</f>
        <v>34</v>
      </c>
      <c r="M17" s="459">
        <f>All!M19</f>
        <v>34.6</v>
      </c>
      <c r="N17" s="459">
        <f>All!N19</f>
        <v>27.9</v>
      </c>
      <c r="O17" s="459">
        <f>All!O19</f>
        <v>909.6</v>
      </c>
      <c r="P17" s="464">
        <f>All!P19</f>
        <v>75.8</v>
      </c>
    </row>
    <row r="18" spans="2:16">
      <c r="B18" s="463">
        <f>All!B20</f>
        <v>2009</v>
      </c>
      <c r="C18" s="459">
        <f>All!C20</f>
        <v>15.2</v>
      </c>
      <c r="D18" s="459">
        <f>All!D20</f>
        <v>26.5</v>
      </c>
      <c r="E18" s="459">
        <f>All!E20</f>
        <v>67</v>
      </c>
      <c r="F18" s="459">
        <f>All!F20</f>
        <v>43</v>
      </c>
      <c r="G18" s="459">
        <f>All!G20</f>
        <v>117.9</v>
      </c>
      <c r="H18" s="459">
        <f>All!H20</f>
        <v>74.900000000000006</v>
      </c>
      <c r="I18" s="459">
        <f>All!I20</f>
        <v>364.9</v>
      </c>
      <c r="J18" s="459">
        <f>All!J20</f>
        <v>196.3</v>
      </c>
      <c r="K18" s="459">
        <f>All!K20</f>
        <v>16</v>
      </c>
      <c r="L18" s="459">
        <f>All!L20</f>
        <v>49.2</v>
      </c>
      <c r="M18" s="459">
        <f>All!M20</f>
        <v>59.1</v>
      </c>
      <c r="N18" s="459">
        <f>All!N20</f>
        <v>44.3</v>
      </c>
      <c r="O18" s="459">
        <f>All!O20</f>
        <v>1074.3</v>
      </c>
      <c r="P18" s="464">
        <f>All!P20</f>
        <v>89.5</v>
      </c>
    </row>
    <row r="19" spans="2:16">
      <c r="B19" s="463">
        <f>All!B21</f>
        <v>2010</v>
      </c>
      <c r="C19" s="459">
        <f>All!C21</f>
        <v>55.5</v>
      </c>
      <c r="D19" s="459">
        <f>All!D21</f>
        <v>58.4</v>
      </c>
      <c r="E19" s="459">
        <f>All!E21</f>
        <v>79.2</v>
      </c>
      <c r="F19" s="459">
        <f>All!F21</f>
        <v>52.2</v>
      </c>
      <c r="G19" s="459">
        <f>All!G21</f>
        <v>168</v>
      </c>
      <c r="H19" s="459">
        <f>All!H21</f>
        <v>94.9</v>
      </c>
      <c r="I19" s="459">
        <f>All!I21</f>
        <v>447.1</v>
      </c>
      <c r="J19" s="459">
        <f>All!J21</f>
        <v>707</v>
      </c>
      <c r="K19" s="459">
        <f>All!K21</f>
        <v>402</v>
      </c>
      <c r="L19" s="459">
        <f>All!L21</f>
        <v>29.1</v>
      </c>
      <c r="M19" s="459">
        <f>All!M21</f>
        <v>12</v>
      </c>
      <c r="N19" s="459">
        <f>All!N21</f>
        <v>36.4</v>
      </c>
      <c r="O19" s="459">
        <f>All!O21</f>
        <v>2141.8000000000002</v>
      </c>
      <c r="P19" s="464">
        <f>All!P21</f>
        <v>178.5</v>
      </c>
    </row>
    <row r="20" spans="2:16">
      <c r="B20" s="463">
        <f>All!B22</f>
        <v>2011</v>
      </c>
      <c r="C20" s="459">
        <f>All!C22</f>
        <v>8.8000000000000007</v>
      </c>
      <c r="D20" s="459">
        <f>All!D22</f>
        <v>55.8</v>
      </c>
      <c r="E20" s="459">
        <f>All!E22</f>
        <v>34.5</v>
      </c>
      <c r="F20" s="459">
        <f>All!F22</f>
        <v>96.2</v>
      </c>
      <c r="G20" s="459">
        <f>All!G22</f>
        <v>107.9</v>
      </c>
      <c r="H20" s="459">
        <f>All!H22</f>
        <v>462.6</v>
      </c>
      <c r="I20" s="459">
        <f>All!I22</f>
        <v>656.5</v>
      </c>
      <c r="J20" s="459">
        <f>All!J22</f>
        <v>151.19999999999999</v>
      </c>
      <c r="K20" s="459">
        <f>All!K22</f>
        <v>50.3</v>
      </c>
      <c r="L20" s="459">
        <f>All!L22</f>
        <v>18.100000000000001</v>
      </c>
      <c r="M20" s="459">
        <f>All!M22</f>
        <v>48.9</v>
      </c>
      <c r="N20" s="459">
        <f>All!N22</f>
        <v>13.6</v>
      </c>
      <c r="O20" s="459">
        <f>All!O22</f>
        <v>1704.4</v>
      </c>
      <c r="P20" s="464">
        <f>All!P22</f>
        <v>142</v>
      </c>
    </row>
    <row r="21" spans="2:16">
      <c r="B21" s="463">
        <f>All!B23</f>
        <v>2012</v>
      </c>
      <c r="C21" s="459">
        <f>All!C23</f>
        <v>15.1</v>
      </c>
      <c r="D21" s="459">
        <f>All!D23</f>
        <v>2.4</v>
      </c>
      <c r="E21" s="459">
        <f>All!E23</f>
        <v>41.6</v>
      </c>
      <c r="F21" s="459">
        <f>All!F23</f>
        <v>113.5</v>
      </c>
      <c r="G21" s="459">
        <f>All!G23</f>
        <v>14.5</v>
      </c>
      <c r="H21" s="459">
        <f>All!H23</f>
        <v>91.1</v>
      </c>
      <c r="I21" s="459">
        <f>All!I23</f>
        <v>266.8</v>
      </c>
      <c r="J21" s="459">
        <f>All!J23</f>
        <v>647.9</v>
      </c>
      <c r="K21" s="459">
        <f>All!K23</f>
        <v>201.5</v>
      </c>
      <c r="L21" s="459">
        <f>All!L23</f>
        <v>100.7</v>
      </c>
      <c r="M21" s="459">
        <f>All!M23</f>
        <v>82.1</v>
      </c>
      <c r="N21" s="459">
        <f>All!N23</f>
        <v>65.400000000000006</v>
      </c>
      <c r="O21" s="459">
        <f>All!O23</f>
        <v>1642.6</v>
      </c>
      <c r="P21" s="464">
        <f>All!P23</f>
        <v>136.9</v>
      </c>
    </row>
    <row r="22" spans="2:16">
      <c r="B22" s="463">
        <f>All!B24</f>
        <v>2013</v>
      </c>
      <c r="C22" s="459">
        <f>All!C24</f>
        <v>36.799999999999997</v>
      </c>
      <c r="D22" s="459">
        <f>All!D24</f>
        <v>64.8</v>
      </c>
      <c r="E22" s="459">
        <f>All!E24</f>
        <v>60.8</v>
      </c>
      <c r="F22" s="459">
        <f>All!F24</f>
        <v>61.8</v>
      </c>
      <c r="G22" s="459">
        <f>All!G24</f>
        <v>114.9</v>
      </c>
      <c r="H22" s="459">
        <f>All!H24</f>
        <v>94.4</v>
      </c>
      <c r="I22" s="459">
        <f>All!I24</f>
        <v>213.8</v>
      </c>
      <c r="J22" s="459">
        <f>All!J24</f>
        <v>120.6</v>
      </c>
      <c r="K22" s="459">
        <f>All!K24</f>
        <v>147.4</v>
      </c>
      <c r="L22" s="459">
        <f>All!L24</f>
        <v>5.7</v>
      </c>
      <c r="M22" s="459">
        <f>All!M24</f>
        <v>64.900000000000006</v>
      </c>
      <c r="N22" s="459">
        <f>All!N24</f>
        <v>32.799999999999997</v>
      </c>
      <c r="O22" s="459">
        <f>All!O24</f>
        <v>1018.7</v>
      </c>
      <c r="P22" s="464">
        <f>All!P24</f>
        <v>84.9</v>
      </c>
    </row>
    <row r="23" spans="2:16">
      <c r="B23" s="463">
        <f>All!B25</f>
        <v>2014</v>
      </c>
      <c r="C23" s="459">
        <f>All!C25</f>
        <v>7</v>
      </c>
      <c r="D23" s="459">
        <f>All!D25</f>
        <v>17</v>
      </c>
      <c r="E23" s="459">
        <f>All!E25</f>
        <v>31.2</v>
      </c>
      <c r="F23" s="459">
        <f>All!F25</f>
        <v>85.6</v>
      </c>
      <c r="G23" s="459">
        <f>All!G25</f>
        <v>52.7</v>
      </c>
      <c r="H23" s="459">
        <f>All!H25</f>
        <v>69.3</v>
      </c>
      <c r="I23" s="459">
        <f>All!I25</f>
        <v>151.69999999999999</v>
      </c>
      <c r="J23" s="459">
        <f>All!J25</f>
        <v>242.3</v>
      </c>
      <c r="K23" s="459">
        <f>All!K25</f>
        <v>106.7</v>
      </c>
      <c r="L23" s="459">
        <f>All!L25</f>
        <v>117.2</v>
      </c>
      <c r="M23" s="459">
        <f>All!M25</f>
        <v>37.799999999999997</v>
      </c>
      <c r="N23" s="459">
        <f>All!N25</f>
        <v>81.599999999999994</v>
      </c>
      <c r="O23" s="459">
        <f>All!O25</f>
        <v>1000.1</v>
      </c>
      <c r="P23" s="464">
        <f>All!P25</f>
        <v>83.3</v>
      </c>
    </row>
    <row r="24" spans="2:16">
      <c r="B24" s="463">
        <f>All!B26</f>
        <v>2015</v>
      </c>
      <c r="C24" s="459">
        <f>All!C26</f>
        <v>20.7</v>
      </c>
      <c r="D24" s="459">
        <f>All!D26</f>
        <v>23.1</v>
      </c>
      <c r="E24" s="459">
        <f>All!E26</f>
        <v>20.6</v>
      </c>
      <c r="F24" s="459">
        <f>All!F26</f>
        <v>116.8</v>
      </c>
      <c r="G24" s="459">
        <f>All!G26</f>
        <v>40.6</v>
      </c>
      <c r="H24" s="459">
        <f>All!H26</f>
        <v>64.099999999999994</v>
      </c>
      <c r="I24" s="459">
        <f>All!I26</f>
        <v>158.5</v>
      </c>
      <c r="J24" s="459">
        <f>All!J26</f>
        <v>63.1</v>
      </c>
      <c r="K24" s="459">
        <f>All!K26</f>
        <v>15.1</v>
      </c>
      <c r="L24" s="459">
        <f>All!L26</f>
        <v>73.099999999999994</v>
      </c>
      <c r="M24" s="459">
        <f>All!M26</f>
        <v>156.6</v>
      </c>
      <c r="N24" s="459">
        <f>All!N26</f>
        <v>63.6</v>
      </c>
      <c r="O24" s="459">
        <f>All!O26</f>
        <v>815.9</v>
      </c>
      <c r="P24" s="464">
        <f>All!P26</f>
        <v>68</v>
      </c>
    </row>
    <row r="25" spans="2:16">
      <c r="B25" s="463">
        <f>All!B27</f>
        <v>2016</v>
      </c>
      <c r="C25" s="459">
        <f>All!C27</f>
        <v>21.9</v>
      </c>
      <c r="D25" s="459">
        <f>All!D27</f>
        <v>61.7</v>
      </c>
      <c r="E25" s="459">
        <f>All!E27</f>
        <v>24.3</v>
      </c>
      <c r="F25" s="459">
        <f>All!F27</f>
        <v>87</v>
      </c>
      <c r="G25" s="459">
        <f>All!G27</f>
        <v>153.69999999999999</v>
      </c>
      <c r="H25" s="459">
        <f>All!H27</f>
        <v>36.799999999999997</v>
      </c>
      <c r="I25" s="459">
        <f>All!I27</f>
        <v>295.60000000000002</v>
      </c>
      <c r="J25" s="459">
        <f>All!J27</f>
        <v>34</v>
      </c>
      <c r="K25" s="459">
        <f>All!K27</f>
        <v>53.1</v>
      </c>
      <c r="L25" s="459">
        <f>All!L27</f>
        <v>73.8</v>
      </c>
      <c r="M25" s="459">
        <f>All!M27</f>
        <v>17.5</v>
      </c>
      <c r="N25" s="459">
        <f>All!N27</f>
        <v>62.7</v>
      </c>
      <c r="O25" s="459">
        <f>All!O27</f>
        <v>922.1</v>
      </c>
      <c r="P25" s="464">
        <f>All!P27</f>
        <v>76.8</v>
      </c>
    </row>
    <row r="26" spans="2:16">
      <c r="B26" s="463">
        <f>All!B28</f>
        <v>2017</v>
      </c>
      <c r="C26" s="459">
        <f>All!C28</f>
        <v>21.3</v>
      </c>
      <c r="D26" s="459">
        <f>All!D28</f>
        <v>31.4</v>
      </c>
      <c r="E26" s="459">
        <f>All!E28</f>
        <v>4.8</v>
      </c>
      <c r="F26" s="459">
        <f>All!F28</f>
        <v>38.9</v>
      </c>
      <c r="G26" s="459">
        <f>All!G28</f>
        <v>27.9</v>
      </c>
      <c r="H26" s="459">
        <f>All!H28</f>
        <v>23.3</v>
      </c>
      <c r="I26" s="459">
        <f>All!I28</f>
        <v>327.8</v>
      </c>
      <c r="J26" s="459">
        <f>All!J28</f>
        <v>231.3</v>
      </c>
      <c r="K26" s="459">
        <f>All!K28</f>
        <v>37.6</v>
      </c>
      <c r="L26" s="459">
        <f>All!L28</f>
        <v>25.5</v>
      </c>
      <c r="M26" s="459">
        <f>All!M28</f>
        <v>24.7</v>
      </c>
      <c r="N26" s="459">
        <f>All!N28</f>
        <v>35.9</v>
      </c>
      <c r="O26" s="459">
        <f>All!O28</f>
        <v>830.4</v>
      </c>
      <c r="P26" s="464">
        <f>All!P28</f>
        <v>69.2</v>
      </c>
    </row>
    <row r="27" spans="2:16">
      <c r="B27" s="463">
        <f>All!B29</f>
        <v>2018</v>
      </c>
      <c r="C27" s="459">
        <f>All!C29</f>
        <v>21</v>
      </c>
      <c r="D27" s="459">
        <f>All!D29</f>
        <v>40.5</v>
      </c>
      <c r="E27" s="459">
        <f>All!E29</f>
        <v>76.599999999999994</v>
      </c>
      <c r="F27" s="459">
        <f>All!F29</f>
        <v>132.80000000000001</v>
      </c>
      <c r="G27" s="459">
        <f>All!G29</f>
        <v>147.69999999999999</v>
      </c>
      <c r="H27" s="459">
        <f>All!H29</f>
        <v>162.30000000000001</v>
      </c>
      <c r="I27" s="459">
        <f>All!I29</f>
        <v>152.9</v>
      </c>
      <c r="J27" s="459">
        <f>All!J29</f>
        <v>156.80000000000001</v>
      </c>
      <c r="K27" s="459">
        <f>All!K29</f>
        <v>82.7</v>
      </c>
      <c r="L27" s="459">
        <f>All!L29</f>
        <v>153.19999999999999</v>
      </c>
      <c r="M27" s="459">
        <f>All!M29</f>
        <v>73.900000000000006</v>
      </c>
      <c r="N27" s="459">
        <f>All!N29</f>
        <v>26.8</v>
      </c>
      <c r="O27" s="459">
        <f>All!O29</f>
        <v>1227.2</v>
      </c>
      <c r="P27" s="464">
        <f>All!P29</f>
        <v>102.3</v>
      </c>
    </row>
    <row r="28" spans="2:16">
      <c r="B28" s="463">
        <f>All!B30</f>
        <v>2019</v>
      </c>
      <c r="C28" s="459">
        <f>All!C30</f>
        <v>1.1000000000000001</v>
      </c>
      <c r="D28" s="459">
        <f>All!D30</f>
        <v>30.2</v>
      </c>
      <c r="E28" s="459">
        <f>All!E30</f>
        <v>43.7</v>
      </c>
      <c r="F28" s="459">
        <f>All!F30</f>
        <v>43.9</v>
      </c>
      <c r="G28" s="459">
        <f>All!G30</f>
        <v>20.100000000000001</v>
      </c>
      <c r="H28" s="459">
        <f>All!H30</f>
        <v>56.3</v>
      </c>
      <c r="I28" s="459">
        <f>All!I30</f>
        <v>174.5</v>
      </c>
      <c r="J28" s="459">
        <f>All!J30</f>
        <v>121.1</v>
      </c>
      <c r="K28" s="459">
        <f>All!K30</f>
        <v>181.1</v>
      </c>
      <c r="L28" s="459">
        <f>All!L30</f>
        <v>81</v>
      </c>
      <c r="M28" s="459">
        <f>All!M30</f>
        <v>124.6</v>
      </c>
      <c r="N28" s="459">
        <f>All!N30</f>
        <v>37.4</v>
      </c>
      <c r="O28" s="459">
        <f>All!O30</f>
        <v>915</v>
      </c>
      <c r="P28" s="464">
        <f>All!P30</f>
        <v>76.3</v>
      </c>
    </row>
    <row r="29" spans="2:16">
      <c r="B29" s="463">
        <f>All!B31</f>
        <v>2020</v>
      </c>
      <c r="C29" s="459">
        <f>All!C31</f>
        <v>46</v>
      </c>
      <c r="D29" s="459">
        <f>All!D31</f>
        <v>72.3</v>
      </c>
      <c r="E29" s="459">
        <f>All!E31</f>
        <v>23</v>
      </c>
      <c r="F29" s="459">
        <f>All!F31</f>
        <v>20.7</v>
      </c>
      <c r="G29" s="459">
        <f>All!G31</f>
        <v>101.3</v>
      </c>
      <c r="H29" s="459">
        <f>All!H31</f>
        <v>144</v>
      </c>
      <c r="I29" s="459">
        <f>All!I31</f>
        <v>329.4</v>
      </c>
      <c r="J29" s="459">
        <f>All!J31</f>
        <v>400</v>
      </c>
      <c r="K29" s="459">
        <f>All!K31</f>
        <v>257.7</v>
      </c>
      <c r="L29" s="459">
        <f>All!L31</f>
        <v>12.6</v>
      </c>
      <c r="M29" s="459">
        <f>All!M31</f>
        <v>72</v>
      </c>
      <c r="N29" s="459">
        <f>All!N31</f>
        <v>9.6999999999999993</v>
      </c>
      <c r="O29" s="459">
        <f>All!O31</f>
        <v>1488.7</v>
      </c>
      <c r="P29" s="464">
        <f>All!P31</f>
        <v>124.1</v>
      </c>
    </row>
    <row r="30" spans="2:16">
      <c r="B30" s="463">
        <f>All!B32</f>
        <v>2021</v>
      </c>
      <c r="C30" s="459">
        <f>All!C32</f>
        <v>25.3</v>
      </c>
      <c r="D30" s="459">
        <f>All!D32</f>
        <v>9.6</v>
      </c>
      <c r="E30" s="459">
        <f>All!E32</f>
        <v>112.8</v>
      </c>
      <c r="F30" s="459">
        <f>All!F32</f>
        <v>110.6</v>
      </c>
      <c r="G30" s="459">
        <f>All!G32</f>
        <v>132.30000000000001</v>
      </c>
      <c r="H30" s="459">
        <f>All!H32</f>
        <v>70.900000000000006</v>
      </c>
      <c r="I30" s="459">
        <f>All!I32</f>
        <v>121.6</v>
      </c>
      <c r="J30" s="459">
        <f>All!J32</f>
        <v>217.8</v>
      </c>
      <c r="K30" s="459">
        <f>All!K32</f>
        <v>206</v>
      </c>
      <c r="L30" s="459">
        <f>All!L32</f>
        <v>55.9</v>
      </c>
      <c r="M30" s="459">
        <f>All!M32</f>
        <v>126.2</v>
      </c>
      <c r="N30" s="459">
        <f>All!N32</f>
        <v>18.3</v>
      </c>
      <c r="O30" s="459">
        <f>All!O32</f>
        <v>1207.3</v>
      </c>
      <c r="P30" s="464">
        <f>All!P32</f>
        <v>100.6</v>
      </c>
    </row>
    <row r="31" spans="2:16">
      <c r="B31" s="463">
        <f>All!B33</f>
        <v>2022</v>
      </c>
      <c r="C31" s="459">
        <f>All!C33</f>
        <v>8.6</v>
      </c>
      <c r="D31" s="459">
        <f>All!D33</f>
        <v>4.7</v>
      </c>
      <c r="E31" s="459">
        <f>All!E33</f>
        <v>72.099999999999994</v>
      </c>
      <c r="F31" s="459">
        <f>All!F33</f>
        <v>52.2</v>
      </c>
      <c r="G31" s="459">
        <f>All!G33</f>
        <v>2.9</v>
      </c>
      <c r="H31" s="459">
        <f>All!H33</f>
        <v>352.4</v>
      </c>
      <c r="I31" s="459">
        <f>All!I33</f>
        <v>178.4</v>
      </c>
      <c r="J31" s="459">
        <f>All!J33</f>
        <v>468.7</v>
      </c>
      <c r="K31" s="459">
        <f>All!K33</f>
        <v>165.9</v>
      </c>
      <c r="L31" s="459">
        <f>All!L33</f>
        <v>160</v>
      </c>
      <c r="M31" s="459">
        <f>All!M33</f>
        <v>72.900000000000006</v>
      </c>
      <c r="N31" s="459">
        <f>All!N33</f>
        <v>31.9</v>
      </c>
      <c r="O31" s="459">
        <f>All!O33</f>
        <v>1570.7</v>
      </c>
      <c r="P31" s="464">
        <f>All!P33</f>
        <v>130.9</v>
      </c>
    </row>
    <row r="32" spans="2:16">
      <c r="B32" s="463">
        <f>All!B34</f>
        <v>2023</v>
      </c>
      <c r="C32" s="459">
        <f>All!C34</f>
        <v>30.5</v>
      </c>
      <c r="D32" s="459">
        <f>All!D34</f>
        <v>0.1</v>
      </c>
      <c r="E32" s="459">
        <f>All!E34</f>
        <v>6.4</v>
      </c>
      <c r="F32" s="459">
        <f>All!F34</f>
        <v>54.6</v>
      </c>
      <c r="G32" s="459">
        <f>All!G34</f>
        <v>132.9</v>
      </c>
      <c r="H32" s="459">
        <f>All!H34</f>
        <v>138.1</v>
      </c>
      <c r="I32" s="459">
        <f>All!I34</f>
        <v>507</v>
      </c>
      <c r="J32" s="459">
        <f>All!J34</f>
        <v>225</v>
      </c>
      <c r="K32" s="459">
        <f>All!K34</f>
        <v>166.1</v>
      </c>
      <c r="L32" s="459">
        <f>All!L34</f>
        <v>39.6</v>
      </c>
      <c r="M32" s="459">
        <f>All!M34</f>
        <v>122.9</v>
      </c>
      <c r="N32" s="459">
        <f>All!N34</f>
        <v>103.5</v>
      </c>
      <c r="O32" s="459">
        <f>All!O34</f>
        <v>1526.7</v>
      </c>
      <c r="P32" s="464">
        <f>All!P34</f>
        <v>127.2</v>
      </c>
    </row>
    <row r="33" spans="2:17">
      <c r="B33" s="465" t="s">
        <v>171</v>
      </c>
      <c r="C33" s="458">
        <f>ROUND(SUM(C23:C32)/10,1)</f>
        <v>20.3</v>
      </c>
      <c r="D33" s="458">
        <f t="shared" ref="D33:P33" si="0">ROUND(SUM(D23:D32)/10,1)</f>
        <v>29.1</v>
      </c>
      <c r="E33" s="458">
        <f t="shared" si="0"/>
        <v>41.6</v>
      </c>
      <c r="F33" s="458">
        <f t="shared" si="0"/>
        <v>74.3</v>
      </c>
      <c r="G33" s="458">
        <f t="shared" si="0"/>
        <v>81.2</v>
      </c>
      <c r="H33" s="458">
        <f t="shared" si="0"/>
        <v>111.8</v>
      </c>
      <c r="I33" s="458">
        <f t="shared" si="0"/>
        <v>239.7</v>
      </c>
      <c r="J33" s="458">
        <f t="shared" si="0"/>
        <v>216</v>
      </c>
      <c r="K33" s="458">
        <f t="shared" si="0"/>
        <v>127.2</v>
      </c>
      <c r="L33" s="458">
        <f t="shared" si="0"/>
        <v>79.2</v>
      </c>
      <c r="M33" s="458">
        <f t="shared" si="0"/>
        <v>82.9</v>
      </c>
      <c r="N33" s="458">
        <f t="shared" si="0"/>
        <v>47.1</v>
      </c>
      <c r="O33" s="458">
        <f t="shared" si="0"/>
        <v>1150.4000000000001</v>
      </c>
      <c r="P33" s="466">
        <f t="shared" si="0"/>
        <v>95.9</v>
      </c>
    </row>
    <row r="34" spans="2:17" ht="17.25" thickBot="1">
      <c r="B34" s="467" t="s">
        <v>170</v>
      </c>
      <c r="C34" s="468">
        <f>All!C37</f>
        <v>24.6</v>
      </c>
      <c r="D34" s="468">
        <f>All!D37</f>
        <v>27.1</v>
      </c>
      <c r="E34" s="468">
        <f>All!E37</f>
        <v>44</v>
      </c>
      <c r="F34" s="468">
        <f>All!F37</f>
        <v>76.099999999999994</v>
      </c>
      <c r="G34" s="468">
        <f>All!G37</f>
        <v>99.2</v>
      </c>
      <c r="H34" s="468">
        <f>All!H37</f>
        <v>147.1</v>
      </c>
      <c r="I34" s="468">
        <f>All!I37</f>
        <v>278.8</v>
      </c>
      <c r="J34" s="468">
        <f>All!J37</f>
        <v>295.2</v>
      </c>
      <c r="K34" s="468">
        <f>All!K37</f>
        <v>146.5</v>
      </c>
      <c r="L34" s="468">
        <f>All!L37</f>
        <v>58.6</v>
      </c>
      <c r="M34" s="468">
        <f>All!M37</f>
        <v>58.9</v>
      </c>
      <c r="N34" s="468">
        <f>All!N37</f>
        <v>34.700000000000003</v>
      </c>
      <c r="O34" s="468">
        <f>All!O37</f>
        <v>1290.7</v>
      </c>
      <c r="P34" s="469">
        <f>All!P37</f>
        <v>107.6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1000.1</v>
      </c>
      <c r="D38" s="474" t="s">
        <v>30</v>
      </c>
      <c r="E38" s="475">
        <f>All!C53</f>
        <v>20.3</v>
      </c>
      <c r="F38" s="475">
        <f>All!D53</f>
        <v>29.1</v>
      </c>
      <c r="G38" s="475">
        <f>All!E53</f>
        <v>41.6</v>
      </c>
      <c r="H38" s="475">
        <f>All!F53</f>
        <v>74.3</v>
      </c>
      <c r="I38" s="475">
        <f>All!G53</f>
        <v>81.2</v>
      </c>
      <c r="J38" s="475">
        <f>All!H53</f>
        <v>111.8</v>
      </c>
      <c r="K38" s="475">
        <f>All!I53</f>
        <v>239.7</v>
      </c>
      <c r="L38" s="475">
        <f>All!J53</f>
        <v>216</v>
      </c>
      <c r="M38" s="475">
        <f>All!K53</f>
        <v>127.2</v>
      </c>
      <c r="N38" s="475">
        <f>All!L53</f>
        <v>79.2</v>
      </c>
      <c r="O38" s="475">
        <f>All!M53</f>
        <v>82.9</v>
      </c>
      <c r="P38" s="475">
        <f>All!N53</f>
        <v>47.1</v>
      </c>
      <c r="Q38" s="476">
        <f>All!P53</f>
        <v>95.9</v>
      </c>
    </row>
    <row r="39" spans="2:17">
      <c r="B39" s="463">
        <f t="shared" ref="B39:B48" si="1">B24</f>
        <v>2015</v>
      </c>
      <c r="C39" s="464">
        <f t="shared" ref="C39:C48" si="2">O24</f>
        <v>815.9</v>
      </c>
    </row>
    <row r="40" spans="2:17">
      <c r="B40" s="463">
        <f t="shared" si="1"/>
        <v>2016</v>
      </c>
      <c r="C40" s="464">
        <f t="shared" si="2"/>
        <v>922.1</v>
      </c>
    </row>
    <row r="41" spans="2:17">
      <c r="B41" s="463">
        <f t="shared" si="1"/>
        <v>2017</v>
      </c>
      <c r="C41" s="464">
        <f t="shared" si="2"/>
        <v>830.4</v>
      </c>
    </row>
    <row r="42" spans="2:17">
      <c r="B42" s="463">
        <f t="shared" si="1"/>
        <v>2018</v>
      </c>
      <c r="C42" s="464">
        <f t="shared" si="2"/>
        <v>1227.2</v>
      </c>
    </row>
    <row r="43" spans="2:17">
      <c r="B43" s="463">
        <f t="shared" si="1"/>
        <v>2019</v>
      </c>
      <c r="C43" s="464">
        <f t="shared" si="2"/>
        <v>915</v>
      </c>
    </row>
    <row r="44" spans="2:17">
      <c r="B44" s="463">
        <f t="shared" si="1"/>
        <v>2020</v>
      </c>
      <c r="C44" s="464">
        <f t="shared" si="2"/>
        <v>1488.7</v>
      </c>
    </row>
    <row r="45" spans="2:17">
      <c r="B45" s="463">
        <f t="shared" si="1"/>
        <v>2021</v>
      </c>
      <c r="C45" s="464">
        <f t="shared" si="2"/>
        <v>1207.3</v>
      </c>
    </row>
    <row r="46" spans="2:17">
      <c r="B46" s="463">
        <f t="shared" si="1"/>
        <v>2022</v>
      </c>
      <c r="C46" s="464">
        <f t="shared" si="2"/>
        <v>1570.7</v>
      </c>
    </row>
    <row r="47" spans="2:17">
      <c r="B47" s="463">
        <f t="shared" si="1"/>
        <v>2023</v>
      </c>
      <c r="C47" s="464">
        <f t="shared" si="2"/>
        <v>1526.7</v>
      </c>
    </row>
    <row r="48" spans="2:17" ht="17.25" thickBot="1">
      <c r="B48" s="477" t="str">
        <f t="shared" si="1"/>
        <v>10년평균</v>
      </c>
      <c r="C48" s="478">
        <f t="shared" si="2"/>
        <v>1150.4000000000001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1234.5</v>
      </c>
    </row>
    <row r="53" spans="2:3">
      <c r="B53" s="481">
        <f t="shared" ref="B53:B81" si="3">B4</f>
        <v>1995</v>
      </c>
      <c r="C53" s="482">
        <f t="shared" ref="C53:C81" si="4">O4</f>
        <v>1448.3</v>
      </c>
    </row>
    <row r="54" spans="2:3">
      <c r="B54" s="481">
        <f t="shared" si="3"/>
        <v>1996</v>
      </c>
      <c r="C54" s="482">
        <f t="shared" si="4"/>
        <v>830.1</v>
      </c>
    </row>
    <row r="55" spans="2:3">
      <c r="B55" s="481">
        <f t="shared" si="3"/>
        <v>1997</v>
      </c>
      <c r="C55" s="482">
        <f t="shared" si="4"/>
        <v>1156.9000000000001</v>
      </c>
    </row>
    <row r="56" spans="2:3">
      <c r="B56" s="481">
        <f t="shared" si="3"/>
        <v>1998</v>
      </c>
      <c r="C56" s="482">
        <f t="shared" si="4"/>
        <v>1711.6</v>
      </c>
    </row>
    <row r="57" spans="2:3">
      <c r="B57" s="481">
        <f t="shared" si="3"/>
        <v>1999</v>
      </c>
      <c r="C57" s="482">
        <f t="shared" si="4"/>
        <v>1826.6</v>
      </c>
    </row>
    <row r="58" spans="2:3">
      <c r="B58" s="481">
        <f t="shared" si="3"/>
        <v>2000</v>
      </c>
      <c r="C58" s="482">
        <f t="shared" si="4"/>
        <v>1424.8</v>
      </c>
    </row>
    <row r="59" spans="2:3">
      <c r="B59" s="481">
        <f t="shared" si="3"/>
        <v>2001</v>
      </c>
      <c r="C59" s="482">
        <f t="shared" si="4"/>
        <v>986.8</v>
      </c>
    </row>
    <row r="60" spans="2:3">
      <c r="B60" s="481">
        <f t="shared" si="3"/>
        <v>2002</v>
      </c>
      <c r="C60" s="482">
        <f t="shared" si="4"/>
        <v>1387.6</v>
      </c>
    </row>
    <row r="61" spans="2:3">
      <c r="B61" s="481">
        <f t="shared" si="3"/>
        <v>2003</v>
      </c>
      <c r="C61" s="482">
        <f t="shared" si="4"/>
        <v>1433.4</v>
      </c>
    </row>
    <row r="62" spans="2:3">
      <c r="B62" s="481">
        <f t="shared" si="3"/>
        <v>2004</v>
      </c>
      <c r="C62" s="482">
        <f t="shared" si="4"/>
        <v>1340.9</v>
      </c>
    </row>
    <row r="63" spans="2:3">
      <c r="B63" s="481">
        <f t="shared" si="3"/>
        <v>2005</v>
      </c>
      <c r="C63" s="482">
        <f t="shared" si="4"/>
        <v>1334.2</v>
      </c>
    </row>
    <row r="64" spans="2:3">
      <c r="B64" s="481">
        <f t="shared" si="3"/>
        <v>2006</v>
      </c>
      <c r="C64" s="482">
        <f t="shared" si="4"/>
        <v>1139.2</v>
      </c>
    </row>
    <row r="65" spans="2:3">
      <c r="B65" s="481">
        <f t="shared" si="3"/>
        <v>2007</v>
      </c>
      <c r="C65" s="482">
        <f t="shared" si="4"/>
        <v>1471.1</v>
      </c>
    </row>
    <row r="66" spans="2:3">
      <c r="B66" s="481">
        <f t="shared" si="3"/>
        <v>2008</v>
      </c>
      <c r="C66" s="482">
        <f t="shared" si="4"/>
        <v>909.6</v>
      </c>
    </row>
    <row r="67" spans="2:3">
      <c r="B67" s="481">
        <f t="shared" si="3"/>
        <v>2009</v>
      </c>
      <c r="C67" s="482">
        <f t="shared" si="4"/>
        <v>1074.3</v>
      </c>
    </row>
    <row r="68" spans="2:3">
      <c r="B68" s="481">
        <f t="shared" si="3"/>
        <v>2010</v>
      </c>
      <c r="C68" s="482">
        <f t="shared" si="4"/>
        <v>2141.8000000000002</v>
      </c>
    </row>
    <row r="69" spans="2:3">
      <c r="B69" s="481">
        <f t="shared" si="3"/>
        <v>2011</v>
      </c>
      <c r="C69" s="482">
        <f t="shared" si="4"/>
        <v>1704.4</v>
      </c>
    </row>
    <row r="70" spans="2:3">
      <c r="B70" s="481">
        <f t="shared" si="3"/>
        <v>2012</v>
      </c>
      <c r="C70" s="482">
        <f t="shared" si="4"/>
        <v>1642.6</v>
      </c>
    </row>
    <row r="71" spans="2:3">
      <c r="B71" s="481">
        <f t="shared" si="3"/>
        <v>2013</v>
      </c>
      <c r="C71" s="482">
        <f t="shared" si="4"/>
        <v>1018.7</v>
      </c>
    </row>
    <row r="72" spans="2:3">
      <c r="B72" s="481">
        <f t="shared" si="3"/>
        <v>2014</v>
      </c>
      <c r="C72" s="482">
        <f t="shared" si="4"/>
        <v>1000.1</v>
      </c>
    </row>
    <row r="73" spans="2:3">
      <c r="B73" s="481">
        <f t="shared" si="3"/>
        <v>2015</v>
      </c>
      <c r="C73" s="482">
        <f t="shared" si="4"/>
        <v>815.9</v>
      </c>
    </row>
    <row r="74" spans="2:3">
      <c r="B74" s="481">
        <f t="shared" si="3"/>
        <v>2016</v>
      </c>
      <c r="C74" s="482">
        <f t="shared" si="4"/>
        <v>922.1</v>
      </c>
    </row>
    <row r="75" spans="2:3">
      <c r="B75" s="481">
        <f t="shared" si="3"/>
        <v>2017</v>
      </c>
      <c r="C75" s="482">
        <f t="shared" si="4"/>
        <v>830.4</v>
      </c>
    </row>
    <row r="76" spans="2:3">
      <c r="B76" s="481">
        <f t="shared" si="3"/>
        <v>2018</v>
      </c>
      <c r="C76" s="482">
        <f t="shared" si="4"/>
        <v>1227.2</v>
      </c>
    </row>
    <row r="77" spans="2:3">
      <c r="B77" s="481">
        <f t="shared" si="3"/>
        <v>2019</v>
      </c>
      <c r="C77" s="482">
        <f t="shared" si="4"/>
        <v>915</v>
      </c>
    </row>
    <row r="78" spans="2:3">
      <c r="B78" s="481">
        <f>B29</f>
        <v>2020</v>
      </c>
      <c r="C78" s="482">
        <f t="shared" si="4"/>
        <v>1488.7</v>
      </c>
    </row>
    <row r="79" spans="2:3">
      <c r="B79" s="481">
        <f t="shared" si="3"/>
        <v>2021</v>
      </c>
      <c r="C79" s="482">
        <f t="shared" si="4"/>
        <v>1207.3</v>
      </c>
    </row>
    <row r="80" spans="2:3">
      <c r="B80" s="481">
        <f t="shared" si="3"/>
        <v>2022</v>
      </c>
      <c r="C80" s="482">
        <f t="shared" si="4"/>
        <v>1570.7</v>
      </c>
    </row>
    <row r="81" spans="2:3">
      <c r="B81" s="481">
        <f t="shared" si="3"/>
        <v>2023</v>
      </c>
      <c r="C81" s="482">
        <f t="shared" si="4"/>
        <v>1526.7</v>
      </c>
    </row>
    <row r="82" spans="2:3" ht="17.25" thickBot="1">
      <c r="B82" s="474" t="str">
        <f>B34</f>
        <v>30년평균</v>
      </c>
      <c r="C82" s="483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서산기상청</v>
      </c>
      <c r="C2" s="536" t="s">
        <v>323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802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7</v>
      </c>
      <c r="D5" s="459" t="s">
        <v>801</v>
      </c>
      <c r="E5" s="459">
        <f>All!E41</f>
        <v>31.2</v>
      </c>
      <c r="F5" s="459">
        <f>All!F41</f>
        <v>85.6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106.7</v>
      </c>
      <c r="L5" s="459">
        <v>5</v>
      </c>
      <c r="M5" s="459">
        <f>All!M41</f>
        <v>37.799999999999997</v>
      </c>
      <c r="N5" s="464">
        <f>All!N41</f>
        <v>81.599999999999994</v>
      </c>
      <c r="O5" s="540">
        <f>All!O41</f>
        <v>1000.1</v>
      </c>
      <c r="P5" s="464">
        <f>All!P41</f>
        <v>83.3</v>
      </c>
    </row>
    <row r="6" spans="2:16" ht="22.15" customHeight="1">
      <c r="B6" s="616">
        <f>All!B42</f>
        <v>2015</v>
      </c>
      <c r="C6" s="539">
        <f>All!C42</f>
        <v>20.7</v>
      </c>
      <c r="D6" s="459">
        <f>All!D42</f>
        <v>23.1</v>
      </c>
      <c r="E6" s="459">
        <f>All!E42</f>
        <v>20.6</v>
      </c>
      <c r="F6" s="459">
        <f>All!F42</f>
        <v>116.8</v>
      </c>
      <c r="G6" s="459">
        <f>All!G42</f>
        <v>40.6</v>
      </c>
      <c r="H6" s="459">
        <f>All!H42</f>
        <v>64.099999999999994</v>
      </c>
      <c r="I6" s="459">
        <f>All!I42</f>
        <v>158.5</v>
      </c>
      <c r="J6" s="459">
        <f>All!J42</f>
        <v>63.1</v>
      </c>
      <c r="K6" s="459">
        <f>All!K42</f>
        <v>15.1</v>
      </c>
      <c r="L6" s="459">
        <f>All!L42</f>
        <v>73.099999999999994</v>
      </c>
      <c r="M6" s="459">
        <f>All!M42</f>
        <v>156.6</v>
      </c>
      <c r="N6" s="464">
        <f>All!N42</f>
        <v>63.6</v>
      </c>
      <c r="O6" s="541">
        <f>All!O42</f>
        <v>815.9</v>
      </c>
      <c r="P6" s="464">
        <f>All!P42</f>
        <v>68</v>
      </c>
    </row>
    <row r="7" spans="2:16" ht="22.15" customHeight="1">
      <c r="B7" s="615">
        <f>All!B43</f>
        <v>2016</v>
      </c>
      <c r="C7" s="539">
        <f>All!C43</f>
        <v>21.9</v>
      </c>
      <c r="D7" s="459">
        <f>All!D43</f>
        <v>61.7</v>
      </c>
      <c r="E7" s="459">
        <f>All!E43</f>
        <v>24.3</v>
      </c>
      <c r="F7" s="459">
        <f>All!F43</f>
        <v>87</v>
      </c>
      <c r="G7" s="459">
        <f>All!G43</f>
        <v>153.69999999999999</v>
      </c>
      <c r="H7" s="459">
        <f>All!H43</f>
        <v>36.799999999999997</v>
      </c>
      <c r="I7" s="459">
        <f>All!I43</f>
        <v>295.60000000000002</v>
      </c>
      <c r="J7" s="459">
        <f>All!J43</f>
        <v>34</v>
      </c>
      <c r="K7" s="459">
        <f>All!K43</f>
        <v>53.1</v>
      </c>
      <c r="L7" s="459">
        <f>All!L43</f>
        <v>73.8</v>
      </c>
      <c r="M7" s="459">
        <f>All!M43</f>
        <v>17.5</v>
      </c>
      <c r="N7" s="464">
        <f>All!N43</f>
        <v>62.7</v>
      </c>
      <c r="O7" s="540">
        <f>All!O43</f>
        <v>922.1</v>
      </c>
      <c r="P7" s="464">
        <f>All!P43</f>
        <v>76.8</v>
      </c>
    </row>
    <row r="8" spans="2:16" ht="22.15" customHeight="1">
      <c r="B8" s="615">
        <f>All!B44</f>
        <v>2017</v>
      </c>
      <c r="C8" s="539">
        <f>All!C44</f>
        <v>21.3</v>
      </c>
      <c r="D8" s="459">
        <f>All!D44</f>
        <v>31.4</v>
      </c>
      <c r="E8" s="459">
        <f>All!E44</f>
        <v>4.8</v>
      </c>
      <c r="F8" s="459">
        <f>All!F44</f>
        <v>38.9</v>
      </c>
      <c r="G8" s="459">
        <f>All!G44</f>
        <v>27.9</v>
      </c>
      <c r="H8" s="459">
        <f>All!H44</f>
        <v>23.3</v>
      </c>
      <c r="I8" s="459">
        <f>All!I44</f>
        <v>327.8</v>
      </c>
      <c r="J8" s="459">
        <f>All!J44</f>
        <v>231.3</v>
      </c>
      <c r="K8" s="459">
        <f>All!K44</f>
        <v>37.6</v>
      </c>
      <c r="L8" s="459">
        <f>All!L44</f>
        <v>25.5</v>
      </c>
      <c r="M8" s="459">
        <f>All!M44</f>
        <v>24.7</v>
      </c>
      <c r="N8" s="464">
        <f>All!N44</f>
        <v>35.9</v>
      </c>
      <c r="O8" s="540">
        <f>All!O44</f>
        <v>830.4</v>
      </c>
      <c r="P8" s="464">
        <f>All!P44</f>
        <v>69.2</v>
      </c>
    </row>
    <row r="9" spans="2:16" ht="22.15" customHeight="1">
      <c r="B9" s="615">
        <f>All!B45</f>
        <v>2018</v>
      </c>
      <c r="C9" s="539">
        <f>All!C45</f>
        <v>21</v>
      </c>
      <c r="D9" s="459">
        <f>All!D45</f>
        <v>40.5</v>
      </c>
      <c r="E9" s="459">
        <f>All!E45</f>
        <v>76.599999999999994</v>
      </c>
      <c r="F9" s="459">
        <f>All!F45</f>
        <v>132.80000000000001</v>
      </c>
      <c r="G9" s="459">
        <f>All!G45</f>
        <v>147.69999999999999</v>
      </c>
      <c r="H9" s="459">
        <f>All!H45</f>
        <v>162.30000000000001</v>
      </c>
      <c r="I9" s="459">
        <f>All!I45</f>
        <v>152.9</v>
      </c>
      <c r="J9" s="459">
        <f>All!J45</f>
        <v>156.80000000000001</v>
      </c>
      <c r="K9" s="459">
        <f>All!K45</f>
        <v>82.7</v>
      </c>
      <c r="L9" s="459">
        <f>All!L45</f>
        <v>153.19999999999999</v>
      </c>
      <c r="M9" s="459">
        <f>All!M45</f>
        <v>73.900000000000006</v>
      </c>
      <c r="N9" s="464">
        <f>All!N45</f>
        <v>26.8</v>
      </c>
      <c r="O9" s="540">
        <f>All!O45</f>
        <v>1227.2</v>
      </c>
      <c r="P9" s="464">
        <f>All!P45</f>
        <v>102.3</v>
      </c>
    </row>
    <row r="10" spans="2:16" ht="22.15" customHeight="1">
      <c r="B10" s="615">
        <f>All!B46</f>
        <v>2019</v>
      </c>
      <c r="C10" s="539">
        <f>All!C46</f>
        <v>1.1000000000000001</v>
      </c>
      <c r="D10" s="459">
        <f>All!D46</f>
        <v>30.2</v>
      </c>
      <c r="E10" s="459">
        <f>All!E46</f>
        <v>43.7</v>
      </c>
      <c r="F10" s="459">
        <f>All!F46</f>
        <v>43.9</v>
      </c>
      <c r="G10" s="459">
        <f>All!G46</f>
        <v>20.100000000000001</v>
      </c>
      <c r="H10" s="459">
        <f>All!H46</f>
        <v>56.3</v>
      </c>
      <c r="I10" s="459">
        <f>All!I46</f>
        <v>174.5</v>
      </c>
      <c r="J10" s="459">
        <f>All!J46</f>
        <v>121.1</v>
      </c>
      <c r="K10" s="459">
        <f>All!K46</f>
        <v>181.1</v>
      </c>
      <c r="L10" s="459">
        <f>All!L46</f>
        <v>81</v>
      </c>
      <c r="M10" s="459">
        <f>All!M46</f>
        <v>124.6</v>
      </c>
      <c r="N10" s="464">
        <f>All!N46</f>
        <v>37.4</v>
      </c>
      <c r="O10" s="540">
        <f>All!O46</f>
        <v>915</v>
      </c>
      <c r="P10" s="464">
        <f>All!P46</f>
        <v>76.3</v>
      </c>
    </row>
    <row r="11" spans="2:16" ht="22.15" customHeight="1">
      <c r="B11" s="615">
        <f>All!B47</f>
        <v>2020</v>
      </c>
      <c r="C11" s="539">
        <f>All!C47</f>
        <v>46</v>
      </c>
      <c r="D11" s="459">
        <f>All!D47</f>
        <v>72.3</v>
      </c>
      <c r="E11" s="459">
        <f>All!E47</f>
        <v>23</v>
      </c>
      <c r="F11" s="459">
        <f>All!F47</f>
        <v>20.7</v>
      </c>
      <c r="G11" s="459">
        <f>All!G47</f>
        <v>101.3</v>
      </c>
      <c r="H11" s="459">
        <f>All!H47</f>
        <v>144</v>
      </c>
      <c r="I11" s="459">
        <f>All!I47</f>
        <v>329.4</v>
      </c>
      <c r="J11" s="459">
        <f>All!J47</f>
        <v>400</v>
      </c>
      <c r="K11" s="459">
        <f>All!K47</f>
        <v>257.7</v>
      </c>
      <c r="L11" s="459">
        <f>All!L47</f>
        <v>12.6</v>
      </c>
      <c r="M11" s="459">
        <f>All!M47</f>
        <v>72</v>
      </c>
      <c r="N11" s="464">
        <f>All!N47</f>
        <v>9.6999999999999993</v>
      </c>
      <c r="O11" s="540">
        <f>All!O47</f>
        <v>1488.7</v>
      </c>
      <c r="P11" s="464">
        <f>All!P47</f>
        <v>124.1</v>
      </c>
    </row>
    <row r="12" spans="2:16" ht="22.15" customHeight="1">
      <c r="B12" s="615">
        <f>All!B48</f>
        <v>2021</v>
      </c>
      <c r="C12" s="539">
        <f>All!C48</f>
        <v>25.3</v>
      </c>
      <c r="D12" s="459">
        <f>All!D48</f>
        <v>9.6</v>
      </c>
      <c r="E12" s="459">
        <f>All!E48</f>
        <v>112.8</v>
      </c>
      <c r="F12" s="459">
        <f>All!F48</f>
        <v>110.6</v>
      </c>
      <c r="G12" s="459">
        <f>All!G48</f>
        <v>132.30000000000001</v>
      </c>
      <c r="H12" s="459">
        <f>All!H48</f>
        <v>70.900000000000006</v>
      </c>
      <c r="I12" s="459">
        <f>All!I48</f>
        <v>121.6</v>
      </c>
      <c r="J12" s="459">
        <f>All!J48</f>
        <v>217.8</v>
      </c>
      <c r="K12" s="459">
        <f>All!K48</f>
        <v>206</v>
      </c>
      <c r="L12" s="459">
        <f>All!L48</f>
        <v>55.9</v>
      </c>
      <c r="M12" s="459">
        <f>All!M48</f>
        <v>126.2</v>
      </c>
      <c r="N12" s="464">
        <f>All!N48</f>
        <v>18.3</v>
      </c>
      <c r="O12" s="540">
        <f>All!O48</f>
        <v>1207.3</v>
      </c>
      <c r="P12" s="464">
        <f>All!P48</f>
        <v>100.6</v>
      </c>
    </row>
    <row r="13" spans="2:16" ht="22.15" customHeight="1">
      <c r="B13" s="616">
        <f>All!B49</f>
        <v>2022</v>
      </c>
      <c r="C13" s="539">
        <f>All!C49</f>
        <v>8.6</v>
      </c>
      <c r="D13" s="459">
        <f>All!D49</f>
        <v>4.7</v>
      </c>
      <c r="E13" s="459">
        <f>All!E49</f>
        <v>72.099999999999994</v>
      </c>
      <c r="F13" s="459">
        <f>All!F49</f>
        <v>52.2</v>
      </c>
      <c r="G13" s="459">
        <f>All!G49</f>
        <v>2.9</v>
      </c>
      <c r="H13" s="459">
        <f>All!H49</f>
        <v>352.4</v>
      </c>
      <c r="I13" s="459">
        <f>All!I49</f>
        <v>178.4</v>
      </c>
      <c r="J13" s="459">
        <f>All!J49</f>
        <v>468.7</v>
      </c>
      <c r="K13" s="459">
        <f>All!K49</f>
        <v>165.9</v>
      </c>
      <c r="L13" s="459">
        <f>All!L49</f>
        <v>160</v>
      </c>
      <c r="M13" s="459">
        <f>All!M49</f>
        <v>72.900000000000006</v>
      </c>
      <c r="N13" s="464">
        <f>All!N49</f>
        <v>31.9</v>
      </c>
      <c r="O13" s="541">
        <f>All!O49</f>
        <v>1570.7</v>
      </c>
      <c r="P13" s="464">
        <f>All!P49</f>
        <v>130.9</v>
      </c>
    </row>
    <row r="14" spans="2:16" ht="22.15" customHeight="1" thickBot="1">
      <c r="B14" s="617">
        <f>All!B50</f>
        <v>2023</v>
      </c>
      <c r="C14" s="542">
        <f>All!C50</f>
        <v>30.5</v>
      </c>
      <c r="D14" s="543">
        <f>All!D50</f>
        <v>0.1</v>
      </c>
      <c r="E14" s="543">
        <f>All!E50</f>
        <v>6.4</v>
      </c>
      <c r="F14" s="543">
        <f>All!F50</f>
        <v>54.6</v>
      </c>
      <c r="G14" s="543">
        <f>All!G50</f>
        <v>132.9</v>
      </c>
      <c r="H14" s="543">
        <f>All!H50</f>
        <v>138.1</v>
      </c>
      <c r="I14" s="543">
        <f>All!I50</f>
        <v>507</v>
      </c>
      <c r="J14" s="543">
        <f>All!J50</f>
        <v>225</v>
      </c>
      <c r="K14" s="543">
        <f>All!K50</f>
        <v>166.1</v>
      </c>
      <c r="L14" s="543">
        <f>All!L50</f>
        <v>39.6</v>
      </c>
      <c r="M14" s="543">
        <f>All!M50</f>
        <v>122.9</v>
      </c>
      <c r="N14" s="478">
        <f>All!N50</f>
        <v>103.5</v>
      </c>
      <c r="O14" s="613">
        <f>All!O50</f>
        <v>1526.7</v>
      </c>
      <c r="P14" s="478">
        <f>All!P50</f>
        <v>127.2</v>
      </c>
    </row>
    <row r="15" spans="2:16" ht="22.15" customHeight="1">
      <c r="B15" s="618" t="s">
        <v>21</v>
      </c>
      <c r="C15" s="545">
        <f>All!C51</f>
        <v>46</v>
      </c>
      <c r="D15" s="546">
        <f>All!D51</f>
        <v>72.3</v>
      </c>
      <c r="E15" s="546">
        <f>All!E51</f>
        <v>112.8</v>
      </c>
      <c r="F15" s="546">
        <f>All!F51</f>
        <v>132.80000000000001</v>
      </c>
      <c r="G15" s="546">
        <f>All!G51</f>
        <v>153.69999999999999</v>
      </c>
      <c r="H15" s="546">
        <f>All!H51</f>
        <v>352.4</v>
      </c>
      <c r="I15" s="546">
        <f>All!I51</f>
        <v>507</v>
      </c>
      <c r="J15" s="546">
        <f>All!J51</f>
        <v>468.7</v>
      </c>
      <c r="K15" s="546">
        <f>All!K51</f>
        <v>257.7</v>
      </c>
      <c r="L15" s="546">
        <f>All!L51</f>
        <v>160</v>
      </c>
      <c r="M15" s="546">
        <f>All!M51</f>
        <v>156.6</v>
      </c>
      <c r="N15" s="547">
        <f>All!N51</f>
        <v>103.5</v>
      </c>
      <c r="O15" s="548">
        <f>All!O51</f>
        <v>1570.7</v>
      </c>
      <c r="P15" s="547">
        <f>All!P51</f>
        <v>130.9</v>
      </c>
    </row>
    <row r="16" spans="2:16" ht="22.15" customHeight="1">
      <c r="B16" s="615" t="s">
        <v>22</v>
      </c>
      <c r="C16" s="539">
        <f>All!C52</f>
        <v>1.1000000000000001</v>
      </c>
      <c r="D16" s="459">
        <f>All!D52</f>
        <v>0.1</v>
      </c>
      <c r="E16" s="459">
        <f>All!E52</f>
        <v>4.8</v>
      </c>
      <c r="F16" s="459">
        <f>All!F52</f>
        <v>20.7</v>
      </c>
      <c r="G16" s="459">
        <f>All!G52</f>
        <v>2.9</v>
      </c>
      <c r="H16" s="459">
        <f>All!H52</f>
        <v>23.3</v>
      </c>
      <c r="I16" s="459">
        <f>All!I52</f>
        <v>121.6</v>
      </c>
      <c r="J16" s="459">
        <f>All!J52</f>
        <v>34</v>
      </c>
      <c r="K16" s="459">
        <f>All!K52</f>
        <v>15.1</v>
      </c>
      <c r="L16" s="459">
        <f>All!L52</f>
        <v>12.6</v>
      </c>
      <c r="M16" s="459">
        <f>All!M52</f>
        <v>17.5</v>
      </c>
      <c r="N16" s="464">
        <f>All!N52</f>
        <v>9.6999999999999993</v>
      </c>
      <c r="O16" s="541">
        <f>All!O52</f>
        <v>815.9</v>
      </c>
      <c r="P16" s="464">
        <f>All!P52</f>
        <v>68</v>
      </c>
    </row>
    <row r="17" spans="2:16" ht="22.15" customHeight="1" thickBot="1">
      <c r="B17" s="617" t="s">
        <v>20</v>
      </c>
      <c r="C17" s="542">
        <f>All!C53</f>
        <v>20.3</v>
      </c>
      <c r="D17" s="543">
        <f>All!D53</f>
        <v>29.1</v>
      </c>
      <c r="E17" s="549">
        <f>All!E53</f>
        <v>41.6</v>
      </c>
      <c r="F17" s="543">
        <f>All!F53</f>
        <v>74.3</v>
      </c>
      <c r="G17" s="550">
        <f>All!G53</f>
        <v>81.2</v>
      </c>
      <c r="H17" s="550">
        <f>All!H53</f>
        <v>111.8</v>
      </c>
      <c r="I17" s="550">
        <f>All!I53</f>
        <v>239.7</v>
      </c>
      <c r="J17" s="550">
        <f>All!J53</f>
        <v>216</v>
      </c>
      <c r="K17" s="550">
        <f>All!K53</f>
        <v>127.2</v>
      </c>
      <c r="L17" s="543">
        <f>All!L53</f>
        <v>79.2</v>
      </c>
      <c r="M17" s="543">
        <f>All!M53</f>
        <v>82.9</v>
      </c>
      <c r="N17" s="478">
        <f>All!N53</f>
        <v>47.1</v>
      </c>
      <c r="O17" s="544">
        <f>All!O53</f>
        <v>1150.4000000000001</v>
      </c>
      <c r="P17" s="551">
        <f>All!P53</f>
        <v>95.9</v>
      </c>
    </row>
    <row r="18" spans="2:16" ht="29.25" customHeight="1" thickBot="1">
      <c r="B18" s="619" t="s">
        <v>23</v>
      </c>
      <c r="C18" s="552">
        <f>All!C37</f>
        <v>24.6</v>
      </c>
      <c r="D18" s="553">
        <f>All!D37</f>
        <v>27.1</v>
      </c>
      <c r="E18" s="553">
        <f>All!E37</f>
        <v>44</v>
      </c>
      <c r="F18" s="553">
        <f>All!F37</f>
        <v>76.099999999999994</v>
      </c>
      <c r="G18" s="553">
        <f>All!G37</f>
        <v>99.2</v>
      </c>
      <c r="H18" s="553">
        <f>All!H37</f>
        <v>147.1</v>
      </c>
      <c r="I18" s="554">
        <f>All!I37</f>
        <v>278.8</v>
      </c>
      <c r="J18" s="554">
        <f>All!J37</f>
        <v>295.2</v>
      </c>
      <c r="K18" s="554">
        <f>All!K37</f>
        <v>146.5</v>
      </c>
      <c r="L18" s="554">
        <f>All!L37</f>
        <v>58.6</v>
      </c>
      <c r="M18" s="554">
        <f>All!M37</f>
        <v>58.9</v>
      </c>
      <c r="N18" s="555">
        <f>All!N37</f>
        <v>34.700000000000003</v>
      </c>
      <c r="O18" s="556">
        <f>All!O37</f>
        <v>1290.7</v>
      </c>
      <c r="P18" s="555">
        <f>All!P37</f>
        <v>107.6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775.90000000000009</v>
      </c>
      <c r="F20" s="560"/>
    </row>
    <row r="21" spans="2:16">
      <c r="B21" s="561" t="s">
        <v>163</v>
      </c>
      <c r="D21" s="562">
        <f>O17</f>
        <v>1150.4000000000001</v>
      </c>
    </row>
    <row r="22" spans="2:16" ht="17.25" thickBot="1">
      <c r="B22" s="563"/>
      <c r="C22" s="564"/>
      <c r="D22" s="565">
        <f>D20/D21</f>
        <v>0.67446105702364401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815.9</v>
      </c>
      <c r="D24" s="568"/>
      <c r="E24" s="480"/>
      <c r="H24" s="569" t="s">
        <v>181</v>
      </c>
      <c r="I24" s="668" t="s">
        <v>192</v>
      </c>
      <c r="J24" s="669"/>
      <c r="K24" s="624">
        <f>INDEX(Location[recharge], MATCH(I24,Location[name],0))</f>
        <v>0.17100000000000001</v>
      </c>
      <c r="L24" s="625">
        <f>INDEX(Location[ratio], MATCH(I24,Location[name],0))</f>
        <v>0.72</v>
      </c>
    </row>
    <row r="25" spans="2:16" ht="21.95" customHeight="1">
      <c r="B25" s="570" t="s">
        <v>25</v>
      </c>
      <c r="C25" s="155">
        <f>O18</f>
        <v>1290.7</v>
      </c>
      <c r="D25" s="479"/>
      <c r="E25" s="482"/>
      <c r="H25" s="569" t="s">
        <v>182</v>
      </c>
      <c r="I25" s="670" t="s">
        <v>191</v>
      </c>
      <c r="J25" s="671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0.72</v>
      </c>
      <c r="D26" s="572">
        <f>L25</f>
        <v>0.68100000000000005</v>
      </c>
      <c r="E26" s="573">
        <f>L26</f>
        <v>0.72</v>
      </c>
      <c r="H26" s="569" t="s">
        <v>183</v>
      </c>
      <c r="I26" s="672" t="s">
        <v>243</v>
      </c>
      <c r="J26" s="673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7530040.8876</v>
      </c>
      <c r="D27" s="479"/>
      <c r="E27" s="575"/>
    </row>
    <row r="28" spans="2:16" ht="21.95" customHeight="1" thickBot="1">
      <c r="B28" s="576" t="s">
        <v>27</v>
      </c>
      <c r="C28" s="577">
        <f>K24</f>
        <v>0.17100000000000001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22.070970000000003</v>
      </c>
      <c r="D30" s="582">
        <f>max*rf_2/10</f>
        <v>19.618639999999999</v>
      </c>
      <c r="E30" s="583">
        <f>max*rf_3/10</f>
        <v>22.070970000000003</v>
      </c>
    </row>
    <row r="31" spans="2:16" ht="22.15" customHeight="1" thickBot="1">
      <c r="E31" s="580"/>
      <c r="I31" s="584" t="s">
        <v>333</v>
      </c>
    </row>
    <row r="32" spans="2:16" ht="25.5" customHeight="1" thickBot="1">
      <c r="B32" s="632" t="s">
        <v>803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827</v>
      </c>
      <c r="H5" s="125" t="s">
        <v>828</v>
      </c>
      <c r="I5" s="125" t="s">
        <v>829</v>
      </c>
      <c r="J5" s="125" t="s">
        <v>830</v>
      </c>
      <c r="K5" s="126" t="s">
        <v>831</v>
      </c>
    </row>
    <row r="6" spans="3:11" ht="97.5" customHeight="1">
      <c r="C6" s="94"/>
      <c r="D6" s="125"/>
      <c r="E6" s="125"/>
      <c r="F6" s="125"/>
      <c r="G6" s="125"/>
      <c r="H6" s="125"/>
      <c r="I6" s="125"/>
      <c r="J6" s="125"/>
      <c r="K6" s="126"/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804</v>
      </c>
      <c r="AQ4" s="634" t="s">
        <v>805</v>
      </c>
    </row>
    <row r="5" spans="1:51" ht="23.1" customHeight="1">
      <c r="A5" s="94" t="s">
        <v>85</v>
      </c>
      <c r="B5" s="121">
        <v>9.4700000000000006</v>
      </c>
      <c r="C5" s="121">
        <v>38.32</v>
      </c>
      <c r="D5" s="129">
        <v>11.428976217156439</v>
      </c>
      <c r="E5" s="129">
        <v>26.891023782843561</v>
      </c>
      <c r="F5" s="121">
        <v>28.85</v>
      </c>
      <c r="G5" s="121">
        <v>200</v>
      </c>
      <c r="H5" s="121">
        <v>0.1</v>
      </c>
      <c r="I5" s="121">
        <v>112</v>
      </c>
      <c r="J5" s="121">
        <v>11</v>
      </c>
      <c r="K5" s="121">
        <v>250</v>
      </c>
      <c r="L5" s="129">
        <v>5.5223541898971753</v>
      </c>
      <c r="M5" s="121">
        <v>7.5</v>
      </c>
      <c r="N5" s="121">
        <v>101</v>
      </c>
      <c r="O5" s="128">
        <v>6.8250000000000002</v>
      </c>
      <c r="P5" s="128">
        <v>5.0209999999999999</v>
      </c>
      <c r="Q5" s="128">
        <v>5.923</v>
      </c>
      <c r="R5" s="121">
        <v>8.0890000000000004E-2</v>
      </c>
      <c r="S5" s="130">
        <v>2.544E-4</v>
      </c>
      <c r="T5" s="121">
        <v>5.8639999999999998E-2</v>
      </c>
      <c r="U5" s="129">
        <v>0.54159999999999997</v>
      </c>
      <c r="V5" s="129">
        <v>147</v>
      </c>
      <c r="W5" s="129">
        <v>180</v>
      </c>
      <c r="X5" s="129">
        <v>168.4</v>
      </c>
      <c r="Y5" s="128">
        <v>-2.8810408695006231</v>
      </c>
      <c r="Z5" s="128">
        <v>1.7829999999999999</v>
      </c>
      <c r="AA5" s="403">
        <v>287</v>
      </c>
      <c r="AB5" s="129">
        <v>259.64425528316764</v>
      </c>
      <c r="AC5" s="129">
        <v>157</v>
      </c>
      <c r="AD5" s="129">
        <v>12.07</v>
      </c>
      <c r="AE5" s="129">
        <v>25.67</v>
      </c>
      <c r="AF5" s="121">
        <v>9.6100000000000005E-5</v>
      </c>
      <c r="AG5" s="121">
        <v>6.1497900000000001E-2</v>
      </c>
      <c r="AH5" s="197">
        <v>0.90243902439024393</v>
      </c>
      <c r="AI5" s="128">
        <v>1.855</v>
      </c>
      <c r="AJ5" s="128">
        <v>5.0000000000000001E-4</v>
      </c>
      <c r="AK5" s="121" t="s">
        <v>262</v>
      </c>
      <c r="AL5" s="121">
        <v>12.8752</v>
      </c>
      <c r="AM5" s="121">
        <v>12.8794</v>
      </c>
      <c r="AN5" s="121">
        <v>1.2719</v>
      </c>
      <c r="AO5" s="121" t="s">
        <v>826</v>
      </c>
      <c r="AP5" s="121" t="s">
        <v>803</v>
      </c>
      <c r="AQ5" s="635">
        <v>32.1</v>
      </c>
    </row>
    <row r="6" spans="1:51" ht="23.1" customHeight="1">
      <c r="A6" s="94"/>
      <c r="B6" s="121"/>
      <c r="C6" s="121"/>
      <c r="D6" s="129"/>
      <c r="E6" s="129"/>
      <c r="F6" s="121"/>
      <c r="G6" s="121"/>
      <c r="H6" s="121"/>
      <c r="I6" s="121"/>
      <c r="J6" s="121"/>
      <c r="K6" s="121"/>
      <c r="L6" s="129"/>
      <c r="M6" s="121"/>
      <c r="N6" s="121"/>
      <c r="O6" s="128"/>
      <c r="P6" s="128"/>
      <c r="Q6" s="128"/>
      <c r="R6" s="121"/>
      <c r="S6" s="130"/>
      <c r="T6" s="121"/>
      <c r="U6" s="129"/>
      <c r="V6" s="129"/>
      <c r="W6" s="129"/>
      <c r="X6" s="129"/>
      <c r="Y6" s="128"/>
      <c r="Z6" s="128"/>
      <c r="AA6" s="403"/>
      <c r="AB6" s="129"/>
      <c r="AC6" s="129"/>
      <c r="AD6" s="129"/>
      <c r="AE6" s="129"/>
      <c r="AF6" s="121"/>
      <c r="AG6" s="121"/>
      <c r="AH6" s="197"/>
      <c r="AI6" s="128"/>
      <c r="AJ6" s="128"/>
      <c r="AK6" s="121"/>
      <c r="AL6" s="121"/>
      <c r="AM6" s="121"/>
      <c r="AN6" s="121"/>
      <c r="AO6" s="121"/>
      <c r="AP6" s="121" t="s">
        <v>803</v>
      </c>
      <c r="AQ6" s="635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12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254</v>
      </c>
      <c r="F7" s="174">
        <v>830.84000000000128</v>
      </c>
      <c r="G7" s="174">
        <v>141</v>
      </c>
      <c r="H7" s="174">
        <v>184.99000000000052</v>
      </c>
      <c r="I7" s="174">
        <v>113</v>
      </c>
      <c r="J7" s="174">
        <v>645.85000000000082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229</v>
      </c>
      <c r="J1" s="344" t="s">
        <v>618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287</v>
      </c>
      <c r="I3" s="244">
        <v>259.64425528316764</v>
      </c>
      <c r="J3" s="243">
        <v>250</v>
      </c>
      <c r="K3" s="338">
        <v>0.90243902439024393</v>
      </c>
      <c r="M3" s="358" t="s">
        <v>205</v>
      </c>
      <c r="N3" s="346">
        <f>MIN(K3:K35)</f>
        <v>0.90243902439024393</v>
      </c>
      <c r="O3" s="347">
        <f>MAX(K3:K35)</f>
        <v>0.90243902439024393</v>
      </c>
      <c r="Q3" s="339" t="s">
        <v>226</v>
      </c>
      <c r="R3" s="340">
        <v>9.6100000000000005E-5</v>
      </c>
      <c r="S3" s="341">
        <v>6.1497900000000001E-2</v>
      </c>
    </row>
    <row r="4" spans="7:19" ht="20.100000000000001" customHeight="1">
      <c r="G4" s="203"/>
      <c r="H4" s="204"/>
      <c r="I4" s="220"/>
      <c r="J4" s="204"/>
      <c r="K4" s="224"/>
      <c r="M4" s="358" t="s">
        <v>212</v>
      </c>
      <c r="N4" s="348">
        <f>MIN(I3:I35)</f>
        <v>259.64425528316764</v>
      </c>
      <c r="O4" s="349">
        <f>MAX(I3:I35)</f>
        <v>259.64425528316764</v>
      </c>
      <c r="Q4" s="226"/>
      <c r="R4" s="227"/>
      <c r="S4" s="228"/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250</v>
      </c>
      <c r="O5" s="351">
        <f>MAX(J3:J35)</f>
        <v>250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617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236</v>
      </c>
      <c r="H42" s="361"/>
      <c r="I42" s="362"/>
    </row>
    <row r="43" spans="6:19" ht="15.95" customHeight="1">
      <c r="F43" s="678" t="s">
        <v>226</v>
      </c>
      <c r="G43" s="674">
        <v>157</v>
      </c>
      <c r="H43" s="337">
        <v>25.67</v>
      </c>
      <c r="I43" s="676">
        <v>259.64425528316764</v>
      </c>
    </row>
    <row r="44" spans="6:19" ht="15.95" customHeight="1">
      <c r="F44" s="679"/>
      <c r="G44" s="675"/>
      <c r="H44" s="243">
        <v>12.07</v>
      </c>
      <c r="I44" s="677"/>
      <c r="K44" s="293"/>
    </row>
    <row r="45" spans="6:19" ht="15.95" customHeight="1">
      <c r="F45" s="680"/>
      <c r="G45" s="681"/>
      <c r="H45" s="204"/>
      <c r="I45" s="682"/>
      <c r="K45" s="293"/>
    </row>
    <row r="46" spans="6:19" ht="15.95" customHeight="1">
      <c r="F46" s="680"/>
      <c r="G46" s="681"/>
      <c r="H46" s="204"/>
      <c r="I46" s="682"/>
      <c r="K46" s="293"/>
    </row>
    <row r="47" spans="6:19" ht="15.95" customHeight="1">
      <c r="F47" s="679"/>
      <c r="G47" s="675"/>
      <c r="H47" s="243"/>
      <c r="I47" s="677"/>
      <c r="K47" s="293"/>
    </row>
    <row r="48" spans="6:19" ht="15.95" customHeight="1">
      <c r="F48" s="679"/>
      <c r="G48" s="675"/>
      <c r="H48" s="243"/>
      <c r="I48" s="677"/>
      <c r="K48" s="293"/>
    </row>
    <row r="49" spans="6:11" ht="15.95" customHeight="1">
      <c r="F49" s="680"/>
      <c r="G49" s="681"/>
      <c r="H49" s="204"/>
      <c r="I49" s="682"/>
      <c r="K49" s="293"/>
    </row>
    <row r="50" spans="6:11" ht="15.95" customHeight="1">
      <c r="F50" s="680"/>
      <c r="G50" s="681"/>
      <c r="H50" s="204"/>
      <c r="I50" s="682"/>
      <c r="K50" s="293"/>
    </row>
    <row r="51" spans="6:11" ht="15.95" customHeight="1">
      <c r="F51" s="679"/>
      <c r="G51" s="675"/>
      <c r="H51" s="243"/>
      <c r="I51" s="677"/>
      <c r="K51" s="293"/>
    </row>
    <row r="52" spans="6:11" ht="15.95" customHeight="1">
      <c r="F52" s="679"/>
      <c r="G52" s="675"/>
      <c r="H52" s="243"/>
      <c r="I52" s="677"/>
      <c r="K52" s="293"/>
    </row>
    <row r="53" spans="6:11" ht="15.95" customHeight="1">
      <c r="F53" s="680"/>
      <c r="G53" s="681"/>
      <c r="H53" s="204"/>
      <c r="I53" s="682"/>
      <c r="K53" s="293"/>
    </row>
    <row r="54" spans="6:11" ht="15.95" customHeight="1">
      <c r="F54" s="680"/>
      <c r="G54" s="681"/>
      <c r="H54" s="204"/>
      <c r="I54" s="682"/>
      <c r="K54" s="293"/>
    </row>
    <row r="55" spans="6:11" ht="15.95" customHeight="1">
      <c r="F55" s="679"/>
      <c r="G55" s="675"/>
      <c r="H55" s="243"/>
      <c r="I55" s="677"/>
      <c r="K55" s="293"/>
    </row>
    <row r="56" spans="6:11" ht="15.95" customHeight="1">
      <c r="F56" s="679"/>
      <c r="G56" s="675"/>
      <c r="H56" s="243"/>
      <c r="I56" s="677"/>
      <c r="K56" s="293"/>
    </row>
    <row r="57" spans="6:11" ht="15.95" hidden="1" customHeight="1" outlineLevel="1">
      <c r="F57" s="680"/>
      <c r="G57" s="681"/>
      <c r="H57" s="204"/>
      <c r="I57" s="682"/>
      <c r="K57" s="293"/>
    </row>
    <row r="58" spans="6:11" ht="15.95" hidden="1" customHeight="1" outlineLevel="1">
      <c r="F58" s="680"/>
      <c r="G58" s="681"/>
      <c r="H58" s="204"/>
      <c r="I58" s="682"/>
      <c r="K58" s="293"/>
    </row>
    <row r="59" spans="6:11" ht="15.95" hidden="1" customHeight="1" outlineLevel="1">
      <c r="F59" s="679"/>
      <c r="G59" s="675"/>
      <c r="H59" s="243"/>
      <c r="I59" s="677"/>
      <c r="K59" s="293"/>
    </row>
    <row r="60" spans="6:11" ht="15.95" hidden="1" customHeight="1" outlineLevel="1">
      <c r="F60" s="679"/>
      <c r="G60" s="675"/>
      <c r="H60" s="243"/>
      <c r="I60" s="677"/>
      <c r="K60" s="293"/>
    </row>
    <row r="61" spans="6:11" ht="15.95" hidden="1" customHeight="1" outlineLevel="1">
      <c r="F61" s="680"/>
      <c r="G61" s="681"/>
      <c r="H61" s="204"/>
      <c r="I61" s="682"/>
      <c r="K61" s="293"/>
    </row>
    <row r="62" spans="6:11" ht="15.95" hidden="1" customHeight="1" outlineLevel="1">
      <c r="F62" s="680"/>
      <c r="G62" s="681"/>
      <c r="H62" s="204"/>
      <c r="I62" s="682"/>
      <c r="K62" s="293"/>
    </row>
    <row r="63" spans="6:11" ht="15.95" hidden="1" customHeight="1" outlineLevel="1">
      <c r="F63" s="679"/>
      <c r="G63" s="675"/>
      <c r="H63" s="243"/>
      <c r="I63" s="677"/>
      <c r="K63" s="293"/>
    </row>
    <row r="64" spans="6:11" ht="15.95" hidden="1" customHeight="1" outlineLevel="1">
      <c r="F64" s="679"/>
      <c r="G64" s="675"/>
      <c r="H64" s="243"/>
      <c r="I64" s="677"/>
      <c r="K64" s="293"/>
    </row>
    <row r="65" spans="6:11" ht="15.95" hidden="1" customHeight="1" outlineLevel="1">
      <c r="F65" s="680"/>
      <c r="G65" s="681"/>
      <c r="H65" s="204"/>
      <c r="I65" s="682"/>
      <c r="K65" s="293"/>
    </row>
    <row r="66" spans="6:11" ht="15.95" hidden="1" customHeight="1" outlineLevel="1">
      <c r="F66" s="680"/>
      <c r="G66" s="681"/>
      <c r="H66" s="204"/>
      <c r="I66" s="682"/>
      <c r="K66" s="293"/>
    </row>
    <row r="67" spans="6:11" ht="15.95" hidden="1" customHeight="1" outlineLevel="1">
      <c r="F67" s="679"/>
      <c r="G67" s="675"/>
      <c r="H67" s="243"/>
      <c r="I67" s="677"/>
      <c r="K67" s="293"/>
    </row>
    <row r="68" spans="6:11" ht="15.95" hidden="1" customHeight="1" outlineLevel="1">
      <c r="F68" s="679"/>
      <c r="G68" s="675"/>
      <c r="H68" s="243"/>
      <c r="I68" s="677"/>
      <c r="K68" s="293"/>
    </row>
    <row r="69" spans="6:11" ht="15.95" hidden="1" customHeight="1" outlineLevel="1">
      <c r="F69" s="680"/>
      <c r="G69" s="681"/>
      <c r="H69" s="204"/>
      <c r="I69" s="682"/>
      <c r="K69" s="293"/>
    </row>
    <row r="70" spans="6:11" ht="15.95" hidden="1" customHeight="1" outlineLevel="1">
      <c r="F70" s="680"/>
      <c r="G70" s="681"/>
      <c r="H70" s="204"/>
      <c r="I70" s="682"/>
      <c r="K70" s="293"/>
    </row>
    <row r="71" spans="6:11" ht="15.95" hidden="1" customHeight="1" outlineLevel="1">
      <c r="F71" s="679"/>
      <c r="G71" s="675"/>
      <c r="H71" s="243"/>
      <c r="I71" s="677"/>
      <c r="K71" s="293"/>
    </row>
    <row r="72" spans="6:11" ht="15.95" hidden="1" customHeight="1" outlineLevel="1">
      <c r="F72" s="679"/>
      <c r="G72" s="675"/>
      <c r="H72" s="243"/>
      <c r="I72" s="677"/>
      <c r="K72" s="293"/>
    </row>
    <row r="73" spans="6:11" ht="15.95" hidden="1" customHeight="1" outlineLevel="1">
      <c r="F73" s="680"/>
      <c r="G73" s="681"/>
      <c r="H73" s="204"/>
      <c r="I73" s="682"/>
    </row>
    <row r="74" spans="6:11" ht="15.95" hidden="1" customHeight="1" outlineLevel="1">
      <c r="F74" s="680"/>
      <c r="G74" s="681"/>
      <c r="H74" s="204"/>
      <c r="I74" s="682"/>
    </row>
    <row r="75" spans="6:11" ht="15.95" hidden="1" customHeight="1" outlineLevel="1">
      <c r="F75" s="679"/>
      <c r="G75" s="675"/>
      <c r="H75" s="243"/>
      <c r="I75" s="677"/>
    </row>
    <row r="76" spans="6:11" ht="15.95" hidden="1" customHeight="1" outlineLevel="1">
      <c r="F76" s="679"/>
      <c r="G76" s="675"/>
      <c r="H76" s="243"/>
      <c r="I76" s="677"/>
    </row>
    <row r="77" spans="6:11" ht="15.95" hidden="1" customHeight="1" outlineLevel="1">
      <c r="F77" s="680"/>
      <c r="G77" s="681"/>
      <c r="H77" s="204"/>
      <c r="I77" s="682"/>
    </row>
    <row r="78" spans="6:11" ht="15.95" hidden="1" customHeight="1" outlineLevel="1">
      <c r="F78" s="680"/>
      <c r="G78" s="681"/>
      <c r="H78" s="204"/>
      <c r="I78" s="682"/>
    </row>
    <row r="79" spans="6:11" ht="15.95" hidden="1" customHeight="1" outlineLevel="1">
      <c r="F79" s="679"/>
      <c r="G79" s="675"/>
      <c r="H79" s="243"/>
      <c r="I79" s="677"/>
    </row>
    <row r="80" spans="6:11" ht="15.95" hidden="1" customHeight="1" outlineLevel="1">
      <c r="F80" s="679"/>
      <c r="G80" s="675"/>
      <c r="H80" s="243"/>
      <c r="I80" s="677"/>
    </row>
    <row r="81" spans="6:9" ht="15.95" hidden="1" customHeight="1" outlineLevel="1">
      <c r="F81" s="680"/>
      <c r="G81" s="681"/>
      <c r="H81" s="204"/>
      <c r="I81" s="682"/>
    </row>
    <row r="82" spans="6:9" ht="15.95" hidden="1" customHeight="1" outlineLevel="1">
      <c r="F82" s="680"/>
      <c r="G82" s="681"/>
      <c r="H82" s="204"/>
      <c r="I82" s="682"/>
    </row>
    <row r="83" spans="6:9" ht="15.95" hidden="1" customHeight="1" outlineLevel="1">
      <c r="F83" s="679"/>
      <c r="G83" s="675"/>
      <c r="H83" s="243"/>
      <c r="I83" s="677"/>
    </row>
    <row r="84" spans="6:9" ht="15.95" hidden="1" customHeight="1" outlineLevel="1">
      <c r="F84" s="679"/>
      <c r="G84" s="675"/>
      <c r="H84" s="243"/>
      <c r="I84" s="677"/>
    </row>
    <row r="85" spans="6:9" ht="15.95" hidden="1" customHeight="1" outlineLevel="1">
      <c r="F85" s="680"/>
      <c r="G85" s="681"/>
      <c r="H85" s="204"/>
      <c r="I85" s="682"/>
    </row>
    <row r="86" spans="6:9" ht="15.95" hidden="1" customHeight="1" outlineLevel="1">
      <c r="F86" s="680"/>
      <c r="G86" s="681"/>
      <c r="H86" s="204"/>
      <c r="I86" s="682"/>
    </row>
    <row r="87" spans="6:9" ht="15.95" hidden="1" customHeight="1" outlineLevel="1">
      <c r="F87" s="679"/>
      <c r="G87" s="675"/>
      <c r="H87" s="243"/>
      <c r="I87" s="677"/>
    </row>
    <row r="88" spans="6:9" ht="15.95" hidden="1" customHeight="1" outlineLevel="1">
      <c r="F88" s="679"/>
      <c r="G88" s="675"/>
      <c r="H88" s="243"/>
      <c r="I88" s="677"/>
    </row>
    <row r="89" spans="6:9" ht="15.95" hidden="1" customHeight="1" outlineLevel="1">
      <c r="F89" s="680"/>
      <c r="G89" s="681"/>
      <c r="H89" s="204"/>
      <c r="I89" s="682"/>
    </row>
    <row r="90" spans="6:9" ht="15.95" hidden="1" customHeight="1" outlineLevel="1">
      <c r="F90" s="680"/>
      <c r="G90" s="681"/>
      <c r="H90" s="204"/>
      <c r="I90" s="682"/>
    </row>
    <row r="91" spans="6:9" ht="15.95" hidden="1" customHeight="1" outlineLevel="1">
      <c r="F91" s="679"/>
      <c r="G91" s="675"/>
      <c r="H91" s="243"/>
      <c r="I91" s="677"/>
    </row>
    <row r="92" spans="6:9" ht="15.95" hidden="1" customHeight="1" outlineLevel="1">
      <c r="F92" s="679"/>
      <c r="G92" s="675"/>
      <c r="H92" s="243"/>
      <c r="I92" s="677"/>
    </row>
    <row r="93" spans="6:9" ht="15.95" hidden="1" customHeight="1" outlineLevel="1">
      <c r="F93" s="680"/>
      <c r="G93" s="681"/>
      <c r="H93" s="204"/>
      <c r="I93" s="682"/>
    </row>
    <row r="94" spans="6:9" ht="15.95" hidden="1" customHeight="1" outlineLevel="1">
      <c r="F94" s="680"/>
      <c r="G94" s="681"/>
      <c r="H94" s="204"/>
      <c r="I94" s="682"/>
    </row>
    <row r="95" spans="6:9" ht="15.95" hidden="1" customHeight="1" outlineLevel="1">
      <c r="F95" s="685"/>
      <c r="G95" s="683"/>
      <c r="H95" s="141"/>
      <c r="I95" s="684"/>
    </row>
    <row r="96" spans="6:9" ht="15.95" hidden="1" customHeight="1" outlineLevel="1">
      <c r="F96" s="685"/>
      <c r="G96" s="683"/>
      <c r="H96" s="141"/>
      <c r="I96" s="684"/>
    </row>
    <row r="97" spans="6:9" ht="15.95" hidden="1" customHeight="1" outlineLevel="1">
      <c r="F97" s="686"/>
      <c r="G97" s="688"/>
      <c r="H97" s="215"/>
      <c r="I97" s="690"/>
    </row>
    <row r="98" spans="6:9" ht="15.95" hidden="1" customHeight="1" outlineLevel="1">
      <c r="F98" s="686"/>
      <c r="G98" s="688"/>
      <c r="H98" s="215"/>
      <c r="I98" s="690"/>
    </row>
    <row r="99" spans="6:9" ht="15.95" hidden="1" customHeight="1" outlineLevel="1">
      <c r="F99" s="685"/>
      <c r="G99" s="683"/>
      <c r="H99" s="141"/>
      <c r="I99" s="684"/>
    </row>
    <row r="100" spans="6:9" ht="15.95" hidden="1" customHeight="1" outlineLevel="1">
      <c r="F100" s="685"/>
      <c r="G100" s="683"/>
      <c r="H100" s="141"/>
      <c r="I100" s="684"/>
    </row>
    <row r="101" spans="6:9" ht="15.95" hidden="1" customHeight="1" outlineLevel="1">
      <c r="F101" s="686"/>
      <c r="G101" s="688"/>
      <c r="H101" s="215"/>
      <c r="I101" s="690"/>
    </row>
    <row r="102" spans="6:9" ht="15.95" hidden="1" customHeight="1" outlineLevel="1" thickBot="1">
      <c r="F102" s="687"/>
      <c r="G102" s="689"/>
      <c r="H102" s="328"/>
      <c r="I102" s="691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284</v>
      </c>
      <c r="G1" s="342" t="s">
        <v>616</v>
      </c>
      <c r="L1" s="342" t="s">
        <v>232</v>
      </c>
      <c r="S1" s="342" t="s">
        <v>233</v>
      </c>
    </row>
    <row r="2" spans="3:21" ht="36.75" customHeight="1">
      <c r="C2" s="373" t="s">
        <v>216</v>
      </c>
      <c r="D2" s="374" t="s">
        <v>607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234</v>
      </c>
      <c r="Q2" s="375" t="s">
        <v>235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250</v>
      </c>
      <c r="F3" s="243">
        <v>9.4700000000000006</v>
      </c>
      <c r="G3" s="243">
        <v>38.32</v>
      </c>
      <c r="H3" s="243">
        <v>28.85</v>
      </c>
      <c r="I3" s="243">
        <v>0.1</v>
      </c>
      <c r="J3" s="300">
        <v>5.5223541898971753</v>
      </c>
      <c r="K3" s="293"/>
      <c r="L3" s="242">
        <v>250</v>
      </c>
      <c r="M3" s="243">
        <v>0.1</v>
      </c>
      <c r="N3" s="243">
        <v>0.1</v>
      </c>
      <c r="O3" s="243">
        <v>101</v>
      </c>
      <c r="P3" s="243">
        <v>6.8250000000000002</v>
      </c>
      <c r="Q3" s="246">
        <v>8.0890000000000004E-2</v>
      </c>
      <c r="S3" s="305">
        <v>38.32</v>
      </c>
      <c r="T3" s="287">
        <v>11.428976217156439</v>
      </c>
      <c r="U3" s="300">
        <v>26.891023782843561</v>
      </c>
    </row>
    <row r="4" spans="3:21" ht="20.100000000000001" customHeight="1">
      <c r="C4" s="203"/>
      <c r="D4" s="204"/>
      <c r="E4" s="204"/>
      <c r="F4" s="204"/>
      <c r="G4" s="204"/>
      <c r="H4" s="204"/>
      <c r="I4" s="204"/>
      <c r="J4" s="205"/>
      <c r="K4" s="293"/>
      <c r="L4" s="203"/>
      <c r="M4" s="204"/>
      <c r="N4" s="204"/>
      <c r="O4" s="204"/>
      <c r="P4" s="204"/>
      <c r="Q4" s="207"/>
      <c r="S4" s="258"/>
      <c r="T4" s="210"/>
      <c r="U4" s="205"/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239</v>
      </c>
      <c r="F36" s="342" t="s">
        <v>615</v>
      </c>
      <c r="H36" s="345"/>
      <c r="T36" s="364"/>
      <c r="U36" s="364"/>
    </row>
    <row r="37" spans="3:36" s="367" customFormat="1" ht="36" customHeight="1">
      <c r="D37" s="376" t="s">
        <v>259</v>
      </c>
      <c r="E37" s="377" t="s">
        <v>226</v>
      </c>
      <c r="F37" s="377"/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242</v>
      </c>
      <c r="E38" s="308">
        <v>5.923</v>
      </c>
      <c r="F38" s="208"/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230</v>
      </c>
      <c r="E39" s="308">
        <v>5.8639999999999998E-2</v>
      </c>
      <c r="F39" s="208"/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231</v>
      </c>
      <c r="E40" s="310">
        <v>2.544E-4</v>
      </c>
      <c r="F40" s="209"/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608</v>
      </c>
      <c r="E41" s="308">
        <v>0.54159999999999997</v>
      </c>
      <c r="F41" s="208"/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241</v>
      </c>
      <c r="E42" s="287">
        <v>28.85</v>
      </c>
      <c r="F42" s="210"/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240</v>
      </c>
      <c r="E43" s="248">
        <v>101</v>
      </c>
      <c r="F43" s="206"/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609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273</v>
      </c>
      <c r="D47" s="380" t="s">
        <v>642</v>
      </c>
      <c r="E47" s="380" t="s">
        <v>656</v>
      </c>
      <c r="F47" s="381" t="s">
        <v>657</v>
      </c>
      <c r="H47" s="379" t="s">
        <v>206</v>
      </c>
      <c r="I47" s="380" t="s">
        <v>658</v>
      </c>
      <c r="J47" s="382" t="s">
        <v>107</v>
      </c>
      <c r="K47" s="380" t="s">
        <v>662</v>
      </c>
      <c r="L47" s="380" t="s">
        <v>659</v>
      </c>
      <c r="M47" s="380" t="s">
        <v>211</v>
      </c>
      <c r="N47" s="381" t="s">
        <v>210</v>
      </c>
      <c r="P47" s="379" t="s">
        <v>206</v>
      </c>
      <c r="Q47" s="380" t="s">
        <v>660</v>
      </c>
      <c r="R47" s="381" t="s">
        <v>661</v>
      </c>
    </row>
    <row r="48" spans="3:36" ht="20.100000000000001" customHeight="1">
      <c r="C48" s="692" t="s">
        <v>85</v>
      </c>
      <c r="D48" s="141" t="s">
        <v>643</v>
      </c>
      <c r="E48" s="308">
        <v>6.8250000000000002</v>
      </c>
      <c r="F48" s="312">
        <v>2.544E-4</v>
      </c>
      <c r="G48" s="293"/>
      <c r="H48" s="331" t="s">
        <v>226</v>
      </c>
      <c r="I48" s="244">
        <v>147</v>
      </c>
      <c r="J48" s="244">
        <v>180</v>
      </c>
      <c r="K48" s="244">
        <v>168.4</v>
      </c>
      <c r="L48" s="244">
        <v>165.1</v>
      </c>
      <c r="M48" s="244">
        <v>180</v>
      </c>
      <c r="N48" s="332">
        <v>147</v>
      </c>
      <c r="P48" s="335" t="s">
        <v>226</v>
      </c>
      <c r="Q48" s="308">
        <v>-2.8810408695006231</v>
      </c>
      <c r="R48" s="336">
        <v>1.7829999999999999</v>
      </c>
    </row>
    <row r="49" spans="3:18" ht="20.100000000000001" customHeight="1">
      <c r="C49" s="693"/>
      <c r="D49" s="141" t="s">
        <v>644</v>
      </c>
      <c r="E49" s="308">
        <v>5.0209999999999999</v>
      </c>
      <c r="F49" s="246"/>
      <c r="G49" s="293"/>
      <c r="H49" s="219"/>
      <c r="I49" s="220"/>
      <c r="J49" s="220"/>
      <c r="K49" s="220"/>
      <c r="L49" s="220"/>
      <c r="M49" s="220"/>
      <c r="N49" s="221"/>
      <c r="P49" s="222"/>
      <c r="Q49" s="208"/>
      <c r="R49" s="223"/>
    </row>
    <row r="50" spans="3:18" ht="20.100000000000001" customHeight="1">
      <c r="C50" s="694"/>
      <c r="D50" s="141" t="s">
        <v>645</v>
      </c>
      <c r="E50" s="240">
        <v>5.923</v>
      </c>
      <c r="F50" s="241">
        <v>2.544E-4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86" t="s">
        <v>154</v>
      </c>
      <c r="D51" s="215" t="s">
        <v>643</v>
      </c>
      <c r="E51" s="208"/>
      <c r="F51" s="216"/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86"/>
      <c r="D52" s="215" t="s">
        <v>644</v>
      </c>
      <c r="E52" s="208"/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86"/>
      <c r="D53" s="215" t="s">
        <v>645</v>
      </c>
      <c r="E53" s="217"/>
      <c r="F53" s="218"/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5" t="s">
        <v>155</v>
      </c>
      <c r="D54" s="141" t="s">
        <v>643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5"/>
      <c r="D55" s="141" t="s">
        <v>644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5"/>
      <c r="D56" s="141" t="s">
        <v>645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86" t="s">
        <v>619</v>
      </c>
      <c r="D57" s="215" t="s">
        <v>643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86"/>
      <c r="D58" s="215" t="s">
        <v>644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86"/>
      <c r="D59" s="215" t="s">
        <v>645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5" t="s">
        <v>620</v>
      </c>
      <c r="D60" s="141" t="s">
        <v>643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5"/>
      <c r="D61" s="141" t="s">
        <v>644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5"/>
      <c r="D62" s="141" t="s">
        <v>645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86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86"/>
      <c r="D64" s="215" t="s">
        <v>644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86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5" t="s">
        <v>665</v>
      </c>
      <c r="D66" s="141" t="s">
        <v>643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5"/>
      <c r="D67" s="141" t="s">
        <v>644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5"/>
      <c r="D68" s="141" t="s">
        <v>645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86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86"/>
      <c r="D70" s="215" t="s">
        <v>246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86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5" t="s">
        <v>596</v>
      </c>
      <c r="D72" s="141" t="s">
        <v>245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5"/>
      <c r="D73" s="141" t="s">
        <v>246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5"/>
      <c r="D74" s="141" t="s">
        <v>247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86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86"/>
      <c r="D76" s="215" t="s">
        <v>246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86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5" t="s">
        <v>622</v>
      </c>
      <c r="D78" s="141" t="s">
        <v>245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5"/>
      <c r="D79" s="141" t="s">
        <v>246</v>
      </c>
      <c r="E79" s="240"/>
      <c r="F79" s="241"/>
      <c r="H79" s="414" t="s">
        <v>206</v>
      </c>
      <c r="I79" s="415" t="s">
        <v>663</v>
      </c>
      <c r="J79" s="416" t="s">
        <v>657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5"/>
      <c r="D80" s="141" t="s">
        <v>247</v>
      </c>
      <c r="E80" s="240"/>
      <c r="F80" s="241"/>
      <c r="H80" s="331" t="s">
        <v>226</v>
      </c>
      <c r="I80" s="405">
        <v>5.0209999999999999</v>
      </c>
      <c r="J80" s="406">
        <v>2.544E-4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86" t="s">
        <v>623</v>
      </c>
      <c r="D81" s="215" t="s">
        <v>245</v>
      </c>
      <c r="E81" s="217"/>
      <c r="F81" s="218"/>
      <c r="H81" s="219"/>
      <c r="I81" s="409"/>
      <c r="J81" s="410"/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86"/>
      <c r="D82" s="215" t="s">
        <v>246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86"/>
      <c r="D83" s="215" t="s">
        <v>247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5" t="s">
        <v>624</v>
      </c>
      <c r="D84" s="141" t="s">
        <v>245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5"/>
      <c r="D85" s="141" t="s">
        <v>246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5"/>
      <c r="D86" s="141" t="s">
        <v>247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86" t="s">
        <v>625</v>
      </c>
      <c r="D87" s="215" t="s">
        <v>245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86"/>
      <c r="D88" s="215" t="s">
        <v>246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86"/>
      <c r="D89" s="215" t="s">
        <v>247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5" t="s">
        <v>626</v>
      </c>
      <c r="D90" s="141" t="s">
        <v>245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5"/>
      <c r="D91" s="141" t="s">
        <v>246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5"/>
      <c r="D92" s="141" t="s">
        <v>247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86" t="s">
        <v>627</v>
      </c>
      <c r="D93" s="215" t="s">
        <v>245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86"/>
      <c r="D94" s="215" t="s">
        <v>246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86"/>
      <c r="D95" s="215" t="s">
        <v>247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5" t="s">
        <v>628</v>
      </c>
      <c r="D96" s="141" t="s">
        <v>245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5"/>
      <c r="D97" s="141" t="s">
        <v>246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5"/>
      <c r="D98" s="141" t="s">
        <v>247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86" t="s">
        <v>629</v>
      </c>
      <c r="D99" s="215" t="s">
        <v>245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86"/>
      <c r="D100" s="215" t="s">
        <v>246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86"/>
      <c r="D101" s="215" t="s">
        <v>247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5" t="s">
        <v>630</v>
      </c>
      <c r="D102" s="141" t="s">
        <v>245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5"/>
      <c r="D103" s="141" t="s">
        <v>246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5"/>
      <c r="D104" s="141" t="s">
        <v>247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86" t="s">
        <v>631</v>
      </c>
      <c r="D105" s="215" t="s">
        <v>245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86"/>
      <c r="D106" s="215" t="s">
        <v>246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86"/>
      <c r="D107" s="215" t="s">
        <v>247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5" t="s">
        <v>632</v>
      </c>
      <c r="D108" s="141" t="s">
        <v>245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5"/>
      <c r="D109" s="141" t="s">
        <v>246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5"/>
      <c r="D110" s="141" t="s">
        <v>247</v>
      </c>
      <c r="E110" s="240"/>
      <c r="F110" s="241"/>
      <c r="H110" s="292"/>
    </row>
    <row r="111" spans="3:18" ht="20.100000000000001" hidden="1" customHeight="1" outlineLevel="1">
      <c r="C111" s="686" t="s">
        <v>633</v>
      </c>
      <c r="D111" s="215" t="s">
        <v>245</v>
      </c>
      <c r="E111" s="217"/>
      <c r="F111" s="218"/>
      <c r="H111" s="292"/>
    </row>
    <row r="112" spans="3:18" ht="20.100000000000001" hidden="1" customHeight="1" outlineLevel="1">
      <c r="C112" s="686"/>
      <c r="D112" s="215" t="s">
        <v>246</v>
      </c>
      <c r="E112" s="217"/>
      <c r="F112" s="218"/>
      <c r="H112" s="292"/>
    </row>
    <row r="113" spans="3:8" ht="20.100000000000001" hidden="1" customHeight="1" outlineLevel="1">
      <c r="C113" s="686"/>
      <c r="D113" s="215" t="s">
        <v>247</v>
      </c>
      <c r="E113" s="217"/>
      <c r="F113" s="218"/>
      <c r="H113" s="292"/>
    </row>
    <row r="114" spans="3:8" ht="20.100000000000001" hidden="1" customHeight="1" outlineLevel="1">
      <c r="C114" s="685" t="s">
        <v>634</v>
      </c>
      <c r="D114" s="141" t="s">
        <v>245</v>
      </c>
      <c r="E114" s="240"/>
      <c r="F114" s="241"/>
      <c r="H114" s="292"/>
    </row>
    <row r="115" spans="3:8" ht="20.100000000000001" hidden="1" customHeight="1" outlineLevel="1">
      <c r="C115" s="685"/>
      <c r="D115" s="141" t="s">
        <v>246</v>
      </c>
      <c r="E115" s="240"/>
      <c r="F115" s="241"/>
      <c r="H115" s="292"/>
    </row>
    <row r="116" spans="3:8" ht="20.100000000000001" hidden="1" customHeight="1" outlineLevel="1">
      <c r="C116" s="685"/>
      <c r="D116" s="141" t="s">
        <v>247</v>
      </c>
      <c r="E116" s="240"/>
      <c r="F116" s="241"/>
      <c r="H116" s="292"/>
    </row>
    <row r="117" spans="3:8" ht="20.100000000000001" hidden="1" customHeight="1" outlineLevel="1">
      <c r="C117" s="686" t="s">
        <v>635</v>
      </c>
      <c r="D117" s="215" t="s">
        <v>245</v>
      </c>
      <c r="E117" s="217"/>
      <c r="F117" s="218"/>
      <c r="H117" s="292"/>
    </row>
    <row r="118" spans="3:8" ht="20.100000000000001" hidden="1" customHeight="1" outlineLevel="1">
      <c r="C118" s="686"/>
      <c r="D118" s="215" t="s">
        <v>246</v>
      </c>
      <c r="E118" s="217"/>
      <c r="F118" s="218"/>
      <c r="H118" s="292"/>
    </row>
    <row r="119" spans="3:8" ht="20.100000000000001" hidden="1" customHeight="1" outlineLevel="1">
      <c r="C119" s="686"/>
      <c r="D119" s="215" t="s">
        <v>247</v>
      </c>
      <c r="E119" s="217"/>
      <c r="F119" s="218"/>
      <c r="H119" s="292"/>
    </row>
    <row r="120" spans="3:8" ht="20.100000000000001" hidden="1" customHeight="1" outlineLevel="1">
      <c r="C120" s="685" t="s">
        <v>636</v>
      </c>
      <c r="D120" s="141" t="s">
        <v>245</v>
      </c>
      <c r="E120" s="240"/>
      <c r="F120" s="241"/>
      <c r="H120" s="292"/>
    </row>
    <row r="121" spans="3:8" ht="20.100000000000001" hidden="1" customHeight="1" outlineLevel="1">
      <c r="C121" s="685"/>
      <c r="D121" s="141" t="s">
        <v>246</v>
      </c>
      <c r="E121" s="240"/>
      <c r="F121" s="241"/>
      <c r="H121" s="292"/>
    </row>
    <row r="122" spans="3:8" ht="20.100000000000001" hidden="1" customHeight="1" outlineLevel="1">
      <c r="C122" s="685"/>
      <c r="D122" s="141" t="s">
        <v>247</v>
      </c>
      <c r="E122" s="240"/>
      <c r="F122" s="241"/>
      <c r="H122" s="292"/>
    </row>
    <row r="123" spans="3:8" ht="20.100000000000001" hidden="1" customHeight="1" outlineLevel="1">
      <c r="C123" s="686" t="s">
        <v>637</v>
      </c>
      <c r="D123" s="215" t="s">
        <v>245</v>
      </c>
      <c r="E123" s="217"/>
      <c r="F123" s="218"/>
      <c r="H123" s="292"/>
    </row>
    <row r="124" spans="3:8" ht="20.100000000000001" hidden="1" customHeight="1" outlineLevel="1">
      <c r="C124" s="686"/>
      <c r="D124" s="215" t="s">
        <v>246</v>
      </c>
      <c r="E124" s="217"/>
      <c r="F124" s="218"/>
      <c r="H124" s="292"/>
    </row>
    <row r="125" spans="3:8" ht="20.100000000000001" hidden="1" customHeight="1" outlineLevel="1">
      <c r="C125" s="686"/>
      <c r="D125" s="215" t="s">
        <v>247</v>
      </c>
      <c r="E125" s="217"/>
      <c r="F125" s="218"/>
      <c r="H125" s="292"/>
    </row>
    <row r="126" spans="3:8" ht="20.25" hidden="1" customHeight="1" outlineLevel="1">
      <c r="C126" s="685" t="s">
        <v>638</v>
      </c>
      <c r="D126" s="141" t="s">
        <v>245</v>
      </c>
      <c r="E126" s="240"/>
      <c r="F126" s="241"/>
      <c r="H126" s="292"/>
    </row>
    <row r="127" spans="3:8" ht="20.100000000000001" hidden="1" customHeight="1" outlineLevel="1">
      <c r="C127" s="685"/>
      <c r="D127" s="141" t="s">
        <v>246</v>
      </c>
      <c r="E127" s="240"/>
      <c r="F127" s="241"/>
      <c r="H127" s="292"/>
    </row>
    <row r="128" spans="3:8" ht="20.100000000000001" hidden="1" customHeight="1" outlineLevel="1">
      <c r="C128" s="685"/>
      <c r="D128" s="141" t="s">
        <v>247</v>
      </c>
      <c r="E128" s="240"/>
      <c r="F128" s="241"/>
      <c r="H128" s="292"/>
    </row>
    <row r="129" spans="3:12" ht="20.100000000000001" hidden="1" customHeight="1" outlineLevel="1">
      <c r="C129" s="686" t="s">
        <v>639</v>
      </c>
      <c r="D129" s="215" t="s">
        <v>245</v>
      </c>
      <c r="E129" s="323"/>
      <c r="F129" s="324"/>
      <c r="H129" s="292"/>
    </row>
    <row r="130" spans="3:12" ht="20.100000000000001" hidden="1" customHeight="1" outlineLevel="1">
      <c r="C130" s="686"/>
      <c r="D130" s="215" t="s">
        <v>246</v>
      </c>
      <c r="E130" s="323"/>
      <c r="F130" s="325"/>
    </row>
    <row r="131" spans="3:12" ht="20.100000000000001" hidden="1" customHeight="1" outlineLevel="1">
      <c r="C131" s="686"/>
      <c r="D131" s="215" t="s">
        <v>247</v>
      </c>
      <c r="E131" s="326"/>
      <c r="F131" s="327"/>
    </row>
    <row r="132" spans="3:12" ht="20.100000000000001" hidden="1" customHeight="1" outlineLevel="1">
      <c r="C132" s="685" t="s">
        <v>640</v>
      </c>
      <c r="D132" s="141" t="s">
        <v>245</v>
      </c>
      <c r="E132" s="318"/>
      <c r="F132" s="319"/>
    </row>
    <row r="133" spans="3:12" ht="20.100000000000001" hidden="1" customHeight="1" outlineLevel="1">
      <c r="C133" s="685"/>
      <c r="D133" s="141" t="s">
        <v>246</v>
      </c>
      <c r="E133" s="318"/>
      <c r="F133" s="320"/>
    </row>
    <row r="134" spans="3:12" ht="20.100000000000001" hidden="1" customHeight="1" outlineLevel="1">
      <c r="C134" s="685"/>
      <c r="D134" s="141" t="s">
        <v>247</v>
      </c>
      <c r="E134" s="321"/>
      <c r="F134" s="322"/>
    </row>
    <row r="135" spans="3:12" ht="20.100000000000001" hidden="1" customHeight="1" outlineLevel="1">
      <c r="C135" s="686" t="s">
        <v>641</v>
      </c>
      <c r="D135" s="215" t="s">
        <v>245</v>
      </c>
      <c r="E135" s="323"/>
      <c r="F135" s="324"/>
    </row>
    <row r="136" spans="3:12" ht="20.100000000000001" hidden="1" customHeight="1" outlineLevel="1">
      <c r="C136" s="686"/>
      <c r="D136" s="215" t="s">
        <v>246</v>
      </c>
      <c r="E136" s="323"/>
      <c r="F136" s="325"/>
    </row>
    <row r="137" spans="3:12" ht="20.100000000000001" hidden="1" customHeight="1" outlineLevel="1" thickBot="1">
      <c r="C137" s="687"/>
      <c r="D137" s="328" t="s">
        <v>247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825</v>
      </c>
      <c r="E4" s="117">
        <v>250</v>
      </c>
      <c r="F4" s="117">
        <v>5.923</v>
      </c>
      <c r="G4" s="398">
        <v>5.923</v>
      </c>
      <c r="H4" s="117">
        <v>0.03</v>
      </c>
      <c r="I4" s="117">
        <v>101</v>
      </c>
      <c r="J4" s="399">
        <v>101</v>
      </c>
      <c r="K4" s="117">
        <v>265</v>
      </c>
      <c r="L4" s="399">
        <v>265</v>
      </c>
      <c r="M4" s="117">
        <v>3.3E-3</v>
      </c>
      <c r="N4" s="398">
        <v>3.3E-3</v>
      </c>
      <c r="O4" s="400" t="s">
        <v>237</v>
      </c>
    </row>
    <row r="5" spans="3:15" ht="20.100000000000001" customHeight="1">
      <c r="C5" s="116"/>
      <c r="D5" s="117"/>
      <c r="E5" s="117"/>
      <c r="F5" s="117"/>
      <c r="G5" s="398"/>
      <c r="H5" s="117"/>
      <c r="I5" s="117"/>
      <c r="J5" s="399"/>
      <c r="K5" s="117"/>
      <c r="L5" s="399"/>
      <c r="M5" s="117"/>
      <c r="N5" s="398"/>
      <c r="O5" s="400"/>
    </row>
    <row r="6" spans="3:15" ht="20.100000000000001" customHeight="1">
      <c r="C6" s="116"/>
      <c r="D6" s="117"/>
      <c r="E6" s="117"/>
      <c r="F6" s="117"/>
      <c r="G6" s="398"/>
      <c r="H6" s="117"/>
      <c r="I6" s="117"/>
      <c r="J6" s="399"/>
      <c r="K6" s="117"/>
      <c r="L6" s="399"/>
      <c r="M6" s="117"/>
      <c r="N6" s="398"/>
      <c r="O6" s="400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11" sqref="A11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249</v>
      </c>
      <c r="M2" s="342" t="s">
        <v>606</v>
      </c>
    </row>
    <row r="3" spans="1:88" s="36" customFormat="1" ht="42.75" customHeight="1">
      <c r="A3" s="370"/>
      <c r="B3" s="370"/>
      <c r="C3" s="370"/>
      <c r="D3" s="379" t="s">
        <v>263</v>
      </c>
      <c r="E3" s="383" t="s">
        <v>264</v>
      </c>
      <c r="F3" s="383" t="s">
        <v>265</v>
      </c>
      <c r="G3" s="383" t="s">
        <v>266</v>
      </c>
      <c r="H3" s="383" t="s">
        <v>267</v>
      </c>
      <c r="I3" s="383" t="s">
        <v>268</v>
      </c>
      <c r="J3" s="383" t="s">
        <v>255</v>
      </c>
      <c r="K3" s="384" t="s">
        <v>256</v>
      </c>
      <c r="L3" s="370"/>
      <c r="M3" s="379" t="s">
        <v>263</v>
      </c>
      <c r="N3" s="383" t="s">
        <v>264</v>
      </c>
      <c r="O3" s="383" t="s">
        <v>265</v>
      </c>
      <c r="P3" s="383" t="s">
        <v>267</v>
      </c>
      <c r="Q3" s="383" t="s">
        <v>268</v>
      </c>
      <c r="R3" s="383" t="s">
        <v>255</v>
      </c>
      <c r="S3" s="384" t="s">
        <v>256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2932685.6872</v>
      </c>
      <c r="E4" s="91">
        <v>1290.7</v>
      </c>
      <c r="F4" s="91">
        <v>1773.3484334690572</v>
      </c>
      <c r="G4" s="417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19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263</v>
      </c>
      <c r="E7" s="383" t="s">
        <v>264</v>
      </c>
      <c r="F7" s="383" t="s">
        <v>265</v>
      </c>
      <c r="G7" s="383" t="s">
        <v>266</v>
      </c>
      <c r="H7" s="383" t="s">
        <v>267</v>
      </c>
      <c r="I7" s="383" t="s">
        <v>268</v>
      </c>
      <c r="J7" s="383" t="s">
        <v>269</v>
      </c>
      <c r="K7" s="384" t="s">
        <v>255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17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272</v>
      </c>
      <c r="G10" s="291" t="s">
        <v>613</v>
      </c>
      <c r="L10" s="291" t="s">
        <v>614</v>
      </c>
    </row>
    <row r="11" spans="1:88" s="36" customFormat="1" ht="39" customHeight="1">
      <c r="A11" s="370"/>
      <c r="B11" s="370"/>
      <c r="C11" s="370"/>
      <c r="D11" s="118" t="s">
        <v>679</v>
      </c>
      <c r="E11" s="119" t="s">
        <v>680</v>
      </c>
      <c r="F11" s="119" t="s">
        <v>270</v>
      </c>
      <c r="G11" s="119" t="s">
        <v>681</v>
      </c>
      <c r="H11" s="119" t="s">
        <v>682</v>
      </c>
      <c r="I11" s="119" t="s">
        <v>271</v>
      </c>
      <c r="J11" s="120" t="s">
        <v>683</v>
      </c>
      <c r="K11" s="370"/>
      <c r="L11" s="118" t="s">
        <v>679</v>
      </c>
      <c r="M11" s="119" t="s">
        <v>680</v>
      </c>
      <c r="N11" s="119" t="s">
        <v>270</v>
      </c>
      <c r="O11" s="119" t="s">
        <v>681</v>
      </c>
      <c r="P11" s="119" t="s">
        <v>682</v>
      </c>
      <c r="Q11" s="119" t="s">
        <v>161</v>
      </c>
      <c r="R11" s="119" t="s">
        <v>271</v>
      </c>
      <c r="S11" s="120" t="s">
        <v>683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129</v>
      </c>
      <c r="F12" s="277">
        <v>120</v>
      </c>
      <c r="G12" s="279">
        <v>10.32</v>
      </c>
      <c r="H12" s="279">
        <v>37.950000000000003</v>
      </c>
      <c r="I12" s="280">
        <v>2.5764999999999998</v>
      </c>
      <c r="J12" s="281">
        <v>2.5559999999999998E-4</v>
      </c>
      <c r="K12" s="293"/>
      <c r="L12" s="276" t="s">
        <v>226</v>
      </c>
      <c r="M12" s="277">
        <v>129</v>
      </c>
      <c r="N12" s="277">
        <v>120</v>
      </c>
      <c r="O12" s="279">
        <v>10.32</v>
      </c>
      <c r="P12" s="279">
        <v>37.950000000000003</v>
      </c>
      <c r="Q12" s="287">
        <v>27.630000000000003</v>
      </c>
      <c r="R12" s="280">
        <v>2.5764999999999998</v>
      </c>
      <c r="S12" s="281">
        <v>2.5559999999999998E-4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72</v>
      </c>
      <c r="F13" s="274">
        <v>120</v>
      </c>
      <c r="G13" s="295">
        <v>11.24</v>
      </c>
      <c r="H13" s="295">
        <v>42.33</v>
      </c>
      <c r="I13" s="385">
        <v>2.2345000000000002</v>
      </c>
      <c r="J13" s="386">
        <v>2.7169999999999999E-4</v>
      </c>
      <c r="K13" s="293"/>
      <c r="L13" s="273" t="s">
        <v>227</v>
      </c>
      <c r="M13" s="274">
        <v>72</v>
      </c>
      <c r="N13" s="274">
        <v>120</v>
      </c>
      <c r="O13" s="295">
        <v>11.24</v>
      </c>
      <c r="P13" s="295">
        <v>42.33</v>
      </c>
      <c r="Q13" s="210">
        <v>31.089999999999996</v>
      </c>
      <c r="R13" s="385">
        <v>2.2345000000000002</v>
      </c>
      <c r="S13" s="386">
        <v>2.7169999999999999E-4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611</v>
      </c>
      <c r="I43" s="291" t="s">
        <v>612</v>
      </c>
      <c r="M43" s="294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92"/>
      <c r="I44" s="118" t="s">
        <v>257</v>
      </c>
      <c r="J44" s="119" t="s">
        <v>686</v>
      </c>
      <c r="K44" s="120" t="s">
        <v>687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334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807</v>
      </c>
      <c r="F45" s="277" t="s">
        <v>808</v>
      </c>
      <c r="G45" s="278" t="s">
        <v>670</v>
      </c>
      <c r="H45" s="293"/>
      <c r="I45" s="276" t="s">
        <v>226</v>
      </c>
      <c r="J45" s="277">
        <v>105</v>
      </c>
      <c r="K45" s="278">
        <v>129</v>
      </c>
      <c r="L45" s="293"/>
      <c r="M45" s="276" t="s">
        <v>807</v>
      </c>
      <c r="N45" s="277" t="s">
        <v>809</v>
      </c>
      <c r="O45" s="278" t="s">
        <v>810</v>
      </c>
      <c r="P45" s="293"/>
      <c r="Q45" s="183">
        <f>MAX(K45:K74)</f>
        <v>129</v>
      </c>
      <c r="R45" s="184" t="s">
        <v>598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811</v>
      </c>
      <c r="F46" s="274" t="s">
        <v>812</v>
      </c>
      <c r="G46" s="275" t="s">
        <v>670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811</v>
      </c>
      <c r="N46" s="274" t="s">
        <v>813</v>
      </c>
      <c r="O46" s="275" t="s">
        <v>814</v>
      </c>
      <c r="P46" s="293"/>
      <c r="Q46" s="95">
        <f>MIN(J45:J74)</f>
        <v>105</v>
      </c>
      <c r="R46" s="124" t="s">
        <v>688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599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600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601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602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248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815</v>
      </c>
      <c r="E79" s="115" t="s">
        <v>815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258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816</v>
      </c>
      <c r="E84" s="115" t="s">
        <v>817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666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818</v>
      </c>
      <c r="E94" s="115" t="s">
        <v>819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597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820</v>
      </c>
      <c r="E99" s="115" t="s">
        <v>821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667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689</v>
      </c>
      <c r="E104" s="115" t="s">
        <v>824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260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593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823</v>
      </c>
      <c r="E114" s="115" t="s">
        <v>823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592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671</v>
      </c>
      <c r="E119" s="115" t="s">
        <v>822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S6" sqref="S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836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05" t="s">
        <v>0</v>
      </c>
      <c r="B2" s="695" t="s">
        <v>39</v>
      </c>
      <c r="C2" s="695" t="s">
        <v>6</v>
      </c>
      <c r="D2" s="695" t="s">
        <v>38</v>
      </c>
      <c r="E2" s="695" t="s">
        <v>201</v>
      </c>
      <c r="F2" s="695" t="s">
        <v>200</v>
      </c>
      <c r="G2" s="699" t="s">
        <v>1</v>
      </c>
      <c r="H2" s="699" t="s">
        <v>2</v>
      </c>
      <c r="I2" s="699" t="s">
        <v>169</v>
      </c>
      <c r="J2" s="703" t="s">
        <v>253</v>
      </c>
      <c r="K2" s="699" t="s">
        <v>252</v>
      </c>
      <c r="L2" s="699" t="s">
        <v>3</v>
      </c>
      <c r="M2" s="699" t="s">
        <v>4</v>
      </c>
      <c r="N2" s="699" t="s">
        <v>5</v>
      </c>
      <c r="O2" s="699" t="s">
        <v>251</v>
      </c>
      <c r="P2" s="701" t="s">
        <v>250</v>
      </c>
      <c r="Q2" s="695" t="s">
        <v>156</v>
      </c>
      <c r="R2" s="697" t="s">
        <v>91</v>
      </c>
    </row>
    <row r="3" spans="1:18" s="53" customFormat="1" ht="27" customHeight="1">
      <c r="A3" s="706"/>
      <c r="B3" s="696"/>
      <c r="C3" s="696"/>
      <c r="D3" s="696"/>
      <c r="E3" s="696"/>
      <c r="F3" s="696"/>
      <c r="G3" s="700"/>
      <c r="H3" s="700"/>
      <c r="I3" s="700"/>
      <c r="J3" s="704"/>
      <c r="K3" s="700"/>
      <c r="L3" s="700"/>
      <c r="M3" s="700"/>
      <c r="N3" s="700"/>
      <c r="O3" s="700"/>
      <c r="P3" s="702"/>
      <c r="Q3" s="696"/>
      <c r="R3" s="698"/>
    </row>
    <row r="4" spans="1:18" ht="23.1" customHeight="1">
      <c r="A4" s="650" t="s">
        <v>806</v>
      </c>
      <c r="B4" s="651" t="str">
        <f>Recharge!$B$32</f>
        <v>주식회사 한일지하수</v>
      </c>
      <c r="C4" s="652"/>
      <c r="D4" s="653" t="s">
        <v>835</v>
      </c>
      <c r="E4" s="653" t="str">
        <f>Recharge!$I$24</f>
        <v>금강서해/대호방조제</v>
      </c>
      <c r="F4" s="653" t="str">
        <f>All!$B$2</f>
        <v>서산기상청</v>
      </c>
      <c r="G4" s="653">
        <v>200</v>
      </c>
      <c r="H4" s="653">
        <v>100</v>
      </c>
      <c r="I4" s="653">
        <v>150</v>
      </c>
      <c r="J4" s="653">
        <v>80</v>
      </c>
      <c r="K4" s="653">
        <v>160</v>
      </c>
      <c r="L4" s="653">
        <v>15</v>
      </c>
      <c r="M4" s="653">
        <v>65</v>
      </c>
      <c r="N4" s="654">
        <v>50</v>
      </c>
      <c r="O4" s="655">
        <f>ROUND(water!$F$7, 1)</f>
        <v>830.8</v>
      </c>
      <c r="P4" s="656">
        <v>7530040.8876</v>
      </c>
      <c r="Q4" s="653"/>
      <c r="R4" s="657"/>
    </row>
    <row r="5" spans="1:18" ht="23.1" customHeight="1" thickBot="1">
      <c r="A5" s="658" t="s">
        <v>833</v>
      </c>
      <c r="B5" s="659" t="str">
        <f>Recharge!$B$32</f>
        <v>주식회사 한일지하수</v>
      </c>
      <c r="C5" s="660"/>
      <c r="D5" s="661" t="s">
        <v>835</v>
      </c>
      <c r="E5" s="661" t="str">
        <f>Recharge!$I$24</f>
        <v>금강서해/대호방조제</v>
      </c>
      <c r="F5" s="661" t="str">
        <f>All!$B$2</f>
        <v>서산기상청</v>
      </c>
      <c r="G5" s="661">
        <v>200</v>
      </c>
      <c r="H5" s="661">
        <v>100</v>
      </c>
      <c r="I5" s="661">
        <v>150</v>
      </c>
      <c r="J5" s="661">
        <v>80</v>
      </c>
      <c r="K5" s="661">
        <v>160</v>
      </c>
      <c r="L5" s="661">
        <v>15</v>
      </c>
      <c r="M5" s="661">
        <v>65</v>
      </c>
      <c r="N5" s="662">
        <v>50</v>
      </c>
      <c r="O5" s="663">
        <f>ROUND(water!$F$7, 1)</f>
        <v>830.8</v>
      </c>
      <c r="P5" s="664">
        <v>7530040.8876</v>
      </c>
      <c r="Q5" s="661"/>
      <c r="R5" s="665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300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>당진시 송산면 유곡리 219-10번지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6">
        <f>Well!C4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Well!R4</f>
        <v>0</v>
      </c>
      <c r="D4" s="606" t="s">
        <v>51</v>
      </c>
      <c r="E4" s="4">
        <v>0</v>
      </c>
      <c r="F4" s="5"/>
      <c r="G4" s="434">
        <v>8.0890000000000004E-2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Well!Q4</f>
        <v>0</v>
      </c>
      <c r="D5" s="606" t="s">
        <v>53</v>
      </c>
      <c r="E5" s="201">
        <v>6.8250000000000002</v>
      </c>
      <c r="F5" s="20">
        <f>$E$5/$C$14</f>
        <v>7.6685393258426965E-2</v>
      </c>
      <c r="G5" s="599">
        <v>2.544E-4</v>
      </c>
      <c r="H5" s="601">
        <v>-2.8810408695006231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8" t="str">
        <f>Well!D4</f>
        <v>당진시 송산면 유곡리 219-10번지</v>
      </c>
      <c r="D6" s="606" t="s">
        <v>56</v>
      </c>
      <c r="E6" s="202">
        <v>5.0209999999999999</v>
      </c>
      <c r="F6" s="20">
        <f>$E$6/$C$14</f>
        <v>5.6415730337078654E-2</v>
      </c>
      <c r="G6" s="600">
        <v>32.1</v>
      </c>
      <c r="H6" s="602">
        <v>1.7829999999999999</v>
      </c>
      <c r="I6"/>
      <c r="J6" s="168" t="s">
        <v>324</v>
      </c>
      <c r="K6" s="165">
        <v>580</v>
      </c>
      <c r="L6"/>
      <c r="M6"/>
    </row>
    <row r="7" spans="1:13" ht="20.100000000000001" customHeight="1" thickBot="1">
      <c r="B7" s="607" t="s">
        <v>55</v>
      </c>
      <c r="C7" s="639">
        <f>Well!H4</f>
        <v>100</v>
      </c>
      <c r="D7" s="82" t="s">
        <v>58</v>
      </c>
      <c r="E7" s="80">
        <f>ROUND((E5+E6)/2,4)</f>
        <v>5.923</v>
      </c>
      <c r="F7" s="21">
        <f>$E$7/$C$14</f>
        <v>6.6550561797752816E-2</v>
      </c>
      <c r="G7" s="153">
        <f>G5</f>
        <v>2.544E-4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Well!G4</f>
        <v>200</v>
      </c>
    </row>
    <row r="9" spans="1:13" ht="25.5" customHeight="1" thickBot="1">
      <c r="B9" s="607" t="s">
        <v>59</v>
      </c>
      <c r="C9" s="641">
        <f>C10+C11</f>
        <v>11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180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147</v>
      </c>
      <c r="F10" s="436">
        <v>180</v>
      </c>
      <c r="G10" s="437">
        <v>168.4</v>
      </c>
      <c r="H10" s="189">
        <f>MIN(E10,F10,G10)</f>
        <v>147</v>
      </c>
      <c r="I10" s="7"/>
    </row>
    <row r="11" spans="1:13" ht="25.5" customHeight="1" thickBot="1">
      <c r="B11" s="3" t="s">
        <v>62</v>
      </c>
      <c r="C11" s="642">
        <v>6</v>
      </c>
      <c r="D11" s="83" t="s">
        <v>63</v>
      </c>
      <c r="E11" s="73">
        <f>ROUND(AVERAGE(E10:G10),1)</f>
        <v>165.1</v>
      </c>
      <c r="F11" s="149">
        <f>ROUND((E10+F10)/2,1)</f>
        <v>163.5</v>
      </c>
      <c r="H11" s="188">
        <f>ROUND(AVERAGE(E10:G10),1)</f>
        <v>165.1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89</v>
      </c>
      <c r="H12" s="9"/>
      <c r="J12" s="157" t="s">
        <v>116</v>
      </c>
      <c r="K12" s="666">
        <v>152</v>
      </c>
      <c r="L12" s="667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43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2113</v>
      </c>
      <c r="L13" s="160"/>
    </row>
    <row r="14" spans="1:13" ht="20.100000000000001" customHeight="1">
      <c r="B14" s="607" t="s">
        <v>66</v>
      </c>
      <c r="C14" s="644">
        <f>C7-IF(C20&gt;C9,C20,C9)</f>
        <v>89</v>
      </c>
      <c r="F14" s="612"/>
      <c r="G14" s="611">
        <f>max</f>
        <v>1290.7</v>
      </c>
      <c r="H14" s="10"/>
      <c r="J14" s="157" t="s">
        <v>110</v>
      </c>
      <c r="K14" s="163">
        <v>16</v>
      </c>
      <c r="L14" s="160"/>
    </row>
    <row r="15" spans="1:13" ht="20.100000000000001" customHeight="1" thickBot="1">
      <c r="B15" s="607" t="s">
        <v>67</v>
      </c>
      <c r="C15" s="640">
        <f>Well!I4</f>
        <v>150</v>
      </c>
      <c r="E15" s="25">
        <v>1</v>
      </c>
      <c r="J15" s="157" t="s">
        <v>111</v>
      </c>
      <c r="K15" s="163">
        <v>7</v>
      </c>
      <c r="L15" s="160"/>
    </row>
    <row r="16" spans="1:13" ht="20.100000000000001" customHeight="1">
      <c r="B16" s="3" t="s">
        <v>68</v>
      </c>
      <c r="C16" s="645">
        <f>Well!J4</f>
        <v>80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6.5299999999999994</v>
      </c>
      <c r="L16" s="160"/>
    </row>
    <row r="17" spans="2:12" ht="20.100000000000001" customHeight="1" thickBot="1">
      <c r="B17" s="3" t="s">
        <v>69</v>
      </c>
      <c r="C17" s="646">
        <f>Well!L4</f>
        <v>15</v>
      </c>
      <c r="E17" s="132">
        <f>Well!P4</f>
        <v>7530040.8876</v>
      </c>
      <c r="F17" s="78">
        <f>(max*rf_1*E17/1000)</f>
        <v>1661953.06528993</v>
      </c>
      <c r="G17" s="77">
        <f>F17*allow_ratio</f>
        <v>1196606.2070087495</v>
      </c>
      <c r="J17" s="157" t="s">
        <v>112</v>
      </c>
      <c r="K17" s="164">
        <f>K16-K15</f>
        <v>-0.47000000000000064</v>
      </c>
      <c r="L17" s="160"/>
    </row>
    <row r="18" spans="2:12" ht="20.100000000000001" customHeight="1" thickBot="1">
      <c r="B18" s="3" t="s">
        <v>70</v>
      </c>
      <c r="C18" s="646">
        <f>Well!M4</f>
        <v>65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-2.2243256034074806E-4</v>
      </c>
      <c r="L18" s="162">
        <f>K18*100</f>
        <v>-2.2243256034074805E-2</v>
      </c>
    </row>
    <row r="19" spans="2:12" ht="20.100000000000001" customHeight="1" thickBot="1">
      <c r="B19" s="12" t="s">
        <v>74</v>
      </c>
      <c r="C19" s="647">
        <f>Well!N4</f>
        <v>50</v>
      </c>
      <c r="E19" s="132">
        <f>E17</f>
        <v>7530040.8876</v>
      </c>
      <c r="F19" s="75">
        <f>(max*rf_1*E19/1000)/365</f>
        <v>4553.2960692874794</v>
      </c>
      <c r="G19" s="76">
        <f>F19*allow_ratio</f>
        <v>3278.3731698869851</v>
      </c>
      <c r="H19" s="72">
        <f>G19-F21</f>
        <v>2447.5731698869849</v>
      </c>
    </row>
    <row r="20" spans="2:12" ht="20.100000000000001" customHeight="1">
      <c r="B20" s="609" t="s">
        <v>75</v>
      </c>
      <c r="C20" s="648">
        <v>9.4700000000000006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433">
        <v>38.32</v>
      </c>
      <c r="D21" s="8"/>
      <c r="E21" s="133">
        <f>Well!$I$7</f>
        <v>300</v>
      </c>
      <c r="F21" s="134">
        <f>Well!O4</f>
        <v>830.8</v>
      </c>
      <c r="G21" s="77">
        <f>G19-E21-F21</f>
        <v>2147.5731698869849</v>
      </c>
    </row>
    <row r="22" spans="2:12" ht="20.100000000000001" customHeight="1" thickBot="1">
      <c r="B22" s="610" t="s">
        <v>161</v>
      </c>
      <c r="C22" s="649">
        <f>C21-C20</f>
        <v>28.85</v>
      </c>
      <c r="E22" s="393">
        <f>E21+F21</f>
        <v>1130.8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5.52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07" t="s">
        <v>49</v>
      </c>
      <c r="C26" s="180" t="s">
        <v>101</v>
      </c>
      <c r="D26" s="144">
        <f>C20</f>
        <v>9.4700000000000006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-2.2243256034074805E-2</v>
      </c>
      <c r="I26" s="144" t="s">
        <v>180</v>
      </c>
      <c r="J26" s="148">
        <f>(E7/C14)/864</f>
        <v>7.7026113191843543E-5</v>
      </c>
      <c r="K26" s="438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2</v>
      </c>
      <c r="K27" s="438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6</v>
      </c>
      <c r="K30" s="137">
        <f>SUM(D30:J30)</f>
        <v>108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4</v>
      </c>
      <c r="K31" s="139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9933-BB72-4DEF-B655-612D8DC46CF8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당진시 송산면 유곡리 219-10번지</v>
      </c>
      <c r="D2" s="598"/>
      <c r="E2" s="598"/>
      <c r="F2" s="598"/>
      <c r="G2" s="598"/>
      <c r="H2"/>
      <c r="I2" s="79" t="s">
        <v>832</v>
      </c>
      <c r="J2"/>
      <c r="K2"/>
      <c r="L2"/>
      <c r="M2"/>
    </row>
    <row r="3" spans="1:13" ht="20.100000000000001" customHeight="1" thickBot="1">
      <c r="B3" s="2" t="s">
        <v>6</v>
      </c>
      <c r="C3" s="636">
        <f>Well!C5</f>
        <v>0</v>
      </c>
      <c r="D3" s="603" t="s">
        <v>49</v>
      </c>
      <c r="E3" s="604" t="s">
        <v>115</v>
      </c>
      <c r="F3" s="605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Well!R5</f>
        <v>0</v>
      </c>
      <c r="D4" s="606" t="s">
        <v>51</v>
      </c>
      <c r="E4" s="4">
        <v>0</v>
      </c>
      <c r="F4" s="5"/>
      <c r="G4" s="434">
        <v>8.0890000000000004E-2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Well!Q5</f>
        <v>0</v>
      </c>
      <c r="D5" s="606" t="s">
        <v>53</v>
      </c>
      <c r="E5" s="201">
        <v>6.8250000000000002</v>
      </c>
      <c r="F5" s="20">
        <f>$E$5/$C$14</f>
        <v>7.6685393258426965E-2</v>
      </c>
      <c r="G5" s="599">
        <v>2.544E-4</v>
      </c>
      <c r="H5" s="601">
        <v>-2.8810408695006231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38" t="str">
        <f>Well!D5</f>
        <v>당진시 송산면 유곡리 219-10번지</v>
      </c>
      <c r="D6" s="606" t="s">
        <v>56</v>
      </c>
      <c r="E6" s="202">
        <v>5.0209999999999999</v>
      </c>
      <c r="F6" s="20">
        <f>$E$6/$C$14</f>
        <v>5.6415730337078654E-2</v>
      </c>
      <c r="G6" s="600">
        <v>32.1</v>
      </c>
      <c r="H6" s="602">
        <v>1.7829999999999999</v>
      </c>
      <c r="I6"/>
      <c r="J6" s="168" t="s">
        <v>324</v>
      </c>
      <c r="K6" s="165">
        <v>580</v>
      </c>
      <c r="L6"/>
      <c r="M6"/>
    </row>
    <row r="7" spans="1:13" ht="20.100000000000001" customHeight="1" thickBot="1">
      <c r="B7" s="607" t="s">
        <v>55</v>
      </c>
      <c r="C7" s="639">
        <f>Well!H5</f>
        <v>100</v>
      </c>
      <c r="D7" s="82" t="s">
        <v>58</v>
      </c>
      <c r="E7" s="80">
        <f>ROUND((E5+E6)/2,4)</f>
        <v>5.923</v>
      </c>
      <c r="F7" s="21">
        <f>$E$7/$C$14</f>
        <v>6.6550561797752816E-2</v>
      </c>
      <c r="G7" s="153">
        <f>G5</f>
        <v>2.544E-4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Well!G5</f>
        <v>200</v>
      </c>
    </row>
    <row r="9" spans="1:13" ht="25.5" customHeight="1" thickBot="1">
      <c r="B9" s="607" t="s">
        <v>59</v>
      </c>
      <c r="C9" s="641">
        <f>C10+C11</f>
        <v>11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180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147</v>
      </c>
      <c r="F10" s="436">
        <v>180</v>
      </c>
      <c r="G10" s="437">
        <v>168.4</v>
      </c>
      <c r="H10" s="189">
        <f>MIN(E10,F10,G10)</f>
        <v>147</v>
      </c>
      <c r="I10" s="7"/>
    </row>
    <row r="11" spans="1:13" ht="25.5" customHeight="1" thickBot="1">
      <c r="B11" s="3" t="s">
        <v>62</v>
      </c>
      <c r="C11" s="642">
        <v>6</v>
      </c>
      <c r="D11" s="83" t="s">
        <v>63</v>
      </c>
      <c r="E11" s="73">
        <f>ROUND(AVERAGE(E10:G10),1)</f>
        <v>165.1</v>
      </c>
      <c r="F11" s="149">
        <f>ROUND((E10+F10)/2,1)</f>
        <v>163.5</v>
      </c>
      <c r="H11" s="188">
        <f>ROUND(AVERAGE(E10:G10),1)</f>
        <v>165.1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89</v>
      </c>
      <c r="H12" s="9"/>
      <c r="J12" s="157" t="s">
        <v>116</v>
      </c>
      <c r="K12" s="666">
        <v>152</v>
      </c>
      <c r="L12" s="667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43"/>
      <c r="D13" s="74" t="str">
        <f>All!B2</f>
        <v>서산기상청</v>
      </c>
      <c r="E13" s="74" t="str">
        <f>Recharge!I24</f>
        <v>금강서해/대호방조제</v>
      </c>
      <c r="F13" s="611">
        <f>rf_1</f>
        <v>0.17100000000000001</v>
      </c>
      <c r="G13" s="611">
        <f>allow_ratio</f>
        <v>0.72</v>
      </c>
      <c r="H13" s="10"/>
      <c r="J13" s="157" t="s">
        <v>109</v>
      </c>
      <c r="K13" s="163">
        <v>2113</v>
      </c>
      <c r="L13" s="160"/>
    </row>
    <row r="14" spans="1:13" ht="20.100000000000001" customHeight="1">
      <c r="B14" s="607" t="s">
        <v>66</v>
      </c>
      <c r="C14" s="644">
        <f>C7-IF(C20&gt;C9,C20,C9)</f>
        <v>89</v>
      </c>
      <c r="F14" s="612"/>
      <c r="G14" s="611">
        <f>max</f>
        <v>1290.7</v>
      </c>
      <c r="H14" s="10"/>
      <c r="J14" s="157" t="s">
        <v>110</v>
      </c>
      <c r="K14" s="163">
        <v>16</v>
      </c>
      <c r="L14" s="160"/>
    </row>
    <row r="15" spans="1:13" ht="20.100000000000001" customHeight="1" thickBot="1">
      <c r="B15" s="607" t="s">
        <v>67</v>
      </c>
      <c r="C15" s="640">
        <f>Well!I5</f>
        <v>150</v>
      </c>
      <c r="E15" s="25">
        <v>2</v>
      </c>
      <c r="J15" s="157" t="s">
        <v>111</v>
      </c>
      <c r="K15" s="163">
        <v>7</v>
      </c>
      <c r="L15" s="160"/>
    </row>
    <row r="16" spans="1:13" ht="20.100000000000001" customHeight="1">
      <c r="B16" s="3" t="s">
        <v>68</v>
      </c>
      <c r="C16" s="645">
        <f>Well!J5</f>
        <v>80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6.5299999999999994</v>
      </c>
      <c r="L16" s="160"/>
    </row>
    <row r="17" spans="2:12" ht="20.100000000000001" customHeight="1" thickBot="1">
      <c r="B17" s="3" t="s">
        <v>69</v>
      </c>
      <c r="C17" s="646">
        <f>Well!L5</f>
        <v>15</v>
      </c>
      <c r="E17" s="132">
        <f>Well!P5</f>
        <v>7530040.8876</v>
      </c>
      <c r="F17" s="78">
        <f>(max*rf_1*E17/1000)</f>
        <v>1661953.06528993</v>
      </c>
      <c r="G17" s="77">
        <f>F17*allow_ratio</f>
        <v>1196606.2070087495</v>
      </c>
      <c r="J17" s="157" t="s">
        <v>112</v>
      </c>
      <c r="K17" s="164">
        <f>K16-K15</f>
        <v>-0.47000000000000064</v>
      </c>
      <c r="L17" s="160"/>
    </row>
    <row r="18" spans="2:12" ht="20.100000000000001" customHeight="1" thickBot="1">
      <c r="B18" s="3" t="s">
        <v>70</v>
      </c>
      <c r="C18" s="646">
        <f>Well!M5</f>
        <v>65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-2.2243256034074806E-4</v>
      </c>
      <c r="L18" s="162">
        <f>K18*100</f>
        <v>-2.2243256034074805E-2</v>
      </c>
    </row>
    <row r="19" spans="2:12" ht="20.100000000000001" customHeight="1" thickBot="1">
      <c r="B19" s="12" t="s">
        <v>74</v>
      </c>
      <c r="C19" s="647">
        <f>Well!N5</f>
        <v>50</v>
      </c>
      <c r="E19" s="132">
        <f>E17</f>
        <v>7530040.8876</v>
      </c>
      <c r="F19" s="75">
        <f>(max*rf_1*E19/1000)/365</f>
        <v>4553.2960692874794</v>
      </c>
      <c r="G19" s="76">
        <f>F19*allow_ratio</f>
        <v>3278.3731698869851</v>
      </c>
      <c r="H19" s="72">
        <f>G19-F21</f>
        <v>2447.5731698869849</v>
      </c>
    </row>
    <row r="20" spans="2:12" ht="20.100000000000001" customHeight="1">
      <c r="B20" s="609" t="s">
        <v>75</v>
      </c>
      <c r="C20" s="648">
        <v>9.4700000000000006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433">
        <v>38.32</v>
      </c>
      <c r="D21" s="8"/>
      <c r="E21" s="133">
        <f>Well!$I$7</f>
        <v>300</v>
      </c>
      <c r="F21" s="134">
        <f>Well!O5</f>
        <v>830.8</v>
      </c>
      <c r="G21" s="77">
        <f>G19-E21-F21</f>
        <v>2147.5731698869849</v>
      </c>
    </row>
    <row r="22" spans="2:12" ht="20.100000000000001" customHeight="1" thickBot="1">
      <c r="B22" s="610" t="s">
        <v>161</v>
      </c>
      <c r="C22" s="649">
        <f>C21-C20</f>
        <v>28.85</v>
      </c>
      <c r="E22" s="393">
        <f>E21+F21</f>
        <v>1130.8</v>
      </c>
      <c r="F22" s="394"/>
      <c r="G22" s="11"/>
      <c r="I22" s="10"/>
    </row>
    <row r="23" spans="2:12" ht="20.100000000000001" customHeight="1" thickBot="1">
      <c r="B23" s="127" t="s">
        <v>228</v>
      </c>
      <c r="C23" s="433">
        <v>5.52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573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07" t="s">
        <v>834</v>
      </c>
      <c r="C26" s="180" t="s">
        <v>101</v>
      </c>
      <c r="D26" s="144">
        <f>C20</f>
        <v>9.4700000000000006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-2.2243256034074805E-2</v>
      </c>
      <c r="I26" s="144" t="s">
        <v>180</v>
      </c>
      <c r="J26" s="148">
        <f>(E7/C14)/864</f>
        <v>7.7026113191843543E-5</v>
      </c>
      <c r="K26" s="438" t="s">
        <v>677</v>
      </c>
    </row>
    <row r="27" spans="2:12" ht="25.5" customHeight="1">
      <c r="B27" s="708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2</v>
      </c>
      <c r="K27" s="438" t="s">
        <v>598</v>
      </c>
    </row>
    <row r="28" spans="2:12" ht="25.5" customHeight="1">
      <c r="B28" s="708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08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08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6</v>
      </c>
      <c r="K30" s="137">
        <f>SUM(D30:J30)</f>
        <v>108</v>
      </c>
    </row>
    <row r="31" spans="2:12" ht="25.5" customHeight="1" thickBot="1">
      <c r="B31" s="709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4</v>
      </c>
      <c r="K31" s="139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F3A6DF-1E3A-4575-B72D-7704CF971391}">
          <x14:formula1>
            <xm:f>drastic!$G$4:$G$14</xm:f>
          </x14:formula1>
          <xm:sqref>I26</xm:sqref>
        </x14:dataValidation>
        <x14:dataValidation type="list" allowBlank="1" showInputMessage="1" showErrorMessage="1" xr:uid="{733ADCBA-C999-45EA-AA43-87D415BECA07}">
          <x14:formula1>
            <xm:f>drastic!$D$4:$D$14</xm:f>
          </x14:formula1>
          <xm:sqref>G26</xm:sqref>
        </x14:dataValidation>
        <x14:dataValidation type="list" allowBlank="1" showInputMessage="1" showErrorMessage="1" xr:uid="{68EB9F0A-26CF-4247-AE08-0B54B4400FC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15" t="s">
        <v>36</v>
      </c>
      <c r="C24" s="716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4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15" t="s">
        <v>36</v>
      </c>
      <c r="C24" s="716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15" t="s">
        <v>37</v>
      </c>
      <c r="C25" s="716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10" t="s">
        <v>90</v>
      </c>
      <c r="C26" s="711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17" t="s">
        <v>85</v>
      </c>
      <c r="E29" s="718"/>
      <c r="F29" s="719"/>
      <c r="H29" s="717" t="s">
        <v>154</v>
      </c>
      <c r="I29" s="718"/>
      <c r="J29" s="719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2" t="s">
        <v>84</v>
      </c>
      <c r="C12" s="713"/>
      <c r="D12" s="713" t="s">
        <v>85</v>
      </c>
      <c r="E12" s="713"/>
      <c r="F12" s="713"/>
      <c r="G12" s="713" t="s">
        <v>154</v>
      </c>
      <c r="H12" s="713"/>
      <c r="I12" s="713"/>
      <c r="J12" s="713" t="s">
        <v>155</v>
      </c>
      <c r="K12" s="713"/>
      <c r="L12" s="714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15" t="s">
        <v>36</v>
      </c>
      <c r="C24" s="716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15" t="s">
        <v>37</v>
      </c>
      <c r="C25" s="716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10" t="s">
        <v>90</v>
      </c>
      <c r="C26" s="711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17" t="s">
        <v>85</v>
      </c>
      <c r="E29" s="718"/>
      <c r="F29" s="719"/>
      <c r="H29" s="717" t="s">
        <v>154</v>
      </c>
      <c r="I29" s="718"/>
      <c r="J29" s="719"/>
      <c r="L29" s="717" t="s">
        <v>155</v>
      </c>
      <c r="M29" s="718"/>
      <c r="N29" s="719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CB300-596C-45CC-AC9C-21CD7C72C6E3}">
  <sheetPr codeName="Sheet_Q4">
    <tabColor theme="6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45453.451388888891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205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7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2" t="s">
        <v>84</v>
      </c>
      <c r="C12" s="713"/>
      <c r="D12" s="713" t="s">
        <v>85</v>
      </c>
      <c r="E12" s="713"/>
      <c r="F12" s="714"/>
      <c r="H12" s="712" t="s">
        <v>85</v>
      </c>
      <c r="I12" s="713"/>
      <c r="J12" s="714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45453.454861111109</v>
      </c>
      <c r="C14" s="440">
        <v>5</v>
      </c>
      <c r="D14" s="440">
        <f t="shared" ref="D14:D20" si="0">baseTemp+H14</f>
        <v>15.299999999999999</v>
      </c>
      <c r="E14" s="441">
        <f>$C$8+I14</f>
        <v>202</v>
      </c>
      <c r="F14" s="450">
        <f>$C$9+J14</f>
        <v>7.08</v>
      </c>
      <c r="H14" s="454">
        <v>0.2</v>
      </c>
      <c r="I14" s="455">
        <v>-3</v>
      </c>
      <c r="J14" s="456">
        <v>0.08</v>
      </c>
      <c r="L14"/>
      <c r="M14"/>
      <c r="N14"/>
    </row>
    <row r="15" spans="2:14" s="22" customFormat="1" ht="26.1" customHeight="1">
      <c r="B15" s="453">
        <f t="shared" ref="B15:B23" si="1">$C$6+C15/1440</f>
        <v>45453.472222222226</v>
      </c>
      <c r="C15" s="440">
        <v>30</v>
      </c>
      <c r="D15" s="440">
        <f t="shared" si="0"/>
        <v>14.799999999999999</v>
      </c>
      <c r="E15" s="441">
        <f t="shared" ref="E15:E20" si="2">$C$8+I15</f>
        <v>203</v>
      </c>
      <c r="F15" s="450">
        <f t="shared" ref="F15:F20" si="3">$C$9+J15</f>
        <v>7.1</v>
      </c>
      <c r="H15" s="94">
        <v>-0.3</v>
      </c>
      <c r="I15" s="121">
        <v>-2</v>
      </c>
      <c r="J15" s="123">
        <v>0.1</v>
      </c>
      <c r="L15"/>
      <c r="M15"/>
      <c r="N15"/>
    </row>
    <row r="16" spans="2:14" s="22" customFormat="1" ht="26.1" customHeight="1">
      <c r="B16" s="453">
        <f t="shared" si="1"/>
        <v>45453.493055555555</v>
      </c>
      <c r="C16" s="440">
        <v>60</v>
      </c>
      <c r="D16" s="440">
        <f t="shared" si="0"/>
        <v>15.4</v>
      </c>
      <c r="E16" s="441">
        <f t="shared" si="2"/>
        <v>204</v>
      </c>
      <c r="F16" s="450">
        <f t="shared" si="3"/>
        <v>6.87</v>
      </c>
      <c r="H16" s="94">
        <v>0.3</v>
      </c>
      <c r="I16" s="121">
        <v>-1</v>
      </c>
      <c r="J16" s="123">
        <v>-0.13</v>
      </c>
      <c r="L16"/>
      <c r="M16"/>
      <c r="N16"/>
    </row>
    <row r="17" spans="2:14" s="22" customFormat="1" ht="26.1" customHeight="1">
      <c r="B17" s="453">
        <f t="shared" si="1"/>
        <v>45453.534722222226</v>
      </c>
      <c r="C17" s="440">
        <v>120</v>
      </c>
      <c r="D17" s="440">
        <f t="shared" si="0"/>
        <v>15</v>
      </c>
      <c r="E17" s="441">
        <f t="shared" si="2"/>
        <v>206</v>
      </c>
      <c r="F17" s="450">
        <f t="shared" si="3"/>
        <v>6.87</v>
      </c>
      <c r="H17" s="94">
        <v>-0.1</v>
      </c>
      <c r="I17" s="121">
        <v>1</v>
      </c>
      <c r="J17" s="123">
        <v>-0.13</v>
      </c>
      <c r="L17"/>
      <c r="M17"/>
      <c r="N17"/>
    </row>
    <row r="18" spans="2:14" s="22" customFormat="1" ht="26.1" customHeight="1">
      <c r="B18" s="453">
        <f t="shared" si="1"/>
        <v>45453.618055555555</v>
      </c>
      <c r="C18" s="440">
        <v>240</v>
      </c>
      <c r="D18" s="440">
        <f t="shared" si="0"/>
        <v>15.299999999999999</v>
      </c>
      <c r="E18" s="441">
        <f t="shared" si="2"/>
        <v>202</v>
      </c>
      <c r="F18" s="450">
        <f t="shared" si="3"/>
        <v>7.11</v>
      </c>
      <c r="H18" s="94">
        <v>0.2</v>
      </c>
      <c r="I18" s="121">
        <v>-3</v>
      </c>
      <c r="J18" s="123">
        <v>0.11</v>
      </c>
      <c r="L18"/>
      <c r="M18"/>
      <c r="N18"/>
    </row>
    <row r="19" spans="2:14" s="22" customFormat="1" ht="26.1" customHeight="1">
      <c r="B19" s="453">
        <f t="shared" si="1"/>
        <v>45453.784722222226</v>
      </c>
      <c r="C19" s="440">
        <v>480</v>
      </c>
      <c r="D19" s="443">
        <f t="shared" si="0"/>
        <v>14.9</v>
      </c>
      <c r="E19" s="441">
        <f t="shared" si="2"/>
        <v>203</v>
      </c>
      <c r="F19" s="450">
        <f t="shared" si="3"/>
        <v>6.91</v>
      </c>
      <c r="H19" s="94">
        <v>-0.2</v>
      </c>
      <c r="I19" s="121">
        <v>-2</v>
      </c>
      <c r="J19" s="123">
        <v>-0.09</v>
      </c>
      <c r="L19"/>
      <c r="M19"/>
      <c r="N19"/>
    </row>
    <row r="20" spans="2:14" s="23" customFormat="1" ht="26.1" customHeight="1">
      <c r="B20" s="453">
        <f t="shared" si="1"/>
        <v>45454.451388888891</v>
      </c>
      <c r="C20" s="440">
        <v>1440</v>
      </c>
      <c r="D20" s="440">
        <f t="shared" si="0"/>
        <v>15</v>
      </c>
      <c r="E20" s="441">
        <f t="shared" si="2"/>
        <v>206</v>
      </c>
      <c r="F20" s="450">
        <f t="shared" si="3"/>
        <v>7.08</v>
      </c>
      <c r="H20" s="94">
        <v>-0.1</v>
      </c>
      <c r="I20" s="121">
        <v>1</v>
      </c>
      <c r="J20" s="123">
        <v>0.08</v>
      </c>
      <c r="L20"/>
      <c r="M20"/>
      <c r="N20"/>
    </row>
    <row r="21" spans="2:14" s="23" customFormat="1" ht="26.1" customHeight="1">
      <c r="B21" s="453">
        <f t="shared" si="1"/>
        <v>45454.618055555555</v>
      </c>
      <c r="C21" s="440">
        <v>1680</v>
      </c>
      <c r="D21" s="440">
        <f>$D$20</f>
        <v>15</v>
      </c>
      <c r="E21" s="441">
        <f>$E$20</f>
        <v>206</v>
      </c>
      <c r="F21" s="450">
        <f>$F$20</f>
        <v>7.08</v>
      </c>
      <c r="H21" s="94">
        <v>0.2</v>
      </c>
      <c r="I21" s="121">
        <v>-2</v>
      </c>
      <c r="J21" s="123">
        <v>-0.13</v>
      </c>
      <c r="L21"/>
      <c r="M21"/>
      <c r="N21"/>
    </row>
    <row r="22" spans="2:14" s="23" customFormat="1" ht="26.1" customHeight="1">
      <c r="B22" s="453">
        <f t="shared" si="1"/>
        <v>45454.784722222226</v>
      </c>
      <c r="C22" s="440">
        <v>1920</v>
      </c>
      <c r="D22" s="440">
        <f t="shared" ref="D22:D23" si="4">$D$20</f>
        <v>15</v>
      </c>
      <c r="E22" s="441">
        <f t="shared" ref="E22:E23" si="5">$E$20</f>
        <v>206</v>
      </c>
      <c r="F22" s="450">
        <f t="shared" ref="F22:F23" si="6">$F$20</f>
        <v>7.08</v>
      </c>
      <c r="H22" s="94">
        <v>-0.2</v>
      </c>
      <c r="I22" s="121">
        <v>-3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45455.451388888891</v>
      </c>
      <c r="C23" s="440">
        <v>2880</v>
      </c>
      <c r="D23" s="440">
        <f t="shared" si="4"/>
        <v>15</v>
      </c>
      <c r="E23" s="441">
        <f t="shared" si="5"/>
        <v>206</v>
      </c>
      <c r="F23" s="450">
        <f t="shared" si="6"/>
        <v>7.08</v>
      </c>
      <c r="H23" s="95">
        <v>0.1</v>
      </c>
      <c r="I23" s="122">
        <v>-3</v>
      </c>
      <c r="J23" s="124">
        <v>7.0000000000000007E-2</v>
      </c>
      <c r="L23"/>
      <c r="M23"/>
      <c r="N23"/>
    </row>
    <row r="24" spans="2:14" s="23" customFormat="1" ht="26.1" customHeight="1">
      <c r="B24" s="715" t="s">
        <v>36</v>
      </c>
      <c r="C24" s="716"/>
      <c r="D24" s="439">
        <f>MAX(D14:D23)</f>
        <v>15.4</v>
      </c>
      <c r="E24" s="439">
        <f t="shared" ref="E24:F24" si="7">MAX(E14:E23)</f>
        <v>206</v>
      </c>
      <c r="F24" s="448">
        <f t="shared" si="7"/>
        <v>7.11</v>
      </c>
      <c r="H24" s="22"/>
      <c r="I24" s="22"/>
      <c r="J24" s="22"/>
    </row>
    <row r="25" spans="2:14" s="23" customFormat="1" ht="26.1" customHeight="1">
      <c r="B25" s="715" t="s">
        <v>37</v>
      </c>
      <c r="C25" s="716"/>
      <c r="D25" s="439">
        <f>MIN(D14:D23)</f>
        <v>14.799999999999999</v>
      </c>
      <c r="E25" s="439">
        <f t="shared" ref="E25:F25" si="8">MIN(E14:E23)</f>
        <v>202</v>
      </c>
      <c r="F25" s="448">
        <f t="shared" si="8"/>
        <v>6.87</v>
      </c>
      <c r="H25" s="22"/>
      <c r="I25" s="22"/>
      <c r="J25" s="22"/>
    </row>
    <row r="26" spans="2:14" s="23" customFormat="1" ht="26.1" customHeight="1" thickBot="1">
      <c r="B26" s="710" t="s">
        <v>90</v>
      </c>
      <c r="C26" s="711"/>
      <c r="D26" s="451">
        <f>D24-D25</f>
        <v>0.60000000000000142</v>
      </c>
      <c r="E26" s="451">
        <f t="shared" ref="E26:F26" si="9">E24-E25</f>
        <v>4</v>
      </c>
      <c r="F26" s="452">
        <f t="shared" si="9"/>
        <v>0.24000000000000021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713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37</vt:i4>
      </vt:variant>
    </vt:vector>
  </HeadingPairs>
  <TitlesOfParts>
    <vt:vector size="59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2024-07-09T04:54:10Z</dcterms:modified>
</cp:coreProperties>
</file>