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EFA05A1-CB2E-456C-A691-6B584A3D3620}" xr6:coauthVersionLast="47" xr6:coauthVersionMax="47" xr10:uidLastSave="{00000000-0000-0000-0000-000000000000}"/>
  <bookViews>
    <workbookView xWindow="2505" yWindow="870" windowWidth="31365" windowHeight="1951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C19" i="208"/>
  <c r="C18" i="208"/>
  <c r="C17" i="208"/>
  <c r="C16" i="208"/>
  <c r="C15" i="208"/>
  <c r="C8" i="208"/>
  <c r="C7" i="208"/>
  <c r="C12" i="208" s="1"/>
  <c r="A13" i="208" s="1"/>
  <c r="A12" i="208" s="1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K31" i="208" l="1"/>
  <c r="K30" i="208"/>
  <c r="C14" i="208"/>
  <c r="F6" i="208" s="1"/>
  <c r="D21" i="210"/>
  <c r="D25" i="210" s="1"/>
  <c r="E21" i="210"/>
  <c r="E25" i="210" s="1"/>
  <c r="F21" i="210"/>
  <c r="F25" i="210" s="1"/>
  <c r="E22" i="210"/>
  <c r="D22" i="210"/>
  <c r="F22" i="210"/>
  <c r="D24" i="210"/>
  <c r="E24" i="210"/>
  <c r="F21" i="209"/>
  <c r="D21" i="209"/>
  <c r="E21" i="209"/>
  <c r="E25" i="209" s="1"/>
  <c r="D22" i="209"/>
  <c r="E22" i="209"/>
  <c r="F22" i="209"/>
  <c r="D24" i="209"/>
  <c r="E24" i="209"/>
  <c r="F24" i="209"/>
  <c r="J26" i="208"/>
  <c r="F5" i="208"/>
  <c r="F7" i="208"/>
  <c r="F25" i="209" l="1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F17" i="208"/>
  <c r="G17" i="208" s="1"/>
  <c r="F19" i="208"/>
  <c r="G19" i="208" s="1"/>
  <c r="G13" i="55"/>
  <c r="F13" i="55"/>
  <c r="K30" i="55"/>
  <c r="H19" i="208" l="1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8" s="1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<sst xmlns="http://schemas.openxmlformats.org/spreadsheetml/2006/main" count="1388" uniqueCount="841">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</sst>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28" fillId="3" borderId="80" xfId="0" applyFont="1" applyFill="1" applyBorder="1" applyAlignment="1">
      <alignment horizontal="center" vertical="center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6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57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6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B9EFF0F-6E80-870F-6F6A-72B8DE6BA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63EB1A5-D934-ECA5-FC20-6111C8971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961DA3E4-BE99-F1F8-25DC-7CDAC2427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0026C71-2C36-C0A6-D85F-3497DA204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C4ED9E61-C859-348B-5330-C46887A05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FC740E4-8341-F4B8-53EC-93481FDC4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2AA0A698-F337-433B-ACA5-74478CE0E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F71EEAD4-0781-4BF8-B9C5-81050A106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41DA9D9C-58BB-44DB-B79E-A770C0C0A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C2E5DB90-F10A-46EF-AA1E-EDFC6D9D2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D84FF1FF-7985-4649-91A4-39F5ECD55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2B8B08D7-7C07-42B2-91DC-1FA18D7DA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0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4.emf"/><Relationship Id="rId5" Type="http://schemas.openxmlformats.org/officeDocument/2006/relationships/image" Target="../media/image65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4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4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354</v>
      </c>
      <c r="C2" s="633" t="s">
        <v>798</v>
      </c>
    </row>
    <row r="3" spans="2:3" ht="20.100000000000001" customHeight="1">
      <c r="B3" s="633" t="s">
        <v>693</v>
      </c>
      <c r="C3" s="633" t="s">
        <v>690</v>
      </c>
    </row>
    <row r="4" spans="2:3" ht="20.100000000000001" customHeight="1">
      <c r="B4" s="633" t="s">
        <v>694</v>
      </c>
      <c r="C4" s="633" t="s">
        <v>690</v>
      </c>
    </row>
    <row r="5" spans="2:3" ht="20.100000000000001" customHeight="1">
      <c r="B5" s="633" t="s">
        <v>695</v>
      </c>
      <c r="C5" s="633" t="s">
        <v>690</v>
      </c>
    </row>
    <row r="6" spans="2:3" ht="20.100000000000001" customHeight="1">
      <c r="B6" s="633" t="s">
        <v>696</v>
      </c>
      <c r="C6" s="633" t="s">
        <v>690</v>
      </c>
    </row>
    <row r="7" spans="2:3" ht="20.100000000000001" customHeight="1">
      <c r="B7" s="633" t="s">
        <v>697</v>
      </c>
      <c r="C7" s="633" t="s">
        <v>690</v>
      </c>
    </row>
    <row r="8" spans="2:3" ht="20.100000000000001" customHeight="1">
      <c r="B8" s="633" t="s">
        <v>698</v>
      </c>
      <c r="C8" s="633" t="s">
        <v>690</v>
      </c>
    </row>
    <row r="9" spans="2:3" ht="20.100000000000001" customHeight="1">
      <c r="B9" s="633" t="s">
        <v>692</v>
      </c>
      <c r="C9" s="633" t="s">
        <v>690</v>
      </c>
    </row>
    <row r="10" spans="2:3" ht="20.100000000000001" customHeight="1">
      <c r="B10" s="633" t="s">
        <v>691</v>
      </c>
      <c r="C10" s="633" t="s">
        <v>690</v>
      </c>
    </row>
    <row r="11" spans="2:3" ht="20.100000000000001" customHeight="1">
      <c r="B11" s="633" t="s">
        <v>699</v>
      </c>
      <c r="C11" s="633" t="s">
        <v>690</v>
      </c>
    </row>
    <row r="12" spans="2:3" ht="20.100000000000001" customHeight="1">
      <c r="B12" s="633" t="s">
        <v>700</v>
      </c>
      <c r="C12" s="633" t="s">
        <v>690</v>
      </c>
    </row>
    <row r="13" spans="2:3" ht="20.100000000000001" customHeight="1">
      <c r="B13" s="633" t="s">
        <v>701</v>
      </c>
      <c r="C13" s="633" t="s">
        <v>690</v>
      </c>
    </row>
    <row r="14" spans="2:3" ht="20.100000000000001" customHeight="1">
      <c r="B14" s="633" t="s">
        <v>702</v>
      </c>
      <c r="C14" s="633" t="s">
        <v>690</v>
      </c>
    </row>
    <row r="15" spans="2:3" ht="20.100000000000001" customHeight="1">
      <c r="B15" s="633" t="s">
        <v>703</v>
      </c>
      <c r="C15" s="633" t="s">
        <v>704</v>
      </c>
    </row>
    <row r="16" spans="2:3" ht="20.100000000000001" customHeight="1">
      <c r="B16" s="633" t="s">
        <v>705</v>
      </c>
      <c r="C16" s="633" t="s">
        <v>704</v>
      </c>
    </row>
    <row r="17" spans="2:3" ht="20.100000000000001" customHeight="1">
      <c r="B17" s="633" t="s">
        <v>706</v>
      </c>
      <c r="C17" s="633" t="s">
        <v>704</v>
      </c>
    </row>
    <row r="18" spans="2:3" ht="20.100000000000001" customHeight="1">
      <c r="B18" s="633" t="s">
        <v>707</v>
      </c>
      <c r="C18" s="633" t="s">
        <v>704</v>
      </c>
    </row>
    <row r="19" spans="2:3" ht="20.100000000000001" customHeight="1">
      <c r="B19" s="633" t="s">
        <v>708</v>
      </c>
      <c r="C19" s="633" t="s">
        <v>704</v>
      </c>
    </row>
    <row r="20" spans="2:3" ht="20.100000000000001" customHeight="1">
      <c r="B20" s="633" t="s">
        <v>709</v>
      </c>
      <c r="C20" s="633" t="s">
        <v>704</v>
      </c>
    </row>
    <row r="21" spans="2:3" ht="20.100000000000001" customHeight="1">
      <c r="B21" s="633" t="s">
        <v>710</v>
      </c>
      <c r="C21" s="633" t="s">
        <v>704</v>
      </c>
    </row>
    <row r="22" spans="2:3" ht="20.100000000000001" customHeight="1">
      <c r="B22" s="633" t="s">
        <v>711</v>
      </c>
      <c r="C22" s="633" t="s">
        <v>704</v>
      </c>
    </row>
    <row r="23" spans="2:3" ht="20.100000000000001" customHeight="1">
      <c r="B23" s="633" t="s">
        <v>712</v>
      </c>
      <c r="C23" s="633" t="s">
        <v>704</v>
      </c>
    </row>
    <row r="24" spans="2:3" ht="20.100000000000001" customHeight="1">
      <c r="B24" s="633" t="s">
        <v>713</v>
      </c>
      <c r="C24" s="633" t="s">
        <v>704</v>
      </c>
    </row>
    <row r="25" spans="2:3" ht="20.100000000000001" customHeight="1">
      <c r="B25" s="633" t="s">
        <v>714</v>
      </c>
      <c r="C25" s="633" t="s">
        <v>715</v>
      </c>
    </row>
    <row r="26" spans="2:3" ht="20.100000000000001" customHeight="1">
      <c r="B26" s="633" t="s">
        <v>716</v>
      </c>
      <c r="C26" s="633" t="s">
        <v>715</v>
      </c>
    </row>
    <row r="27" spans="2:3" ht="20.100000000000001" customHeight="1">
      <c r="B27" s="633" t="s">
        <v>717</v>
      </c>
      <c r="C27" s="633" t="s">
        <v>715</v>
      </c>
    </row>
    <row r="28" spans="2:3" ht="20.100000000000001" customHeight="1">
      <c r="B28" s="633" t="s">
        <v>718</v>
      </c>
      <c r="C28" s="633" t="s">
        <v>715</v>
      </c>
    </row>
    <row r="29" spans="2:3" ht="20.100000000000001" customHeight="1">
      <c r="B29" s="633" t="s">
        <v>719</v>
      </c>
      <c r="C29" s="633" t="s">
        <v>715</v>
      </c>
    </row>
    <row r="30" spans="2:3" ht="20.100000000000001" customHeight="1">
      <c r="B30" s="633" t="s">
        <v>720</v>
      </c>
      <c r="C30" s="633" t="s">
        <v>715</v>
      </c>
    </row>
    <row r="31" spans="2:3" ht="20.100000000000001" customHeight="1">
      <c r="B31" s="633" t="s">
        <v>721</v>
      </c>
      <c r="C31" s="633" t="s">
        <v>715</v>
      </c>
    </row>
    <row r="32" spans="2:3" ht="20.100000000000001" customHeight="1">
      <c r="B32" s="633" t="s">
        <v>722</v>
      </c>
      <c r="C32" s="633" t="s">
        <v>715</v>
      </c>
    </row>
    <row r="33" spans="2:3" ht="20.100000000000001" customHeight="1">
      <c r="B33" s="633" t="s">
        <v>723</v>
      </c>
      <c r="C33" s="633" t="s">
        <v>715</v>
      </c>
    </row>
    <row r="34" spans="2:3" ht="20.100000000000001" customHeight="1">
      <c r="B34" s="633" t="s">
        <v>724</v>
      </c>
      <c r="C34" s="633" t="s">
        <v>715</v>
      </c>
    </row>
    <row r="35" spans="2:3" ht="20.100000000000001" customHeight="1">
      <c r="B35" s="633" t="s">
        <v>725</v>
      </c>
      <c r="C35" s="633" t="s">
        <v>715</v>
      </c>
    </row>
    <row r="36" spans="2:3" ht="20.100000000000001" customHeight="1">
      <c r="B36" s="633" t="s">
        <v>726</v>
      </c>
      <c r="C36" s="633" t="s">
        <v>715</v>
      </c>
    </row>
    <row r="37" spans="2:3" ht="20.100000000000001" customHeight="1">
      <c r="B37" s="633" t="s">
        <v>727</v>
      </c>
      <c r="C37" s="633" t="s">
        <v>715</v>
      </c>
    </row>
    <row r="38" spans="2:3" ht="20.100000000000001" customHeight="1">
      <c r="B38" s="633" t="s">
        <v>728</v>
      </c>
      <c r="C38" s="633" t="s">
        <v>715</v>
      </c>
    </row>
    <row r="39" spans="2:3" ht="20.100000000000001" customHeight="1">
      <c r="B39" s="633" t="s">
        <v>729</v>
      </c>
      <c r="C39" s="633" t="s">
        <v>715</v>
      </c>
    </row>
    <row r="40" spans="2:3" ht="20.100000000000001" customHeight="1">
      <c r="B40" s="633" t="s">
        <v>730</v>
      </c>
      <c r="C40" s="633" t="s">
        <v>731</v>
      </c>
    </row>
    <row r="41" spans="2:3" ht="20.100000000000001" customHeight="1">
      <c r="B41" s="633" t="s">
        <v>732</v>
      </c>
      <c r="C41" s="633" t="s">
        <v>731</v>
      </c>
    </row>
    <row r="42" spans="2:3" ht="20.100000000000001" customHeight="1">
      <c r="B42" s="633" t="s">
        <v>733</v>
      </c>
      <c r="C42" s="633" t="s">
        <v>731</v>
      </c>
    </row>
    <row r="43" spans="2:3" ht="20.100000000000001" customHeight="1">
      <c r="B43" s="633" t="s">
        <v>734</v>
      </c>
      <c r="C43" s="633" t="s">
        <v>731</v>
      </c>
    </row>
    <row r="44" spans="2:3" ht="20.100000000000001" customHeight="1">
      <c r="B44" s="633" t="s">
        <v>735</v>
      </c>
      <c r="C44" s="633" t="s">
        <v>731</v>
      </c>
    </row>
    <row r="45" spans="2:3" ht="20.100000000000001" customHeight="1">
      <c r="B45" s="633" t="s">
        <v>736</v>
      </c>
      <c r="C45" s="633" t="s">
        <v>731</v>
      </c>
    </row>
    <row r="46" spans="2:3" ht="20.100000000000001" customHeight="1">
      <c r="B46" s="633" t="s">
        <v>737</v>
      </c>
      <c r="C46" s="633" t="s">
        <v>731</v>
      </c>
    </row>
    <row r="47" spans="2:3" ht="20.100000000000001" customHeight="1">
      <c r="B47" s="633" t="s">
        <v>738</v>
      </c>
      <c r="C47" s="633" t="s">
        <v>731</v>
      </c>
    </row>
    <row r="48" spans="2:3" ht="20.100000000000001" customHeight="1">
      <c r="B48" s="633" t="s">
        <v>739</v>
      </c>
      <c r="C48" s="633" t="s">
        <v>731</v>
      </c>
    </row>
    <row r="49" spans="2:3" ht="20.100000000000001" customHeight="1">
      <c r="B49" s="633" t="s">
        <v>740</v>
      </c>
      <c r="C49" s="633" t="s">
        <v>731</v>
      </c>
    </row>
    <row r="50" spans="2:3" ht="20.100000000000001" customHeight="1">
      <c r="B50" s="633" t="s">
        <v>741</v>
      </c>
      <c r="C50" s="633" t="s">
        <v>731</v>
      </c>
    </row>
    <row r="51" spans="2:3" ht="20.100000000000001" customHeight="1">
      <c r="B51" s="633" t="s">
        <v>742</v>
      </c>
      <c r="C51" s="633" t="s">
        <v>731</v>
      </c>
    </row>
    <row r="52" spans="2:3" ht="20.100000000000001" customHeight="1">
      <c r="B52" s="633" t="s">
        <v>743</v>
      </c>
      <c r="C52" s="633" t="s">
        <v>731</v>
      </c>
    </row>
    <row r="53" spans="2:3" ht="20.100000000000001" customHeight="1">
      <c r="B53" s="633" t="s">
        <v>744</v>
      </c>
      <c r="C53" s="633" t="s">
        <v>731</v>
      </c>
    </row>
    <row r="54" spans="2:3" ht="20.100000000000001" customHeight="1">
      <c r="B54" s="633" t="s">
        <v>745</v>
      </c>
      <c r="C54" s="633" t="s">
        <v>731</v>
      </c>
    </row>
    <row r="55" spans="2:3" ht="20.100000000000001" customHeight="1">
      <c r="B55" s="633" t="s">
        <v>746</v>
      </c>
      <c r="C55" s="633" t="s">
        <v>731</v>
      </c>
    </row>
    <row r="56" spans="2:3" ht="20.100000000000001" customHeight="1">
      <c r="B56" s="633" t="s">
        <v>747</v>
      </c>
      <c r="C56" s="633" t="s">
        <v>731</v>
      </c>
    </row>
    <row r="57" spans="2:3" ht="20.100000000000001" customHeight="1">
      <c r="B57" s="633" t="s">
        <v>748</v>
      </c>
      <c r="C57" s="633" t="s">
        <v>731</v>
      </c>
    </row>
    <row r="58" spans="2:3" ht="20.100000000000001" customHeight="1">
      <c r="B58" s="633" t="s">
        <v>749</v>
      </c>
      <c r="C58" s="633" t="s">
        <v>731</v>
      </c>
    </row>
    <row r="59" spans="2:3" ht="20.100000000000001" customHeight="1">
      <c r="B59" s="633" t="s">
        <v>750</v>
      </c>
      <c r="C59" s="633" t="s">
        <v>731</v>
      </c>
    </row>
    <row r="60" spans="2:3" ht="20.100000000000001" customHeight="1">
      <c r="B60" s="633" t="s">
        <v>751</v>
      </c>
      <c r="C60" s="633" t="s">
        <v>731</v>
      </c>
    </row>
    <row r="61" spans="2:3" ht="20.100000000000001" customHeight="1">
      <c r="B61" s="633" t="s">
        <v>752</v>
      </c>
      <c r="C61" s="633" t="s">
        <v>731</v>
      </c>
    </row>
    <row r="62" spans="2:3" ht="20.100000000000001" customHeight="1">
      <c r="B62" s="633" t="s">
        <v>753</v>
      </c>
      <c r="C62" s="633" t="s">
        <v>731</v>
      </c>
    </row>
    <row r="63" spans="2:3" ht="20.100000000000001" customHeight="1">
      <c r="B63" s="633" t="s">
        <v>754</v>
      </c>
      <c r="C63" s="633" t="s">
        <v>731</v>
      </c>
    </row>
    <row r="64" spans="2:3" ht="20.100000000000001" customHeight="1">
      <c r="B64" s="633" t="s">
        <v>755</v>
      </c>
      <c r="C64" s="633" t="s">
        <v>731</v>
      </c>
    </row>
    <row r="65" spans="2:3" ht="20.100000000000001" customHeight="1">
      <c r="B65" s="633" t="s">
        <v>756</v>
      </c>
      <c r="C65" s="633" t="s">
        <v>731</v>
      </c>
    </row>
    <row r="66" spans="2:3" ht="20.100000000000001" customHeight="1">
      <c r="B66" s="633" t="s">
        <v>757</v>
      </c>
      <c r="C66" s="633" t="s">
        <v>731</v>
      </c>
    </row>
    <row r="67" spans="2:3" ht="20.100000000000001" customHeight="1">
      <c r="B67" s="633" t="s">
        <v>758</v>
      </c>
      <c r="C67" s="633" t="s">
        <v>731</v>
      </c>
    </row>
    <row r="68" spans="2:3" ht="20.100000000000001" customHeight="1">
      <c r="B68" s="633" t="s">
        <v>759</v>
      </c>
      <c r="C68" s="633" t="s">
        <v>760</v>
      </c>
    </row>
    <row r="69" spans="2:3" ht="20.100000000000001" customHeight="1">
      <c r="B69" s="633" t="s">
        <v>761</v>
      </c>
      <c r="C69" s="633" t="s">
        <v>760</v>
      </c>
    </row>
    <row r="70" spans="2:3" ht="20.100000000000001" customHeight="1">
      <c r="B70" s="633" t="s">
        <v>762</v>
      </c>
      <c r="C70" s="633" t="s">
        <v>760</v>
      </c>
    </row>
    <row r="71" spans="2:3" ht="20.100000000000001" customHeight="1">
      <c r="B71" s="633" t="s">
        <v>763</v>
      </c>
      <c r="C71" s="633" t="s">
        <v>760</v>
      </c>
    </row>
    <row r="72" spans="2:3" ht="20.100000000000001" customHeight="1">
      <c r="B72" s="633" t="s">
        <v>764</v>
      </c>
      <c r="C72" s="633" t="s">
        <v>760</v>
      </c>
    </row>
    <row r="73" spans="2:3" ht="20.100000000000001" customHeight="1">
      <c r="B73" s="633" t="s">
        <v>765</v>
      </c>
      <c r="C73" s="633" t="s">
        <v>760</v>
      </c>
    </row>
    <row r="74" spans="2:3" ht="20.100000000000001" customHeight="1">
      <c r="B74" s="633" t="s">
        <v>766</v>
      </c>
      <c r="C74" s="633" t="s">
        <v>760</v>
      </c>
    </row>
    <row r="75" spans="2:3" ht="20.100000000000001" customHeight="1">
      <c r="B75" s="633" t="s">
        <v>767</v>
      </c>
      <c r="C75" s="633" t="s">
        <v>760</v>
      </c>
    </row>
    <row r="76" spans="2:3" ht="20.100000000000001" customHeight="1">
      <c r="B76" s="633" t="s">
        <v>768</v>
      </c>
      <c r="C76" s="633" t="s">
        <v>760</v>
      </c>
    </row>
    <row r="77" spans="2:3" ht="20.100000000000001" customHeight="1">
      <c r="B77" s="633" t="s">
        <v>769</v>
      </c>
      <c r="C77" s="633" t="s">
        <v>760</v>
      </c>
    </row>
    <row r="78" spans="2:3" ht="20.100000000000001" customHeight="1">
      <c r="B78" s="633" t="s">
        <v>770</v>
      </c>
      <c r="C78" s="633" t="s">
        <v>760</v>
      </c>
    </row>
    <row r="79" spans="2:3" ht="20.100000000000001" customHeight="1">
      <c r="B79" s="633" t="s">
        <v>771</v>
      </c>
      <c r="C79" s="633" t="s">
        <v>760</v>
      </c>
    </row>
    <row r="80" spans="2:3" ht="20.100000000000001" customHeight="1">
      <c r="B80" s="633" t="s">
        <v>772</v>
      </c>
      <c r="C80" s="633" t="s">
        <v>760</v>
      </c>
    </row>
    <row r="81" spans="2:3" ht="20.100000000000001" customHeight="1">
      <c r="B81" s="633" t="s">
        <v>773</v>
      </c>
      <c r="C81" s="633" t="s">
        <v>760</v>
      </c>
    </row>
    <row r="82" spans="2:3" ht="20.100000000000001" customHeight="1">
      <c r="B82" s="633" t="s">
        <v>774</v>
      </c>
      <c r="C82" s="633" t="s">
        <v>760</v>
      </c>
    </row>
    <row r="83" spans="2:3" ht="20.100000000000001" customHeight="1">
      <c r="B83" s="633" t="s">
        <v>775</v>
      </c>
      <c r="C83" s="633" t="s">
        <v>760</v>
      </c>
    </row>
    <row r="84" spans="2:3" ht="20.100000000000001" customHeight="1">
      <c r="B84" s="633" t="s">
        <v>776</v>
      </c>
      <c r="C84" s="633" t="s">
        <v>760</v>
      </c>
    </row>
    <row r="85" spans="2:3" ht="20.100000000000001" customHeight="1">
      <c r="B85" s="633" t="s">
        <v>777</v>
      </c>
      <c r="C85" s="633" t="s">
        <v>760</v>
      </c>
    </row>
    <row r="86" spans="2:3" ht="20.100000000000001" customHeight="1">
      <c r="B86" s="633" t="s">
        <v>778</v>
      </c>
      <c r="C86" s="633" t="s">
        <v>760</v>
      </c>
    </row>
    <row r="87" spans="2:3" ht="20.100000000000001" customHeight="1">
      <c r="B87" s="633" t="s">
        <v>779</v>
      </c>
      <c r="C87" s="633" t="s">
        <v>760</v>
      </c>
    </row>
    <row r="88" spans="2:3" ht="20.100000000000001" customHeight="1">
      <c r="B88" s="633" t="s">
        <v>780</v>
      </c>
      <c r="C88" s="633" t="s">
        <v>760</v>
      </c>
    </row>
    <row r="89" spans="2:3" ht="20.100000000000001" customHeight="1">
      <c r="B89" s="633" t="s">
        <v>781</v>
      </c>
      <c r="C89" s="633" t="s">
        <v>760</v>
      </c>
    </row>
    <row r="90" spans="2:3" ht="20.100000000000001" customHeight="1">
      <c r="B90" s="633" t="s">
        <v>782</v>
      </c>
      <c r="C90" s="633" t="s">
        <v>760</v>
      </c>
    </row>
    <row r="91" spans="2:3" ht="20.100000000000001" customHeight="1">
      <c r="B91" s="633" t="s">
        <v>783</v>
      </c>
      <c r="C91" s="633" t="s">
        <v>760</v>
      </c>
    </row>
    <row r="92" spans="2:3" ht="20.100000000000001" customHeight="1">
      <c r="B92" s="633" t="s">
        <v>784</v>
      </c>
      <c r="C92" s="633" t="s">
        <v>760</v>
      </c>
    </row>
    <row r="93" spans="2:3" ht="20.100000000000001" customHeight="1">
      <c r="B93" s="633" t="s">
        <v>785</v>
      </c>
      <c r="C93" s="633" t="s">
        <v>760</v>
      </c>
    </row>
    <row r="94" spans="2:3" ht="20.100000000000001" customHeight="1">
      <c r="B94" s="633" t="s">
        <v>786</v>
      </c>
      <c r="C94" s="633" t="s">
        <v>760</v>
      </c>
    </row>
    <row r="95" spans="2:3" ht="20.100000000000001" customHeight="1">
      <c r="B95" s="633" t="s">
        <v>787</v>
      </c>
      <c r="C95" s="633" t="s">
        <v>760</v>
      </c>
    </row>
    <row r="96" spans="2:3" ht="20.100000000000001" customHeight="1">
      <c r="B96" s="633" t="s">
        <v>788</v>
      </c>
      <c r="C96" s="633" t="s">
        <v>760</v>
      </c>
    </row>
    <row r="97" spans="2:3" ht="20.100000000000001" customHeight="1">
      <c r="B97" s="633" t="s">
        <v>789</v>
      </c>
      <c r="C97" s="633" t="s">
        <v>760</v>
      </c>
    </row>
    <row r="98" spans="2:3" ht="20.100000000000001" customHeight="1">
      <c r="B98" s="633" t="s">
        <v>790</v>
      </c>
      <c r="C98" s="633" t="s">
        <v>760</v>
      </c>
    </row>
    <row r="99" spans="2:3" ht="20.100000000000001" customHeight="1">
      <c r="B99" s="633" t="s">
        <v>791</v>
      </c>
      <c r="C99" s="633" t="s">
        <v>760</v>
      </c>
    </row>
    <row r="100" spans="2:3" ht="20.100000000000001" customHeight="1">
      <c r="B100" s="633" t="s">
        <v>792</v>
      </c>
      <c r="C100" s="633" t="s">
        <v>793</v>
      </c>
    </row>
    <row r="101" spans="2:3" ht="20.100000000000001" customHeight="1">
      <c r="B101" s="633" t="s">
        <v>794</v>
      </c>
      <c r="C101" s="633" t="s">
        <v>793</v>
      </c>
    </row>
    <row r="102" spans="2:3" ht="20.100000000000001" customHeight="1">
      <c r="B102" s="633" t="s">
        <v>795</v>
      </c>
      <c r="C102" s="633" t="s">
        <v>793</v>
      </c>
    </row>
    <row r="103" spans="2:3" ht="20.100000000000001" customHeight="1">
      <c r="B103" s="633" t="s">
        <v>796</v>
      </c>
      <c r="C103" s="633" t="s">
        <v>793</v>
      </c>
    </row>
    <row r="104" spans="2:3" ht="16.5">
      <c r="B104" s="633" t="s">
        <v>797</v>
      </c>
      <c r="C104" s="633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351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594</v>
      </c>
      <c r="T2" s="491" t="s">
        <v>668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574</v>
      </c>
      <c r="E4" s="511" t="s">
        <v>575</v>
      </c>
      <c r="F4" s="511" t="s">
        <v>576</v>
      </c>
      <c r="G4" s="511" t="s">
        <v>577</v>
      </c>
      <c r="H4" s="511" t="s">
        <v>578</v>
      </c>
      <c r="I4" s="511" t="s">
        <v>579</v>
      </c>
      <c r="J4" s="511" t="s">
        <v>580</v>
      </c>
      <c r="K4" s="511" t="s">
        <v>581</v>
      </c>
      <c r="L4" s="511" t="s">
        <v>582</v>
      </c>
      <c r="M4" s="511" t="s">
        <v>583</v>
      </c>
      <c r="N4" s="512" t="s">
        <v>584</v>
      </c>
      <c r="O4" s="513" t="s">
        <v>44</v>
      </c>
      <c r="P4" s="512" t="s">
        <v>45</v>
      </c>
      <c r="S4" s="534" t="s">
        <v>570</v>
      </c>
      <c r="T4" s="535" t="s">
        <v>571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547</v>
      </c>
      <c r="T5" s="496" t="s">
        <v>674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323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802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801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40" t="s">
        <v>192</v>
      </c>
      <c r="J24" s="641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42" t="s">
        <v>191</v>
      </c>
      <c r="J25" s="643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44" t="s">
        <v>243</v>
      </c>
      <c r="J26" s="645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333</v>
      </c>
    </row>
    <row r="32" spans="2:16" ht="25.5" customHeight="1" thickBot="1">
      <c r="B32" s="632" t="s">
        <v>838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34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35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35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35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63" t="s">
        <v>226</v>
      </c>
      <c r="G43" s="661">
        <v>75</v>
      </c>
      <c r="H43" s="337">
        <v>24.59</v>
      </c>
      <c r="I43" s="662">
        <v>124.04951191231021</v>
      </c>
    </row>
    <row r="44" spans="6:19" ht="15.95" customHeight="1">
      <c r="F44" s="656"/>
      <c r="G44" s="654"/>
      <c r="H44" s="243">
        <v>11.56</v>
      </c>
      <c r="I44" s="647"/>
      <c r="K44" s="293"/>
    </row>
    <row r="45" spans="6:19" ht="15.95" customHeight="1">
      <c r="F45" s="658" t="s">
        <v>227</v>
      </c>
      <c r="G45" s="655">
        <v>75</v>
      </c>
      <c r="H45" s="204">
        <v>27.67</v>
      </c>
      <c r="I45" s="646">
        <v>124.03640539194781</v>
      </c>
      <c r="K45" s="293"/>
    </row>
    <row r="46" spans="6:19" ht="15.95" customHeight="1">
      <c r="F46" s="658"/>
      <c r="G46" s="655"/>
      <c r="H46" s="204">
        <v>13.01</v>
      </c>
      <c r="I46" s="646"/>
      <c r="K46" s="293"/>
    </row>
    <row r="47" spans="6:19" ht="15.95" customHeight="1">
      <c r="F47" s="656"/>
      <c r="G47" s="654"/>
      <c r="H47" s="243"/>
      <c r="I47" s="647"/>
      <c r="K47" s="293"/>
    </row>
    <row r="48" spans="6:19" ht="15.95" customHeight="1">
      <c r="F48" s="656"/>
      <c r="G48" s="654"/>
      <c r="H48" s="243"/>
      <c r="I48" s="647"/>
      <c r="K48" s="293"/>
    </row>
    <row r="49" spans="6:11" ht="15.95" customHeight="1">
      <c r="F49" s="658"/>
      <c r="G49" s="655"/>
      <c r="H49" s="204"/>
      <c r="I49" s="646"/>
      <c r="K49" s="293"/>
    </row>
    <row r="50" spans="6:11" ht="15.95" customHeight="1">
      <c r="F50" s="658"/>
      <c r="G50" s="655"/>
      <c r="H50" s="204"/>
      <c r="I50" s="646"/>
      <c r="K50" s="293"/>
    </row>
    <row r="51" spans="6:11" ht="15.95" customHeight="1">
      <c r="F51" s="656"/>
      <c r="G51" s="654"/>
      <c r="H51" s="243"/>
      <c r="I51" s="647"/>
      <c r="K51" s="293"/>
    </row>
    <row r="52" spans="6:11" ht="15.95" customHeight="1">
      <c r="F52" s="656"/>
      <c r="G52" s="654"/>
      <c r="H52" s="243"/>
      <c r="I52" s="647"/>
      <c r="K52" s="293"/>
    </row>
    <row r="53" spans="6:11" ht="15.95" customHeight="1">
      <c r="F53" s="658"/>
      <c r="G53" s="655"/>
      <c r="H53" s="204"/>
      <c r="I53" s="646"/>
      <c r="K53" s="293"/>
    </row>
    <row r="54" spans="6:11" ht="15.95" customHeight="1">
      <c r="F54" s="658"/>
      <c r="G54" s="655"/>
      <c r="H54" s="204"/>
      <c r="I54" s="646"/>
      <c r="K54" s="293"/>
    </row>
    <row r="55" spans="6:11" ht="15.95" customHeight="1">
      <c r="F55" s="656"/>
      <c r="G55" s="654"/>
      <c r="H55" s="243"/>
      <c r="I55" s="647"/>
      <c r="K55" s="293"/>
    </row>
    <row r="56" spans="6:11" ht="15.95" customHeight="1">
      <c r="F56" s="656"/>
      <c r="G56" s="654"/>
      <c r="H56" s="243"/>
      <c r="I56" s="647"/>
      <c r="K56" s="293"/>
    </row>
    <row r="57" spans="6:11" ht="15.95" hidden="1" customHeight="1" outlineLevel="1">
      <c r="F57" s="658"/>
      <c r="G57" s="655"/>
      <c r="H57" s="204"/>
      <c r="I57" s="646"/>
      <c r="K57" s="293"/>
    </row>
    <row r="58" spans="6:11" ht="15.95" hidden="1" customHeight="1" outlineLevel="1">
      <c r="F58" s="658"/>
      <c r="G58" s="655"/>
      <c r="H58" s="204"/>
      <c r="I58" s="646"/>
      <c r="K58" s="293"/>
    </row>
    <row r="59" spans="6:11" ht="15.95" hidden="1" customHeight="1" outlineLevel="1">
      <c r="F59" s="656"/>
      <c r="G59" s="654"/>
      <c r="H59" s="243"/>
      <c r="I59" s="647"/>
      <c r="K59" s="293"/>
    </row>
    <row r="60" spans="6:11" ht="15.95" hidden="1" customHeight="1" outlineLevel="1">
      <c r="F60" s="656"/>
      <c r="G60" s="654"/>
      <c r="H60" s="243"/>
      <c r="I60" s="647"/>
      <c r="K60" s="293"/>
    </row>
    <row r="61" spans="6:11" ht="15.95" hidden="1" customHeight="1" outlineLevel="1">
      <c r="F61" s="658"/>
      <c r="G61" s="655"/>
      <c r="H61" s="204"/>
      <c r="I61" s="646"/>
      <c r="K61" s="293"/>
    </row>
    <row r="62" spans="6:11" ht="15.95" hidden="1" customHeight="1" outlineLevel="1">
      <c r="F62" s="658"/>
      <c r="G62" s="655"/>
      <c r="H62" s="204"/>
      <c r="I62" s="646"/>
      <c r="K62" s="293"/>
    </row>
    <row r="63" spans="6:11" ht="15.95" hidden="1" customHeight="1" outlineLevel="1">
      <c r="F63" s="656"/>
      <c r="G63" s="654"/>
      <c r="H63" s="243"/>
      <c r="I63" s="647"/>
      <c r="K63" s="293"/>
    </row>
    <row r="64" spans="6:11" ht="15.95" hidden="1" customHeight="1" outlineLevel="1">
      <c r="F64" s="656"/>
      <c r="G64" s="654"/>
      <c r="H64" s="243"/>
      <c r="I64" s="647"/>
      <c r="K64" s="293"/>
    </row>
    <row r="65" spans="6:11" ht="15.95" hidden="1" customHeight="1" outlineLevel="1">
      <c r="F65" s="658"/>
      <c r="G65" s="655"/>
      <c r="H65" s="204"/>
      <c r="I65" s="646"/>
      <c r="K65" s="293"/>
    </row>
    <row r="66" spans="6:11" ht="15.95" hidden="1" customHeight="1" outlineLevel="1">
      <c r="F66" s="658"/>
      <c r="G66" s="655"/>
      <c r="H66" s="204"/>
      <c r="I66" s="646"/>
      <c r="K66" s="293"/>
    </row>
    <row r="67" spans="6:11" ht="15.95" hidden="1" customHeight="1" outlineLevel="1">
      <c r="F67" s="656"/>
      <c r="G67" s="654"/>
      <c r="H67" s="243"/>
      <c r="I67" s="647"/>
      <c r="K67" s="293"/>
    </row>
    <row r="68" spans="6:11" ht="15.95" hidden="1" customHeight="1" outlineLevel="1">
      <c r="F68" s="656"/>
      <c r="G68" s="654"/>
      <c r="H68" s="243"/>
      <c r="I68" s="647"/>
      <c r="K68" s="293"/>
    </row>
    <row r="69" spans="6:11" ht="15.95" hidden="1" customHeight="1" outlineLevel="1">
      <c r="F69" s="658"/>
      <c r="G69" s="655"/>
      <c r="H69" s="204"/>
      <c r="I69" s="646"/>
      <c r="K69" s="293"/>
    </row>
    <row r="70" spans="6:11" ht="15.95" hidden="1" customHeight="1" outlineLevel="1">
      <c r="F70" s="658"/>
      <c r="G70" s="655"/>
      <c r="H70" s="204"/>
      <c r="I70" s="646"/>
      <c r="K70" s="293"/>
    </row>
    <row r="71" spans="6:11" ht="15.95" hidden="1" customHeight="1" outlineLevel="1">
      <c r="F71" s="656"/>
      <c r="G71" s="654"/>
      <c r="H71" s="243"/>
      <c r="I71" s="647"/>
      <c r="K71" s="293"/>
    </row>
    <row r="72" spans="6:11" ht="15.95" hidden="1" customHeight="1" outlineLevel="1">
      <c r="F72" s="656"/>
      <c r="G72" s="654"/>
      <c r="H72" s="243"/>
      <c r="I72" s="647"/>
      <c r="K72" s="293"/>
    </row>
    <row r="73" spans="6:11" ht="15.95" hidden="1" customHeight="1" outlineLevel="1">
      <c r="F73" s="658"/>
      <c r="G73" s="655"/>
      <c r="H73" s="204"/>
      <c r="I73" s="646"/>
    </row>
    <row r="74" spans="6:11" ht="15.95" hidden="1" customHeight="1" outlineLevel="1">
      <c r="F74" s="658"/>
      <c r="G74" s="655"/>
      <c r="H74" s="204"/>
      <c r="I74" s="646"/>
    </row>
    <row r="75" spans="6:11" ht="15.95" hidden="1" customHeight="1" outlineLevel="1">
      <c r="F75" s="656"/>
      <c r="G75" s="654"/>
      <c r="H75" s="243"/>
      <c r="I75" s="647"/>
    </row>
    <row r="76" spans="6:11" ht="15.95" hidden="1" customHeight="1" outlineLevel="1">
      <c r="F76" s="656"/>
      <c r="G76" s="654"/>
      <c r="H76" s="243"/>
      <c r="I76" s="647"/>
    </row>
    <row r="77" spans="6:11" ht="15.95" hidden="1" customHeight="1" outlineLevel="1">
      <c r="F77" s="658"/>
      <c r="G77" s="655"/>
      <c r="H77" s="204"/>
      <c r="I77" s="646"/>
    </row>
    <row r="78" spans="6:11" ht="15.95" hidden="1" customHeight="1" outlineLevel="1">
      <c r="F78" s="658"/>
      <c r="G78" s="655"/>
      <c r="H78" s="204"/>
      <c r="I78" s="646"/>
    </row>
    <row r="79" spans="6:11" ht="15.95" hidden="1" customHeight="1" outlineLevel="1">
      <c r="F79" s="656"/>
      <c r="G79" s="654"/>
      <c r="H79" s="243"/>
      <c r="I79" s="647"/>
    </row>
    <row r="80" spans="6:11" ht="15.95" hidden="1" customHeight="1" outlineLevel="1">
      <c r="F80" s="656"/>
      <c r="G80" s="654"/>
      <c r="H80" s="243"/>
      <c r="I80" s="647"/>
    </row>
    <row r="81" spans="6:9" ht="15.95" hidden="1" customHeight="1" outlineLevel="1">
      <c r="F81" s="658"/>
      <c r="G81" s="655"/>
      <c r="H81" s="204"/>
      <c r="I81" s="646"/>
    </row>
    <row r="82" spans="6:9" ht="15.95" hidden="1" customHeight="1" outlineLevel="1">
      <c r="F82" s="658"/>
      <c r="G82" s="655"/>
      <c r="H82" s="204"/>
      <c r="I82" s="646"/>
    </row>
    <row r="83" spans="6:9" ht="15.95" hidden="1" customHeight="1" outlineLevel="1">
      <c r="F83" s="656"/>
      <c r="G83" s="654"/>
      <c r="H83" s="243"/>
      <c r="I83" s="647"/>
    </row>
    <row r="84" spans="6:9" ht="15.95" hidden="1" customHeight="1" outlineLevel="1">
      <c r="F84" s="656"/>
      <c r="G84" s="654"/>
      <c r="H84" s="243"/>
      <c r="I84" s="647"/>
    </row>
    <row r="85" spans="6:9" ht="15.95" hidden="1" customHeight="1" outlineLevel="1">
      <c r="F85" s="658"/>
      <c r="G85" s="655"/>
      <c r="H85" s="204"/>
      <c r="I85" s="646"/>
    </row>
    <row r="86" spans="6:9" ht="15.95" hidden="1" customHeight="1" outlineLevel="1">
      <c r="F86" s="658"/>
      <c r="G86" s="655"/>
      <c r="H86" s="204"/>
      <c r="I86" s="646"/>
    </row>
    <row r="87" spans="6:9" ht="15.95" hidden="1" customHeight="1" outlineLevel="1">
      <c r="F87" s="656"/>
      <c r="G87" s="654"/>
      <c r="H87" s="243"/>
      <c r="I87" s="647"/>
    </row>
    <row r="88" spans="6:9" ht="15.95" hidden="1" customHeight="1" outlineLevel="1">
      <c r="F88" s="656"/>
      <c r="G88" s="654"/>
      <c r="H88" s="243"/>
      <c r="I88" s="647"/>
    </row>
    <row r="89" spans="6:9" ht="15.95" hidden="1" customHeight="1" outlineLevel="1">
      <c r="F89" s="658"/>
      <c r="G89" s="655"/>
      <c r="H89" s="204"/>
      <c r="I89" s="646"/>
    </row>
    <row r="90" spans="6:9" ht="15.95" hidden="1" customHeight="1" outlineLevel="1">
      <c r="F90" s="658"/>
      <c r="G90" s="655"/>
      <c r="H90" s="204"/>
      <c r="I90" s="646"/>
    </row>
    <row r="91" spans="6:9" ht="15.95" hidden="1" customHeight="1" outlineLevel="1">
      <c r="F91" s="656"/>
      <c r="G91" s="654"/>
      <c r="H91" s="243"/>
      <c r="I91" s="647"/>
    </row>
    <row r="92" spans="6:9" ht="15.95" hidden="1" customHeight="1" outlineLevel="1">
      <c r="F92" s="656"/>
      <c r="G92" s="654"/>
      <c r="H92" s="243"/>
      <c r="I92" s="647"/>
    </row>
    <row r="93" spans="6:9" ht="15.95" hidden="1" customHeight="1" outlineLevel="1">
      <c r="F93" s="658"/>
      <c r="G93" s="655"/>
      <c r="H93" s="204"/>
      <c r="I93" s="646"/>
    </row>
    <row r="94" spans="6:9" ht="15.95" hidden="1" customHeight="1" outlineLevel="1">
      <c r="F94" s="658"/>
      <c r="G94" s="655"/>
      <c r="H94" s="204"/>
      <c r="I94" s="646"/>
    </row>
    <row r="95" spans="6:9" ht="15.95" hidden="1" customHeight="1" outlineLevel="1">
      <c r="F95" s="657"/>
      <c r="G95" s="659"/>
      <c r="H95" s="141"/>
      <c r="I95" s="660"/>
    </row>
    <row r="96" spans="6:9" ht="15.95" hidden="1" customHeight="1" outlineLevel="1">
      <c r="F96" s="657"/>
      <c r="G96" s="659"/>
      <c r="H96" s="141"/>
      <c r="I96" s="660"/>
    </row>
    <row r="97" spans="6:9" ht="15.95" hidden="1" customHeight="1" outlineLevel="1">
      <c r="F97" s="648"/>
      <c r="G97" s="650"/>
      <c r="H97" s="215"/>
      <c r="I97" s="652"/>
    </row>
    <row r="98" spans="6:9" ht="15.95" hidden="1" customHeight="1" outlineLevel="1">
      <c r="F98" s="648"/>
      <c r="G98" s="650"/>
      <c r="H98" s="215"/>
      <c r="I98" s="652"/>
    </row>
    <row r="99" spans="6:9" ht="15.95" hidden="1" customHeight="1" outlineLevel="1">
      <c r="F99" s="657"/>
      <c r="G99" s="659"/>
      <c r="H99" s="141"/>
      <c r="I99" s="660"/>
    </row>
    <row r="100" spans="6:9" ht="15.95" hidden="1" customHeight="1" outlineLevel="1">
      <c r="F100" s="657"/>
      <c r="G100" s="659"/>
      <c r="H100" s="141"/>
      <c r="I100" s="660"/>
    </row>
    <row r="101" spans="6:9" ht="15.95" hidden="1" customHeight="1" outlineLevel="1">
      <c r="F101" s="648"/>
      <c r="G101" s="650"/>
      <c r="H101" s="215"/>
      <c r="I101" s="652"/>
    </row>
    <row r="102" spans="6:9" ht="15.95" hidden="1" customHeight="1" outlineLevel="1" thickBot="1">
      <c r="F102" s="649"/>
      <c r="G102" s="651"/>
      <c r="H102" s="328"/>
      <c r="I102" s="65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64" t="s">
        <v>85</v>
      </c>
      <c r="D48" s="141" t="s">
        <v>643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65"/>
      <c r="D49" s="141" t="s">
        <v>644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66"/>
      <c r="D50" s="141" t="s">
        <v>645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48" t="s">
        <v>154</v>
      </c>
      <c r="D51" s="215" t="s">
        <v>643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48"/>
      <c r="D52" s="215" t="s">
        <v>644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48"/>
      <c r="D53" s="215" t="s">
        <v>645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57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57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57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48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48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48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57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57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57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48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48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48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57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57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57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48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48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48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57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57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57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48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48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48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57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57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57"/>
      <c r="D80" s="141" t="s">
        <v>247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48" t="s">
        <v>623</v>
      </c>
      <c r="D81" s="215" t="s">
        <v>245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48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48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57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57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57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48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48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48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57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57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57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48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48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48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57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57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57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48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48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48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57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57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57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48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48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48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57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57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57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48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48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48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57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57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57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48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48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48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57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57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57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48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48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48"/>
      <c r="D125" s="215" t="s">
        <v>247</v>
      </c>
      <c r="E125" s="217"/>
      <c r="F125" s="218"/>
      <c r="H125" s="292"/>
    </row>
    <row r="126" spans="3:8" ht="20.25" hidden="1" customHeight="1" outlineLevel="1">
      <c r="C126" s="657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57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57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48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48"/>
      <c r="D130" s="215" t="s">
        <v>246</v>
      </c>
      <c r="E130" s="323"/>
      <c r="F130" s="325"/>
    </row>
    <row r="131" spans="3:12" ht="20.100000000000001" hidden="1" customHeight="1" outlineLevel="1">
      <c r="C131" s="648"/>
      <c r="D131" s="215" t="s">
        <v>247</v>
      </c>
      <c r="E131" s="326"/>
      <c r="F131" s="327"/>
    </row>
    <row r="132" spans="3:12" ht="20.100000000000001" hidden="1" customHeight="1" outlineLevel="1">
      <c r="C132" s="657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57"/>
      <c r="D133" s="141" t="s">
        <v>246</v>
      </c>
      <c r="E133" s="318"/>
      <c r="F133" s="320"/>
    </row>
    <row r="134" spans="3:12" ht="20.100000000000001" hidden="1" customHeight="1" outlineLevel="1">
      <c r="C134" s="657"/>
      <c r="D134" s="141" t="s">
        <v>247</v>
      </c>
      <c r="E134" s="321"/>
      <c r="F134" s="322"/>
    </row>
    <row r="135" spans="3:12" ht="20.100000000000001" hidden="1" customHeight="1" outlineLevel="1">
      <c r="C135" s="648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48"/>
      <c r="D136" s="215" t="s">
        <v>246</v>
      </c>
      <c r="E136" s="323"/>
      <c r="F136" s="325"/>
    </row>
    <row r="137" spans="3:12" ht="20.100000000000001" hidden="1" customHeight="1" outlineLevel="1" thickBot="1">
      <c r="C137" s="649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98">
        <v>5.923</v>
      </c>
      <c r="H4" s="117">
        <v>0.03</v>
      </c>
      <c r="I4" s="117">
        <v>101</v>
      </c>
      <c r="J4" s="399">
        <v>101</v>
      </c>
      <c r="K4" s="117">
        <v>265</v>
      </c>
      <c r="L4" s="399">
        <v>265</v>
      </c>
      <c r="M4" s="117">
        <v>3.3E-3</v>
      </c>
      <c r="N4" s="398">
        <v>3.3E-3</v>
      </c>
      <c r="O4" s="400" t="s">
        <v>237</v>
      </c>
    </row>
    <row r="5" spans="3:15" ht="20.100000000000001" customHeight="1">
      <c r="C5" s="116"/>
      <c r="D5" s="117"/>
      <c r="E5" s="117"/>
      <c r="F5" s="117"/>
      <c r="G5" s="398"/>
      <c r="H5" s="117"/>
      <c r="I5" s="117"/>
      <c r="J5" s="399"/>
      <c r="K5" s="117"/>
      <c r="L5" s="399"/>
      <c r="M5" s="117"/>
      <c r="N5" s="398"/>
      <c r="O5" s="400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679</v>
      </c>
      <c r="E11" s="119" t="s">
        <v>680</v>
      </c>
      <c r="F11" s="119" t="s">
        <v>270</v>
      </c>
      <c r="G11" s="119" t="s">
        <v>681</v>
      </c>
      <c r="H11" s="119" t="s">
        <v>682</v>
      </c>
      <c r="I11" s="119" t="s">
        <v>271</v>
      </c>
      <c r="J11" s="120" t="s">
        <v>683</v>
      </c>
      <c r="K11" s="370"/>
      <c r="L11" s="118" t="s">
        <v>679</v>
      </c>
      <c r="M11" s="119" t="s">
        <v>680</v>
      </c>
      <c r="N11" s="119" t="s">
        <v>270</v>
      </c>
      <c r="O11" s="119" t="s">
        <v>681</v>
      </c>
      <c r="P11" s="119" t="s">
        <v>682</v>
      </c>
      <c r="Q11" s="119" t="s">
        <v>161</v>
      </c>
      <c r="R11" s="119" t="s">
        <v>271</v>
      </c>
      <c r="S11" s="120" t="s">
        <v>683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92"/>
      <c r="I44" s="118" t="s">
        <v>257</v>
      </c>
      <c r="J44" s="119" t="s">
        <v>686</v>
      </c>
      <c r="K44" s="120" t="s">
        <v>687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806</v>
      </c>
      <c r="F45" s="277" t="s">
        <v>807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806</v>
      </c>
      <c r="N45" s="277" t="s">
        <v>808</v>
      </c>
      <c r="O45" s="278" t="s">
        <v>809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810</v>
      </c>
      <c r="F46" s="274" t="s">
        <v>811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810</v>
      </c>
      <c r="N46" s="274" t="s">
        <v>812</v>
      </c>
      <c r="O46" s="275" t="s">
        <v>813</v>
      </c>
      <c r="P46" s="293"/>
      <c r="Q46" s="95">
        <f>MIN(J45:J74)</f>
        <v>105</v>
      </c>
      <c r="R46" s="124" t="s">
        <v>688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L20" sqref="L2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840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693" t="s">
        <v>0</v>
      </c>
      <c r="B2" s="694" t="s">
        <v>39</v>
      </c>
      <c r="C2" s="694" t="s">
        <v>6</v>
      </c>
      <c r="D2" s="694" t="s">
        <v>38</v>
      </c>
      <c r="E2" s="694" t="s">
        <v>201</v>
      </c>
      <c r="F2" s="694" t="s">
        <v>200</v>
      </c>
      <c r="G2" s="695" t="s">
        <v>1</v>
      </c>
      <c r="H2" s="695" t="s">
        <v>2</v>
      </c>
      <c r="I2" s="695" t="s">
        <v>169</v>
      </c>
      <c r="J2" s="696" t="s">
        <v>253</v>
      </c>
      <c r="K2" s="695" t="s">
        <v>252</v>
      </c>
      <c r="L2" s="695" t="s">
        <v>3</v>
      </c>
      <c r="M2" s="695" t="s">
        <v>4</v>
      </c>
      <c r="N2" s="695" t="s">
        <v>5</v>
      </c>
      <c r="O2" s="695" t="s">
        <v>251</v>
      </c>
      <c r="P2" s="697" t="s">
        <v>250</v>
      </c>
      <c r="Q2" s="694" t="s">
        <v>156</v>
      </c>
      <c r="R2" s="698" t="s">
        <v>91</v>
      </c>
    </row>
    <row r="3" spans="1:18" s="53" customFormat="1" ht="27" customHeight="1">
      <c r="A3" s="699"/>
      <c r="B3" s="700"/>
      <c r="C3" s="700"/>
      <c r="D3" s="700"/>
      <c r="E3" s="700"/>
      <c r="F3" s="700"/>
      <c r="G3" s="701"/>
      <c r="H3" s="701"/>
      <c r="I3" s="701"/>
      <c r="J3" s="702"/>
      <c r="K3" s="701"/>
      <c r="L3" s="701"/>
      <c r="M3" s="701"/>
      <c r="N3" s="701"/>
      <c r="O3" s="701"/>
      <c r="P3" s="703"/>
      <c r="Q3" s="700"/>
      <c r="R3" s="704"/>
    </row>
    <row r="4" spans="1:18" ht="23.1" customHeight="1">
      <c r="A4" s="705" t="s">
        <v>805</v>
      </c>
      <c r="B4" s="706" t="str">
        <f>Recharge!$B$32</f>
        <v>주식회사 한일지하수</v>
      </c>
      <c r="C4" s="707"/>
      <c r="D4" s="708" t="s">
        <v>839</v>
      </c>
      <c r="E4" s="708" t="str">
        <f>Recharge!$I$24</f>
        <v>금강서해/대호방조제</v>
      </c>
      <c r="F4" s="708" t="str">
        <f>All!$B$2</f>
        <v>서산기상청</v>
      </c>
      <c r="G4" s="708">
        <v>200</v>
      </c>
      <c r="H4" s="708">
        <v>129</v>
      </c>
      <c r="I4" s="708">
        <v>120</v>
      </c>
      <c r="J4" s="708">
        <v>120</v>
      </c>
      <c r="K4" s="708">
        <v>210</v>
      </c>
      <c r="L4" s="708">
        <v>5</v>
      </c>
      <c r="M4" s="708">
        <v>60</v>
      </c>
      <c r="N4" s="709">
        <v>50</v>
      </c>
      <c r="O4" s="710">
        <f>ROUND(water!$F$7, 1)</f>
        <v>204.1</v>
      </c>
      <c r="P4" s="711">
        <v>2932685.6872</v>
      </c>
      <c r="Q4" s="708"/>
      <c r="R4" s="712"/>
    </row>
    <row r="5" spans="1:18" ht="23.1" customHeight="1" thickBot="1">
      <c r="A5" s="713" t="s">
        <v>826</v>
      </c>
      <c r="B5" s="714" t="str">
        <f>Recharge!$B$32</f>
        <v>주식회사 한일지하수</v>
      </c>
      <c r="C5" s="715"/>
      <c r="D5" s="716" t="s">
        <v>839</v>
      </c>
      <c r="E5" s="716" t="str">
        <f>Recharge!$I$24</f>
        <v>금강서해/대호방조제</v>
      </c>
      <c r="F5" s="716" t="str">
        <f>All!$B$2</f>
        <v>서산기상청</v>
      </c>
      <c r="G5" s="716">
        <v>200</v>
      </c>
      <c r="H5" s="716">
        <v>72</v>
      </c>
      <c r="I5" s="716">
        <v>120</v>
      </c>
      <c r="J5" s="716">
        <v>120</v>
      </c>
      <c r="K5" s="716">
        <v>197</v>
      </c>
      <c r="L5" s="716">
        <v>5</v>
      </c>
      <c r="M5" s="716">
        <v>60</v>
      </c>
      <c r="N5" s="717">
        <v>40</v>
      </c>
      <c r="O5" s="718">
        <f>ROUND(water!$F$7, 1)</f>
        <v>204.1</v>
      </c>
      <c r="P5" s="719">
        <v>2932685.6872</v>
      </c>
      <c r="Q5" s="716"/>
      <c r="R5" s="720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>충청남도 당진시 송악읍 신평로 1469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80">
        <f>Well!C4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1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1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82" t="str">
        <f>Well!D4</f>
        <v>충청남도 당진시 송악읍 신평로 1469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607" t="s">
        <v>55</v>
      </c>
      <c r="C7" s="683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84">
        <f>Well!G4</f>
        <v>200</v>
      </c>
    </row>
    <row r="9" spans="1:13" ht="25.5" customHeight="1" thickBot="1">
      <c r="B9" s="607" t="s">
        <v>59</v>
      </c>
      <c r="C9" s="685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86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86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7">
        <f>C7-C9</f>
        <v>117</v>
      </c>
      <c r="H12" s="9"/>
      <c r="J12" s="157" t="s">
        <v>116</v>
      </c>
      <c r="K12" s="639">
        <v>153</v>
      </c>
      <c r="L12" s="638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87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7" t="s">
        <v>66</v>
      </c>
      <c r="C14" s="688">
        <f>C7-IF(C20&gt;C9,C20,C9)</f>
        <v>117</v>
      </c>
      <c r="F14" s="612"/>
      <c r="G14" s="611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7" t="s">
        <v>67</v>
      </c>
      <c r="C15" s="684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89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90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90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91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6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7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92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667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8" t="s">
        <v>677</v>
      </c>
    </row>
    <row r="27" spans="2:12" ht="25.5" customHeight="1">
      <c r="B27" s="66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598</v>
      </c>
    </row>
    <row r="28" spans="2:12" ht="25.5" customHeight="1">
      <c r="B28" s="66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6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6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6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충청남도 당진시 송악읍 신평로 1469</v>
      </c>
      <c r="D2" s="598"/>
      <c r="E2" s="598"/>
      <c r="F2" s="598"/>
      <c r="G2" s="598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80">
        <f>Well!C5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1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1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82" t="str">
        <f>Well!D5</f>
        <v>충청남도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607" t="s">
        <v>55</v>
      </c>
      <c r="C7" s="683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84">
        <f>Well!G5</f>
        <v>200</v>
      </c>
    </row>
    <row r="9" spans="1:13" ht="25.5" customHeight="1" thickBot="1">
      <c r="B9" s="607" t="s">
        <v>59</v>
      </c>
      <c r="C9" s="685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86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86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7">
        <f>C7-C9</f>
        <v>59</v>
      </c>
      <c r="H12" s="9"/>
      <c r="J12" s="157" t="s">
        <v>116</v>
      </c>
      <c r="K12" s="639">
        <v>150</v>
      </c>
      <c r="L12" s="638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87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7" t="s">
        <v>66</v>
      </c>
      <c r="C14" s="688">
        <f>C7-IF(C20&gt;C9,C20,C9)</f>
        <v>59</v>
      </c>
      <c r="F14" s="612"/>
      <c r="G14" s="611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7" t="s">
        <v>67</v>
      </c>
      <c r="C15" s="684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89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90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90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91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9" t="s">
        <v>75</v>
      </c>
      <c r="C20" s="636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37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10" t="s">
        <v>161</v>
      </c>
      <c r="C22" s="692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667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8" t="s">
        <v>677</v>
      </c>
    </row>
    <row r="27" spans="2:12" ht="25.5" customHeight="1">
      <c r="B27" s="66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598</v>
      </c>
    </row>
    <row r="28" spans="2:12" ht="25.5" customHeight="1">
      <c r="B28" s="66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6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6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6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2" t="s">
        <v>84</v>
      </c>
      <c r="C12" s="673"/>
      <c r="D12" s="673" t="s">
        <v>85</v>
      </c>
      <c r="E12" s="673"/>
      <c r="F12" s="674"/>
      <c r="H12" s="672" t="s">
        <v>85</v>
      </c>
      <c r="I12" s="673"/>
      <c r="J12" s="67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675" t="s">
        <v>36</v>
      </c>
      <c r="C24" s="676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675" t="s">
        <v>37</v>
      </c>
      <c r="C25" s="676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670" t="s">
        <v>90</v>
      </c>
      <c r="C26" s="671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72" t="s">
        <v>84</v>
      </c>
      <c r="C12" s="673"/>
      <c r="D12" s="673" t="s">
        <v>85</v>
      </c>
      <c r="E12" s="673"/>
      <c r="F12" s="673"/>
      <c r="G12" s="673" t="s">
        <v>154</v>
      </c>
      <c r="H12" s="673"/>
      <c r="I12" s="674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675" t="s">
        <v>36</v>
      </c>
      <c r="C24" s="676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675" t="s">
        <v>37</v>
      </c>
      <c r="C25" s="676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670" t="s">
        <v>90</v>
      </c>
      <c r="C26" s="671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77" t="s">
        <v>85</v>
      </c>
      <c r="E29" s="678"/>
      <c r="F29" s="679"/>
      <c r="H29" s="677" t="s">
        <v>154</v>
      </c>
      <c r="I29" s="678"/>
      <c r="J29" s="67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72" t="s">
        <v>84</v>
      </c>
      <c r="C12" s="673"/>
      <c r="D12" s="673" t="s">
        <v>85</v>
      </c>
      <c r="E12" s="673"/>
      <c r="F12" s="673"/>
      <c r="G12" s="673" t="s">
        <v>154</v>
      </c>
      <c r="H12" s="673"/>
      <c r="I12" s="673"/>
      <c r="J12" s="673" t="s">
        <v>155</v>
      </c>
      <c r="K12" s="673"/>
      <c r="L12" s="674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675" t="s">
        <v>36</v>
      </c>
      <c r="C24" s="676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675" t="s">
        <v>37</v>
      </c>
      <c r="C25" s="676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670" t="s">
        <v>90</v>
      </c>
      <c r="C26" s="671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77" t="s">
        <v>85</v>
      </c>
      <c r="E29" s="678"/>
      <c r="F29" s="679"/>
      <c r="H29" s="677" t="s">
        <v>154</v>
      </c>
      <c r="I29" s="678"/>
      <c r="J29" s="679"/>
      <c r="L29" s="677" t="s">
        <v>155</v>
      </c>
      <c r="M29" s="678"/>
      <c r="N29" s="67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2" t="s">
        <v>84</v>
      </c>
      <c r="C12" s="673"/>
      <c r="D12" s="673" t="s">
        <v>85</v>
      </c>
      <c r="E12" s="673"/>
      <c r="F12" s="674"/>
      <c r="H12" s="672" t="s">
        <v>85</v>
      </c>
      <c r="I12" s="673"/>
      <c r="J12" s="67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75" t="s">
        <v>36</v>
      </c>
      <c r="C24" s="676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675" t="s">
        <v>37</v>
      </c>
      <c r="C25" s="676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670" t="s">
        <v>90</v>
      </c>
      <c r="C26" s="671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2" t="s">
        <v>84</v>
      </c>
      <c r="C12" s="673"/>
      <c r="D12" s="673" t="s">
        <v>154</v>
      </c>
      <c r="E12" s="673"/>
      <c r="F12" s="674"/>
      <c r="H12" s="672" t="s">
        <v>154</v>
      </c>
      <c r="I12" s="673"/>
      <c r="J12" s="67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75" t="s">
        <v>36</v>
      </c>
      <c r="C24" s="676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675" t="s">
        <v>37</v>
      </c>
      <c r="C25" s="676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670" t="s">
        <v>90</v>
      </c>
      <c r="C26" s="671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2024-07-09T05:18:29Z</dcterms:modified>
</cp:coreProperties>
</file>