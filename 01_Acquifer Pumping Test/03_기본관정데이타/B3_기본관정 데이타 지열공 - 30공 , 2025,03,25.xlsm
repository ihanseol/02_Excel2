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1EB4267-B945-45B8-829F-6146720DC13B}" xr6:coauthVersionLast="47" xr6:coauthVersionMax="47" xr10:uidLastSave="{00000000-0000-0000-0000-000000000000}"/>
  <bookViews>
    <workbookView xWindow="6675" yWindow="735" windowWidth="29775" windowHeight="19965" tabRatio="612" firstSheet="15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22" r:id="rId18"/>
    <sheet name="3" sheetId="223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23" l="1"/>
  <c r="E17" i="223"/>
  <c r="C19" i="223"/>
  <c r="C18" i="223"/>
  <c r="C17" i="223"/>
  <c r="C16" i="223"/>
  <c r="C15" i="223"/>
  <c r="C8" i="223"/>
  <c r="C7" i="223"/>
  <c r="C6" i="223"/>
  <c r="C5" i="223"/>
  <c r="C4" i="223"/>
  <c r="C3" i="223"/>
  <c r="C2" i="223"/>
  <c r="F21" i="222"/>
  <c r="E17" i="222"/>
  <c r="C19" i="222"/>
  <c r="C18" i="222"/>
  <c r="C17" i="222"/>
  <c r="C16" i="222"/>
  <c r="C15" i="222"/>
  <c r="C8" i="222"/>
  <c r="D8" i="222" s="1"/>
  <c r="C7" i="222"/>
  <c r="C6" i="222"/>
  <c r="C5" i="222"/>
  <c r="C4" i="222"/>
  <c r="C3" i="222"/>
  <c r="C2" i="22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8" i="223"/>
  <c r="J31" i="223"/>
  <c r="I31" i="223"/>
  <c r="H31" i="223"/>
  <c r="G31" i="223"/>
  <c r="F31" i="223"/>
  <c r="E31" i="223"/>
  <c r="D31" i="223"/>
  <c r="J30" i="223"/>
  <c r="I30" i="223"/>
  <c r="H30" i="223"/>
  <c r="G30" i="223"/>
  <c r="F30" i="223"/>
  <c r="E30" i="223"/>
  <c r="D30" i="223"/>
  <c r="D26" i="223"/>
  <c r="C22" i="223"/>
  <c r="E19" i="223"/>
  <c r="K16" i="223"/>
  <c r="K17" i="223" s="1"/>
  <c r="K18" i="223" s="1"/>
  <c r="L18" i="223" s="1"/>
  <c r="H26" i="223" s="1"/>
  <c r="E13" i="223"/>
  <c r="D13" i="223"/>
  <c r="L12" i="223"/>
  <c r="H11" i="223"/>
  <c r="F11" i="223"/>
  <c r="E11" i="223"/>
  <c r="H10" i="223"/>
  <c r="H9" i="223"/>
  <c r="C9" i="223"/>
  <c r="G7" i="223"/>
  <c r="E7" i="223"/>
  <c r="E2" i="223"/>
  <c r="O6" i="52"/>
  <c r="F6" i="52"/>
  <c r="E6" i="52"/>
  <c r="B6" i="52"/>
  <c r="J31" i="222"/>
  <c r="I31" i="222"/>
  <c r="H31" i="222"/>
  <c r="G31" i="222"/>
  <c r="F31" i="222"/>
  <c r="E31" i="222"/>
  <c r="D31" i="222"/>
  <c r="J30" i="222"/>
  <c r="I30" i="222"/>
  <c r="H30" i="222"/>
  <c r="G30" i="222"/>
  <c r="F30" i="222"/>
  <c r="E30" i="222"/>
  <c r="D30" i="222"/>
  <c r="D26" i="222"/>
  <c r="C22" i="222"/>
  <c r="K16" i="222"/>
  <c r="K17" i="222" s="1"/>
  <c r="K18" i="222" s="1"/>
  <c r="L18" i="222" s="1"/>
  <c r="H26" i="222" s="1"/>
  <c r="E13" i="222"/>
  <c r="D13" i="222"/>
  <c r="L12" i="222"/>
  <c r="H11" i="222"/>
  <c r="F11" i="222"/>
  <c r="E11" i="222"/>
  <c r="H10" i="222"/>
  <c r="H9" i="222"/>
  <c r="C9" i="222"/>
  <c r="G7" i="222"/>
  <c r="E7" i="222"/>
  <c r="E2" i="222"/>
  <c r="O5" i="52"/>
  <c r="F5" i="52"/>
  <c r="E5" i="52"/>
  <c r="B5" i="52"/>
  <c r="B4" i="52"/>
  <c r="O4" i="52"/>
  <c r="F4" i="52"/>
  <c r="E4" i="52"/>
  <c r="K30" i="223" l="1"/>
  <c r="K31" i="223"/>
  <c r="C14" i="222"/>
  <c r="F7" i="222" s="1"/>
  <c r="K30" i="222"/>
  <c r="K31" i="222"/>
  <c r="C12" i="223"/>
  <c r="A13" i="223" s="1"/>
  <c r="A12" i="223" s="1"/>
  <c r="F2" i="223"/>
  <c r="C14" i="223"/>
  <c r="F7" i="223" s="1"/>
  <c r="F2" i="222"/>
  <c r="C12" i="222"/>
  <c r="A13" i="222" s="1"/>
  <c r="A12" i="222" s="1"/>
  <c r="J26" i="223"/>
  <c r="E19" i="222"/>
  <c r="F6" i="222"/>
  <c r="F5" i="222"/>
  <c r="J26" i="222"/>
  <c r="E2" i="55"/>
  <c r="F6" i="223" l="1"/>
  <c r="F5" i="223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22" l="1"/>
  <c r="E21" i="22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22" l="1"/>
  <c r="E22" i="22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23" l="1"/>
  <c r="G13" i="222"/>
  <c r="F13" i="223"/>
  <c r="F13" i="222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223" l="1"/>
  <c r="G17" i="223" s="1"/>
  <c r="G14" i="223"/>
  <c r="G14" i="222"/>
  <c r="F19" i="223"/>
  <c r="G19" i="223" s="1"/>
  <c r="F17" i="222"/>
  <c r="G17" i="222" s="1"/>
  <c r="F19" i="222"/>
  <c r="G19" i="222" s="1"/>
  <c r="F17" i="55"/>
  <c r="G17" i="55" s="1"/>
  <c r="F19" i="55"/>
  <c r="G19" i="55" s="1"/>
  <c r="E30" i="23"/>
  <c r="G14" i="55"/>
  <c r="D30" i="23"/>
  <c r="C30" i="23"/>
  <c r="H19" i="222" l="1"/>
  <c r="G21" i="222"/>
  <c r="H19" i="223"/>
  <c r="G21" i="223"/>
  <c r="E26" i="222"/>
  <c r="E26" i="22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E343DF4F-5681-4FFE-AB25-AE555EC7A0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27DE9005-9287-43C9-8738-BD2C8184B5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D2FC55A-38D2-43F5-9F10-3BB0D6A56D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99626D6-6F0F-4D51-BC74-AAD14E41FE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302D86B-FAA3-411F-B99F-08EEC7A14D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8EE76BCB-9B97-4771-82A6-467D8A16E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9E70B469-7CB9-489D-BFB0-DF95AC578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B6FBACD-F951-406E-95B7-C0D146EC01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5563441-63C7-4102-A229-3E5CBA6378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33168FED-877A-492F-A826-6FA03ABC84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60B6BE1-6392-4B06-92D6-71B5B24256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10DC4D-AA35-4F59-81C2-A5FDF46887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EE14CA8-34E2-4F22-8EC8-ACA07E9A51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10459D91-AF8B-4F3C-B90B-410E3EA5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9D9C3C1-9081-4C25-B799-2B99F4443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EA20054-5996-4825-BB94-B45224C26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4A6B9980-926A-43E3-8390-CFECA3AAA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0B53090C-2F2D-48DB-A3C4-9378A2D49B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14836B6-B272-4164-ADF3-86B6F76F1D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C6658A5-11DC-466B-B7DC-64D84B0198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51A1BEF-E0E7-41DF-A642-F91C25A729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B1F65B8-D502-419C-B74C-4E667BABAE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B3F457C-E9CA-44B1-B5F6-604AE8D1C2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AD918C4-6F5F-40DA-8619-CBD88D5D72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294BFCD2-8B60-4C12-A362-A29AB9B4B1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BA312C73-B0FC-4A30-BA36-75E324400A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3AC107F-0CE3-4AA1-975F-B2D71E517E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00E9651-49B4-451C-AC6F-761E48C56E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6C8E06-68F6-4C33-AB32-16D476085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27C8AE1-7CC4-47AE-8A74-4287D8F61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E146906-9C67-4067-9C78-CE4C87645F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A458C3-A45B-47B7-B3F6-947DF6D3FE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73D27FB-2E16-4D07-A24D-6FB0846271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B4732D1-C60E-4FEF-8987-F06E62FF926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9894683-B45B-4A31-A36D-CBCE118C62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6D2FC86-AC40-412C-B703-290F438EE8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DB703DF-E781-4079-8E75-7DF6729E05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83A571F-41ED-4818-82D1-3D46A41D1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775CE944-DD8A-448C-B8B5-F170ACD01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8EE601A-CFF5-4FB5-9E24-482EDA6289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2E10318-7E99-4B14-B2FB-9B028A30FF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2D8F6DA-D8EB-4153-BB9A-F8D16FEB8B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76A14C9-8FCB-42F6-88F6-38091F1A5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B80964B-84FB-40B6-8A86-6C1DA6D2C1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5D7B7E64-9D32-43DC-823F-502D8333BD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5D5C52E1-20C8-4F0D-B5E9-2673A442A5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60000F8-81BA-4FBD-BC71-99A2AC73A4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1040F41-2AC8-4AAE-B0C2-4045FB5F66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BB90CDF-CC81-4563-9F0A-2B5DB8C92D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F3B13B9-8E19-481A-A467-88DBCA295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948A2E3-8285-4C4D-BC85-C64C8D85DC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5718C13-8E4E-485D-AE95-AF9FA9F298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DBCBE41-07CD-4F38-B570-BBBC651E4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D1F68B5-AEEB-4D92-B31B-A548B05BC0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DD999A5-4C48-4FC8-B082-F89D41AD80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25EEBFB-228C-4EDE-AC5E-0B5DB15241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EC34F6F-034E-44EC-B713-F77C4FA077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C3645CD-3C59-4873-97F7-3BEC5F52B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73F5C40-0ADC-4B8F-9F19-07274AC155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3276C1-CA26-4188-A046-9627C91AC3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3AD267C-C54F-4EA9-8188-3F2D8A8A79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2E1CB7A-62D3-4F9B-970E-1001C9EC240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DFDA7CA-828A-4B26-8B46-4236C1E9E4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5073C48-DA4E-4D66-B4D9-D584ABA4F6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<sst xmlns="http://schemas.openxmlformats.org/spreadsheetml/2006/main" count="1433" uniqueCount="869">
  <si>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</si>
  <si>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</si>
  <si>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</si>
  <si>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</si>
  <si>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</si>
  <si>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</si>
  <si>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</si>
  <si>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</si>
  <si>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</si>
  <si>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</si>
  <si>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</si>
  <si>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</si>
  <si>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</si>
  <si>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</si>
  <si>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</si>
  <si>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</si>
  <si>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</si>
  <si>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</si>
  <si>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</si>
  <si>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</si>
  <si>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</si>
  <si>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</si>
  <si>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</si>
  <si>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</si>
  <si>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</si>
  <si>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</si>
  <si>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</si>
  <si>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</si>
  <si>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</si>
  <si>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</si>
  <si>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</si>
  <si>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</si>
  <si>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</si>
  <si>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</si>
  <si>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</si>
  <si>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</si>
  <si>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</si>
  <si>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</si>
  <si>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</si>
  <si>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</si>
  <si>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</si>
  <si>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</si>
  <si>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</si>
  <si>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</si>
  <si>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</si>
  <si>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</si>
  <si>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</si>
  <si>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</si>
  <si>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</si>
  <si>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</si>
  <si>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</si>
  <si>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</si>
  <si>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</si>
  <si>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</si>
  <si>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</si>
  <si>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</si>
  <si>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</si>
  <si>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</si>
  <si>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</si>
  <si>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</si>
  <si>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</si>
  <si>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</si>
  <si>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</si>
  <si>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</si>
  <si>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</si>
  <si>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</si>
  <si>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</si>
  <si>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</si>
  <si>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</si>
  <si>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</si>
  <si>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</si>
  <si>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</si>
  <si>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</si>
  <si>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</si>
  <si>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</si>
  <si>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</si>
  <si>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</si>
  <si>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</si>
  <si>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</si>
  <si>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</si>
  <si>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</si>
  <si>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</si>
  <si>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</si>
  <si>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</si>
  <si>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</si>
  <si>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</si>
  <si>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</si>
  <si>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</si>
  <si>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</si>
  <si>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</si>
  <si>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</si>
  <si>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</si>
  <si>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</si>
  <si>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</si>
  <si>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</si>
  <si>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</si>
  <si>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</si>
  <si>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</si>
  <si>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</si>
  <si>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</si>
  <si>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</si>
  <si>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</si>
  <si>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</si>
  <si>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</si>
  <si>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</si>
  <si>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</si>
  <si>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</si>
  <si>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</si>
  <si>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</si>
  <si>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</si>
  <si>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</si>
  <si>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</si>
  <si>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</si>
  <si>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</si>
  <si>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</si>
  <si>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</si>
  <si>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</si>
  <si>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</si>
  <si>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</si>
  <si>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</si>
  <si>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</si>
  <si>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</si>
  <si>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</si>
  <si>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</si>
  <si>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</si>
  <si>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</si>
  <si>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</si>
  <si>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</si>
  <si>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</si>
  <si>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</si>
  <si>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</si>
  <si>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</si>
  <si>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</si>
  <si>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</si>
  <si>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</si>
  <si>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</si>
  <si>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</si>
  <si>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</si>
  <si>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</si>
  <si>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</si>
  <si>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</si>
  <si>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</si>
  <si>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</si>
  <si>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</si>
  <si>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</si>
  <si>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</si>
  <si>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</si>
  <si>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</si>
  <si>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</si>
  <si>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</si>
  <si>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</si>
  <si>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</si>
  <si>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</si>
  <si>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</si>
  <si>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</si>
  <si>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</si>
  <si>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</si>
  <si>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</si>
  <si>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</si>
  <si>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</si>
  <si>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</si>
  <si>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</si>
  <si>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</si>
  <si>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</si>
  <si>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</si>
  <si>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</si>
  <si>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</si>
  <si>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</si>
  <si>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</si>
  <si>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</si>
  <si>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</si>
  <si>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</si>
  <si>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</si>
  <si>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</si>
  <si>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</si>
  <si>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</si>
  <si>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</si>
  <si>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</si>
  <si>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</si>
  <si>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</si>
  <si>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</si>
  <si>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</si>
  <si>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</si>
  <si>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</si>
  <si>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</si>
  <si>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</si>
  <si>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</si>
  <si>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</si>
  <si>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</si>
  <si>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</si>
  <si>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</si>
  <si>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</si>
  <si>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</si>
  <si>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</si>
  <si>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</si>
  <si>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</si>
  <si>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</si>
  <si>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</si>
  <si>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</si>
  <si>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</si>
  <si>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</si>
  <si>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</si>
  <si>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</si>
  <si>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</si>
  <si>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</si>
  <si>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</si>
  <si>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</si>
  <si>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</si>
  <si>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</si>
  <si>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</si>
  <si>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</si>
  <si>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</si>
  <si>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</si>
  <si>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</si>
  <si>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</si>
  <si>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</si>
  <si>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</si>
  <si>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</si>
  <si>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</si>
  <si>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</si>
  <si>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</si>
  <si>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</si>
  <si>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</si>
  <si>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</si>
  <si>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</si>
  <si>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</si>
  <si>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</si>
  <si>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</si>
  <si>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</si>
  <si>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</si>
  <si>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</si>
  <si>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</si>
  <si>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</si>
  <si>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</si>
  <si>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</si>
  <si>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</si>
  <si>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</si>
  <si>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</si>
  <si>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</si>
  <si>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</si>
  <si>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</si>
  <si>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</si>
  <si>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</si>
  <si>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</si>
  <si>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</si>
  <si>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</si>
  <si>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</si>
  <si>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</si>
  <si>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</si>
  <si>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</si>
  <si>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</si>
  <si>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</si>
  <si>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</si>
  <si>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</si>
  <si>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</si>
  <si>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</si>
  <si>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</si>
  <si>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</si>
  <si>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</si>
  <si>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</si>
  <si>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</si>
  <si>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</si>
  <si>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</si>
  <si>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</si>
  <si>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</si>
  <si>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</si>
  <si>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</si>
  <si>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</si>
  <si>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</si>
  <si>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</si>
  <si>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</si>
  <si>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</si>
  <si>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</si>
  <si>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</si>
  <si>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</si>
  <si>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</si>
  <si>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</si>
  <si>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</si>
  <si>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</si>
  <si>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</si>
  <si>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</si>
  <si>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</si>
  <si>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</si>
  <si>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</si>
  <si>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</si>
  <si>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</si>
  <si>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</si>
  <si>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</si>
  <si>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</si>
  <si>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</si>
  <si>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</si>
  <si>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</si>
  <si>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</si>
  <si>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</si>
  <si>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</si>
  <si>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</si>
  <si>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</si>
  <si>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</si>
  <si>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</si>
  <si>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</si>
  <si>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</si>
  <si>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</si>
  <si>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</si>
  <si>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</si>
  <si>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</si>
  <si>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</si>
  <si>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</si>
  <si>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</si>
  <si>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</si>
  <si>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</si>
  <si>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</si>
  <si>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</si>
  <si>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</si>
  <si>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</si>
  <si>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</si>
  <si>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</si>
  <si>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</si>
  <si>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</si>
  <si>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</si>
  <si>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</si>
  <si>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</si>
  <si>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</si>
  <si>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</si>
  <si>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</si>
  <si>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</si>
  <si>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</si>
  <si>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</si>
  <si>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</si>
  <si>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</si>
  <si>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</si>
  <si>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</si>
  <si>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</si>
  <si>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</si>
  <si>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</si>
  <si>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</si>
  <si>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</si>
  <si>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</si>
  <si>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</si>
  <si>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</si>
  <si>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</si>
  <si>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</si>
  <si>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</si>
  <si>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</si>
  <si>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</si>
  <si>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</si>
  <si>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</si>
  <si>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</si>
  <si>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</si>
  <si>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</si>
  <si>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</si>
  <si>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</si>
  <si>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</si>
  <si>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</si>
  <si>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</si>
  <si>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</si>
  <si>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</si>
  <si>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</si>
  <si>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</si>
  <si>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</si>
  <si>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</si>
  <si>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</si>
  <si>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</si>
  <si>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</si>
  <si>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</si>
  <si>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</si>
  <si>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</si>
  <si>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</si>
  <si>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</si>
  <si>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</si>
  <si>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</si>
  <si>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</si>
  <si>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</si>
  <si>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</si>
  <si>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</si>
  <si>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</si>
  <si>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</si>
  <si>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</si>
  <si>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</si>
  <si>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</si>
  <si>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</si>
  <si>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</si>
  <si>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</si>
  <si>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</si>
  <si>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</si>
  <si>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</si>
  <si>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</si>
  <si>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</si>
  <si>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</si>
  <si>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</si>
  <si>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</si>
  <si>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</si>
  <si>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</si>
  <si>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</si>
  <si>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</si>
  <si>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</si>
  <si>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</si>
  <si>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</si>
  <si>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</si>
  <si>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</si>
  <si>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</si>
  <si>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</si>
  <si>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</si>
  <si>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</si>
  <si>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</si>
  <si>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</si>
  <si>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</si>
  <si>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</si>
  <si>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</si>
  <si>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</si>
  <si>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</si>
  <si>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</si>
  <si>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</si>
  <si>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</si>
  <si>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</si>
  <si>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</si>
  <si>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</si>
  <si>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</si>
  <si>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</si>
  <si>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</si>
  <si>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</si>
  <si>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</si>
  <si>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</si>
  <si>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</si>
  <si>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</si>
  <si>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</si>
  <si>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</si>
  <si>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</si>
  <si>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</si>
  <si>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</si>
  <si>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</si>
  <si>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</si>
  <si>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</si>
  <si>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</si>
  <si>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</si>
  <si>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</si>
  <si>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</si>
  <si>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</si>
  <si>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</si>
  <si>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</si>
  <si>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</si>
  <si>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</si>
  <si>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</si>
  <si>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</si>
  <si>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</si>
  <si>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</si>
  <si>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</si>
  <si>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</si>
  <si>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</si>
  <si>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</si>
  <si>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</si>
  <si>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</si>
  <si>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</si>
  <si>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</si>
  <si>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</si>
  <si>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</si>
  <si>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</si>
  <si>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</si>
  <si>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</si>
  <si>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</si>
  <si>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</si>
  <si>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</si>
  <si>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</si>
  <si>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</si>
  <si>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</si>
  <si>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</si>
  <si>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</si>
  <si>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</si>
  <si>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</si>
  <si>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</si>
  <si>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</si>
  <si>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</si>
  <si>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</si>
  <si>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</si>
  <si>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</si>
  <si>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</si>
  <si>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</si>
  <si>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</si>
  <si>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</si>
  <si>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</si>
  <si>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</si>
  <si>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</si>
  <si>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</si>
  <si>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</si>
  <si>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</si>
  <si>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</si>
  <si>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</si>
  <si>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</si>
  <si>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</si>
  <si>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</si>
  <si>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</si>
  <si>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</si>
  <si>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</si>
  <si>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</si>
  <si>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</si>
  <si>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</si>
  <si>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</si>
  <si>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</si>
  <si>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</si>
  <si>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</si>
  <si>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</si>
  <si>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</si>
  <si>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</si>
  <si>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</si>
  <si>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</si>
  <si>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</si>
  <si>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</si>
  <si>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</si>
  <si>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</si>
  <si>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</si>
  <si>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</si>
  <si>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</si>
  <si>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</si>
  <si>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</si>
  <si>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</si>
  <si>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</si>
  <si>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</si>
  <si>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</si>
  <si>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</si>
  <si>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</si>
  <si>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</si>
  <si>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</si>
  <si>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</si>
  <si>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</si>
  <si>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</si>
  <si>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</si>
  <si>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</si>
  <si>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</si>
  <si>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</si>
  <si>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</si>
  <si>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</si>
  <si>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</si>
  <si>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</si>
  <si>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</si>
  <si>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</si>
  <si>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</si>
  <si>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</si>
  <si>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</si>
  <si>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</si>
  <si>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</si>
  <si>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</si>
  <si>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</si>
  <si>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</si>
  <si>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</si>
  <si>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</si>
  <si>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</si>
  <si>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</si>
  <si>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</si>
  <si>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</si>
  <si>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</si>
  <si>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</si>
  <si>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</si>
  <si>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</si>
  <si>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</si>
  <si>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</si>
  <si>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</si>
  <si>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</si>
  <si>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</si>
  <si>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</si>
  <si>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</si>
  <si>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</si>
  <si>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</si>
  <si>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</si>
  <si>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</si>
  <si>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</si>
  <si>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</si>
  <si>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</si>
  <si>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</si>
  <si>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</si>
  <si>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</si>
  <si>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</si>
  <si>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</si>
  <si>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</si>
  <si>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</si>
  <si>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</si>
  <si>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</si>
  <si>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</si>
  <si>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</si>
  <si>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</si>
  <si>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</si>
  <si>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</si>
  <si>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</si>
  <si>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</si>
  <si>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</si>
  <si>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</si>
  <si>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</si>
  <si>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</si>
  <si>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</si>
  <si>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</si>
  <si>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</si>
  <si>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</si>
  <si>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</si>
  <si>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</si>
  <si>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</si>
  <si>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</si>
  <si>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</si>
  <si>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</si>
  <si>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</si>
  <si>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</si>
  <si>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</si>
  <si>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</si>
  <si>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</si>
  <si>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</si>
  <si>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</si>
  <si>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</si>
  <si>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</si>
  <si>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</si>
  <si>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</si>
  <si>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</si>
  <si>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</si>
  <si>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</si>
  <si>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</si>
  <si>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</si>
  <si>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</si>
  <si>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</si>
  <si>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</si>
  <si>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</si>
  <si>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</si>
  <si>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</si>
  <si>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</si>
  <si>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</si>
  <si>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</si>
  <si>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</si>
  <si>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</si>
  <si>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</si>
  <si>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</si>
  <si>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</si>
  <si>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</si>
  <si>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</si>
  <si>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</si>
  <si>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</si>
  <si>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</si>
  <si>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</si>
  <si>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</si>
  <si>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</si>
  <si>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</si>
  <si>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</si>
  <si>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</si>
  <si>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</si>
  <si>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</si>
  <si>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</si>
  <si>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</si>
  <si>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</si>
  <si>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</si>
  <si>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</si>
  <si>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</si>
  <si>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</si>
  <si>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</si>
  <si>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</si>
  <si>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</si>
  <si>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</si>
  <si>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</si>
  <si>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</si>
  <si>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</si>
  <si>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</si>
  <si>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</si>
  <si>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</si>
  <si>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</si>
  <si>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</si>
  <si>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</si>
  <si>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</si>
  <si>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</si>
  <si>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</si>
  <si>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</si>
  <si>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</si>
  <si>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</si>
  <si>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</si>
  <si>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</si>
  <si>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</si>
  <si>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</si>
  <si>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</si>
  <si>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</si>
  <si>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</si>
  <si>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</si>
  <si>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</si>
  <si>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</si>
  <si>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</si>
  <si>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</si>
  <si>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</si>
  <si>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</si>
  <si>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</si>
  <si>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</si>
  <si>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</si>
  <si>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</si>
  <si>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</si>
  <si>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</si>
  <si>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</si>
  <si>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</si>
  <si>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</si>
  <si>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</si>
  <si>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</si>
  <si>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</si>
  <si>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</si>
  <si>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</si>
  <si>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</si>
  <si>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</si>
  <si>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</si>
  <si>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</si>
  <si>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</si>
  <si>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</si>
  <si>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</si>
  <si>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</si>
  <si>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</si>
  <si>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</si>
  <si>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</si>
  <si>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</si>
  <si>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</si>
  <si>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</si>
  <si>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</si>
  <si>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</si>
  <si>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</si>
  <si>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</si>
  <si>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</si>
  <si>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</si>
  <si>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</si>
  <si>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</si>
  <si>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</si>
  <si>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</si>
  <si>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</si>
  <si>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</si>
  <si>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</si>
  <si>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</si>
  <si>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</si>
  <si>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</si>
  <si>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</si>
  <si>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</si>
  <si>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</si>
  <si>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</si>
  <si>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</si>
  <si>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</si>
  <si>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</si>
  <si>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</si>
  <si>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</si>
  <si>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</si>
  <si>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</si>
  <si>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</si>
  <si>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</si>
  <si>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</si>
  <si>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</si>
  <si>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</si>
  <si>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</si>
  <si>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</si>
  <si>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</si>
  <si>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</si>
  <si>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</si>
  <si>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</si>
  <si>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</si>
  <si>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</si>
  <si>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</si>
  <si>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</si>
  <si>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</si>
  <si>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</si>
  <si>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</si>
  <si>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</si>
  <si>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</si>
  <si>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</si>
  <si>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</si>
  <si>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</si>
  <si>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</si>
  <si>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</si>
  <si>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</si>
  <si>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</si>
  <si>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</si>
  <si>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</si>
  <si>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</si>
  <si>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</si>
  <si>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</si>
  <si>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</si>
  <si>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</si>
  <si>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</si>
  <si>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</si>
  <si>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</si>
  <si>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</si>
  <si>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</si>
  <si>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</si>
  <si>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</si>
  <si>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</si>
  <si>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</si>
  <si>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</si>
  <si>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</si>
  <si>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</si>
  <si>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</si>
  <si>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</si>
  <si>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</si>
  <si>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</si>
  <si>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</si>
  <si>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</si>
  <si>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</si>
  <si>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</si>
  <si>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</si>
  <si>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228 m</t>
  </si>
  <si>
    <t>0 m</t>
  </si>
  <si>
    <t>5 Hp</t>
  </si>
  <si>
    <t>40 mm</t>
  </si>
  <si>
    <t>70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</si>
  <si>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</si>
  <si>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</si>
  <si>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</si>
  <si>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</si>
  <si>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</si>
  <si>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</si>
  <si>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</si>
  <si>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</si>
  <si>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</si>
  <si>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</si>
  <si>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</si>
  <si>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</si>
  <si>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</si>
  <si>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</si>
  <si>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</si>
  <si>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</si>
  <si>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</si>
  <si>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</si>
  <si>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W-4</t>
  </si>
  <si>
    <t>W-4</t>
    <phoneticPr fontId="7" type="noConversion"/>
  </si>
  <si>
    <t>W-5</t>
  </si>
  <si>
    <t>W-5</t>
    <phoneticPr fontId="7" type="noConversion"/>
  </si>
  <si>
    <t>W-6</t>
  </si>
  <si>
    <t>W-6</t>
    <phoneticPr fontId="7" type="noConversion"/>
  </si>
  <si>
    <t>주식회사 한일지하수</t>
    <phoneticPr fontId="7" type="noConversion"/>
  </si>
  <si>
    <t>W-7</t>
  </si>
  <si>
    <t>W-7</t>
    <phoneticPr fontId="7" type="noConversion"/>
  </si>
  <si>
    <t>W-8</t>
  </si>
  <si>
    <t>W-8</t>
    <phoneticPr fontId="7" type="noConversion"/>
  </si>
  <si>
    <t>W-9</t>
  </si>
  <si>
    <t>W-9</t>
    <phoneticPr fontId="7" type="noConversion"/>
  </si>
  <si>
    <t>W-10</t>
  </si>
  <si>
    <t>W-10</t>
    <phoneticPr fontId="7" type="noConversion"/>
  </si>
  <si>
    <t>W-11</t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</si>
  <si>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</si>
  <si>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</si>
  <si>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</si>
  <si>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경기도 안양시 동안구 호계동 1001-38번지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</si>
  <si>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</si>
  <si>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</si>
  <si>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</si>
  <si>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</si>
  <si>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</si>
  <si>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</si>
  <si>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</si>
  <si>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</si>
  <si>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</si>
  <si>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</si>
  <si>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</si>
  <si>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</si>
  <si>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</si>
  <si>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</si>
  <si>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</si>
  <si>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경기도 안양시 동안구 호계동 1001-38</t>
    <phoneticPr fontId="7" type="noConversion"/>
  </si>
  <si>
    <t>수원기상청</t>
    <phoneticPr fontId="7" type="noConversion"/>
  </si>
  <si>
    <t>한강/한강서울</t>
  </si>
  <si>
    <t>101.4 m</t>
  </si>
  <si>
    <t>39.8 m</t>
  </si>
  <si>
    <t>63.3 m</t>
  </si>
  <si>
    <t>106.6 m</t>
  </si>
  <si>
    <t>39.5 m</t>
  </si>
  <si>
    <t>64.8 m</t>
  </si>
  <si>
    <t>102.7 m</t>
  </si>
  <si>
    <t>40.1 m</t>
  </si>
  <si>
    <t>64 m</t>
  </si>
  <si>
    <t>5 ㎥/일</t>
  </si>
  <si>
    <t>500 m</t>
  </si>
  <si>
    <t>11.35 m</t>
  </si>
  <si>
    <t>11.43 m</t>
  </si>
  <si>
    <t>10.94 m</t>
  </si>
  <si>
    <t>38.27 m</t>
  </si>
  <si>
    <t>35.32 m</t>
  </si>
  <si>
    <t>37.46 m</t>
  </si>
  <si>
    <t>150 mm</t>
  </si>
  <si>
    <t>36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</si>
</sst>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0" borderId="0" xfId="0" applyFont="1" applyFill="1" applyAlignment="1">
      <alignment vertical="center"/>
    </xf>
    <xf numFmtId="0" fontId="24" fillId="30" borderId="0" xfId="0" applyFont="1" applyFill="1" applyAlignment="1">
      <alignment horizontal="center" vertical="center"/>
    </xf>
    <xf numFmtId="0" fontId="25" fillId="30" borderId="0" xfId="0" applyFont="1" applyFill="1" applyAlignment="1">
      <alignment horizontal="left" vertical="center"/>
    </xf>
    <xf numFmtId="0" fontId="3" fillId="30" borderId="0" xfId="21" applyFill="1" applyAlignment="1">
      <alignment horizontal="center" vertical="center"/>
    </xf>
    <xf numFmtId="41" fontId="24" fillId="30" borderId="0" xfId="20" applyFont="1" applyFill="1" applyAlignment="1">
      <alignment horizontal="center" vertical="center"/>
    </xf>
    <xf numFmtId="10" fontId="41" fillId="31" borderId="9" xfId="16" applyNumberFormat="1" applyFont="1" applyFill="1" applyBorder="1" applyAlignment="1">
      <alignment horizontal="center" vertical="center"/>
    </xf>
    <xf numFmtId="10" fontId="41" fillId="31" borderId="10" xfId="16" applyNumberFormat="1" applyFont="1" applyFill="1" applyBorder="1" applyAlignment="1">
      <alignment horizontal="center" vertical="center"/>
    </xf>
    <xf numFmtId="10" fontId="41" fillId="31" borderId="22" xfId="16" applyNumberFormat="1" applyFont="1" applyFill="1" applyBorder="1" applyAlignment="1">
      <alignment horizontal="center" vertical="center"/>
    </xf>
    <xf numFmtId="10" fontId="41" fillId="31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3" borderId="82" xfId="0" applyNumberFormat="1" applyFont="1" applyFill="1" applyBorder="1" applyAlignment="1">
      <alignment horizontal="center" vertical="center"/>
    </xf>
    <xf numFmtId="203" fontId="27" fillId="23" borderId="83" xfId="0" applyNumberFormat="1" applyFont="1" applyFill="1" applyBorder="1" applyAlignment="1">
      <alignment horizontal="center" vertical="center"/>
    </xf>
    <xf numFmtId="203" fontId="27" fillId="23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40" fillId="31" borderId="8" xfId="16" applyFont="1" applyFill="1" applyBorder="1" applyAlignment="1">
      <alignment horizontal="center" vertical="center"/>
    </xf>
    <xf numFmtId="0" fontId="40" fillId="31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1" borderId="21" xfId="16" applyFont="1" applyFill="1" applyBorder="1" applyAlignment="1">
      <alignment horizontal="center" vertical="center"/>
    </xf>
    <xf numFmtId="0" fontId="40" fillId="31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92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91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91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21" borderId="84" xfId="18" applyNumberFormat="1" applyFont="1" applyFill="1" applyBorder="1" applyAlignment="1">
      <alignment horizontal="center" vertical="center"/>
    </xf>
    <xf numFmtId="0" fontId="15" fillId="21" borderId="87" xfId="18" applyNumberFormat="1" applyFont="1" applyFill="1" applyBorder="1" applyAlignment="1">
      <alignment horizontal="center" vertical="center"/>
    </xf>
    <xf numFmtId="0" fontId="48" fillId="21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28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19" fillId="20" borderId="87" xfId="18" applyNumberFormat="1" applyFont="1" applyFill="1" applyBorder="1" applyAlignment="1">
      <alignment horizontal="center" vertical="center"/>
    </xf>
    <xf numFmtId="0" fontId="19" fillId="4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24" borderId="87" xfId="18" applyNumberFormat="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28" fillId="3" borderId="98" xfId="0" applyFont="1" applyFill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751.1</c:v>
                </c:pt>
                <c:pt idx="1">
                  <c:v>1023.4</c:v>
                </c:pt>
                <c:pt idx="2">
                  <c:v>1328.6</c:v>
                </c:pt>
                <c:pt idx="3">
                  <c:v>1293.0999999999999</c:v>
                </c:pt>
                <c:pt idx="4">
                  <c:v>915.8</c:v>
                </c:pt>
                <c:pt idx="5">
                  <c:v>1635.5</c:v>
                </c:pt>
                <c:pt idx="6">
                  <c:v>1084.4000000000001</c:v>
                </c:pt>
                <c:pt idx="7">
                  <c:v>1864</c:v>
                </c:pt>
                <c:pt idx="8">
                  <c:v>1409.4</c:v>
                </c:pt>
                <c:pt idx="9">
                  <c:v>1378.2</c:v>
                </c:pt>
                <c:pt idx="10">
                  <c:v>1268.4000000000001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1653.3</c:v>
                </c:pt>
                <c:pt idx="1">
                  <c:v>952.1</c:v>
                </c:pt>
                <c:pt idx="2">
                  <c:v>1394.3</c:v>
                </c:pt>
                <c:pt idx="3">
                  <c:v>1626.9</c:v>
                </c:pt>
                <c:pt idx="4">
                  <c:v>1556.1</c:v>
                </c:pt>
                <c:pt idx="5">
                  <c:v>1328.8</c:v>
                </c:pt>
                <c:pt idx="6">
                  <c:v>1067.2</c:v>
                </c:pt>
                <c:pt idx="7">
                  <c:v>1231.7</c:v>
                </c:pt>
                <c:pt idx="8">
                  <c:v>1514.8</c:v>
                </c:pt>
                <c:pt idx="9">
                  <c:v>1217</c:v>
                </c:pt>
                <c:pt idx="10">
                  <c:v>1427.7</c:v>
                </c:pt>
                <c:pt idx="11">
                  <c:v>1362.7</c:v>
                </c:pt>
                <c:pt idx="12">
                  <c:v>1325</c:v>
                </c:pt>
                <c:pt idx="13">
                  <c:v>1342.9</c:v>
                </c:pt>
                <c:pt idx="14">
                  <c:v>1541.2</c:v>
                </c:pt>
                <c:pt idx="15">
                  <c:v>1470.6</c:v>
                </c:pt>
                <c:pt idx="16">
                  <c:v>1975.9</c:v>
                </c:pt>
                <c:pt idx="17">
                  <c:v>1748.3</c:v>
                </c:pt>
                <c:pt idx="18">
                  <c:v>1240.0999999999999</c:v>
                </c:pt>
                <c:pt idx="19">
                  <c:v>1029.0999999999999</c:v>
                </c:pt>
                <c:pt idx="20">
                  <c:v>751.1</c:v>
                </c:pt>
                <c:pt idx="21">
                  <c:v>1023.4</c:v>
                </c:pt>
                <c:pt idx="22">
                  <c:v>1328.6</c:v>
                </c:pt>
                <c:pt idx="23">
                  <c:v>1293.0999999999999</c:v>
                </c:pt>
                <c:pt idx="24">
                  <c:v>915.8</c:v>
                </c:pt>
                <c:pt idx="25">
                  <c:v>1635.5</c:v>
                </c:pt>
                <c:pt idx="26">
                  <c:v>1084.4000000000001</c:v>
                </c:pt>
                <c:pt idx="27">
                  <c:v>1864</c:v>
                </c:pt>
                <c:pt idx="28">
                  <c:v>1409.4</c:v>
                </c:pt>
                <c:pt idx="29">
                  <c:v>1378.2</c:v>
                </c:pt>
                <c:pt idx="30">
                  <c:v>1356.3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19.899999999999999</c:v>
                </c:pt>
                <c:pt idx="1">
                  <c:v>30.9</c:v>
                </c:pt>
                <c:pt idx="2">
                  <c:v>43.5</c:v>
                </c:pt>
                <c:pt idx="3">
                  <c:v>69</c:v>
                </c:pt>
                <c:pt idx="4">
                  <c:v>95.5</c:v>
                </c:pt>
                <c:pt idx="5">
                  <c:v>115.3</c:v>
                </c:pt>
                <c:pt idx="6">
                  <c:v>329.8</c:v>
                </c:pt>
                <c:pt idx="7">
                  <c:v>263</c:v>
                </c:pt>
                <c:pt idx="8">
                  <c:v>123.7</c:v>
                </c:pt>
                <c:pt idx="9">
                  <c:v>70.099999999999994</c:v>
                </c:pt>
                <c:pt idx="10">
                  <c:v>75.2</c:v>
                </c:pt>
                <c:pt idx="11">
                  <c:v>32.6</c:v>
                </c:pt>
                <c:pt idx="12">
                  <c:v>105.7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53E7B48E-5DBB-4D1A-B9F0-279361DA3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172700D7-1BD4-480E-AF87-27D78DD38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3342653B-7CC8-4ACE-A398-5D791A0B5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1" name="CommandButton8" hidden="1">
              <a:extLst>
                <a:ext uri="{63B3BB69-23CF-44E3-9099-C40C66FF867C}">
                  <a14:compatExt spid="_x0000_s362501"/>
                </a:ext>
                <a:ext uri="{FF2B5EF4-FFF2-40B4-BE49-F238E27FC236}">
                  <a16:creationId xmlns:a16="http://schemas.microsoft.com/office/drawing/2014/main" id="{B34556DC-D11A-4791-973C-F3C45F73D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A8E1CDC2-8236-49BE-BFFF-17912F2D7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907B34A7-B9BB-4E6B-9537-66D285B3E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2DCC4A2F-1266-4631-9569-D0DCF7BDF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48910EC8-6A3C-471D-AAC2-6016360E6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B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B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B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B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B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C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C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C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C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D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D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D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D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4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8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23" sqref="R2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848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13.4</v>
      </c>
      <c r="D5" s="377">
        <v>11.2</v>
      </c>
      <c r="E5" s="377">
        <v>46.2</v>
      </c>
      <c r="F5" s="377">
        <v>33.700000000000003</v>
      </c>
      <c r="G5" s="377">
        <v>59</v>
      </c>
      <c r="H5" s="377">
        <v>67.7</v>
      </c>
      <c r="I5" s="377">
        <v>372.9</v>
      </c>
      <c r="J5" s="378">
        <v>967.9</v>
      </c>
      <c r="K5" s="377">
        <v>24.2</v>
      </c>
      <c r="L5" s="377">
        <v>29.2</v>
      </c>
      <c r="M5" s="377">
        <v>24.8</v>
      </c>
      <c r="N5" s="380">
        <v>3.1</v>
      </c>
      <c r="O5" s="384">
        <f>ROUND(SUM(C5:N5),1)</f>
        <v>1653.3</v>
      </c>
      <c r="P5" s="246">
        <f>ROUND(O5/12,1)</f>
        <v>137.80000000000001</v>
      </c>
      <c r="Q5" s="370"/>
      <c r="R5" s="371"/>
      <c r="S5" s="372" t="s">
        <v>549</v>
      </c>
      <c r="T5" s="373" t="s">
        <v>509</v>
      </c>
      <c r="V5" s="371"/>
      <c r="W5" s="374"/>
    </row>
    <row r="6" spans="2:23" ht="22.5" customHeight="1" thickBot="1">
      <c r="B6" s="252">
        <v>1996</v>
      </c>
      <c r="C6" s="377">
        <v>20.399999999999999</v>
      </c>
      <c r="D6" s="377">
        <v>4.0999999999999996</v>
      </c>
      <c r="E6" s="377">
        <v>100.8</v>
      </c>
      <c r="F6" s="377">
        <v>51.1</v>
      </c>
      <c r="G6" s="377">
        <v>26.5</v>
      </c>
      <c r="H6" s="377">
        <v>286.39999999999998</v>
      </c>
      <c r="I6" s="377">
        <v>241.1</v>
      </c>
      <c r="J6" s="378">
        <v>77.5</v>
      </c>
      <c r="K6" s="377">
        <v>9.1999999999999993</v>
      </c>
      <c r="L6" s="377">
        <v>70</v>
      </c>
      <c r="M6" s="377">
        <v>49</v>
      </c>
      <c r="N6" s="380">
        <v>16</v>
      </c>
      <c r="O6" s="384">
        <f t="shared" ref="O6:O34" si="0">ROUND(SUM(C6:N6),1)</f>
        <v>952.1</v>
      </c>
      <c r="P6" s="246">
        <f t="shared" ref="P6:P34" si="1">ROUND(O6/12,1)</f>
        <v>79.3</v>
      </c>
      <c r="Q6" s="370"/>
      <c r="R6" s="371"/>
      <c r="S6" s="375" t="str">
        <f>VLOOKUP(S5, tblLocation[], 2, FALSE)</f>
        <v>Table1</v>
      </c>
      <c r="T6" s="376" t="str">
        <f ca="1">IFERROR(UPPER(VLOOKUP(T5, INDIRECT(S6), 2,0)), " 지역설정")</f>
        <v>SUWON</v>
      </c>
      <c r="V6" s="371"/>
      <c r="W6" s="374"/>
    </row>
    <row r="7" spans="2:23" ht="22.5" customHeight="1">
      <c r="B7" s="252">
        <v>1997</v>
      </c>
      <c r="C7" s="377">
        <v>14.4</v>
      </c>
      <c r="D7" s="377">
        <v>41.4</v>
      </c>
      <c r="E7" s="377">
        <v>30.4</v>
      </c>
      <c r="F7" s="377">
        <v>60.7</v>
      </c>
      <c r="G7" s="377">
        <v>260.3</v>
      </c>
      <c r="H7" s="377">
        <v>150.4</v>
      </c>
      <c r="I7" s="377">
        <v>331.7</v>
      </c>
      <c r="J7" s="377">
        <v>299.2</v>
      </c>
      <c r="K7" s="377">
        <v>25</v>
      </c>
      <c r="L7" s="377">
        <v>52.3</v>
      </c>
      <c r="M7" s="377">
        <v>82</v>
      </c>
      <c r="N7" s="380">
        <v>46.5</v>
      </c>
      <c r="O7" s="384">
        <f t="shared" si="0"/>
        <v>1394.3</v>
      </c>
      <c r="P7" s="246">
        <f t="shared" si="1"/>
        <v>116.2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23.7</v>
      </c>
      <c r="D8" s="377">
        <v>34.299999999999997</v>
      </c>
      <c r="E8" s="377">
        <v>44</v>
      </c>
      <c r="F8" s="377">
        <v>105.9</v>
      </c>
      <c r="G8" s="377">
        <v>86.4</v>
      </c>
      <c r="H8" s="377">
        <v>213.7</v>
      </c>
      <c r="I8" s="377">
        <v>306</v>
      </c>
      <c r="J8" s="377">
        <v>591.6</v>
      </c>
      <c r="K8" s="377">
        <v>141.19999999999999</v>
      </c>
      <c r="L8" s="377">
        <v>25</v>
      </c>
      <c r="M8" s="377">
        <v>51.6</v>
      </c>
      <c r="N8" s="380">
        <v>3.5</v>
      </c>
      <c r="O8" s="384">
        <f t="shared" si="0"/>
        <v>1626.9</v>
      </c>
      <c r="P8" s="246">
        <f t="shared" si="1"/>
        <v>135.6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7.3</v>
      </c>
      <c r="D9" s="377">
        <v>1.8</v>
      </c>
      <c r="E9" s="377">
        <v>54</v>
      </c>
      <c r="F9" s="377">
        <v>73.599999999999994</v>
      </c>
      <c r="G9" s="377">
        <v>121.3</v>
      </c>
      <c r="H9" s="377">
        <v>76.7</v>
      </c>
      <c r="I9" s="377">
        <v>345</v>
      </c>
      <c r="J9" s="377">
        <v>338.4</v>
      </c>
      <c r="K9" s="377">
        <v>402.2</v>
      </c>
      <c r="L9" s="377">
        <v>92.3</v>
      </c>
      <c r="M9" s="377">
        <v>25.3</v>
      </c>
      <c r="N9" s="380">
        <v>18.2</v>
      </c>
      <c r="O9" s="384">
        <f t="shared" si="0"/>
        <v>1556.1</v>
      </c>
      <c r="P9" s="246">
        <f t="shared" si="1"/>
        <v>129.69999999999999</v>
      </c>
      <c r="Q9" s="370"/>
      <c r="R9" s="582" t="s">
        <v>794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57.7</v>
      </c>
      <c r="D10" s="377">
        <v>1.4</v>
      </c>
      <c r="E10" s="377">
        <v>3.1</v>
      </c>
      <c r="F10" s="377">
        <v>20.399999999999999</v>
      </c>
      <c r="G10" s="377">
        <v>43.7</v>
      </c>
      <c r="H10" s="377">
        <v>118.2</v>
      </c>
      <c r="I10" s="377">
        <v>375.8</v>
      </c>
      <c r="J10" s="377">
        <v>448.8</v>
      </c>
      <c r="K10" s="377">
        <v>182.2</v>
      </c>
      <c r="L10" s="377">
        <v>21.6</v>
      </c>
      <c r="M10" s="377">
        <v>27.5</v>
      </c>
      <c r="N10" s="380">
        <v>28.4</v>
      </c>
      <c r="O10" s="384">
        <f t="shared" si="0"/>
        <v>1328.8</v>
      </c>
      <c r="P10" s="246">
        <f t="shared" si="1"/>
        <v>110.7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42.2</v>
      </c>
      <c r="D11" s="377">
        <v>47.4</v>
      </c>
      <c r="E11" s="377">
        <v>15.1</v>
      </c>
      <c r="F11" s="377">
        <v>12.9</v>
      </c>
      <c r="G11" s="377">
        <v>13.8</v>
      </c>
      <c r="H11" s="377">
        <v>222.3</v>
      </c>
      <c r="I11" s="377">
        <v>469.7</v>
      </c>
      <c r="J11" s="377">
        <v>144.69999999999999</v>
      </c>
      <c r="K11" s="377">
        <v>12.1</v>
      </c>
      <c r="L11" s="377">
        <v>58.1</v>
      </c>
      <c r="M11" s="377">
        <v>14.2</v>
      </c>
      <c r="N11" s="380">
        <v>14.7</v>
      </c>
      <c r="O11" s="384">
        <f t="shared" si="0"/>
        <v>1067.2</v>
      </c>
      <c r="P11" s="246">
        <f t="shared" si="1"/>
        <v>88.9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31.8</v>
      </c>
      <c r="D12" s="377">
        <v>3.2</v>
      </c>
      <c r="E12" s="377">
        <v>35.700000000000003</v>
      </c>
      <c r="F12" s="377">
        <v>152.4</v>
      </c>
      <c r="G12" s="377">
        <v>77</v>
      </c>
      <c r="H12" s="377">
        <v>52</v>
      </c>
      <c r="I12" s="377">
        <v>257.8</v>
      </c>
      <c r="J12" s="377">
        <v>487.3</v>
      </c>
      <c r="K12" s="377">
        <v>31.3</v>
      </c>
      <c r="L12" s="377">
        <v>73.8</v>
      </c>
      <c r="M12" s="377">
        <v>12.2</v>
      </c>
      <c r="N12" s="380">
        <v>17.2</v>
      </c>
      <c r="O12" s="384">
        <f t="shared" si="0"/>
        <v>1231.7</v>
      </c>
      <c r="P12" s="246">
        <f t="shared" si="1"/>
        <v>102.6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10.4</v>
      </c>
      <c r="D13" s="377">
        <v>46.2</v>
      </c>
      <c r="E13" s="377">
        <v>28.3</v>
      </c>
      <c r="F13" s="377">
        <v>182</v>
      </c>
      <c r="G13" s="377">
        <v>85.5</v>
      </c>
      <c r="H13" s="377">
        <v>159</v>
      </c>
      <c r="I13" s="377">
        <v>341.9</v>
      </c>
      <c r="J13" s="377">
        <v>293.7</v>
      </c>
      <c r="K13" s="377">
        <v>271.5</v>
      </c>
      <c r="L13" s="377">
        <v>30.6</v>
      </c>
      <c r="M13" s="377">
        <v>51.6</v>
      </c>
      <c r="N13" s="380">
        <v>14.1</v>
      </c>
      <c r="O13" s="384">
        <f t="shared" si="0"/>
        <v>1514.8</v>
      </c>
      <c r="P13" s="246">
        <f t="shared" si="1"/>
        <v>126.2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17.8</v>
      </c>
      <c r="D14" s="377">
        <v>42.6</v>
      </c>
      <c r="E14" s="377">
        <v>14.4</v>
      </c>
      <c r="F14" s="377">
        <v>63.8</v>
      </c>
      <c r="G14" s="377">
        <v>125.2</v>
      </c>
      <c r="H14" s="377">
        <v>135.69999999999999</v>
      </c>
      <c r="I14" s="377">
        <v>382</v>
      </c>
      <c r="J14" s="377">
        <v>157.4</v>
      </c>
      <c r="K14" s="377">
        <v>183.4</v>
      </c>
      <c r="L14" s="377">
        <v>2</v>
      </c>
      <c r="M14" s="377">
        <v>67.5</v>
      </c>
      <c r="N14" s="380">
        <v>25.2</v>
      </c>
      <c r="O14" s="384">
        <f t="shared" si="0"/>
        <v>1217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5.7</v>
      </c>
      <c r="D15" s="377">
        <v>15</v>
      </c>
      <c r="E15" s="377">
        <v>25.6</v>
      </c>
      <c r="F15" s="377">
        <v>85.6</v>
      </c>
      <c r="G15" s="377">
        <v>89.6</v>
      </c>
      <c r="H15" s="377">
        <v>160.80000000000001</v>
      </c>
      <c r="I15" s="377">
        <v>251.7</v>
      </c>
      <c r="J15" s="377">
        <v>357.5</v>
      </c>
      <c r="K15" s="377">
        <v>315.2</v>
      </c>
      <c r="L15" s="377">
        <v>70.2</v>
      </c>
      <c r="M15" s="377">
        <v>38.799999999999997</v>
      </c>
      <c r="N15" s="380">
        <v>12</v>
      </c>
      <c r="O15" s="384">
        <f t="shared" si="0"/>
        <v>1427.7</v>
      </c>
      <c r="P15" s="246">
        <f t="shared" si="1"/>
        <v>119</v>
      </c>
      <c r="S15" s="230"/>
    </row>
    <row r="16" spans="2:23" ht="22.5" customHeight="1">
      <c r="B16" s="252">
        <v>2006</v>
      </c>
      <c r="C16" s="377">
        <v>38.6</v>
      </c>
      <c r="D16" s="377">
        <v>19.5</v>
      </c>
      <c r="E16" s="377">
        <v>6.9</v>
      </c>
      <c r="F16" s="377">
        <v>59.9</v>
      </c>
      <c r="G16" s="377">
        <v>133.19999999999999</v>
      </c>
      <c r="H16" s="377">
        <v>156.69999999999999</v>
      </c>
      <c r="I16" s="377">
        <v>754.7</v>
      </c>
      <c r="J16" s="377">
        <v>66.400000000000006</v>
      </c>
      <c r="K16" s="377">
        <v>21.9</v>
      </c>
      <c r="L16" s="377">
        <v>18</v>
      </c>
      <c r="M16" s="377">
        <v>61.6</v>
      </c>
      <c r="N16" s="380">
        <v>25.3</v>
      </c>
      <c r="O16" s="384">
        <f t="shared" si="0"/>
        <v>1362.7</v>
      </c>
      <c r="P16" s="246">
        <f t="shared" si="1"/>
        <v>113.6</v>
      </c>
      <c r="S16" s="230"/>
    </row>
    <row r="17" spans="2:19" ht="22.5" customHeight="1">
      <c r="B17" s="252">
        <v>2007</v>
      </c>
      <c r="C17" s="377">
        <v>9.3000000000000007</v>
      </c>
      <c r="D17" s="377">
        <v>15.1</v>
      </c>
      <c r="E17" s="377">
        <v>135.30000000000001</v>
      </c>
      <c r="F17" s="377">
        <v>24.2</v>
      </c>
      <c r="G17" s="377">
        <v>146.69999999999999</v>
      </c>
      <c r="H17" s="377">
        <v>74.2</v>
      </c>
      <c r="I17" s="377">
        <v>269.7</v>
      </c>
      <c r="J17" s="377">
        <v>295</v>
      </c>
      <c r="K17" s="377">
        <v>268.8</v>
      </c>
      <c r="L17" s="377">
        <v>18.3</v>
      </c>
      <c r="M17" s="377">
        <v>57.1</v>
      </c>
      <c r="N17" s="380">
        <v>11.3</v>
      </c>
      <c r="O17" s="384">
        <f t="shared" si="0"/>
        <v>1325</v>
      </c>
      <c r="P17" s="246">
        <f t="shared" si="1"/>
        <v>110.4</v>
      </c>
      <c r="S17" s="230"/>
    </row>
    <row r="18" spans="2:19" ht="22.5" customHeight="1">
      <c r="B18" s="252">
        <v>2008</v>
      </c>
      <c r="C18" s="377">
        <v>13.6</v>
      </c>
      <c r="D18" s="377">
        <v>8.6999999999999993</v>
      </c>
      <c r="E18" s="377">
        <v>55.9</v>
      </c>
      <c r="F18" s="377">
        <v>42.2</v>
      </c>
      <c r="G18" s="377">
        <v>92.7</v>
      </c>
      <c r="H18" s="377">
        <v>198.4</v>
      </c>
      <c r="I18" s="377">
        <v>540.79999999999995</v>
      </c>
      <c r="J18" s="377">
        <v>217.2</v>
      </c>
      <c r="K18" s="377">
        <v>101.9</v>
      </c>
      <c r="L18" s="377">
        <v>35.6</v>
      </c>
      <c r="M18" s="377">
        <v>18.5</v>
      </c>
      <c r="N18" s="380">
        <v>17.399999999999999</v>
      </c>
      <c r="O18" s="384">
        <f t="shared" si="0"/>
        <v>1342.9</v>
      </c>
      <c r="P18" s="246">
        <f t="shared" si="1"/>
        <v>111.9</v>
      </c>
    </row>
    <row r="19" spans="2:19" ht="22.5" customHeight="1">
      <c r="B19" s="252">
        <v>2009</v>
      </c>
      <c r="C19" s="377">
        <v>7.9</v>
      </c>
      <c r="D19" s="377">
        <v>26.8</v>
      </c>
      <c r="E19" s="377">
        <v>59.5</v>
      </c>
      <c r="F19" s="377">
        <v>45</v>
      </c>
      <c r="G19" s="377">
        <v>102.4</v>
      </c>
      <c r="H19" s="377">
        <v>118.8</v>
      </c>
      <c r="I19" s="377">
        <v>766</v>
      </c>
      <c r="J19" s="377">
        <v>207.1</v>
      </c>
      <c r="K19" s="377">
        <v>56.3</v>
      </c>
      <c r="L19" s="377">
        <v>64.5</v>
      </c>
      <c r="M19" s="377">
        <v>68.2</v>
      </c>
      <c r="N19" s="380">
        <v>18.7</v>
      </c>
      <c r="O19" s="384">
        <f t="shared" si="0"/>
        <v>1541.2</v>
      </c>
      <c r="P19" s="246">
        <f t="shared" si="1"/>
        <v>128.4</v>
      </c>
    </row>
    <row r="20" spans="2:19" ht="22.5" customHeight="1">
      <c r="B20" s="252">
        <v>2010</v>
      </c>
      <c r="C20" s="377">
        <v>26.9</v>
      </c>
      <c r="D20" s="377">
        <v>56.7</v>
      </c>
      <c r="E20" s="377">
        <v>78.7</v>
      </c>
      <c r="F20" s="377">
        <v>58.6</v>
      </c>
      <c r="G20" s="377">
        <v>100.7</v>
      </c>
      <c r="H20" s="377">
        <v>116.1</v>
      </c>
      <c r="I20" s="377">
        <v>206.8</v>
      </c>
      <c r="J20" s="377">
        <v>372.8</v>
      </c>
      <c r="K20" s="377">
        <v>375.9</v>
      </c>
      <c r="L20" s="377">
        <v>30</v>
      </c>
      <c r="M20" s="377">
        <v>18.100000000000001</v>
      </c>
      <c r="N20" s="380">
        <v>29.3</v>
      </c>
      <c r="O20" s="384">
        <f t="shared" si="0"/>
        <v>1470.6</v>
      </c>
      <c r="P20" s="246">
        <f t="shared" si="1"/>
        <v>122.6</v>
      </c>
    </row>
    <row r="21" spans="2:19" ht="22.5" customHeight="1">
      <c r="B21" s="252">
        <v>2011</v>
      </c>
      <c r="C21" s="377">
        <v>11.3</v>
      </c>
      <c r="D21" s="377">
        <v>49.8</v>
      </c>
      <c r="E21" s="377">
        <v>23.4</v>
      </c>
      <c r="F21" s="377">
        <v>186.4</v>
      </c>
      <c r="G21" s="377">
        <v>74.2</v>
      </c>
      <c r="H21" s="377">
        <v>391.5</v>
      </c>
      <c r="I21" s="377">
        <v>794.3</v>
      </c>
      <c r="J21" s="377">
        <v>315.10000000000002</v>
      </c>
      <c r="K21" s="377">
        <v>32.799999999999997</v>
      </c>
      <c r="L21" s="377">
        <v>38.4</v>
      </c>
      <c r="M21" s="377">
        <v>46.3</v>
      </c>
      <c r="N21" s="380">
        <v>12.4</v>
      </c>
      <c r="O21" s="384">
        <f t="shared" si="0"/>
        <v>1975.9</v>
      </c>
      <c r="P21" s="246">
        <f t="shared" si="1"/>
        <v>164.7</v>
      </c>
    </row>
    <row r="22" spans="2:19" ht="22.5" customHeight="1">
      <c r="B22" s="252">
        <v>2012</v>
      </c>
      <c r="C22" s="377">
        <v>9.9</v>
      </c>
      <c r="D22" s="377">
        <v>0.7</v>
      </c>
      <c r="E22" s="377">
        <v>43.1</v>
      </c>
      <c r="F22" s="377">
        <v>125.5</v>
      </c>
      <c r="G22" s="377">
        <v>16.5</v>
      </c>
      <c r="H22" s="377">
        <v>100.8</v>
      </c>
      <c r="I22" s="377">
        <v>572.29999999999995</v>
      </c>
      <c r="J22" s="377">
        <v>426.2</v>
      </c>
      <c r="K22" s="377">
        <v>241</v>
      </c>
      <c r="L22" s="377">
        <v>98.6</v>
      </c>
      <c r="M22" s="377">
        <v>66.5</v>
      </c>
      <c r="N22" s="380">
        <v>47.2</v>
      </c>
      <c r="O22" s="384">
        <f t="shared" si="0"/>
        <v>1748.3</v>
      </c>
      <c r="P22" s="246">
        <f t="shared" si="1"/>
        <v>145.69999999999999</v>
      </c>
    </row>
    <row r="23" spans="2:19" ht="22.5" customHeight="1">
      <c r="B23" s="252">
        <v>2013</v>
      </c>
      <c r="C23" s="377">
        <v>23.1</v>
      </c>
      <c r="D23" s="377">
        <v>53.4</v>
      </c>
      <c r="E23" s="377">
        <v>48.2</v>
      </c>
      <c r="F23" s="377">
        <v>69.5</v>
      </c>
      <c r="G23" s="377">
        <v>129</v>
      </c>
      <c r="H23" s="377">
        <v>69.599999999999994</v>
      </c>
      <c r="I23" s="377">
        <v>405.9</v>
      </c>
      <c r="J23" s="377">
        <v>157</v>
      </c>
      <c r="K23" s="377">
        <v>183.6</v>
      </c>
      <c r="L23" s="377">
        <v>5.4</v>
      </c>
      <c r="M23" s="377">
        <v>61.9</v>
      </c>
      <c r="N23" s="380">
        <v>33.5</v>
      </c>
      <c r="O23" s="384">
        <f t="shared" si="0"/>
        <v>1240.0999999999999</v>
      </c>
      <c r="P23" s="246">
        <f t="shared" si="1"/>
        <v>103.3</v>
      </c>
    </row>
    <row r="24" spans="2:19" ht="22.5" customHeight="1">
      <c r="B24" s="252">
        <v>2014</v>
      </c>
      <c r="C24" s="377">
        <v>9.9</v>
      </c>
      <c r="D24" s="377">
        <v>16.5</v>
      </c>
      <c r="E24" s="377">
        <v>10.9</v>
      </c>
      <c r="F24" s="377">
        <v>55.7</v>
      </c>
      <c r="G24" s="377">
        <v>64.400000000000006</v>
      </c>
      <c r="H24" s="377">
        <v>68.099999999999994</v>
      </c>
      <c r="I24" s="377">
        <v>264</v>
      </c>
      <c r="J24" s="377">
        <v>290.89999999999998</v>
      </c>
      <c r="K24" s="377">
        <v>92</v>
      </c>
      <c r="L24" s="377">
        <v>85.4</v>
      </c>
      <c r="M24" s="377">
        <v>44.2</v>
      </c>
      <c r="N24" s="380">
        <v>27.1</v>
      </c>
      <c r="O24" s="384">
        <f t="shared" si="0"/>
        <v>1029.0999999999999</v>
      </c>
      <c r="P24" s="246">
        <f t="shared" si="1"/>
        <v>85.8</v>
      </c>
    </row>
    <row r="25" spans="2:19" ht="22.5" customHeight="1">
      <c r="B25" s="252">
        <v>2015</v>
      </c>
      <c r="C25" s="377">
        <v>17.5</v>
      </c>
      <c r="D25" s="377">
        <v>22.7</v>
      </c>
      <c r="E25" s="377">
        <v>12.5</v>
      </c>
      <c r="F25" s="377">
        <v>99.2</v>
      </c>
      <c r="G25" s="377">
        <v>32.6</v>
      </c>
      <c r="H25" s="377">
        <v>30.2</v>
      </c>
      <c r="I25" s="377">
        <v>225.8</v>
      </c>
      <c r="J25" s="377">
        <v>71</v>
      </c>
      <c r="K25" s="377">
        <v>6.9</v>
      </c>
      <c r="L25" s="377">
        <v>67.400000000000006</v>
      </c>
      <c r="M25" s="377">
        <v>116</v>
      </c>
      <c r="N25" s="380">
        <v>49.3</v>
      </c>
      <c r="O25" s="384">
        <f t="shared" si="0"/>
        <v>751.1</v>
      </c>
      <c r="P25" s="246">
        <f t="shared" si="1"/>
        <v>62.6</v>
      </c>
    </row>
    <row r="26" spans="2:19" ht="22.5" customHeight="1">
      <c r="B26" s="252">
        <v>2016</v>
      </c>
      <c r="C26" s="377">
        <v>4.5999999999999996</v>
      </c>
      <c r="D26" s="377">
        <v>52.6</v>
      </c>
      <c r="E26" s="377">
        <v>54.8</v>
      </c>
      <c r="F26" s="377">
        <v>79.2</v>
      </c>
      <c r="G26" s="377">
        <v>156.4</v>
      </c>
      <c r="H26" s="377">
        <v>37.4</v>
      </c>
      <c r="I26" s="377">
        <v>317.7</v>
      </c>
      <c r="J26" s="377">
        <v>73</v>
      </c>
      <c r="K26" s="377">
        <v>67.8</v>
      </c>
      <c r="L26" s="377">
        <v>99.1</v>
      </c>
      <c r="M26" s="377">
        <v>17.399999999999999</v>
      </c>
      <c r="N26" s="380">
        <v>63.4</v>
      </c>
      <c r="O26" s="384">
        <f t="shared" si="0"/>
        <v>1023.4</v>
      </c>
      <c r="P26" s="246">
        <f t="shared" si="1"/>
        <v>85.3</v>
      </c>
    </row>
    <row r="27" spans="2:19" ht="22.5" customHeight="1">
      <c r="B27" s="252">
        <v>2017</v>
      </c>
      <c r="C27" s="377">
        <v>19.399999999999999</v>
      </c>
      <c r="D27" s="377">
        <v>22.5</v>
      </c>
      <c r="E27" s="377">
        <v>9</v>
      </c>
      <c r="F27" s="377">
        <v>52.5</v>
      </c>
      <c r="G27" s="377">
        <v>22.5</v>
      </c>
      <c r="H27" s="377">
        <v>27.6</v>
      </c>
      <c r="I27" s="377">
        <v>684.5</v>
      </c>
      <c r="J27" s="377">
        <v>359.7</v>
      </c>
      <c r="K27" s="377">
        <v>26.1</v>
      </c>
      <c r="L27" s="377">
        <v>28.7</v>
      </c>
      <c r="M27" s="377">
        <v>37.6</v>
      </c>
      <c r="N27" s="380">
        <v>38.5</v>
      </c>
      <c r="O27" s="384">
        <f t="shared" si="0"/>
        <v>1328.6</v>
      </c>
      <c r="P27" s="246">
        <f t="shared" si="1"/>
        <v>110.7</v>
      </c>
    </row>
    <row r="28" spans="2:19" ht="22.5" customHeight="1">
      <c r="B28" s="252">
        <v>2018</v>
      </c>
      <c r="C28" s="377">
        <v>7.9</v>
      </c>
      <c r="D28" s="377">
        <v>29.1</v>
      </c>
      <c r="E28" s="377">
        <v>86</v>
      </c>
      <c r="F28" s="377">
        <v>128.80000000000001</v>
      </c>
      <c r="G28" s="377">
        <v>196.4</v>
      </c>
      <c r="H28" s="377">
        <v>107</v>
      </c>
      <c r="I28" s="377">
        <v>222.7</v>
      </c>
      <c r="J28" s="377">
        <v>218.6</v>
      </c>
      <c r="K28" s="377">
        <v>61.7</v>
      </c>
      <c r="L28" s="377">
        <v>132.69999999999999</v>
      </c>
      <c r="M28" s="377">
        <v>78.099999999999994</v>
      </c>
      <c r="N28" s="380">
        <v>24.1</v>
      </c>
      <c r="O28" s="384">
        <f t="shared" si="0"/>
        <v>1293.0999999999999</v>
      </c>
      <c r="P28" s="246">
        <f t="shared" si="1"/>
        <v>107.8</v>
      </c>
    </row>
    <row r="29" spans="2:19" ht="22.5" customHeight="1">
      <c r="B29" s="252">
        <v>2019</v>
      </c>
      <c r="C29" s="377">
        <v>0.5</v>
      </c>
      <c r="D29" s="377">
        <v>33.4</v>
      </c>
      <c r="E29" s="377">
        <v>39.6</v>
      </c>
      <c r="F29" s="377">
        <v>43.6</v>
      </c>
      <c r="G29" s="377">
        <v>26.7</v>
      </c>
      <c r="H29" s="377">
        <v>68.8</v>
      </c>
      <c r="I29" s="377">
        <v>190.9</v>
      </c>
      <c r="J29" s="377">
        <v>117.9</v>
      </c>
      <c r="K29" s="377">
        <v>201.9</v>
      </c>
      <c r="L29" s="377">
        <v>73.099999999999994</v>
      </c>
      <c r="M29" s="377">
        <v>93.2</v>
      </c>
      <c r="N29" s="380">
        <v>26.2</v>
      </c>
      <c r="O29" s="384">
        <f t="shared" si="0"/>
        <v>915.8</v>
      </c>
      <c r="P29" s="246">
        <f t="shared" si="1"/>
        <v>76.3</v>
      </c>
    </row>
    <row r="30" spans="2:19" ht="22.5" customHeight="1">
      <c r="B30" s="252">
        <v>2020</v>
      </c>
      <c r="C30" s="377">
        <v>61</v>
      </c>
      <c r="D30" s="377">
        <v>59.2</v>
      </c>
      <c r="E30" s="377">
        <v>19.5</v>
      </c>
      <c r="F30" s="377">
        <v>15.8</v>
      </c>
      <c r="G30" s="377">
        <v>97.9</v>
      </c>
      <c r="H30" s="377">
        <v>91.1</v>
      </c>
      <c r="I30" s="377">
        <v>384.7</v>
      </c>
      <c r="J30" s="377">
        <v>659.3</v>
      </c>
      <c r="K30" s="377">
        <v>163.4</v>
      </c>
      <c r="L30" s="377">
        <v>22.2</v>
      </c>
      <c r="M30" s="377">
        <v>56.8</v>
      </c>
      <c r="N30" s="380">
        <v>4.5999999999999996</v>
      </c>
      <c r="O30" s="384">
        <f t="shared" si="0"/>
        <v>1635.5</v>
      </c>
      <c r="P30" s="246">
        <f t="shared" si="1"/>
        <v>136.30000000000001</v>
      </c>
    </row>
    <row r="31" spans="2:19" ht="22.5" customHeight="1">
      <c r="B31" s="252">
        <v>2021</v>
      </c>
      <c r="C31" s="377">
        <v>24.1</v>
      </c>
      <c r="D31" s="377">
        <v>9.6999999999999993</v>
      </c>
      <c r="E31" s="377">
        <v>102.8</v>
      </c>
      <c r="F31" s="377">
        <v>106.4</v>
      </c>
      <c r="G31" s="377">
        <v>179.2</v>
      </c>
      <c r="H31" s="377">
        <v>50.1</v>
      </c>
      <c r="I31" s="377">
        <v>134.4</v>
      </c>
      <c r="J31" s="377">
        <v>161.1</v>
      </c>
      <c r="K31" s="377">
        <v>164.1</v>
      </c>
      <c r="L31" s="377">
        <v>36</v>
      </c>
      <c r="M31" s="377">
        <v>104.2</v>
      </c>
      <c r="N31" s="380">
        <v>12.3</v>
      </c>
      <c r="O31" s="384">
        <f t="shared" si="0"/>
        <v>1084.4000000000001</v>
      </c>
      <c r="P31" s="246">
        <f t="shared" si="1"/>
        <v>90.4</v>
      </c>
    </row>
    <row r="32" spans="2:19" ht="22.5" customHeight="1">
      <c r="B32" s="252">
        <v>2022</v>
      </c>
      <c r="C32" s="377">
        <v>3.9</v>
      </c>
      <c r="D32" s="377">
        <v>4</v>
      </c>
      <c r="E32" s="377">
        <v>74.7</v>
      </c>
      <c r="F32" s="377">
        <v>42.4</v>
      </c>
      <c r="G32" s="377">
        <v>13.4</v>
      </c>
      <c r="H32" s="377">
        <v>472.1</v>
      </c>
      <c r="I32" s="377">
        <v>243</v>
      </c>
      <c r="J32" s="377">
        <v>640.79999999999995</v>
      </c>
      <c r="K32" s="377">
        <v>190.1</v>
      </c>
      <c r="L32" s="377">
        <v>108.5</v>
      </c>
      <c r="M32" s="377">
        <v>51.4</v>
      </c>
      <c r="N32" s="380">
        <v>19.7</v>
      </c>
      <c r="O32" s="384">
        <f t="shared" si="0"/>
        <v>1864</v>
      </c>
      <c r="P32" s="246">
        <f t="shared" si="1"/>
        <v>155.30000000000001</v>
      </c>
    </row>
    <row r="33" spans="2:16" ht="22.5" customHeight="1">
      <c r="B33" s="252">
        <v>2023</v>
      </c>
      <c r="C33" s="377">
        <v>38.9</v>
      </c>
      <c r="D33" s="377">
        <v>0.7</v>
      </c>
      <c r="E33" s="377">
        <v>5.5</v>
      </c>
      <c r="F33" s="377">
        <v>67.400000000000006</v>
      </c>
      <c r="G33" s="377">
        <v>120.3</v>
      </c>
      <c r="H33" s="377">
        <v>131.5</v>
      </c>
      <c r="I33" s="377">
        <v>490.5</v>
      </c>
      <c r="J33" s="377">
        <v>200.7</v>
      </c>
      <c r="K33" s="377">
        <v>135.6</v>
      </c>
      <c r="L33" s="377">
        <v>35.799999999999997</v>
      </c>
      <c r="M33" s="377">
        <v>99</v>
      </c>
      <c r="N33" s="380">
        <v>83.5</v>
      </c>
      <c r="O33" s="384">
        <f t="shared" si="0"/>
        <v>1409.4</v>
      </c>
      <c r="P33" s="246">
        <f t="shared" si="1"/>
        <v>117.5</v>
      </c>
    </row>
    <row r="34" spans="2:16" ht="22.5" customHeight="1" thickBot="1">
      <c r="B34" s="387">
        <v>2024</v>
      </c>
      <c r="C34" s="388">
        <v>21.2</v>
      </c>
      <c r="D34" s="388">
        <v>74.8</v>
      </c>
      <c r="E34" s="388">
        <v>30.2</v>
      </c>
      <c r="F34" s="388">
        <v>55</v>
      </c>
      <c r="G34" s="388">
        <v>109.4</v>
      </c>
      <c r="H34" s="388">
        <v>137.5</v>
      </c>
      <c r="I34" s="388">
        <v>403.3</v>
      </c>
      <c r="J34" s="388">
        <v>127.6</v>
      </c>
      <c r="K34" s="388">
        <v>219.4</v>
      </c>
      <c r="L34" s="388">
        <v>97.2</v>
      </c>
      <c r="M34" s="388">
        <v>98.1</v>
      </c>
      <c r="N34" s="389">
        <v>4.5</v>
      </c>
      <c r="O34" s="390">
        <f t="shared" si="0"/>
        <v>1378.2</v>
      </c>
      <c r="P34" s="391">
        <f t="shared" si="1"/>
        <v>114.9</v>
      </c>
    </row>
    <row r="35" spans="2:16" ht="22.5" customHeight="1">
      <c r="B35" s="319" t="s">
        <v>36</v>
      </c>
      <c r="C35" s="392">
        <f>MAX(C5:C34)</f>
        <v>61</v>
      </c>
      <c r="D35" s="392">
        <f t="shared" ref="D35:N35" si="2">MAX(D5:D34)</f>
        <v>74.8</v>
      </c>
      <c r="E35" s="392">
        <f t="shared" si="2"/>
        <v>135.30000000000001</v>
      </c>
      <c r="F35" s="392">
        <f t="shared" si="2"/>
        <v>186.4</v>
      </c>
      <c r="G35" s="392">
        <f t="shared" si="2"/>
        <v>260.3</v>
      </c>
      <c r="H35" s="392">
        <f t="shared" si="2"/>
        <v>472.1</v>
      </c>
      <c r="I35" s="392">
        <f t="shared" si="2"/>
        <v>794.3</v>
      </c>
      <c r="J35" s="392">
        <f t="shared" si="2"/>
        <v>967.9</v>
      </c>
      <c r="K35" s="392">
        <f t="shared" si="2"/>
        <v>402.2</v>
      </c>
      <c r="L35" s="392">
        <f t="shared" si="2"/>
        <v>132.69999999999999</v>
      </c>
      <c r="M35" s="392">
        <f t="shared" si="2"/>
        <v>116</v>
      </c>
      <c r="N35" s="320">
        <f t="shared" si="2"/>
        <v>83.5</v>
      </c>
      <c r="O35" s="393">
        <f t="shared" ref="O35" si="3">MAX(O5:O34)</f>
        <v>1975.9</v>
      </c>
      <c r="P35" s="320">
        <f>MAX(P5:P34)</f>
        <v>164.7</v>
      </c>
    </row>
    <row r="36" spans="2:16" ht="22.5" customHeight="1">
      <c r="B36" s="252" t="s">
        <v>37</v>
      </c>
      <c r="C36" s="120">
        <f>ROUND(MIN(C5:C34),1)</f>
        <v>0.5</v>
      </c>
      <c r="D36" s="120">
        <f t="shared" ref="D36:N36" si="4">ROUND(MIN(D5:D34),1)</f>
        <v>0.7</v>
      </c>
      <c r="E36" s="120">
        <f t="shared" si="4"/>
        <v>3.1</v>
      </c>
      <c r="F36" s="120">
        <f t="shared" si="4"/>
        <v>12.9</v>
      </c>
      <c r="G36" s="120">
        <f t="shared" si="4"/>
        <v>13.4</v>
      </c>
      <c r="H36" s="120">
        <f t="shared" si="4"/>
        <v>27.6</v>
      </c>
      <c r="I36" s="120">
        <f t="shared" si="4"/>
        <v>134.4</v>
      </c>
      <c r="J36" s="120">
        <f t="shared" si="4"/>
        <v>66.400000000000006</v>
      </c>
      <c r="K36" s="120">
        <f t="shared" si="4"/>
        <v>6.9</v>
      </c>
      <c r="L36" s="120">
        <f t="shared" si="4"/>
        <v>2</v>
      </c>
      <c r="M36" s="120">
        <f t="shared" si="4"/>
        <v>12.2</v>
      </c>
      <c r="N36" s="246">
        <f t="shared" si="4"/>
        <v>3.1</v>
      </c>
      <c r="O36" s="385">
        <f>ROUND(MIN(O5:O34),1)</f>
        <v>751.1</v>
      </c>
      <c r="P36" s="380">
        <f>ROUND(MIN(P5:P34),1)</f>
        <v>62.6</v>
      </c>
    </row>
    <row r="37" spans="2:16" ht="22.5" customHeight="1" thickBot="1">
      <c r="B37" s="240" t="s">
        <v>45</v>
      </c>
      <c r="C37" s="238">
        <f>ROUND(AVERAGE(C5:C34),1)</f>
        <v>19.8</v>
      </c>
      <c r="D37" s="238">
        <f t="shared" ref="D37:N37" si="5">ROUND(AVERAGE(D5:D34),1)</f>
        <v>26.8</v>
      </c>
      <c r="E37" s="238">
        <f t="shared" si="5"/>
        <v>43.1</v>
      </c>
      <c r="F37" s="238">
        <f t="shared" si="5"/>
        <v>73.3</v>
      </c>
      <c r="G37" s="238">
        <f t="shared" si="5"/>
        <v>93.4</v>
      </c>
      <c r="H37" s="238">
        <f t="shared" si="5"/>
        <v>136.30000000000001</v>
      </c>
      <c r="I37" s="238">
        <f t="shared" si="5"/>
        <v>384.9</v>
      </c>
      <c r="J37" s="238">
        <f t="shared" si="5"/>
        <v>304.7</v>
      </c>
      <c r="K37" s="238">
        <f t="shared" si="5"/>
        <v>140.30000000000001</v>
      </c>
      <c r="L37" s="238">
        <f t="shared" si="5"/>
        <v>54</v>
      </c>
      <c r="M37" s="238">
        <f t="shared" si="5"/>
        <v>54.6</v>
      </c>
      <c r="N37" s="241">
        <f t="shared" si="5"/>
        <v>24.9</v>
      </c>
      <c r="O37" s="386">
        <f>ROUND(AVERAGE(O5:O34),1)</f>
        <v>1356.3</v>
      </c>
      <c r="P37" s="383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17.5</v>
      </c>
      <c r="D41" s="377">
        <f t="shared" si="6"/>
        <v>22.7</v>
      </c>
      <c r="E41" s="377">
        <f t="shared" si="6"/>
        <v>12.5</v>
      </c>
      <c r="F41" s="377">
        <f t="shared" si="6"/>
        <v>99.2</v>
      </c>
      <c r="G41" s="377">
        <f t="shared" si="6"/>
        <v>32.6</v>
      </c>
      <c r="H41" s="377">
        <f t="shared" si="6"/>
        <v>30.2</v>
      </c>
      <c r="I41" s="377">
        <f t="shared" si="6"/>
        <v>225.8</v>
      </c>
      <c r="J41" s="377">
        <f t="shared" si="6"/>
        <v>71</v>
      </c>
      <c r="K41" s="377">
        <f t="shared" si="6"/>
        <v>6.9</v>
      </c>
      <c r="L41" s="377">
        <f t="shared" si="6"/>
        <v>67.400000000000006</v>
      </c>
      <c r="M41" s="377">
        <f t="shared" si="6"/>
        <v>116</v>
      </c>
      <c r="N41" s="394">
        <f t="shared" si="6"/>
        <v>49.3</v>
      </c>
      <c r="O41" s="379">
        <f>ROUND(SUM(C41:N41),1)</f>
        <v>751.1</v>
      </c>
      <c r="P41" s="380">
        <f>ROUND(O41/12,1)</f>
        <v>62.6</v>
      </c>
    </row>
    <row r="42" spans="2:16" ht="22.5" customHeight="1">
      <c r="B42" s="379">
        <f t="shared" ref="B42:N42" si="7">B26</f>
        <v>2016</v>
      </c>
      <c r="C42" s="377">
        <f t="shared" si="7"/>
        <v>4.5999999999999996</v>
      </c>
      <c r="D42" s="377">
        <f t="shared" si="7"/>
        <v>52.6</v>
      </c>
      <c r="E42" s="377">
        <f t="shared" si="7"/>
        <v>54.8</v>
      </c>
      <c r="F42" s="377">
        <f t="shared" si="7"/>
        <v>79.2</v>
      </c>
      <c r="G42" s="377">
        <f t="shared" si="7"/>
        <v>156.4</v>
      </c>
      <c r="H42" s="377">
        <f t="shared" si="7"/>
        <v>37.4</v>
      </c>
      <c r="I42" s="377">
        <f t="shared" si="7"/>
        <v>317.7</v>
      </c>
      <c r="J42" s="377">
        <f t="shared" si="7"/>
        <v>73</v>
      </c>
      <c r="K42" s="377">
        <f t="shared" si="7"/>
        <v>67.8</v>
      </c>
      <c r="L42" s="377">
        <f t="shared" si="7"/>
        <v>99.1</v>
      </c>
      <c r="M42" s="377">
        <f t="shared" si="7"/>
        <v>17.399999999999999</v>
      </c>
      <c r="N42" s="394">
        <f t="shared" si="7"/>
        <v>63.4</v>
      </c>
      <c r="O42" s="379">
        <f t="shared" ref="O42:O50" si="8">ROUND(SUM(C42:N42),1)</f>
        <v>1023.4</v>
      </c>
      <c r="P42" s="380">
        <f t="shared" ref="P42:P50" si="9">ROUND(O42/12,1)</f>
        <v>85.3</v>
      </c>
    </row>
    <row r="43" spans="2:16" ht="22.5" customHeight="1">
      <c r="B43" s="379">
        <f t="shared" ref="B43:N43" si="10">B27</f>
        <v>2017</v>
      </c>
      <c r="C43" s="377">
        <f t="shared" si="10"/>
        <v>19.399999999999999</v>
      </c>
      <c r="D43" s="377">
        <f t="shared" si="10"/>
        <v>22.5</v>
      </c>
      <c r="E43" s="377">
        <f t="shared" si="10"/>
        <v>9</v>
      </c>
      <c r="F43" s="377">
        <f t="shared" si="10"/>
        <v>52.5</v>
      </c>
      <c r="G43" s="377">
        <f t="shared" si="10"/>
        <v>22.5</v>
      </c>
      <c r="H43" s="377">
        <f t="shared" si="10"/>
        <v>27.6</v>
      </c>
      <c r="I43" s="377">
        <f t="shared" si="10"/>
        <v>684.5</v>
      </c>
      <c r="J43" s="377">
        <f t="shared" si="10"/>
        <v>359.7</v>
      </c>
      <c r="K43" s="377">
        <f t="shared" si="10"/>
        <v>26.1</v>
      </c>
      <c r="L43" s="377">
        <f t="shared" si="10"/>
        <v>28.7</v>
      </c>
      <c r="M43" s="377">
        <f t="shared" si="10"/>
        <v>37.6</v>
      </c>
      <c r="N43" s="394">
        <f t="shared" si="10"/>
        <v>38.5</v>
      </c>
      <c r="O43" s="379">
        <f t="shared" si="8"/>
        <v>1328.6</v>
      </c>
      <c r="P43" s="380">
        <f t="shared" si="9"/>
        <v>110.7</v>
      </c>
    </row>
    <row r="44" spans="2:16" ht="22.5" customHeight="1">
      <c r="B44" s="379">
        <f t="shared" ref="B44:N44" si="11">B28</f>
        <v>2018</v>
      </c>
      <c r="C44" s="377">
        <f t="shared" si="11"/>
        <v>7.9</v>
      </c>
      <c r="D44" s="377">
        <f t="shared" si="11"/>
        <v>29.1</v>
      </c>
      <c r="E44" s="377">
        <f t="shared" si="11"/>
        <v>86</v>
      </c>
      <c r="F44" s="377">
        <f t="shared" si="11"/>
        <v>128.80000000000001</v>
      </c>
      <c r="G44" s="377">
        <f t="shared" si="11"/>
        <v>196.4</v>
      </c>
      <c r="H44" s="377">
        <f t="shared" si="11"/>
        <v>107</v>
      </c>
      <c r="I44" s="377">
        <f t="shared" si="11"/>
        <v>222.7</v>
      </c>
      <c r="J44" s="377">
        <f t="shared" si="11"/>
        <v>218.6</v>
      </c>
      <c r="K44" s="377">
        <f t="shared" si="11"/>
        <v>61.7</v>
      </c>
      <c r="L44" s="377">
        <f t="shared" si="11"/>
        <v>132.69999999999999</v>
      </c>
      <c r="M44" s="377">
        <f t="shared" si="11"/>
        <v>78.099999999999994</v>
      </c>
      <c r="N44" s="394">
        <f t="shared" si="11"/>
        <v>24.1</v>
      </c>
      <c r="O44" s="379">
        <f t="shared" si="8"/>
        <v>1293.0999999999999</v>
      </c>
      <c r="P44" s="380">
        <f t="shared" si="9"/>
        <v>107.8</v>
      </c>
    </row>
    <row r="45" spans="2:16" ht="22.5" customHeight="1">
      <c r="B45" s="379">
        <f t="shared" ref="B45:N45" si="12">B29</f>
        <v>2019</v>
      </c>
      <c r="C45" s="377">
        <f t="shared" si="12"/>
        <v>0.5</v>
      </c>
      <c r="D45" s="377">
        <f t="shared" si="12"/>
        <v>33.4</v>
      </c>
      <c r="E45" s="377">
        <f t="shared" si="12"/>
        <v>39.6</v>
      </c>
      <c r="F45" s="377">
        <f t="shared" si="12"/>
        <v>43.6</v>
      </c>
      <c r="G45" s="377">
        <f t="shared" si="12"/>
        <v>26.7</v>
      </c>
      <c r="H45" s="377">
        <f t="shared" si="12"/>
        <v>68.8</v>
      </c>
      <c r="I45" s="377">
        <f t="shared" si="12"/>
        <v>190.9</v>
      </c>
      <c r="J45" s="377">
        <f t="shared" si="12"/>
        <v>117.9</v>
      </c>
      <c r="K45" s="377">
        <f t="shared" si="12"/>
        <v>201.9</v>
      </c>
      <c r="L45" s="377">
        <f t="shared" si="12"/>
        <v>73.099999999999994</v>
      </c>
      <c r="M45" s="377">
        <f t="shared" si="12"/>
        <v>93.2</v>
      </c>
      <c r="N45" s="394">
        <f t="shared" si="12"/>
        <v>26.2</v>
      </c>
      <c r="O45" s="379">
        <f t="shared" si="8"/>
        <v>915.8</v>
      </c>
      <c r="P45" s="380">
        <f t="shared" si="9"/>
        <v>76.3</v>
      </c>
    </row>
    <row r="46" spans="2:16" ht="22.5" customHeight="1">
      <c r="B46" s="379">
        <f t="shared" ref="B46:N46" si="13">B30</f>
        <v>2020</v>
      </c>
      <c r="C46" s="377">
        <f t="shared" si="13"/>
        <v>61</v>
      </c>
      <c r="D46" s="377">
        <f t="shared" si="13"/>
        <v>59.2</v>
      </c>
      <c r="E46" s="377">
        <f t="shared" si="13"/>
        <v>19.5</v>
      </c>
      <c r="F46" s="377">
        <f t="shared" si="13"/>
        <v>15.8</v>
      </c>
      <c r="G46" s="377">
        <f t="shared" si="13"/>
        <v>97.9</v>
      </c>
      <c r="H46" s="377">
        <f t="shared" si="13"/>
        <v>91.1</v>
      </c>
      <c r="I46" s="377">
        <f t="shared" si="13"/>
        <v>384.7</v>
      </c>
      <c r="J46" s="377">
        <f t="shared" si="13"/>
        <v>659.3</v>
      </c>
      <c r="K46" s="377">
        <f t="shared" si="13"/>
        <v>163.4</v>
      </c>
      <c r="L46" s="377">
        <f t="shared" si="13"/>
        <v>22.2</v>
      </c>
      <c r="M46" s="377">
        <f t="shared" si="13"/>
        <v>56.8</v>
      </c>
      <c r="N46" s="394">
        <f t="shared" si="13"/>
        <v>4.5999999999999996</v>
      </c>
      <c r="O46" s="379">
        <f t="shared" si="8"/>
        <v>1635.5</v>
      </c>
      <c r="P46" s="380">
        <f t="shared" si="9"/>
        <v>136.30000000000001</v>
      </c>
    </row>
    <row r="47" spans="2:16" ht="22.5" customHeight="1">
      <c r="B47" s="379">
        <f t="shared" ref="B47:N47" si="14">B31</f>
        <v>2021</v>
      </c>
      <c r="C47" s="377">
        <f t="shared" si="14"/>
        <v>24.1</v>
      </c>
      <c r="D47" s="377">
        <f t="shared" si="14"/>
        <v>9.6999999999999993</v>
      </c>
      <c r="E47" s="377">
        <f t="shared" si="14"/>
        <v>102.8</v>
      </c>
      <c r="F47" s="377">
        <f t="shared" si="14"/>
        <v>106.4</v>
      </c>
      <c r="G47" s="377">
        <f t="shared" si="14"/>
        <v>179.2</v>
      </c>
      <c r="H47" s="377">
        <f t="shared" si="14"/>
        <v>50.1</v>
      </c>
      <c r="I47" s="377">
        <f t="shared" si="14"/>
        <v>134.4</v>
      </c>
      <c r="J47" s="377">
        <f t="shared" si="14"/>
        <v>161.1</v>
      </c>
      <c r="K47" s="377">
        <f t="shared" si="14"/>
        <v>164.1</v>
      </c>
      <c r="L47" s="377">
        <f t="shared" si="14"/>
        <v>36</v>
      </c>
      <c r="M47" s="377">
        <f t="shared" si="14"/>
        <v>104.2</v>
      </c>
      <c r="N47" s="394">
        <f t="shared" si="14"/>
        <v>12.3</v>
      </c>
      <c r="O47" s="379">
        <f t="shared" si="8"/>
        <v>1084.4000000000001</v>
      </c>
      <c r="P47" s="380">
        <f t="shared" si="9"/>
        <v>90.4</v>
      </c>
    </row>
    <row r="48" spans="2:16" ht="22.5" customHeight="1">
      <c r="B48" s="379">
        <f t="shared" ref="B48:N48" si="15">B32</f>
        <v>2022</v>
      </c>
      <c r="C48" s="377">
        <f t="shared" si="15"/>
        <v>3.9</v>
      </c>
      <c r="D48" s="377">
        <f t="shared" si="15"/>
        <v>4</v>
      </c>
      <c r="E48" s="377">
        <f t="shared" si="15"/>
        <v>74.7</v>
      </c>
      <c r="F48" s="377">
        <f t="shared" si="15"/>
        <v>42.4</v>
      </c>
      <c r="G48" s="377">
        <f t="shared" si="15"/>
        <v>13.4</v>
      </c>
      <c r="H48" s="377">
        <f t="shared" si="15"/>
        <v>472.1</v>
      </c>
      <c r="I48" s="377">
        <f t="shared" si="15"/>
        <v>243</v>
      </c>
      <c r="J48" s="377">
        <f t="shared" si="15"/>
        <v>640.79999999999995</v>
      </c>
      <c r="K48" s="377">
        <f t="shared" si="15"/>
        <v>190.1</v>
      </c>
      <c r="L48" s="377">
        <f t="shared" si="15"/>
        <v>108.5</v>
      </c>
      <c r="M48" s="377">
        <f t="shared" si="15"/>
        <v>51.4</v>
      </c>
      <c r="N48" s="394">
        <f t="shared" si="15"/>
        <v>19.7</v>
      </c>
      <c r="O48" s="379">
        <f t="shared" si="8"/>
        <v>1864</v>
      </c>
      <c r="P48" s="380">
        <f t="shared" si="9"/>
        <v>155.30000000000001</v>
      </c>
    </row>
    <row r="49" spans="2:16" ht="22.5" customHeight="1">
      <c r="B49" s="379">
        <f t="shared" ref="B49:N49" si="16">B33</f>
        <v>2023</v>
      </c>
      <c r="C49" s="377">
        <f t="shared" si="16"/>
        <v>38.9</v>
      </c>
      <c r="D49" s="377">
        <f t="shared" si="16"/>
        <v>0.7</v>
      </c>
      <c r="E49" s="377">
        <f t="shared" si="16"/>
        <v>5.5</v>
      </c>
      <c r="F49" s="377">
        <f t="shared" si="16"/>
        <v>67.400000000000006</v>
      </c>
      <c r="G49" s="377">
        <f t="shared" si="16"/>
        <v>120.3</v>
      </c>
      <c r="H49" s="377">
        <f t="shared" si="16"/>
        <v>131.5</v>
      </c>
      <c r="I49" s="377">
        <f t="shared" si="16"/>
        <v>490.5</v>
      </c>
      <c r="J49" s="377">
        <f t="shared" si="16"/>
        <v>200.7</v>
      </c>
      <c r="K49" s="377">
        <f t="shared" si="16"/>
        <v>135.6</v>
      </c>
      <c r="L49" s="377">
        <f t="shared" si="16"/>
        <v>35.799999999999997</v>
      </c>
      <c r="M49" s="377">
        <f t="shared" si="16"/>
        <v>99</v>
      </c>
      <c r="N49" s="394">
        <f t="shared" si="16"/>
        <v>83.5</v>
      </c>
      <c r="O49" s="379">
        <f t="shared" si="8"/>
        <v>1409.4</v>
      </c>
      <c r="P49" s="380">
        <f t="shared" si="9"/>
        <v>117.5</v>
      </c>
    </row>
    <row r="50" spans="2:16" ht="22.5" customHeight="1" thickBot="1">
      <c r="B50" s="397">
        <f t="shared" ref="B50:N50" si="17">B34</f>
        <v>2024</v>
      </c>
      <c r="C50" s="388">
        <f t="shared" si="17"/>
        <v>21.2</v>
      </c>
      <c r="D50" s="388">
        <f t="shared" si="17"/>
        <v>74.8</v>
      </c>
      <c r="E50" s="388">
        <f>E34</f>
        <v>30.2</v>
      </c>
      <c r="F50" s="388">
        <f t="shared" si="17"/>
        <v>55</v>
      </c>
      <c r="G50" s="388">
        <f t="shared" si="17"/>
        <v>109.4</v>
      </c>
      <c r="H50" s="388">
        <f t="shared" si="17"/>
        <v>137.5</v>
      </c>
      <c r="I50" s="388">
        <f t="shared" si="17"/>
        <v>403.3</v>
      </c>
      <c r="J50" s="388">
        <f t="shared" si="17"/>
        <v>127.6</v>
      </c>
      <c r="K50" s="388">
        <f t="shared" si="17"/>
        <v>219.4</v>
      </c>
      <c r="L50" s="388">
        <f t="shared" si="17"/>
        <v>97.2</v>
      </c>
      <c r="M50" s="388">
        <f t="shared" si="17"/>
        <v>98.1</v>
      </c>
      <c r="N50" s="398">
        <f t="shared" si="17"/>
        <v>4.5</v>
      </c>
      <c r="O50" s="397">
        <f t="shared" si="8"/>
        <v>1378.2</v>
      </c>
      <c r="P50" s="389">
        <f t="shared" si="9"/>
        <v>114.9</v>
      </c>
    </row>
    <row r="51" spans="2:16" ht="22.5" customHeight="1">
      <c r="B51" s="399" t="s">
        <v>46</v>
      </c>
      <c r="C51" s="400">
        <f>MAX(C41:C50)</f>
        <v>61</v>
      </c>
      <c r="D51" s="400">
        <f t="shared" ref="D51:P51" si="18">MAX(D41:D50)</f>
        <v>74.8</v>
      </c>
      <c r="E51" s="400">
        <f t="shared" si="18"/>
        <v>102.8</v>
      </c>
      <c r="F51" s="400">
        <f t="shared" si="18"/>
        <v>128.80000000000001</v>
      </c>
      <c r="G51" s="400">
        <f t="shared" si="18"/>
        <v>196.4</v>
      </c>
      <c r="H51" s="400">
        <f t="shared" si="18"/>
        <v>472.1</v>
      </c>
      <c r="I51" s="400">
        <f t="shared" si="18"/>
        <v>684.5</v>
      </c>
      <c r="J51" s="400">
        <f t="shared" si="18"/>
        <v>659.3</v>
      </c>
      <c r="K51" s="400">
        <f t="shared" si="18"/>
        <v>219.4</v>
      </c>
      <c r="L51" s="400">
        <f t="shared" si="18"/>
        <v>132.69999999999999</v>
      </c>
      <c r="M51" s="400">
        <f t="shared" si="18"/>
        <v>116</v>
      </c>
      <c r="N51" s="401">
        <f t="shared" si="18"/>
        <v>83.5</v>
      </c>
      <c r="O51" s="399">
        <f t="shared" si="18"/>
        <v>1864</v>
      </c>
      <c r="P51" s="402">
        <f t="shared" si="18"/>
        <v>155.30000000000001</v>
      </c>
    </row>
    <row r="52" spans="2:16" ht="22.5" customHeight="1">
      <c r="B52" s="379" t="s">
        <v>47</v>
      </c>
      <c r="C52" s="377">
        <f>MIN(C41:C50)</f>
        <v>0.5</v>
      </c>
      <c r="D52" s="377">
        <f t="shared" ref="D52:P52" si="19">MIN(D41:D50)</f>
        <v>0.7</v>
      </c>
      <c r="E52" s="377">
        <f t="shared" si="19"/>
        <v>5.5</v>
      </c>
      <c r="F52" s="377">
        <f t="shared" si="19"/>
        <v>15.8</v>
      </c>
      <c r="G52" s="377">
        <f t="shared" si="19"/>
        <v>13.4</v>
      </c>
      <c r="H52" s="377">
        <f t="shared" si="19"/>
        <v>27.6</v>
      </c>
      <c r="I52" s="377">
        <f t="shared" si="19"/>
        <v>134.4</v>
      </c>
      <c r="J52" s="377">
        <f t="shared" si="19"/>
        <v>71</v>
      </c>
      <c r="K52" s="377">
        <f t="shared" si="19"/>
        <v>6.9</v>
      </c>
      <c r="L52" s="377">
        <f t="shared" si="19"/>
        <v>22.2</v>
      </c>
      <c r="M52" s="377">
        <f t="shared" si="19"/>
        <v>17.399999999999999</v>
      </c>
      <c r="N52" s="394">
        <f t="shared" si="19"/>
        <v>4.5</v>
      </c>
      <c r="O52" s="379">
        <f>MIN(O41:O50)</f>
        <v>751.1</v>
      </c>
      <c r="P52" s="380">
        <f t="shared" si="19"/>
        <v>62.6</v>
      </c>
    </row>
    <row r="53" spans="2:16" ht="22.5" customHeight="1" thickBot="1">
      <c r="B53" s="381" t="s">
        <v>30</v>
      </c>
      <c r="C53" s="382">
        <f>ROUND(AVERAGE(C41:C50),1)</f>
        <v>19.899999999999999</v>
      </c>
      <c r="D53" s="382">
        <f t="shared" ref="D53:N53" si="20">ROUND(AVERAGE(D41:D50),1)</f>
        <v>30.9</v>
      </c>
      <c r="E53" s="382">
        <f t="shared" si="20"/>
        <v>43.5</v>
      </c>
      <c r="F53" s="382">
        <f t="shared" si="20"/>
        <v>69</v>
      </c>
      <c r="G53" s="382">
        <f t="shared" si="20"/>
        <v>95.5</v>
      </c>
      <c r="H53" s="382">
        <f t="shared" si="20"/>
        <v>115.3</v>
      </c>
      <c r="I53" s="382">
        <f t="shared" si="20"/>
        <v>329.8</v>
      </c>
      <c r="J53" s="382">
        <f t="shared" si="20"/>
        <v>263</v>
      </c>
      <c r="K53" s="382">
        <f t="shared" si="20"/>
        <v>123.7</v>
      </c>
      <c r="L53" s="382">
        <f t="shared" si="20"/>
        <v>70.099999999999994</v>
      </c>
      <c r="M53" s="382">
        <f t="shared" si="20"/>
        <v>75.2</v>
      </c>
      <c r="N53" s="395">
        <f t="shared" si="20"/>
        <v>32.6</v>
      </c>
      <c r="O53" s="396">
        <f>ROUND(AVERAGE(O41:O50),1)</f>
        <v>1268.4000000000001</v>
      </c>
      <c r="P53" s="383">
        <f>ROUND(AVERAGE(P41:P50),1)</f>
        <v>105.7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" workbookViewId="0">
      <selection activeCell="U68" sqref="U68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13.4</v>
      </c>
      <c r="D3" s="349">
        <f>All!D5</f>
        <v>11.2</v>
      </c>
      <c r="E3" s="349">
        <f>All!E5</f>
        <v>46.2</v>
      </c>
      <c r="F3" s="349">
        <f>All!F5</f>
        <v>33.700000000000003</v>
      </c>
      <c r="G3" s="349">
        <f>All!G5</f>
        <v>59</v>
      </c>
      <c r="H3" s="349">
        <f>All!H5</f>
        <v>67.7</v>
      </c>
      <c r="I3" s="349">
        <f>All!I5</f>
        <v>372.9</v>
      </c>
      <c r="J3" s="349">
        <f>All!J5</f>
        <v>967.9</v>
      </c>
      <c r="K3" s="349">
        <f>All!K5</f>
        <v>24.2</v>
      </c>
      <c r="L3" s="349">
        <f>All!L5</f>
        <v>29.2</v>
      </c>
      <c r="M3" s="349">
        <f>All!M5</f>
        <v>24.8</v>
      </c>
      <c r="N3" s="349">
        <f>All!N5</f>
        <v>3.1</v>
      </c>
      <c r="O3" s="349">
        <f>All!O5</f>
        <v>1653.3</v>
      </c>
      <c r="P3" s="351">
        <f>All!P5</f>
        <v>137.80000000000001</v>
      </c>
    </row>
    <row r="4" spans="2:16" hidden="1" outlineLevel="1">
      <c r="B4" s="350">
        <f>All!B6</f>
        <v>1996</v>
      </c>
      <c r="C4" s="349">
        <f>All!C6</f>
        <v>20.399999999999999</v>
      </c>
      <c r="D4" s="349">
        <f>All!D6</f>
        <v>4.0999999999999996</v>
      </c>
      <c r="E4" s="349">
        <f>All!E6</f>
        <v>100.8</v>
      </c>
      <c r="F4" s="349">
        <f>All!F6</f>
        <v>51.1</v>
      </c>
      <c r="G4" s="349">
        <f>All!G6</f>
        <v>26.5</v>
      </c>
      <c r="H4" s="349">
        <f>All!H6</f>
        <v>286.39999999999998</v>
      </c>
      <c r="I4" s="349">
        <f>All!I6</f>
        <v>241.1</v>
      </c>
      <c r="J4" s="349">
        <f>All!J6</f>
        <v>77.5</v>
      </c>
      <c r="K4" s="349">
        <f>All!K6</f>
        <v>9.1999999999999993</v>
      </c>
      <c r="L4" s="349">
        <f>All!L6</f>
        <v>70</v>
      </c>
      <c r="M4" s="349">
        <f>All!M6</f>
        <v>49</v>
      </c>
      <c r="N4" s="349">
        <f>All!N6</f>
        <v>16</v>
      </c>
      <c r="O4" s="349">
        <f>All!O6</f>
        <v>952.1</v>
      </c>
      <c r="P4" s="351">
        <f>All!P6</f>
        <v>79.3</v>
      </c>
    </row>
    <row r="5" spans="2:16" hidden="1" outlineLevel="1">
      <c r="B5" s="350">
        <f>All!B7</f>
        <v>1997</v>
      </c>
      <c r="C5" s="349">
        <f>All!C7</f>
        <v>14.4</v>
      </c>
      <c r="D5" s="349">
        <f>All!D7</f>
        <v>41.4</v>
      </c>
      <c r="E5" s="349">
        <f>All!E7</f>
        <v>30.4</v>
      </c>
      <c r="F5" s="349">
        <f>All!F7</f>
        <v>60.7</v>
      </c>
      <c r="G5" s="349">
        <f>All!G7</f>
        <v>260.3</v>
      </c>
      <c r="H5" s="349">
        <f>All!H7</f>
        <v>150.4</v>
      </c>
      <c r="I5" s="349">
        <f>All!I7</f>
        <v>331.7</v>
      </c>
      <c r="J5" s="349">
        <f>All!J7</f>
        <v>299.2</v>
      </c>
      <c r="K5" s="349">
        <f>All!K7</f>
        <v>25</v>
      </c>
      <c r="L5" s="349">
        <f>All!L7</f>
        <v>52.3</v>
      </c>
      <c r="M5" s="349">
        <f>All!M7</f>
        <v>82</v>
      </c>
      <c r="N5" s="349">
        <f>All!N7</f>
        <v>46.5</v>
      </c>
      <c r="O5" s="349">
        <f>All!O7</f>
        <v>1394.3</v>
      </c>
      <c r="P5" s="351">
        <f>All!P7</f>
        <v>116.2</v>
      </c>
    </row>
    <row r="6" spans="2:16" hidden="1" outlineLevel="1">
      <c r="B6" s="350">
        <f>All!B8</f>
        <v>1998</v>
      </c>
      <c r="C6" s="349">
        <f>All!C8</f>
        <v>23.7</v>
      </c>
      <c r="D6" s="349">
        <f>All!D8</f>
        <v>34.299999999999997</v>
      </c>
      <c r="E6" s="349">
        <f>All!E8</f>
        <v>44</v>
      </c>
      <c r="F6" s="349">
        <f>All!F8</f>
        <v>105.9</v>
      </c>
      <c r="G6" s="349">
        <f>All!G8</f>
        <v>86.4</v>
      </c>
      <c r="H6" s="349">
        <f>All!H8</f>
        <v>213.7</v>
      </c>
      <c r="I6" s="349">
        <f>All!I8</f>
        <v>306</v>
      </c>
      <c r="J6" s="349">
        <f>All!J8</f>
        <v>591.6</v>
      </c>
      <c r="K6" s="349">
        <f>All!K8</f>
        <v>141.19999999999999</v>
      </c>
      <c r="L6" s="349">
        <f>All!L8</f>
        <v>25</v>
      </c>
      <c r="M6" s="349">
        <f>All!M8</f>
        <v>51.6</v>
      </c>
      <c r="N6" s="349">
        <f>All!N8</f>
        <v>3.5</v>
      </c>
      <c r="O6" s="349">
        <f>All!O8</f>
        <v>1626.9</v>
      </c>
      <c r="P6" s="351">
        <f>All!P8</f>
        <v>135.6</v>
      </c>
    </row>
    <row r="7" spans="2:16" hidden="1" outlineLevel="1">
      <c r="B7" s="350">
        <f>All!B9</f>
        <v>1999</v>
      </c>
      <c r="C7" s="349">
        <f>All!C9</f>
        <v>7.3</v>
      </c>
      <c r="D7" s="349">
        <f>All!D9</f>
        <v>1.8</v>
      </c>
      <c r="E7" s="349">
        <f>All!E9</f>
        <v>54</v>
      </c>
      <c r="F7" s="349">
        <f>All!F9</f>
        <v>73.599999999999994</v>
      </c>
      <c r="G7" s="349">
        <f>All!G9</f>
        <v>121.3</v>
      </c>
      <c r="H7" s="349">
        <f>All!H9</f>
        <v>76.7</v>
      </c>
      <c r="I7" s="349">
        <f>All!I9</f>
        <v>345</v>
      </c>
      <c r="J7" s="349">
        <f>All!J9</f>
        <v>338.4</v>
      </c>
      <c r="K7" s="349">
        <f>All!K9</f>
        <v>402.2</v>
      </c>
      <c r="L7" s="349">
        <f>All!L9</f>
        <v>92.3</v>
      </c>
      <c r="M7" s="349">
        <f>All!M9</f>
        <v>25.3</v>
      </c>
      <c r="N7" s="349">
        <f>All!N9</f>
        <v>18.2</v>
      </c>
      <c r="O7" s="349">
        <f>All!O9</f>
        <v>1556.1</v>
      </c>
      <c r="P7" s="351">
        <f>All!P9</f>
        <v>129.69999999999999</v>
      </c>
    </row>
    <row r="8" spans="2:16" hidden="1" outlineLevel="1">
      <c r="B8" s="350">
        <f>All!B10</f>
        <v>2000</v>
      </c>
      <c r="C8" s="349">
        <f>All!C10</f>
        <v>57.7</v>
      </c>
      <c r="D8" s="349">
        <f>All!D10</f>
        <v>1.4</v>
      </c>
      <c r="E8" s="349">
        <f>All!E10</f>
        <v>3.1</v>
      </c>
      <c r="F8" s="349">
        <f>All!F10</f>
        <v>20.399999999999999</v>
      </c>
      <c r="G8" s="349">
        <f>All!G10</f>
        <v>43.7</v>
      </c>
      <c r="H8" s="349">
        <f>All!H10</f>
        <v>118.2</v>
      </c>
      <c r="I8" s="349">
        <f>All!I10</f>
        <v>375.8</v>
      </c>
      <c r="J8" s="349">
        <f>All!J10</f>
        <v>448.8</v>
      </c>
      <c r="K8" s="349">
        <f>All!K10</f>
        <v>182.2</v>
      </c>
      <c r="L8" s="349">
        <f>All!L10</f>
        <v>21.6</v>
      </c>
      <c r="M8" s="349">
        <f>All!M10</f>
        <v>27.5</v>
      </c>
      <c r="N8" s="349">
        <f>All!N10</f>
        <v>28.4</v>
      </c>
      <c r="O8" s="349">
        <f>All!O10</f>
        <v>1328.8</v>
      </c>
      <c r="P8" s="351">
        <f>All!P10</f>
        <v>110.7</v>
      </c>
    </row>
    <row r="9" spans="2:16" hidden="1" outlineLevel="1">
      <c r="B9" s="350">
        <f>All!B11</f>
        <v>2001</v>
      </c>
      <c r="C9" s="349">
        <f>All!C11</f>
        <v>42.2</v>
      </c>
      <c r="D9" s="349">
        <f>All!D11</f>
        <v>47.4</v>
      </c>
      <c r="E9" s="349">
        <f>All!E11</f>
        <v>15.1</v>
      </c>
      <c r="F9" s="349">
        <f>All!F11</f>
        <v>12.9</v>
      </c>
      <c r="G9" s="349">
        <f>All!G11</f>
        <v>13.8</v>
      </c>
      <c r="H9" s="349">
        <f>All!H11</f>
        <v>222.3</v>
      </c>
      <c r="I9" s="349">
        <f>All!I11</f>
        <v>469.7</v>
      </c>
      <c r="J9" s="349">
        <f>All!J11</f>
        <v>144.69999999999999</v>
      </c>
      <c r="K9" s="349">
        <f>All!K11</f>
        <v>12.1</v>
      </c>
      <c r="L9" s="349">
        <f>All!L11</f>
        <v>58.1</v>
      </c>
      <c r="M9" s="349">
        <f>All!M11</f>
        <v>14.2</v>
      </c>
      <c r="N9" s="349">
        <f>All!N11</f>
        <v>14.7</v>
      </c>
      <c r="O9" s="349">
        <f>All!O11</f>
        <v>1067.2</v>
      </c>
      <c r="P9" s="351">
        <f>All!P11</f>
        <v>88.9</v>
      </c>
    </row>
    <row r="10" spans="2:16" hidden="1" outlineLevel="1">
      <c r="B10" s="350">
        <f>All!B12</f>
        <v>2002</v>
      </c>
      <c r="C10" s="349">
        <f>All!C12</f>
        <v>31.8</v>
      </c>
      <c r="D10" s="349">
        <f>All!D12</f>
        <v>3.2</v>
      </c>
      <c r="E10" s="349">
        <f>All!E12</f>
        <v>35.700000000000003</v>
      </c>
      <c r="F10" s="349">
        <f>All!F12</f>
        <v>152.4</v>
      </c>
      <c r="G10" s="349">
        <f>All!G12</f>
        <v>77</v>
      </c>
      <c r="H10" s="349">
        <f>All!H12</f>
        <v>52</v>
      </c>
      <c r="I10" s="349">
        <f>All!I12</f>
        <v>257.8</v>
      </c>
      <c r="J10" s="349">
        <f>All!J12</f>
        <v>487.3</v>
      </c>
      <c r="K10" s="349">
        <f>All!K12</f>
        <v>31.3</v>
      </c>
      <c r="L10" s="349">
        <f>All!L12</f>
        <v>73.8</v>
      </c>
      <c r="M10" s="349">
        <f>All!M12</f>
        <v>12.2</v>
      </c>
      <c r="N10" s="349">
        <f>All!N12</f>
        <v>17.2</v>
      </c>
      <c r="O10" s="349">
        <f>All!O12</f>
        <v>1231.7</v>
      </c>
      <c r="P10" s="351">
        <f>All!P12</f>
        <v>102.6</v>
      </c>
    </row>
    <row r="11" spans="2:16" hidden="1" outlineLevel="1">
      <c r="B11" s="350">
        <f>All!B13</f>
        <v>2003</v>
      </c>
      <c r="C11" s="349">
        <f>All!C13</f>
        <v>10.4</v>
      </c>
      <c r="D11" s="349">
        <f>All!D13</f>
        <v>46.2</v>
      </c>
      <c r="E11" s="349">
        <f>All!E13</f>
        <v>28.3</v>
      </c>
      <c r="F11" s="349">
        <f>All!F13</f>
        <v>182</v>
      </c>
      <c r="G11" s="349">
        <f>All!G13</f>
        <v>85.5</v>
      </c>
      <c r="H11" s="349">
        <f>All!H13</f>
        <v>159</v>
      </c>
      <c r="I11" s="349">
        <f>All!I13</f>
        <v>341.9</v>
      </c>
      <c r="J11" s="349">
        <f>All!J13</f>
        <v>293.7</v>
      </c>
      <c r="K11" s="349">
        <f>All!K13</f>
        <v>271.5</v>
      </c>
      <c r="L11" s="349">
        <f>All!L13</f>
        <v>30.6</v>
      </c>
      <c r="M11" s="349">
        <f>All!M13</f>
        <v>51.6</v>
      </c>
      <c r="N11" s="349">
        <f>All!N13</f>
        <v>14.1</v>
      </c>
      <c r="O11" s="349">
        <f>All!O13</f>
        <v>1514.8</v>
      </c>
      <c r="P11" s="351">
        <f>All!P13</f>
        <v>126.2</v>
      </c>
    </row>
    <row r="12" spans="2:16" hidden="1" outlineLevel="1">
      <c r="B12" s="350">
        <f>All!B14</f>
        <v>2004</v>
      </c>
      <c r="C12" s="349">
        <f>All!C14</f>
        <v>17.8</v>
      </c>
      <c r="D12" s="349">
        <f>All!D14</f>
        <v>42.6</v>
      </c>
      <c r="E12" s="349">
        <f>All!E14</f>
        <v>14.4</v>
      </c>
      <c r="F12" s="349">
        <f>All!F14</f>
        <v>63.8</v>
      </c>
      <c r="G12" s="349">
        <f>All!G14</f>
        <v>125.2</v>
      </c>
      <c r="H12" s="349">
        <f>All!H14</f>
        <v>135.69999999999999</v>
      </c>
      <c r="I12" s="349">
        <f>All!I14</f>
        <v>382</v>
      </c>
      <c r="J12" s="349">
        <f>All!J14</f>
        <v>157.4</v>
      </c>
      <c r="K12" s="349">
        <f>All!K14</f>
        <v>183.4</v>
      </c>
      <c r="L12" s="349">
        <f>All!L14</f>
        <v>2</v>
      </c>
      <c r="M12" s="349">
        <f>All!M14</f>
        <v>67.5</v>
      </c>
      <c r="N12" s="349">
        <f>All!N14</f>
        <v>25.2</v>
      </c>
      <c r="O12" s="349">
        <f>All!O14</f>
        <v>1217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5.7</v>
      </c>
      <c r="D13" s="349">
        <f>All!D15</f>
        <v>15</v>
      </c>
      <c r="E13" s="349">
        <f>All!E15</f>
        <v>25.6</v>
      </c>
      <c r="F13" s="349">
        <f>All!F15</f>
        <v>85.6</v>
      </c>
      <c r="G13" s="349">
        <f>All!G15</f>
        <v>89.6</v>
      </c>
      <c r="H13" s="349">
        <f>All!H15</f>
        <v>160.80000000000001</v>
      </c>
      <c r="I13" s="349">
        <f>All!I15</f>
        <v>251.7</v>
      </c>
      <c r="J13" s="349">
        <f>All!J15</f>
        <v>357.5</v>
      </c>
      <c r="K13" s="349">
        <f>All!K15</f>
        <v>315.2</v>
      </c>
      <c r="L13" s="349">
        <f>All!L15</f>
        <v>70.2</v>
      </c>
      <c r="M13" s="349">
        <f>All!M15</f>
        <v>38.799999999999997</v>
      </c>
      <c r="N13" s="349">
        <f>All!N15</f>
        <v>12</v>
      </c>
      <c r="O13" s="349">
        <f>All!O15</f>
        <v>1427.7</v>
      </c>
      <c r="P13" s="351">
        <f>All!P15</f>
        <v>119</v>
      </c>
    </row>
    <row r="14" spans="2:16" hidden="1" outlineLevel="1">
      <c r="B14" s="350">
        <f>All!B16</f>
        <v>2006</v>
      </c>
      <c r="C14" s="349">
        <f>All!C16</f>
        <v>38.6</v>
      </c>
      <c r="D14" s="349">
        <f>All!D16</f>
        <v>19.5</v>
      </c>
      <c r="E14" s="349">
        <f>All!E16</f>
        <v>6.9</v>
      </c>
      <c r="F14" s="349">
        <f>All!F16</f>
        <v>59.9</v>
      </c>
      <c r="G14" s="349">
        <f>All!G16</f>
        <v>133.19999999999999</v>
      </c>
      <c r="H14" s="349">
        <f>All!H16</f>
        <v>156.69999999999999</v>
      </c>
      <c r="I14" s="349">
        <f>All!I16</f>
        <v>754.7</v>
      </c>
      <c r="J14" s="349">
        <f>All!J16</f>
        <v>66.400000000000006</v>
      </c>
      <c r="K14" s="349">
        <f>All!K16</f>
        <v>21.9</v>
      </c>
      <c r="L14" s="349">
        <f>All!L16</f>
        <v>18</v>
      </c>
      <c r="M14" s="349">
        <f>All!M16</f>
        <v>61.6</v>
      </c>
      <c r="N14" s="349">
        <f>All!N16</f>
        <v>25.3</v>
      </c>
      <c r="O14" s="349">
        <f>All!O16</f>
        <v>1362.7</v>
      </c>
      <c r="P14" s="351">
        <f>All!P16</f>
        <v>113.6</v>
      </c>
    </row>
    <row r="15" spans="2:16" hidden="1" outlineLevel="1">
      <c r="B15" s="350">
        <f>All!B17</f>
        <v>2007</v>
      </c>
      <c r="C15" s="349">
        <f>All!C17</f>
        <v>9.3000000000000007</v>
      </c>
      <c r="D15" s="349">
        <f>All!D17</f>
        <v>15.1</v>
      </c>
      <c r="E15" s="349">
        <f>All!E17</f>
        <v>135.30000000000001</v>
      </c>
      <c r="F15" s="349">
        <f>All!F17</f>
        <v>24.2</v>
      </c>
      <c r="G15" s="349">
        <f>All!G17</f>
        <v>146.69999999999999</v>
      </c>
      <c r="H15" s="349">
        <f>All!H17</f>
        <v>74.2</v>
      </c>
      <c r="I15" s="349">
        <f>All!I17</f>
        <v>269.7</v>
      </c>
      <c r="J15" s="349">
        <f>All!J17</f>
        <v>295</v>
      </c>
      <c r="K15" s="349">
        <f>All!K17</f>
        <v>268.8</v>
      </c>
      <c r="L15" s="349">
        <f>All!L17</f>
        <v>18.3</v>
      </c>
      <c r="M15" s="349">
        <f>All!M17</f>
        <v>57.1</v>
      </c>
      <c r="N15" s="349">
        <f>All!N17</f>
        <v>11.3</v>
      </c>
      <c r="O15" s="349">
        <f>All!O17</f>
        <v>1325</v>
      </c>
      <c r="P15" s="351">
        <f>All!P17</f>
        <v>110.4</v>
      </c>
    </row>
    <row r="16" spans="2:16" hidden="1" outlineLevel="1">
      <c r="B16" s="350">
        <f>All!B18</f>
        <v>2008</v>
      </c>
      <c r="C16" s="349">
        <f>All!C18</f>
        <v>13.6</v>
      </c>
      <c r="D16" s="349">
        <f>All!D18</f>
        <v>8.6999999999999993</v>
      </c>
      <c r="E16" s="349">
        <f>All!E18</f>
        <v>55.9</v>
      </c>
      <c r="F16" s="349">
        <f>All!F18</f>
        <v>42.2</v>
      </c>
      <c r="G16" s="349">
        <f>All!G18</f>
        <v>92.7</v>
      </c>
      <c r="H16" s="349">
        <f>All!H18</f>
        <v>198.4</v>
      </c>
      <c r="I16" s="349">
        <f>All!I18</f>
        <v>540.79999999999995</v>
      </c>
      <c r="J16" s="349">
        <f>All!J18</f>
        <v>217.2</v>
      </c>
      <c r="K16" s="349">
        <f>All!K18</f>
        <v>101.9</v>
      </c>
      <c r="L16" s="349">
        <f>All!L18</f>
        <v>35.6</v>
      </c>
      <c r="M16" s="349">
        <f>All!M18</f>
        <v>18.5</v>
      </c>
      <c r="N16" s="349">
        <f>All!N18</f>
        <v>17.399999999999999</v>
      </c>
      <c r="O16" s="349">
        <f>All!O18</f>
        <v>1342.9</v>
      </c>
      <c r="P16" s="351">
        <f>All!P18</f>
        <v>111.9</v>
      </c>
    </row>
    <row r="17" spans="2:16" hidden="1" outlineLevel="1">
      <c r="B17" s="350">
        <f>All!B19</f>
        <v>2009</v>
      </c>
      <c r="C17" s="349">
        <f>All!C19</f>
        <v>7.9</v>
      </c>
      <c r="D17" s="349">
        <f>All!D19</f>
        <v>26.8</v>
      </c>
      <c r="E17" s="349">
        <f>All!E19</f>
        <v>59.5</v>
      </c>
      <c r="F17" s="349">
        <f>All!F19</f>
        <v>45</v>
      </c>
      <c r="G17" s="349">
        <f>All!G19</f>
        <v>102.4</v>
      </c>
      <c r="H17" s="349">
        <f>All!H19</f>
        <v>118.8</v>
      </c>
      <c r="I17" s="349">
        <f>All!I19</f>
        <v>766</v>
      </c>
      <c r="J17" s="349">
        <f>All!J19</f>
        <v>207.1</v>
      </c>
      <c r="K17" s="349">
        <f>All!K19</f>
        <v>56.3</v>
      </c>
      <c r="L17" s="349">
        <f>All!L19</f>
        <v>64.5</v>
      </c>
      <c r="M17" s="349">
        <f>All!M19</f>
        <v>68.2</v>
      </c>
      <c r="N17" s="349">
        <f>All!N19</f>
        <v>18.7</v>
      </c>
      <c r="O17" s="349">
        <f>All!O19</f>
        <v>1541.2</v>
      </c>
      <c r="P17" s="351">
        <f>All!P19</f>
        <v>128.4</v>
      </c>
    </row>
    <row r="18" spans="2:16" hidden="1" outlineLevel="1">
      <c r="B18" s="350">
        <f>All!B20</f>
        <v>2010</v>
      </c>
      <c r="C18" s="349">
        <f>All!C20</f>
        <v>26.9</v>
      </c>
      <c r="D18" s="349">
        <f>All!D20</f>
        <v>56.7</v>
      </c>
      <c r="E18" s="349">
        <f>All!E20</f>
        <v>78.7</v>
      </c>
      <c r="F18" s="349">
        <f>All!F20</f>
        <v>58.6</v>
      </c>
      <c r="G18" s="349">
        <f>All!G20</f>
        <v>100.7</v>
      </c>
      <c r="H18" s="349">
        <f>All!H20</f>
        <v>116.1</v>
      </c>
      <c r="I18" s="349">
        <f>All!I20</f>
        <v>206.8</v>
      </c>
      <c r="J18" s="349">
        <f>All!J20</f>
        <v>372.8</v>
      </c>
      <c r="K18" s="349">
        <f>All!K20</f>
        <v>375.9</v>
      </c>
      <c r="L18" s="349">
        <f>All!L20</f>
        <v>30</v>
      </c>
      <c r="M18" s="349">
        <f>All!M20</f>
        <v>18.100000000000001</v>
      </c>
      <c r="N18" s="349">
        <f>All!N20</f>
        <v>29.3</v>
      </c>
      <c r="O18" s="349">
        <f>All!O20</f>
        <v>1470.6</v>
      </c>
      <c r="P18" s="351">
        <f>All!P20</f>
        <v>122.6</v>
      </c>
    </row>
    <row r="19" spans="2:16" hidden="1" outlineLevel="1">
      <c r="B19" s="350">
        <f>All!B21</f>
        <v>2011</v>
      </c>
      <c r="C19" s="349">
        <f>All!C21</f>
        <v>11.3</v>
      </c>
      <c r="D19" s="349">
        <f>All!D21</f>
        <v>49.8</v>
      </c>
      <c r="E19" s="349">
        <f>All!E21</f>
        <v>23.4</v>
      </c>
      <c r="F19" s="349">
        <f>All!F21</f>
        <v>186.4</v>
      </c>
      <c r="G19" s="349">
        <f>All!G21</f>
        <v>74.2</v>
      </c>
      <c r="H19" s="349">
        <f>All!H21</f>
        <v>391.5</v>
      </c>
      <c r="I19" s="349">
        <f>All!I21</f>
        <v>794.3</v>
      </c>
      <c r="J19" s="349">
        <f>All!J21</f>
        <v>315.10000000000002</v>
      </c>
      <c r="K19" s="349">
        <f>All!K21</f>
        <v>32.799999999999997</v>
      </c>
      <c r="L19" s="349">
        <f>All!L21</f>
        <v>38.4</v>
      </c>
      <c r="M19" s="349">
        <f>All!M21</f>
        <v>46.3</v>
      </c>
      <c r="N19" s="349">
        <f>All!N21</f>
        <v>12.4</v>
      </c>
      <c r="O19" s="349">
        <f>All!O21</f>
        <v>1975.9</v>
      </c>
      <c r="P19" s="351">
        <f>All!P21</f>
        <v>164.7</v>
      </c>
    </row>
    <row r="20" spans="2:16" hidden="1" outlineLevel="1">
      <c r="B20" s="350">
        <f>All!B22</f>
        <v>2012</v>
      </c>
      <c r="C20" s="349">
        <f>All!C22</f>
        <v>9.9</v>
      </c>
      <c r="D20" s="349">
        <f>All!D22</f>
        <v>0.7</v>
      </c>
      <c r="E20" s="349">
        <f>All!E22</f>
        <v>43.1</v>
      </c>
      <c r="F20" s="349">
        <f>All!F22</f>
        <v>125.5</v>
      </c>
      <c r="G20" s="349">
        <f>All!G22</f>
        <v>16.5</v>
      </c>
      <c r="H20" s="349">
        <f>All!H22</f>
        <v>100.8</v>
      </c>
      <c r="I20" s="349">
        <f>All!I22</f>
        <v>572.29999999999995</v>
      </c>
      <c r="J20" s="349">
        <f>All!J22</f>
        <v>426.2</v>
      </c>
      <c r="K20" s="349">
        <f>All!K22</f>
        <v>241</v>
      </c>
      <c r="L20" s="349">
        <f>All!L22</f>
        <v>98.6</v>
      </c>
      <c r="M20" s="349">
        <f>All!M22</f>
        <v>66.5</v>
      </c>
      <c r="N20" s="349">
        <f>All!N22</f>
        <v>47.2</v>
      </c>
      <c r="O20" s="349">
        <f>All!O22</f>
        <v>1748.3</v>
      </c>
      <c r="P20" s="351">
        <f>All!P22</f>
        <v>145.69999999999999</v>
      </c>
    </row>
    <row r="21" spans="2:16" hidden="1" outlineLevel="1">
      <c r="B21" s="350">
        <f>All!B23</f>
        <v>2013</v>
      </c>
      <c r="C21" s="349">
        <f>All!C23</f>
        <v>23.1</v>
      </c>
      <c r="D21" s="349">
        <f>All!D23</f>
        <v>53.4</v>
      </c>
      <c r="E21" s="349">
        <f>All!E23</f>
        <v>48.2</v>
      </c>
      <c r="F21" s="349">
        <f>All!F23</f>
        <v>69.5</v>
      </c>
      <c r="G21" s="349">
        <f>All!G23</f>
        <v>129</v>
      </c>
      <c r="H21" s="349">
        <f>All!H23</f>
        <v>69.599999999999994</v>
      </c>
      <c r="I21" s="349">
        <f>All!I23</f>
        <v>405.9</v>
      </c>
      <c r="J21" s="349">
        <f>All!J23</f>
        <v>157</v>
      </c>
      <c r="K21" s="349">
        <f>All!K23</f>
        <v>183.6</v>
      </c>
      <c r="L21" s="349">
        <f>All!L23</f>
        <v>5.4</v>
      </c>
      <c r="M21" s="349">
        <f>All!M23</f>
        <v>61.9</v>
      </c>
      <c r="N21" s="349">
        <f>All!N23</f>
        <v>33.5</v>
      </c>
      <c r="O21" s="349">
        <f>All!O23</f>
        <v>1240.0999999999999</v>
      </c>
      <c r="P21" s="351">
        <f>All!P23</f>
        <v>103.3</v>
      </c>
    </row>
    <row r="22" spans="2:16" hidden="1" outlineLevel="1">
      <c r="B22" s="350">
        <f>All!B24</f>
        <v>2014</v>
      </c>
      <c r="C22" s="349">
        <f>All!C24</f>
        <v>9.9</v>
      </c>
      <c r="D22" s="349">
        <f>All!D24</f>
        <v>16.5</v>
      </c>
      <c r="E22" s="349">
        <f>All!E24</f>
        <v>10.9</v>
      </c>
      <c r="F22" s="349">
        <f>All!F24</f>
        <v>55.7</v>
      </c>
      <c r="G22" s="349">
        <f>All!G24</f>
        <v>64.400000000000006</v>
      </c>
      <c r="H22" s="349">
        <f>All!H24</f>
        <v>68.099999999999994</v>
      </c>
      <c r="I22" s="349">
        <f>All!I24</f>
        <v>264</v>
      </c>
      <c r="J22" s="349">
        <f>All!J24</f>
        <v>290.89999999999998</v>
      </c>
      <c r="K22" s="349">
        <f>All!K24</f>
        <v>92</v>
      </c>
      <c r="L22" s="349">
        <f>All!L24</f>
        <v>85.4</v>
      </c>
      <c r="M22" s="349">
        <f>All!M24</f>
        <v>44.2</v>
      </c>
      <c r="N22" s="349">
        <f>All!N24</f>
        <v>27.1</v>
      </c>
      <c r="O22" s="349">
        <f>All!O24</f>
        <v>1029.0999999999999</v>
      </c>
      <c r="P22" s="351">
        <f>All!P24</f>
        <v>85.8</v>
      </c>
    </row>
    <row r="23" spans="2:16" collapsed="1">
      <c r="B23" s="350">
        <f>All!B25</f>
        <v>2015</v>
      </c>
      <c r="C23" s="349">
        <f>All!C25</f>
        <v>17.5</v>
      </c>
      <c r="D23" s="349">
        <f>All!D25</f>
        <v>22.7</v>
      </c>
      <c r="E23" s="349">
        <f>All!E25</f>
        <v>12.5</v>
      </c>
      <c r="F23" s="349">
        <f>All!F25</f>
        <v>99.2</v>
      </c>
      <c r="G23" s="349">
        <f>All!G25</f>
        <v>32.6</v>
      </c>
      <c r="H23" s="349">
        <f>All!H25</f>
        <v>30.2</v>
      </c>
      <c r="I23" s="349">
        <f>All!I25</f>
        <v>225.8</v>
      </c>
      <c r="J23" s="349">
        <f>All!J25</f>
        <v>71</v>
      </c>
      <c r="K23" s="349">
        <f>All!K25</f>
        <v>6.9</v>
      </c>
      <c r="L23" s="349">
        <f>All!L25</f>
        <v>67.400000000000006</v>
      </c>
      <c r="M23" s="349">
        <f>All!M25</f>
        <v>116</v>
      </c>
      <c r="N23" s="349">
        <f>All!N25</f>
        <v>49.3</v>
      </c>
      <c r="O23" s="349">
        <f>All!O25</f>
        <v>751.1</v>
      </c>
      <c r="P23" s="351">
        <f>All!P25</f>
        <v>62.6</v>
      </c>
    </row>
    <row r="24" spans="2:16">
      <c r="B24" s="350">
        <f>All!B26</f>
        <v>2016</v>
      </c>
      <c r="C24" s="349">
        <f>All!C26</f>
        <v>4.5999999999999996</v>
      </c>
      <c r="D24" s="349">
        <f>All!D26</f>
        <v>52.6</v>
      </c>
      <c r="E24" s="349">
        <f>All!E26</f>
        <v>54.8</v>
      </c>
      <c r="F24" s="349">
        <f>All!F26</f>
        <v>79.2</v>
      </c>
      <c r="G24" s="349">
        <f>All!G26</f>
        <v>156.4</v>
      </c>
      <c r="H24" s="349">
        <f>All!H26</f>
        <v>37.4</v>
      </c>
      <c r="I24" s="349">
        <f>All!I26</f>
        <v>317.7</v>
      </c>
      <c r="J24" s="349">
        <f>All!J26</f>
        <v>73</v>
      </c>
      <c r="K24" s="349">
        <f>All!K26</f>
        <v>67.8</v>
      </c>
      <c r="L24" s="349">
        <f>All!L26</f>
        <v>99.1</v>
      </c>
      <c r="M24" s="349">
        <f>All!M26</f>
        <v>17.399999999999999</v>
      </c>
      <c r="N24" s="349">
        <f>All!N26</f>
        <v>63.4</v>
      </c>
      <c r="O24" s="349">
        <f>All!O26</f>
        <v>1023.4</v>
      </c>
      <c r="P24" s="351">
        <f>All!P26</f>
        <v>85.3</v>
      </c>
    </row>
    <row r="25" spans="2:16">
      <c r="B25" s="350">
        <f>All!B27</f>
        <v>2017</v>
      </c>
      <c r="C25" s="349">
        <f>All!C27</f>
        <v>19.399999999999999</v>
      </c>
      <c r="D25" s="349">
        <f>All!D27</f>
        <v>22.5</v>
      </c>
      <c r="E25" s="349">
        <f>All!E27</f>
        <v>9</v>
      </c>
      <c r="F25" s="349">
        <f>All!F27</f>
        <v>52.5</v>
      </c>
      <c r="G25" s="349">
        <f>All!G27</f>
        <v>22.5</v>
      </c>
      <c r="H25" s="349">
        <f>All!H27</f>
        <v>27.6</v>
      </c>
      <c r="I25" s="349">
        <f>All!I27</f>
        <v>684.5</v>
      </c>
      <c r="J25" s="349">
        <f>All!J27</f>
        <v>359.7</v>
      </c>
      <c r="K25" s="349">
        <f>All!K27</f>
        <v>26.1</v>
      </c>
      <c r="L25" s="349">
        <f>All!L27</f>
        <v>28.7</v>
      </c>
      <c r="M25" s="349">
        <f>All!M27</f>
        <v>37.6</v>
      </c>
      <c r="N25" s="349">
        <f>All!N27</f>
        <v>38.5</v>
      </c>
      <c r="O25" s="349">
        <f>All!O27</f>
        <v>1328.6</v>
      </c>
      <c r="P25" s="351">
        <f>All!P27</f>
        <v>110.7</v>
      </c>
    </row>
    <row r="26" spans="2:16">
      <c r="B26" s="350">
        <f>All!B28</f>
        <v>2018</v>
      </c>
      <c r="C26" s="349">
        <f>All!C28</f>
        <v>7.9</v>
      </c>
      <c r="D26" s="349">
        <f>All!D28</f>
        <v>29.1</v>
      </c>
      <c r="E26" s="349">
        <f>All!E28</f>
        <v>86</v>
      </c>
      <c r="F26" s="349">
        <f>All!F28</f>
        <v>128.80000000000001</v>
      </c>
      <c r="G26" s="349">
        <f>All!G28</f>
        <v>196.4</v>
      </c>
      <c r="H26" s="349">
        <f>All!H28</f>
        <v>107</v>
      </c>
      <c r="I26" s="349">
        <f>All!I28</f>
        <v>222.7</v>
      </c>
      <c r="J26" s="349">
        <f>All!J28</f>
        <v>218.6</v>
      </c>
      <c r="K26" s="349">
        <f>All!K28</f>
        <v>61.7</v>
      </c>
      <c r="L26" s="349">
        <f>All!L28</f>
        <v>132.69999999999999</v>
      </c>
      <c r="M26" s="349">
        <f>All!M28</f>
        <v>78.099999999999994</v>
      </c>
      <c r="N26" s="349">
        <f>All!N28</f>
        <v>24.1</v>
      </c>
      <c r="O26" s="349">
        <f>All!O28</f>
        <v>1293.0999999999999</v>
      </c>
      <c r="P26" s="351">
        <f>All!P28</f>
        <v>107.8</v>
      </c>
    </row>
    <row r="27" spans="2:16">
      <c r="B27" s="350">
        <f>All!B29</f>
        <v>2019</v>
      </c>
      <c r="C27" s="349">
        <f>All!C29</f>
        <v>0.5</v>
      </c>
      <c r="D27" s="349">
        <f>All!D29</f>
        <v>33.4</v>
      </c>
      <c r="E27" s="349">
        <f>All!E29</f>
        <v>39.6</v>
      </c>
      <c r="F27" s="349">
        <f>All!F29</f>
        <v>43.6</v>
      </c>
      <c r="G27" s="349">
        <f>All!G29</f>
        <v>26.7</v>
      </c>
      <c r="H27" s="349">
        <f>All!H29</f>
        <v>68.8</v>
      </c>
      <c r="I27" s="349">
        <f>All!I29</f>
        <v>190.9</v>
      </c>
      <c r="J27" s="349">
        <f>All!J29</f>
        <v>117.9</v>
      </c>
      <c r="K27" s="349">
        <f>All!K29</f>
        <v>201.9</v>
      </c>
      <c r="L27" s="349">
        <f>All!L29</f>
        <v>73.099999999999994</v>
      </c>
      <c r="M27" s="349">
        <f>All!M29</f>
        <v>93.2</v>
      </c>
      <c r="N27" s="349">
        <f>All!N29</f>
        <v>26.2</v>
      </c>
      <c r="O27" s="349">
        <f>All!O29</f>
        <v>915.8</v>
      </c>
      <c r="P27" s="351">
        <f>All!P29</f>
        <v>76.3</v>
      </c>
    </row>
    <row r="28" spans="2:16">
      <c r="B28" s="350">
        <f>All!B30</f>
        <v>2020</v>
      </c>
      <c r="C28" s="349">
        <f>All!C30</f>
        <v>61</v>
      </c>
      <c r="D28" s="349">
        <f>All!D30</f>
        <v>59.2</v>
      </c>
      <c r="E28" s="349">
        <f>All!E30</f>
        <v>19.5</v>
      </c>
      <c r="F28" s="349">
        <f>All!F30</f>
        <v>15.8</v>
      </c>
      <c r="G28" s="349">
        <f>All!G30</f>
        <v>97.9</v>
      </c>
      <c r="H28" s="349">
        <f>All!H30</f>
        <v>91.1</v>
      </c>
      <c r="I28" s="349">
        <f>All!I30</f>
        <v>384.7</v>
      </c>
      <c r="J28" s="349">
        <f>All!J30</f>
        <v>659.3</v>
      </c>
      <c r="K28" s="349">
        <f>All!K30</f>
        <v>163.4</v>
      </c>
      <c r="L28" s="349">
        <f>All!L30</f>
        <v>22.2</v>
      </c>
      <c r="M28" s="349">
        <f>All!M30</f>
        <v>56.8</v>
      </c>
      <c r="N28" s="349">
        <f>All!N30</f>
        <v>4.5999999999999996</v>
      </c>
      <c r="O28" s="349">
        <f>All!O30</f>
        <v>1635.5</v>
      </c>
      <c r="P28" s="351">
        <f>All!P30</f>
        <v>136.30000000000001</v>
      </c>
    </row>
    <row r="29" spans="2:16">
      <c r="B29" s="350">
        <f>All!B31</f>
        <v>2021</v>
      </c>
      <c r="C29" s="349">
        <f>All!C31</f>
        <v>24.1</v>
      </c>
      <c r="D29" s="349">
        <f>All!D31</f>
        <v>9.6999999999999993</v>
      </c>
      <c r="E29" s="349">
        <f>All!E31</f>
        <v>102.8</v>
      </c>
      <c r="F29" s="349">
        <f>All!F31</f>
        <v>106.4</v>
      </c>
      <c r="G29" s="349">
        <f>All!G31</f>
        <v>179.2</v>
      </c>
      <c r="H29" s="349">
        <f>All!H31</f>
        <v>50.1</v>
      </c>
      <c r="I29" s="349">
        <f>All!I31</f>
        <v>134.4</v>
      </c>
      <c r="J29" s="349">
        <f>All!J31</f>
        <v>161.1</v>
      </c>
      <c r="K29" s="349">
        <f>All!K31</f>
        <v>164.1</v>
      </c>
      <c r="L29" s="349">
        <f>All!L31</f>
        <v>36</v>
      </c>
      <c r="M29" s="349">
        <f>All!M31</f>
        <v>104.2</v>
      </c>
      <c r="N29" s="349">
        <f>All!N31</f>
        <v>12.3</v>
      </c>
      <c r="O29" s="349">
        <f>All!O31</f>
        <v>1084.4000000000001</v>
      </c>
      <c r="P29" s="351">
        <f>All!P31</f>
        <v>90.4</v>
      </c>
    </row>
    <row r="30" spans="2:16">
      <c r="B30" s="350">
        <f>All!B32</f>
        <v>2022</v>
      </c>
      <c r="C30" s="349">
        <f>All!C32</f>
        <v>3.9</v>
      </c>
      <c r="D30" s="349">
        <f>All!D32</f>
        <v>4</v>
      </c>
      <c r="E30" s="349">
        <f>All!E32</f>
        <v>74.7</v>
      </c>
      <c r="F30" s="349">
        <f>All!F32</f>
        <v>42.4</v>
      </c>
      <c r="G30" s="349">
        <f>All!G32</f>
        <v>13.4</v>
      </c>
      <c r="H30" s="349">
        <f>All!H32</f>
        <v>472.1</v>
      </c>
      <c r="I30" s="349">
        <f>All!I32</f>
        <v>243</v>
      </c>
      <c r="J30" s="349">
        <f>All!J32</f>
        <v>640.79999999999995</v>
      </c>
      <c r="K30" s="349">
        <f>All!K32</f>
        <v>190.1</v>
      </c>
      <c r="L30" s="349">
        <f>All!L32</f>
        <v>108.5</v>
      </c>
      <c r="M30" s="349">
        <f>All!M32</f>
        <v>51.4</v>
      </c>
      <c r="N30" s="349">
        <f>All!N32</f>
        <v>19.7</v>
      </c>
      <c r="O30" s="349">
        <f>All!O32</f>
        <v>1864</v>
      </c>
      <c r="P30" s="351">
        <f>All!P32</f>
        <v>155.30000000000001</v>
      </c>
    </row>
    <row r="31" spans="2:16">
      <c r="B31" s="350">
        <f>All!B33</f>
        <v>2023</v>
      </c>
      <c r="C31" s="349">
        <f>All!C33</f>
        <v>38.9</v>
      </c>
      <c r="D31" s="349">
        <f>All!D33</f>
        <v>0.7</v>
      </c>
      <c r="E31" s="349">
        <f>All!E33</f>
        <v>5.5</v>
      </c>
      <c r="F31" s="349">
        <f>All!F33</f>
        <v>67.400000000000006</v>
      </c>
      <c r="G31" s="349">
        <f>All!G33</f>
        <v>120.3</v>
      </c>
      <c r="H31" s="349">
        <f>All!H33</f>
        <v>131.5</v>
      </c>
      <c r="I31" s="349">
        <f>All!I33</f>
        <v>490.5</v>
      </c>
      <c r="J31" s="349">
        <f>All!J33</f>
        <v>200.7</v>
      </c>
      <c r="K31" s="349">
        <f>All!K33</f>
        <v>135.6</v>
      </c>
      <c r="L31" s="349">
        <f>All!L33</f>
        <v>35.799999999999997</v>
      </c>
      <c r="M31" s="349">
        <f>All!M33</f>
        <v>99</v>
      </c>
      <c r="N31" s="349">
        <f>All!N33</f>
        <v>83.5</v>
      </c>
      <c r="O31" s="349">
        <f>All!O33</f>
        <v>1409.4</v>
      </c>
      <c r="P31" s="351">
        <f>All!P33</f>
        <v>117.5</v>
      </c>
    </row>
    <row r="32" spans="2:16">
      <c r="B32" s="350">
        <f>All!B34</f>
        <v>2024</v>
      </c>
      <c r="C32" s="349">
        <f>All!C34</f>
        <v>21.2</v>
      </c>
      <c r="D32" s="349">
        <f>All!D34</f>
        <v>74.8</v>
      </c>
      <c r="E32" s="349">
        <f>All!E34</f>
        <v>30.2</v>
      </c>
      <c r="F32" s="349">
        <f>All!F34</f>
        <v>55</v>
      </c>
      <c r="G32" s="349">
        <f>All!G34</f>
        <v>109.4</v>
      </c>
      <c r="H32" s="349">
        <f>All!H34</f>
        <v>137.5</v>
      </c>
      <c r="I32" s="349">
        <f>All!I34</f>
        <v>403.3</v>
      </c>
      <c r="J32" s="349">
        <f>All!J34</f>
        <v>127.6</v>
      </c>
      <c r="K32" s="349">
        <f>All!K34</f>
        <v>219.4</v>
      </c>
      <c r="L32" s="349">
        <f>All!L34</f>
        <v>97.2</v>
      </c>
      <c r="M32" s="349">
        <f>All!M34</f>
        <v>98.1</v>
      </c>
      <c r="N32" s="349">
        <f>All!N34</f>
        <v>4.5</v>
      </c>
      <c r="O32" s="349">
        <f>All!O34</f>
        <v>1378.2</v>
      </c>
      <c r="P32" s="351">
        <f>All!P34</f>
        <v>114.9</v>
      </c>
    </row>
    <row r="33" spans="2:17">
      <c r="B33" s="525" t="s">
        <v>164</v>
      </c>
      <c r="C33" s="526">
        <f>ROUND(SUM(C23:C32)/10,1)</f>
        <v>19.899999999999999</v>
      </c>
      <c r="D33" s="526">
        <f t="shared" ref="D33:P33" si="0">ROUND(SUM(D23:D32)/10,1)</f>
        <v>30.9</v>
      </c>
      <c r="E33" s="526">
        <f t="shared" si="0"/>
        <v>43.5</v>
      </c>
      <c r="F33" s="526">
        <f t="shared" si="0"/>
        <v>69</v>
      </c>
      <c r="G33" s="526">
        <f t="shared" si="0"/>
        <v>95.5</v>
      </c>
      <c r="H33" s="526">
        <f t="shared" si="0"/>
        <v>115.3</v>
      </c>
      <c r="I33" s="526">
        <f t="shared" si="0"/>
        <v>329.8</v>
      </c>
      <c r="J33" s="526">
        <f t="shared" si="0"/>
        <v>263</v>
      </c>
      <c r="K33" s="526">
        <f t="shared" si="0"/>
        <v>123.7</v>
      </c>
      <c r="L33" s="526">
        <f t="shared" si="0"/>
        <v>70.099999999999994</v>
      </c>
      <c r="M33" s="526">
        <f t="shared" si="0"/>
        <v>75.2</v>
      </c>
      <c r="N33" s="526">
        <f t="shared" si="0"/>
        <v>32.6</v>
      </c>
      <c r="O33" s="526">
        <f t="shared" si="0"/>
        <v>1268.4000000000001</v>
      </c>
      <c r="P33" s="527">
        <f t="shared" si="0"/>
        <v>105.7</v>
      </c>
    </row>
    <row r="34" spans="2:17" ht="17.25" thickBot="1">
      <c r="B34" s="528" t="s">
        <v>163</v>
      </c>
      <c r="C34" s="529">
        <f>All!C37</f>
        <v>19.8</v>
      </c>
      <c r="D34" s="529">
        <f>All!D37</f>
        <v>26.8</v>
      </c>
      <c r="E34" s="529">
        <f>All!E37</f>
        <v>43.1</v>
      </c>
      <c r="F34" s="529">
        <f>All!F37</f>
        <v>73.3</v>
      </c>
      <c r="G34" s="529">
        <f>All!G37</f>
        <v>93.4</v>
      </c>
      <c r="H34" s="529">
        <f>All!H37</f>
        <v>136.30000000000001</v>
      </c>
      <c r="I34" s="529">
        <f>All!I37</f>
        <v>384.9</v>
      </c>
      <c r="J34" s="529">
        <f>All!J37</f>
        <v>304.7</v>
      </c>
      <c r="K34" s="529">
        <f>All!K37</f>
        <v>140.30000000000001</v>
      </c>
      <c r="L34" s="529">
        <f>All!L37</f>
        <v>54</v>
      </c>
      <c r="M34" s="529">
        <f>All!M37</f>
        <v>54.6</v>
      </c>
      <c r="N34" s="529">
        <f>All!N37</f>
        <v>24.9</v>
      </c>
      <c r="O34" s="529">
        <f>All!O37</f>
        <v>1356.3</v>
      </c>
      <c r="P34" s="530">
        <f>All!P37</f>
        <v>113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751.1</v>
      </c>
      <c r="D38" s="353" t="s">
        <v>30</v>
      </c>
      <c r="E38" s="354">
        <f>All!C53</f>
        <v>19.899999999999999</v>
      </c>
      <c r="F38" s="354">
        <f>All!D53</f>
        <v>30.9</v>
      </c>
      <c r="G38" s="354">
        <f>All!E53</f>
        <v>43.5</v>
      </c>
      <c r="H38" s="354">
        <f>All!F53</f>
        <v>69</v>
      </c>
      <c r="I38" s="354">
        <f>All!G53</f>
        <v>95.5</v>
      </c>
      <c r="J38" s="354">
        <f>All!H53</f>
        <v>115.3</v>
      </c>
      <c r="K38" s="354">
        <f>All!I53</f>
        <v>329.8</v>
      </c>
      <c r="L38" s="354">
        <f>All!J53</f>
        <v>263</v>
      </c>
      <c r="M38" s="354">
        <f>All!K53</f>
        <v>123.7</v>
      </c>
      <c r="N38" s="354">
        <f>All!L53</f>
        <v>70.099999999999994</v>
      </c>
      <c r="O38" s="354">
        <f>All!M53</f>
        <v>75.2</v>
      </c>
      <c r="P38" s="354">
        <f>All!N53</f>
        <v>32.6</v>
      </c>
      <c r="Q38" s="355">
        <f>All!P53</f>
        <v>105.7</v>
      </c>
    </row>
    <row r="39" spans="2:17">
      <c r="B39" s="350">
        <f t="shared" ref="B39:B48" si="1">B24</f>
        <v>2016</v>
      </c>
      <c r="C39" s="351">
        <f t="shared" ref="C39:C48" si="2">O24</f>
        <v>1023.4</v>
      </c>
    </row>
    <row r="40" spans="2:17">
      <c r="B40" s="350">
        <f t="shared" si="1"/>
        <v>2017</v>
      </c>
      <c r="C40" s="351">
        <f t="shared" si="2"/>
        <v>1328.6</v>
      </c>
    </row>
    <row r="41" spans="2:17">
      <c r="B41" s="350">
        <f t="shared" si="1"/>
        <v>2018</v>
      </c>
      <c r="C41" s="351">
        <f t="shared" si="2"/>
        <v>1293.0999999999999</v>
      </c>
    </row>
    <row r="42" spans="2:17">
      <c r="B42" s="350">
        <f t="shared" si="1"/>
        <v>2019</v>
      </c>
      <c r="C42" s="351">
        <f t="shared" si="2"/>
        <v>915.8</v>
      </c>
    </row>
    <row r="43" spans="2:17">
      <c r="B43" s="350">
        <f t="shared" si="1"/>
        <v>2020</v>
      </c>
      <c r="C43" s="351">
        <f t="shared" si="2"/>
        <v>1635.5</v>
      </c>
    </row>
    <row r="44" spans="2:17">
      <c r="B44" s="350">
        <f t="shared" si="1"/>
        <v>2021</v>
      </c>
      <c r="C44" s="351">
        <f t="shared" si="2"/>
        <v>1084.4000000000001</v>
      </c>
    </row>
    <row r="45" spans="2:17">
      <c r="B45" s="350">
        <f t="shared" si="1"/>
        <v>2022</v>
      </c>
      <c r="C45" s="351">
        <f t="shared" si="2"/>
        <v>1864</v>
      </c>
    </row>
    <row r="46" spans="2:17">
      <c r="B46" s="350">
        <f t="shared" si="1"/>
        <v>2023</v>
      </c>
      <c r="C46" s="351">
        <f t="shared" si="2"/>
        <v>1409.4</v>
      </c>
    </row>
    <row r="47" spans="2:17">
      <c r="B47" s="350">
        <f t="shared" si="1"/>
        <v>2024</v>
      </c>
      <c r="C47" s="351">
        <f t="shared" si="2"/>
        <v>1378.2</v>
      </c>
    </row>
    <row r="48" spans="2:17" ht="17.25" thickBot="1">
      <c r="B48" s="356" t="str">
        <f t="shared" si="1"/>
        <v>10년평균</v>
      </c>
      <c r="C48" s="357">
        <f t="shared" si="2"/>
        <v>1268.4000000000001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1653.3</v>
      </c>
    </row>
    <row r="53" spans="2:3">
      <c r="B53" s="360">
        <f t="shared" ref="B53:B81" si="3">B4</f>
        <v>1996</v>
      </c>
      <c r="C53" s="361">
        <f t="shared" ref="C53:C81" si="4">O4</f>
        <v>952.1</v>
      </c>
    </row>
    <row r="54" spans="2:3">
      <c r="B54" s="360">
        <f t="shared" si="3"/>
        <v>1997</v>
      </c>
      <c r="C54" s="361">
        <f t="shared" si="4"/>
        <v>1394.3</v>
      </c>
    </row>
    <row r="55" spans="2:3">
      <c r="B55" s="360">
        <f t="shared" si="3"/>
        <v>1998</v>
      </c>
      <c r="C55" s="361">
        <f t="shared" si="4"/>
        <v>1626.9</v>
      </c>
    </row>
    <row r="56" spans="2:3">
      <c r="B56" s="360">
        <f t="shared" si="3"/>
        <v>1999</v>
      </c>
      <c r="C56" s="361">
        <f t="shared" si="4"/>
        <v>1556.1</v>
      </c>
    </row>
    <row r="57" spans="2:3">
      <c r="B57" s="360">
        <f t="shared" si="3"/>
        <v>2000</v>
      </c>
      <c r="C57" s="361">
        <f t="shared" si="4"/>
        <v>1328.8</v>
      </c>
    </row>
    <row r="58" spans="2:3">
      <c r="B58" s="360">
        <f t="shared" si="3"/>
        <v>2001</v>
      </c>
      <c r="C58" s="361">
        <f t="shared" si="4"/>
        <v>1067.2</v>
      </c>
    </row>
    <row r="59" spans="2:3">
      <c r="B59" s="360">
        <f t="shared" si="3"/>
        <v>2002</v>
      </c>
      <c r="C59" s="361">
        <f t="shared" si="4"/>
        <v>1231.7</v>
      </c>
    </row>
    <row r="60" spans="2:3">
      <c r="B60" s="360">
        <f t="shared" si="3"/>
        <v>2003</v>
      </c>
      <c r="C60" s="361">
        <f t="shared" si="4"/>
        <v>1514.8</v>
      </c>
    </row>
    <row r="61" spans="2:3">
      <c r="B61" s="360">
        <f t="shared" si="3"/>
        <v>2004</v>
      </c>
      <c r="C61" s="361">
        <f t="shared" si="4"/>
        <v>1217</v>
      </c>
    </row>
    <row r="62" spans="2:3">
      <c r="B62" s="360">
        <f t="shared" si="3"/>
        <v>2005</v>
      </c>
      <c r="C62" s="361">
        <f t="shared" si="4"/>
        <v>1427.7</v>
      </c>
    </row>
    <row r="63" spans="2:3">
      <c r="B63" s="360">
        <f t="shared" si="3"/>
        <v>2006</v>
      </c>
      <c r="C63" s="361">
        <f t="shared" si="4"/>
        <v>1362.7</v>
      </c>
    </row>
    <row r="64" spans="2:3">
      <c r="B64" s="360">
        <f t="shared" si="3"/>
        <v>2007</v>
      </c>
      <c r="C64" s="361">
        <f t="shared" si="4"/>
        <v>1325</v>
      </c>
    </row>
    <row r="65" spans="2:3">
      <c r="B65" s="360">
        <f t="shared" si="3"/>
        <v>2008</v>
      </c>
      <c r="C65" s="361">
        <f t="shared" si="4"/>
        <v>1342.9</v>
      </c>
    </row>
    <row r="66" spans="2:3">
      <c r="B66" s="360">
        <f t="shared" si="3"/>
        <v>2009</v>
      </c>
      <c r="C66" s="361">
        <f t="shared" si="4"/>
        <v>1541.2</v>
      </c>
    </row>
    <row r="67" spans="2:3">
      <c r="B67" s="360">
        <f t="shared" si="3"/>
        <v>2010</v>
      </c>
      <c r="C67" s="361">
        <f t="shared" si="4"/>
        <v>1470.6</v>
      </c>
    </row>
    <row r="68" spans="2:3">
      <c r="B68" s="360">
        <f t="shared" si="3"/>
        <v>2011</v>
      </c>
      <c r="C68" s="361">
        <f t="shared" si="4"/>
        <v>1975.9</v>
      </c>
    </row>
    <row r="69" spans="2:3">
      <c r="B69" s="360">
        <f t="shared" si="3"/>
        <v>2012</v>
      </c>
      <c r="C69" s="361">
        <f t="shared" si="4"/>
        <v>1748.3</v>
      </c>
    </row>
    <row r="70" spans="2:3">
      <c r="B70" s="360">
        <f t="shared" si="3"/>
        <v>2013</v>
      </c>
      <c r="C70" s="361">
        <f t="shared" si="4"/>
        <v>1240.0999999999999</v>
      </c>
    </row>
    <row r="71" spans="2:3">
      <c r="B71" s="360">
        <f t="shared" si="3"/>
        <v>2014</v>
      </c>
      <c r="C71" s="361">
        <f t="shared" si="4"/>
        <v>1029.0999999999999</v>
      </c>
    </row>
    <row r="72" spans="2:3">
      <c r="B72" s="360">
        <f t="shared" si="3"/>
        <v>2015</v>
      </c>
      <c r="C72" s="361">
        <f t="shared" si="4"/>
        <v>751.1</v>
      </c>
    </row>
    <row r="73" spans="2:3">
      <c r="B73" s="360">
        <f t="shared" si="3"/>
        <v>2016</v>
      </c>
      <c r="C73" s="361">
        <f t="shared" si="4"/>
        <v>1023.4</v>
      </c>
    </row>
    <row r="74" spans="2:3">
      <c r="B74" s="360">
        <f t="shared" si="3"/>
        <v>2017</v>
      </c>
      <c r="C74" s="361">
        <f t="shared" si="4"/>
        <v>1328.6</v>
      </c>
    </row>
    <row r="75" spans="2:3">
      <c r="B75" s="360">
        <f t="shared" si="3"/>
        <v>2018</v>
      </c>
      <c r="C75" s="361">
        <f t="shared" si="4"/>
        <v>1293.0999999999999</v>
      </c>
    </row>
    <row r="76" spans="2:3">
      <c r="B76" s="360">
        <f t="shared" si="3"/>
        <v>2019</v>
      </c>
      <c r="C76" s="361">
        <f t="shared" si="4"/>
        <v>915.8</v>
      </c>
    </row>
    <row r="77" spans="2:3">
      <c r="B77" s="360">
        <f t="shared" si="3"/>
        <v>2020</v>
      </c>
      <c r="C77" s="361">
        <f t="shared" si="4"/>
        <v>1635.5</v>
      </c>
    </row>
    <row r="78" spans="2:3">
      <c r="B78" s="360">
        <f>B29</f>
        <v>2021</v>
      </c>
      <c r="C78" s="361">
        <f t="shared" si="4"/>
        <v>1084.4000000000001</v>
      </c>
    </row>
    <row r="79" spans="2:3">
      <c r="B79" s="360">
        <f t="shared" si="3"/>
        <v>2022</v>
      </c>
      <c r="C79" s="361">
        <f t="shared" si="4"/>
        <v>1864</v>
      </c>
    </row>
    <row r="80" spans="2:3">
      <c r="B80" s="360">
        <f t="shared" si="3"/>
        <v>2023</v>
      </c>
      <c r="C80" s="361">
        <f t="shared" si="4"/>
        <v>1409.4</v>
      </c>
    </row>
    <row r="81" spans="2:3">
      <c r="B81" s="360">
        <f t="shared" si="3"/>
        <v>2024</v>
      </c>
      <c r="C81" s="361">
        <f t="shared" si="4"/>
        <v>1378.2</v>
      </c>
    </row>
    <row r="82" spans="2:3" ht="17.25" thickBot="1">
      <c r="B82" s="353" t="str">
        <f>B34</f>
        <v>30년평균</v>
      </c>
      <c r="C82" s="362">
        <f>O34</f>
        <v>1356.3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445"/>
  <sheetViews>
    <sheetView topLeftCell="A3" zoomScaleNormal="100" workbookViewId="0">
      <selection activeCell="L34" sqref="L34"/>
    </sheetView>
  </sheetViews>
  <sheetFormatPr defaultColWidth="8.88671875" defaultRowHeight="16.5"/>
  <cols>
    <col min="1" max="1" width="17" style="119" customWidth="1"/>
    <col min="2" max="2" width="16.664062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수원기상청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1">
        <f>All!B41</f>
        <v>2015</v>
      </c>
      <c r="C5" s="685">
        <f>All!C41</f>
        <v>17.5</v>
      </c>
      <c r="D5" s="685">
        <f>All!D41</f>
        <v>22.7</v>
      </c>
      <c r="E5" s="686">
        <f>All!E41</f>
        <v>12.5</v>
      </c>
      <c r="F5" s="686">
        <f>All!F41</f>
        <v>99.2</v>
      </c>
      <c r="G5" s="686">
        <v>200</v>
      </c>
      <c r="H5" s="686">
        <v>72</v>
      </c>
      <c r="I5" s="686">
        <v>120</v>
      </c>
      <c r="J5" s="686">
        <v>120</v>
      </c>
      <c r="K5" s="686">
        <f>All!K41</f>
        <v>6.9</v>
      </c>
      <c r="L5" s="686">
        <v>5</v>
      </c>
      <c r="M5" s="686">
        <f>All!M41</f>
        <v>116</v>
      </c>
      <c r="N5" s="687">
        <f>All!N41</f>
        <v>49.3</v>
      </c>
      <c r="O5" s="515">
        <f>All!O41</f>
        <v>751.1</v>
      </c>
      <c r="P5" s="687">
        <f>All!P41</f>
        <v>62.6</v>
      </c>
    </row>
    <row r="6" spans="2:16" ht="22.15" customHeight="1">
      <c r="B6" s="571">
        <f>All!B42</f>
        <v>2016</v>
      </c>
      <c r="C6" s="685">
        <f>All!C42</f>
        <v>4.5999999999999996</v>
      </c>
      <c r="D6" s="686">
        <f>All!D42</f>
        <v>52.6</v>
      </c>
      <c r="E6" s="686">
        <f>All!E42</f>
        <v>54.8</v>
      </c>
      <c r="F6" s="686">
        <f>All!F42</f>
        <v>79.2</v>
      </c>
      <c r="G6" s="686">
        <f>All!G42</f>
        <v>156.4</v>
      </c>
      <c r="H6" s="686">
        <f>All!H42</f>
        <v>37.4</v>
      </c>
      <c r="I6" s="686">
        <f>All!I42</f>
        <v>317.7</v>
      </c>
      <c r="J6" s="686">
        <f>All!J42</f>
        <v>73</v>
      </c>
      <c r="K6" s="686">
        <f>All!K42</f>
        <v>67.8</v>
      </c>
      <c r="L6" s="686">
        <f>All!L42</f>
        <v>99.1</v>
      </c>
      <c r="M6" s="686">
        <f>All!M42</f>
        <v>17.399999999999999</v>
      </c>
      <c r="N6" s="687">
        <f>All!N42</f>
        <v>63.4</v>
      </c>
      <c r="O6" s="515">
        <f>All!O42</f>
        <v>1023.4</v>
      </c>
      <c r="P6" s="687">
        <f>All!P42</f>
        <v>85.3</v>
      </c>
    </row>
    <row r="7" spans="2:16" ht="22.15" customHeight="1">
      <c r="B7" s="571">
        <f>All!B43</f>
        <v>2017</v>
      </c>
      <c r="C7" s="685">
        <f>All!C43</f>
        <v>19.399999999999999</v>
      </c>
      <c r="D7" s="686">
        <f>All!D43</f>
        <v>22.5</v>
      </c>
      <c r="E7" s="686">
        <f>All!E43</f>
        <v>9</v>
      </c>
      <c r="F7" s="686">
        <f>All!F43</f>
        <v>52.5</v>
      </c>
      <c r="G7" s="686">
        <f>All!G43</f>
        <v>22.5</v>
      </c>
      <c r="H7" s="686">
        <f>All!H43</f>
        <v>27.6</v>
      </c>
      <c r="I7" s="686">
        <f>All!I43</f>
        <v>684.5</v>
      </c>
      <c r="J7" s="686">
        <f>All!J43</f>
        <v>359.7</v>
      </c>
      <c r="K7" s="686">
        <f>All!K43</f>
        <v>26.1</v>
      </c>
      <c r="L7" s="686">
        <f>All!L43</f>
        <v>28.7</v>
      </c>
      <c r="M7" s="686">
        <f>All!M43</f>
        <v>37.6</v>
      </c>
      <c r="N7" s="687">
        <f>All!N43</f>
        <v>38.5</v>
      </c>
      <c r="O7" s="515">
        <f>All!O43</f>
        <v>1328.6</v>
      </c>
      <c r="P7" s="687">
        <f>All!P43</f>
        <v>110.7</v>
      </c>
    </row>
    <row r="8" spans="2:16" ht="22.15" customHeight="1">
      <c r="B8" s="571">
        <f>All!B44</f>
        <v>2018</v>
      </c>
      <c r="C8" s="685">
        <f>All!C44</f>
        <v>7.9</v>
      </c>
      <c r="D8" s="686">
        <f>All!D44</f>
        <v>29.1</v>
      </c>
      <c r="E8" s="686">
        <f>All!E44</f>
        <v>86</v>
      </c>
      <c r="F8" s="686">
        <f>All!F44</f>
        <v>128.80000000000001</v>
      </c>
      <c r="G8" s="686">
        <f>All!G44</f>
        <v>196.4</v>
      </c>
      <c r="H8" s="686">
        <f>All!H44</f>
        <v>107</v>
      </c>
      <c r="I8" s="686">
        <f>All!I44</f>
        <v>222.7</v>
      </c>
      <c r="J8" s="686">
        <f>All!J44</f>
        <v>218.6</v>
      </c>
      <c r="K8" s="686">
        <f>All!K44</f>
        <v>61.7</v>
      </c>
      <c r="L8" s="686">
        <f>All!L44</f>
        <v>132.69999999999999</v>
      </c>
      <c r="M8" s="686">
        <f>All!M44</f>
        <v>78.099999999999994</v>
      </c>
      <c r="N8" s="687">
        <f>All!N44</f>
        <v>24.1</v>
      </c>
      <c r="O8" s="515">
        <f>All!O44</f>
        <v>1293.0999999999999</v>
      </c>
      <c r="P8" s="687">
        <f>All!P44</f>
        <v>107.8</v>
      </c>
    </row>
    <row r="9" spans="2:16" ht="22.15" customHeight="1">
      <c r="B9" s="571">
        <f>All!B45</f>
        <v>2019</v>
      </c>
      <c r="C9" s="685">
        <f>All!C45</f>
        <v>0.5</v>
      </c>
      <c r="D9" s="686">
        <f>All!D45</f>
        <v>33.4</v>
      </c>
      <c r="E9" s="686">
        <f>All!E45</f>
        <v>39.6</v>
      </c>
      <c r="F9" s="686">
        <f>All!F45</f>
        <v>43.6</v>
      </c>
      <c r="G9" s="686">
        <f>All!G45</f>
        <v>26.7</v>
      </c>
      <c r="H9" s="686">
        <f>All!H45</f>
        <v>68.8</v>
      </c>
      <c r="I9" s="686">
        <f>All!I45</f>
        <v>190.9</v>
      </c>
      <c r="J9" s="686">
        <f>All!J45</f>
        <v>117.9</v>
      </c>
      <c r="K9" s="686">
        <f>All!K45</f>
        <v>201.9</v>
      </c>
      <c r="L9" s="686">
        <f>All!L45</f>
        <v>73.099999999999994</v>
      </c>
      <c r="M9" s="686">
        <f>All!M45</f>
        <v>93.2</v>
      </c>
      <c r="N9" s="687">
        <f>All!N45</f>
        <v>26.2</v>
      </c>
      <c r="O9" s="515">
        <f>All!O45</f>
        <v>915.8</v>
      </c>
      <c r="P9" s="687">
        <f>All!P45</f>
        <v>76.3</v>
      </c>
    </row>
    <row r="10" spans="2:16" ht="22.15" customHeight="1">
      <c r="B10" s="571">
        <f>All!B46</f>
        <v>2020</v>
      </c>
      <c r="C10" s="685">
        <f>All!C46</f>
        <v>61</v>
      </c>
      <c r="D10" s="686">
        <f>All!D46</f>
        <v>59.2</v>
      </c>
      <c r="E10" s="686">
        <f>All!E46</f>
        <v>19.5</v>
      </c>
      <c r="F10" s="686">
        <f>All!F46</f>
        <v>15.8</v>
      </c>
      <c r="G10" s="686">
        <f>All!G46</f>
        <v>97.9</v>
      </c>
      <c r="H10" s="686">
        <f>All!H46</f>
        <v>91.1</v>
      </c>
      <c r="I10" s="686">
        <f>All!I46</f>
        <v>384.7</v>
      </c>
      <c r="J10" s="686">
        <f>All!J46</f>
        <v>659.3</v>
      </c>
      <c r="K10" s="686">
        <f>All!K46</f>
        <v>163.4</v>
      </c>
      <c r="L10" s="686">
        <f>All!L46</f>
        <v>22.2</v>
      </c>
      <c r="M10" s="686">
        <f>All!M46</f>
        <v>56.8</v>
      </c>
      <c r="N10" s="687">
        <f>All!N46</f>
        <v>4.5999999999999996</v>
      </c>
      <c r="O10" s="515">
        <f>All!O46</f>
        <v>1635.5</v>
      </c>
      <c r="P10" s="687">
        <f>All!P46</f>
        <v>136.30000000000001</v>
      </c>
    </row>
    <row r="11" spans="2:16" ht="22.15" customHeight="1">
      <c r="B11" s="571">
        <f>All!B47</f>
        <v>2021</v>
      </c>
      <c r="C11" s="685">
        <f>All!C47</f>
        <v>24.1</v>
      </c>
      <c r="D11" s="686">
        <f>All!D47</f>
        <v>9.6999999999999993</v>
      </c>
      <c r="E11" s="686">
        <f>All!E47</f>
        <v>102.8</v>
      </c>
      <c r="F11" s="686">
        <f>All!F47</f>
        <v>106.4</v>
      </c>
      <c r="G11" s="686">
        <f>All!G47</f>
        <v>179.2</v>
      </c>
      <c r="H11" s="686">
        <f>All!H47</f>
        <v>50.1</v>
      </c>
      <c r="I11" s="686">
        <f>All!I47</f>
        <v>134.4</v>
      </c>
      <c r="J11" s="686">
        <f>All!J47</f>
        <v>161.1</v>
      </c>
      <c r="K11" s="686">
        <f>All!K47</f>
        <v>164.1</v>
      </c>
      <c r="L11" s="686">
        <f>All!L47</f>
        <v>36</v>
      </c>
      <c r="M11" s="686">
        <f>All!M47</f>
        <v>104.2</v>
      </c>
      <c r="N11" s="687">
        <f>All!N47</f>
        <v>12.3</v>
      </c>
      <c r="O11" s="515">
        <f>All!O47</f>
        <v>1084.4000000000001</v>
      </c>
      <c r="P11" s="687">
        <f>All!P47</f>
        <v>90.4</v>
      </c>
    </row>
    <row r="12" spans="2:16" ht="22.15" customHeight="1">
      <c r="B12" s="570">
        <f>All!B48</f>
        <v>2022</v>
      </c>
      <c r="C12" s="521">
        <f>All!C48</f>
        <v>3.9</v>
      </c>
      <c r="D12" s="522">
        <f>All!D48</f>
        <v>4</v>
      </c>
      <c r="E12" s="522">
        <f>All!E48</f>
        <v>74.7</v>
      </c>
      <c r="F12" s="522">
        <f>All!F48</f>
        <v>42.4</v>
      </c>
      <c r="G12" s="522">
        <f>All!G48</f>
        <v>13.4</v>
      </c>
      <c r="H12" s="522">
        <f>All!H48</f>
        <v>472.1</v>
      </c>
      <c r="I12" s="522">
        <f>All!I48</f>
        <v>243</v>
      </c>
      <c r="J12" s="522">
        <f>All!J48</f>
        <v>640.79999999999995</v>
      </c>
      <c r="K12" s="522">
        <f>All!K48</f>
        <v>190.1</v>
      </c>
      <c r="L12" s="522">
        <f>All!L48</f>
        <v>108.5</v>
      </c>
      <c r="M12" s="522">
        <f>All!M48</f>
        <v>51.4</v>
      </c>
      <c r="N12" s="523">
        <f>All!N48</f>
        <v>19.7</v>
      </c>
      <c r="O12" s="524">
        <f>All!O48</f>
        <v>1864</v>
      </c>
      <c r="P12" s="523">
        <f>All!P48</f>
        <v>155.30000000000001</v>
      </c>
    </row>
    <row r="13" spans="2:16" ht="22.15" customHeight="1">
      <c r="B13" s="570">
        <f>All!B49</f>
        <v>2023</v>
      </c>
      <c r="C13" s="521">
        <f>All!C49</f>
        <v>38.9</v>
      </c>
      <c r="D13" s="522">
        <f>All!D49</f>
        <v>0.7</v>
      </c>
      <c r="E13" s="522">
        <f>All!E49</f>
        <v>5.5</v>
      </c>
      <c r="F13" s="522">
        <f>All!F49</f>
        <v>67.400000000000006</v>
      </c>
      <c r="G13" s="522">
        <f>All!G49</f>
        <v>120.3</v>
      </c>
      <c r="H13" s="522">
        <f>All!H49</f>
        <v>131.5</v>
      </c>
      <c r="I13" s="522">
        <f>All!I49</f>
        <v>490.5</v>
      </c>
      <c r="J13" s="522">
        <f>All!J49</f>
        <v>200.7</v>
      </c>
      <c r="K13" s="522">
        <f>All!K49</f>
        <v>135.6</v>
      </c>
      <c r="L13" s="522">
        <f>All!L49</f>
        <v>35.799999999999997</v>
      </c>
      <c r="M13" s="522">
        <f>All!M49</f>
        <v>99</v>
      </c>
      <c r="N13" s="523">
        <f>All!N49</f>
        <v>83.5</v>
      </c>
      <c r="O13" s="524">
        <f>All!O49</f>
        <v>1409.4</v>
      </c>
      <c r="P13" s="523">
        <f>All!P49</f>
        <v>117.5</v>
      </c>
    </row>
    <row r="14" spans="2:16" ht="22.15" customHeight="1" thickBot="1">
      <c r="B14" s="572">
        <f>All!B50</f>
        <v>2024</v>
      </c>
      <c r="C14" s="688">
        <f>All!C50</f>
        <v>21.2</v>
      </c>
      <c r="D14" s="689">
        <f>All!D50</f>
        <v>74.8</v>
      </c>
      <c r="E14" s="689">
        <f>All!E50</f>
        <v>30.2</v>
      </c>
      <c r="F14" s="689">
        <f>All!F50</f>
        <v>55</v>
      </c>
      <c r="G14" s="689">
        <f>All!G50</f>
        <v>109.4</v>
      </c>
      <c r="H14" s="689">
        <f>All!H50</f>
        <v>137.5</v>
      </c>
      <c r="I14" s="689">
        <f>All!I50</f>
        <v>403.3</v>
      </c>
      <c r="J14" s="689">
        <f>All!J50</f>
        <v>127.6</v>
      </c>
      <c r="K14" s="689">
        <f>All!K50</f>
        <v>219.4</v>
      </c>
      <c r="L14" s="689">
        <f>All!L50</f>
        <v>97.2</v>
      </c>
      <c r="M14" s="689">
        <f>All!M50</f>
        <v>98.1</v>
      </c>
      <c r="N14" s="690">
        <f>All!N50</f>
        <v>4.5</v>
      </c>
      <c r="O14" s="520">
        <f>All!O50</f>
        <v>1378.2</v>
      </c>
      <c r="P14" s="690">
        <f>All!P50</f>
        <v>114.9</v>
      </c>
    </row>
    <row r="15" spans="2:16" ht="22.15" customHeight="1">
      <c r="B15" s="573" t="s">
        <v>21</v>
      </c>
      <c r="C15" s="691">
        <f>All!C51</f>
        <v>61</v>
      </c>
      <c r="D15" s="692">
        <f>All!D51</f>
        <v>74.8</v>
      </c>
      <c r="E15" s="692">
        <f>All!E51</f>
        <v>102.8</v>
      </c>
      <c r="F15" s="692">
        <f>All!F51</f>
        <v>128.80000000000001</v>
      </c>
      <c r="G15" s="692">
        <f>All!G51</f>
        <v>196.4</v>
      </c>
      <c r="H15" s="692">
        <f>All!H51</f>
        <v>472.1</v>
      </c>
      <c r="I15" s="692">
        <f>All!I51</f>
        <v>684.5</v>
      </c>
      <c r="J15" s="692">
        <f>All!J51</f>
        <v>659.3</v>
      </c>
      <c r="K15" s="692">
        <f>All!K51</f>
        <v>219.4</v>
      </c>
      <c r="L15" s="692">
        <f>All!L51</f>
        <v>132.69999999999999</v>
      </c>
      <c r="M15" s="692">
        <f>All!M51</f>
        <v>116</v>
      </c>
      <c r="N15" s="693">
        <f>All!N51</f>
        <v>83.5</v>
      </c>
      <c r="O15" s="518">
        <f>All!O51</f>
        <v>1864</v>
      </c>
      <c r="P15" s="693">
        <f>All!P51</f>
        <v>155.30000000000001</v>
      </c>
    </row>
    <row r="16" spans="2:16" ht="22.15" customHeight="1">
      <c r="B16" s="571" t="s">
        <v>22</v>
      </c>
      <c r="C16" s="685">
        <f>All!C52</f>
        <v>0.5</v>
      </c>
      <c r="D16" s="686">
        <f>All!D52</f>
        <v>0.7</v>
      </c>
      <c r="E16" s="686">
        <f>All!E52</f>
        <v>5.5</v>
      </c>
      <c r="F16" s="686">
        <f>All!F52</f>
        <v>15.8</v>
      </c>
      <c r="G16" s="686">
        <f>All!G52</f>
        <v>13.4</v>
      </c>
      <c r="H16" s="686">
        <f>All!H52</f>
        <v>27.6</v>
      </c>
      <c r="I16" s="686">
        <f>All!I52</f>
        <v>134.4</v>
      </c>
      <c r="J16" s="686">
        <f>All!J52</f>
        <v>71</v>
      </c>
      <c r="K16" s="686">
        <f>All!K52</f>
        <v>6.9</v>
      </c>
      <c r="L16" s="686">
        <f>All!L52</f>
        <v>22.2</v>
      </c>
      <c r="M16" s="686">
        <f>All!M52</f>
        <v>17.399999999999999</v>
      </c>
      <c r="N16" s="687">
        <f>All!N52</f>
        <v>4.5</v>
      </c>
      <c r="O16" s="516">
        <f>All!O52</f>
        <v>751.1</v>
      </c>
      <c r="P16" s="687">
        <f>All!P52</f>
        <v>62.6</v>
      </c>
    </row>
    <row r="17" spans="2:16" ht="22.15" customHeight="1" thickBot="1">
      <c r="B17" s="572" t="s">
        <v>20</v>
      </c>
      <c r="C17" s="688">
        <f>All!C53</f>
        <v>19.899999999999999</v>
      </c>
      <c r="D17" s="689">
        <f>All!D53</f>
        <v>30.9</v>
      </c>
      <c r="E17" s="694">
        <f>All!E53</f>
        <v>43.5</v>
      </c>
      <c r="F17" s="689">
        <f>All!F53</f>
        <v>69</v>
      </c>
      <c r="G17" s="519">
        <f>All!G53</f>
        <v>95.5</v>
      </c>
      <c r="H17" s="519">
        <f>All!H53</f>
        <v>115.3</v>
      </c>
      <c r="I17" s="519">
        <f>All!I53</f>
        <v>329.8</v>
      </c>
      <c r="J17" s="519">
        <f>All!J53</f>
        <v>263</v>
      </c>
      <c r="K17" s="519">
        <f>All!K53</f>
        <v>123.7</v>
      </c>
      <c r="L17" s="689">
        <f>All!L53</f>
        <v>70.099999999999994</v>
      </c>
      <c r="M17" s="689">
        <f>All!M53</f>
        <v>75.2</v>
      </c>
      <c r="N17" s="690">
        <f>All!N53</f>
        <v>32.6</v>
      </c>
      <c r="O17" s="517">
        <f>All!O53</f>
        <v>1268.4000000000001</v>
      </c>
      <c r="P17" s="695">
        <f>All!P53</f>
        <v>105.7</v>
      </c>
    </row>
    <row r="18" spans="2:16" ht="29.25" customHeight="1" thickBot="1">
      <c r="B18" s="574" t="s">
        <v>23</v>
      </c>
      <c r="C18" s="406">
        <f>All!C37</f>
        <v>19.8</v>
      </c>
      <c r="D18" s="407">
        <f>All!D37</f>
        <v>26.8</v>
      </c>
      <c r="E18" s="407">
        <f>All!E37</f>
        <v>43.1</v>
      </c>
      <c r="F18" s="407">
        <f>All!F37</f>
        <v>73.3</v>
      </c>
      <c r="G18" s="407">
        <f>All!G37</f>
        <v>93.4</v>
      </c>
      <c r="H18" s="407">
        <f>All!H37</f>
        <v>136.30000000000001</v>
      </c>
      <c r="I18" s="408">
        <f>All!I37</f>
        <v>384.9</v>
      </c>
      <c r="J18" s="408">
        <f>All!J37</f>
        <v>304.7</v>
      </c>
      <c r="K18" s="408">
        <f>All!K37</f>
        <v>140.30000000000001</v>
      </c>
      <c r="L18" s="408">
        <f>All!L37</f>
        <v>54</v>
      </c>
      <c r="M18" s="408">
        <f>All!M37</f>
        <v>54.6</v>
      </c>
      <c r="N18" s="409">
        <f>All!N37</f>
        <v>24.9</v>
      </c>
      <c r="O18" s="410">
        <f>All!O37</f>
        <v>1356.3</v>
      </c>
      <c r="P18" s="409">
        <f>All!P37</f>
        <v>113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927.30000000000007</v>
      </c>
      <c r="F20" s="414"/>
    </row>
    <row r="21" spans="2:16">
      <c r="B21" s="415" t="s">
        <v>156</v>
      </c>
      <c r="D21" s="416">
        <f>O17</f>
        <v>1268.4000000000001</v>
      </c>
    </row>
    <row r="22" spans="2:16" ht="17.25" thickBot="1">
      <c r="B22" s="417"/>
      <c r="C22" s="418"/>
      <c r="D22" s="419">
        <f>D20/D21</f>
        <v>0.73107852412488172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751.1</v>
      </c>
      <c r="D24" s="422"/>
      <c r="E24" s="359"/>
      <c r="H24" s="423" t="s">
        <v>174</v>
      </c>
      <c r="I24" s="722" t="s">
        <v>849</v>
      </c>
      <c r="J24" s="723"/>
      <c r="K24" s="671">
        <f>INDEX(Location[recharge], MATCH(I24,Location[name],0))</f>
        <v>0.14099999999999999</v>
      </c>
      <c r="L24" s="672">
        <f>INDEX(Location[ratio], MATCH(I24,Location[name],0))</f>
        <v>0.72399999999999998</v>
      </c>
    </row>
    <row r="25" spans="2:16" ht="21.95" customHeight="1">
      <c r="B25" s="424" t="s">
        <v>25</v>
      </c>
      <c r="C25" s="126">
        <f>O18</f>
        <v>1356.3</v>
      </c>
      <c r="D25" s="358"/>
      <c r="E25" s="361"/>
      <c r="H25" s="423" t="s">
        <v>175</v>
      </c>
      <c r="I25" s="724" t="s">
        <v>184</v>
      </c>
      <c r="J25" s="725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0.72399999999999998</v>
      </c>
      <c r="D26" s="426">
        <f>L25</f>
        <v>0.68100000000000005</v>
      </c>
      <c r="E26" s="427">
        <f>L26</f>
        <v>0.72</v>
      </c>
      <c r="H26" s="423" t="s">
        <v>176</v>
      </c>
      <c r="I26" s="726" t="s">
        <v>232</v>
      </c>
      <c r="J26" s="727"/>
      <c r="K26" s="673">
        <f>INDEX(Location[recharge], MATCH(I26,Location[name],0))</f>
        <v>0.17100000000000001</v>
      </c>
      <c r="L26" s="674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3487130.5455</v>
      </c>
      <c r="D27" s="358"/>
      <c r="E27" s="429"/>
    </row>
    <row r="28" spans="2:16" ht="21.95" customHeight="1" thickBot="1">
      <c r="B28" s="430" t="s">
        <v>27</v>
      </c>
      <c r="C28" s="431">
        <f>K24</f>
        <v>0.14099999999999999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19.123829999999998</v>
      </c>
      <c r="D30" s="436">
        <f>max*rf_2/10</f>
        <v>20.615760000000002</v>
      </c>
      <c r="E30" s="437">
        <f>max*rf_3/10</f>
        <v>23.192730000000001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818</v>
      </c>
      <c r="C32" s="405"/>
      <c r="D32" s="405"/>
    </row>
    <row r="33" spans="1:7" ht="17.25" customHeight="1"/>
    <row r="34" spans="1:7" ht="17.25" customHeight="1">
      <c r="A34" s="439" t="s">
        <v>158</v>
      </c>
      <c r="C34" s="405"/>
      <c r="D34" s="405"/>
    </row>
    <row r="35" spans="1:7" ht="17.25" customHeight="1">
      <c r="A35" s="439" t="s">
        <v>159</v>
      </c>
    </row>
    <row r="36" spans="1:7">
      <c r="G36" s="403"/>
    </row>
    <row r="37" spans="1:7">
      <c r="G37" s="403"/>
    </row>
    <row r="38" spans="1:7">
      <c r="G38" s="403"/>
    </row>
    <row r="39" spans="1:7">
      <c r="G39" s="403"/>
    </row>
    <row r="40" spans="1:7">
      <c r="G40" s="403"/>
    </row>
    <row r="41" spans="1:7">
      <c r="G41" s="403"/>
    </row>
    <row r="42" spans="1:7">
      <c r="G42" s="403"/>
    </row>
    <row r="43" spans="1:7">
      <c r="G43" s="403"/>
    </row>
    <row r="44" spans="1:7">
      <c r="G44" s="403"/>
    </row>
    <row r="45" spans="1:7">
      <c r="G45" s="403"/>
    </row>
    <row r="46" spans="1:7">
      <c r="G46" s="403"/>
    </row>
    <row r="47" spans="1:7">
      <c r="G47" s="403"/>
    </row>
    <row r="48" spans="1:7">
      <c r="G48" s="403"/>
    </row>
    <row r="49" spans="7:7">
      <c r="G49" s="403"/>
    </row>
    <row r="50" spans="7:7">
      <c r="G50" s="403"/>
    </row>
    <row r="51" spans="7:7">
      <c r="G51" s="403"/>
    </row>
    <row r="52" spans="7:7">
      <c r="G52" s="403"/>
    </row>
    <row r="53" spans="7:7">
      <c r="G53" s="403"/>
    </row>
    <row r="54" spans="7:7">
      <c r="G54" s="403"/>
    </row>
    <row r="55" spans="7:7">
      <c r="G55" s="403"/>
    </row>
    <row r="56" spans="7:7">
      <c r="G56" s="403"/>
    </row>
    <row r="57" spans="7:7">
      <c r="G57" s="403"/>
    </row>
    <row r="58" spans="7:7">
      <c r="G58" s="403"/>
    </row>
    <row r="59" spans="7:7">
      <c r="G59" s="403"/>
    </row>
    <row r="60" spans="7:7">
      <c r="G60" s="403"/>
    </row>
    <row r="61" spans="7:7">
      <c r="G61" s="403"/>
    </row>
    <row r="62" spans="7:7">
      <c r="G62" s="403"/>
    </row>
    <row r="63" spans="7:7">
      <c r="G63" s="403"/>
    </row>
    <row r="64" spans="7:7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59" spans="15:15" s="441" customFormat="1" ht="17.25">
      <c r="O2159" s="440"/>
    </row>
    <row r="2445" spans="2430:2430">
      <c r="COL2445" s="442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D22" sqref="D22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804</v>
      </c>
      <c r="B18" s="75">
        <v>0.14299999999999999</v>
      </c>
      <c r="C18" s="75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832</v>
      </c>
      <c r="H5" s="113" t="s">
        <v>833</v>
      </c>
      <c r="I5" s="113" t="s">
        <v>834</v>
      </c>
      <c r="J5" s="113" t="s">
        <v>835</v>
      </c>
      <c r="K5" s="114" t="s">
        <v>836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832</v>
      </c>
      <c r="H6" s="113" t="s">
        <v>837</v>
      </c>
      <c r="I6" s="113" t="s">
        <v>838</v>
      </c>
      <c r="J6" s="113" t="s">
        <v>839</v>
      </c>
      <c r="K6" s="114" t="s">
        <v>840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832</v>
      </c>
      <c r="H7" s="113" t="s">
        <v>841</v>
      </c>
      <c r="I7" s="113" t="s">
        <v>842</v>
      </c>
      <c r="J7" s="113" t="s">
        <v>843</v>
      </c>
      <c r="K7" s="114" t="s">
        <v>844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0" sqref="B20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23" sqref="H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11.35</v>
      </c>
      <c r="C5" s="541">
        <v>38.270000000000003</v>
      </c>
      <c r="D5" s="541">
        <v>13.282035095417495</v>
      </c>
      <c r="E5" s="541">
        <v>24.987964904582508</v>
      </c>
      <c r="F5" s="541">
        <v>26.92</v>
      </c>
      <c r="G5" s="545">
        <v>150</v>
      </c>
      <c r="H5" s="682">
        <v>7.4999999999999997E-2</v>
      </c>
      <c r="I5" s="683">
        <v>500</v>
      </c>
      <c r="J5" s="683">
        <v>36</v>
      </c>
      <c r="K5" s="683">
        <v>100</v>
      </c>
      <c r="L5" s="541">
        <v>3.9234870018388648</v>
      </c>
      <c r="M5" s="684">
        <v>5</v>
      </c>
      <c r="N5" s="541">
        <v>464</v>
      </c>
      <c r="O5" s="542">
        <v>2.8660000000000001</v>
      </c>
      <c r="P5" s="542">
        <v>1.466</v>
      </c>
      <c r="Q5" s="542">
        <v>2.1659999999999999</v>
      </c>
      <c r="R5" s="543">
        <v>6.8330000000000002E-2</v>
      </c>
      <c r="S5" s="543">
        <v>1.7789999999999999E-4</v>
      </c>
      <c r="T5" s="542">
        <v>4.6600000000000001E-3</v>
      </c>
      <c r="U5" s="544">
        <v>0.375</v>
      </c>
      <c r="V5" s="541">
        <v>39.799999999999997</v>
      </c>
      <c r="W5" s="541">
        <v>48.8</v>
      </c>
      <c r="X5" s="541">
        <v>101.4</v>
      </c>
      <c r="Y5" s="542">
        <v>-2.9757780310988386</v>
      </c>
      <c r="Z5" s="542">
        <v>1.47</v>
      </c>
      <c r="AA5" s="683">
        <v>114</v>
      </c>
      <c r="AB5" s="541">
        <v>102.54231258880085</v>
      </c>
      <c r="AC5" s="541">
        <v>62</v>
      </c>
      <c r="AD5" s="541">
        <v>11.26</v>
      </c>
      <c r="AE5" s="541">
        <v>23.95</v>
      </c>
      <c r="AF5" s="541">
        <v>5.3950000000000005E-4</v>
      </c>
      <c r="AG5" s="541">
        <v>0.14763190000000001</v>
      </c>
      <c r="AH5" s="546">
        <v>0.89473684210526316</v>
      </c>
      <c r="AI5" s="542">
        <v>6.3520341974657759</v>
      </c>
      <c r="AJ5" s="542">
        <v>5.0000000000000001E-4</v>
      </c>
      <c r="AK5" s="535" t="s">
        <v>248</v>
      </c>
      <c r="AL5" s="542">
        <v>0.13439999999999999</v>
      </c>
      <c r="AM5" s="542">
        <v>0.1348</v>
      </c>
      <c r="AN5" s="542">
        <v>0.87680000000000002</v>
      </c>
      <c r="AO5" s="535" t="s">
        <v>829</v>
      </c>
      <c r="AP5" s="535" t="s">
        <v>323</v>
      </c>
      <c r="AQ5" s="532">
        <v>82.54</v>
      </c>
      <c r="AR5" s="547" t="s">
        <v>830</v>
      </c>
    </row>
    <row r="6" spans="1:702" ht="23.1" customHeight="1">
      <c r="A6" s="540" t="s">
        <v>786</v>
      </c>
      <c r="B6" s="541">
        <v>11.43</v>
      </c>
      <c r="C6" s="541">
        <v>35.32</v>
      </c>
      <c r="D6" s="541">
        <v>13.316441013548392</v>
      </c>
      <c r="E6" s="541">
        <v>22.003558986451608</v>
      </c>
      <c r="F6" s="541">
        <v>23.89</v>
      </c>
      <c r="G6" s="545">
        <v>150</v>
      </c>
      <c r="H6" s="682">
        <v>7.4999999999999997E-2</v>
      </c>
      <c r="I6" s="683">
        <v>500</v>
      </c>
      <c r="J6" s="683">
        <v>36</v>
      </c>
      <c r="K6" s="683">
        <v>100</v>
      </c>
      <c r="L6" s="541">
        <v>3.9210694519925795</v>
      </c>
      <c r="M6" s="684">
        <v>5</v>
      </c>
      <c r="N6" s="541">
        <v>464</v>
      </c>
      <c r="O6" s="542">
        <v>3.3010000000000002</v>
      </c>
      <c r="P6" s="542">
        <v>1.4930000000000001</v>
      </c>
      <c r="Q6" s="542">
        <v>2.3970000000000002</v>
      </c>
      <c r="R6" s="543">
        <v>6.3600000000000004E-2</v>
      </c>
      <c r="S6" s="543">
        <v>1.7789999999999999E-4</v>
      </c>
      <c r="T6" s="542">
        <v>5.1599999999999997E-3</v>
      </c>
      <c r="U6" s="544">
        <v>0.375</v>
      </c>
      <c r="V6" s="541">
        <v>39.5</v>
      </c>
      <c r="W6" s="541">
        <v>48.4</v>
      </c>
      <c r="X6" s="541">
        <v>106.6</v>
      </c>
      <c r="Y6" s="542">
        <v>-2.939618007068078</v>
      </c>
      <c r="Z6" s="542">
        <v>1.4179999999999999</v>
      </c>
      <c r="AA6" s="683">
        <v>114</v>
      </c>
      <c r="AB6" s="541">
        <v>102.51022725087313</v>
      </c>
      <c r="AC6" s="541">
        <v>62</v>
      </c>
      <c r="AD6" s="541">
        <v>10</v>
      </c>
      <c r="AE6" s="541">
        <v>21.26</v>
      </c>
      <c r="AF6" s="541">
        <v>4.7790000000000002E-4</v>
      </c>
      <c r="AG6" s="541">
        <v>0.13115160000000001</v>
      </c>
      <c r="AH6" s="546">
        <v>0.89473684210526316</v>
      </c>
      <c r="AI6" s="542">
        <v>6.3520341974657759</v>
      </c>
      <c r="AJ6" s="542">
        <v>5.0000000000000001E-4</v>
      </c>
      <c r="AK6" s="535" t="s">
        <v>248</v>
      </c>
      <c r="AL6" s="542">
        <v>0.25950000000000001</v>
      </c>
      <c r="AM6" s="542">
        <v>0.2601</v>
      </c>
      <c r="AN6" s="542">
        <v>0.84589999999999999</v>
      </c>
      <c r="AO6" s="535" t="s">
        <v>829</v>
      </c>
      <c r="AP6" s="535" t="s">
        <v>323</v>
      </c>
      <c r="AQ6" s="532">
        <v>119.8</v>
      </c>
      <c r="AR6" s="547" t="s">
        <v>830</v>
      </c>
    </row>
    <row r="7" spans="1:702" ht="23.1" customHeight="1">
      <c r="A7" s="540" t="s">
        <v>787</v>
      </c>
      <c r="B7" s="541">
        <v>10.94</v>
      </c>
      <c r="C7" s="541">
        <v>37.46</v>
      </c>
      <c r="D7" s="541">
        <v>12.866259102345108</v>
      </c>
      <c r="E7" s="541">
        <v>24.593740897654893</v>
      </c>
      <c r="F7" s="541">
        <v>26.520000000000003</v>
      </c>
      <c r="G7" s="545">
        <v>150</v>
      </c>
      <c r="H7" s="682">
        <v>7.4999999999999997E-2</v>
      </c>
      <c r="I7" s="683">
        <v>500</v>
      </c>
      <c r="J7" s="683">
        <v>36</v>
      </c>
      <c r="K7" s="683">
        <v>100</v>
      </c>
      <c r="L7" s="541">
        <v>3.9258258839347562</v>
      </c>
      <c r="M7" s="684">
        <v>5</v>
      </c>
      <c r="N7" s="541">
        <v>464</v>
      </c>
      <c r="O7" s="542">
        <v>2.9169999999999998</v>
      </c>
      <c r="P7" s="542">
        <v>1.532</v>
      </c>
      <c r="Q7" s="542">
        <v>2.2244999999999999</v>
      </c>
      <c r="R7" s="543">
        <v>6.7760000000000001E-2</v>
      </c>
      <c r="S7" s="543">
        <v>1.7780000000000001E-4</v>
      </c>
      <c r="T7" s="542">
        <v>4.79E-3</v>
      </c>
      <c r="U7" s="544">
        <v>0.375</v>
      </c>
      <c r="V7" s="541">
        <v>40.1</v>
      </c>
      <c r="W7" s="541">
        <v>49.1</v>
      </c>
      <c r="X7" s="541">
        <v>102.7</v>
      </c>
      <c r="Y7" s="542">
        <v>-2.9715861212020274</v>
      </c>
      <c r="Z7" s="542">
        <v>1.464</v>
      </c>
      <c r="AA7" s="683">
        <v>114</v>
      </c>
      <c r="AB7" s="541">
        <v>102.51428152808101</v>
      </c>
      <c r="AC7" s="541">
        <v>62</v>
      </c>
      <c r="AD7" s="541">
        <v>11.1</v>
      </c>
      <c r="AE7" s="541">
        <v>23.6</v>
      </c>
      <c r="AF7" s="541">
        <v>5.3050000000000005E-4</v>
      </c>
      <c r="AG7" s="541">
        <v>0.14559549999999999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42">
        <v>0.14580000000000001</v>
      </c>
      <c r="AM7" s="542">
        <v>0.1462</v>
      </c>
      <c r="AN7" s="542">
        <v>0.87309999999999999</v>
      </c>
      <c r="AO7" s="535" t="s">
        <v>831</v>
      </c>
      <c r="AP7" s="535" t="s">
        <v>323</v>
      </c>
      <c r="AQ7" s="532">
        <v>78.069999999999993</v>
      </c>
      <c r="AR7" s="547" t="s">
        <v>830</v>
      </c>
    </row>
    <row r="8" spans="1:702" ht="23.1" customHeight="1">
      <c r="A8" s="540"/>
      <c r="B8" s="541"/>
      <c r="C8" s="541"/>
      <c r="D8" s="541"/>
      <c r="E8" s="541"/>
      <c r="F8" s="541"/>
      <c r="G8" s="545"/>
      <c r="H8" s="682"/>
      <c r="I8" s="683"/>
      <c r="J8" s="683"/>
      <c r="K8" s="683"/>
      <c r="L8" s="541"/>
      <c r="M8" s="684"/>
      <c r="N8" s="541"/>
      <c r="O8" s="542"/>
      <c r="P8" s="542"/>
      <c r="Q8" s="542"/>
      <c r="R8" s="543"/>
      <c r="S8" s="543"/>
      <c r="T8" s="542"/>
      <c r="U8" s="544"/>
      <c r="V8" s="541"/>
      <c r="W8" s="541"/>
      <c r="X8" s="541"/>
      <c r="Y8" s="542"/>
      <c r="Z8" s="542"/>
      <c r="AA8" s="683"/>
      <c r="AB8" s="541"/>
      <c r="AC8" s="541"/>
      <c r="AD8" s="541"/>
      <c r="AE8" s="541"/>
      <c r="AF8" s="541"/>
      <c r="AG8" s="541"/>
      <c r="AH8" s="546"/>
      <c r="AI8" s="542"/>
      <c r="AJ8" s="542"/>
      <c r="AK8" s="535"/>
      <c r="AL8" s="542"/>
      <c r="AM8" s="542"/>
      <c r="AN8" s="542"/>
      <c r="AO8" s="535"/>
      <c r="AP8" s="535"/>
      <c r="AQ8" s="532"/>
      <c r="AR8" s="547"/>
    </row>
    <row r="9" spans="1:702" ht="23.1" customHeight="1">
      <c r="A9" s="540"/>
      <c r="B9" s="541"/>
      <c r="C9" s="541"/>
      <c r="D9" s="541"/>
      <c r="E9" s="541"/>
      <c r="F9" s="541"/>
      <c r="G9" s="545"/>
      <c r="H9" s="682"/>
      <c r="I9" s="683"/>
      <c r="J9" s="683"/>
      <c r="K9" s="683"/>
      <c r="L9" s="541"/>
      <c r="M9" s="684"/>
      <c r="N9" s="541"/>
      <c r="O9" s="542"/>
      <c r="P9" s="542"/>
      <c r="Q9" s="542"/>
      <c r="R9" s="543"/>
      <c r="S9" s="543"/>
      <c r="T9" s="542"/>
      <c r="U9" s="544"/>
      <c r="V9" s="541"/>
      <c r="W9" s="541"/>
      <c r="X9" s="541"/>
      <c r="Y9" s="542"/>
      <c r="Z9" s="542"/>
      <c r="AA9" s="683"/>
      <c r="AB9" s="541"/>
      <c r="AC9" s="541"/>
      <c r="AD9" s="541"/>
      <c r="AE9" s="541"/>
      <c r="AF9" s="541"/>
      <c r="AG9" s="541"/>
      <c r="AH9" s="546"/>
      <c r="AI9" s="542"/>
      <c r="AJ9" s="542"/>
      <c r="AK9" s="535"/>
      <c r="AL9" s="542"/>
      <c r="AM9" s="542"/>
      <c r="AN9" s="542"/>
      <c r="AO9" s="535"/>
      <c r="AP9" s="535"/>
      <c r="AQ9" s="532"/>
      <c r="AR9" s="547"/>
    </row>
    <row r="10" spans="1:702" ht="23.1" customHeight="1">
      <c r="A10" s="540"/>
      <c r="B10" s="541"/>
      <c r="C10" s="541"/>
      <c r="D10" s="541"/>
      <c r="E10" s="541"/>
      <c r="F10" s="541"/>
      <c r="G10" s="545"/>
      <c r="H10" s="682"/>
      <c r="I10" s="683"/>
      <c r="J10" s="683"/>
      <c r="K10" s="683"/>
      <c r="L10" s="541"/>
      <c r="M10" s="684"/>
      <c r="N10" s="541"/>
      <c r="O10" s="542"/>
      <c r="P10" s="542"/>
      <c r="Q10" s="542"/>
      <c r="R10" s="543"/>
      <c r="S10" s="543"/>
      <c r="T10" s="542"/>
      <c r="U10" s="544"/>
      <c r="V10" s="541"/>
      <c r="W10" s="541"/>
      <c r="X10" s="541"/>
      <c r="Y10" s="542"/>
      <c r="Z10" s="542"/>
      <c r="AA10" s="683"/>
      <c r="AB10" s="541"/>
      <c r="AC10" s="541"/>
      <c r="AD10" s="541"/>
      <c r="AE10" s="541"/>
      <c r="AF10" s="541"/>
      <c r="AG10" s="541"/>
      <c r="AH10" s="546"/>
      <c r="AI10" s="542"/>
      <c r="AJ10" s="542"/>
      <c r="AK10" s="535"/>
      <c r="AL10" s="542"/>
      <c r="AM10" s="542"/>
      <c r="AN10" s="542"/>
      <c r="AO10" s="535"/>
      <c r="AP10" s="535"/>
      <c r="AQ10" s="532"/>
      <c r="AR10" s="547"/>
    </row>
    <row r="11" spans="1:702" ht="23.1" customHeight="1">
      <c r="A11" s="540"/>
      <c r="B11" s="541"/>
      <c r="C11" s="541"/>
      <c r="D11" s="541"/>
      <c r="E11" s="541"/>
      <c r="F11" s="541"/>
      <c r="G11" s="545"/>
      <c r="H11" s="682"/>
      <c r="I11" s="683"/>
      <c r="J11" s="683"/>
      <c r="K11" s="683"/>
      <c r="L11" s="541"/>
      <c r="M11" s="684"/>
      <c r="N11" s="541"/>
      <c r="O11" s="542"/>
      <c r="P11" s="542"/>
      <c r="Q11" s="542"/>
      <c r="R11" s="543"/>
      <c r="S11" s="543"/>
      <c r="T11" s="542"/>
      <c r="U11" s="544"/>
      <c r="V11" s="541"/>
      <c r="W11" s="541"/>
      <c r="X11" s="541"/>
      <c r="Y11" s="542"/>
      <c r="Z11" s="542"/>
      <c r="AA11" s="683"/>
      <c r="AB11" s="541"/>
      <c r="AC11" s="541"/>
      <c r="AD11" s="541"/>
      <c r="AE11" s="541"/>
      <c r="AF11" s="541"/>
      <c r="AG11" s="541"/>
      <c r="AH11" s="546"/>
      <c r="AI11" s="542"/>
      <c r="AJ11" s="542"/>
      <c r="AK11" s="535"/>
      <c r="AL11" s="542"/>
      <c r="AM11" s="542"/>
      <c r="AN11" s="542"/>
      <c r="AO11" s="535"/>
      <c r="AP11" s="535"/>
      <c r="AQ11" s="532"/>
      <c r="AR11" s="547"/>
    </row>
    <row r="12" spans="1:702" ht="23.1" customHeight="1">
      <c r="A12" s="540"/>
      <c r="B12" s="541"/>
      <c r="C12" s="541"/>
      <c r="D12" s="541"/>
      <c r="E12" s="541"/>
      <c r="F12" s="541"/>
      <c r="G12" s="545"/>
      <c r="H12" s="682"/>
      <c r="I12" s="683"/>
      <c r="J12" s="683"/>
      <c r="K12" s="683"/>
      <c r="L12" s="541"/>
      <c r="M12" s="684"/>
      <c r="N12" s="541"/>
      <c r="O12" s="542"/>
      <c r="P12" s="542"/>
      <c r="Q12" s="542"/>
      <c r="R12" s="543"/>
      <c r="S12" s="543"/>
      <c r="T12" s="542"/>
      <c r="U12" s="544"/>
      <c r="V12" s="541"/>
      <c r="W12" s="541"/>
      <c r="X12" s="541"/>
      <c r="Y12" s="542"/>
      <c r="Z12" s="542"/>
      <c r="AA12" s="683"/>
      <c r="AB12" s="541"/>
      <c r="AC12" s="541"/>
      <c r="AD12" s="541"/>
      <c r="AE12" s="541"/>
      <c r="AF12" s="541"/>
      <c r="AG12" s="541"/>
      <c r="AH12" s="546"/>
      <c r="AI12" s="542"/>
      <c r="AJ12" s="542"/>
      <c r="AK12" s="535"/>
      <c r="AL12" s="542"/>
      <c r="AM12" s="542"/>
      <c r="AN12" s="542"/>
      <c r="AO12" s="535"/>
      <c r="AP12" s="535"/>
      <c r="AQ12" s="532"/>
      <c r="AR12" s="547"/>
    </row>
    <row r="13" spans="1:702" ht="23.1" customHeight="1">
      <c r="A13" s="540"/>
      <c r="B13" s="541"/>
      <c r="C13" s="541"/>
      <c r="D13" s="541"/>
      <c r="E13" s="541"/>
      <c r="F13" s="541"/>
      <c r="G13" s="545"/>
      <c r="H13" s="682"/>
      <c r="I13" s="683"/>
      <c r="J13" s="683"/>
      <c r="K13" s="683"/>
      <c r="L13" s="541"/>
      <c r="M13" s="684"/>
      <c r="N13" s="541"/>
      <c r="O13" s="542"/>
      <c r="P13" s="542"/>
      <c r="Q13" s="542"/>
      <c r="R13" s="543"/>
      <c r="S13" s="543"/>
      <c r="T13" s="542"/>
      <c r="U13" s="544"/>
      <c r="V13" s="541"/>
      <c r="W13" s="541"/>
      <c r="X13" s="541"/>
      <c r="Y13" s="542"/>
      <c r="Z13" s="542"/>
      <c r="AA13" s="683"/>
      <c r="AB13" s="541"/>
      <c r="AC13" s="541"/>
      <c r="AD13" s="541"/>
      <c r="AE13" s="541"/>
      <c r="AF13" s="541"/>
      <c r="AG13" s="541"/>
      <c r="AH13" s="546"/>
      <c r="AI13" s="542"/>
      <c r="AJ13" s="542"/>
      <c r="AK13" s="535"/>
      <c r="AL13" s="542"/>
      <c r="AM13" s="542"/>
      <c r="AN13" s="542"/>
      <c r="AO13" s="535"/>
      <c r="AP13" s="535"/>
      <c r="AQ13" s="532"/>
      <c r="AR13" s="547"/>
    </row>
    <row r="14" spans="1:702" ht="23.1" customHeight="1">
      <c r="A14" s="540"/>
      <c r="B14" s="541"/>
      <c r="C14" s="541"/>
      <c r="D14" s="541"/>
      <c r="E14" s="541"/>
      <c r="F14" s="541"/>
      <c r="G14" s="545"/>
      <c r="H14" s="682"/>
      <c r="I14" s="683"/>
      <c r="J14" s="683"/>
      <c r="K14" s="683"/>
      <c r="L14" s="541"/>
      <c r="M14" s="684"/>
      <c r="N14" s="541"/>
      <c r="O14" s="542"/>
      <c r="P14" s="542"/>
      <c r="Q14" s="542"/>
      <c r="R14" s="543"/>
      <c r="S14" s="543"/>
      <c r="T14" s="542"/>
      <c r="U14" s="544"/>
      <c r="V14" s="541"/>
      <c r="W14" s="541"/>
      <c r="X14" s="541"/>
      <c r="Y14" s="542"/>
      <c r="Z14" s="542"/>
      <c r="AA14" s="683"/>
      <c r="AB14" s="541"/>
      <c r="AC14" s="541"/>
      <c r="AD14" s="541"/>
      <c r="AE14" s="541"/>
      <c r="AF14" s="541"/>
      <c r="AG14" s="541"/>
      <c r="AH14" s="546"/>
      <c r="AI14" s="542"/>
      <c r="AJ14" s="542"/>
      <c r="AK14" s="535"/>
      <c r="AL14" s="542"/>
      <c r="AM14" s="542"/>
      <c r="AN14" s="542"/>
      <c r="AO14" s="535"/>
      <c r="AP14" s="535"/>
      <c r="AQ14" s="532"/>
      <c r="AR14" s="547"/>
    </row>
    <row r="15" spans="1:702" ht="23.1" customHeight="1">
      <c r="A15" s="540"/>
      <c r="B15" s="541"/>
      <c r="C15" s="541"/>
      <c r="D15" s="541"/>
      <c r="E15" s="541"/>
      <c r="F15" s="541"/>
      <c r="G15" s="545"/>
      <c r="H15" s="682"/>
      <c r="I15" s="683"/>
      <c r="J15" s="683"/>
      <c r="K15" s="683"/>
      <c r="L15" s="541"/>
      <c r="M15" s="684"/>
      <c r="N15" s="541"/>
      <c r="O15" s="542"/>
      <c r="P15" s="542"/>
      <c r="Q15" s="542"/>
      <c r="R15" s="543"/>
      <c r="S15" s="543"/>
      <c r="T15" s="542"/>
      <c r="U15" s="544"/>
      <c r="V15" s="541"/>
      <c r="W15" s="541"/>
      <c r="X15" s="541"/>
      <c r="Y15" s="542"/>
      <c r="Z15" s="542"/>
      <c r="AA15" s="683"/>
      <c r="AB15" s="541"/>
      <c r="AC15" s="541"/>
      <c r="AD15" s="541"/>
      <c r="AE15" s="541"/>
      <c r="AF15" s="541"/>
      <c r="AG15" s="541"/>
      <c r="AH15" s="546"/>
      <c r="AI15" s="542"/>
      <c r="AJ15" s="542"/>
      <c r="AK15" s="535"/>
      <c r="AL15" s="542"/>
      <c r="AM15" s="542"/>
      <c r="AN15" s="542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114</v>
      </c>
      <c r="I3" s="193">
        <v>102.54231258880085</v>
      </c>
      <c r="J3" s="192">
        <v>100</v>
      </c>
      <c r="K3" s="255">
        <v>0.89473684210526316</v>
      </c>
      <c r="M3" s="275" t="s">
        <v>198</v>
      </c>
      <c r="N3" s="263">
        <f>MIN(K3:K35)</f>
        <v>0.89473684210526316</v>
      </c>
      <c r="O3" s="264">
        <f>MAX(K3:K35)</f>
        <v>0.89473684210526316</v>
      </c>
      <c r="Q3" s="256" t="s">
        <v>219</v>
      </c>
      <c r="R3" s="257">
        <v>5.3950000000000005E-4</v>
      </c>
      <c r="S3" s="258">
        <v>0.14763190000000001</v>
      </c>
    </row>
    <row r="4" spans="7:19" ht="20.100000000000001" customHeight="1">
      <c r="G4" s="163" t="s">
        <v>786</v>
      </c>
      <c r="H4" s="164">
        <v>114</v>
      </c>
      <c r="I4" s="171">
        <v>102.51022725087313</v>
      </c>
      <c r="J4" s="164">
        <v>100</v>
      </c>
      <c r="K4" s="175">
        <v>0.89473684210526316</v>
      </c>
      <c r="M4" s="275" t="s">
        <v>205</v>
      </c>
      <c r="N4" s="265">
        <f>MIN(I3:I35)</f>
        <v>102.51022725087313</v>
      </c>
      <c r="O4" s="266">
        <f>MAX(I3:I35)</f>
        <v>102.54231258880085</v>
      </c>
      <c r="Q4" s="177" t="s">
        <v>786</v>
      </c>
      <c r="R4" s="178">
        <v>4.7790000000000002E-4</v>
      </c>
      <c r="S4" s="179">
        <v>0.13115160000000001</v>
      </c>
    </row>
    <row r="5" spans="7:19" ht="20.100000000000001" customHeight="1" thickBot="1">
      <c r="G5" s="191" t="s">
        <v>787</v>
      </c>
      <c r="H5" s="192">
        <v>114</v>
      </c>
      <c r="I5" s="193">
        <v>102.51428152808101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100</v>
      </c>
      <c r="Q5" s="256" t="s">
        <v>787</v>
      </c>
      <c r="R5" s="257">
        <v>5.3050000000000005E-4</v>
      </c>
      <c r="S5" s="258">
        <v>0.14559549999999999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customHeight="1" outlineLevel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53" t="s">
        <v>219</v>
      </c>
      <c r="G43" s="751">
        <v>62</v>
      </c>
      <c r="H43" s="254">
        <v>23.95</v>
      </c>
      <c r="I43" s="752">
        <v>102.54231258880085</v>
      </c>
    </row>
    <row r="44" spans="6:25" ht="15.95" customHeight="1">
      <c r="F44" s="741"/>
      <c r="G44" s="737"/>
      <c r="H44" s="192">
        <v>11.26</v>
      </c>
      <c r="I44" s="729"/>
      <c r="K44" s="231"/>
    </row>
    <row r="45" spans="6:25" ht="15.95" customHeight="1">
      <c r="F45" s="746" t="s">
        <v>786</v>
      </c>
      <c r="G45" s="738">
        <v>62</v>
      </c>
      <c r="H45" s="164">
        <v>21.26</v>
      </c>
      <c r="I45" s="728">
        <v>102.51022725087313</v>
      </c>
      <c r="K45" s="231"/>
    </row>
    <row r="46" spans="6:25" ht="15.95" customHeight="1">
      <c r="F46" s="747"/>
      <c r="G46" s="739"/>
      <c r="H46" s="164">
        <v>10</v>
      </c>
      <c r="I46" s="728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40" t="s">
        <v>787</v>
      </c>
      <c r="G47" s="736">
        <v>62</v>
      </c>
      <c r="H47" s="192">
        <v>23.6</v>
      </c>
      <c r="I47" s="729">
        <v>102.51428152808101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41"/>
      <c r="G48" s="737"/>
      <c r="H48" s="192">
        <v>11.1</v>
      </c>
      <c r="I48" s="729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46"/>
      <c r="G49" s="738"/>
      <c r="H49" s="164"/>
      <c r="I49" s="728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47"/>
      <c r="G50" s="739"/>
      <c r="H50" s="164"/>
      <c r="I50" s="728"/>
      <c r="K50" s="231"/>
    </row>
    <row r="51" spans="6:25" ht="15.95" customHeight="1">
      <c r="F51" s="740"/>
      <c r="G51" s="736"/>
      <c r="H51" s="192"/>
      <c r="I51" s="729"/>
      <c r="K51" s="231"/>
    </row>
    <row r="52" spans="6:25" ht="15.95" customHeight="1">
      <c r="F52" s="741"/>
      <c r="G52" s="737"/>
      <c r="H52" s="192"/>
      <c r="I52" s="729"/>
      <c r="K52" s="231"/>
    </row>
    <row r="53" spans="6:25" ht="15.95" customHeight="1">
      <c r="F53" s="746"/>
      <c r="G53" s="738"/>
      <c r="H53" s="164"/>
      <c r="I53" s="728"/>
      <c r="K53" s="231"/>
    </row>
    <row r="54" spans="6:25" ht="15.95" customHeight="1">
      <c r="F54" s="747"/>
      <c r="G54" s="739"/>
      <c r="H54" s="164"/>
      <c r="I54" s="728"/>
      <c r="K54" s="231"/>
    </row>
    <row r="55" spans="6:25" ht="15.95" customHeight="1">
      <c r="F55" s="740"/>
      <c r="G55" s="736"/>
      <c r="H55" s="192"/>
      <c r="I55" s="729"/>
      <c r="K55" s="231"/>
    </row>
    <row r="56" spans="6:25" ht="15.95" customHeight="1">
      <c r="F56" s="741"/>
      <c r="G56" s="737"/>
      <c r="H56" s="192"/>
      <c r="I56" s="729"/>
      <c r="K56" s="231"/>
    </row>
    <row r="57" spans="6:25" ht="15.95" customHeight="1" outlineLevel="1">
      <c r="F57" s="746"/>
      <c r="G57" s="738"/>
      <c r="H57" s="164"/>
      <c r="I57" s="728"/>
      <c r="K57" s="231"/>
    </row>
    <row r="58" spans="6:25" ht="15.95" customHeight="1" outlineLevel="1">
      <c r="F58" s="747"/>
      <c r="G58" s="739"/>
      <c r="H58" s="164"/>
      <c r="I58" s="728"/>
      <c r="K58" s="231"/>
    </row>
    <row r="59" spans="6:25" ht="15.95" customHeight="1" outlineLevel="1">
      <c r="F59" s="740"/>
      <c r="G59" s="736"/>
      <c r="H59" s="192"/>
      <c r="I59" s="729"/>
      <c r="K59" s="231"/>
    </row>
    <row r="60" spans="6:25" ht="15.95" customHeight="1" outlineLevel="1">
      <c r="F60" s="741"/>
      <c r="G60" s="737"/>
      <c r="H60" s="192"/>
      <c r="I60" s="729"/>
      <c r="K60" s="231"/>
    </row>
    <row r="61" spans="6:25" ht="15.95" customHeight="1" outlineLevel="1">
      <c r="F61" s="746"/>
      <c r="G61" s="738"/>
      <c r="H61" s="164"/>
      <c r="I61" s="728"/>
      <c r="K61" s="231"/>
    </row>
    <row r="62" spans="6:25" ht="15.95" customHeight="1" outlineLevel="1">
      <c r="F62" s="747"/>
      <c r="G62" s="739"/>
      <c r="H62" s="164"/>
      <c r="I62" s="728"/>
      <c r="K62" s="231"/>
    </row>
    <row r="63" spans="6:25" ht="15.95" customHeight="1" outlineLevel="1">
      <c r="F63" s="740"/>
      <c r="G63" s="736"/>
      <c r="H63" s="192"/>
      <c r="I63" s="729"/>
      <c r="K63" s="231"/>
    </row>
    <row r="64" spans="6:25" ht="15.95" customHeight="1" outlineLevel="1">
      <c r="F64" s="741"/>
      <c r="G64" s="737"/>
      <c r="H64" s="192"/>
      <c r="I64" s="729"/>
      <c r="K64" s="231"/>
    </row>
    <row r="65" spans="6:11" ht="15.95" customHeight="1" outlineLevel="1">
      <c r="F65" s="746"/>
      <c r="G65" s="738"/>
      <c r="H65" s="164"/>
      <c r="I65" s="728"/>
      <c r="K65" s="231"/>
    </row>
    <row r="66" spans="6:11" ht="15.95" customHeight="1" outlineLevel="1">
      <c r="F66" s="747"/>
      <c r="G66" s="739"/>
      <c r="H66" s="164"/>
      <c r="I66" s="728"/>
      <c r="K66" s="231"/>
    </row>
    <row r="67" spans="6:11" ht="15.95" customHeight="1" outlineLevel="1">
      <c r="F67" s="740"/>
      <c r="G67" s="736"/>
      <c r="H67" s="192"/>
      <c r="I67" s="729"/>
      <c r="K67" s="231"/>
    </row>
    <row r="68" spans="6:11" ht="15.95" customHeight="1" outlineLevel="1">
      <c r="F68" s="741"/>
      <c r="G68" s="737"/>
      <c r="H68" s="192"/>
      <c r="I68" s="729"/>
      <c r="K68" s="231"/>
    </row>
    <row r="69" spans="6:11" ht="15.95" customHeight="1" outlineLevel="1">
      <c r="F69" s="746"/>
      <c r="G69" s="738"/>
      <c r="H69" s="164"/>
      <c r="I69" s="728"/>
      <c r="K69" s="231"/>
    </row>
    <row r="70" spans="6:11" ht="15.95" customHeight="1" outlineLevel="1">
      <c r="F70" s="747"/>
      <c r="G70" s="739"/>
      <c r="H70" s="164"/>
      <c r="I70" s="728"/>
      <c r="K70" s="231"/>
    </row>
    <row r="71" spans="6:11" ht="15.95" customHeight="1" outlineLevel="1">
      <c r="F71" s="740"/>
      <c r="G71" s="736"/>
      <c r="H71" s="192"/>
      <c r="I71" s="729"/>
      <c r="K71" s="231"/>
    </row>
    <row r="72" spans="6:11" ht="15.95" customHeight="1" outlineLevel="1">
      <c r="F72" s="741"/>
      <c r="G72" s="737"/>
      <c r="H72" s="192"/>
      <c r="I72" s="729"/>
      <c r="K72" s="231"/>
    </row>
    <row r="73" spans="6:11" ht="15.95" customHeight="1" outlineLevel="1">
      <c r="F73" s="746"/>
      <c r="G73" s="738"/>
      <c r="H73" s="164"/>
      <c r="I73" s="728"/>
    </row>
    <row r="74" spans="6:11" ht="15.95" customHeight="1" outlineLevel="1">
      <c r="F74" s="747"/>
      <c r="G74" s="739"/>
      <c r="H74" s="164"/>
      <c r="I74" s="728"/>
    </row>
    <row r="75" spans="6:11" ht="15.95" customHeight="1" outlineLevel="1">
      <c r="F75" s="740"/>
      <c r="G75" s="736"/>
      <c r="H75" s="192"/>
      <c r="I75" s="729"/>
    </row>
    <row r="76" spans="6:11" ht="15.95" customHeight="1" outlineLevel="1">
      <c r="F76" s="741"/>
      <c r="G76" s="737"/>
      <c r="H76" s="192"/>
      <c r="I76" s="729"/>
    </row>
    <row r="77" spans="6:11" ht="15.95" customHeight="1" outlineLevel="1">
      <c r="F77" s="746"/>
      <c r="G77" s="738"/>
      <c r="H77" s="164"/>
      <c r="I77" s="728"/>
    </row>
    <row r="78" spans="6:11" ht="15.95" customHeight="1" outlineLevel="1">
      <c r="F78" s="747"/>
      <c r="G78" s="739"/>
      <c r="H78" s="164"/>
      <c r="I78" s="728"/>
    </row>
    <row r="79" spans="6:11" ht="15.95" customHeight="1" outlineLevel="1">
      <c r="F79" s="740"/>
      <c r="G79" s="736"/>
      <c r="H79" s="192"/>
      <c r="I79" s="729"/>
    </row>
    <row r="80" spans="6:11" ht="15.95" customHeight="1" outlineLevel="1">
      <c r="F80" s="741"/>
      <c r="G80" s="737"/>
      <c r="H80" s="192"/>
      <c r="I80" s="729"/>
    </row>
    <row r="81" spans="6:9" ht="15.95" customHeight="1" outlineLevel="1">
      <c r="F81" s="746"/>
      <c r="G81" s="738"/>
      <c r="H81" s="164"/>
      <c r="I81" s="728"/>
    </row>
    <row r="82" spans="6:9" ht="15.95" customHeight="1" outlineLevel="1">
      <c r="F82" s="747"/>
      <c r="G82" s="739"/>
      <c r="H82" s="164"/>
      <c r="I82" s="728"/>
    </row>
    <row r="83" spans="6:9" ht="15.95" customHeight="1" outlineLevel="1">
      <c r="F83" s="740"/>
      <c r="G83" s="736"/>
      <c r="H83" s="192"/>
      <c r="I83" s="729"/>
    </row>
    <row r="84" spans="6:9" ht="15.95" customHeight="1" outlineLevel="1">
      <c r="F84" s="741"/>
      <c r="G84" s="737"/>
      <c r="H84" s="192"/>
      <c r="I84" s="729"/>
    </row>
    <row r="85" spans="6:9" ht="15.95" customHeight="1" outlineLevel="1">
      <c r="F85" s="746"/>
      <c r="G85" s="738"/>
      <c r="H85" s="164"/>
      <c r="I85" s="728"/>
    </row>
    <row r="86" spans="6:9" ht="15.95" customHeight="1" outlineLevel="1">
      <c r="F86" s="747"/>
      <c r="G86" s="739"/>
      <c r="H86" s="164"/>
      <c r="I86" s="728"/>
    </row>
    <row r="87" spans="6:9" ht="15.95" customHeight="1" outlineLevel="1">
      <c r="F87" s="740"/>
      <c r="G87" s="736"/>
      <c r="H87" s="192"/>
      <c r="I87" s="729"/>
    </row>
    <row r="88" spans="6:9" ht="15.95" customHeight="1" outlineLevel="1">
      <c r="F88" s="741"/>
      <c r="G88" s="737"/>
      <c r="H88" s="192"/>
      <c r="I88" s="729"/>
    </row>
    <row r="89" spans="6:9" ht="15.95" customHeight="1" outlineLevel="1">
      <c r="F89" s="746"/>
      <c r="G89" s="738"/>
      <c r="H89" s="164"/>
      <c r="I89" s="728"/>
    </row>
    <row r="90" spans="6:9" ht="15.95" customHeight="1" outlineLevel="1">
      <c r="F90" s="747"/>
      <c r="G90" s="739"/>
      <c r="H90" s="164"/>
      <c r="I90" s="728"/>
    </row>
    <row r="91" spans="6:9" ht="15.95" customHeight="1" outlineLevel="1">
      <c r="F91" s="740"/>
      <c r="G91" s="736"/>
      <c r="H91" s="192"/>
      <c r="I91" s="729"/>
    </row>
    <row r="92" spans="6:9" ht="15.95" customHeight="1" outlineLevel="1">
      <c r="F92" s="741"/>
      <c r="G92" s="737"/>
      <c r="H92" s="192"/>
      <c r="I92" s="729"/>
    </row>
    <row r="93" spans="6:9" ht="15.95" customHeight="1" outlineLevel="1">
      <c r="F93" s="746"/>
      <c r="G93" s="738"/>
      <c r="H93" s="164"/>
      <c r="I93" s="728"/>
    </row>
    <row r="94" spans="6:9" ht="15.95" customHeight="1" outlineLevel="1">
      <c r="F94" s="747"/>
      <c r="G94" s="739"/>
      <c r="H94" s="164"/>
      <c r="I94" s="728"/>
    </row>
    <row r="95" spans="6:9" ht="15.95" customHeight="1" outlineLevel="1">
      <c r="F95" s="744"/>
      <c r="G95" s="748"/>
      <c r="H95" s="120"/>
      <c r="I95" s="750"/>
    </row>
    <row r="96" spans="6:9" ht="15.95" customHeight="1" outlineLevel="1">
      <c r="F96" s="745"/>
      <c r="G96" s="749"/>
      <c r="H96" s="120"/>
      <c r="I96" s="750"/>
    </row>
    <row r="97" spans="6:9" ht="15.95" customHeight="1" outlineLevel="1">
      <c r="F97" s="730"/>
      <c r="G97" s="732"/>
      <c r="H97" s="169"/>
      <c r="I97" s="734"/>
    </row>
    <row r="98" spans="6:9" ht="15.95" customHeight="1" outlineLevel="1">
      <c r="F98" s="742"/>
      <c r="G98" s="743"/>
      <c r="H98" s="169"/>
      <c r="I98" s="734"/>
    </row>
    <row r="99" spans="6:9" ht="15.95" customHeight="1" outlineLevel="1">
      <c r="F99" s="744"/>
      <c r="G99" s="748"/>
      <c r="H99" s="120"/>
      <c r="I99" s="750"/>
    </row>
    <row r="100" spans="6:9" ht="15.95" customHeight="1" outlineLevel="1">
      <c r="F100" s="745"/>
      <c r="G100" s="749"/>
      <c r="H100" s="120"/>
      <c r="I100" s="750"/>
    </row>
    <row r="101" spans="6:9" ht="15.95" customHeight="1" outlineLevel="1">
      <c r="F101" s="730"/>
      <c r="G101" s="732"/>
      <c r="H101" s="169"/>
      <c r="I101" s="734"/>
    </row>
    <row r="102" spans="6:9" ht="15.95" customHeight="1" outlineLevel="1" thickBot="1">
      <c r="F102" s="731"/>
      <c r="G102" s="733"/>
      <c r="H102" s="247"/>
      <c r="I102" s="73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10.10937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803</v>
      </c>
      <c r="S1" s="259" t="s">
        <v>224</v>
      </c>
    </row>
    <row r="2" spans="2:21" ht="36.75" customHeight="1">
      <c r="C2" s="710" t="s">
        <v>209</v>
      </c>
      <c r="D2" s="711" t="s">
        <v>590</v>
      </c>
      <c r="E2" s="711" t="s">
        <v>206</v>
      </c>
      <c r="F2" s="711" t="s">
        <v>213</v>
      </c>
      <c r="G2" s="711" t="s">
        <v>214</v>
      </c>
      <c r="H2" s="711" t="s">
        <v>154</v>
      </c>
      <c r="I2" s="711" t="s">
        <v>215</v>
      </c>
      <c r="J2" s="712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45" t="s">
        <v>801</v>
      </c>
      <c r="Q2" s="646" t="s">
        <v>802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713" t="s">
        <v>219</v>
      </c>
      <c r="D3" s="714">
        <v>2880</v>
      </c>
      <c r="E3" s="714">
        <v>100</v>
      </c>
      <c r="F3" s="714">
        <v>11.35</v>
      </c>
      <c r="G3" s="714">
        <v>38.270000000000003</v>
      </c>
      <c r="H3" s="714">
        <v>26.92</v>
      </c>
      <c r="I3" s="714">
        <v>7.4999999999999997E-2</v>
      </c>
      <c r="J3" s="715">
        <v>3.9234870018388648</v>
      </c>
      <c r="K3" s="231"/>
      <c r="L3" s="191">
        <v>100</v>
      </c>
      <c r="M3" s="192">
        <v>7.4999999999999997E-2</v>
      </c>
      <c r="N3" s="192">
        <v>7.4999999999999997E-2</v>
      </c>
      <c r="O3" s="192">
        <v>464</v>
      </c>
      <c r="P3" s="192">
        <v>2.8660000000000001</v>
      </c>
      <c r="Q3" s="195">
        <v>6.8330000000000002E-2</v>
      </c>
      <c r="S3" s="242">
        <v>38.270000000000003</v>
      </c>
      <c r="T3" s="227">
        <v>13.282035095417495</v>
      </c>
      <c r="U3" s="237">
        <v>24.987964904582508</v>
      </c>
    </row>
    <row r="4" spans="2:21" ht="20.100000000000001" customHeight="1">
      <c r="C4" s="716" t="s">
        <v>786</v>
      </c>
      <c r="D4" s="717">
        <v>2880</v>
      </c>
      <c r="E4" s="717">
        <v>100</v>
      </c>
      <c r="F4" s="717">
        <v>11.43</v>
      </c>
      <c r="G4" s="717">
        <v>35.32</v>
      </c>
      <c r="H4" s="717">
        <v>23.89</v>
      </c>
      <c r="I4" s="717">
        <v>7.4999999999999997E-2</v>
      </c>
      <c r="J4" s="718">
        <v>3.9210694519925795</v>
      </c>
      <c r="K4" s="231"/>
      <c r="L4" s="163">
        <v>100</v>
      </c>
      <c r="M4" s="164">
        <v>7.4999999999999997E-2</v>
      </c>
      <c r="N4" s="164">
        <v>7.4999999999999997E-2</v>
      </c>
      <c r="O4" s="164">
        <v>464</v>
      </c>
      <c r="P4" s="164">
        <v>3.3010000000000002</v>
      </c>
      <c r="Q4" s="166">
        <v>6.3600000000000004E-2</v>
      </c>
      <c r="S4" s="207">
        <v>35.32</v>
      </c>
      <c r="T4" s="168">
        <v>13.316441013548392</v>
      </c>
      <c r="U4" s="165">
        <v>22.003558986451608</v>
      </c>
    </row>
    <row r="5" spans="2:21" ht="20.100000000000001" customHeight="1">
      <c r="C5" s="713" t="s">
        <v>787</v>
      </c>
      <c r="D5" s="714">
        <v>2880</v>
      </c>
      <c r="E5" s="714">
        <v>100</v>
      </c>
      <c r="F5" s="714">
        <v>10.94</v>
      </c>
      <c r="G5" s="714">
        <v>37.46</v>
      </c>
      <c r="H5" s="714">
        <v>26.520000000000003</v>
      </c>
      <c r="I5" s="714">
        <v>7.4999999999999997E-2</v>
      </c>
      <c r="J5" s="715">
        <v>3.9258258839347562</v>
      </c>
      <c r="K5" s="231"/>
      <c r="L5" s="191">
        <v>100</v>
      </c>
      <c r="M5" s="192">
        <v>7.4999999999999997E-2</v>
      </c>
      <c r="N5" s="192">
        <v>7.4999999999999997E-2</v>
      </c>
      <c r="O5" s="192">
        <v>464</v>
      </c>
      <c r="P5" s="192">
        <v>2.9169999999999998</v>
      </c>
      <c r="Q5" s="195">
        <v>6.7760000000000001E-2</v>
      </c>
      <c r="S5" s="242">
        <v>37.46</v>
      </c>
      <c r="T5" s="227">
        <v>12.866259102345108</v>
      </c>
      <c r="U5" s="237">
        <v>24.593740897654893</v>
      </c>
    </row>
    <row r="6" spans="2:21" ht="20.100000000000001" customHeight="1">
      <c r="C6" s="716"/>
      <c r="D6" s="717"/>
      <c r="E6" s="717"/>
      <c r="F6" s="717"/>
      <c r="G6" s="717"/>
      <c r="H6" s="717"/>
      <c r="I6" s="717"/>
      <c r="J6" s="718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713"/>
      <c r="D7" s="714"/>
      <c r="E7" s="714"/>
      <c r="F7" s="714"/>
      <c r="G7" s="714"/>
      <c r="H7" s="714"/>
      <c r="I7" s="714"/>
      <c r="J7" s="715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716"/>
      <c r="D8" s="717"/>
      <c r="E8" s="717"/>
      <c r="F8" s="717"/>
      <c r="G8" s="717"/>
      <c r="H8" s="717"/>
      <c r="I8" s="717"/>
      <c r="J8" s="718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713"/>
      <c r="D9" s="714"/>
      <c r="E9" s="714"/>
      <c r="F9" s="714"/>
      <c r="G9" s="714"/>
      <c r="H9" s="714"/>
      <c r="I9" s="714"/>
      <c r="J9" s="715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716"/>
      <c r="D10" s="717"/>
      <c r="E10" s="717"/>
      <c r="F10" s="717"/>
      <c r="G10" s="717"/>
      <c r="H10" s="717"/>
      <c r="I10" s="717"/>
      <c r="J10" s="718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713"/>
      <c r="D11" s="714"/>
      <c r="E11" s="714"/>
      <c r="F11" s="714"/>
      <c r="G11" s="714"/>
      <c r="H11" s="714"/>
      <c r="I11" s="714"/>
      <c r="J11" s="715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716"/>
      <c r="D12" s="717"/>
      <c r="E12" s="717"/>
      <c r="F12" s="717"/>
      <c r="G12" s="717"/>
      <c r="H12" s="717"/>
      <c r="I12" s="717"/>
      <c r="J12" s="718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customHeight="1" outlineLevel="1">
      <c r="C13" s="713"/>
      <c r="D13" s="714"/>
      <c r="E13" s="714"/>
      <c r="F13" s="714"/>
      <c r="G13" s="714"/>
      <c r="H13" s="714"/>
      <c r="I13" s="714"/>
      <c r="J13" s="715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customHeight="1" outlineLevel="1">
      <c r="C14" s="716"/>
      <c r="D14" s="717"/>
      <c r="E14" s="717"/>
      <c r="F14" s="717"/>
      <c r="G14" s="717"/>
      <c r="H14" s="717"/>
      <c r="I14" s="717"/>
      <c r="J14" s="718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customHeight="1" outlineLevel="1">
      <c r="C15" s="713"/>
      <c r="D15" s="714"/>
      <c r="E15" s="714"/>
      <c r="F15" s="714"/>
      <c r="G15" s="714"/>
      <c r="H15" s="714"/>
      <c r="I15" s="714"/>
      <c r="J15" s="715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customHeight="1" outlineLevel="1">
      <c r="C16" s="716"/>
      <c r="D16" s="717"/>
      <c r="E16" s="717"/>
      <c r="F16" s="717"/>
      <c r="G16" s="717"/>
      <c r="H16" s="717"/>
      <c r="I16" s="717"/>
      <c r="J16" s="718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customHeight="1" outlineLevel="1">
      <c r="C17" s="713"/>
      <c r="D17" s="714"/>
      <c r="E17" s="714"/>
      <c r="F17" s="714"/>
      <c r="G17" s="714"/>
      <c r="H17" s="714"/>
      <c r="I17" s="714"/>
      <c r="J17" s="715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customHeight="1" outlineLevel="1">
      <c r="C18" s="716"/>
      <c r="D18" s="717"/>
      <c r="E18" s="717"/>
      <c r="F18" s="717"/>
      <c r="G18" s="717"/>
      <c r="H18" s="717"/>
      <c r="I18" s="717"/>
      <c r="J18" s="718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customHeight="1" outlineLevel="1">
      <c r="C19" s="713"/>
      <c r="D19" s="714"/>
      <c r="E19" s="714"/>
      <c r="F19" s="714"/>
      <c r="G19" s="714"/>
      <c r="H19" s="714"/>
      <c r="I19" s="714"/>
      <c r="J19" s="715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customHeight="1" outlineLevel="1">
      <c r="C20" s="716"/>
      <c r="D20" s="717"/>
      <c r="E20" s="717"/>
      <c r="F20" s="717"/>
      <c r="G20" s="717"/>
      <c r="H20" s="717"/>
      <c r="I20" s="717"/>
      <c r="J20" s="718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customHeight="1" outlineLevel="1">
      <c r="C21" s="713"/>
      <c r="D21" s="714"/>
      <c r="E21" s="714"/>
      <c r="F21" s="714"/>
      <c r="G21" s="714"/>
      <c r="H21" s="714"/>
      <c r="I21" s="714"/>
      <c r="J21" s="715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customHeight="1" outlineLevel="1">
      <c r="C22" s="716"/>
      <c r="D22" s="717"/>
      <c r="E22" s="717"/>
      <c r="F22" s="717"/>
      <c r="G22" s="717"/>
      <c r="H22" s="717"/>
      <c r="I22" s="717"/>
      <c r="J22" s="718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customHeight="1" outlineLevel="1">
      <c r="C23" s="713"/>
      <c r="D23" s="714"/>
      <c r="E23" s="714"/>
      <c r="F23" s="714"/>
      <c r="G23" s="714"/>
      <c r="H23" s="714"/>
      <c r="I23" s="714"/>
      <c r="J23" s="715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customHeight="1" outlineLevel="1">
      <c r="C24" s="716"/>
      <c r="D24" s="717"/>
      <c r="E24" s="717"/>
      <c r="F24" s="717"/>
      <c r="G24" s="717"/>
      <c r="H24" s="717"/>
      <c r="I24" s="717"/>
      <c r="J24" s="718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customHeight="1" outlineLevel="1">
      <c r="C25" s="713"/>
      <c r="D25" s="714"/>
      <c r="E25" s="714"/>
      <c r="F25" s="714"/>
      <c r="G25" s="714"/>
      <c r="H25" s="714"/>
      <c r="I25" s="714"/>
      <c r="J25" s="715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customHeight="1" outlineLevel="1">
      <c r="C26" s="716"/>
      <c r="D26" s="717"/>
      <c r="E26" s="717"/>
      <c r="F26" s="717"/>
      <c r="G26" s="717"/>
      <c r="H26" s="717"/>
      <c r="I26" s="717"/>
      <c r="J26" s="718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customHeight="1" outlineLevel="1">
      <c r="C27" s="713"/>
      <c r="D27" s="714"/>
      <c r="E27" s="714"/>
      <c r="F27" s="714"/>
      <c r="G27" s="714"/>
      <c r="H27" s="714"/>
      <c r="I27" s="714"/>
      <c r="J27" s="715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customHeight="1" outlineLevel="1">
      <c r="C28" s="716"/>
      <c r="D28" s="717"/>
      <c r="E28" s="717"/>
      <c r="F28" s="717"/>
      <c r="G28" s="717"/>
      <c r="H28" s="717"/>
      <c r="I28" s="717"/>
      <c r="J28" s="718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customHeight="1" outlineLevel="1">
      <c r="C29" s="713"/>
      <c r="D29" s="714"/>
      <c r="E29" s="714"/>
      <c r="F29" s="714"/>
      <c r="G29" s="714"/>
      <c r="H29" s="714"/>
      <c r="I29" s="714"/>
      <c r="J29" s="715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customHeight="1" outlineLevel="1">
      <c r="C30" s="716"/>
      <c r="D30" s="717"/>
      <c r="E30" s="717"/>
      <c r="F30" s="717"/>
      <c r="G30" s="717"/>
      <c r="H30" s="717"/>
      <c r="I30" s="717"/>
      <c r="J30" s="718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customHeight="1" outlineLevel="1">
      <c r="C31" s="713"/>
      <c r="D31" s="714"/>
      <c r="E31" s="714"/>
      <c r="F31" s="714"/>
      <c r="G31" s="714"/>
      <c r="H31" s="714"/>
      <c r="I31" s="714"/>
      <c r="J31" s="715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customHeight="1" outlineLevel="1">
      <c r="C32" s="716"/>
      <c r="D32" s="717"/>
      <c r="E32" s="717"/>
      <c r="F32" s="717"/>
      <c r="G32" s="717"/>
      <c r="H32" s="717"/>
      <c r="I32" s="717"/>
      <c r="J32" s="718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customHeight="1" outlineLevel="1" thickBot="1">
      <c r="C33" s="719"/>
      <c r="D33" s="612"/>
      <c r="E33" s="720"/>
      <c r="F33" s="720"/>
      <c r="G33" s="720"/>
      <c r="H33" s="720"/>
      <c r="I33" s="720"/>
      <c r="J33" s="721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04" t="s">
        <v>245</v>
      </c>
      <c r="D37" s="605" t="s">
        <v>81</v>
      </c>
      <c r="E37" s="605" t="s">
        <v>147</v>
      </c>
      <c r="F37" s="605" t="s">
        <v>148</v>
      </c>
      <c r="G37" s="606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5"/>
      <c r="S37" s="605"/>
      <c r="T37" s="605"/>
      <c r="U37" s="605"/>
      <c r="V37" s="605"/>
      <c r="W37" s="605"/>
      <c r="X37" s="605"/>
      <c r="Y37" s="605"/>
      <c r="Z37" s="605"/>
      <c r="AA37" s="605"/>
      <c r="AB37" s="605"/>
      <c r="AC37" s="605"/>
      <c r="AD37" s="605"/>
      <c r="AE37" s="605"/>
      <c r="AF37" s="605"/>
      <c r="AG37" s="607"/>
      <c r="AI37" s="230"/>
      <c r="AJ37" s="231"/>
    </row>
    <row r="38" spans="3:36" s="231" customFormat="1" ht="23.1" customHeight="1">
      <c r="C38" s="608" t="s">
        <v>231</v>
      </c>
      <c r="D38" s="698">
        <v>2.1659999999999999</v>
      </c>
      <c r="E38" s="699">
        <v>2.3970000000000002</v>
      </c>
      <c r="F38" s="698">
        <v>2.2244999999999999</v>
      </c>
      <c r="G38" s="699"/>
      <c r="H38" s="698"/>
      <c r="I38" s="699"/>
      <c r="J38" s="698"/>
      <c r="K38" s="699"/>
      <c r="L38" s="698"/>
      <c r="M38" s="699"/>
      <c r="N38" s="698"/>
      <c r="O38" s="706"/>
      <c r="P38" s="706"/>
      <c r="Q38" s="706"/>
      <c r="R38" s="706"/>
      <c r="S38" s="706"/>
      <c r="T38" s="706"/>
      <c r="U38" s="706"/>
      <c r="V38" s="706"/>
      <c r="W38" s="706"/>
      <c r="X38" s="706"/>
      <c r="Y38" s="706"/>
      <c r="Z38" s="706"/>
      <c r="AA38" s="706"/>
      <c r="AB38" s="706"/>
      <c r="AC38" s="706"/>
      <c r="AD38" s="706"/>
      <c r="AE38" s="706"/>
      <c r="AF38" s="706"/>
      <c r="AG38" s="707"/>
    </row>
    <row r="39" spans="3:36" s="231" customFormat="1" ht="23.1" customHeight="1">
      <c r="C39" s="608" t="s">
        <v>222</v>
      </c>
      <c r="D39" s="698">
        <v>4.6600000000000001E-3</v>
      </c>
      <c r="E39" s="699">
        <v>5.1599999999999997E-3</v>
      </c>
      <c r="F39" s="698">
        <v>4.79E-3</v>
      </c>
      <c r="G39" s="699"/>
      <c r="H39" s="698"/>
      <c r="I39" s="699"/>
      <c r="J39" s="698"/>
      <c r="K39" s="699"/>
      <c r="L39" s="698"/>
      <c r="M39" s="699"/>
      <c r="N39" s="698"/>
      <c r="O39" s="706"/>
      <c r="P39" s="706"/>
      <c r="Q39" s="706"/>
      <c r="R39" s="706"/>
      <c r="S39" s="706"/>
      <c r="T39" s="706"/>
      <c r="U39" s="706"/>
      <c r="V39" s="706"/>
      <c r="W39" s="706"/>
      <c r="X39" s="706"/>
      <c r="Y39" s="706"/>
      <c r="Z39" s="706"/>
      <c r="AA39" s="706"/>
      <c r="AB39" s="706"/>
      <c r="AC39" s="706"/>
      <c r="AD39" s="706"/>
      <c r="AE39" s="706"/>
      <c r="AF39" s="706"/>
      <c r="AG39" s="707"/>
    </row>
    <row r="40" spans="3:36" s="231" customFormat="1" ht="23.1" customHeight="1">
      <c r="C40" s="608" t="s">
        <v>223</v>
      </c>
      <c r="D40" s="700">
        <v>1.7789999999999999E-4</v>
      </c>
      <c r="E40" s="701">
        <v>1.7789999999999999E-4</v>
      </c>
      <c r="F40" s="700">
        <v>1.7780000000000001E-4</v>
      </c>
      <c r="G40" s="701"/>
      <c r="H40" s="700"/>
      <c r="I40" s="701"/>
      <c r="J40" s="700"/>
      <c r="K40" s="701"/>
      <c r="L40" s="700"/>
      <c r="M40" s="701"/>
      <c r="N40" s="700"/>
      <c r="O40" s="706"/>
      <c r="P40" s="706"/>
      <c r="Q40" s="706"/>
      <c r="R40" s="706"/>
      <c r="S40" s="706"/>
      <c r="T40" s="706"/>
      <c r="U40" s="706"/>
      <c r="V40" s="706"/>
      <c r="W40" s="706"/>
      <c r="X40" s="706"/>
      <c r="Y40" s="706"/>
      <c r="Z40" s="706"/>
      <c r="AA40" s="706"/>
      <c r="AB40" s="706"/>
      <c r="AC40" s="706"/>
      <c r="AD40" s="706"/>
      <c r="AE40" s="706"/>
      <c r="AF40" s="706"/>
      <c r="AG40" s="707"/>
    </row>
    <row r="41" spans="3:36" s="231" customFormat="1" ht="23.1" customHeight="1">
      <c r="C41" s="608" t="s">
        <v>591</v>
      </c>
      <c r="D41" s="698">
        <v>0.375</v>
      </c>
      <c r="E41" s="699">
        <v>0.375</v>
      </c>
      <c r="F41" s="698">
        <v>0.375</v>
      </c>
      <c r="G41" s="699"/>
      <c r="H41" s="698"/>
      <c r="I41" s="699"/>
      <c r="J41" s="698"/>
      <c r="K41" s="699"/>
      <c r="L41" s="698"/>
      <c r="M41" s="699"/>
      <c r="N41" s="698"/>
      <c r="O41" s="706"/>
      <c r="P41" s="706"/>
      <c r="Q41" s="706"/>
      <c r="R41" s="706"/>
      <c r="S41" s="706"/>
      <c r="T41" s="706"/>
      <c r="U41" s="706"/>
      <c r="V41" s="706"/>
      <c r="W41" s="706"/>
      <c r="X41" s="706"/>
      <c r="Y41" s="706"/>
      <c r="Z41" s="706"/>
      <c r="AA41" s="706"/>
      <c r="AB41" s="706"/>
      <c r="AC41" s="706"/>
      <c r="AD41" s="706"/>
      <c r="AE41" s="706"/>
      <c r="AF41" s="706"/>
      <c r="AG41" s="707"/>
    </row>
    <row r="42" spans="3:36" s="231" customFormat="1" ht="23.1" customHeight="1">
      <c r="C42" s="608" t="s">
        <v>230</v>
      </c>
      <c r="D42" s="702">
        <v>26.92</v>
      </c>
      <c r="E42" s="703">
        <v>23.89</v>
      </c>
      <c r="F42" s="702">
        <v>26.520000000000003</v>
      </c>
      <c r="G42" s="703"/>
      <c r="H42" s="702"/>
      <c r="I42" s="703"/>
      <c r="J42" s="702"/>
      <c r="K42" s="703"/>
      <c r="L42" s="702"/>
      <c r="M42" s="703"/>
      <c r="N42" s="702"/>
      <c r="O42" s="706"/>
      <c r="P42" s="706"/>
      <c r="Q42" s="706"/>
      <c r="R42" s="706"/>
      <c r="S42" s="706"/>
      <c r="T42" s="706"/>
      <c r="U42" s="706"/>
      <c r="V42" s="706"/>
      <c r="W42" s="706"/>
      <c r="X42" s="706"/>
      <c r="Y42" s="706"/>
      <c r="Z42" s="706"/>
      <c r="AA42" s="706"/>
      <c r="AB42" s="706"/>
      <c r="AC42" s="706"/>
      <c r="AD42" s="706"/>
      <c r="AE42" s="706"/>
      <c r="AF42" s="706"/>
      <c r="AG42" s="707"/>
    </row>
    <row r="43" spans="3:36" s="231" customFormat="1" ht="23.1" customHeight="1" thickBot="1">
      <c r="C43" s="611" t="s">
        <v>229</v>
      </c>
      <c r="D43" s="704">
        <v>464</v>
      </c>
      <c r="E43" s="705">
        <v>464</v>
      </c>
      <c r="F43" s="704">
        <v>464</v>
      </c>
      <c r="G43" s="705"/>
      <c r="H43" s="704"/>
      <c r="I43" s="705"/>
      <c r="J43" s="704"/>
      <c r="K43" s="705"/>
      <c r="L43" s="704"/>
      <c r="M43" s="705"/>
      <c r="N43" s="704"/>
      <c r="O43" s="708"/>
      <c r="P43" s="708"/>
      <c r="Q43" s="708"/>
      <c r="R43" s="708"/>
      <c r="S43" s="708"/>
      <c r="T43" s="708"/>
      <c r="U43" s="708"/>
      <c r="V43" s="708"/>
      <c r="W43" s="708"/>
      <c r="X43" s="708"/>
      <c r="Y43" s="708"/>
      <c r="Z43" s="708"/>
      <c r="AA43" s="708"/>
      <c r="AB43" s="708"/>
      <c r="AC43" s="708"/>
      <c r="AD43" s="708"/>
      <c r="AE43" s="708"/>
      <c r="AF43" s="708"/>
      <c r="AG43" s="70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796</v>
      </c>
      <c r="I46" s="259"/>
      <c r="J46" s="288"/>
      <c r="K46" s="231"/>
      <c r="L46" s="231"/>
      <c r="M46" s="231"/>
      <c r="N46" s="231"/>
      <c r="P46" s="259" t="s">
        <v>797</v>
      </c>
      <c r="Q46" s="231"/>
      <c r="R46" s="231"/>
    </row>
    <row r="47" spans="3:36" s="231" customFormat="1" ht="33.75" customHeight="1">
      <c r="C47" s="614" t="s">
        <v>259</v>
      </c>
      <c r="D47" s="615" t="s">
        <v>602</v>
      </c>
      <c r="E47" s="615" t="s">
        <v>613</v>
      </c>
      <c r="F47" s="616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44" t="s">
        <v>81</v>
      </c>
      <c r="D48" s="617" t="s">
        <v>798</v>
      </c>
      <c r="E48" s="609">
        <v>2.8660000000000001</v>
      </c>
      <c r="F48" s="618">
        <v>1.7789999999999999E-4</v>
      </c>
      <c r="G48" s="641"/>
      <c r="H48" s="248" t="s">
        <v>219</v>
      </c>
      <c r="I48" s="193">
        <v>39.799999999999997</v>
      </c>
      <c r="J48" s="193">
        <v>48.8</v>
      </c>
      <c r="K48" s="193">
        <v>101.4</v>
      </c>
      <c r="L48" s="193">
        <v>63.333333333333336</v>
      </c>
      <c r="M48" s="193">
        <v>101.4</v>
      </c>
      <c r="N48" s="249">
        <v>39.799999999999997</v>
      </c>
      <c r="P48" s="252" t="s">
        <v>219</v>
      </c>
      <c r="Q48" s="244">
        <v>-2.9757780310988386</v>
      </c>
      <c r="R48" s="638">
        <v>1.47</v>
      </c>
      <c r="S48" s="613"/>
      <c r="T48" s="613"/>
      <c r="U48" s="613"/>
      <c r="V48" s="613"/>
    </row>
    <row r="49" spans="3:22" ht="20.100000000000001" customHeight="1">
      <c r="C49" s="754"/>
      <c r="D49" s="619" t="s">
        <v>799</v>
      </c>
      <c r="E49" s="609">
        <v>1.466</v>
      </c>
      <c r="F49" s="644"/>
      <c r="G49" s="231"/>
      <c r="H49" s="170" t="s">
        <v>786</v>
      </c>
      <c r="I49" s="171">
        <v>39.5</v>
      </c>
      <c r="J49" s="171">
        <v>48.4</v>
      </c>
      <c r="K49" s="171">
        <v>106.6</v>
      </c>
      <c r="L49" s="171">
        <v>64.833333333333329</v>
      </c>
      <c r="M49" s="171">
        <v>106.6</v>
      </c>
      <c r="N49" s="172">
        <v>39.5</v>
      </c>
      <c r="P49" s="173" t="s">
        <v>786</v>
      </c>
      <c r="Q49" s="167">
        <v>-2.939618007068078</v>
      </c>
      <c r="R49" s="639">
        <v>1.4179999999999999</v>
      </c>
      <c r="S49" s="613"/>
      <c r="T49" s="613"/>
      <c r="U49" s="613"/>
      <c r="V49" s="613"/>
    </row>
    <row r="50" spans="3:22" ht="20.100000000000001" customHeight="1">
      <c r="C50" s="745"/>
      <c r="D50" s="619" t="s">
        <v>800</v>
      </c>
      <c r="E50" s="621">
        <v>2.1659999999999999</v>
      </c>
      <c r="F50" s="622">
        <v>1.7789999999999999E-4</v>
      </c>
      <c r="G50" s="642"/>
      <c r="H50" s="248" t="s">
        <v>787</v>
      </c>
      <c r="I50" s="193">
        <v>40.1</v>
      </c>
      <c r="J50" s="193">
        <v>49.1</v>
      </c>
      <c r="K50" s="193">
        <v>102.7</v>
      </c>
      <c r="L50" s="193">
        <v>63.966666666666669</v>
      </c>
      <c r="M50" s="193">
        <v>102.7</v>
      </c>
      <c r="N50" s="249">
        <v>40.1</v>
      </c>
      <c r="P50" s="252" t="s">
        <v>787</v>
      </c>
      <c r="Q50" s="244">
        <v>-2.9715861212020274</v>
      </c>
      <c r="R50" s="638">
        <v>1.464</v>
      </c>
      <c r="S50" s="613"/>
      <c r="T50" s="613"/>
      <c r="U50" s="613"/>
      <c r="V50" s="613"/>
    </row>
    <row r="51" spans="3:22" ht="20.100000000000001" customHeight="1">
      <c r="C51" s="730" t="s">
        <v>147</v>
      </c>
      <c r="D51" s="623" t="s">
        <v>798</v>
      </c>
      <c r="E51" s="610">
        <v>3.3010000000000002</v>
      </c>
      <c r="F51" s="624">
        <v>1.7789999999999999E-4</v>
      </c>
      <c r="G51" s="641"/>
      <c r="H51" s="170"/>
      <c r="I51" s="171"/>
      <c r="J51" s="171"/>
      <c r="K51" s="171"/>
      <c r="L51" s="171"/>
      <c r="M51" s="171"/>
      <c r="N51" s="172"/>
      <c r="P51" s="173"/>
      <c r="Q51" s="167"/>
      <c r="R51" s="639"/>
    </row>
    <row r="52" spans="3:22" ht="20.100000000000001" customHeight="1">
      <c r="C52" s="755"/>
      <c r="D52" s="623" t="s">
        <v>799</v>
      </c>
      <c r="E52" s="610">
        <v>1.4930000000000001</v>
      </c>
      <c r="F52" s="643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638"/>
    </row>
    <row r="53" spans="3:22" ht="20.100000000000001" customHeight="1">
      <c r="C53" s="742"/>
      <c r="D53" s="623" t="s">
        <v>800</v>
      </c>
      <c r="E53" s="625">
        <v>2.3970000000000002</v>
      </c>
      <c r="F53" s="626">
        <v>1.7789999999999999E-4</v>
      </c>
      <c r="G53" s="642"/>
      <c r="H53" s="170"/>
      <c r="I53" s="171"/>
      <c r="J53" s="171"/>
      <c r="K53" s="171"/>
      <c r="L53" s="171"/>
      <c r="M53" s="171"/>
      <c r="N53" s="172"/>
      <c r="P53" s="173"/>
      <c r="Q53" s="167"/>
      <c r="R53" s="639"/>
    </row>
    <row r="54" spans="3:22" ht="20.100000000000001" customHeight="1">
      <c r="C54" s="744" t="s">
        <v>148</v>
      </c>
      <c r="D54" s="619" t="s">
        <v>798</v>
      </c>
      <c r="E54" s="609">
        <v>2.9169999999999998</v>
      </c>
      <c r="F54" s="618">
        <v>1.7780000000000001E-4</v>
      </c>
      <c r="G54" s="641"/>
      <c r="H54" s="248"/>
      <c r="I54" s="193"/>
      <c r="J54" s="193"/>
      <c r="K54" s="193"/>
      <c r="L54" s="193"/>
      <c r="M54" s="193"/>
      <c r="N54" s="249"/>
      <c r="P54" s="252"/>
      <c r="Q54" s="244"/>
      <c r="R54" s="638"/>
    </row>
    <row r="55" spans="3:22" ht="20.100000000000001" customHeight="1">
      <c r="C55" s="754"/>
      <c r="D55" s="619" t="s">
        <v>799</v>
      </c>
      <c r="E55" s="609">
        <v>1.532</v>
      </c>
      <c r="F55" s="640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639"/>
    </row>
    <row r="56" spans="3:22" ht="20.100000000000001" customHeight="1">
      <c r="C56" s="745"/>
      <c r="D56" s="619" t="s">
        <v>800</v>
      </c>
      <c r="E56" s="621">
        <v>2.2244999999999999</v>
      </c>
      <c r="F56" s="622">
        <v>1.7780000000000001E-4</v>
      </c>
      <c r="G56" s="642"/>
      <c r="H56" s="248"/>
      <c r="I56" s="193"/>
      <c r="J56" s="193"/>
      <c r="K56" s="193"/>
      <c r="L56" s="193"/>
      <c r="M56" s="193"/>
      <c r="N56" s="249"/>
      <c r="P56" s="252"/>
      <c r="Q56" s="244"/>
      <c r="R56" s="638"/>
    </row>
    <row r="57" spans="3:22" ht="20.100000000000001" customHeight="1">
      <c r="C57" s="730" t="s">
        <v>813</v>
      </c>
      <c r="D57" s="623"/>
      <c r="E57" s="610"/>
      <c r="F57" s="624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639"/>
    </row>
    <row r="58" spans="3:22" ht="20.100000000000001" customHeight="1">
      <c r="C58" s="755"/>
      <c r="D58" s="623"/>
      <c r="E58" s="625"/>
      <c r="F58" s="626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638"/>
    </row>
    <row r="59" spans="3:22" ht="20.100000000000001" customHeight="1">
      <c r="C59" s="742"/>
      <c r="D59" s="623"/>
      <c r="E59" s="625"/>
      <c r="F59" s="626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customHeight="1" outlineLevel="1">
      <c r="C60" s="637" t="s">
        <v>815</v>
      </c>
      <c r="D60" s="619"/>
      <c r="E60" s="609"/>
      <c r="F60" s="618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customHeight="1" outlineLevel="1">
      <c r="C61" s="637"/>
      <c r="D61" s="619"/>
      <c r="E61" s="609"/>
      <c r="F61" s="620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customHeight="1" outlineLevel="1">
      <c r="C62" s="637"/>
      <c r="D62" s="619"/>
      <c r="E62" s="621"/>
      <c r="F62" s="622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customHeight="1" outlineLevel="1">
      <c r="C63" s="636" t="s">
        <v>817</v>
      </c>
      <c r="D63" s="623"/>
      <c r="E63" s="610"/>
      <c r="F63" s="624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customHeight="1" outlineLevel="1">
      <c r="C64" s="636"/>
      <c r="D64" s="623"/>
      <c r="E64" s="610"/>
      <c r="F64" s="627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customHeight="1" outlineLevel="1">
      <c r="C65" s="636"/>
      <c r="D65" s="623"/>
      <c r="E65" s="625"/>
      <c r="F65" s="626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customHeight="1" outlineLevel="1">
      <c r="C66" s="637" t="s">
        <v>820</v>
      </c>
      <c r="D66" s="619"/>
      <c r="E66" s="609"/>
      <c r="F66" s="618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customHeight="1" outlineLevel="1">
      <c r="C67" s="637"/>
      <c r="D67" s="619"/>
      <c r="E67" s="609"/>
      <c r="F67" s="620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customHeight="1" outlineLevel="1">
      <c r="C68" s="637"/>
      <c r="D68" s="619"/>
      <c r="E68" s="621"/>
      <c r="F68" s="622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customHeight="1" outlineLevel="1">
      <c r="C69" s="636" t="s">
        <v>822</v>
      </c>
      <c r="D69" s="623"/>
      <c r="E69" s="610"/>
      <c r="F69" s="624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customHeight="1" outlineLevel="1">
      <c r="C70" s="636"/>
      <c r="D70" s="623"/>
      <c r="E70" s="610"/>
      <c r="F70" s="627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customHeight="1" outlineLevel="1">
      <c r="C71" s="636"/>
      <c r="D71" s="623"/>
      <c r="E71" s="625"/>
      <c r="F71" s="626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customHeight="1" outlineLevel="1">
      <c r="C72" s="637" t="s">
        <v>824</v>
      </c>
      <c r="D72" s="619"/>
      <c r="E72" s="609"/>
      <c r="F72" s="618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customHeight="1" outlineLevel="1">
      <c r="C73" s="637"/>
      <c r="D73" s="619"/>
      <c r="E73" s="609"/>
      <c r="F73" s="620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customHeight="1" outlineLevel="1">
      <c r="C74" s="637"/>
      <c r="D74" s="619"/>
      <c r="E74" s="621"/>
      <c r="F74" s="622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customHeight="1" outlineLevel="1">
      <c r="C75" s="636" t="s">
        <v>826</v>
      </c>
      <c r="D75" s="623"/>
      <c r="E75" s="610"/>
      <c r="F75" s="624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customHeight="1" outlineLevel="1">
      <c r="C76" s="636"/>
      <c r="D76" s="623"/>
      <c r="E76" s="610"/>
      <c r="F76" s="627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customHeight="1" outlineLevel="1" thickBot="1">
      <c r="C77" s="636"/>
      <c r="D77" s="623"/>
      <c r="E77" s="625"/>
      <c r="F77" s="626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thickBot="1">
      <c r="C78" s="744" t="s">
        <v>828</v>
      </c>
      <c r="D78" s="619"/>
      <c r="E78" s="621"/>
      <c r="F78" s="622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54"/>
      <c r="D79" s="619"/>
      <c r="E79" s="609"/>
      <c r="F79" s="622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45"/>
      <c r="D80" s="619"/>
      <c r="E80" s="621"/>
      <c r="F80" s="622"/>
      <c r="H80" s="248" t="s">
        <v>219</v>
      </c>
      <c r="I80" s="304">
        <v>1.466</v>
      </c>
      <c r="J80" s="305">
        <v>1.7789999999999999E-4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30"/>
      <c r="D81" s="623"/>
      <c r="E81" s="610"/>
      <c r="F81" s="624"/>
      <c r="H81" s="170" t="s">
        <v>786</v>
      </c>
      <c r="I81" s="308">
        <v>1.4930000000000001</v>
      </c>
      <c r="J81" s="309">
        <v>1.7789999999999999E-4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55"/>
      <c r="D82" s="623"/>
      <c r="E82" s="610"/>
      <c r="F82" s="624"/>
      <c r="H82" s="248" t="s">
        <v>787</v>
      </c>
      <c r="I82" s="306">
        <v>1.532</v>
      </c>
      <c r="J82" s="305">
        <v>1.7780000000000001E-4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42"/>
      <c r="D83" s="623"/>
      <c r="E83" s="625"/>
      <c r="F83" s="626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44"/>
      <c r="D84" s="619"/>
      <c r="E84" s="609"/>
      <c r="F84" s="61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54"/>
      <c r="D85" s="619"/>
      <c r="E85" s="609"/>
      <c r="F85" s="61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45"/>
      <c r="D86" s="619"/>
      <c r="E86" s="621"/>
      <c r="F86" s="622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30"/>
      <c r="D87" s="623"/>
      <c r="E87" s="610"/>
      <c r="F87" s="624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55"/>
      <c r="D88" s="623"/>
      <c r="E88" s="610"/>
      <c r="F88" s="624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42"/>
      <c r="D89" s="623"/>
      <c r="E89" s="625"/>
      <c r="F89" s="626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customHeight="1" outlineLevel="1">
      <c r="C90" s="744"/>
      <c r="D90" s="619"/>
      <c r="E90" s="609"/>
      <c r="F90" s="61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customHeight="1" outlineLevel="1">
      <c r="C91" s="754"/>
      <c r="D91" s="619"/>
      <c r="E91" s="609"/>
      <c r="F91" s="61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customHeight="1" outlineLevel="1">
      <c r="C92" s="745"/>
      <c r="D92" s="619"/>
      <c r="E92" s="621"/>
      <c r="F92" s="622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customHeight="1" outlineLevel="1">
      <c r="C93" s="730"/>
      <c r="D93" s="623"/>
      <c r="E93" s="610"/>
      <c r="F93" s="624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customHeight="1" outlineLevel="1">
      <c r="C94" s="755"/>
      <c r="D94" s="623"/>
      <c r="E94" s="610"/>
      <c r="F94" s="624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customHeight="1" outlineLevel="1">
      <c r="C95" s="742"/>
      <c r="D95" s="623"/>
      <c r="E95" s="625"/>
      <c r="F95" s="626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customHeight="1" outlineLevel="1">
      <c r="C96" s="744"/>
      <c r="D96" s="619"/>
      <c r="E96" s="609"/>
      <c r="F96" s="61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customHeight="1" outlineLevel="1">
      <c r="C97" s="754"/>
      <c r="D97" s="619"/>
      <c r="E97" s="609"/>
      <c r="F97" s="61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customHeight="1" outlineLevel="1">
      <c r="C98" s="745"/>
      <c r="D98" s="619"/>
      <c r="E98" s="621"/>
      <c r="F98" s="622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customHeight="1" outlineLevel="1">
      <c r="C99" s="730"/>
      <c r="D99" s="623"/>
      <c r="E99" s="610"/>
      <c r="F99" s="624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customHeight="1" outlineLevel="1">
      <c r="C100" s="755"/>
      <c r="D100" s="623"/>
      <c r="E100" s="610"/>
      <c r="F100" s="624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customHeight="1" outlineLevel="1">
      <c r="C101" s="742"/>
      <c r="D101" s="623"/>
      <c r="E101" s="625"/>
      <c r="F101" s="626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customHeight="1" outlineLevel="1">
      <c r="C102" s="744"/>
      <c r="D102" s="619"/>
      <c r="E102" s="609"/>
      <c r="F102" s="618"/>
      <c r="H102" s="248"/>
      <c r="I102" s="304"/>
      <c r="J102" s="224"/>
    </row>
    <row r="103" spans="3:18" ht="20.100000000000001" customHeight="1" outlineLevel="1">
      <c r="C103" s="754"/>
      <c r="D103" s="619"/>
      <c r="E103" s="609"/>
      <c r="F103" s="620"/>
      <c r="H103" s="170"/>
      <c r="I103" s="308"/>
      <c r="J103" s="221"/>
    </row>
    <row r="104" spans="3:18" ht="20.100000000000001" customHeight="1" outlineLevel="1">
      <c r="C104" s="745"/>
      <c r="D104" s="619"/>
      <c r="E104" s="621"/>
      <c r="F104" s="622"/>
      <c r="H104" s="248"/>
      <c r="I104" s="304"/>
      <c r="J104" s="224"/>
    </row>
    <row r="105" spans="3:18" ht="20.100000000000001" customHeight="1" outlineLevel="1">
      <c r="C105" s="730"/>
      <c r="D105" s="623"/>
      <c r="E105" s="610"/>
      <c r="F105" s="624"/>
      <c r="H105" s="170"/>
      <c r="I105" s="308"/>
      <c r="J105" s="221"/>
    </row>
    <row r="106" spans="3:18" ht="20.100000000000001" customHeight="1" outlineLevel="1">
      <c r="C106" s="755"/>
      <c r="D106" s="623"/>
      <c r="E106" s="610"/>
      <c r="F106" s="627"/>
      <c r="H106" s="248"/>
      <c r="I106" s="304"/>
      <c r="J106" s="224"/>
    </row>
    <row r="107" spans="3:18" ht="20.100000000000001" customHeight="1" outlineLevel="1">
      <c r="C107" s="742"/>
      <c r="D107" s="623"/>
      <c r="E107" s="625"/>
      <c r="F107" s="626"/>
      <c r="H107" s="170"/>
      <c r="I107" s="308"/>
      <c r="J107" s="221"/>
    </row>
    <row r="108" spans="3:18" ht="20.100000000000001" customHeight="1" outlineLevel="1">
      <c r="C108" s="744"/>
      <c r="D108" s="619"/>
      <c r="E108" s="609"/>
      <c r="F108" s="618"/>
      <c r="H108" s="248"/>
      <c r="I108" s="304"/>
      <c r="J108" s="224"/>
    </row>
    <row r="109" spans="3:18" ht="20.100000000000001" customHeight="1" outlineLevel="1" thickBot="1">
      <c r="C109" s="754"/>
      <c r="D109" s="619"/>
      <c r="E109" s="609"/>
      <c r="F109" s="618"/>
      <c r="H109" s="201"/>
      <c r="I109" s="312"/>
      <c r="J109" s="236"/>
    </row>
    <row r="110" spans="3:18" ht="20.100000000000001" customHeight="1" outlineLevel="1">
      <c r="C110" s="745"/>
      <c r="D110" s="619"/>
      <c r="E110" s="621"/>
      <c r="F110" s="622"/>
      <c r="H110" s="230"/>
    </row>
    <row r="111" spans="3:18" ht="20.100000000000001" customHeight="1" outlineLevel="1">
      <c r="C111" s="730"/>
      <c r="D111" s="623"/>
      <c r="E111" s="610"/>
      <c r="F111" s="624"/>
      <c r="H111" s="230"/>
    </row>
    <row r="112" spans="3:18" ht="20.100000000000001" customHeight="1" outlineLevel="1">
      <c r="C112" s="755"/>
      <c r="D112" s="623"/>
      <c r="E112" s="610"/>
      <c r="F112" s="624"/>
      <c r="H112" s="230"/>
    </row>
    <row r="113" spans="3:8" ht="20.100000000000001" customHeight="1" outlineLevel="1">
      <c r="C113" s="742"/>
      <c r="D113" s="623"/>
      <c r="E113" s="625"/>
      <c r="F113" s="626"/>
      <c r="H113" s="230"/>
    </row>
    <row r="114" spans="3:8" ht="20.100000000000001" customHeight="1" outlineLevel="1">
      <c r="C114" s="744"/>
      <c r="D114" s="619"/>
      <c r="E114" s="609"/>
      <c r="F114" s="618"/>
      <c r="H114" s="230"/>
    </row>
    <row r="115" spans="3:8" ht="20.100000000000001" customHeight="1" outlineLevel="1">
      <c r="C115" s="754"/>
      <c r="D115" s="619"/>
      <c r="E115" s="609"/>
      <c r="F115" s="618"/>
      <c r="H115" s="230"/>
    </row>
    <row r="116" spans="3:8" ht="20.100000000000001" customHeight="1" outlineLevel="1">
      <c r="C116" s="745"/>
      <c r="D116" s="619"/>
      <c r="E116" s="621"/>
      <c r="F116" s="622"/>
      <c r="H116" s="230"/>
    </row>
    <row r="117" spans="3:8" ht="20.100000000000001" customHeight="1" outlineLevel="1">
      <c r="C117" s="730"/>
      <c r="D117" s="623"/>
      <c r="E117" s="610"/>
      <c r="F117" s="624"/>
      <c r="H117" s="230"/>
    </row>
    <row r="118" spans="3:8" ht="20.100000000000001" customHeight="1" outlineLevel="1">
      <c r="C118" s="755"/>
      <c r="D118" s="623"/>
      <c r="E118" s="610"/>
      <c r="F118" s="624"/>
      <c r="H118" s="230"/>
    </row>
    <row r="119" spans="3:8" ht="20.100000000000001" customHeight="1" outlineLevel="1">
      <c r="C119" s="742"/>
      <c r="D119" s="623"/>
      <c r="E119" s="625"/>
      <c r="F119" s="626"/>
      <c r="H119" s="230"/>
    </row>
    <row r="120" spans="3:8" ht="20.100000000000001" customHeight="1" outlineLevel="1">
      <c r="C120" s="744"/>
      <c r="D120" s="619"/>
      <c r="E120" s="609"/>
      <c r="F120" s="618"/>
      <c r="H120" s="230"/>
    </row>
    <row r="121" spans="3:8" ht="20.100000000000001" customHeight="1" outlineLevel="1">
      <c r="C121" s="754"/>
      <c r="D121" s="619"/>
      <c r="E121" s="609"/>
      <c r="F121" s="618"/>
      <c r="H121" s="230"/>
    </row>
    <row r="122" spans="3:8" ht="20.100000000000001" customHeight="1" outlineLevel="1">
      <c r="C122" s="745"/>
      <c r="D122" s="619"/>
      <c r="E122" s="621"/>
      <c r="F122" s="622"/>
      <c r="H122" s="230"/>
    </row>
    <row r="123" spans="3:8" ht="20.100000000000001" customHeight="1" outlineLevel="1">
      <c r="C123" s="730"/>
      <c r="D123" s="623"/>
      <c r="E123" s="610"/>
      <c r="F123" s="624"/>
      <c r="H123" s="230"/>
    </row>
    <row r="124" spans="3:8" ht="20.100000000000001" customHeight="1" outlineLevel="1">
      <c r="C124" s="755"/>
      <c r="D124" s="623"/>
      <c r="E124" s="610"/>
      <c r="F124" s="624"/>
      <c r="H124" s="230"/>
    </row>
    <row r="125" spans="3:8" ht="20.100000000000001" customHeight="1" outlineLevel="1">
      <c r="C125" s="742"/>
      <c r="D125" s="623"/>
      <c r="E125" s="625"/>
      <c r="F125" s="626"/>
      <c r="H125" s="230"/>
    </row>
    <row r="126" spans="3:8" ht="20.25" customHeight="1" outlineLevel="1">
      <c r="C126" s="744"/>
      <c r="D126" s="619"/>
      <c r="E126" s="609"/>
      <c r="F126" s="618"/>
      <c r="H126" s="230"/>
    </row>
    <row r="127" spans="3:8" ht="20.100000000000001" customHeight="1" outlineLevel="1">
      <c r="C127" s="754"/>
      <c r="D127" s="619"/>
      <c r="E127" s="609"/>
      <c r="F127" s="618"/>
      <c r="H127" s="230"/>
    </row>
    <row r="128" spans="3:8" ht="20.100000000000001" customHeight="1" outlineLevel="1">
      <c r="C128" s="745"/>
      <c r="D128" s="619"/>
      <c r="E128" s="621"/>
      <c r="F128" s="622"/>
      <c r="H128" s="230"/>
    </row>
    <row r="129" spans="3:12" ht="20.100000000000001" customHeight="1" outlineLevel="1">
      <c r="C129" s="730"/>
      <c r="D129" s="623"/>
      <c r="E129" s="628"/>
      <c r="F129" s="499"/>
      <c r="H129" s="230"/>
    </row>
    <row r="130" spans="3:12" ht="20.100000000000001" customHeight="1" outlineLevel="1">
      <c r="C130" s="755"/>
      <c r="D130" s="623"/>
      <c r="E130" s="628"/>
      <c r="F130" s="493"/>
    </row>
    <row r="131" spans="3:12" ht="20.100000000000001" customHeight="1" outlineLevel="1">
      <c r="C131" s="742"/>
      <c r="D131" s="623"/>
      <c r="E131" s="629"/>
      <c r="F131" s="630"/>
    </row>
    <row r="132" spans="3:12" ht="20.100000000000001" customHeight="1" outlineLevel="1">
      <c r="C132" s="744"/>
      <c r="D132" s="619"/>
      <c r="E132" s="617"/>
      <c r="F132" s="498"/>
    </row>
    <row r="133" spans="3:12" ht="20.100000000000001" customHeight="1" outlineLevel="1">
      <c r="C133" s="754"/>
      <c r="D133" s="619"/>
      <c r="E133" s="617"/>
      <c r="F133" s="482"/>
    </row>
    <row r="134" spans="3:12" ht="20.100000000000001" customHeight="1" outlineLevel="1">
      <c r="C134" s="745"/>
      <c r="D134" s="619"/>
      <c r="E134" s="631"/>
      <c r="F134" s="632"/>
    </row>
    <row r="135" spans="3:12" ht="20.100000000000001" customHeight="1" outlineLevel="1">
      <c r="C135" s="730"/>
      <c r="D135" s="623"/>
      <c r="E135" s="628"/>
      <c r="F135" s="499"/>
    </row>
    <row r="136" spans="3:12" ht="20.100000000000001" customHeight="1" outlineLevel="1">
      <c r="C136" s="755"/>
      <c r="D136" s="623"/>
      <c r="E136" s="628"/>
      <c r="F136" s="493"/>
    </row>
    <row r="137" spans="3:12" ht="20.100000000000001" customHeight="1" outlineLevel="1" thickBot="1">
      <c r="C137" s="731"/>
      <c r="D137" s="633"/>
      <c r="E137" s="634"/>
      <c r="F137" s="635"/>
    </row>
    <row r="138" spans="3:12" ht="20.100000000000001" customHeight="1">
      <c r="F138" s="641"/>
    </row>
    <row r="141" spans="3:12" ht="20.100000000000001" customHeight="1">
      <c r="F141" s="641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41"/>
    </row>
    <row r="168" spans="3:12" ht="20.100000000000001" customHeight="1">
      <c r="F168" s="641"/>
    </row>
    <row r="171" spans="3:12" ht="20.100000000000001" customHeight="1">
      <c r="F171" s="641"/>
    </row>
    <row r="174" spans="3:12" ht="20.100000000000001" customHeight="1">
      <c r="F174" s="641"/>
    </row>
    <row r="177" spans="6:6" ht="20.100000000000001" customHeight="1">
      <c r="F177" s="641"/>
    </row>
    <row r="180" spans="6:6" ht="20.100000000000001" customHeight="1">
      <c r="F180" s="641"/>
    </row>
    <row r="183" spans="6:6" ht="20.100000000000001" customHeight="1">
      <c r="F183" s="641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21" sqref="E2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59" t="s">
        <v>788</v>
      </c>
      <c r="E4" s="504">
        <v>120</v>
      </c>
      <c r="F4" s="504">
        <v>5.2190000000000003</v>
      </c>
      <c r="G4" s="762">
        <v>3.9083999999999999</v>
      </c>
      <c r="H4" s="759">
        <v>0.03</v>
      </c>
      <c r="I4" s="504">
        <v>464</v>
      </c>
      <c r="J4" s="765">
        <v>464</v>
      </c>
      <c r="K4" s="504">
        <v>329</v>
      </c>
      <c r="L4" s="765">
        <v>329</v>
      </c>
      <c r="M4" s="504">
        <v>6.8999999999999999E-3</v>
      </c>
      <c r="N4" s="762">
        <v>6.3E-3</v>
      </c>
      <c r="O4" s="756" t="s">
        <v>226</v>
      </c>
    </row>
    <row r="5" spans="1:15" ht="20.100000000000001" customHeight="1">
      <c r="C5" s="503" t="s">
        <v>786</v>
      </c>
      <c r="D5" s="760"/>
      <c r="E5" s="504">
        <v>120</v>
      </c>
      <c r="F5" s="504">
        <v>4.4210000000000003</v>
      </c>
      <c r="G5" s="763"/>
      <c r="H5" s="760"/>
      <c r="I5" s="504">
        <v>464</v>
      </c>
      <c r="J5" s="766"/>
      <c r="K5" s="504">
        <v>329</v>
      </c>
      <c r="L5" s="766"/>
      <c r="M5" s="504">
        <v>6.6E-3</v>
      </c>
      <c r="N5" s="763"/>
      <c r="O5" s="757"/>
    </row>
    <row r="6" spans="1:15" ht="20.100000000000001" customHeight="1">
      <c r="A6"/>
      <c r="B6"/>
      <c r="C6" s="503" t="s">
        <v>787</v>
      </c>
      <c r="D6" s="760"/>
      <c r="E6" s="504">
        <v>120</v>
      </c>
      <c r="F6" s="504">
        <v>3.6684999999999999</v>
      </c>
      <c r="G6" s="763"/>
      <c r="H6" s="760"/>
      <c r="I6" s="504">
        <v>464</v>
      </c>
      <c r="J6" s="766"/>
      <c r="K6" s="504">
        <v>329</v>
      </c>
      <c r="L6" s="766"/>
      <c r="M6" s="504">
        <v>6.4999999999999997E-3</v>
      </c>
      <c r="N6" s="763"/>
      <c r="O6" s="757"/>
    </row>
    <row r="7" spans="1:15" ht="20.100000000000001" customHeight="1">
      <c r="A7" s="452" t="s">
        <v>749</v>
      </c>
      <c r="B7"/>
      <c r="C7" s="503" t="s">
        <v>812</v>
      </c>
      <c r="D7" s="760"/>
      <c r="E7" s="504">
        <v>120</v>
      </c>
      <c r="F7" s="504">
        <v>3.6779999999999999</v>
      </c>
      <c r="G7" s="763"/>
      <c r="H7" s="760"/>
      <c r="I7" s="504">
        <v>464</v>
      </c>
      <c r="J7" s="766"/>
      <c r="K7" s="504">
        <v>329</v>
      </c>
      <c r="L7" s="766"/>
      <c r="M7" s="504">
        <v>6.7999999999999996E-3</v>
      </c>
      <c r="N7" s="763"/>
      <c r="O7" s="757"/>
    </row>
    <row r="8" spans="1:15" ht="20.100000000000001" customHeight="1">
      <c r="A8" s="452" t="s">
        <v>750</v>
      </c>
      <c r="B8"/>
      <c r="C8" s="503" t="s">
        <v>814</v>
      </c>
      <c r="D8" s="760"/>
      <c r="E8" s="504">
        <v>120</v>
      </c>
      <c r="F8" s="504">
        <v>3.7835000000000001</v>
      </c>
      <c r="G8" s="763"/>
      <c r="H8" s="760"/>
      <c r="I8" s="504">
        <v>464</v>
      </c>
      <c r="J8" s="766"/>
      <c r="K8" s="504">
        <v>329</v>
      </c>
      <c r="L8" s="766"/>
      <c r="M8" s="504">
        <v>5.7000000000000002E-3</v>
      </c>
      <c r="N8" s="763"/>
      <c r="O8" s="757"/>
    </row>
    <row r="9" spans="1:15" ht="20.100000000000001" customHeight="1">
      <c r="A9"/>
      <c r="B9"/>
      <c r="C9" s="503" t="s">
        <v>816</v>
      </c>
      <c r="D9" s="760"/>
      <c r="E9" s="504">
        <v>120</v>
      </c>
      <c r="F9" s="504">
        <v>3.7124999999999999</v>
      </c>
      <c r="G9" s="763"/>
      <c r="H9" s="760"/>
      <c r="I9" s="504">
        <v>464</v>
      </c>
      <c r="J9" s="766"/>
      <c r="K9" s="504">
        <v>329</v>
      </c>
      <c r="L9" s="766"/>
      <c r="M9" s="504">
        <v>6.1000000000000004E-3</v>
      </c>
      <c r="N9" s="763"/>
      <c r="O9" s="757"/>
    </row>
    <row r="10" spans="1:15" ht="20.100000000000001" customHeight="1">
      <c r="A10"/>
      <c r="B10"/>
      <c r="C10" s="503" t="s">
        <v>819</v>
      </c>
      <c r="D10" s="760"/>
      <c r="E10" s="504">
        <v>120</v>
      </c>
      <c r="F10" s="504">
        <v>3.6905000000000001</v>
      </c>
      <c r="G10" s="763"/>
      <c r="H10" s="760"/>
      <c r="I10" s="504">
        <v>464</v>
      </c>
      <c r="J10" s="766"/>
      <c r="K10" s="504">
        <v>329</v>
      </c>
      <c r="L10" s="766"/>
      <c r="M10" s="504">
        <v>5.5999999999999999E-3</v>
      </c>
      <c r="N10" s="763"/>
      <c r="O10" s="757"/>
    </row>
    <row r="11" spans="1:15" ht="20.100000000000001" customHeight="1">
      <c r="A11"/>
      <c r="B11"/>
      <c r="C11" s="503" t="s">
        <v>821</v>
      </c>
      <c r="D11" s="760"/>
      <c r="E11" s="504">
        <v>120</v>
      </c>
      <c r="F11" s="504">
        <v>3.9775</v>
      </c>
      <c r="G11" s="763"/>
      <c r="H11" s="760"/>
      <c r="I11" s="504">
        <v>464</v>
      </c>
      <c r="J11" s="766"/>
      <c r="K11" s="504">
        <v>329</v>
      </c>
      <c r="L11" s="766"/>
      <c r="M11" s="504">
        <v>5.4000000000000003E-3</v>
      </c>
      <c r="N11" s="763"/>
      <c r="O11" s="757"/>
    </row>
    <row r="12" spans="1:15" ht="20.100000000000001" customHeight="1">
      <c r="C12" s="503" t="s">
        <v>823</v>
      </c>
      <c r="D12" s="760"/>
      <c r="E12" s="504">
        <v>120</v>
      </c>
      <c r="F12" s="504">
        <v>3.5615000000000001</v>
      </c>
      <c r="G12" s="763"/>
      <c r="H12" s="760"/>
      <c r="I12" s="504">
        <v>464</v>
      </c>
      <c r="J12" s="766"/>
      <c r="K12" s="504">
        <v>329</v>
      </c>
      <c r="L12" s="766"/>
      <c r="M12" s="504">
        <v>6.4999999999999997E-3</v>
      </c>
      <c r="N12" s="763"/>
      <c r="O12" s="757"/>
    </row>
    <row r="13" spans="1:15" ht="20.100000000000001" customHeight="1">
      <c r="C13" s="503" t="s">
        <v>825</v>
      </c>
      <c r="D13" s="760"/>
      <c r="E13" s="504">
        <v>120</v>
      </c>
      <c r="F13" s="504">
        <v>3.706</v>
      </c>
      <c r="G13" s="763"/>
      <c r="H13" s="760"/>
      <c r="I13" s="504">
        <v>464</v>
      </c>
      <c r="J13" s="766"/>
      <c r="K13" s="504">
        <v>329</v>
      </c>
      <c r="L13" s="766"/>
      <c r="M13" s="504">
        <v>6.3E-3</v>
      </c>
      <c r="N13" s="763"/>
      <c r="O13" s="757"/>
    </row>
    <row r="14" spans="1:15" ht="20.100000000000001" customHeight="1">
      <c r="C14" s="503" t="s">
        <v>827</v>
      </c>
      <c r="D14" s="761"/>
      <c r="E14" s="504">
        <v>120</v>
      </c>
      <c r="F14" s="504">
        <v>3.5745</v>
      </c>
      <c r="G14" s="764"/>
      <c r="H14" s="761"/>
      <c r="I14" s="504">
        <v>464</v>
      </c>
      <c r="J14" s="767"/>
      <c r="K14" s="504">
        <v>329</v>
      </c>
      <c r="L14" s="767"/>
      <c r="M14" s="504">
        <v>6.6E-3</v>
      </c>
      <c r="N14" s="764"/>
      <c r="O14" s="758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14"/>
    <mergeCell ref="H4:H14"/>
    <mergeCell ref="D4:D14"/>
    <mergeCell ref="G4:G14"/>
    <mergeCell ref="J4:J14"/>
    <mergeCell ref="L4:L14"/>
    <mergeCell ref="N4:N1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3487130.5455</v>
      </c>
      <c r="E4" s="82">
        <v>1356.3</v>
      </c>
      <c r="F4" s="82">
        <v>1827.0490887657331</v>
      </c>
      <c r="G4" s="316">
        <v>0.72399999999999998</v>
      </c>
      <c r="H4" s="82">
        <v>1322.7835402663907</v>
      </c>
      <c r="I4" s="83">
        <v>200.2</v>
      </c>
      <c r="J4" s="82">
        <v>15</v>
      </c>
      <c r="K4" s="84">
        <v>1107.5835402663906</v>
      </c>
      <c r="L4" s="318"/>
      <c r="M4" s="81">
        <f>D4</f>
        <v>3487130.5455</v>
      </c>
      <c r="N4" s="82">
        <f>E4</f>
        <v>1356.3</v>
      </c>
      <c r="O4" s="82">
        <f>F4</f>
        <v>1827.0490887657331</v>
      </c>
      <c r="P4" s="82">
        <f>H4</f>
        <v>1322.7835402663907</v>
      </c>
      <c r="Q4" s="83">
        <f>I4</f>
        <v>200.2</v>
      </c>
      <c r="R4" s="82">
        <f>J4</f>
        <v>15</v>
      </c>
      <c r="S4" s="84">
        <f>K4</f>
        <v>1107.5835402663906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3487130.5455</v>
      </c>
      <c r="E8" s="82">
        <v>1356.3</v>
      </c>
      <c r="F8" s="82">
        <v>1827.0490887657331</v>
      </c>
      <c r="G8" s="316">
        <v>0.72399999999999998</v>
      </c>
      <c r="H8" s="82">
        <v>1322.7835402663907</v>
      </c>
      <c r="I8" s="83">
        <v>200.2</v>
      </c>
      <c r="J8" s="82">
        <v>1122.5835402663906</v>
      </c>
      <c r="K8" s="84">
        <v>15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500</v>
      </c>
      <c r="F12" s="478">
        <v>100</v>
      </c>
      <c r="G12" s="479">
        <v>11.35</v>
      </c>
      <c r="H12" s="479">
        <v>38.270000000000003</v>
      </c>
      <c r="I12" s="479">
        <v>26.92</v>
      </c>
      <c r="J12" s="480">
        <v>2.1659999999999999</v>
      </c>
      <c r="K12" s="498">
        <v>1.7789999999999999E-4</v>
      </c>
      <c r="L12" s="231"/>
      <c r="M12" s="456" t="s">
        <v>219</v>
      </c>
      <c r="N12" s="457">
        <v>500</v>
      </c>
      <c r="O12" s="457">
        <v>100</v>
      </c>
      <c r="P12" s="458">
        <v>11.35</v>
      </c>
      <c r="Q12" s="458">
        <v>38.270000000000003</v>
      </c>
      <c r="R12" s="495">
        <v>2.1659999999999999</v>
      </c>
      <c r="S12" s="460">
        <v>1.7789999999999999E-4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500</v>
      </c>
      <c r="F13" s="484">
        <v>100</v>
      </c>
      <c r="G13" s="485">
        <v>11.43</v>
      </c>
      <c r="H13" s="485">
        <v>35.32</v>
      </c>
      <c r="I13" s="485">
        <v>23.89</v>
      </c>
      <c r="J13" s="486">
        <v>2.3969999999999998</v>
      </c>
      <c r="K13" s="499">
        <v>1.7789999999999999E-4</v>
      </c>
      <c r="L13" s="496"/>
      <c r="M13" s="461" t="s">
        <v>786</v>
      </c>
      <c r="N13" s="462">
        <v>500</v>
      </c>
      <c r="O13" s="462">
        <v>100</v>
      </c>
      <c r="P13" s="463">
        <v>11.43</v>
      </c>
      <c r="Q13" s="463">
        <v>35.32</v>
      </c>
      <c r="R13" s="497">
        <v>2.3969999999999998</v>
      </c>
      <c r="S13" s="464">
        <v>1.7789999999999999E-4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500</v>
      </c>
      <c r="F14" s="478">
        <v>100</v>
      </c>
      <c r="G14" s="479">
        <v>10.94</v>
      </c>
      <c r="H14" s="479">
        <v>37.46</v>
      </c>
      <c r="I14" s="479">
        <v>26.520000000000003</v>
      </c>
      <c r="J14" s="480">
        <v>2.2244999999999999</v>
      </c>
      <c r="K14" s="498">
        <v>1.7780000000000001E-4</v>
      </c>
      <c r="L14" s="231"/>
      <c r="M14" s="456" t="s">
        <v>787</v>
      </c>
      <c r="N14" s="457">
        <v>500</v>
      </c>
      <c r="O14" s="457">
        <v>100</v>
      </c>
      <c r="P14" s="458">
        <v>10.94</v>
      </c>
      <c r="Q14" s="458">
        <v>37.46</v>
      </c>
      <c r="R14" s="495">
        <v>2.2244999999999999</v>
      </c>
      <c r="S14" s="460">
        <v>1.7780000000000001E-4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850</v>
      </c>
      <c r="F45" s="223" t="s">
        <v>789</v>
      </c>
      <c r="G45" s="224" t="s">
        <v>790</v>
      </c>
      <c r="H45" s="231"/>
      <c r="I45" s="222" t="s">
        <v>219</v>
      </c>
      <c r="J45" s="223">
        <v>105</v>
      </c>
      <c r="K45" s="224">
        <v>129</v>
      </c>
      <c r="L45" s="231"/>
      <c r="M45" s="222" t="s">
        <v>850</v>
      </c>
      <c r="N45" s="223" t="s">
        <v>851</v>
      </c>
      <c r="O45" s="224" t="s">
        <v>852</v>
      </c>
      <c r="P45" s="231"/>
      <c r="Q45" s="147">
        <f>MAX(K45:K74)</f>
        <v>129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853</v>
      </c>
      <c r="F46" s="220" t="s">
        <v>789</v>
      </c>
      <c r="G46" s="221" t="s">
        <v>790</v>
      </c>
      <c r="H46" s="231"/>
      <c r="I46" s="219" t="s">
        <v>786</v>
      </c>
      <c r="J46" s="220">
        <v>105</v>
      </c>
      <c r="K46" s="221">
        <v>129</v>
      </c>
      <c r="L46" s="231"/>
      <c r="M46" s="219" t="s">
        <v>853</v>
      </c>
      <c r="N46" s="220" t="s">
        <v>854</v>
      </c>
      <c r="O46" s="221" t="s">
        <v>855</v>
      </c>
      <c r="P46" s="231"/>
      <c r="Q46" s="86">
        <f>MIN(J45:J74)</f>
        <v>105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856</v>
      </c>
      <c r="F47" s="223" t="s">
        <v>789</v>
      </c>
      <c r="G47" s="224" t="s">
        <v>790</v>
      </c>
      <c r="H47" s="231"/>
      <c r="I47" s="222" t="s">
        <v>787</v>
      </c>
      <c r="J47" s="223">
        <v>105</v>
      </c>
      <c r="K47" s="224">
        <v>129</v>
      </c>
      <c r="L47" s="231"/>
      <c r="M47" s="222" t="s">
        <v>856</v>
      </c>
      <c r="N47" s="223" t="s">
        <v>857</v>
      </c>
      <c r="O47" s="224" t="s">
        <v>858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106.6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101.4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228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228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859</v>
      </c>
      <c r="E79" s="105" t="s">
        <v>859</v>
      </c>
      <c r="F79" s="105" t="s">
        <v>859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860</v>
      </c>
      <c r="E84" s="105" t="s">
        <v>860</v>
      </c>
      <c r="F84" s="105" t="s">
        <v>860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867</v>
      </c>
      <c r="E89" s="105" t="s">
        <v>867</v>
      </c>
      <c r="F89" s="105" t="s">
        <v>867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11.43</v>
      </c>
      <c r="F92" s="327">
        <v>10.94</v>
      </c>
      <c r="G92" s="328" t="s">
        <v>795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861</v>
      </c>
      <c r="E94" s="105" t="s">
        <v>862</v>
      </c>
      <c r="F94" s="105" t="s">
        <v>863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38.270000000000003</v>
      </c>
      <c r="F97" s="327">
        <v>35.32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864</v>
      </c>
      <c r="E99" s="105" t="s">
        <v>865</v>
      </c>
      <c r="F99" s="105" t="s">
        <v>866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868</v>
      </c>
      <c r="E104" s="105" t="s">
        <v>868</v>
      </c>
      <c r="F104" s="105" t="s">
        <v>868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791</v>
      </c>
      <c r="E109" s="105" t="s">
        <v>791</v>
      </c>
      <c r="F109" s="105" t="s">
        <v>791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793</v>
      </c>
      <c r="E114" s="105" t="s">
        <v>793</v>
      </c>
      <c r="F114" s="105" t="s">
        <v>793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792</v>
      </c>
      <c r="E119" s="105" t="s">
        <v>792</v>
      </c>
      <c r="F119" s="105" t="s">
        <v>792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P12" sqref="P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666"/>
      <c r="B1" s="667"/>
      <c r="C1" s="667"/>
      <c r="D1" s="668" t="s">
        <v>845</v>
      </c>
      <c r="E1" s="666"/>
      <c r="F1" s="668"/>
      <c r="G1" s="667"/>
      <c r="H1" s="667"/>
      <c r="I1" s="667"/>
      <c r="J1" s="669"/>
      <c r="K1" s="667"/>
      <c r="L1" s="667"/>
      <c r="M1" s="667"/>
      <c r="N1" s="667"/>
      <c r="O1" s="667"/>
      <c r="P1" s="670"/>
      <c r="Q1" s="667"/>
      <c r="R1" s="667"/>
    </row>
    <row r="2" spans="1:18" s="46" customFormat="1" ht="23.1" customHeight="1">
      <c r="A2" s="791" t="s">
        <v>0</v>
      </c>
      <c r="B2" s="792" t="s">
        <v>39</v>
      </c>
      <c r="C2" s="792" t="s">
        <v>6</v>
      </c>
      <c r="D2" s="792" t="s">
        <v>38</v>
      </c>
      <c r="E2" s="792" t="s">
        <v>194</v>
      </c>
      <c r="F2" s="792" t="s">
        <v>193</v>
      </c>
      <c r="G2" s="793" t="s">
        <v>1</v>
      </c>
      <c r="H2" s="793" t="s">
        <v>2</v>
      </c>
      <c r="I2" s="793" t="s">
        <v>162</v>
      </c>
      <c r="J2" s="794" t="s">
        <v>239</v>
      </c>
      <c r="K2" s="793" t="s">
        <v>238</v>
      </c>
      <c r="L2" s="793" t="s">
        <v>3</v>
      </c>
      <c r="M2" s="793" t="s">
        <v>4</v>
      </c>
      <c r="N2" s="793" t="s">
        <v>5</v>
      </c>
      <c r="O2" s="793" t="s">
        <v>237</v>
      </c>
      <c r="P2" s="795" t="s">
        <v>236</v>
      </c>
      <c r="Q2" s="792" t="s">
        <v>149</v>
      </c>
      <c r="R2" s="796" t="s">
        <v>87</v>
      </c>
    </row>
    <row r="3" spans="1:18" s="46" customFormat="1" ht="27" customHeight="1">
      <c r="A3" s="797"/>
      <c r="B3" s="798"/>
      <c r="C3" s="798"/>
      <c r="D3" s="798"/>
      <c r="E3" s="798"/>
      <c r="F3" s="798"/>
      <c r="G3" s="799"/>
      <c r="H3" s="799"/>
      <c r="I3" s="799"/>
      <c r="J3" s="800"/>
      <c r="K3" s="799"/>
      <c r="L3" s="799"/>
      <c r="M3" s="799"/>
      <c r="N3" s="799"/>
      <c r="O3" s="799"/>
      <c r="P3" s="801"/>
      <c r="Q3" s="798"/>
      <c r="R3" s="802"/>
    </row>
    <row r="4" spans="1:18" ht="23.1" customHeight="1">
      <c r="A4" s="803" t="s">
        <v>805</v>
      </c>
      <c r="B4" s="804" t="str">
        <f>Recharge!$B$32</f>
        <v>주식회사 한일지하수</v>
      </c>
      <c r="C4" s="805"/>
      <c r="D4" s="806" t="s">
        <v>846</v>
      </c>
      <c r="E4" s="806" t="str">
        <f>Recharge!$I$24</f>
        <v>한강/한강서울</v>
      </c>
      <c r="F4" s="806" t="str">
        <f>All!$B$2</f>
        <v>수원기상청</v>
      </c>
      <c r="G4" s="806">
        <v>150</v>
      </c>
      <c r="H4" s="806">
        <v>500</v>
      </c>
      <c r="I4" s="806">
        <v>5</v>
      </c>
      <c r="J4" s="806">
        <v>100</v>
      </c>
      <c r="K4" s="806">
        <v>240</v>
      </c>
      <c r="L4" s="806">
        <v>5</v>
      </c>
      <c r="M4" s="806">
        <v>70</v>
      </c>
      <c r="N4" s="807">
        <v>40</v>
      </c>
      <c r="O4" s="808">
        <f>ROUND(water!$F$7, 1)</f>
        <v>200.2</v>
      </c>
      <c r="P4" s="809">
        <v>3487130.5455</v>
      </c>
      <c r="Q4" s="806"/>
      <c r="R4" s="810"/>
    </row>
    <row r="5" spans="1:18" ht="23.1" customHeight="1">
      <c r="A5" s="803" t="s">
        <v>808</v>
      </c>
      <c r="B5" s="804" t="str">
        <f>Recharge!$B$32</f>
        <v>주식회사 한일지하수</v>
      </c>
      <c r="C5" s="805"/>
      <c r="D5" s="806" t="s">
        <v>846</v>
      </c>
      <c r="E5" s="806" t="str">
        <f>Recharge!$I$24</f>
        <v>한강/한강서울</v>
      </c>
      <c r="F5" s="806" t="str">
        <f>All!$B$2</f>
        <v>수원기상청</v>
      </c>
      <c r="G5" s="806">
        <v>150</v>
      </c>
      <c r="H5" s="806">
        <v>500</v>
      </c>
      <c r="I5" s="806">
        <v>5</v>
      </c>
      <c r="J5" s="806">
        <v>100</v>
      </c>
      <c r="K5" s="806">
        <v>240</v>
      </c>
      <c r="L5" s="806">
        <v>5</v>
      </c>
      <c r="M5" s="806">
        <v>70</v>
      </c>
      <c r="N5" s="807">
        <v>40</v>
      </c>
      <c r="O5" s="808">
        <f>ROUND(water!$F$7, 1)</f>
        <v>200.2</v>
      </c>
      <c r="P5" s="809">
        <v>3487130.5455</v>
      </c>
      <c r="Q5" s="806"/>
      <c r="R5" s="810"/>
    </row>
    <row r="6" spans="1:18" ht="23.1" customHeight="1" thickBot="1">
      <c r="A6" s="811" t="s">
        <v>809</v>
      </c>
      <c r="B6" s="812" t="str">
        <f>Recharge!$B$32</f>
        <v>주식회사 한일지하수</v>
      </c>
      <c r="C6" s="813"/>
      <c r="D6" s="814" t="s">
        <v>847</v>
      </c>
      <c r="E6" s="814" t="str">
        <f>Recharge!$I$24</f>
        <v>한강/한강서울</v>
      </c>
      <c r="F6" s="814" t="str">
        <f>All!$B$2</f>
        <v>수원기상청</v>
      </c>
      <c r="G6" s="814">
        <v>150</v>
      </c>
      <c r="H6" s="814">
        <v>500</v>
      </c>
      <c r="I6" s="814">
        <v>5</v>
      </c>
      <c r="J6" s="814">
        <v>100</v>
      </c>
      <c r="K6" s="814">
        <v>240</v>
      </c>
      <c r="L6" s="814">
        <v>5</v>
      </c>
      <c r="M6" s="814">
        <v>70</v>
      </c>
      <c r="N6" s="815">
        <v>40</v>
      </c>
      <c r="O6" s="816">
        <f>ROUND(water!$F$7, 1)</f>
        <v>200.2</v>
      </c>
      <c r="P6" s="817">
        <v>3487130.5455</v>
      </c>
      <c r="Q6" s="814"/>
      <c r="R6" s="818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15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7" sqref="F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경기도 안양시 동안구 호계동 1001-28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584" t="s">
        <v>48</v>
      </c>
      <c r="C3" s="780">
        <f>Well!C4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81">
        <f>Well!R4</f>
        <v>0</v>
      </c>
      <c r="D4" s="593" t="s">
        <v>51</v>
      </c>
      <c r="E4" s="594">
        <v>0</v>
      </c>
      <c r="F4" s="594"/>
      <c r="G4" s="595">
        <v>6.8330000000000002E-2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81">
        <f>Well!Q4</f>
        <v>0</v>
      </c>
      <c r="D5" s="593" t="s">
        <v>53</v>
      </c>
      <c r="E5" s="596">
        <v>2.8660000000000001</v>
      </c>
      <c r="F5" s="597">
        <f>$E$5/$C$14</f>
        <v>6.1767241379310344E-3</v>
      </c>
      <c r="G5" s="598">
        <v>1.7789999999999999E-4</v>
      </c>
      <c r="H5" s="447">
        <v>-2.9757780310988386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82" t="str">
        <f>Well!D4</f>
        <v>경기도 안양시 동안구 호계동 1001-28</v>
      </c>
      <c r="D6" s="593" t="s">
        <v>56</v>
      </c>
      <c r="E6" s="597">
        <v>1.466</v>
      </c>
      <c r="F6" s="597">
        <f>$E$6/$C$14</f>
        <v>3.1594827586206896E-3</v>
      </c>
      <c r="G6" s="599">
        <v>82.54</v>
      </c>
      <c r="H6" s="448">
        <v>1.47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83">
        <f>Well!H4</f>
        <v>500</v>
      </c>
      <c r="D7" s="600" t="s">
        <v>58</v>
      </c>
      <c r="E7" s="601">
        <f>ROUND((E5+E6)/2,4)</f>
        <v>2.1659999999999999</v>
      </c>
      <c r="F7" s="602">
        <f>$E$7/$C$14</f>
        <v>4.6681034482758616E-3</v>
      </c>
      <c r="G7" s="603">
        <f>G5</f>
        <v>1.7789999999999999E-4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84">
        <f>Well!G4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85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101.4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39.799999999999997</v>
      </c>
      <c r="F10" s="454">
        <v>48.8</v>
      </c>
      <c r="G10" s="455">
        <v>101.4</v>
      </c>
      <c r="H10" s="153">
        <f>MIN(E10,F10,G10)</f>
        <v>39.799999999999997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63.3</v>
      </c>
      <c r="F11" s="121">
        <f>ROUND((E10+F10)/2,1)</f>
        <v>44.3</v>
      </c>
      <c r="H11" s="152">
        <f>ROUND(AVERAGE(E10:G10),1)</f>
        <v>63.3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86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86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87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84">
        <f>Well!I4</f>
        <v>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88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6.65</v>
      </c>
      <c r="L16" s="131"/>
    </row>
    <row r="17" spans="2:12" ht="20.100000000000001" customHeight="1" thickBot="1">
      <c r="B17" s="585" t="s">
        <v>69</v>
      </c>
      <c r="C17" s="789">
        <f>Well!L4</f>
        <v>5</v>
      </c>
      <c r="E17" s="116">
        <f>Well!P4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4.6500000000000004</v>
      </c>
      <c r="L17" s="131"/>
    </row>
    <row r="18" spans="2:12" ht="20.100000000000001" customHeight="1" thickBot="1">
      <c r="B18" s="585" t="s">
        <v>70</v>
      </c>
      <c r="C18" s="789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5.6024096385542173E-3</v>
      </c>
      <c r="L18" s="133">
        <f>K18*100</f>
        <v>0.56024096385542177</v>
      </c>
    </row>
    <row r="19" spans="2:12" ht="20.100000000000001" customHeight="1" thickBot="1">
      <c r="B19" s="585" t="s">
        <v>72</v>
      </c>
      <c r="C19" s="789">
        <f>Well!N4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38.270000000000003</v>
      </c>
      <c r="D21" s="5"/>
      <c r="E21" s="117">
        <f>Well!$I$8</f>
        <v>15</v>
      </c>
      <c r="F21" s="118">
        <f>Well!O4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90">
        <f>C21-C20</f>
        <v>26.92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768" t="s">
        <v>49</v>
      </c>
      <c r="C26" s="651" t="s">
        <v>94</v>
      </c>
      <c r="D26" s="662">
        <f>C20</f>
        <v>11.35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0.56024096385542177</v>
      </c>
      <c r="I26" s="651" t="s">
        <v>173</v>
      </c>
      <c r="J26" s="665">
        <f>((E7/C14)/86400)</f>
        <v>5.4028975095785433E-8</v>
      </c>
      <c r="K26" s="653" t="s">
        <v>628</v>
      </c>
    </row>
    <row r="27" spans="2:12" ht="25.5" customHeight="1">
      <c r="B27" s="768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768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768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768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769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6D138-A2F3-431F-BB34-FFD681625B5F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경기도 안양시 동안구 호계동 1001-28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806</v>
      </c>
      <c r="J2"/>
      <c r="K2"/>
      <c r="L2"/>
      <c r="M2"/>
    </row>
    <row r="3" spans="1:13" ht="20.100000000000001" customHeight="1">
      <c r="B3" s="584" t="s">
        <v>6</v>
      </c>
      <c r="C3" s="780">
        <f>Well!C5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81">
        <f>Well!R5</f>
        <v>0</v>
      </c>
      <c r="D4" s="593" t="s">
        <v>51</v>
      </c>
      <c r="E4" s="594">
        <v>0</v>
      </c>
      <c r="F4" s="594"/>
      <c r="G4" s="595">
        <v>6.3600000000000004E-2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81">
        <f>Well!Q5</f>
        <v>0</v>
      </c>
      <c r="D5" s="593" t="s">
        <v>53</v>
      </c>
      <c r="E5" s="596">
        <v>3.3010000000000002</v>
      </c>
      <c r="F5" s="597">
        <f>$E$5/$C$14</f>
        <v>7.1142241379310352E-3</v>
      </c>
      <c r="G5" s="598">
        <v>1.7789999999999999E-4</v>
      </c>
      <c r="H5" s="447">
        <v>-2.939618007068078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82" t="str">
        <f>Well!D5</f>
        <v>경기도 안양시 동안구 호계동 1001-28</v>
      </c>
      <c r="D6" s="593" t="s">
        <v>56</v>
      </c>
      <c r="E6" s="597">
        <v>1.4930000000000001</v>
      </c>
      <c r="F6" s="597">
        <f>$E$6/$C$14</f>
        <v>3.2176724137931035E-3</v>
      </c>
      <c r="G6" s="599">
        <v>119.8</v>
      </c>
      <c r="H6" s="448">
        <v>1.4179999999999999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83">
        <f>Well!H5</f>
        <v>500</v>
      </c>
      <c r="D7" s="600" t="s">
        <v>58</v>
      </c>
      <c r="E7" s="601">
        <f>ROUND((E5+E6)/2,4)</f>
        <v>2.3969999999999998</v>
      </c>
      <c r="F7" s="602">
        <f>$E$7/$C$14</f>
        <v>5.1659482758620685E-3</v>
      </c>
      <c r="G7" s="603">
        <f>G5</f>
        <v>1.7789999999999999E-4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84">
        <f>Well!G5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85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106.6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39.5</v>
      </c>
      <c r="F10" s="454">
        <v>48.4</v>
      </c>
      <c r="G10" s="455">
        <v>106.6</v>
      </c>
      <c r="H10" s="153">
        <f>MIN(E10,F10,G10)</f>
        <v>39.5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64.8</v>
      </c>
      <c r="F11" s="121">
        <f>ROUND((E10+F10)/2,1)</f>
        <v>44</v>
      </c>
      <c r="H11" s="152">
        <f>ROUND(AVERAGE(E10:G10),1)</f>
        <v>64.8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86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86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87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84">
        <f>Well!I5</f>
        <v>5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88">
        <f>Well!J5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6.57</v>
      </c>
      <c r="L16" s="131"/>
    </row>
    <row r="17" spans="2:12" ht="20.100000000000001" customHeight="1" thickBot="1">
      <c r="B17" s="585" t="s">
        <v>69</v>
      </c>
      <c r="C17" s="789">
        <f>Well!L5</f>
        <v>5</v>
      </c>
      <c r="E17" s="116">
        <f>Well!P5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4.57</v>
      </c>
      <c r="L17" s="131"/>
    </row>
    <row r="18" spans="2:12" ht="20.100000000000001" customHeight="1" thickBot="1">
      <c r="B18" s="585" t="s">
        <v>70</v>
      </c>
      <c r="C18" s="789">
        <f>Well!M5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5.5060240963855428E-3</v>
      </c>
      <c r="L18" s="133">
        <f>K18*100</f>
        <v>0.55060240963855422</v>
      </c>
    </row>
    <row r="19" spans="2:12" ht="20.100000000000001" customHeight="1" thickBot="1">
      <c r="B19" s="585" t="s">
        <v>72</v>
      </c>
      <c r="C19" s="789">
        <f>Well!N5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11.43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35.32</v>
      </c>
      <c r="D21" s="5"/>
      <c r="E21" s="117">
        <f>Well!$I$8</f>
        <v>15</v>
      </c>
      <c r="F21" s="118">
        <f>Well!O5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90">
        <f>C21-C20</f>
        <v>23.89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768" t="s">
        <v>810</v>
      </c>
      <c r="C26" s="651" t="s">
        <v>94</v>
      </c>
      <c r="D26" s="662">
        <f>C20</f>
        <v>11.43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0.55060240963855422</v>
      </c>
      <c r="I26" s="651" t="s">
        <v>173</v>
      </c>
      <c r="J26" s="665">
        <f>((E7/C14)/86400)</f>
        <v>5.9791068007662833E-8</v>
      </c>
      <c r="K26" s="653" t="s">
        <v>628</v>
      </c>
    </row>
    <row r="27" spans="2:12" ht="25.5" customHeight="1">
      <c r="B27" s="768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768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768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768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769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1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A3AB46-A9DF-4713-914E-A70B4354E0DB}">
          <x14:formula1>
            <xm:f>drastic!$G$4:$G$14</xm:f>
          </x14:formula1>
          <xm:sqref>I26</xm:sqref>
        </x14:dataValidation>
        <x14:dataValidation type="list" allowBlank="1" showInputMessage="1" showErrorMessage="1" xr:uid="{07B373F4-909B-4E4F-A568-E647F9D3558F}">
          <x14:formula1>
            <xm:f>drastic!$D$4:$D$14</xm:f>
          </x14:formula1>
          <xm:sqref>G26</xm:sqref>
        </x14:dataValidation>
        <x14:dataValidation type="list" allowBlank="1" showInputMessage="1" showErrorMessage="1" xr:uid="{C1249EE1-8E92-4CD6-A083-D1A3D49140BE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D3538-799E-426A-9939-CDF33BF0114B}">
  <sheetPr codeName="Sheet_W3">
    <tabColor rgb="FFC00000"/>
  </sheetPr>
  <dimension ref="A1:M41"/>
  <sheetViews>
    <sheetView topLeftCell="A2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경기도 안양시 동안구 호계동 1001-38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807</v>
      </c>
      <c r="J2"/>
      <c r="K2"/>
      <c r="L2"/>
      <c r="M2"/>
    </row>
    <row r="3" spans="1:13" ht="20.100000000000001" customHeight="1">
      <c r="B3" s="584" t="s">
        <v>6</v>
      </c>
      <c r="C3" s="780">
        <f>Well!C6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81">
        <f>Well!R6</f>
        <v>0</v>
      </c>
      <c r="D4" s="593" t="s">
        <v>51</v>
      </c>
      <c r="E4" s="594">
        <v>0</v>
      </c>
      <c r="F4" s="594"/>
      <c r="G4" s="595">
        <v>6.7760000000000001E-2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81">
        <f>Well!Q6</f>
        <v>0</v>
      </c>
      <c r="D5" s="593" t="s">
        <v>53</v>
      </c>
      <c r="E5" s="596">
        <v>2.9169999999999998</v>
      </c>
      <c r="F5" s="597">
        <f>$E$5/$C$14</f>
        <v>6.2866379310344825E-3</v>
      </c>
      <c r="G5" s="598">
        <v>1.7780000000000001E-4</v>
      </c>
      <c r="H5" s="447">
        <v>-2.9715861212020274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82" t="str">
        <f>Well!D6</f>
        <v>경기도 안양시 동안구 호계동 1001-38</v>
      </c>
      <c r="D6" s="593" t="s">
        <v>56</v>
      </c>
      <c r="E6" s="597">
        <v>1.532</v>
      </c>
      <c r="F6" s="597">
        <f>$E$6/$C$14</f>
        <v>3.3017241379310345E-3</v>
      </c>
      <c r="G6" s="599">
        <v>78.069999999999993</v>
      </c>
      <c r="H6" s="448">
        <v>1.464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83">
        <f>Well!H6</f>
        <v>500</v>
      </c>
      <c r="D7" s="600" t="s">
        <v>58</v>
      </c>
      <c r="E7" s="601">
        <f>ROUND((E5+E6)/2,4)</f>
        <v>2.2244999999999999</v>
      </c>
      <c r="F7" s="602">
        <f>$E$7/$C$14</f>
        <v>4.7941810344827585E-3</v>
      </c>
      <c r="G7" s="603">
        <f>G5</f>
        <v>1.7780000000000001E-4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84">
        <f>Well!G6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85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102.7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40.1</v>
      </c>
      <c r="F10" s="454">
        <v>49.1</v>
      </c>
      <c r="G10" s="455">
        <v>102.7</v>
      </c>
      <c r="H10" s="153">
        <f>MIN(E10,F10,G10)</f>
        <v>40.1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64</v>
      </c>
      <c r="F11" s="121">
        <f>ROUND((E10+F10)/2,1)</f>
        <v>44.6</v>
      </c>
      <c r="H11" s="152">
        <f>ROUND(AVERAGE(E10:G10),1)</f>
        <v>64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86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86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87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84">
        <f>Well!I6</f>
        <v>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88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7.0600000000000005</v>
      </c>
      <c r="L16" s="131"/>
    </row>
    <row r="17" spans="2:12" ht="20.100000000000001" customHeight="1" thickBot="1">
      <c r="B17" s="585" t="s">
        <v>69</v>
      </c>
      <c r="C17" s="789">
        <f>Well!L6</f>
        <v>5</v>
      </c>
      <c r="E17" s="116">
        <f>Well!P6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5.0600000000000005</v>
      </c>
      <c r="L17" s="131"/>
    </row>
    <row r="18" spans="2:12" ht="20.100000000000001" customHeight="1" thickBot="1">
      <c r="B18" s="585" t="s">
        <v>70</v>
      </c>
      <c r="C18" s="789">
        <f>Well!M6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6.0963855421686756E-3</v>
      </c>
      <c r="L18" s="133">
        <f>K18*100</f>
        <v>0.60963855421686752</v>
      </c>
    </row>
    <row r="19" spans="2:12" ht="20.100000000000001" customHeight="1" thickBot="1">
      <c r="B19" s="585" t="s">
        <v>72</v>
      </c>
      <c r="C19" s="789">
        <f>Well!N6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10.94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37.46</v>
      </c>
      <c r="D21" s="5"/>
      <c r="E21" s="117">
        <f>Well!$I$8</f>
        <v>15</v>
      </c>
      <c r="F21" s="118">
        <f>Well!O6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90">
        <f>C21-C20</f>
        <v>26.520000000000003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768" t="s">
        <v>811</v>
      </c>
      <c r="C26" s="651" t="s">
        <v>94</v>
      </c>
      <c r="D26" s="662">
        <f>C20</f>
        <v>10.94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0.60963855421686752</v>
      </c>
      <c r="I26" s="651" t="s">
        <v>173</v>
      </c>
      <c r="J26" s="665">
        <f>((E7/C14)/86400)</f>
        <v>5.5488206417624519E-8</v>
      </c>
      <c r="K26" s="653" t="s">
        <v>628</v>
      </c>
    </row>
    <row r="27" spans="2:12" ht="25.5" customHeight="1">
      <c r="B27" s="768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768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768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768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769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0E6CAF5-C5F0-445D-A252-A39DB6DCA73D}">
          <x14:formula1>
            <xm:f>drastic!$A$4:$A$13</xm:f>
          </x14:formula1>
          <xm:sqref>F26</xm:sqref>
        </x14:dataValidation>
        <x14:dataValidation type="list" allowBlank="1" showInputMessage="1" showErrorMessage="1" xr:uid="{D6713732-FBD8-468E-929D-11E292D1C289}">
          <x14:formula1>
            <xm:f>drastic!$D$4:$D$14</xm:f>
          </x14:formula1>
          <xm:sqref>G26</xm:sqref>
        </x14:dataValidation>
        <x14:dataValidation type="list" allowBlank="1" showInputMessage="1" showErrorMessage="1" xr:uid="{D0BDF9E1-387C-41D2-B61F-AF00EBD16D47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72" t="s">
        <v>80</v>
      </c>
      <c r="C12" s="773"/>
      <c r="D12" s="773" t="s">
        <v>81</v>
      </c>
      <c r="E12" s="773"/>
      <c r="F12" s="774"/>
      <c r="H12" s="772" t="s">
        <v>81</v>
      </c>
      <c r="I12" s="773"/>
      <c r="J12" s="77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75" t="s">
        <v>36</v>
      </c>
      <c r="C24" s="77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75" t="s">
        <v>37</v>
      </c>
      <c r="C25" s="77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70" t="s">
        <v>86</v>
      </c>
      <c r="C26" s="77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72" t="s">
        <v>80</v>
      </c>
      <c r="C12" s="773"/>
      <c r="D12" s="773" t="s">
        <v>81</v>
      </c>
      <c r="E12" s="773"/>
      <c r="F12" s="773"/>
      <c r="G12" s="773" t="s">
        <v>147</v>
      </c>
      <c r="H12" s="773"/>
      <c r="I12" s="774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775" t="s">
        <v>36</v>
      </c>
      <c r="C24" s="776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775" t="s">
        <v>37</v>
      </c>
      <c r="C25" s="776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770" t="s">
        <v>86</v>
      </c>
      <c r="C26" s="771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77" t="s">
        <v>81</v>
      </c>
      <c r="E29" s="778"/>
      <c r="F29" s="779"/>
      <c r="H29" s="777" t="s">
        <v>147</v>
      </c>
      <c r="I29" s="778"/>
      <c r="J29" s="779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72" t="s">
        <v>80</v>
      </c>
      <c r="C12" s="773"/>
      <c r="D12" s="773" t="s">
        <v>81</v>
      </c>
      <c r="E12" s="773"/>
      <c r="F12" s="773"/>
      <c r="G12" s="773" t="s">
        <v>147</v>
      </c>
      <c r="H12" s="773"/>
      <c r="I12" s="773"/>
      <c r="J12" s="773" t="s">
        <v>148</v>
      </c>
      <c r="K12" s="773"/>
      <c r="L12" s="774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775" t="s">
        <v>36</v>
      </c>
      <c r="C24" s="776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775" t="s">
        <v>37</v>
      </c>
      <c r="C25" s="776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770" t="s">
        <v>86</v>
      </c>
      <c r="C26" s="771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77" t="s">
        <v>81</v>
      </c>
      <c r="E29" s="778"/>
      <c r="F29" s="779"/>
      <c r="H29" s="777" t="s">
        <v>147</v>
      </c>
      <c r="I29" s="778"/>
      <c r="J29" s="779"/>
      <c r="L29" s="777" t="s">
        <v>148</v>
      </c>
      <c r="M29" s="778"/>
      <c r="N29" s="779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2025-03-24T21:10:42Z</dcterms:modified>
</cp:coreProperties>
</file>