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A157395-B380-4772-8A2E-D20EE9EC8203}" xr6:coauthVersionLast="47" xr6:coauthVersionMax="47" xr10:uidLastSave="{00000000-0000-0000-0000-000000000000}"/>
  <bookViews>
    <workbookView xWindow="3828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<sst xmlns="http://schemas.openxmlformats.org/spreadsheetml/2006/main" count="1600" uniqueCount="899">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</sst>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8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3" Type="http://schemas.openxmlformats.org/officeDocument/2006/relationships/image" Target="../media/image54.emf"/><Relationship Id="rId7" Type="http://schemas.openxmlformats.org/officeDocument/2006/relationships/image" Target="../media/image51.emf"/><Relationship Id="rId12" Type="http://schemas.openxmlformats.org/officeDocument/2006/relationships/image" Target="../media/image50.emf"/><Relationship Id="rId2" Type="http://schemas.openxmlformats.org/officeDocument/2006/relationships/image" Target="../media/image55.emf"/><Relationship Id="rId16" Type="http://schemas.openxmlformats.org/officeDocument/2006/relationships/image" Target="../media/image63.emf"/><Relationship Id="rId1" Type="http://schemas.openxmlformats.org/officeDocument/2006/relationships/image" Target="../media/image56.emf"/><Relationship Id="rId6" Type="http://schemas.openxmlformats.org/officeDocument/2006/relationships/image" Target="../media/image57.emf"/><Relationship Id="rId11" Type="http://schemas.openxmlformats.org/officeDocument/2006/relationships/image" Target="../media/image61.emf"/><Relationship Id="rId5" Type="http://schemas.openxmlformats.org/officeDocument/2006/relationships/image" Target="../media/image52.emf"/><Relationship Id="rId15" Type="http://schemas.openxmlformats.org/officeDocument/2006/relationships/image" Target="../media/image48.emf"/><Relationship Id="rId10" Type="http://schemas.openxmlformats.org/officeDocument/2006/relationships/image" Target="../media/image60.emf"/><Relationship Id="rId4" Type="http://schemas.openxmlformats.org/officeDocument/2006/relationships/image" Target="../media/image53.emf"/><Relationship Id="rId9" Type="http://schemas.openxmlformats.org/officeDocument/2006/relationships/image" Target="../media/image59.emf"/><Relationship Id="rId14" Type="http://schemas.openxmlformats.org/officeDocument/2006/relationships/image" Target="../media/image4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34" Type="http://schemas.openxmlformats.org/officeDocument/2006/relationships/control" Target="../activeX/activeX58.x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9.emf"/><Relationship Id="rId30" Type="http://schemas.openxmlformats.org/officeDocument/2006/relationships/control" Target="../activeX/activeX56.xml"/><Relationship Id="rId35" Type="http://schemas.openxmlformats.org/officeDocument/2006/relationships/image" Target="../media/image63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5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6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6.emf"/><Relationship Id="rId5" Type="http://schemas.openxmlformats.org/officeDocument/2006/relationships/image" Target="../media/image68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1.emf"/><Relationship Id="rId5" Type="http://schemas.openxmlformats.org/officeDocument/2006/relationships/image" Target="../media/image7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7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2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2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2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761" t="s">
        <v>897</v>
      </c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R26" sqref="R26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819" t="s">
        <v>187</v>
      </c>
      <c r="J24" s="820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821" t="s">
        <v>184</v>
      </c>
      <c r="J25" s="822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823" t="s">
        <v>235</v>
      </c>
      <c r="J26" s="824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825" t="s">
        <v>830</v>
      </c>
      <c r="B39" s="826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62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63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64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214" spans="15:15" s="513" customFormat="1" ht="17.25">
      <c r="O2214" s="512"/>
    </row>
    <row r="2500" spans="2430:2430">
      <c r="COL2500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K16" sqref="K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831" t="s">
        <v>219</v>
      </c>
      <c r="G43" s="827">
        <v>125</v>
      </c>
      <c r="H43" s="320">
        <v>41.03</v>
      </c>
      <c r="I43" s="829">
        <v>206.66780091709089</v>
      </c>
    </row>
    <row r="44" spans="6:25" ht="15.95" customHeight="1">
      <c r="F44" s="832"/>
      <c r="G44" s="828"/>
      <c r="H44" s="235">
        <v>19.3</v>
      </c>
      <c r="I44" s="830"/>
      <c r="K44" s="277"/>
    </row>
    <row r="45" spans="6:25" ht="15.95" customHeight="1">
      <c r="F45" s="833" t="s">
        <v>826</v>
      </c>
      <c r="G45" s="834">
        <v>125</v>
      </c>
      <c r="H45" s="196">
        <v>41.46</v>
      </c>
      <c r="I45" s="835">
        <v>206.68381565981989</v>
      </c>
      <c r="K45" s="277"/>
    </row>
    <row r="46" spans="6:25" ht="15.95" customHeight="1">
      <c r="F46" s="833"/>
      <c r="G46" s="834"/>
      <c r="H46" s="196">
        <v>19.5</v>
      </c>
      <c r="I46" s="835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832" t="s">
        <v>827</v>
      </c>
      <c r="G47" s="828">
        <v>62</v>
      </c>
      <c r="H47" s="235">
        <v>39.53</v>
      </c>
      <c r="I47" s="830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832"/>
      <c r="G48" s="828"/>
      <c r="H48" s="235">
        <v>18.59</v>
      </c>
      <c r="I48" s="830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833"/>
      <c r="G49" s="834"/>
      <c r="H49" s="196"/>
      <c r="I49" s="835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833"/>
      <c r="G50" s="834"/>
      <c r="H50" s="196"/>
      <c r="I50" s="835"/>
      <c r="K50" s="277"/>
    </row>
    <row r="51" spans="6:25" ht="15.95" customHeight="1">
      <c r="F51" s="832"/>
      <c r="G51" s="828"/>
      <c r="H51" s="235"/>
      <c r="I51" s="830"/>
      <c r="K51" s="277"/>
    </row>
    <row r="52" spans="6:25" ht="15.95" customHeight="1">
      <c r="F52" s="832"/>
      <c r="G52" s="828"/>
      <c r="H52" s="235"/>
      <c r="I52" s="830"/>
      <c r="K52" s="277"/>
    </row>
    <row r="53" spans="6:25" ht="15.95" customHeight="1">
      <c r="F53" s="833"/>
      <c r="G53" s="834"/>
      <c r="H53" s="196"/>
      <c r="I53" s="835"/>
      <c r="K53" s="277"/>
    </row>
    <row r="54" spans="6:25" ht="15.95" customHeight="1">
      <c r="F54" s="833"/>
      <c r="G54" s="834"/>
      <c r="H54" s="196"/>
      <c r="I54" s="835"/>
      <c r="K54" s="277"/>
    </row>
    <row r="55" spans="6:25" ht="15.95" customHeight="1">
      <c r="F55" s="832"/>
      <c r="G55" s="828"/>
      <c r="H55" s="235"/>
      <c r="I55" s="830"/>
      <c r="K55" s="277"/>
    </row>
    <row r="56" spans="6:25" ht="15.95" customHeight="1">
      <c r="F56" s="832"/>
      <c r="G56" s="828"/>
      <c r="H56" s="235"/>
      <c r="I56" s="830"/>
      <c r="K56" s="277"/>
    </row>
    <row r="57" spans="6:25" ht="15.95" hidden="1" customHeight="1" outlineLevel="1">
      <c r="F57" s="833"/>
      <c r="G57" s="834"/>
      <c r="H57" s="196"/>
      <c r="I57" s="835"/>
      <c r="K57" s="277"/>
    </row>
    <row r="58" spans="6:25" ht="15.95" hidden="1" customHeight="1" outlineLevel="1">
      <c r="F58" s="833"/>
      <c r="G58" s="834"/>
      <c r="H58" s="196"/>
      <c r="I58" s="835"/>
      <c r="K58" s="277"/>
    </row>
    <row r="59" spans="6:25" ht="15.95" hidden="1" customHeight="1" outlineLevel="1">
      <c r="F59" s="832"/>
      <c r="G59" s="828"/>
      <c r="H59" s="235"/>
      <c r="I59" s="830"/>
      <c r="K59" s="277"/>
    </row>
    <row r="60" spans="6:25" ht="15.95" hidden="1" customHeight="1" outlineLevel="1">
      <c r="F60" s="832"/>
      <c r="G60" s="828"/>
      <c r="H60" s="235"/>
      <c r="I60" s="830"/>
      <c r="K60" s="277"/>
    </row>
    <row r="61" spans="6:25" ht="15.95" hidden="1" customHeight="1" outlineLevel="1">
      <c r="F61" s="833"/>
      <c r="G61" s="834"/>
      <c r="H61" s="196"/>
      <c r="I61" s="835"/>
      <c r="K61" s="277"/>
    </row>
    <row r="62" spans="6:25" ht="15.95" hidden="1" customHeight="1" outlineLevel="1">
      <c r="F62" s="833"/>
      <c r="G62" s="834"/>
      <c r="H62" s="196"/>
      <c r="I62" s="835"/>
      <c r="K62" s="277"/>
    </row>
    <row r="63" spans="6:25" ht="15.95" hidden="1" customHeight="1" outlineLevel="1">
      <c r="F63" s="832"/>
      <c r="G63" s="828"/>
      <c r="H63" s="235"/>
      <c r="I63" s="830"/>
      <c r="K63" s="277"/>
    </row>
    <row r="64" spans="6:25" ht="15.95" hidden="1" customHeight="1" outlineLevel="1">
      <c r="F64" s="832"/>
      <c r="G64" s="828"/>
      <c r="H64" s="235"/>
      <c r="I64" s="830"/>
      <c r="K64" s="277"/>
    </row>
    <row r="65" spans="6:11" ht="15.95" hidden="1" customHeight="1" outlineLevel="1">
      <c r="F65" s="833"/>
      <c r="G65" s="834"/>
      <c r="H65" s="196"/>
      <c r="I65" s="835"/>
      <c r="K65" s="277"/>
    </row>
    <row r="66" spans="6:11" ht="15.95" hidden="1" customHeight="1" outlineLevel="1">
      <c r="F66" s="833"/>
      <c r="G66" s="834"/>
      <c r="H66" s="196"/>
      <c r="I66" s="835"/>
      <c r="K66" s="277"/>
    </row>
    <row r="67" spans="6:11" ht="15.95" hidden="1" customHeight="1" outlineLevel="1">
      <c r="F67" s="832"/>
      <c r="G67" s="828"/>
      <c r="H67" s="235"/>
      <c r="I67" s="830"/>
      <c r="K67" s="277"/>
    </row>
    <row r="68" spans="6:11" ht="15.95" hidden="1" customHeight="1" outlineLevel="1">
      <c r="F68" s="832"/>
      <c r="G68" s="828"/>
      <c r="H68" s="235"/>
      <c r="I68" s="830"/>
      <c r="K68" s="277"/>
    </row>
    <row r="69" spans="6:11" ht="15.95" hidden="1" customHeight="1" outlineLevel="1">
      <c r="F69" s="833"/>
      <c r="G69" s="834"/>
      <c r="H69" s="196"/>
      <c r="I69" s="835"/>
      <c r="K69" s="277"/>
    </row>
    <row r="70" spans="6:11" ht="15.95" hidden="1" customHeight="1" outlineLevel="1">
      <c r="F70" s="833"/>
      <c r="G70" s="834"/>
      <c r="H70" s="196"/>
      <c r="I70" s="835"/>
      <c r="K70" s="277"/>
    </row>
    <row r="71" spans="6:11" ht="15.95" hidden="1" customHeight="1" outlineLevel="1">
      <c r="F71" s="832"/>
      <c r="G71" s="828"/>
      <c r="H71" s="235"/>
      <c r="I71" s="830"/>
      <c r="K71" s="277"/>
    </row>
    <row r="72" spans="6:11" ht="15.95" hidden="1" customHeight="1" outlineLevel="1">
      <c r="F72" s="832"/>
      <c r="G72" s="828"/>
      <c r="H72" s="235"/>
      <c r="I72" s="830"/>
      <c r="K72" s="277"/>
    </row>
    <row r="73" spans="6:11" ht="15.95" hidden="1" customHeight="1" outlineLevel="1">
      <c r="F73" s="833"/>
      <c r="G73" s="834"/>
      <c r="H73" s="196"/>
      <c r="I73" s="835"/>
    </row>
    <row r="74" spans="6:11" ht="15.95" hidden="1" customHeight="1" outlineLevel="1">
      <c r="F74" s="833"/>
      <c r="G74" s="834"/>
      <c r="H74" s="196"/>
      <c r="I74" s="835"/>
    </row>
    <row r="75" spans="6:11" ht="15.95" hidden="1" customHeight="1" outlineLevel="1">
      <c r="F75" s="832"/>
      <c r="G75" s="828"/>
      <c r="H75" s="235"/>
      <c r="I75" s="830"/>
    </row>
    <row r="76" spans="6:11" ht="15.95" hidden="1" customHeight="1" outlineLevel="1">
      <c r="F76" s="832"/>
      <c r="G76" s="828"/>
      <c r="H76" s="235"/>
      <c r="I76" s="830"/>
    </row>
    <row r="77" spans="6:11" ht="15.95" hidden="1" customHeight="1" outlineLevel="1">
      <c r="F77" s="833"/>
      <c r="G77" s="834"/>
      <c r="H77" s="196"/>
      <c r="I77" s="835"/>
    </row>
    <row r="78" spans="6:11" ht="15.95" hidden="1" customHeight="1" outlineLevel="1">
      <c r="F78" s="833"/>
      <c r="G78" s="834"/>
      <c r="H78" s="196"/>
      <c r="I78" s="835"/>
    </row>
    <row r="79" spans="6:11" ht="15.95" hidden="1" customHeight="1" outlineLevel="1">
      <c r="F79" s="832"/>
      <c r="G79" s="828"/>
      <c r="H79" s="235"/>
      <c r="I79" s="830"/>
    </row>
    <row r="80" spans="6:11" ht="15.95" hidden="1" customHeight="1" outlineLevel="1">
      <c r="F80" s="832"/>
      <c r="G80" s="828"/>
      <c r="H80" s="235"/>
      <c r="I80" s="830"/>
    </row>
    <row r="81" spans="6:9" ht="15.95" hidden="1" customHeight="1" outlineLevel="1">
      <c r="F81" s="833"/>
      <c r="G81" s="834"/>
      <c r="H81" s="196"/>
      <c r="I81" s="835"/>
    </row>
    <row r="82" spans="6:9" ht="15.95" hidden="1" customHeight="1" outlineLevel="1">
      <c r="F82" s="833"/>
      <c r="G82" s="834"/>
      <c r="H82" s="196"/>
      <c r="I82" s="835"/>
    </row>
    <row r="83" spans="6:9" ht="15.95" hidden="1" customHeight="1" outlineLevel="1">
      <c r="F83" s="832"/>
      <c r="G83" s="828"/>
      <c r="H83" s="235"/>
      <c r="I83" s="830"/>
    </row>
    <row r="84" spans="6:9" ht="15.95" hidden="1" customHeight="1" outlineLevel="1">
      <c r="F84" s="832"/>
      <c r="G84" s="828"/>
      <c r="H84" s="235"/>
      <c r="I84" s="830"/>
    </row>
    <row r="85" spans="6:9" ht="15.95" hidden="1" customHeight="1" outlineLevel="1">
      <c r="F85" s="833"/>
      <c r="G85" s="834"/>
      <c r="H85" s="196"/>
      <c r="I85" s="835"/>
    </row>
    <row r="86" spans="6:9" ht="15.95" hidden="1" customHeight="1" outlineLevel="1">
      <c r="F86" s="833"/>
      <c r="G86" s="834"/>
      <c r="H86" s="196"/>
      <c r="I86" s="835"/>
    </row>
    <row r="87" spans="6:9" ht="15.95" hidden="1" customHeight="1" outlineLevel="1">
      <c r="F87" s="832"/>
      <c r="G87" s="828"/>
      <c r="H87" s="235"/>
      <c r="I87" s="830"/>
    </row>
    <row r="88" spans="6:9" ht="15.95" hidden="1" customHeight="1" outlineLevel="1">
      <c r="F88" s="832"/>
      <c r="G88" s="828"/>
      <c r="H88" s="235"/>
      <c r="I88" s="830"/>
    </row>
    <row r="89" spans="6:9" ht="15.95" hidden="1" customHeight="1" outlineLevel="1">
      <c r="F89" s="833"/>
      <c r="G89" s="834"/>
      <c r="H89" s="196"/>
      <c r="I89" s="835"/>
    </row>
    <row r="90" spans="6:9" ht="15.95" hidden="1" customHeight="1" outlineLevel="1">
      <c r="F90" s="833"/>
      <c r="G90" s="834"/>
      <c r="H90" s="196"/>
      <c r="I90" s="835"/>
    </row>
    <row r="91" spans="6:9" ht="15.95" hidden="1" customHeight="1" outlineLevel="1">
      <c r="F91" s="832"/>
      <c r="G91" s="828"/>
      <c r="H91" s="235"/>
      <c r="I91" s="830"/>
    </row>
    <row r="92" spans="6:9" ht="15.95" hidden="1" customHeight="1" outlineLevel="1">
      <c r="F92" s="832"/>
      <c r="G92" s="828"/>
      <c r="H92" s="235"/>
      <c r="I92" s="830"/>
    </row>
    <row r="93" spans="6:9" ht="15.95" hidden="1" customHeight="1" outlineLevel="1">
      <c r="F93" s="833"/>
      <c r="G93" s="834"/>
      <c r="H93" s="196"/>
      <c r="I93" s="835"/>
    </row>
    <row r="94" spans="6:9" ht="15.95" hidden="1" customHeight="1" outlineLevel="1">
      <c r="F94" s="833"/>
      <c r="G94" s="834"/>
      <c r="H94" s="196"/>
      <c r="I94" s="835"/>
    </row>
    <row r="95" spans="6:9" ht="15.95" hidden="1" customHeight="1" outlineLevel="1">
      <c r="F95" s="838"/>
      <c r="G95" s="836"/>
      <c r="H95" s="135"/>
      <c r="I95" s="837"/>
    </row>
    <row r="96" spans="6:9" ht="15.95" hidden="1" customHeight="1" outlineLevel="1">
      <c r="F96" s="838"/>
      <c r="G96" s="836"/>
      <c r="H96" s="135"/>
      <c r="I96" s="837"/>
    </row>
    <row r="97" spans="6:9" ht="15.95" hidden="1" customHeight="1" outlineLevel="1">
      <c r="F97" s="839"/>
      <c r="G97" s="841"/>
      <c r="H97" s="207"/>
      <c r="I97" s="843"/>
    </row>
    <row r="98" spans="6:9" ht="15.95" hidden="1" customHeight="1" outlineLevel="1">
      <c r="F98" s="839"/>
      <c r="G98" s="841"/>
      <c r="H98" s="207"/>
      <c r="I98" s="843"/>
    </row>
    <row r="99" spans="6:9" ht="15.95" hidden="1" customHeight="1" outlineLevel="1">
      <c r="F99" s="838"/>
      <c r="G99" s="836"/>
      <c r="H99" s="135"/>
      <c r="I99" s="837"/>
    </row>
    <row r="100" spans="6:9" ht="15.95" hidden="1" customHeight="1" outlineLevel="1">
      <c r="F100" s="838"/>
      <c r="G100" s="836"/>
      <c r="H100" s="135"/>
      <c r="I100" s="837"/>
    </row>
    <row r="101" spans="6:9" ht="15.95" hidden="1" customHeight="1" outlineLevel="1">
      <c r="F101" s="839"/>
      <c r="G101" s="841"/>
      <c r="H101" s="207"/>
      <c r="I101" s="843"/>
    </row>
    <row r="102" spans="6:9" ht="15.95" hidden="1" customHeight="1" outlineLevel="1" thickBot="1">
      <c r="F102" s="840"/>
      <c r="G102" s="842"/>
      <c r="H102" s="311"/>
      <c r="I102" s="84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H35" sqref="H35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5.77734375" style="346" customWidth="1"/>
    <col min="4" max="4" width="15.1093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C36" s="325" t="s">
        <v>231</v>
      </c>
      <c r="E36" s="325" t="s">
        <v>604</v>
      </c>
      <c r="G36" s="328"/>
      <c r="S36" s="347"/>
      <c r="T36" s="347"/>
    </row>
    <row r="37" spans="3:36" s="350" customFormat="1" ht="36" customHeight="1">
      <c r="C37" s="359" t="s">
        <v>251</v>
      </c>
      <c r="D37" s="360" t="s">
        <v>219</v>
      </c>
      <c r="E37" s="360" t="s">
        <v>826</v>
      </c>
      <c r="F37" s="360" t="s">
        <v>827</v>
      </c>
      <c r="G37" s="368"/>
      <c r="H37" s="360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1"/>
      <c r="AI37" s="276"/>
      <c r="AJ37" s="277"/>
    </row>
    <row r="38" spans="3:36" s="277" customFormat="1" ht="23.1" customHeight="1">
      <c r="C38" s="290" t="s">
        <v>234</v>
      </c>
      <c r="D38" s="291">
        <v>2.7690000000000001</v>
      </c>
      <c r="E38" s="291">
        <v>2.7229999999999999</v>
      </c>
      <c r="F38" s="200">
        <v>1.327</v>
      </c>
      <c r="G38" s="291"/>
      <c r="H38" s="291"/>
      <c r="I38" s="203"/>
      <c r="J38" s="292"/>
      <c r="K38" s="203"/>
      <c r="L38" s="292"/>
      <c r="M38" s="203"/>
      <c r="N38" s="292"/>
      <c r="O38" s="203"/>
      <c r="P38" s="291"/>
      <c r="Q38" s="200"/>
      <c r="R38" s="291"/>
      <c r="S38" s="200"/>
      <c r="T38" s="291"/>
      <c r="U38" s="200"/>
      <c r="V38" s="291"/>
      <c r="W38" s="200"/>
      <c r="X38" s="291"/>
      <c r="Y38" s="200"/>
      <c r="Z38" s="291"/>
      <c r="AA38" s="200"/>
      <c r="AB38" s="291"/>
      <c r="AC38" s="200"/>
      <c r="AD38" s="291"/>
      <c r="AE38" s="200"/>
      <c r="AF38" s="291"/>
      <c r="AG38" s="251"/>
    </row>
    <row r="39" spans="3:36" s="277" customFormat="1" ht="23.1" customHeight="1">
      <c r="C39" s="290" t="s">
        <v>222</v>
      </c>
      <c r="D39" s="291">
        <v>3.5499999999999997E-2</v>
      </c>
      <c r="E39" s="291">
        <v>3.4909999999999997E-2</v>
      </c>
      <c r="F39" s="200">
        <v>7.0499999999999998E-3</v>
      </c>
      <c r="G39" s="291"/>
      <c r="H39" s="291"/>
      <c r="I39" s="203"/>
      <c r="J39" s="292"/>
      <c r="K39" s="203"/>
      <c r="L39" s="292"/>
      <c r="M39" s="203"/>
      <c r="N39" s="292"/>
      <c r="O39" s="203"/>
      <c r="P39" s="291"/>
      <c r="Q39" s="200"/>
      <c r="R39" s="291"/>
      <c r="S39" s="200"/>
      <c r="T39" s="291"/>
      <c r="U39" s="200"/>
      <c r="V39" s="291"/>
      <c r="W39" s="200"/>
      <c r="X39" s="291"/>
      <c r="Y39" s="200"/>
      <c r="Z39" s="291"/>
      <c r="AA39" s="200"/>
      <c r="AB39" s="291"/>
      <c r="AC39" s="200"/>
      <c r="AD39" s="291"/>
      <c r="AE39" s="200"/>
      <c r="AF39" s="291"/>
      <c r="AG39" s="251"/>
    </row>
    <row r="40" spans="3:36" s="277" customFormat="1" ht="23.1" customHeight="1">
      <c r="C40" s="290" t="s">
        <v>223</v>
      </c>
      <c r="D40" s="293">
        <v>2.2220000000000001E-4</v>
      </c>
      <c r="E40" s="293">
        <v>2.23E-4</v>
      </c>
      <c r="F40" s="201">
        <v>2.6879999999999997E-4</v>
      </c>
      <c r="G40" s="293"/>
      <c r="H40" s="293"/>
      <c r="I40" s="204"/>
      <c r="J40" s="294"/>
      <c r="K40" s="204"/>
      <c r="L40" s="294"/>
      <c r="M40" s="204"/>
      <c r="N40" s="294"/>
      <c r="O40" s="204"/>
      <c r="P40" s="293"/>
      <c r="Q40" s="201"/>
      <c r="R40" s="293"/>
      <c r="S40" s="201"/>
      <c r="T40" s="293"/>
      <c r="U40" s="201"/>
      <c r="V40" s="293"/>
      <c r="W40" s="201"/>
      <c r="X40" s="293"/>
      <c r="Y40" s="201"/>
      <c r="Z40" s="293"/>
      <c r="AA40" s="201"/>
      <c r="AB40" s="293"/>
      <c r="AC40" s="201"/>
      <c r="AD40" s="293"/>
      <c r="AE40" s="201"/>
      <c r="AF40" s="293"/>
      <c r="AG40" s="208"/>
    </row>
    <row r="41" spans="3:36" s="277" customFormat="1" ht="23.1" customHeight="1">
      <c r="C41" s="290" t="s">
        <v>597</v>
      </c>
      <c r="D41" s="291">
        <v>0.45829999999999999</v>
      </c>
      <c r="E41" s="291">
        <v>0.45829999999999999</v>
      </c>
      <c r="F41" s="200">
        <v>0.45829999999999999</v>
      </c>
      <c r="G41" s="291"/>
      <c r="H41" s="291"/>
      <c r="I41" s="203"/>
      <c r="J41" s="292"/>
      <c r="K41" s="203"/>
      <c r="L41" s="292"/>
      <c r="M41" s="203"/>
      <c r="N41" s="292"/>
      <c r="O41" s="203"/>
      <c r="P41" s="291"/>
      <c r="Q41" s="200"/>
      <c r="R41" s="291"/>
      <c r="S41" s="200"/>
      <c r="T41" s="291"/>
      <c r="U41" s="200"/>
      <c r="V41" s="291"/>
      <c r="W41" s="200"/>
      <c r="X41" s="291"/>
      <c r="Y41" s="200"/>
      <c r="Z41" s="291"/>
      <c r="AA41" s="200"/>
      <c r="AB41" s="291"/>
      <c r="AC41" s="200"/>
      <c r="AD41" s="291"/>
      <c r="AE41" s="200"/>
      <c r="AF41" s="291"/>
      <c r="AG41" s="251"/>
    </row>
    <row r="42" spans="3:36" s="277" customFormat="1" ht="23.1" customHeight="1">
      <c r="C42" s="290" t="s">
        <v>233</v>
      </c>
      <c r="D42" s="273">
        <v>46.11</v>
      </c>
      <c r="E42" s="273">
        <v>46.59</v>
      </c>
      <c r="F42" s="202">
        <v>44.419999999999995</v>
      </c>
      <c r="G42" s="273"/>
      <c r="H42" s="273"/>
      <c r="I42" s="205"/>
      <c r="J42" s="296"/>
      <c r="K42" s="205"/>
      <c r="L42" s="296"/>
      <c r="M42" s="205"/>
      <c r="N42" s="296"/>
      <c r="O42" s="205"/>
      <c r="P42" s="273"/>
      <c r="Q42" s="202"/>
      <c r="R42" s="273"/>
      <c r="S42" s="202"/>
      <c r="T42" s="273"/>
      <c r="U42" s="202"/>
      <c r="V42" s="273"/>
      <c r="W42" s="202"/>
      <c r="X42" s="273"/>
      <c r="Y42" s="202"/>
      <c r="Z42" s="273"/>
      <c r="AA42" s="202"/>
      <c r="AB42" s="273"/>
      <c r="AC42" s="202"/>
      <c r="AD42" s="273"/>
      <c r="AE42" s="202"/>
      <c r="AF42" s="273"/>
      <c r="AG42" s="197"/>
    </row>
    <row r="43" spans="3:36" s="277" customFormat="1" ht="23.1" customHeight="1" thickBot="1">
      <c r="C43" s="297" t="s">
        <v>232</v>
      </c>
      <c r="D43" s="240">
        <v>78</v>
      </c>
      <c r="E43" s="240">
        <v>78</v>
      </c>
      <c r="F43" s="198">
        <v>188</v>
      </c>
      <c r="G43" s="240"/>
      <c r="H43" s="240"/>
      <c r="I43" s="206"/>
      <c r="J43" s="298"/>
      <c r="K43" s="206"/>
      <c r="L43" s="298"/>
      <c r="M43" s="206"/>
      <c r="N43" s="298"/>
      <c r="O43" s="206"/>
      <c r="P43" s="240"/>
      <c r="Q43" s="198"/>
      <c r="R43" s="240"/>
      <c r="S43" s="252"/>
      <c r="T43" s="299"/>
      <c r="U43" s="198"/>
      <c r="V43" s="240"/>
      <c r="W43" s="198"/>
      <c r="X43" s="240"/>
      <c r="Y43" s="198"/>
      <c r="Z43" s="240"/>
      <c r="AA43" s="198"/>
      <c r="AB43" s="240"/>
      <c r="AC43" s="198"/>
      <c r="AD43" s="240"/>
      <c r="AE43" s="198"/>
      <c r="AF43" s="240"/>
      <c r="AG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845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846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847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839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839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839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838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838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838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839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839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839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838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838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838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839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839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839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838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838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838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839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839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839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838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838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838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839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839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839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838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838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838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839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839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839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838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838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838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839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839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839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838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838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838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839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839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839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838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838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838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839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839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839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838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838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838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839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839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839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838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838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838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839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839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839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838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838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838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839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839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839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838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838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838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839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839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839"/>
      <c r="D125" s="207" t="s">
        <v>239</v>
      </c>
      <c r="E125" s="209"/>
      <c r="F125" s="210"/>
      <c r="H125" s="276"/>
    </row>
    <row r="126" spans="3:8" ht="20.25" hidden="1" customHeight="1" outlineLevel="1">
      <c r="C126" s="838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838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838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839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839"/>
      <c r="D130" s="207" t="s">
        <v>238</v>
      </c>
      <c r="E130" s="306"/>
      <c r="F130" s="308"/>
    </row>
    <row r="131" spans="3:12" ht="20.100000000000001" hidden="1" customHeight="1" outlineLevel="1">
      <c r="C131" s="839"/>
      <c r="D131" s="207" t="s">
        <v>239</v>
      </c>
      <c r="E131" s="309"/>
      <c r="F131" s="310"/>
    </row>
    <row r="132" spans="3:12" ht="20.100000000000001" hidden="1" customHeight="1" outlineLevel="1">
      <c r="C132" s="838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838"/>
      <c r="D133" s="135" t="s">
        <v>238</v>
      </c>
      <c r="E133" s="301"/>
      <c r="F133" s="303"/>
    </row>
    <row r="134" spans="3:12" ht="20.100000000000001" hidden="1" customHeight="1" outlineLevel="1">
      <c r="C134" s="838"/>
      <c r="D134" s="135" t="s">
        <v>239</v>
      </c>
      <c r="E134" s="304"/>
      <c r="F134" s="305"/>
    </row>
    <row r="135" spans="3:12" ht="20.100000000000001" hidden="1" customHeight="1" outlineLevel="1">
      <c r="C135" s="839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839"/>
      <c r="D136" s="207" t="s">
        <v>238</v>
      </c>
      <c r="E136" s="306"/>
      <c r="F136" s="308"/>
    </row>
    <row r="137" spans="3:12" ht="20.100000000000001" hidden="1" customHeight="1" outlineLevel="1" thickBot="1">
      <c r="C137" s="840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851" t="s">
        <v>828</v>
      </c>
      <c r="E4" s="596">
        <v>200</v>
      </c>
      <c r="F4" s="596">
        <v>2.7690000000000001</v>
      </c>
      <c r="G4" s="854">
        <v>2.2730000000000001</v>
      </c>
      <c r="H4" s="851">
        <v>0.03</v>
      </c>
      <c r="I4" s="596">
        <v>78</v>
      </c>
      <c r="J4" s="857">
        <v>114.7</v>
      </c>
      <c r="K4" s="596">
        <v>329</v>
      </c>
      <c r="L4" s="857">
        <v>314.7</v>
      </c>
      <c r="M4" s="596">
        <v>1.03E-2</v>
      </c>
      <c r="N4" s="854">
        <v>0.01</v>
      </c>
      <c r="O4" s="848" t="s">
        <v>229</v>
      </c>
    </row>
    <row r="5" spans="1:15" ht="20.100000000000001" customHeight="1">
      <c r="C5" s="595" t="s">
        <v>826</v>
      </c>
      <c r="D5" s="852"/>
      <c r="E5" s="596">
        <v>200</v>
      </c>
      <c r="F5" s="596">
        <v>2.7229999999999999</v>
      </c>
      <c r="G5" s="855"/>
      <c r="H5" s="852"/>
      <c r="I5" s="596">
        <v>78</v>
      </c>
      <c r="J5" s="858"/>
      <c r="K5" s="596">
        <v>306</v>
      </c>
      <c r="L5" s="858"/>
      <c r="M5" s="596">
        <v>9.2999999999999992E-3</v>
      </c>
      <c r="N5" s="855"/>
      <c r="O5" s="849"/>
    </row>
    <row r="6" spans="1:15" ht="20.100000000000001" customHeight="1">
      <c r="A6"/>
      <c r="B6"/>
      <c r="C6" s="595" t="s">
        <v>827</v>
      </c>
      <c r="D6" s="853"/>
      <c r="E6" s="596">
        <v>100</v>
      </c>
      <c r="F6" s="596">
        <v>1.327</v>
      </c>
      <c r="G6" s="856"/>
      <c r="H6" s="853"/>
      <c r="I6" s="596">
        <v>188</v>
      </c>
      <c r="J6" s="859"/>
      <c r="K6" s="596">
        <v>309</v>
      </c>
      <c r="L6" s="859"/>
      <c r="M6" s="596">
        <v>1.0500000000000001E-2</v>
      </c>
      <c r="N6" s="856"/>
      <c r="O6" s="850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v>8.23</v>
      </c>
      <c r="F92" s="398">
        <v>7.43</v>
      </c>
      <c r="G92" s="399" t="s">
        <v>898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v>54.82</v>
      </c>
      <c r="F97" s="398">
        <v>52.37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E17" sqref="E16:E17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70" t="s">
        <v>0</v>
      </c>
      <c r="B2" s="860" t="s">
        <v>39</v>
      </c>
      <c r="C2" s="860" t="s">
        <v>6</v>
      </c>
      <c r="D2" s="860" t="s">
        <v>38</v>
      </c>
      <c r="E2" s="860" t="s">
        <v>194</v>
      </c>
      <c r="F2" s="860" t="s">
        <v>193</v>
      </c>
      <c r="G2" s="864" t="s">
        <v>1</v>
      </c>
      <c r="H2" s="864" t="s">
        <v>2</v>
      </c>
      <c r="I2" s="864" t="s">
        <v>162</v>
      </c>
      <c r="J2" s="868" t="s">
        <v>245</v>
      </c>
      <c r="K2" s="864" t="s">
        <v>244</v>
      </c>
      <c r="L2" s="864" t="s">
        <v>3</v>
      </c>
      <c r="M2" s="864" t="s">
        <v>4</v>
      </c>
      <c r="N2" s="864" t="s">
        <v>5</v>
      </c>
      <c r="O2" s="864" t="s">
        <v>243</v>
      </c>
      <c r="P2" s="866" t="s">
        <v>242</v>
      </c>
      <c r="Q2" s="860" t="s">
        <v>149</v>
      </c>
      <c r="R2" s="862" t="s">
        <v>87</v>
      </c>
    </row>
    <row r="3" spans="1:18" s="53" customFormat="1" ht="27" customHeight="1">
      <c r="A3" s="871"/>
      <c r="B3" s="861"/>
      <c r="C3" s="861"/>
      <c r="D3" s="861"/>
      <c r="E3" s="861"/>
      <c r="F3" s="861"/>
      <c r="G3" s="865"/>
      <c r="H3" s="865"/>
      <c r="I3" s="865"/>
      <c r="J3" s="869"/>
      <c r="K3" s="865"/>
      <c r="L3" s="865"/>
      <c r="M3" s="865"/>
      <c r="N3" s="865"/>
      <c r="O3" s="865"/>
      <c r="P3" s="867"/>
      <c r="Q3" s="861"/>
      <c r="R3" s="863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Q12" sqref="Q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>
      <c r="B3" s="786" t="s">
        <v>48</v>
      </c>
      <c r="C3" s="787">
        <f>Well!C4</f>
        <v>0</v>
      </c>
      <c r="D3" s="804" t="s">
        <v>49</v>
      </c>
      <c r="E3" s="805" t="s">
        <v>108</v>
      </c>
      <c r="F3" s="806" t="s">
        <v>98</v>
      </c>
      <c r="G3" s="807" t="s">
        <v>652</v>
      </c>
      <c r="H3"/>
      <c r="I3"/>
      <c r="J3"/>
      <c r="K3"/>
      <c r="L3"/>
      <c r="M3"/>
    </row>
    <row r="4" spans="1:13" ht="20.100000000000001" customHeight="1" thickBot="1">
      <c r="B4" s="788" t="s">
        <v>50</v>
      </c>
      <c r="C4" s="789">
        <f>Well!R4</f>
        <v>0</v>
      </c>
      <c r="D4" s="808" t="s">
        <v>51</v>
      </c>
      <c r="E4" s="809">
        <v>0</v>
      </c>
      <c r="F4" s="809"/>
      <c r="G4" s="810">
        <v>8.8359999999999994E-2</v>
      </c>
      <c r="H4"/>
      <c r="I4"/>
      <c r="J4"/>
      <c r="K4"/>
      <c r="L4"/>
      <c r="M4"/>
    </row>
    <row r="5" spans="1:13" ht="20.100000000000001" customHeight="1" thickBot="1">
      <c r="B5" s="788" t="s">
        <v>52</v>
      </c>
      <c r="C5" s="789">
        <f>Well!Q4</f>
        <v>0</v>
      </c>
      <c r="D5" s="808" t="s">
        <v>53</v>
      </c>
      <c r="E5" s="811">
        <v>3.101</v>
      </c>
      <c r="F5" s="812">
        <f>$E$5/$C$14</f>
        <v>3.9756410256410253E-2</v>
      </c>
      <c r="G5" s="813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788" t="s">
        <v>54</v>
      </c>
      <c r="C6" s="790" t="str">
        <f>Well!D4</f>
        <v>보령시 주교면 주교리 903-15번지</v>
      </c>
      <c r="D6" s="808" t="s">
        <v>56</v>
      </c>
      <c r="E6" s="812">
        <v>2.4369999999999998</v>
      </c>
      <c r="F6" s="812">
        <f>$E$6/$C$14</f>
        <v>3.1243589743589741E-2</v>
      </c>
      <c r="G6" s="814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791" t="s">
        <v>55</v>
      </c>
      <c r="C7" s="792">
        <f>Well!H4</f>
        <v>90</v>
      </c>
      <c r="D7" s="815" t="s">
        <v>58</v>
      </c>
      <c r="E7" s="816">
        <f>ROUND((E5+E6)/2,4)</f>
        <v>2.7690000000000001</v>
      </c>
      <c r="F7" s="817">
        <f>$E$7/$C$14</f>
        <v>3.5500000000000004E-2</v>
      </c>
      <c r="G7" s="818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791" t="s">
        <v>57</v>
      </c>
      <c r="C8" s="793">
        <f>Well!G4</f>
        <v>200</v>
      </c>
      <c r="D8" s="605">
        <f>C8/2000</f>
        <v>0.1</v>
      </c>
    </row>
    <row r="9" spans="1:13" ht="25.5" customHeight="1" thickBot="1">
      <c r="B9" s="791" t="s">
        <v>59</v>
      </c>
      <c r="C9" s="794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88" t="s">
        <v>60</v>
      </c>
      <c r="C10" s="79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788" t="s">
        <v>62</v>
      </c>
      <c r="C11" s="79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6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788" t="s">
        <v>64</v>
      </c>
      <c r="C12" s="796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788" t="s">
        <v>65</v>
      </c>
      <c r="C13" s="796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91" t="s">
        <v>66</v>
      </c>
      <c r="C14" s="797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91" t="s">
        <v>67</v>
      </c>
      <c r="C15" s="793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88" t="s">
        <v>68</v>
      </c>
      <c r="C16" s="798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88" t="s">
        <v>69</v>
      </c>
      <c r="C17" s="799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88" t="s">
        <v>70</v>
      </c>
      <c r="C18" s="799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88" t="s">
        <v>72</v>
      </c>
      <c r="C19" s="799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91" t="s">
        <v>73</v>
      </c>
      <c r="C20" s="800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791" t="s">
        <v>74</v>
      </c>
      <c r="C21" s="800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91" t="s">
        <v>154</v>
      </c>
      <c r="C22" s="801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802" t="s">
        <v>220</v>
      </c>
      <c r="C23" s="803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66" t="s">
        <v>565</v>
      </c>
      <c r="C25" s="767"/>
      <c r="D25" s="768" t="s">
        <v>96</v>
      </c>
      <c r="E25" s="768" t="s">
        <v>97</v>
      </c>
      <c r="F25" s="768" t="s">
        <v>89</v>
      </c>
      <c r="G25" s="768" t="s">
        <v>90</v>
      </c>
      <c r="H25" s="768" t="s">
        <v>111</v>
      </c>
      <c r="I25" s="768" t="s">
        <v>91</v>
      </c>
      <c r="J25" s="769" t="s">
        <v>92</v>
      </c>
      <c r="K25" s="770" t="s">
        <v>93</v>
      </c>
    </row>
    <row r="26" spans="2:12" ht="25.5" customHeight="1">
      <c r="B26" s="872" t="s">
        <v>49</v>
      </c>
      <c r="C26" s="771" t="s">
        <v>94</v>
      </c>
      <c r="D26" s="771">
        <f>C20</f>
        <v>7.43</v>
      </c>
      <c r="E26" s="772">
        <f>Recharge!C30</f>
        <v>18.981299999999997</v>
      </c>
      <c r="F26" s="773" t="s">
        <v>173</v>
      </c>
      <c r="G26" s="771" t="s">
        <v>347</v>
      </c>
      <c r="H26" s="774">
        <f>L18</f>
        <v>1.0325301204819277</v>
      </c>
      <c r="I26" s="771" t="s">
        <v>173</v>
      </c>
      <c r="J26" s="775">
        <f>((E7/C14)/86400)</f>
        <v>4.1087962962962967E-7</v>
      </c>
      <c r="K26" s="776" t="s">
        <v>657</v>
      </c>
    </row>
    <row r="27" spans="2:12" ht="25.5" customHeight="1">
      <c r="B27" s="872"/>
      <c r="C27" s="777" t="s">
        <v>95</v>
      </c>
      <c r="D27" s="777">
        <v>7</v>
      </c>
      <c r="E27" s="777">
        <v>8</v>
      </c>
      <c r="F27" s="777">
        <v>3</v>
      </c>
      <c r="G27" s="777">
        <v>3</v>
      </c>
      <c r="H27" s="777">
        <v>10</v>
      </c>
      <c r="I27" s="777">
        <v>4</v>
      </c>
      <c r="J27" s="777">
        <v>1</v>
      </c>
      <c r="K27" s="776" t="s">
        <v>587</v>
      </c>
    </row>
    <row r="28" spans="2:12" ht="25.5" customHeight="1">
      <c r="B28" s="872"/>
      <c r="C28" s="778" t="s">
        <v>166</v>
      </c>
      <c r="D28" s="779">
        <v>5</v>
      </c>
      <c r="E28" s="779">
        <v>4</v>
      </c>
      <c r="F28" s="779">
        <v>3</v>
      </c>
      <c r="G28" s="779">
        <v>2</v>
      </c>
      <c r="H28" s="779">
        <v>1</v>
      </c>
      <c r="I28" s="779">
        <v>5</v>
      </c>
      <c r="J28" s="779">
        <v>3</v>
      </c>
      <c r="K28" s="780"/>
    </row>
    <row r="29" spans="2:12" ht="25.5" customHeight="1">
      <c r="B29" s="872"/>
      <c r="C29" s="778" t="s">
        <v>167</v>
      </c>
      <c r="D29" s="779">
        <v>5</v>
      </c>
      <c r="E29" s="779">
        <v>4</v>
      </c>
      <c r="F29" s="779">
        <v>3</v>
      </c>
      <c r="G29" s="779">
        <v>5</v>
      </c>
      <c r="H29" s="779">
        <v>3</v>
      </c>
      <c r="I29" s="779">
        <v>4</v>
      </c>
      <c r="J29" s="779">
        <v>2</v>
      </c>
      <c r="K29" s="780"/>
    </row>
    <row r="30" spans="2:12" ht="25.5" customHeight="1">
      <c r="B30" s="872"/>
      <c r="C30" s="771" t="s">
        <v>168</v>
      </c>
      <c r="D30" s="781">
        <f>D27*D28</f>
        <v>35</v>
      </c>
      <c r="E30" s="781">
        <f t="shared" ref="E30:J30" si="0">E27*E28</f>
        <v>32</v>
      </c>
      <c r="F30" s="781">
        <f t="shared" si="0"/>
        <v>9</v>
      </c>
      <c r="G30" s="781">
        <f t="shared" si="0"/>
        <v>6</v>
      </c>
      <c r="H30" s="781">
        <f t="shared" si="0"/>
        <v>10</v>
      </c>
      <c r="I30" s="781">
        <f t="shared" si="0"/>
        <v>20</v>
      </c>
      <c r="J30" s="781">
        <f t="shared" si="0"/>
        <v>3</v>
      </c>
      <c r="K30" s="782">
        <f>SUM(D30:J30)</f>
        <v>115</v>
      </c>
    </row>
    <row r="31" spans="2:12" ht="25.5" customHeight="1" thickBot="1">
      <c r="B31" s="873"/>
      <c r="C31" s="783" t="s">
        <v>169</v>
      </c>
      <c r="D31" s="784">
        <f t="shared" ref="D31:J31" si="1">D27*D29</f>
        <v>35</v>
      </c>
      <c r="E31" s="784">
        <f t="shared" si="1"/>
        <v>32</v>
      </c>
      <c r="F31" s="784">
        <f t="shared" si="1"/>
        <v>9</v>
      </c>
      <c r="G31" s="784">
        <f t="shared" si="1"/>
        <v>15</v>
      </c>
      <c r="H31" s="784">
        <f t="shared" si="1"/>
        <v>30</v>
      </c>
      <c r="I31" s="784">
        <f t="shared" si="1"/>
        <v>16</v>
      </c>
      <c r="J31" s="784">
        <f t="shared" si="1"/>
        <v>2</v>
      </c>
      <c r="K31" s="78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74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7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7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7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7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7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74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7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7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7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7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7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9" t="s">
        <v>80</v>
      </c>
      <c r="C12" s="880"/>
      <c r="D12" s="880" t="s">
        <v>81</v>
      </c>
      <c r="E12" s="880"/>
      <c r="F12" s="881"/>
      <c r="H12" s="879" t="s">
        <v>81</v>
      </c>
      <c r="I12" s="880"/>
      <c r="J12" s="88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2" t="s">
        <v>36</v>
      </c>
      <c r="C24" s="88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82" t="s">
        <v>37</v>
      </c>
      <c r="C25" s="88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77" t="s">
        <v>86</v>
      </c>
      <c r="C26" s="87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79" t="s">
        <v>80</v>
      </c>
      <c r="C12" s="880"/>
      <c r="D12" s="880" t="s">
        <v>81</v>
      </c>
      <c r="E12" s="880"/>
      <c r="F12" s="880"/>
      <c r="G12" s="880" t="s">
        <v>147</v>
      </c>
      <c r="H12" s="880"/>
      <c r="I12" s="881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82" t="s">
        <v>36</v>
      </c>
      <c r="C24" s="883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82" t="s">
        <v>37</v>
      </c>
      <c r="C25" s="883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77" t="s">
        <v>86</v>
      </c>
      <c r="C26" s="878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84" t="s">
        <v>81</v>
      </c>
      <c r="E29" s="885"/>
      <c r="F29" s="886"/>
      <c r="H29" s="884" t="s">
        <v>147</v>
      </c>
      <c r="I29" s="885"/>
      <c r="J29" s="886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79" t="s">
        <v>80</v>
      </c>
      <c r="C12" s="880"/>
      <c r="D12" s="880" t="s">
        <v>81</v>
      </c>
      <c r="E12" s="880"/>
      <c r="F12" s="880"/>
      <c r="G12" s="880" t="s">
        <v>147</v>
      </c>
      <c r="H12" s="880"/>
      <c r="I12" s="880"/>
      <c r="J12" s="880" t="s">
        <v>148</v>
      </c>
      <c r="K12" s="880"/>
      <c r="L12" s="881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82" t="s">
        <v>36</v>
      </c>
      <c r="C24" s="883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82" t="s">
        <v>37</v>
      </c>
      <c r="C25" s="883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77" t="s">
        <v>86</v>
      </c>
      <c r="C26" s="878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84" t="s">
        <v>81</v>
      </c>
      <c r="E29" s="885"/>
      <c r="F29" s="886"/>
      <c r="H29" s="884" t="s">
        <v>147</v>
      </c>
      <c r="I29" s="885"/>
      <c r="J29" s="886"/>
      <c r="L29" s="884" t="s">
        <v>148</v>
      </c>
      <c r="M29" s="885"/>
      <c r="N29" s="886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9" t="s">
        <v>80</v>
      </c>
      <c r="C12" s="880"/>
      <c r="D12" s="880" t="s">
        <v>81</v>
      </c>
      <c r="E12" s="880"/>
      <c r="F12" s="881"/>
      <c r="H12" s="879" t="s">
        <v>81</v>
      </c>
      <c r="I12" s="880"/>
      <c r="J12" s="88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2" t="s">
        <v>36</v>
      </c>
      <c r="C24" s="88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82" t="s">
        <v>37</v>
      </c>
      <c r="C25" s="88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77" t="s">
        <v>86</v>
      </c>
      <c r="C26" s="87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9" t="s">
        <v>80</v>
      </c>
      <c r="C12" s="880"/>
      <c r="D12" s="880" t="s">
        <v>147</v>
      </c>
      <c r="E12" s="880"/>
      <c r="F12" s="881"/>
      <c r="H12" s="879" t="s">
        <v>147</v>
      </c>
      <c r="I12" s="880"/>
      <c r="J12" s="88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2" t="s">
        <v>36</v>
      </c>
      <c r="C24" s="88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82" t="s">
        <v>37</v>
      </c>
      <c r="C25" s="88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77" t="s">
        <v>86</v>
      </c>
      <c r="C26" s="87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9" t="s">
        <v>80</v>
      </c>
      <c r="C12" s="880"/>
      <c r="D12" s="880" t="s">
        <v>148</v>
      </c>
      <c r="E12" s="880"/>
      <c r="F12" s="881"/>
      <c r="H12" s="879" t="s">
        <v>148</v>
      </c>
      <c r="I12" s="880"/>
      <c r="J12" s="88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2" t="s">
        <v>36</v>
      </c>
      <c r="C24" s="88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82" t="s">
        <v>37</v>
      </c>
      <c r="C25" s="88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77" t="s">
        <v>86</v>
      </c>
      <c r="C26" s="87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2025-03-04T02:27:59Z</dcterms:modified>
</cp:coreProperties>
</file>