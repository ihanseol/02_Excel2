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06792C5-D63B-4A83-A99C-DF12AF820554}" xr6:coauthVersionLast="47" xr6:coauthVersionMax="47" xr10:uidLastSave="{00000000-0000-0000-0000-000000000000}"/>
  <bookViews>
    <workbookView xWindow="7395" yWindow="0" windowWidth="30825" windowHeight="20025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<sst xmlns="http://schemas.openxmlformats.org/spreadsheetml/2006/main" count="1600" uniqueCount="899">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</sst>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8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6" Type="http://schemas.openxmlformats.org/officeDocument/2006/relationships/image" Target="../media/image48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5" Type="http://schemas.openxmlformats.org/officeDocument/2006/relationships/image" Target="../media/image63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Relationship Id="rId14" Type="http://schemas.openxmlformats.org/officeDocument/2006/relationships/image" Target="../media/image6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66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66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34" Type="http://schemas.openxmlformats.org/officeDocument/2006/relationships/control" Target="../activeX/activeX58.x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9.emf"/><Relationship Id="rId30" Type="http://schemas.openxmlformats.org/officeDocument/2006/relationships/control" Target="../activeX/activeX56.xml"/><Relationship Id="rId35" Type="http://schemas.openxmlformats.org/officeDocument/2006/relationships/image" Target="../media/image63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5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4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9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4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2.emf"/><Relationship Id="rId5" Type="http://schemas.openxmlformats.org/officeDocument/2006/relationships/image" Target="../media/image73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1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8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2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2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2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761" t="s">
        <v>897</v>
      </c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R26" sqref="R26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5" t="s">
        <v>187</v>
      </c>
      <c r="J24" s="766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7" t="s">
        <v>184</v>
      </c>
      <c r="J25" s="768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9" t="s">
        <v>235</v>
      </c>
      <c r="J26" s="770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71" t="s">
        <v>830</v>
      </c>
      <c r="B39" s="772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62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63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64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214" spans="15:15" s="513" customFormat="1" ht="17.25">
      <c r="O2214" s="512"/>
    </row>
    <row r="2500" spans="2430:2430">
      <c r="COL2500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K16" sqref="K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90" t="s">
        <v>219</v>
      </c>
      <c r="G43" s="788">
        <v>125</v>
      </c>
      <c r="H43" s="320">
        <v>41.03</v>
      </c>
      <c r="I43" s="789">
        <v>206.66780091709089</v>
      </c>
    </row>
    <row r="44" spans="6:25" ht="15.95" customHeight="1">
      <c r="F44" s="783"/>
      <c r="G44" s="781"/>
      <c r="H44" s="235">
        <v>19.3</v>
      </c>
      <c r="I44" s="774"/>
      <c r="K44" s="277"/>
    </row>
    <row r="45" spans="6:25" ht="15.95" customHeight="1">
      <c r="F45" s="785" t="s">
        <v>826</v>
      </c>
      <c r="G45" s="782">
        <v>125</v>
      </c>
      <c r="H45" s="196">
        <v>41.46</v>
      </c>
      <c r="I45" s="773">
        <v>206.68381565981989</v>
      </c>
      <c r="K45" s="277"/>
    </row>
    <row r="46" spans="6:25" ht="15.95" customHeight="1">
      <c r="F46" s="785"/>
      <c r="G46" s="782"/>
      <c r="H46" s="196">
        <v>19.5</v>
      </c>
      <c r="I46" s="773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83" t="s">
        <v>827</v>
      </c>
      <c r="G47" s="781">
        <v>62</v>
      </c>
      <c r="H47" s="235">
        <v>39.53</v>
      </c>
      <c r="I47" s="774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83"/>
      <c r="G48" s="781"/>
      <c r="H48" s="235">
        <v>18.59</v>
      </c>
      <c r="I48" s="774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85"/>
      <c r="G49" s="782"/>
      <c r="H49" s="196"/>
      <c r="I49" s="773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85"/>
      <c r="G50" s="782"/>
      <c r="H50" s="196"/>
      <c r="I50" s="773"/>
      <c r="K50" s="277"/>
    </row>
    <row r="51" spans="6:25" ht="15.95" customHeight="1">
      <c r="F51" s="783"/>
      <c r="G51" s="781"/>
      <c r="H51" s="235"/>
      <c r="I51" s="774"/>
      <c r="K51" s="277"/>
    </row>
    <row r="52" spans="6:25" ht="15.95" customHeight="1">
      <c r="F52" s="783"/>
      <c r="G52" s="781"/>
      <c r="H52" s="235"/>
      <c r="I52" s="774"/>
      <c r="K52" s="277"/>
    </row>
    <row r="53" spans="6:25" ht="15.95" customHeight="1">
      <c r="F53" s="785"/>
      <c r="G53" s="782"/>
      <c r="H53" s="196"/>
      <c r="I53" s="773"/>
      <c r="K53" s="277"/>
    </row>
    <row r="54" spans="6:25" ht="15.95" customHeight="1">
      <c r="F54" s="785"/>
      <c r="G54" s="782"/>
      <c r="H54" s="196"/>
      <c r="I54" s="773"/>
      <c r="K54" s="277"/>
    </row>
    <row r="55" spans="6:25" ht="15.95" customHeight="1">
      <c r="F55" s="783"/>
      <c r="G55" s="781"/>
      <c r="H55" s="235"/>
      <c r="I55" s="774"/>
      <c r="K55" s="277"/>
    </row>
    <row r="56" spans="6:25" ht="15.95" customHeight="1">
      <c r="F56" s="783"/>
      <c r="G56" s="781"/>
      <c r="H56" s="235"/>
      <c r="I56" s="774"/>
      <c r="K56" s="277"/>
    </row>
    <row r="57" spans="6:25" ht="15.95" hidden="1" customHeight="1" outlineLevel="1">
      <c r="F57" s="785"/>
      <c r="G57" s="782"/>
      <c r="H57" s="196"/>
      <c r="I57" s="773"/>
      <c r="K57" s="277"/>
    </row>
    <row r="58" spans="6:25" ht="15.95" hidden="1" customHeight="1" outlineLevel="1">
      <c r="F58" s="785"/>
      <c r="G58" s="782"/>
      <c r="H58" s="196"/>
      <c r="I58" s="773"/>
      <c r="K58" s="277"/>
    </row>
    <row r="59" spans="6:25" ht="15.95" hidden="1" customHeight="1" outlineLevel="1">
      <c r="F59" s="783"/>
      <c r="G59" s="781"/>
      <c r="H59" s="235"/>
      <c r="I59" s="774"/>
      <c r="K59" s="277"/>
    </row>
    <row r="60" spans="6:25" ht="15.95" hidden="1" customHeight="1" outlineLevel="1">
      <c r="F60" s="783"/>
      <c r="G60" s="781"/>
      <c r="H60" s="235"/>
      <c r="I60" s="774"/>
      <c r="K60" s="277"/>
    </row>
    <row r="61" spans="6:25" ht="15.95" hidden="1" customHeight="1" outlineLevel="1">
      <c r="F61" s="785"/>
      <c r="G61" s="782"/>
      <c r="H61" s="196"/>
      <c r="I61" s="773"/>
      <c r="K61" s="277"/>
    </row>
    <row r="62" spans="6:25" ht="15.95" hidden="1" customHeight="1" outlineLevel="1">
      <c r="F62" s="785"/>
      <c r="G62" s="782"/>
      <c r="H62" s="196"/>
      <c r="I62" s="773"/>
      <c r="K62" s="277"/>
    </row>
    <row r="63" spans="6:25" ht="15.95" hidden="1" customHeight="1" outlineLevel="1">
      <c r="F63" s="783"/>
      <c r="G63" s="781"/>
      <c r="H63" s="235"/>
      <c r="I63" s="774"/>
      <c r="K63" s="277"/>
    </row>
    <row r="64" spans="6:25" ht="15.95" hidden="1" customHeight="1" outlineLevel="1">
      <c r="F64" s="783"/>
      <c r="G64" s="781"/>
      <c r="H64" s="235"/>
      <c r="I64" s="774"/>
      <c r="K64" s="277"/>
    </row>
    <row r="65" spans="6:11" ht="15.95" hidden="1" customHeight="1" outlineLevel="1">
      <c r="F65" s="785"/>
      <c r="G65" s="782"/>
      <c r="H65" s="196"/>
      <c r="I65" s="773"/>
      <c r="K65" s="277"/>
    </row>
    <row r="66" spans="6:11" ht="15.95" hidden="1" customHeight="1" outlineLevel="1">
      <c r="F66" s="785"/>
      <c r="G66" s="782"/>
      <c r="H66" s="196"/>
      <c r="I66" s="773"/>
      <c r="K66" s="277"/>
    </row>
    <row r="67" spans="6:11" ht="15.95" hidden="1" customHeight="1" outlineLevel="1">
      <c r="F67" s="783"/>
      <c r="G67" s="781"/>
      <c r="H67" s="235"/>
      <c r="I67" s="774"/>
      <c r="K67" s="277"/>
    </row>
    <row r="68" spans="6:11" ht="15.95" hidden="1" customHeight="1" outlineLevel="1">
      <c r="F68" s="783"/>
      <c r="G68" s="781"/>
      <c r="H68" s="235"/>
      <c r="I68" s="774"/>
      <c r="K68" s="277"/>
    </row>
    <row r="69" spans="6:11" ht="15.95" hidden="1" customHeight="1" outlineLevel="1">
      <c r="F69" s="785"/>
      <c r="G69" s="782"/>
      <c r="H69" s="196"/>
      <c r="I69" s="773"/>
      <c r="K69" s="277"/>
    </row>
    <row r="70" spans="6:11" ht="15.95" hidden="1" customHeight="1" outlineLevel="1">
      <c r="F70" s="785"/>
      <c r="G70" s="782"/>
      <c r="H70" s="196"/>
      <c r="I70" s="773"/>
      <c r="K70" s="277"/>
    </row>
    <row r="71" spans="6:11" ht="15.95" hidden="1" customHeight="1" outlineLevel="1">
      <c r="F71" s="783"/>
      <c r="G71" s="781"/>
      <c r="H71" s="235"/>
      <c r="I71" s="774"/>
      <c r="K71" s="277"/>
    </row>
    <row r="72" spans="6:11" ht="15.95" hidden="1" customHeight="1" outlineLevel="1">
      <c r="F72" s="783"/>
      <c r="G72" s="781"/>
      <c r="H72" s="235"/>
      <c r="I72" s="774"/>
      <c r="K72" s="277"/>
    </row>
    <row r="73" spans="6:11" ht="15.95" hidden="1" customHeight="1" outlineLevel="1">
      <c r="F73" s="785"/>
      <c r="G73" s="782"/>
      <c r="H73" s="196"/>
      <c r="I73" s="773"/>
    </row>
    <row r="74" spans="6:11" ht="15.95" hidden="1" customHeight="1" outlineLevel="1">
      <c r="F74" s="785"/>
      <c r="G74" s="782"/>
      <c r="H74" s="196"/>
      <c r="I74" s="773"/>
    </row>
    <row r="75" spans="6:11" ht="15.95" hidden="1" customHeight="1" outlineLevel="1">
      <c r="F75" s="783"/>
      <c r="G75" s="781"/>
      <c r="H75" s="235"/>
      <c r="I75" s="774"/>
    </row>
    <row r="76" spans="6:11" ht="15.95" hidden="1" customHeight="1" outlineLevel="1">
      <c r="F76" s="783"/>
      <c r="G76" s="781"/>
      <c r="H76" s="235"/>
      <c r="I76" s="774"/>
    </row>
    <row r="77" spans="6:11" ht="15.95" hidden="1" customHeight="1" outlineLevel="1">
      <c r="F77" s="785"/>
      <c r="G77" s="782"/>
      <c r="H77" s="196"/>
      <c r="I77" s="773"/>
    </row>
    <row r="78" spans="6:11" ht="15.95" hidden="1" customHeight="1" outlineLevel="1">
      <c r="F78" s="785"/>
      <c r="G78" s="782"/>
      <c r="H78" s="196"/>
      <c r="I78" s="773"/>
    </row>
    <row r="79" spans="6:11" ht="15.95" hidden="1" customHeight="1" outlineLevel="1">
      <c r="F79" s="783"/>
      <c r="G79" s="781"/>
      <c r="H79" s="235"/>
      <c r="I79" s="774"/>
    </row>
    <row r="80" spans="6:11" ht="15.95" hidden="1" customHeight="1" outlineLevel="1">
      <c r="F80" s="783"/>
      <c r="G80" s="781"/>
      <c r="H80" s="235"/>
      <c r="I80" s="774"/>
    </row>
    <row r="81" spans="6:9" ht="15.95" hidden="1" customHeight="1" outlineLevel="1">
      <c r="F81" s="785"/>
      <c r="G81" s="782"/>
      <c r="H81" s="196"/>
      <c r="I81" s="773"/>
    </row>
    <row r="82" spans="6:9" ht="15.95" hidden="1" customHeight="1" outlineLevel="1">
      <c r="F82" s="785"/>
      <c r="G82" s="782"/>
      <c r="H82" s="196"/>
      <c r="I82" s="773"/>
    </row>
    <row r="83" spans="6:9" ht="15.95" hidden="1" customHeight="1" outlineLevel="1">
      <c r="F83" s="783"/>
      <c r="G83" s="781"/>
      <c r="H83" s="235"/>
      <c r="I83" s="774"/>
    </row>
    <row r="84" spans="6:9" ht="15.95" hidden="1" customHeight="1" outlineLevel="1">
      <c r="F84" s="783"/>
      <c r="G84" s="781"/>
      <c r="H84" s="235"/>
      <c r="I84" s="774"/>
    </row>
    <row r="85" spans="6:9" ht="15.95" hidden="1" customHeight="1" outlineLevel="1">
      <c r="F85" s="785"/>
      <c r="G85" s="782"/>
      <c r="H85" s="196"/>
      <c r="I85" s="773"/>
    </row>
    <row r="86" spans="6:9" ht="15.95" hidden="1" customHeight="1" outlineLevel="1">
      <c r="F86" s="785"/>
      <c r="G86" s="782"/>
      <c r="H86" s="196"/>
      <c r="I86" s="773"/>
    </row>
    <row r="87" spans="6:9" ht="15.95" hidden="1" customHeight="1" outlineLevel="1">
      <c r="F87" s="783"/>
      <c r="G87" s="781"/>
      <c r="H87" s="235"/>
      <c r="I87" s="774"/>
    </row>
    <row r="88" spans="6:9" ht="15.95" hidden="1" customHeight="1" outlineLevel="1">
      <c r="F88" s="783"/>
      <c r="G88" s="781"/>
      <c r="H88" s="235"/>
      <c r="I88" s="774"/>
    </row>
    <row r="89" spans="6:9" ht="15.95" hidden="1" customHeight="1" outlineLevel="1">
      <c r="F89" s="785"/>
      <c r="G89" s="782"/>
      <c r="H89" s="196"/>
      <c r="I89" s="773"/>
    </row>
    <row r="90" spans="6:9" ht="15.95" hidden="1" customHeight="1" outlineLevel="1">
      <c r="F90" s="785"/>
      <c r="G90" s="782"/>
      <c r="H90" s="196"/>
      <c r="I90" s="773"/>
    </row>
    <row r="91" spans="6:9" ht="15.95" hidden="1" customHeight="1" outlineLevel="1">
      <c r="F91" s="783"/>
      <c r="G91" s="781"/>
      <c r="H91" s="235"/>
      <c r="I91" s="774"/>
    </row>
    <row r="92" spans="6:9" ht="15.95" hidden="1" customHeight="1" outlineLevel="1">
      <c r="F92" s="783"/>
      <c r="G92" s="781"/>
      <c r="H92" s="235"/>
      <c r="I92" s="774"/>
    </row>
    <row r="93" spans="6:9" ht="15.95" hidden="1" customHeight="1" outlineLevel="1">
      <c r="F93" s="785"/>
      <c r="G93" s="782"/>
      <c r="H93" s="196"/>
      <c r="I93" s="773"/>
    </row>
    <row r="94" spans="6:9" ht="15.95" hidden="1" customHeight="1" outlineLevel="1">
      <c r="F94" s="785"/>
      <c r="G94" s="782"/>
      <c r="H94" s="196"/>
      <c r="I94" s="773"/>
    </row>
    <row r="95" spans="6:9" ht="15.95" hidden="1" customHeight="1" outlineLevel="1">
      <c r="F95" s="784"/>
      <c r="G95" s="786"/>
      <c r="H95" s="135"/>
      <c r="I95" s="787"/>
    </row>
    <row r="96" spans="6:9" ht="15.95" hidden="1" customHeight="1" outlineLevel="1">
      <c r="F96" s="784"/>
      <c r="G96" s="786"/>
      <c r="H96" s="135"/>
      <c r="I96" s="787"/>
    </row>
    <row r="97" spans="6:9" ht="15.95" hidden="1" customHeight="1" outlineLevel="1">
      <c r="F97" s="775"/>
      <c r="G97" s="777"/>
      <c r="H97" s="207"/>
      <c r="I97" s="779"/>
    </row>
    <row r="98" spans="6:9" ht="15.95" hidden="1" customHeight="1" outlineLevel="1">
      <c r="F98" s="775"/>
      <c r="G98" s="777"/>
      <c r="H98" s="207"/>
      <c r="I98" s="779"/>
    </row>
    <row r="99" spans="6:9" ht="15.95" hidden="1" customHeight="1" outlineLevel="1">
      <c r="F99" s="784"/>
      <c r="G99" s="786"/>
      <c r="H99" s="135"/>
      <c r="I99" s="787"/>
    </row>
    <row r="100" spans="6:9" ht="15.95" hidden="1" customHeight="1" outlineLevel="1">
      <c r="F100" s="784"/>
      <c r="G100" s="786"/>
      <c r="H100" s="135"/>
      <c r="I100" s="787"/>
    </row>
    <row r="101" spans="6:9" ht="15.95" hidden="1" customHeight="1" outlineLevel="1">
      <c r="F101" s="775"/>
      <c r="G101" s="777"/>
      <c r="H101" s="207"/>
      <c r="I101" s="779"/>
    </row>
    <row r="102" spans="6:9" ht="15.95" hidden="1" customHeight="1" outlineLevel="1" thickBot="1">
      <c r="F102" s="776"/>
      <c r="G102" s="778"/>
      <c r="H102" s="311"/>
      <c r="I102" s="78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91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92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93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75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75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75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84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84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84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75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75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75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84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84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84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75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75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75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84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84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84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75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75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75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84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84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84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75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75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75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84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84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84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75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75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75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84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84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84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75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75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75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84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84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84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75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75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75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84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84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84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75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75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75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84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84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84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75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75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75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84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84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84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75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75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75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84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84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84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75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75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75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84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84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84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75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75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75"/>
      <c r="D125" s="207" t="s">
        <v>239</v>
      </c>
      <c r="E125" s="209"/>
      <c r="F125" s="210"/>
      <c r="H125" s="276"/>
    </row>
    <row r="126" spans="3:8" ht="20.25" hidden="1" customHeight="1" outlineLevel="1">
      <c r="C126" s="784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84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84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75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75"/>
      <c r="D130" s="207" t="s">
        <v>238</v>
      </c>
      <c r="E130" s="306"/>
      <c r="F130" s="308"/>
    </row>
    <row r="131" spans="3:12" ht="20.100000000000001" hidden="1" customHeight="1" outlineLevel="1">
      <c r="C131" s="775"/>
      <c r="D131" s="207" t="s">
        <v>239</v>
      </c>
      <c r="E131" s="309"/>
      <c r="F131" s="310"/>
    </row>
    <row r="132" spans="3:12" ht="20.100000000000001" hidden="1" customHeight="1" outlineLevel="1">
      <c r="C132" s="784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84"/>
      <c r="D133" s="135" t="s">
        <v>238</v>
      </c>
      <c r="E133" s="301"/>
      <c r="F133" s="303"/>
    </row>
    <row r="134" spans="3:12" ht="20.100000000000001" hidden="1" customHeight="1" outlineLevel="1">
      <c r="C134" s="784"/>
      <c r="D134" s="135" t="s">
        <v>239</v>
      </c>
      <c r="E134" s="304"/>
      <c r="F134" s="305"/>
    </row>
    <row r="135" spans="3:12" ht="20.100000000000001" hidden="1" customHeight="1" outlineLevel="1">
      <c r="C135" s="775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75"/>
      <c r="D136" s="207" t="s">
        <v>238</v>
      </c>
      <c r="E136" s="306"/>
      <c r="F136" s="308"/>
    </row>
    <row r="137" spans="3:12" ht="20.100000000000001" hidden="1" customHeight="1" outlineLevel="1" thickBot="1">
      <c r="C137" s="776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7" t="s">
        <v>828</v>
      </c>
      <c r="E4" s="596">
        <v>200</v>
      </c>
      <c r="F4" s="596">
        <v>2.7690000000000001</v>
      </c>
      <c r="G4" s="800">
        <v>2.2730000000000001</v>
      </c>
      <c r="H4" s="797">
        <v>0.03</v>
      </c>
      <c r="I4" s="596">
        <v>78</v>
      </c>
      <c r="J4" s="803">
        <v>114.7</v>
      </c>
      <c r="K4" s="596">
        <v>329</v>
      </c>
      <c r="L4" s="803">
        <v>314.7</v>
      </c>
      <c r="M4" s="596">
        <v>1.03E-2</v>
      </c>
      <c r="N4" s="800">
        <v>0.01</v>
      </c>
      <c r="O4" s="794" t="s">
        <v>229</v>
      </c>
    </row>
    <row r="5" spans="1:15" ht="20.100000000000001" customHeight="1">
      <c r="C5" s="595" t="s">
        <v>826</v>
      </c>
      <c r="D5" s="798"/>
      <c r="E5" s="596">
        <v>200</v>
      </c>
      <c r="F5" s="596">
        <v>2.7229999999999999</v>
      </c>
      <c r="G5" s="801"/>
      <c r="H5" s="798"/>
      <c r="I5" s="596">
        <v>78</v>
      </c>
      <c r="J5" s="804"/>
      <c r="K5" s="596">
        <v>306</v>
      </c>
      <c r="L5" s="804"/>
      <c r="M5" s="596">
        <v>9.2999999999999992E-3</v>
      </c>
      <c r="N5" s="801"/>
      <c r="O5" s="795"/>
    </row>
    <row r="6" spans="1:15" ht="20.100000000000001" customHeight="1">
      <c r="A6"/>
      <c r="B6"/>
      <c r="C6" s="595" t="s">
        <v>827</v>
      </c>
      <c r="D6" s="799"/>
      <c r="E6" s="596">
        <v>100</v>
      </c>
      <c r="F6" s="596">
        <v>1.327</v>
      </c>
      <c r="G6" s="802"/>
      <c r="H6" s="799"/>
      <c r="I6" s="596">
        <v>188</v>
      </c>
      <c r="J6" s="805"/>
      <c r="K6" s="596">
        <v>309</v>
      </c>
      <c r="L6" s="805"/>
      <c r="M6" s="596">
        <v>1.0500000000000001E-2</v>
      </c>
      <c r="N6" s="802"/>
      <c r="O6" s="796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20" sqref="F20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 t="s">
        <v>868</v>
      </c>
      <c r="F45" s="269" t="s">
        <v>869</v>
      </c>
      <c r="G45" s="270" t="s">
        <v>870</v>
      </c>
      <c r="H45" s="277"/>
      <c r="I45" s="268" t="s">
        <v>219</v>
      </c>
      <c r="J45" s="269">
        <v>115</v>
      </c>
      <c r="K45" s="270">
        <v>139</v>
      </c>
      <c r="L45" s="277"/>
      <c r="M45" s="268" t="s">
        <v>868</v>
      </c>
      <c r="N45" s="269" t="s">
        <v>871</v>
      </c>
      <c r="O45" s="270" t="s">
        <v>872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 t="s">
        <v>873</v>
      </c>
      <c r="F46" s="266" t="s">
        <v>874</v>
      </c>
      <c r="G46" s="267" t="s">
        <v>870</v>
      </c>
      <c r="H46" s="277"/>
      <c r="I46" s="265" t="s">
        <v>826</v>
      </c>
      <c r="J46" s="266">
        <v>115</v>
      </c>
      <c r="K46" s="267">
        <v>139</v>
      </c>
      <c r="L46" s="277"/>
      <c r="M46" s="265" t="s">
        <v>873</v>
      </c>
      <c r="N46" s="266" t="s">
        <v>875</v>
      </c>
      <c r="O46" s="267" t="s">
        <v>876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 t="s">
        <v>877</v>
      </c>
      <c r="F47" s="269" t="s">
        <v>878</v>
      </c>
      <c r="G47" s="270" t="s">
        <v>870</v>
      </c>
      <c r="H47" s="277"/>
      <c r="I47" s="268" t="s">
        <v>827</v>
      </c>
      <c r="J47" s="269">
        <v>115</v>
      </c>
      <c r="K47" s="270">
        <v>139</v>
      </c>
      <c r="L47" s="277"/>
      <c r="M47" s="268" t="s">
        <v>877</v>
      </c>
      <c r="N47" s="269" t="s">
        <v>879</v>
      </c>
      <c r="O47" s="270" t="s">
        <v>880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v>8.23</v>
      </c>
      <c r="F92" s="398">
        <v>7.43</v>
      </c>
      <c r="G92" s="399" t="s">
        <v>898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v>54.82</v>
      </c>
      <c r="F97" s="398">
        <v>52.37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D16" sqref="D1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06" t="s">
        <v>0</v>
      </c>
      <c r="B2" s="808" t="s">
        <v>39</v>
      </c>
      <c r="C2" s="808" t="s">
        <v>6</v>
      </c>
      <c r="D2" s="808" t="s">
        <v>38</v>
      </c>
      <c r="E2" s="808" t="s">
        <v>194</v>
      </c>
      <c r="F2" s="808" t="s">
        <v>193</v>
      </c>
      <c r="G2" s="812" t="s">
        <v>1</v>
      </c>
      <c r="H2" s="812" t="s">
        <v>2</v>
      </c>
      <c r="I2" s="812" t="s">
        <v>162</v>
      </c>
      <c r="J2" s="816" t="s">
        <v>245</v>
      </c>
      <c r="K2" s="812" t="s">
        <v>244</v>
      </c>
      <c r="L2" s="812" t="s">
        <v>3</v>
      </c>
      <c r="M2" s="812" t="s">
        <v>4</v>
      </c>
      <c r="N2" s="812" t="s">
        <v>5</v>
      </c>
      <c r="O2" s="812" t="s">
        <v>243</v>
      </c>
      <c r="P2" s="814" t="s">
        <v>242</v>
      </c>
      <c r="Q2" s="808" t="s">
        <v>149</v>
      </c>
      <c r="R2" s="810" t="s">
        <v>87</v>
      </c>
    </row>
    <row r="3" spans="1:18" s="53" customFormat="1" ht="27" customHeight="1">
      <c r="A3" s="807"/>
      <c r="B3" s="809"/>
      <c r="C3" s="809"/>
      <c r="D3" s="809"/>
      <c r="E3" s="809"/>
      <c r="F3" s="809"/>
      <c r="G3" s="813"/>
      <c r="H3" s="813"/>
      <c r="I3" s="813"/>
      <c r="J3" s="817"/>
      <c r="K3" s="813"/>
      <c r="L3" s="813"/>
      <c r="M3" s="813"/>
      <c r="N3" s="813"/>
      <c r="O3" s="813"/>
      <c r="P3" s="815"/>
      <c r="Q3" s="809"/>
      <c r="R3" s="811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G29" sqref="G2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>
      <c r="B3" s="854" t="s">
        <v>48</v>
      </c>
      <c r="C3" s="855">
        <f>Well!C4</f>
        <v>0</v>
      </c>
      <c r="D3" s="872" t="s">
        <v>49</v>
      </c>
      <c r="E3" s="873" t="s">
        <v>108</v>
      </c>
      <c r="F3" s="874" t="s">
        <v>98</v>
      </c>
      <c r="G3" s="875" t="s">
        <v>652</v>
      </c>
      <c r="H3"/>
      <c r="I3"/>
      <c r="J3"/>
      <c r="K3"/>
      <c r="L3"/>
      <c r="M3"/>
    </row>
    <row r="4" spans="1:13" ht="20.100000000000001" customHeight="1" thickBot="1">
      <c r="B4" s="856" t="s">
        <v>50</v>
      </c>
      <c r="C4" s="857">
        <f>Well!R4</f>
        <v>0</v>
      </c>
      <c r="D4" s="876" t="s">
        <v>51</v>
      </c>
      <c r="E4" s="877">
        <v>0</v>
      </c>
      <c r="F4" s="877"/>
      <c r="G4" s="878">
        <v>8.8359999999999994E-2</v>
      </c>
      <c r="H4"/>
      <c r="I4"/>
      <c r="J4"/>
      <c r="K4"/>
      <c r="L4"/>
      <c r="M4"/>
    </row>
    <row r="5" spans="1:13" ht="20.100000000000001" customHeight="1" thickBot="1">
      <c r="B5" s="856" t="s">
        <v>52</v>
      </c>
      <c r="C5" s="857">
        <f>Well!Q4</f>
        <v>0</v>
      </c>
      <c r="D5" s="876" t="s">
        <v>53</v>
      </c>
      <c r="E5" s="879">
        <v>3.101</v>
      </c>
      <c r="F5" s="880">
        <f>$E$5/$C$14</f>
        <v>3.9756410256410253E-2</v>
      </c>
      <c r="G5" s="881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856" t="s">
        <v>54</v>
      </c>
      <c r="C6" s="858" t="str">
        <f>Well!D4</f>
        <v>보령시 주교면 주교리 903-15번지</v>
      </c>
      <c r="D6" s="876" t="s">
        <v>56</v>
      </c>
      <c r="E6" s="880">
        <v>2.4369999999999998</v>
      </c>
      <c r="F6" s="880">
        <f>$E$6/$C$14</f>
        <v>3.1243589743589741E-2</v>
      </c>
      <c r="G6" s="882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859" t="s">
        <v>55</v>
      </c>
      <c r="C7" s="860">
        <f>Well!H4</f>
        <v>90</v>
      </c>
      <c r="D7" s="883" t="s">
        <v>58</v>
      </c>
      <c r="E7" s="884">
        <f>ROUND((E5+E6)/2,4)</f>
        <v>2.7690000000000001</v>
      </c>
      <c r="F7" s="885">
        <f>$E$7/$C$14</f>
        <v>3.5500000000000004E-2</v>
      </c>
      <c r="G7" s="886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859" t="s">
        <v>57</v>
      </c>
      <c r="C8" s="861">
        <f>Well!G4</f>
        <v>200</v>
      </c>
      <c r="D8" s="605">
        <f>C8/2000</f>
        <v>0.1</v>
      </c>
    </row>
    <row r="9" spans="1:13" ht="25.5" customHeight="1" thickBot="1">
      <c r="B9" s="859" t="s">
        <v>59</v>
      </c>
      <c r="C9" s="862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856" t="s">
        <v>60</v>
      </c>
      <c r="C10" s="863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856" t="s">
        <v>62</v>
      </c>
      <c r="C11" s="863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831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856" t="s">
        <v>64</v>
      </c>
      <c r="C12" s="864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856" t="s">
        <v>65</v>
      </c>
      <c r="C13" s="864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859" t="s">
        <v>66</v>
      </c>
      <c r="C14" s="865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859" t="s">
        <v>67</v>
      </c>
      <c r="C15" s="861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856" t="s">
        <v>68</v>
      </c>
      <c r="C16" s="866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856" t="s">
        <v>69</v>
      </c>
      <c r="C17" s="867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856" t="s">
        <v>70</v>
      </c>
      <c r="C18" s="867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856" t="s">
        <v>72</v>
      </c>
      <c r="C19" s="867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859" t="s">
        <v>73</v>
      </c>
      <c r="C20" s="868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859" t="s">
        <v>74</v>
      </c>
      <c r="C21" s="868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859" t="s">
        <v>154</v>
      </c>
      <c r="C22" s="869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870" t="s">
        <v>220</v>
      </c>
      <c r="C23" s="871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832" t="s">
        <v>565</v>
      </c>
      <c r="C25" s="833"/>
      <c r="D25" s="834" t="s">
        <v>96</v>
      </c>
      <c r="E25" s="834" t="s">
        <v>97</v>
      </c>
      <c r="F25" s="834" t="s">
        <v>89</v>
      </c>
      <c r="G25" s="834" t="s">
        <v>90</v>
      </c>
      <c r="H25" s="834" t="s">
        <v>111</v>
      </c>
      <c r="I25" s="834" t="s">
        <v>91</v>
      </c>
      <c r="J25" s="835" t="s">
        <v>92</v>
      </c>
      <c r="K25" s="836" t="s">
        <v>93</v>
      </c>
    </row>
    <row r="26" spans="2:12" ht="25.5" customHeight="1">
      <c r="B26" s="837" t="s">
        <v>49</v>
      </c>
      <c r="C26" s="838" t="s">
        <v>94</v>
      </c>
      <c r="D26" s="838">
        <f>C20</f>
        <v>7.43</v>
      </c>
      <c r="E26" s="839">
        <f>Recharge!C30</f>
        <v>18.981299999999997</v>
      </c>
      <c r="F26" s="840" t="s">
        <v>173</v>
      </c>
      <c r="G26" s="838" t="s">
        <v>347</v>
      </c>
      <c r="H26" s="841">
        <f>L18</f>
        <v>1.0325301204819277</v>
      </c>
      <c r="I26" s="838" t="s">
        <v>173</v>
      </c>
      <c r="J26" s="842">
        <f>((E7/C14)/86400)</f>
        <v>4.1087962962962967E-7</v>
      </c>
      <c r="K26" s="843" t="s">
        <v>657</v>
      </c>
    </row>
    <row r="27" spans="2:12" ht="25.5" customHeight="1">
      <c r="B27" s="837"/>
      <c r="C27" s="844" t="s">
        <v>95</v>
      </c>
      <c r="D27" s="844">
        <v>7</v>
      </c>
      <c r="E27" s="844">
        <v>8</v>
      </c>
      <c r="F27" s="844">
        <v>3</v>
      </c>
      <c r="G27" s="844">
        <v>3</v>
      </c>
      <c r="H27" s="844">
        <v>10</v>
      </c>
      <c r="I27" s="844">
        <v>4</v>
      </c>
      <c r="J27" s="844">
        <v>1</v>
      </c>
      <c r="K27" s="843" t="s">
        <v>587</v>
      </c>
    </row>
    <row r="28" spans="2:12" ht="25.5" customHeight="1">
      <c r="B28" s="837"/>
      <c r="C28" s="845" t="s">
        <v>166</v>
      </c>
      <c r="D28" s="846">
        <v>5</v>
      </c>
      <c r="E28" s="846">
        <v>4</v>
      </c>
      <c r="F28" s="846">
        <v>3</v>
      </c>
      <c r="G28" s="846">
        <v>2</v>
      </c>
      <c r="H28" s="846">
        <v>1</v>
      </c>
      <c r="I28" s="846">
        <v>5</v>
      </c>
      <c r="J28" s="846">
        <v>3</v>
      </c>
      <c r="K28" s="847"/>
    </row>
    <row r="29" spans="2:12" ht="25.5" customHeight="1">
      <c r="B29" s="837"/>
      <c r="C29" s="845" t="s">
        <v>167</v>
      </c>
      <c r="D29" s="846">
        <v>5</v>
      </c>
      <c r="E29" s="846">
        <v>4</v>
      </c>
      <c r="F29" s="846">
        <v>3</v>
      </c>
      <c r="G29" s="846">
        <v>5</v>
      </c>
      <c r="H29" s="846">
        <v>3</v>
      </c>
      <c r="I29" s="846">
        <v>4</v>
      </c>
      <c r="J29" s="846">
        <v>2</v>
      </c>
      <c r="K29" s="847"/>
    </row>
    <row r="30" spans="2:12" ht="25.5" customHeight="1">
      <c r="B30" s="837"/>
      <c r="C30" s="838" t="s">
        <v>168</v>
      </c>
      <c r="D30" s="848">
        <f>D27*D28</f>
        <v>35</v>
      </c>
      <c r="E30" s="848">
        <f t="shared" ref="E30:J30" si="0">E27*E28</f>
        <v>32</v>
      </c>
      <c r="F30" s="848">
        <f t="shared" si="0"/>
        <v>9</v>
      </c>
      <c r="G30" s="848">
        <f t="shared" si="0"/>
        <v>6</v>
      </c>
      <c r="H30" s="848">
        <f t="shared" si="0"/>
        <v>10</v>
      </c>
      <c r="I30" s="848">
        <f t="shared" si="0"/>
        <v>20</v>
      </c>
      <c r="J30" s="848">
        <f t="shared" si="0"/>
        <v>3</v>
      </c>
      <c r="K30" s="849">
        <f>SUM(D30:J30)</f>
        <v>115</v>
      </c>
    </row>
    <row r="31" spans="2:12" ht="25.5" customHeight="1" thickBot="1">
      <c r="B31" s="850"/>
      <c r="C31" s="851" t="s">
        <v>169</v>
      </c>
      <c r="D31" s="852">
        <f t="shared" ref="D31:J31" si="1">D27*D29</f>
        <v>35</v>
      </c>
      <c r="E31" s="852">
        <f t="shared" si="1"/>
        <v>32</v>
      </c>
      <c r="F31" s="852">
        <f t="shared" si="1"/>
        <v>9</v>
      </c>
      <c r="G31" s="852">
        <f t="shared" si="1"/>
        <v>15</v>
      </c>
      <c r="H31" s="852">
        <f t="shared" si="1"/>
        <v>30</v>
      </c>
      <c r="I31" s="852">
        <f t="shared" si="1"/>
        <v>16</v>
      </c>
      <c r="J31" s="852">
        <f t="shared" si="1"/>
        <v>2</v>
      </c>
      <c r="K31" s="85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8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9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9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9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9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20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8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9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9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9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9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20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81</v>
      </c>
      <c r="E12" s="824"/>
      <c r="F12" s="825"/>
      <c r="H12" s="823" t="s">
        <v>81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23" t="s">
        <v>80</v>
      </c>
      <c r="C12" s="824"/>
      <c r="D12" s="824" t="s">
        <v>81</v>
      </c>
      <c r="E12" s="824"/>
      <c r="F12" s="824"/>
      <c r="G12" s="824" t="s">
        <v>147</v>
      </c>
      <c r="H12" s="824"/>
      <c r="I12" s="825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6" t="s">
        <v>36</v>
      </c>
      <c r="C24" s="827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6" t="s">
        <v>37</v>
      </c>
      <c r="C25" s="827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21" t="s">
        <v>86</v>
      </c>
      <c r="C26" s="822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8" t="s">
        <v>81</v>
      </c>
      <c r="E29" s="829"/>
      <c r="F29" s="830"/>
      <c r="H29" s="828" t="s">
        <v>147</v>
      </c>
      <c r="I29" s="829"/>
      <c r="J29" s="830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23" t="s">
        <v>80</v>
      </c>
      <c r="C12" s="824"/>
      <c r="D12" s="824" t="s">
        <v>81</v>
      </c>
      <c r="E12" s="824"/>
      <c r="F12" s="824"/>
      <c r="G12" s="824" t="s">
        <v>147</v>
      </c>
      <c r="H12" s="824"/>
      <c r="I12" s="824"/>
      <c r="J12" s="824" t="s">
        <v>148</v>
      </c>
      <c r="K12" s="824"/>
      <c r="L12" s="825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6" t="s">
        <v>36</v>
      </c>
      <c r="C24" s="827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6" t="s">
        <v>37</v>
      </c>
      <c r="C25" s="827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21" t="s">
        <v>86</v>
      </c>
      <c r="C26" s="822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8" t="s">
        <v>81</v>
      </c>
      <c r="E29" s="829"/>
      <c r="F29" s="830"/>
      <c r="H29" s="828" t="s">
        <v>147</v>
      </c>
      <c r="I29" s="829"/>
      <c r="J29" s="830"/>
      <c r="L29" s="828" t="s">
        <v>148</v>
      </c>
      <c r="M29" s="829"/>
      <c r="N29" s="830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81</v>
      </c>
      <c r="E12" s="824"/>
      <c r="F12" s="825"/>
      <c r="H12" s="823" t="s">
        <v>81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147</v>
      </c>
      <c r="E12" s="824"/>
      <c r="F12" s="825"/>
      <c r="H12" s="823" t="s">
        <v>147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148</v>
      </c>
      <c r="E12" s="824"/>
      <c r="F12" s="825"/>
      <c r="H12" s="823" t="s">
        <v>148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2025-03-04T02:01:48Z</dcterms:modified>
</cp:coreProperties>
</file>