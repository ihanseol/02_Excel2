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3DEE44D-C4DD-4F56-9768-ED031D0E331D}" xr6:coauthVersionLast="47" xr6:coauthVersionMax="47" xr10:uidLastSave="{00000000-0000-0000-0000-000000000000}"/>
  <bookViews>
    <workbookView xWindow="-120" yWindow="-120" windowWidth="29040" windowHeight="17520" tabRatio="690" firstSheet="2" activeTab="3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<sst xmlns="http://schemas.openxmlformats.org/spreadsheetml/2006/main" count="1265" uniqueCount="826">
  <si>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</si>
  <si>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</si>
  <si>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</si>
  <si>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</si>
  <si>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</si>
  <si>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</si>
  <si>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</si>
  <si>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</si>
  <si>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</si>
  <si>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</si>
  <si>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</si>
  <si>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</si>
  <si>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</si>
  <si>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</si>
  <si>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</si>
  <si>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</si>
  <si>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</si>
  <si>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</si>
  <si>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</si>
  <si>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</si>
  <si>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</si>
  <si>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</si>
  <si>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</si>
  <si>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</si>
  <si>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</si>
  <si>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</si>
  <si>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</si>
  <si>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</si>
  <si>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</si>
  <si>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</si>
  <si>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</si>
  <si>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</si>
  <si>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</si>
  <si>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</si>
  <si>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</si>
  <si>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</si>
  <si>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</si>
  <si>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</si>
  <si>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</si>
  <si>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</si>
  <si>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</si>
  <si>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</si>
  <si>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</si>
  <si>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</si>
  <si>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</si>
  <si>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</si>
  <si>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</si>
  <si>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</si>
  <si>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</si>
  <si>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</si>
  <si>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</si>
  <si>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</si>
  <si>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</si>
  <si>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</si>
  <si>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</si>
  <si>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</si>
  <si>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</si>
  <si>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</si>
  <si>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</si>
  <si>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</si>
  <si>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</si>
  <si>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</si>
  <si>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</si>
  <si>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</si>
  <si>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</si>
  <si>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</si>
  <si>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</si>
  <si>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</si>
  <si>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</si>
  <si>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</si>
  <si>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</si>
  <si>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</si>
  <si>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</si>
  <si>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</si>
  <si>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</si>
  <si>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</si>
  <si>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</si>
  <si>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</si>
  <si>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</si>
  <si>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</si>
  <si>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</si>
  <si>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</si>
  <si>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</si>
  <si>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</si>
  <si>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</si>
  <si>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</si>
  <si>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</si>
  <si>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</si>
  <si>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</si>
  <si>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</si>
  <si>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</si>
  <si>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</si>
  <si>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</si>
  <si>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</si>
  <si>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</si>
  <si>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</si>
  <si>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</si>
  <si>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</si>
  <si>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</si>
  <si>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</si>
  <si>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</si>
  <si>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</si>
  <si>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</si>
  <si>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</si>
  <si>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</si>
  <si>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</si>
  <si>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</si>
  <si>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</si>
  <si>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</si>
  <si>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</si>
  <si>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</si>
  <si>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</si>
  <si>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</si>
  <si>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</si>
  <si>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</si>
  <si>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</si>
  <si>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</si>
  <si>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</si>
  <si>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</si>
  <si>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</si>
  <si>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</si>
  <si>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</si>
  <si>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</si>
  <si>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</si>
  <si>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</si>
  <si>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</si>
  <si>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</si>
  <si>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</si>
  <si>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</si>
  <si>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</si>
  <si>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</si>
  <si>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</si>
  <si>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</si>
  <si>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</si>
  <si>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</si>
  <si>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</si>
  <si>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</si>
  <si>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</si>
  <si>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</si>
  <si>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</si>
  <si>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</si>
  <si>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</si>
  <si>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</si>
  <si>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</si>
  <si>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</si>
  <si>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</si>
  <si>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</si>
  <si>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</si>
  <si>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</si>
  <si>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</si>
  <si>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</si>
  <si>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</si>
  <si>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</si>
  <si>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</si>
  <si>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</si>
  <si>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</si>
  <si>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</si>
  <si>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</si>
  <si>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</si>
  <si>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</si>
  <si>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</si>
  <si>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</si>
  <si>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</si>
  <si>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</si>
  <si>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</si>
  <si>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</si>
  <si>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</si>
  <si>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</si>
  <si>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</si>
  <si>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</si>
  <si>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</si>
  <si>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</si>
  <si>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</si>
  <si>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</si>
  <si>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</si>
  <si>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</si>
  <si>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</si>
  <si>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</si>
  <si>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</si>
  <si>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</si>
  <si>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</si>
  <si>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</si>
  <si>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</si>
  <si>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</si>
  <si>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</si>
  <si>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</si>
  <si>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</si>
  <si>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</si>
  <si>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</si>
  <si>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</si>
  <si>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</si>
  <si>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</si>
  <si>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</si>
  <si>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</si>
  <si>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</si>
  <si>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</si>
  <si>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</si>
  <si>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</si>
  <si>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</si>
  <si>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</si>
  <si>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</si>
  <si>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</si>
  <si>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</si>
  <si>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</si>
  <si>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</si>
  <si>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</si>
  <si>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</si>
  <si>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</si>
  <si>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</si>
  <si>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</si>
  <si>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</si>
  <si>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</si>
  <si>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</si>
  <si>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</si>
  <si>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</si>
  <si>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</si>
  <si>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</si>
  <si>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</si>
  <si>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</si>
  <si>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</si>
  <si>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</si>
  <si>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</si>
  <si>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</si>
  <si>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</si>
  <si>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</si>
  <si>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</si>
  <si>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</si>
  <si>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</si>
  <si>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</si>
  <si>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</si>
  <si>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</si>
  <si>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</si>
  <si>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</si>
  <si>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</si>
  <si>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</si>
  <si>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</si>
  <si>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</si>
  <si>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</si>
  <si>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</si>
  <si>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</si>
  <si>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</si>
  <si>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</si>
  <si>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</si>
  <si>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</si>
  <si>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</si>
  <si>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</si>
  <si>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</si>
  <si>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</si>
  <si>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</si>
  <si>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</si>
  <si>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</si>
  <si>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</si>
  <si>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</si>
  <si>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</si>
  <si>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</si>
  <si>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</si>
  <si>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</si>
  <si>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</si>
  <si>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</si>
  <si>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</si>
  <si>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</si>
  <si>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</si>
  <si>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</si>
  <si>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</si>
  <si>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</si>
  <si>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</si>
  <si>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</si>
  <si>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</si>
  <si>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</si>
  <si>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</si>
  <si>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</si>
  <si>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</si>
  <si>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</si>
  <si>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</si>
  <si>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</si>
  <si>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</si>
  <si>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</si>
  <si>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</si>
  <si>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</si>
  <si>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</si>
  <si>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</si>
  <si>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</si>
  <si>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</si>
  <si>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</si>
  <si>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</si>
  <si>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</si>
  <si>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</si>
  <si>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</si>
  <si>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</si>
  <si>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</si>
  <si>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</si>
  <si>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</si>
  <si>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</si>
  <si>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</si>
  <si>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</si>
  <si>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</si>
  <si>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</si>
  <si>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</si>
  <si>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</si>
  <si>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</si>
  <si>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</si>
  <si>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</si>
  <si>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</si>
  <si>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</si>
  <si>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</si>
  <si>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</si>
  <si>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</si>
  <si>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</si>
  <si>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</si>
  <si>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</si>
  <si>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</si>
  <si>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</si>
  <si>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</si>
  <si>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</si>
  <si>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</si>
  <si>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</si>
  <si>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</si>
  <si>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</si>
  <si>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</si>
  <si>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</si>
  <si>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</si>
  <si>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</si>
  <si>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</si>
  <si>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</si>
  <si>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</si>
  <si>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</si>
  <si>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</si>
  <si>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</si>
  <si>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</si>
  <si>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</si>
  <si>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</si>
  <si>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</si>
  <si>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</si>
  <si>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</si>
  <si>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</si>
  <si>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</si>
  <si>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</si>
  <si>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</si>
  <si>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</si>
  <si>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</si>
  <si>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</si>
  <si>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</si>
  <si>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</si>
  <si>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</si>
  <si>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</si>
  <si>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</si>
  <si>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</si>
  <si>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</si>
  <si>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</si>
  <si>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</si>
  <si>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</si>
  <si>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</si>
  <si>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</si>
  <si>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</si>
  <si>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</si>
  <si>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</si>
  <si>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</si>
  <si>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</si>
  <si>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</si>
  <si>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</si>
  <si>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</si>
  <si>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</si>
  <si>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</si>
  <si>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</si>
  <si>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</si>
  <si>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</si>
  <si>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</si>
  <si>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</si>
  <si>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</si>
  <si>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</si>
  <si>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</si>
  <si>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</si>
  <si>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</si>
  <si>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</si>
  <si>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</si>
  <si>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</si>
  <si>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</si>
  <si>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</si>
  <si>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</si>
  <si>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</si>
  <si>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</si>
  <si>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</si>
  <si>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</si>
  <si>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</si>
  <si>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</si>
  <si>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</si>
  <si>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</si>
  <si>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</si>
  <si>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</si>
  <si>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</si>
  <si>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</si>
  <si>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</si>
  <si>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</si>
  <si>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</si>
  <si>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</si>
  <si>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</si>
  <si>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</si>
  <si>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</si>
  <si>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</si>
  <si>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</si>
  <si>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</si>
  <si>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</si>
  <si>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</si>
  <si>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</si>
  <si>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</si>
  <si>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</si>
  <si>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</si>
  <si>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</si>
  <si>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</si>
  <si>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</si>
  <si>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</si>
  <si>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</si>
  <si>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</si>
  <si>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</si>
  <si>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</si>
  <si>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</si>
  <si>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</si>
  <si>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</si>
  <si>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</si>
  <si>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</si>
  <si>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</si>
  <si>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</si>
  <si>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</si>
  <si>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</si>
  <si>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</si>
  <si>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</si>
  <si>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</si>
  <si>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</si>
  <si>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</si>
  <si>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</si>
  <si>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</si>
  <si>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</si>
  <si>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</si>
  <si>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</si>
  <si>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</si>
  <si>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</si>
  <si>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</si>
  <si>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</si>
  <si>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</si>
  <si>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</si>
  <si>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</si>
  <si>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</si>
  <si>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</si>
  <si>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</si>
  <si>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</si>
  <si>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</si>
  <si>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</si>
  <si>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</si>
  <si>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</si>
  <si>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</si>
  <si>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</si>
  <si>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</si>
  <si>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</si>
  <si>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</si>
  <si>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</si>
  <si>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</si>
  <si>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</si>
  <si>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</si>
  <si>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</si>
  <si>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</si>
  <si>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</si>
  <si>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</si>
  <si>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</si>
  <si>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</si>
  <si>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</si>
  <si>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</si>
  <si>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</si>
  <si>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</si>
  <si>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</si>
  <si>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</si>
  <si>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</si>
  <si>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</si>
  <si>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</si>
  <si>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</si>
  <si>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</si>
  <si>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</si>
  <si>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</si>
  <si>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</si>
  <si>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</si>
  <si>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</si>
  <si>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</si>
  <si>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</si>
  <si>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</si>
  <si>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</si>
  <si>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</si>
  <si>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</si>
  <si>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</si>
  <si>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</si>
  <si>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</si>
  <si>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</si>
  <si>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</si>
  <si>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</si>
  <si>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</si>
  <si>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</si>
  <si>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</si>
  <si>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</si>
  <si>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</si>
  <si>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</si>
  <si>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</si>
  <si>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</si>
  <si>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</si>
  <si>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</si>
  <si>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</si>
  <si>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</si>
  <si>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</si>
  <si>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</si>
  <si>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</si>
  <si>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</si>
  <si>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</si>
  <si>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</si>
  <si>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</si>
  <si>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</si>
  <si>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</si>
  <si>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</si>
  <si>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</si>
  <si>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</si>
  <si>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</si>
  <si>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</si>
  <si>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</si>
  <si>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</si>
  <si>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</si>
  <si>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</si>
  <si>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</si>
  <si>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</si>
  <si>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</si>
  <si>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</si>
  <si>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</si>
  <si>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</si>
  <si>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</si>
  <si>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</si>
  <si>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</si>
  <si>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</si>
  <si>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</si>
  <si>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</si>
  <si>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</si>
  <si>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</si>
  <si>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</si>
  <si>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</si>
  <si>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</si>
  <si>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</si>
  <si>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</si>
  <si>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</si>
  <si>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</si>
  <si>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</si>
  <si>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</si>
  <si>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</si>
  <si>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</si>
  <si>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</si>
  <si>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</si>
  <si>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</si>
  <si>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</si>
  <si>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</si>
  <si>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</si>
  <si>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</si>
  <si>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</si>
  <si>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</si>
  <si>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</si>
  <si>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</si>
  <si>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</si>
  <si>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</si>
  <si>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</si>
  <si>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</si>
  <si>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</si>
  <si>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</si>
  <si>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</si>
  <si>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</si>
  <si>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</si>
  <si>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</si>
  <si>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</si>
  <si>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</si>
  <si>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</si>
  <si>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</si>
  <si>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</si>
  <si>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</si>
  <si>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</si>
  <si>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</si>
  <si>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</si>
  <si>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</si>
  <si>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</si>
  <si>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</si>
  <si>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</si>
  <si>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</si>
  <si>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</si>
  <si>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</si>
  <si>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</si>
  <si>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</si>
  <si>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</si>
  <si>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</si>
  <si>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</si>
  <si>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</si>
  <si>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</si>
  <si>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</si>
  <si>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</si>
  <si>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</si>
  <si>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</si>
  <si>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</si>
  <si>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</si>
  <si>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</si>
  <si>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</si>
  <si>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</si>
  <si>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</si>
  <si>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</si>
  <si>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</si>
  <si>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</si>
  <si>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</si>
  <si>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</si>
  <si>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</si>
  <si>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</si>
  <si>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</si>
  <si>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</si>
  <si>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</si>
  <si>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</si>
  <si>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</si>
  <si>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</si>
  <si>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</si>
  <si>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</si>
  <si>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</si>
  <si>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</si>
  <si>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</si>
  <si>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</si>
  <si>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</si>
  <si>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</si>
  <si>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</si>
  <si>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</si>
  <si>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</si>
  <si>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</si>
  <si>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</si>
  <si>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</si>
  <si>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</si>
  <si>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</si>
  <si>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</si>
  <si>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</si>
  <si>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</si>
  <si>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</si>
  <si>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</si>
  <si>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</si>
  <si>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</si>
  <si>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</si>
  <si>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</si>
  <si>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</si>
  <si>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</si>
  <si>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</si>
  <si>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</si>
  <si>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</si>
  <si>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</si>
  <si>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</si>
  <si>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</si>
  <si>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</si>
  <si>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</si>
  <si>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</si>
  <si>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</si>
  <si>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</si>
  <si>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</si>
  <si>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</si>
  <si>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</si>
  <si>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</si>
  <si>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</si>
  <si>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</si>
  <si>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</si>
  <si>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</si>
  <si>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</si>
  <si>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</si>
  <si>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</si>
  <si>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</si>
  <si>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</si>
  <si>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</si>
  <si>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</si>
  <si>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</si>
  <si>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</si>
  <si>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</si>
  <si>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</si>
  <si>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</si>
  <si>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</si>
  <si>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</si>
  <si>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</si>
  <si>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</si>
  <si>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</si>
  <si>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</si>
  <si>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</si>
  <si>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</si>
  <si>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</si>
  <si>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</si>
  <si>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</si>
  <si>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</si>
  <si>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</si>
  <si>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</si>
  <si>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</si>
  <si>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</si>
  <si>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</si>
  <si>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</si>
  <si>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</si>
  <si>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</si>
  <si>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</si>
  <si>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</si>
  <si>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</si>
  <si>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</si>
  <si>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</si>
  <si>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</si>
  <si>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</si>
  <si>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</si>
  <si>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</si>
  <si>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</si>
  <si>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</si>
  <si>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</si>
  <si>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</si>
  <si>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</si>
  <si>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</si>
  <si>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</si>
  <si>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</si>
  <si>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</si>
  <si>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</si>
  <si>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</si>
  <si>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</si>
  <si>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</si>
  <si>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</si>
  <si>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</si>
  <si>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</si>
  <si>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</si>
  <si>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</si>
  <si>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</si>
  <si>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</si>
  <si>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</si>
  <si>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</si>
  <si>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</si>
  <si>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</si>
  <si>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</si>
  <si>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</si>
  <si>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</si>
  <si>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</si>
  <si>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</si>
  <si>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</si>
  <si>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</si>
  <si>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</si>
  <si>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</si>
  <si>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</si>
  <si>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</si>
  <si>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</si>
  <si>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</si>
  <si>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</si>
  <si>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</si>
  <si>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</si>
  <si>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</si>
  <si>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</si>
  <si>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</si>
  <si>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</si>
  <si>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</si>
  <si>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</si>
  <si>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</si>
  <si>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</si>
  <si>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</si>
  <si>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</si>
  <si>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</si>
  <si>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</si>
  <si>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</si>
  <si>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</si>
  <si>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</si>
  <si>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</si>
  <si>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</si>
  <si>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</si>
  <si>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</si>
  <si>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</si>
  <si>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</si>
  <si>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</si>
  <si>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</si>
  <si>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</si>
  <si>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</si>
  <si>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</si>
  <si>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</si>
  <si>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</si>
  <si>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</si>
  <si>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</si>
  <si>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</si>
  <si>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</si>
  <si>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</si>
  <si>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</si>
  <si>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</si>
  <si>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</si>
  <si>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</si>
  <si>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</si>
  <si>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</si>
  <si>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</si>
  <si>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</si>
  <si>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</si>
  <si>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</si>
  <si>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</si>
  <si>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</si>
  <si>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</si>
  <si>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</si>
  <si>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</si>
  <si>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</si>
  <si>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</si>
  <si>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</si>
  <si>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</si>
  <si>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</si>
  <si>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</si>
  <si>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</si>
  <si>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</si>
  <si>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</si>
  <si>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</si>
  <si>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</si>
  <si>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</si>
  <si>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</si>
  <si>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</si>
  <si>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</si>
  <si>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</si>
  <si>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</si>
  <si>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</si>
  <si>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</si>
  <si>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</si>
  <si>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</si>
  <si>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</si>
  <si>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</si>
  <si>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</si>
  <si>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</si>
  <si>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</si>
  <si>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</si>
  <si>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</si>
  <si>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</si>
  <si>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</si>
  <si>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</si>
  <si>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</si>
  <si>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</si>
  <si>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(주)동해엔지니어링</t>
    <phoneticPr fontId="7" type="noConversion"/>
  </si>
  <si>
    <t>유성구 죽동 305</t>
  </si>
  <si>
    <t>2024년, 대전 유성여자고등학교, 연장허가</t>
    <phoneticPr fontId="7" type="noConversion"/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</si>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</sst>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28" fillId="3" borderId="82" xfId="0" applyFont="1" applyFill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1117.7</c:v>
                </c:pt>
                <c:pt idx="1">
                  <c:v>822.7</c:v>
                </c:pt>
                <c:pt idx="2">
                  <c:v>1228.4000000000001</c:v>
                </c:pt>
                <c:pt idx="3">
                  <c:v>1127.5</c:v>
                </c:pt>
                <c:pt idx="4">
                  <c:v>1542.1</c:v>
                </c:pt>
                <c:pt idx="5">
                  <c:v>984.2</c:v>
                </c:pt>
                <c:pt idx="6">
                  <c:v>1614</c:v>
                </c:pt>
                <c:pt idx="7">
                  <c:v>1109.5</c:v>
                </c:pt>
                <c:pt idx="8">
                  <c:v>1203.0999999999999</c:v>
                </c:pt>
                <c:pt idx="9">
                  <c:v>2040.7</c:v>
                </c:pt>
                <c:pt idx="10">
                  <c:v>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857.9</c:v>
                </c:pt>
                <c:pt idx="1">
                  <c:v>1136.2</c:v>
                </c:pt>
                <c:pt idx="2">
                  <c:v>1279.2</c:v>
                </c:pt>
                <c:pt idx="3">
                  <c:v>1765.9</c:v>
                </c:pt>
                <c:pt idx="4">
                  <c:v>2070</c:v>
                </c:pt>
                <c:pt idx="5">
                  <c:v>1455.2</c:v>
                </c:pt>
                <c:pt idx="6">
                  <c:v>1707.5</c:v>
                </c:pt>
                <c:pt idx="7">
                  <c:v>828.7</c:v>
                </c:pt>
                <c:pt idx="8">
                  <c:v>1378.7</c:v>
                </c:pt>
                <c:pt idx="9">
                  <c:v>1748.9</c:v>
                </c:pt>
                <c:pt idx="10">
                  <c:v>1496.5</c:v>
                </c:pt>
                <c:pt idx="11">
                  <c:v>1656.1</c:v>
                </c:pt>
                <c:pt idx="12">
                  <c:v>1195.2</c:v>
                </c:pt>
                <c:pt idx="13">
                  <c:v>1750.9</c:v>
                </c:pt>
                <c:pt idx="14">
                  <c:v>1037.5999999999999</c:v>
                </c:pt>
                <c:pt idx="15">
                  <c:v>1090.4000000000001</c:v>
                </c:pt>
                <c:pt idx="16">
                  <c:v>1419.7</c:v>
                </c:pt>
                <c:pt idx="17">
                  <c:v>1943.4</c:v>
                </c:pt>
                <c:pt idx="18">
                  <c:v>1409.5</c:v>
                </c:pt>
                <c:pt idx="19">
                  <c:v>1120.2</c:v>
                </c:pt>
                <c:pt idx="20">
                  <c:v>1117.7</c:v>
                </c:pt>
                <c:pt idx="21">
                  <c:v>822.7</c:v>
                </c:pt>
                <c:pt idx="22">
                  <c:v>1228.4000000000001</c:v>
                </c:pt>
                <c:pt idx="23">
                  <c:v>1127.5</c:v>
                </c:pt>
                <c:pt idx="24">
                  <c:v>1542.1</c:v>
                </c:pt>
                <c:pt idx="25">
                  <c:v>984.2</c:v>
                </c:pt>
                <c:pt idx="26">
                  <c:v>1614</c:v>
                </c:pt>
                <c:pt idx="27">
                  <c:v>1109.5</c:v>
                </c:pt>
                <c:pt idx="28">
                  <c:v>1203.0999999999999</c:v>
                </c:pt>
                <c:pt idx="29">
                  <c:v>2040.7</c:v>
                </c:pt>
                <c:pt idx="30">
                  <c:v>1371.3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22.2</c:v>
                </c:pt>
                <c:pt idx="1">
                  <c:v>32.200000000000003</c:v>
                </c:pt>
                <c:pt idx="2">
                  <c:v>52.3</c:v>
                </c:pt>
                <c:pt idx="3">
                  <c:v>82.4</c:v>
                </c:pt>
                <c:pt idx="4">
                  <c:v>74</c:v>
                </c:pt>
                <c:pt idx="5">
                  <c:v>111.9</c:v>
                </c:pt>
                <c:pt idx="6">
                  <c:v>321.89999999999998</c:v>
                </c:pt>
                <c:pt idx="7">
                  <c:v>263</c:v>
                </c:pt>
                <c:pt idx="8">
                  <c:v>149.6</c:v>
                </c:pt>
                <c:pt idx="9">
                  <c:v>80</c:v>
                </c:pt>
                <c:pt idx="10">
                  <c:v>52.5</c:v>
                </c:pt>
                <c:pt idx="11">
                  <c:v>37.1</c:v>
                </c:pt>
                <c:pt idx="12">
                  <c:v>106.6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8.emf"/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6" Type="http://schemas.openxmlformats.org/officeDocument/2006/relationships/image" Target="../media/image53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5" Type="http://schemas.openxmlformats.org/officeDocument/2006/relationships/image" Target="../media/image38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Relationship Id="rId14" Type="http://schemas.openxmlformats.org/officeDocument/2006/relationships/image" Target="../media/image3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5" Type="http://schemas.openxmlformats.org/officeDocument/2006/relationships/image" Target="../media/image59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0.emf"/><Relationship Id="rId5" Type="http://schemas.openxmlformats.org/officeDocument/2006/relationships/image" Target="../media/image64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4" t="s">
        <v>355</v>
      </c>
      <c r="C2" s="634" t="s">
        <v>821</v>
      </c>
    </row>
    <row r="3" spans="2:3" ht="20.100000000000001" customHeight="1">
      <c r="B3" s="634" t="s">
        <v>716</v>
      </c>
      <c r="C3" s="634" t="s">
        <v>708</v>
      </c>
    </row>
    <row r="4" spans="2:3" ht="20.100000000000001" customHeight="1">
      <c r="B4" s="634" t="s">
        <v>717</v>
      </c>
      <c r="C4" s="634" t="s">
        <v>708</v>
      </c>
    </row>
    <row r="5" spans="2:3" ht="20.100000000000001" customHeight="1">
      <c r="B5" s="634" t="s">
        <v>718</v>
      </c>
      <c r="C5" s="634" t="s">
        <v>708</v>
      </c>
    </row>
    <row r="6" spans="2:3" ht="20.100000000000001" customHeight="1">
      <c r="B6" s="634" t="s">
        <v>719</v>
      </c>
      <c r="C6" s="634" t="s">
        <v>708</v>
      </c>
    </row>
    <row r="7" spans="2:3" ht="20.100000000000001" customHeight="1">
      <c r="B7" s="634" t="s">
        <v>720</v>
      </c>
      <c r="C7" s="634" t="s">
        <v>708</v>
      </c>
    </row>
    <row r="8" spans="2:3" ht="20.100000000000001" customHeight="1">
      <c r="B8" s="634" t="s">
        <v>721</v>
      </c>
      <c r="C8" s="634" t="s">
        <v>708</v>
      </c>
    </row>
    <row r="9" spans="2:3" ht="20.100000000000001" customHeight="1">
      <c r="B9" s="634" t="s">
        <v>715</v>
      </c>
      <c r="C9" s="634" t="s">
        <v>708</v>
      </c>
    </row>
    <row r="10" spans="2:3" ht="20.100000000000001" customHeight="1">
      <c r="B10" s="634" t="s">
        <v>709</v>
      </c>
      <c r="C10" s="634" t="s">
        <v>708</v>
      </c>
    </row>
    <row r="11" spans="2:3" ht="20.100000000000001" customHeight="1">
      <c r="B11" s="634" t="s">
        <v>722</v>
      </c>
      <c r="C11" s="634" t="s">
        <v>708</v>
      </c>
    </row>
    <row r="12" spans="2:3" ht="20.100000000000001" customHeight="1">
      <c r="B12" s="634" t="s">
        <v>723</v>
      </c>
      <c r="C12" s="634" t="s">
        <v>708</v>
      </c>
    </row>
    <row r="13" spans="2:3" ht="20.100000000000001" customHeight="1">
      <c r="B13" s="634" t="s">
        <v>724</v>
      </c>
      <c r="C13" s="634" t="s">
        <v>708</v>
      </c>
    </row>
    <row r="14" spans="2:3" ht="20.100000000000001" customHeight="1">
      <c r="B14" s="634" t="s">
        <v>725</v>
      </c>
      <c r="C14" s="634" t="s">
        <v>708</v>
      </c>
    </row>
    <row r="15" spans="2:3" ht="20.100000000000001" customHeight="1">
      <c r="B15" s="634" t="s">
        <v>726</v>
      </c>
      <c r="C15" s="634" t="s">
        <v>727</v>
      </c>
    </row>
    <row r="16" spans="2:3" ht="20.100000000000001" customHeight="1">
      <c r="B16" s="634" t="s">
        <v>728</v>
      </c>
      <c r="C16" s="634" t="s">
        <v>727</v>
      </c>
    </row>
    <row r="17" spans="2:3" ht="20.100000000000001" customHeight="1">
      <c r="B17" s="634" t="s">
        <v>729</v>
      </c>
      <c r="C17" s="634" t="s">
        <v>727</v>
      </c>
    </row>
    <row r="18" spans="2:3" ht="20.100000000000001" customHeight="1">
      <c r="B18" s="634" t="s">
        <v>730</v>
      </c>
      <c r="C18" s="634" t="s">
        <v>727</v>
      </c>
    </row>
    <row r="19" spans="2:3" ht="20.100000000000001" customHeight="1">
      <c r="B19" s="634" t="s">
        <v>731</v>
      </c>
      <c r="C19" s="634" t="s">
        <v>727</v>
      </c>
    </row>
    <row r="20" spans="2:3" ht="20.100000000000001" customHeight="1">
      <c r="B20" s="634" t="s">
        <v>732</v>
      </c>
      <c r="C20" s="634" t="s">
        <v>727</v>
      </c>
    </row>
    <row r="21" spans="2:3" ht="20.100000000000001" customHeight="1">
      <c r="B21" s="634" t="s">
        <v>733</v>
      </c>
      <c r="C21" s="634" t="s">
        <v>727</v>
      </c>
    </row>
    <row r="22" spans="2:3" ht="20.100000000000001" customHeight="1">
      <c r="B22" s="634" t="s">
        <v>734</v>
      </c>
      <c r="C22" s="634" t="s">
        <v>727</v>
      </c>
    </row>
    <row r="23" spans="2:3" ht="20.100000000000001" customHeight="1">
      <c r="B23" s="634" t="s">
        <v>735</v>
      </c>
      <c r="C23" s="634" t="s">
        <v>727</v>
      </c>
    </row>
    <row r="24" spans="2:3" ht="20.100000000000001" customHeight="1">
      <c r="B24" s="634" t="s">
        <v>736</v>
      </c>
      <c r="C24" s="634" t="s">
        <v>727</v>
      </c>
    </row>
    <row r="25" spans="2:3" ht="20.100000000000001" customHeight="1">
      <c r="B25" s="634" t="s">
        <v>737</v>
      </c>
      <c r="C25" s="634" t="s">
        <v>738</v>
      </c>
    </row>
    <row r="26" spans="2:3" ht="20.100000000000001" customHeight="1">
      <c r="B26" s="634" t="s">
        <v>739</v>
      </c>
      <c r="C26" s="634" t="s">
        <v>738</v>
      </c>
    </row>
    <row r="27" spans="2:3" ht="20.100000000000001" customHeight="1">
      <c r="B27" s="634" t="s">
        <v>740</v>
      </c>
      <c r="C27" s="634" t="s">
        <v>738</v>
      </c>
    </row>
    <row r="28" spans="2:3" ht="20.100000000000001" customHeight="1">
      <c r="B28" s="634" t="s">
        <v>741</v>
      </c>
      <c r="C28" s="634" t="s">
        <v>738</v>
      </c>
    </row>
    <row r="29" spans="2:3" ht="20.100000000000001" customHeight="1">
      <c r="B29" s="634" t="s">
        <v>742</v>
      </c>
      <c r="C29" s="634" t="s">
        <v>738</v>
      </c>
    </row>
    <row r="30" spans="2:3" ht="20.100000000000001" customHeight="1">
      <c r="B30" s="634" t="s">
        <v>743</v>
      </c>
      <c r="C30" s="634" t="s">
        <v>738</v>
      </c>
    </row>
    <row r="31" spans="2:3" ht="20.100000000000001" customHeight="1">
      <c r="B31" s="634" t="s">
        <v>744</v>
      </c>
      <c r="C31" s="634" t="s">
        <v>738</v>
      </c>
    </row>
    <row r="32" spans="2:3" ht="20.100000000000001" customHeight="1">
      <c r="B32" s="634" t="s">
        <v>745</v>
      </c>
      <c r="C32" s="634" t="s">
        <v>738</v>
      </c>
    </row>
    <row r="33" spans="2:3" ht="20.100000000000001" customHeight="1">
      <c r="B33" s="634" t="s">
        <v>746</v>
      </c>
      <c r="C33" s="634" t="s">
        <v>738</v>
      </c>
    </row>
    <row r="34" spans="2:3" ht="20.100000000000001" customHeight="1">
      <c r="B34" s="634" t="s">
        <v>747</v>
      </c>
      <c r="C34" s="634" t="s">
        <v>738</v>
      </c>
    </row>
    <row r="35" spans="2:3" ht="20.100000000000001" customHeight="1">
      <c r="B35" s="634" t="s">
        <v>748</v>
      </c>
      <c r="C35" s="634" t="s">
        <v>738</v>
      </c>
    </row>
    <row r="36" spans="2:3" ht="20.100000000000001" customHeight="1">
      <c r="B36" s="634" t="s">
        <v>749</v>
      </c>
      <c r="C36" s="634" t="s">
        <v>738</v>
      </c>
    </row>
    <row r="37" spans="2:3" ht="20.100000000000001" customHeight="1">
      <c r="B37" s="634" t="s">
        <v>750</v>
      </c>
      <c r="C37" s="634" t="s">
        <v>738</v>
      </c>
    </row>
    <row r="38" spans="2:3" ht="20.100000000000001" customHeight="1">
      <c r="B38" s="634" t="s">
        <v>751</v>
      </c>
      <c r="C38" s="634" t="s">
        <v>738</v>
      </c>
    </row>
    <row r="39" spans="2:3" ht="20.100000000000001" customHeight="1">
      <c r="B39" s="634" t="s">
        <v>752</v>
      </c>
      <c r="C39" s="634" t="s">
        <v>738</v>
      </c>
    </row>
    <row r="40" spans="2:3" ht="20.100000000000001" customHeight="1">
      <c r="B40" s="634" t="s">
        <v>753</v>
      </c>
      <c r="C40" s="634" t="s">
        <v>754</v>
      </c>
    </row>
    <row r="41" spans="2:3" ht="20.100000000000001" customHeight="1">
      <c r="B41" s="634" t="s">
        <v>755</v>
      </c>
      <c r="C41" s="634" t="s">
        <v>754</v>
      </c>
    </row>
    <row r="42" spans="2:3" ht="20.100000000000001" customHeight="1">
      <c r="B42" s="634" t="s">
        <v>756</v>
      </c>
      <c r="C42" s="634" t="s">
        <v>754</v>
      </c>
    </row>
    <row r="43" spans="2:3" ht="20.100000000000001" customHeight="1">
      <c r="B43" s="634" t="s">
        <v>757</v>
      </c>
      <c r="C43" s="634" t="s">
        <v>754</v>
      </c>
    </row>
    <row r="44" spans="2:3" ht="20.100000000000001" customHeight="1">
      <c r="B44" s="634" t="s">
        <v>758</v>
      </c>
      <c r="C44" s="634" t="s">
        <v>754</v>
      </c>
    </row>
    <row r="45" spans="2:3" ht="20.100000000000001" customHeight="1">
      <c r="B45" s="634" t="s">
        <v>759</v>
      </c>
      <c r="C45" s="634" t="s">
        <v>754</v>
      </c>
    </row>
    <row r="46" spans="2:3" ht="20.100000000000001" customHeight="1">
      <c r="B46" s="634" t="s">
        <v>760</v>
      </c>
      <c r="C46" s="634" t="s">
        <v>754</v>
      </c>
    </row>
    <row r="47" spans="2:3" ht="20.100000000000001" customHeight="1">
      <c r="B47" s="634" t="s">
        <v>761</v>
      </c>
      <c r="C47" s="634" t="s">
        <v>754</v>
      </c>
    </row>
    <row r="48" spans="2:3" ht="20.100000000000001" customHeight="1">
      <c r="B48" s="634" t="s">
        <v>762</v>
      </c>
      <c r="C48" s="634" t="s">
        <v>754</v>
      </c>
    </row>
    <row r="49" spans="2:3" ht="20.100000000000001" customHeight="1">
      <c r="B49" s="634" t="s">
        <v>763</v>
      </c>
      <c r="C49" s="634" t="s">
        <v>754</v>
      </c>
    </row>
    <row r="50" spans="2:3" ht="20.100000000000001" customHeight="1">
      <c r="B50" s="634" t="s">
        <v>764</v>
      </c>
      <c r="C50" s="634" t="s">
        <v>754</v>
      </c>
    </row>
    <row r="51" spans="2:3" ht="20.100000000000001" customHeight="1">
      <c r="B51" s="634" t="s">
        <v>765</v>
      </c>
      <c r="C51" s="634" t="s">
        <v>754</v>
      </c>
    </row>
    <row r="52" spans="2:3" ht="20.100000000000001" customHeight="1">
      <c r="B52" s="634" t="s">
        <v>766</v>
      </c>
      <c r="C52" s="634" t="s">
        <v>754</v>
      </c>
    </row>
    <row r="53" spans="2:3" ht="20.100000000000001" customHeight="1">
      <c r="B53" s="634" t="s">
        <v>767</v>
      </c>
      <c r="C53" s="634" t="s">
        <v>754</v>
      </c>
    </row>
    <row r="54" spans="2:3" ht="20.100000000000001" customHeight="1">
      <c r="B54" s="634" t="s">
        <v>768</v>
      </c>
      <c r="C54" s="634" t="s">
        <v>754</v>
      </c>
    </row>
    <row r="55" spans="2:3" ht="20.100000000000001" customHeight="1">
      <c r="B55" s="634" t="s">
        <v>769</v>
      </c>
      <c r="C55" s="634" t="s">
        <v>754</v>
      </c>
    </row>
    <row r="56" spans="2:3" ht="20.100000000000001" customHeight="1">
      <c r="B56" s="634" t="s">
        <v>770</v>
      </c>
      <c r="C56" s="634" t="s">
        <v>754</v>
      </c>
    </row>
    <row r="57" spans="2:3" ht="20.100000000000001" customHeight="1">
      <c r="B57" s="634" t="s">
        <v>771</v>
      </c>
      <c r="C57" s="634" t="s">
        <v>754</v>
      </c>
    </row>
    <row r="58" spans="2:3" ht="20.100000000000001" customHeight="1">
      <c r="B58" s="634" t="s">
        <v>772</v>
      </c>
      <c r="C58" s="634" t="s">
        <v>754</v>
      </c>
    </row>
    <row r="59" spans="2:3" ht="20.100000000000001" customHeight="1">
      <c r="B59" s="634" t="s">
        <v>773</v>
      </c>
      <c r="C59" s="634" t="s">
        <v>754</v>
      </c>
    </row>
    <row r="60" spans="2:3" ht="20.100000000000001" customHeight="1">
      <c r="B60" s="634" t="s">
        <v>774</v>
      </c>
      <c r="C60" s="634" t="s">
        <v>754</v>
      </c>
    </row>
    <row r="61" spans="2:3" ht="20.100000000000001" customHeight="1">
      <c r="B61" s="634" t="s">
        <v>775</v>
      </c>
      <c r="C61" s="634" t="s">
        <v>754</v>
      </c>
    </row>
    <row r="62" spans="2:3" ht="20.100000000000001" customHeight="1">
      <c r="B62" s="634" t="s">
        <v>776</v>
      </c>
      <c r="C62" s="634" t="s">
        <v>754</v>
      </c>
    </row>
    <row r="63" spans="2:3" ht="20.100000000000001" customHeight="1">
      <c r="B63" s="634" t="s">
        <v>777</v>
      </c>
      <c r="C63" s="634" t="s">
        <v>754</v>
      </c>
    </row>
    <row r="64" spans="2:3" ht="20.100000000000001" customHeight="1">
      <c r="B64" s="634" t="s">
        <v>778</v>
      </c>
      <c r="C64" s="634" t="s">
        <v>754</v>
      </c>
    </row>
    <row r="65" spans="2:3" ht="20.100000000000001" customHeight="1">
      <c r="B65" s="634" t="s">
        <v>779</v>
      </c>
      <c r="C65" s="634" t="s">
        <v>754</v>
      </c>
    </row>
    <row r="66" spans="2:3" ht="20.100000000000001" customHeight="1">
      <c r="B66" s="634" t="s">
        <v>780</v>
      </c>
      <c r="C66" s="634" t="s">
        <v>754</v>
      </c>
    </row>
    <row r="67" spans="2:3" ht="20.100000000000001" customHeight="1">
      <c r="B67" s="634" t="s">
        <v>781</v>
      </c>
      <c r="C67" s="634" t="s">
        <v>754</v>
      </c>
    </row>
    <row r="68" spans="2:3" ht="20.100000000000001" customHeight="1">
      <c r="B68" s="634" t="s">
        <v>782</v>
      </c>
      <c r="C68" s="634" t="s">
        <v>783</v>
      </c>
    </row>
    <row r="69" spans="2:3" ht="20.100000000000001" customHeight="1">
      <c r="B69" s="634" t="s">
        <v>784</v>
      </c>
      <c r="C69" s="634" t="s">
        <v>783</v>
      </c>
    </row>
    <row r="70" spans="2:3" ht="20.100000000000001" customHeight="1">
      <c r="B70" s="634" t="s">
        <v>785</v>
      </c>
      <c r="C70" s="634" t="s">
        <v>783</v>
      </c>
    </row>
    <row r="71" spans="2:3" ht="20.100000000000001" customHeight="1">
      <c r="B71" s="634" t="s">
        <v>786</v>
      </c>
      <c r="C71" s="634" t="s">
        <v>783</v>
      </c>
    </row>
    <row r="72" spans="2:3" ht="20.100000000000001" customHeight="1">
      <c r="B72" s="634" t="s">
        <v>787</v>
      </c>
      <c r="C72" s="634" t="s">
        <v>783</v>
      </c>
    </row>
    <row r="73" spans="2:3" ht="20.100000000000001" customHeight="1">
      <c r="B73" s="634" t="s">
        <v>788</v>
      </c>
      <c r="C73" s="634" t="s">
        <v>783</v>
      </c>
    </row>
    <row r="74" spans="2:3" ht="20.100000000000001" customHeight="1">
      <c r="B74" s="634" t="s">
        <v>789</v>
      </c>
      <c r="C74" s="634" t="s">
        <v>783</v>
      </c>
    </row>
    <row r="75" spans="2:3" ht="20.100000000000001" customHeight="1">
      <c r="B75" s="634" t="s">
        <v>790</v>
      </c>
      <c r="C75" s="634" t="s">
        <v>783</v>
      </c>
    </row>
    <row r="76" spans="2:3" ht="20.100000000000001" customHeight="1">
      <c r="B76" s="634" t="s">
        <v>791</v>
      </c>
      <c r="C76" s="634" t="s">
        <v>783</v>
      </c>
    </row>
    <row r="77" spans="2:3" ht="20.100000000000001" customHeight="1">
      <c r="B77" s="634" t="s">
        <v>792</v>
      </c>
      <c r="C77" s="634" t="s">
        <v>783</v>
      </c>
    </row>
    <row r="78" spans="2:3" ht="20.100000000000001" customHeight="1">
      <c r="B78" s="634" t="s">
        <v>793</v>
      </c>
      <c r="C78" s="634" t="s">
        <v>783</v>
      </c>
    </row>
    <row r="79" spans="2:3" ht="20.100000000000001" customHeight="1">
      <c r="B79" s="634" t="s">
        <v>794</v>
      </c>
      <c r="C79" s="634" t="s">
        <v>783</v>
      </c>
    </row>
    <row r="80" spans="2:3" ht="20.100000000000001" customHeight="1">
      <c r="B80" s="634" t="s">
        <v>795</v>
      </c>
      <c r="C80" s="634" t="s">
        <v>783</v>
      </c>
    </row>
    <row r="81" spans="2:3" ht="20.100000000000001" customHeight="1">
      <c r="B81" s="634" t="s">
        <v>796</v>
      </c>
      <c r="C81" s="634" t="s">
        <v>783</v>
      </c>
    </row>
    <row r="82" spans="2:3" ht="20.100000000000001" customHeight="1">
      <c r="B82" s="634" t="s">
        <v>797</v>
      </c>
      <c r="C82" s="634" t="s">
        <v>783</v>
      </c>
    </row>
    <row r="83" spans="2:3" ht="20.100000000000001" customHeight="1">
      <c r="B83" s="634" t="s">
        <v>798</v>
      </c>
      <c r="C83" s="634" t="s">
        <v>783</v>
      </c>
    </row>
    <row r="84" spans="2:3" ht="20.100000000000001" customHeight="1">
      <c r="B84" s="634" t="s">
        <v>799</v>
      </c>
      <c r="C84" s="634" t="s">
        <v>783</v>
      </c>
    </row>
    <row r="85" spans="2:3" ht="20.100000000000001" customHeight="1">
      <c r="B85" s="634" t="s">
        <v>800</v>
      </c>
      <c r="C85" s="634" t="s">
        <v>783</v>
      </c>
    </row>
    <row r="86" spans="2:3" ht="20.100000000000001" customHeight="1">
      <c r="B86" s="634" t="s">
        <v>801</v>
      </c>
      <c r="C86" s="634" t="s">
        <v>783</v>
      </c>
    </row>
    <row r="87" spans="2:3" ht="20.100000000000001" customHeight="1">
      <c r="B87" s="634" t="s">
        <v>802</v>
      </c>
      <c r="C87" s="634" t="s">
        <v>783</v>
      </c>
    </row>
    <row r="88" spans="2:3" ht="20.100000000000001" customHeight="1">
      <c r="B88" s="634" t="s">
        <v>803</v>
      </c>
      <c r="C88" s="634" t="s">
        <v>783</v>
      </c>
    </row>
    <row r="89" spans="2:3" ht="20.100000000000001" customHeight="1">
      <c r="B89" s="634" t="s">
        <v>804</v>
      </c>
      <c r="C89" s="634" t="s">
        <v>783</v>
      </c>
    </row>
    <row r="90" spans="2:3" ht="20.100000000000001" customHeight="1">
      <c r="B90" s="634" t="s">
        <v>805</v>
      </c>
      <c r="C90" s="634" t="s">
        <v>783</v>
      </c>
    </row>
    <row r="91" spans="2:3" ht="20.100000000000001" customHeight="1">
      <c r="B91" s="634" t="s">
        <v>806</v>
      </c>
      <c r="C91" s="634" t="s">
        <v>783</v>
      </c>
    </row>
    <row r="92" spans="2:3" ht="20.100000000000001" customHeight="1">
      <c r="B92" s="634" t="s">
        <v>807</v>
      </c>
      <c r="C92" s="634" t="s">
        <v>783</v>
      </c>
    </row>
    <row r="93" spans="2:3" ht="20.100000000000001" customHeight="1">
      <c r="B93" s="634" t="s">
        <v>808</v>
      </c>
      <c r="C93" s="634" t="s">
        <v>783</v>
      </c>
    </row>
    <row r="94" spans="2:3" ht="20.100000000000001" customHeight="1">
      <c r="B94" s="634" t="s">
        <v>809</v>
      </c>
      <c r="C94" s="634" t="s">
        <v>783</v>
      </c>
    </row>
    <row r="95" spans="2:3" ht="20.100000000000001" customHeight="1">
      <c r="B95" s="634" t="s">
        <v>810</v>
      </c>
      <c r="C95" s="634" t="s">
        <v>783</v>
      </c>
    </row>
    <row r="96" spans="2:3" ht="20.100000000000001" customHeight="1">
      <c r="B96" s="634" t="s">
        <v>811</v>
      </c>
      <c r="C96" s="634" t="s">
        <v>783</v>
      </c>
    </row>
    <row r="97" spans="2:3" ht="20.100000000000001" customHeight="1">
      <c r="B97" s="634" t="s">
        <v>812</v>
      </c>
      <c r="C97" s="634" t="s">
        <v>783</v>
      </c>
    </row>
    <row r="98" spans="2:3" ht="20.100000000000001" customHeight="1">
      <c r="B98" s="634" t="s">
        <v>813</v>
      </c>
      <c r="C98" s="634" t="s">
        <v>783</v>
      </c>
    </row>
    <row r="99" spans="2:3" ht="20.100000000000001" customHeight="1">
      <c r="B99" s="634" t="s">
        <v>814</v>
      </c>
      <c r="C99" s="634" t="s">
        <v>783</v>
      </c>
    </row>
    <row r="100" spans="2:3" ht="20.100000000000001" customHeight="1">
      <c r="B100" s="634" t="s">
        <v>815</v>
      </c>
      <c r="C100" s="634" t="s">
        <v>816</v>
      </c>
    </row>
    <row r="101" spans="2:3" ht="20.100000000000001" customHeight="1">
      <c r="B101" s="634" t="s">
        <v>817</v>
      </c>
      <c r="C101" s="634" t="s">
        <v>816</v>
      </c>
    </row>
    <row r="102" spans="2:3" ht="20.100000000000001" customHeight="1">
      <c r="B102" s="634" t="s">
        <v>818</v>
      </c>
      <c r="C102" s="634" t="s">
        <v>816</v>
      </c>
    </row>
    <row r="103" spans="2:3" ht="20.100000000000001" customHeight="1">
      <c r="B103" s="634" t="s">
        <v>819</v>
      </c>
      <c r="C103" s="634" t="s">
        <v>816</v>
      </c>
    </row>
    <row r="104" spans="2:3" ht="16.5">
      <c r="B104" s="634" t="s">
        <v>820</v>
      </c>
      <c r="C104" s="634" t="s">
        <v>816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7" customWidth="1"/>
    <col min="2" max="2" width="16.5546875" style="187" customWidth="1"/>
    <col min="3" max="3" width="7.5546875" style="187" customWidth="1"/>
    <col min="4" max="4" width="7.33203125" style="187" bestFit="1" customWidth="1"/>
    <col min="5" max="5" width="3.21875" style="187" customWidth="1"/>
    <col min="6" max="6" width="8.88671875" style="187"/>
    <col min="7" max="7" width="15.77734375" style="187" customWidth="1"/>
    <col min="8" max="9" width="6.77734375" style="187" customWidth="1"/>
    <col min="10" max="10" width="3.44140625" style="187" customWidth="1"/>
    <col min="11" max="11" width="8.88671875" style="187"/>
    <col min="12" max="12" width="18.77734375" style="187" customWidth="1"/>
    <col min="13" max="14" width="6" style="187" customWidth="1"/>
    <col min="15" max="15" width="3.21875" style="187" customWidth="1"/>
    <col min="16" max="16" width="10.5546875" style="187" customWidth="1"/>
    <col min="17" max="17" width="10.44140625" style="187" customWidth="1"/>
    <col min="18" max="18" width="6.88671875" style="187" customWidth="1"/>
    <col min="19" max="19" width="3.6640625" style="187" customWidth="1"/>
    <col min="20" max="21" width="8.88671875" style="187"/>
    <col min="22" max="22" width="6.44140625" style="187" customWidth="1"/>
    <col min="23" max="23" width="6.5546875" style="187" customWidth="1"/>
    <col min="24" max="24" width="4.21875" style="187" customWidth="1"/>
    <col min="25" max="26" width="8.88671875" style="187"/>
    <col min="27" max="27" width="6.33203125" style="187" customWidth="1"/>
    <col min="28" max="28" width="6.21875" style="187" customWidth="1"/>
    <col min="29" max="29" width="4.77734375" style="187" customWidth="1"/>
    <col min="30" max="30" width="8.88671875" style="187"/>
    <col min="31" max="31" width="7.109375" style="187" customWidth="1"/>
    <col min="32" max="16384" width="8.88671875" style="187"/>
  </cols>
  <sheetData>
    <row r="1" spans="1:17">
      <c r="A1" s="187" t="s">
        <v>355</v>
      </c>
      <c r="B1" s="187" t="s">
        <v>196</v>
      </c>
      <c r="C1" s="187" t="s">
        <v>487</v>
      </c>
      <c r="D1" s="187" t="s">
        <v>486</v>
      </c>
      <c r="F1" s="187" t="s">
        <v>355</v>
      </c>
      <c r="G1" s="187" t="s">
        <v>196</v>
      </c>
      <c r="H1" s="187" t="s">
        <v>487</v>
      </c>
      <c r="I1" s="187" t="s">
        <v>486</v>
      </c>
      <c r="K1" s="187" t="s">
        <v>355</v>
      </c>
      <c r="L1" s="187" t="s">
        <v>196</v>
      </c>
      <c r="M1" s="187" t="s">
        <v>487</v>
      </c>
      <c r="N1" s="187" t="s">
        <v>486</v>
      </c>
      <c r="P1" s="187" t="s">
        <v>355</v>
      </c>
      <c r="Q1" s="187" t="s">
        <v>487</v>
      </c>
    </row>
    <row r="2" spans="1:17">
      <c r="A2" s="187" t="s">
        <v>570</v>
      </c>
      <c r="B2" s="187" t="s">
        <v>569</v>
      </c>
      <c r="C2" s="187">
        <v>116</v>
      </c>
      <c r="D2" s="187">
        <v>14</v>
      </c>
      <c r="F2" s="187" t="s">
        <v>568</v>
      </c>
      <c r="G2" s="187" t="s">
        <v>567</v>
      </c>
      <c r="H2" s="187">
        <v>105</v>
      </c>
      <c r="I2" s="187">
        <v>38</v>
      </c>
      <c r="K2" s="187" t="s">
        <v>566</v>
      </c>
      <c r="L2" s="187" t="s">
        <v>565</v>
      </c>
      <c r="M2" s="187">
        <v>226</v>
      </c>
      <c r="N2" s="187">
        <v>54</v>
      </c>
      <c r="P2" s="187" t="s">
        <v>564</v>
      </c>
      <c r="Q2" s="187" t="s">
        <v>563</v>
      </c>
    </row>
    <row r="3" spans="1:17">
      <c r="A3" s="187" t="s">
        <v>562</v>
      </c>
      <c r="B3" s="187" t="s">
        <v>561</v>
      </c>
      <c r="C3" s="187">
        <v>108</v>
      </c>
      <c r="D3" s="187">
        <v>14</v>
      </c>
      <c r="F3" s="187" t="s">
        <v>560</v>
      </c>
      <c r="G3" s="187" t="s">
        <v>559</v>
      </c>
      <c r="H3" s="187">
        <v>100</v>
      </c>
      <c r="I3" s="187">
        <v>38</v>
      </c>
      <c r="K3" s="187" t="s">
        <v>558</v>
      </c>
      <c r="L3" s="187" t="s">
        <v>557</v>
      </c>
      <c r="M3" s="187">
        <v>221</v>
      </c>
      <c r="N3" s="187">
        <v>54</v>
      </c>
      <c r="P3" s="187" t="s">
        <v>556</v>
      </c>
      <c r="Q3" s="187" t="s">
        <v>555</v>
      </c>
    </row>
    <row r="4" spans="1:17">
      <c r="A4" s="187" t="s">
        <v>554</v>
      </c>
      <c r="B4" s="187" t="s">
        <v>553</v>
      </c>
      <c r="C4" s="187">
        <v>201</v>
      </c>
      <c r="D4" s="187">
        <v>22</v>
      </c>
      <c r="F4" s="187" t="s">
        <v>552</v>
      </c>
      <c r="G4" s="187" t="s">
        <v>551</v>
      </c>
      <c r="H4" s="187">
        <v>106</v>
      </c>
      <c r="I4" s="187">
        <v>38</v>
      </c>
      <c r="K4" s="187" t="s">
        <v>550</v>
      </c>
      <c r="L4" s="187" t="s">
        <v>549</v>
      </c>
      <c r="M4" s="187">
        <v>131</v>
      </c>
      <c r="N4" s="187">
        <v>54</v>
      </c>
      <c r="P4" s="187" t="s">
        <v>548</v>
      </c>
      <c r="Q4" s="187" t="s">
        <v>547</v>
      </c>
    </row>
    <row r="5" spans="1:17">
      <c r="A5" s="187" t="s">
        <v>546</v>
      </c>
      <c r="B5" s="187" t="s">
        <v>545</v>
      </c>
      <c r="C5" s="187">
        <v>102</v>
      </c>
      <c r="D5" s="187">
        <v>22</v>
      </c>
      <c r="F5" s="187" t="s">
        <v>544</v>
      </c>
      <c r="G5" s="187" t="s">
        <v>543</v>
      </c>
      <c r="H5" s="187">
        <v>104</v>
      </c>
      <c r="I5" s="187">
        <v>38</v>
      </c>
      <c r="K5" s="187" t="s">
        <v>542</v>
      </c>
      <c r="L5" s="187" t="s">
        <v>541</v>
      </c>
      <c r="M5" s="187">
        <v>135</v>
      </c>
      <c r="N5" s="187">
        <v>54</v>
      </c>
      <c r="P5" s="187" t="s">
        <v>540</v>
      </c>
      <c r="Q5" s="187" t="s">
        <v>539</v>
      </c>
    </row>
    <row r="6" spans="1:17">
      <c r="A6" s="187" t="s">
        <v>538</v>
      </c>
      <c r="B6" s="187" t="s">
        <v>537</v>
      </c>
      <c r="C6" s="187">
        <v>112</v>
      </c>
      <c r="D6" s="187">
        <v>22</v>
      </c>
      <c r="F6" s="187" t="s">
        <v>536</v>
      </c>
      <c r="G6" s="187" t="s">
        <v>535</v>
      </c>
      <c r="H6" s="187">
        <v>93</v>
      </c>
      <c r="I6" s="187">
        <v>38</v>
      </c>
      <c r="K6" s="187" t="s">
        <v>550</v>
      </c>
      <c r="L6" s="187" t="s">
        <v>534</v>
      </c>
      <c r="M6" s="187">
        <v>127</v>
      </c>
      <c r="N6" s="187">
        <v>54</v>
      </c>
      <c r="P6" s="187" t="s">
        <v>533</v>
      </c>
      <c r="Q6" s="187" t="s">
        <v>532</v>
      </c>
    </row>
    <row r="7" spans="1:17">
      <c r="A7" s="187" t="s">
        <v>531</v>
      </c>
      <c r="B7" s="187" t="s">
        <v>530</v>
      </c>
      <c r="C7" s="187">
        <v>98</v>
      </c>
      <c r="D7" s="187">
        <v>32</v>
      </c>
      <c r="F7" s="187" t="s">
        <v>529</v>
      </c>
      <c r="G7" s="187" t="s">
        <v>528</v>
      </c>
      <c r="H7" s="187">
        <v>214</v>
      </c>
      <c r="I7" s="187">
        <v>38</v>
      </c>
      <c r="K7" s="187" t="s">
        <v>675</v>
      </c>
      <c r="L7" s="187" t="s">
        <v>527</v>
      </c>
      <c r="M7" s="187">
        <v>133</v>
      </c>
      <c r="N7" s="187">
        <v>28</v>
      </c>
      <c r="P7" s="187" t="s">
        <v>526</v>
      </c>
      <c r="Q7" s="187" t="s">
        <v>525</v>
      </c>
    </row>
    <row r="8" spans="1:17">
      <c r="A8" s="187" t="s">
        <v>524</v>
      </c>
      <c r="B8" s="187" t="s">
        <v>523</v>
      </c>
      <c r="C8" s="187">
        <v>119</v>
      </c>
      <c r="D8" s="187">
        <v>32</v>
      </c>
      <c r="F8" s="187" t="s">
        <v>522</v>
      </c>
      <c r="G8" s="187" t="s">
        <v>521</v>
      </c>
      <c r="H8" s="187">
        <v>90</v>
      </c>
      <c r="I8" s="187">
        <v>38</v>
      </c>
      <c r="K8" s="187" t="s">
        <v>520</v>
      </c>
      <c r="L8" s="187" t="s">
        <v>519</v>
      </c>
      <c r="M8" s="187">
        <v>239</v>
      </c>
      <c r="N8" s="187">
        <v>132</v>
      </c>
    </row>
    <row r="9" spans="1:17">
      <c r="A9" s="187" t="s">
        <v>518</v>
      </c>
      <c r="B9" s="187" t="s">
        <v>517</v>
      </c>
      <c r="C9" s="187">
        <v>202</v>
      </c>
      <c r="D9" s="187">
        <v>32</v>
      </c>
      <c r="F9" s="187" t="s">
        <v>516</v>
      </c>
      <c r="G9" s="187" t="s">
        <v>515</v>
      </c>
      <c r="H9" s="187">
        <v>121</v>
      </c>
      <c r="I9" s="187">
        <v>38</v>
      </c>
      <c r="K9" s="187" t="s">
        <v>514</v>
      </c>
      <c r="L9" s="187" t="s">
        <v>513</v>
      </c>
      <c r="M9" s="187">
        <v>238</v>
      </c>
      <c r="N9" s="187">
        <v>60</v>
      </c>
    </row>
    <row r="10" spans="1:17">
      <c r="A10" s="187" t="s">
        <v>512</v>
      </c>
      <c r="B10" s="187" t="s">
        <v>511</v>
      </c>
      <c r="C10" s="187">
        <v>203</v>
      </c>
      <c r="D10" s="187">
        <v>32</v>
      </c>
      <c r="F10" s="187" t="s">
        <v>510</v>
      </c>
      <c r="G10" s="187" t="s">
        <v>509</v>
      </c>
      <c r="H10" s="187">
        <v>114</v>
      </c>
      <c r="I10" s="187">
        <v>38</v>
      </c>
      <c r="K10" s="187" t="s">
        <v>508</v>
      </c>
      <c r="L10" s="187" t="s">
        <v>507</v>
      </c>
      <c r="M10" s="187">
        <v>235</v>
      </c>
      <c r="N10" s="187">
        <v>60</v>
      </c>
    </row>
    <row r="11" spans="1:17">
      <c r="A11" s="187" t="s">
        <v>506</v>
      </c>
      <c r="B11" s="187" t="s">
        <v>505</v>
      </c>
      <c r="C11" s="187">
        <v>99</v>
      </c>
      <c r="D11" s="187">
        <v>32</v>
      </c>
      <c r="F11" s="187" t="s">
        <v>504</v>
      </c>
      <c r="G11" s="187" t="s">
        <v>503</v>
      </c>
      <c r="H11" s="187">
        <v>211</v>
      </c>
      <c r="I11" s="187">
        <v>38</v>
      </c>
      <c r="K11" s="187" t="s">
        <v>502</v>
      </c>
      <c r="L11" s="187" t="s">
        <v>501</v>
      </c>
      <c r="M11" s="187">
        <v>236</v>
      </c>
      <c r="N11" s="187">
        <v>60</v>
      </c>
    </row>
    <row r="12" spans="1:17">
      <c r="F12" s="187" t="s">
        <v>500</v>
      </c>
      <c r="G12" s="187" t="s">
        <v>499</v>
      </c>
      <c r="H12" s="187">
        <v>217</v>
      </c>
      <c r="I12" s="187">
        <v>38</v>
      </c>
      <c r="K12" s="187" t="s">
        <v>676</v>
      </c>
      <c r="L12" s="187" t="s">
        <v>498</v>
      </c>
      <c r="M12" s="187">
        <v>129</v>
      </c>
      <c r="N12" s="187">
        <v>60</v>
      </c>
    </row>
    <row r="13" spans="1:17">
      <c r="F13" s="187" t="s">
        <v>497</v>
      </c>
      <c r="G13" s="187" t="s">
        <v>496</v>
      </c>
      <c r="H13" s="187">
        <v>95</v>
      </c>
      <c r="I13" s="187">
        <v>38</v>
      </c>
      <c r="K13" s="187" t="s">
        <v>677</v>
      </c>
      <c r="L13" s="187" t="s">
        <v>495</v>
      </c>
      <c r="M13" s="187">
        <v>232</v>
      </c>
      <c r="N13" s="187">
        <v>60</v>
      </c>
    </row>
    <row r="14" spans="1:17">
      <c r="F14" s="187" t="s">
        <v>494</v>
      </c>
      <c r="G14" s="187" t="s">
        <v>493</v>
      </c>
      <c r="H14" s="187">
        <v>101</v>
      </c>
      <c r="I14" s="187">
        <v>38</v>
      </c>
      <c r="K14" s="187" t="s">
        <v>678</v>
      </c>
      <c r="L14" s="187" t="s">
        <v>492</v>
      </c>
      <c r="M14" s="187">
        <v>177</v>
      </c>
      <c r="N14" s="187">
        <v>60</v>
      </c>
    </row>
    <row r="15" spans="1:17">
      <c r="F15" s="187" t="s">
        <v>491</v>
      </c>
      <c r="G15" s="187" t="s">
        <v>490</v>
      </c>
      <c r="H15" s="187">
        <v>216</v>
      </c>
      <c r="I15" s="187">
        <v>38</v>
      </c>
    </row>
    <row r="16" spans="1:17">
      <c r="F16" s="187" t="s">
        <v>489</v>
      </c>
      <c r="G16" s="187" t="s">
        <v>488</v>
      </c>
      <c r="H16" s="187">
        <v>212</v>
      </c>
      <c r="I16" s="187">
        <v>38</v>
      </c>
    </row>
    <row r="22" spans="1:14">
      <c r="A22" s="187" t="s">
        <v>355</v>
      </c>
      <c r="B22" s="187" t="s">
        <v>196</v>
      </c>
      <c r="C22" s="187" t="s">
        <v>487</v>
      </c>
      <c r="D22" s="187" t="s">
        <v>486</v>
      </c>
      <c r="F22" s="187" t="s">
        <v>355</v>
      </c>
      <c r="G22" s="187" t="s">
        <v>196</v>
      </c>
      <c r="H22" s="187" t="s">
        <v>487</v>
      </c>
      <c r="I22" s="187" t="s">
        <v>486</v>
      </c>
      <c r="K22" s="187" t="s">
        <v>355</v>
      </c>
      <c r="L22" s="187" t="s">
        <v>196</v>
      </c>
      <c r="M22" s="187" t="s">
        <v>487</v>
      </c>
      <c r="N22" s="187" t="s">
        <v>486</v>
      </c>
    </row>
    <row r="23" spans="1:14">
      <c r="A23" s="187" t="s">
        <v>485</v>
      </c>
      <c r="B23" s="187" t="s">
        <v>484</v>
      </c>
      <c r="C23" s="187">
        <v>156</v>
      </c>
      <c r="D23" s="187">
        <v>26</v>
      </c>
      <c r="F23" s="187" t="s">
        <v>483</v>
      </c>
      <c r="G23" s="187" t="s">
        <v>482</v>
      </c>
      <c r="H23" s="187">
        <v>143</v>
      </c>
      <c r="I23" s="187">
        <v>19</v>
      </c>
      <c r="K23" s="187" t="s">
        <v>481</v>
      </c>
      <c r="L23" s="187" t="s">
        <v>480</v>
      </c>
      <c r="M23" s="187">
        <v>185</v>
      </c>
      <c r="N23" s="187">
        <v>125</v>
      </c>
    </row>
    <row r="24" spans="1:14">
      <c r="A24" s="187" t="s">
        <v>479</v>
      </c>
      <c r="B24" s="187" t="s">
        <v>478</v>
      </c>
      <c r="C24" s="187">
        <v>172</v>
      </c>
      <c r="D24" s="187">
        <v>67</v>
      </c>
      <c r="F24" s="187" t="s">
        <v>477</v>
      </c>
      <c r="G24" s="187" t="s">
        <v>476</v>
      </c>
      <c r="H24" s="187">
        <v>176</v>
      </c>
      <c r="I24" s="187">
        <v>19</v>
      </c>
      <c r="K24" s="187" t="s">
        <v>475</v>
      </c>
      <c r="L24" s="187" t="s">
        <v>474</v>
      </c>
      <c r="M24" s="187">
        <v>189</v>
      </c>
      <c r="N24" s="187">
        <v>125</v>
      </c>
    </row>
    <row r="25" spans="1:14">
      <c r="A25" s="187" t="s">
        <v>473</v>
      </c>
      <c r="B25" s="187" t="s">
        <v>472</v>
      </c>
      <c r="C25" s="187">
        <v>251</v>
      </c>
      <c r="D25" s="187">
        <v>67</v>
      </c>
      <c r="F25" s="187" t="s">
        <v>471</v>
      </c>
      <c r="G25" s="187" t="s">
        <v>470</v>
      </c>
      <c r="H25" s="187">
        <v>152</v>
      </c>
      <c r="I25" s="187">
        <v>30</v>
      </c>
      <c r="K25" s="187" t="s">
        <v>464</v>
      </c>
      <c r="L25" s="187" t="s">
        <v>469</v>
      </c>
      <c r="M25" s="187">
        <v>188</v>
      </c>
      <c r="N25" s="187">
        <v>125</v>
      </c>
    </row>
    <row r="26" spans="1:14">
      <c r="A26" s="187" t="s">
        <v>468</v>
      </c>
      <c r="B26" s="187" t="s">
        <v>467</v>
      </c>
      <c r="C26" s="187">
        <v>140</v>
      </c>
      <c r="D26" s="187">
        <v>67</v>
      </c>
      <c r="F26" s="187" t="s">
        <v>466</v>
      </c>
      <c r="G26" s="187" t="s">
        <v>465</v>
      </c>
      <c r="H26" s="187">
        <v>159</v>
      </c>
      <c r="I26" s="187">
        <v>17</v>
      </c>
      <c r="K26" s="187" t="s">
        <v>592</v>
      </c>
      <c r="L26" s="187" t="s">
        <v>463</v>
      </c>
      <c r="M26" s="187">
        <v>187</v>
      </c>
      <c r="N26" s="187">
        <v>125</v>
      </c>
    </row>
    <row r="27" spans="1:14">
      <c r="A27" s="187" t="s">
        <v>462</v>
      </c>
      <c r="B27" s="187" t="s">
        <v>461</v>
      </c>
      <c r="C27" s="187">
        <v>247</v>
      </c>
      <c r="D27" s="187">
        <v>67</v>
      </c>
      <c r="F27" s="187" t="s">
        <v>460</v>
      </c>
      <c r="G27" s="187" t="s">
        <v>459</v>
      </c>
      <c r="H27" s="187">
        <v>283</v>
      </c>
      <c r="I27" s="187">
        <v>95</v>
      </c>
      <c r="K27" s="187" t="s">
        <v>458</v>
      </c>
      <c r="L27" s="187" t="s">
        <v>457</v>
      </c>
      <c r="M27" s="187">
        <v>265</v>
      </c>
      <c r="N27" s="187">
        <v>125</v>
      </c>
    </row>
    <row r="28" spans="1:14">
      <c r="A28" s="187" t="s">
        <v>456</v>
      </c>
      <c r="B28" s="187" t="s">
        <v>455</v>
      </c>
      <c r="C28" s="187">
        <v>243</v>
      </c>
      <c r="D28" s="187">
        <v>67</v>
      </c>
      <c r="F28" s="187" t="s">
        <v>454</v>
      </c>
      <c r="G28" s="187" t="s">
        <v>453</v>
      </c>
      <c r="H28" s="187">
        <v>279</v>
      </c>
      <c r="I28" s="187">
        <v>95</v>
      </c>
      <c r="K28" s="187" t="s">
        <v>452</v>
      </c>
      <c r="L28" s="187" t="s">
        <v>451</v>
      </c>
      <c r="M28" s="187">
        <v>184</v>
      </c>
      <c r="N28" s="187">
        <v>125</v>
      </c>
    </row>
    <row r="29" spans="1:14">
      <c r="A29" s="187" t="s">
        <v>450</v>
      </c>
      <c r="B29" s="187" t="s">
        <v>449</v>
      </c>
      <c r="C29" s="187">
        <v>254</v>
      </c>
      <c r="D29" s="187">
        <v>67</v>
      </c>
      <c r="F29" s="187" t="s">
        <v>448</v>
      </c>
      <c r="G29" s="187" t="s">
        <v>447</v>
      </c>
      <c r="H29" s="187">
        <v>273</v>
      </c>
      <c r="I29" s="187">
        <v>95</v>
      </c>
    </row>
    <row r="30" spans="1:14">
      <c r="A30" s="187" t="s">
        <v>446</v>
      </c>
      <c r="B30" s="187" t="s">
        <v>445</v>
      </c>
      <c r="C30" s="187">
        <v>244</v>
      </c>
      <c r="D30" s="187">
        <v>67</v>
      </c>
      <c r="F30" s="187" t="s">
        <v>444</v>
      </c>
      <c r="G30" s="187" t="s">
        <v>443</v>
      </c>
      <c r="H30" s="187">
        <v>271</v>
      </c>
      <c r="I30" s="187">
        <v>95</v>
      </c>
    </row>
    <row r="31" spans="1:14">
      <c r="A31" s="187" t="s">
        <v>442</v>
      </c>
      <c r="B31" s="187" t="s">
        <v>441</v>
      </c>
      <c r="C31" s="187">
        <v>248</v>
      </c>
      <c r="D31" s="187">
        <v>67</v>
      </c>
      <c r="F31" s="187" t="s">
        <v>440</v>
      </c>
      <c r="G31" s="187" t="s">
        <v>439</v>
      </c>
      <c r="H31" s="187">
        <v>137</v>
      </c>
      <c r="I31" s="187">
        <v>95</v>
      </c>
    </row>
    <row r="32" spans="1:14">
      <c r="A32" s="187" t="s">
        <v>438</v>
      </c>
      <c r="B32" s="187" t="s">
        <v>437</v>
      </c>
      <c r="C32" s="187">
        <v>146</v>
      </c>
      <c r="D32" s="187">
        <v>67</v>
      </c>
      <c r="F32" s="187" t="s">
        <v>436</v>
      </c>
      <c r="G32" s="187" t="s">
        <v>435</v>
      </c>
      <c r="H32" s="187">
        <v>136</v>
      </c>
      <c r="I32" s="187">
        <v>95</v>
      </c>
    </row>
    <row r="33" spans="1:9">
      <c r="A33" s="187" t="s">
        <v>434</v>
      </c>
      <c r="B33" s="187" t="s">
        <v>433</v>
      </c>
      <c r="C33" s="187">
        <v>245</v>
      </c>
      <c r="D33" s="187">
        <v>67</v>
      </c>
      <c r="F33" s="187" t="s">
        <v>432</v>
      </c>
      <c r="G33" s="187" t="s">
        <v>431</v>
      </c>
      <c r="H33" s="187">
        <v>277</v>
      </c>
      <c r="I33" s="187">
        <v>95</v>
      </c>
    </row>
    <row r="34" spans="1:9">
      <c r="A34" s="187" t="s">
        <v>430</v>
      </c>
      <c r="B34" s="187" t="s">
        <v>429</v>
      </c>
      <c r="C34" s="187">
        <v>259</v>
      </c>
      <c r="D34" s="187">
        <v>78</v>
      </c>
      <c r="F34" s="187" t="s">
        <v>428</v>
      </c>
      <c r="G34" s="187" t="s">
        <v>427</v>
      </c>
      <c r="H34" s="187">
        <v>272</v>
      </c>
      <c r="I34" s="187">
        <v>95</v>
      </c>
    </row>
    <row r="35" spans="1:9">
      <c r="A35" s="187" t="s">
        <v>426</v>
      </c>
      <c r="B35" s="187" t="s">
        <v>425</v>
      </c>
      <c r="C35" s="187">
        <v>262</v>
      </c>
      <c r="D35" s="187">
        <v>78</v>
      </c>
      <c r="F35" s="187" t="s">
        <v>424</v>
      </c>
      <c r="G35" s="187" t="s">
        <v>423</v>
      </c>
      <c r="H35" s="187">
        <v>281</v>
      </c>
      <c r="I35" s="187">
        <v>95</v>
      </c>
    </row>
    <row r="36" spans="1:9">
      <c r="A36" s="187" t="s">
        <v>422</v>
      </c>
      <c r="B36" s="187" t="s">
        <v>421</v>
      </c>
      <c r="C36" s="187">
        <v>266</v>
      </c>
      <c r="D36" s="187">
        <v>78</v>
      </c>
      <c r="F36" s="187" t="s">
        <v>420</v>
      </c>
      <c r="G36" s="187" t="s">
        <v>419</v>
      </c>
      <c r="H36" s="187">
        <v>115</v>
      </c>
      <c r="I36" s="187">
        <v>95</v>
      </c>
    </row>
    <row r="37" spans="1:9">
      <c r="A37" s="187" t="s">
        <v>418</v>
      </c>
      <c r="B37" s="187" t="s">
        <v>417</v>
      </c>
      <c r="C37" s="187">
        <v>165</v>
      </c>
      <c r="D37" s="187">
        <v>78</v>
      </c>
      <c r="F37" s="187" t="s">
        <v>416</v>
      </c>
      <c r="G37" s="187" t="s">
        <v>415</v>
      </c>
      <c r="H37" s="187">
        <v>130</v>
      </c>
      <c r="I37" s="187">
        <v>95</v>
      </c>
    </row>
    <row r="38" spans="1:9">
      <c r="A38" s="187" t="s">
        <v>414</v>
      </c>
      <c r="B38" s="187" t="s">
        <v>413</v>
      </c>
      <c r="C38" s="187">
        <v>164</v>
      </c>
      <c r="D38" s="187">
        <v>78</v>
      </c>
      <c r="F38" s="187" t="s">
        <v>412</v>
      </c>
      <c r="G38" s="187" t="s">
        <v>411</v>
      </c>
      <c r="H38" s="187">
        <v>278</v>
      </c>
      <c r="I38" s="187">
        <v>95</v>
      </c>
    </row>
    <row r="39" spans="1:9">
      <c r="A39" s="187" t="s">
        <v>410</v>
      </c>
      <c r="B39" s="187" t="s">
        <v>409</v>
      </c>
      <c r="C39" s="187">
        <v>258</v>
      </c>
      <c r="D39" s="187">
        <v>78</v>
      </c>
      <c r="F39" s="187" t="s">
        <v>408</v>
      </c>
      <c r="G39" s="187" t="s">
        <v>407</v>
      </c>
      <c r="H39" s="187">
        <v>276</v>
      </c>
      <c r="I39" s="187">
        <v>95</v>
      </c>
    </row>
    <row r="40" spans="1:9">
      <c r="A40" s="187" t="s">
        <v>406</v>
      </c>
      <c r="B40" s="187" t="s">
        <v>405</v>
      </c>
      <c r="C40" s="187">
        <v>174</v>
      </c>
      <c r="D40" s="187">
        <v>78</v>
      </c>
      <c r="F40" s="187" t="s">
        <v>404</v>
      </c>
      <c r="G40" s="187" t="s">
        <v>403</v>
      </c>
      <c r="H40" s="187">
        <v>138</v>
      </c>
      <c r="I40" s="187">
        <v>95</v>
      </c>
    </row>
    <row r="41" spans="1:9">
      <c r="A41" s="187" t="s">
        <v>402</v>
      </c>
      <c r="B41" s="187" t="s">
        <v>401</v>
      </c>
      <c r="C41" s="187">
        <v>168</v>
      </c>
      <c r="D41" s="187">
        <v>78</v>
      </c>
      <c r="F41" s="187" t="s">
        <v>400</v>
      </c>
      <c r="G41" s="187" t="s">
        <v>399</v>
      </c>
      <c r="H41" s="187">
        <v>294</v>
      </c>
      <c r="I41" s="187">
        <v>110</v>
      </c>
    </row>
    <row r="42" spans="1:9">
      <c r="A42" s="187" t="s">
        <v>398</v>
      </c>
      <c r="B42" s="187" t="s">
        <v>397</v>
      </c>
      <c r="C42" s="187">
        <v>252</v>
      </c>
      <c r="D42" s="187">
        <v>78</v>
      </c>
      <c r="F42" s="187" t="s">
        <v>396</v>
      </c>
      <c r="G42" s="187" t="s">
        <v>395</v>
      </c>
      <c r="H42" s="187">
        <v>284</v>
      </c>
      <c r="I42" s="187">
        <v>110</v>
      </c>
    </row>
    <row r="43" spans="1:9">
      <c r="A43" s="187" t="s">
        <v>394</v>
      </c>
      <c r="B43" s="187" t="s">
        <v>393</v>
      </c>
      <c r="C43" s="187">
        <v>170</v>
      </c>
      <c r="D43" s="187">
        <v>78</v>
      </c>
      <c r="F43" s="187" t="s">
        <v>392</v>
      </c>
      <c r="G43" s="187" t="s">
        <v>391</v>
      </c>
      <c r="H43" s="187">
        <v>253</v>
      </c>
      <c r="I43" s="187">
        <v>110</v>
      </c>
    </row>
    <row r="44" spans="1:9">
      <c r="A44" s="187" t="s">
        <v>390</v>
      </c>
      <c r="B44" s="187" t="s">
        <v>389</v>
      </c>
      <c r="C44" s="187">
        <v>260</v>
      </c>
      <c r="D44" s="187">
        <v>78</v>
      </c>
      <c r="F44" s="187" t="s">
        <v>388</v>
      </c>
      <c r="G44" s="187" t="s">
        <v>387</v>
      </c>
      <c r="H44" s="187">
        <v>295</v>
      </c>
      <c r="I44" s="187">
        <v>110</v>
      </c>
    </row>
    <row r="45" spans="1:9">
      <c r="A45" s="187" t="s">
        <v>386</v>
      </c>
      <c r="B45" s="187" t="s">
        <v>385</v>
      </c>
      <c r="C45" s="187">
        <v>256</v>
      </c>
      <c r="D45" s="187">
        <v>78</v>
      </c>
      <c r="F45" s="187" t="s">
        <v>384</v>
      </c>
      <c r="G45" s="187" t="s">
        <v>383</v>
      </c>
      <c r="H45" s="187">
        <v>288</v>
      </c>
      <c r="I45" s="187">
        <v>110</v>
      </c>
    </row>
    <row r="46" spans="1:9">
      <c r="A46" s="187" t="s">
        <v>382</v>
      </c>
      <c r="B46" s="187" t="s">
        <v>381</v>
      </c>
      <c r="C46" s="187">
        <v>175</v>
      </c>
      <c r="D46" s="187">
        <v>78</v>
      </c>
      <c r="F46" s="187" t="s">
        <v>380</v>
      </c>
      <c r="G46" s="187" t="s">
        <v>379</v>
      </c>
      <c r="H46" s="187">
        <v>255</v>
      </c>
      <c r="I46" s="187">
        <v>110</v>
      </c>
    </row>
    <row r="47" spans="1:9">
      <c r="A47" s="187" t="s">
        <v>378</v>
      </c>
      <c r="B47" s="187" t="s">
        <v>377</v>
      </c>
      <c r="C47" s="187">
        <v>268</v>
      </c>
      <c r="D47" s="187">
        <v>78</v>
      </c>
      <c r="F47" s="187" t="s">
        <v>376</v>
      </c>
      <c r="G47" s="187" t="s">
        <v>375</v>
      </c>
      <c r="H47" s="187">
        <v>289</v>
      </c>
      <c r="I47" s="187">
        <v>110</v>
      </c>
    </row>
    <row r="48" spans="1:9">
      <c r="A48" s="187" t="s">
        <v>374</v>
      </c>
      <c r="B48" s="187" t="s">
        <v>373</v>
      </c>
      <c r="C48" s="187">
        <v>261</v>
      </c>
      <c r="D48" s="187">
        <v>78</v>
      </c>
      <c r="F48" s="187" t="s">
        <v>372</v>
      </c>
      <c r="G48" s="187" t="s">
        <v>371</v>
      </c>
      <c r="H48" s="187">
        <v>257</v>
      </c>
      <c r="I48" s="187">
        <v>110</v>
      </c>
    </row>
    <row r="49" spans="1:9">
      <c r="A49" s="187" t="s">
        <v>370</v>
      </c>
      <c r="B49" s="187" t="s">
        <v>369</v>
      </c>
      <c r="C49" s="187">
        <v>169</v>
      </c>
      <c r="D49" s="187">
        <v>78</v>
      </c>
      <c r="F49" s="187" t="s">
        <v>368</v>
      </c>
      <c r="G49" s="187" t="s">
        <v>367</v>
      </c>
      <c r="H49" s="187">
        <v>263</v>
      </c>
      <c r="I49" s="187">
        <v>110</v>
      </c>
    </row>
    <row r="50" spans="1:9">
      <c r="F50" s="187" t="s">
        <v>366</v>
      </c>
      <c r="G50" s="187" t="s">
        <v>365</v>
      </c>
      <c r="H50" s="187">
        <v>192</v>
      </c>
      <c r="I50" s="187">
        <v>110</v>
      </c>
    </row>
    <row r="51" spans="1:9">
      <c r="F51" s="187" t="s">
        <v>364</v>
      </c>
      <c r="G51" s="187" t="s">
        <v>363</v>
      </c>
      <c r="H51" s="187">
        <v>155</v>
      </c>
      <c r="I51" s="187">
        <v>110</v>
      </c>
    </row>
    <row r="52" spans="1:9">
      <c r="F52" s="187" t="s">
        <v>362</v>
      </c>
      <c r="G52" s="187" t="s">
        <v>361</v>
      </c>
      <c r="H52" s="187">
        <v>162</v>
      </c>
      <c r="I52" s="187">
        <v>110</v>
      </c>
    </row>
    <row r="53" spans="1:9">
      <c r="F53" s="187" t="s">
        <v>360</v>
      </c>
      <c r="G53" s="187" t="s">
        <v>359</v>
      </c>
      <c r="H53" s="187">
        <v>264</v>
      </c>
      <c r="I53" s="187">
        <v>110</v>
      </c>
    </row>
    <row r="54" spans="1:9">
      <c r="F54" s="187" t="s">
        <v>358</v>
      </c>
      <c r="G54" s="187" t="s">
        <v>357</v>
      </c>
      <c r="H54" s="187">
        <v>285</v>
      </c>
      <c r="I54" s="18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90"/>
    <col min="2" max="2" width="5.88671875" style="294" customWidth="1"/>
    <col min="3" max="8" width="5.77734375" style="294" customWidth="1"/>
    <col min="9" max="9" width="7.44140625" style="294" customWidth="1"/>
    <col min="10" max="10" width="6.77734375" style="294" customWidth="1"/>
    <col min="11" max="11" width="5.77734375" style="294" customWidth="1"/>
    <col min="12" max="12" width="5.6640625" style="294" customWidth="1"/>
    <col min="13" max="14" width="5.77734375" style="294" customWidth="1"/>
    <col min="15" max="15" width="8.109375" style="294" customWidth="1"/>
    <col min="16" max="16" width="6.44140625" style="294" customWidth="1"/>
    <col min="17" max="17" width="12.21875" style="490" bestFit="1" customWidth="1"/>
    <col min="18" max="18" width="13" style="490" customWidth="1"/>
    <col min="19" max="19" width="17.88671875" style="490" customWidth="1"/>
    <col min="20" max="20" width="21.21875" style="490" customWidth="1"/>
    <col min="21" max="21" width="21.88671875" style="490" customWidth="1"/>
    <col min="22" max="16384" width="8.88671875" style="490"/>
  </cols>
  <sheetData>
    <row r="2" spans="2:23" ht="26.25" customHeight="1">
      <c r="B2" s="487" t="s">
        <v>350</v>
      </c>
      <c r="C2" s="488"/>
      <c r="D2" s="488"/>
      <c r="E2" s="488"/>
      <c r="F2" s="488"/>
      <c r="G2" s="488"/>
      <c r="H2" s="489"/>
      <c r="I2" s="489"/>
      <c r="J2" s="489"/>
      <c r="K2" s="489"/>
      <c r="L2" s="489"/>
      <c r="S2" s="491" t="s">
        <v>596</v>
      </c>
      <c r="T2" s="492" t="s">
        <v>670</v>
      </c>
    </row>
    <row r="3" spans="2:23" ht="17.25" thickBot="1">
      <c r="I3" s="425"/>
      <c r="J3" s="425"/>
      <c r="K3" s="425"/>
    </row>
    <row r="4" spans="2:23" s="493" customFormat="1" ht="30.75" customHeight="1">
      <c r="B4" s="511" t="s">
        <v>41</v>
      </c>
      <c r="C4" s="512" t="s">
        <v>42</v>
      </c>
      <c r="D4" s="512" t="s">
        <v>575</v>
      </c>
      <c r="E4" s="512" t="s">
        <v>576</v>
      </c>
      <c r="F4" s="512" t="s">
        <v>577</v>
      </c>
      <c r="G4" s="512" t="s">
        <v>578</v>
      </c>
      <c r="H4" s="512" t="s">
        <v>579</v>
      </c>
      <c r="I4" s="512" t="s">
        <v>580</v>
      </c>
      <c r="J4" s="512" t="s">
        <v>581</v>
      </c>
      <c r="K4" s="512" t="s">
        <v>582</v>
      </c>
      <c r="L4" s="512" t="s">
        <v>583</v>
      </c>
      <c r="M4" s="512" t="s">
        <v>584</v>
      </c>
      <c r="N4" s="513" t="s">
        <v>585</v>
      </c>
      <c r="O4" s="514" t="s">
        <v>44</v>
      </c>
      <c r="P4" s="513" t="s">
        <v>45</v>
      </c>
      <c r="S4" s="535" t="s">
        <v>571</v>
      </c>
      <c r="T4" s="536" t="s">
        <v>572</v>
      </c>
    </row>
    <row r="5" spans="2:23" ht="22.5" customHeight="1">
      <c r="B5" s="336">
        <v>1994</v>
      </c>
      <c r="C5" s="501">
        <v>17.899999999999999</v>
      </c>
      <c r="D5" s="501">
        <v>16.8</v>
      </c>
      <c r="E5" s="501">
        <v>46.5</v>
      </c>
      <c r="F5" s="501">
        <v>38.700000000000003</v>
      </c>
      <c r="G5" s="501">
        <v>138.4</v>
      </c>
      <c r="H5" s="501">
        <v>115.1</v>
      </c>
      <c r="I5" s="501">
        <v>105.3</v>
      </c>
      <c r="J5" s="502">
        <v>145.9</v>
      </c>
      <c r="K5" s="501">
        <v>37.9</v>
      </c>
      <c r="L5" s="501">
        <v>145.30000000000001</v>
      </c>
      <c r="M5" s="501">
        <v>24.3</v>
      </c>
      <c r="N5" s="507">
        <v>25.8</v>
      </c>
      <c r="O5" s="515">
        <f>ROUND(SUM(C5:N5),1)</f>
        <v>857.9</v>
      </c>
      <c r="P5" s="321">
        <f>ROUND(O5/12,1)</f>
        <v>71.5</v>
      </c>
      <c r="Q5" s="494"/>
      <c r="R5" s="495"/>
      <c r="S5" s="496" t="s">
        <v>548</v>
      </c>
      <c r="T5" s="497" t="s">
        <v>675</v>
      </c>
      <c r="V5" s="495"/>
      <c r="W5" s="498"/>
    </row>
    <row r="6" spans="2:23" ht="22.5" customHeight="1" thickBot="1">
      <c r="B6" s="336">
        <v>1995</v>
      </c>
      <c r="C6" s="501">
        <v>23.5</v>
      </c>
      <c r="D6" s="501">
        <v>16.899999999999999</v>
      </c>
      <c r="E6" s="501">
        <v>33.799999999999997</v>
      </c>
      <c r="F6" s="501">
        <v>54.7</v>
      </c>
      <c r="G6" s="501">
        <v>62.2</v>
      </c>
      <c r="H6" s="501">
        <v>33.6</v>
      </c>
      <c r="I6" s="501">
        <v>155.4</v>
      </c>
      <c r="J6" s="502">
        <v>641.9</v>
      </c>
      <c r="K6" s="501">
        <v>53.4</v>
      </c>
      <c r="L6" s="501">
        <v>36</v>
      </c>
      <c r="M6" s="501">
        <v>17.5</v>
      </c>
      <c r="N6" s="507">
        <v>7.3</v>
      </c>
      <c r="O6" s="515">
        <f t="shared" ref="O6:O34" si="0">ROUND(SUM(C6:N6),1)</f>
        <v>1136.2</v>
      </c>
      <c r="P6" s="321">
        <f t="shared" ref="P6:P34" si="1">ROUND(O6/12,1)</f>
        <v>94.7</v>
      </c>
      <c r="Q6" s="494"/>
      <c r="R6" s="495"/>
      <c r="S6" s="499" t="str">
        <f>VLOOKUP(S5, tblLocation[], 2, FALSE)</f>
        <v>Table3</v>
      </c>
      <c r="T6" s="500" t="str">
        <f ca="1">IFERROR(UPPER(VLOOKUP(T5, INDIRECT(S6), 2,0)), " 지역설정")</f>
        <v>DAEJEON</v>
      </c>
      <c r="V6" s="495"/>
      <c r="W6" s="498"/>
    </row>
    <row r="7" spans="2:23" ht="22.5" customHeight="1">
      <c r="B7" s="336">
        <v>1996</v>
      </c>
      <c r="C7" s="501">
        <v>32.700000000000003</v>
      </c>
      <c r="D7" s="501">
        <v>4.4000000000000004</v>
      </c>
      <c r="E7" s="501">
        <v>138</v>
      </c>
      <c r="F7" s="501">
        <v>49.8</v>
      </c>
      <c r="G7" s="501">
        <v>62.9</v>
      </c>
      <c r="H7" s="501">
        <v>411.4</v>
      </c>
      <c r="I7" s="501">
        <v>257.7</v>
      </c>
      <c r="J7" s="501">
        <v>114.4</v>
      </c>
      <c r="K7" s="501">
        <v>11.4</v>
      </c>
      <c r="L7" s="501">
        <v>90.8</v>
      </c>
      <c r="M7" s="501">
        <v>77.099999999999994</v>
      </c>
      <c r="N7" s="507">
        <v>28.6</v>
      </c>
      <c r="O7" s="515">
        <f t="shared" si="0"/>
        <v>1279.2</v>
      </c>
      <c r="P7" s="321">
        <f t="shared" si="1"/>
        <v>106.6</v>
      </c>
      <c r="Q7" s="494"/>
      <c r="R7" s="495"/>
      <c r="T7" s="293"/>
      <c r="V7" s="495"/>
      <c r="W7" s="498"/>
    </row>
    <row r="8" spans="2:23" ht="22.5" customHeight="1">
      <c r="B8" s="336">
        <v>1997</v>
      </c>
      <c r="C8" s="501">
        <v>15.6</v>
      </c>
      <c r="D8" s="501">
        <v>51.1</v>
      </c>
      <c r="E8" s="501">
        <v>37.1</v>
      </c>
      <c r="F8" s="501">
        <v>55.4</v>
      </c>
      <c r="G8" s="501">
        <v>200.9</v>
      </c>
      <c r="H8" s="501">
        <v>267.5</v>
      </c>
      <c r="I8" s="501">
        <v>424.2</v>
      </c>
      <c r="J8" s="501">
        <v>463.5</v>
      </c>
      <c r="K8" s="501">
        <v>30.2</v>
      </c>
      <c r="L8" s="501">
        <v>7.7</v>
      </c>
      <c r="M8" s="501">
        <v>168.2</v>
      </c>
      <c r="N8" s="507">
        <v>44.5</v>
      </c>
      <c r="O8" s="515">
        <f t="shared" si="0"/>
        <v>1765.9</v>
      </c>
      <c r="P8" s="321">
        <f t="shared" si="1"/>
        <v>147.19999999999999</v>
      </c>
      <c r="Q8" s="494"/>
      <c r="T8" s="293"/>
      <c r="V8" s="495"/>
      <c r="W8" s="498"/>
    </row>
    <row r="9" spans="2:23" ht="22.5" customHeight="1">
      <c r="B9" s="336">
        <v>1998</v>
      </c>
      <c r="C9" s="501">
        <v>33.299999999999997</v>
      </c>
      <c r="D9" s="501">
        <v>36.299999999999997</v>
      </c>
      <c r="E9" s="501">
        <v>31.1</v>
      </c>
      <c r="F9" s="501">
        <v>154.30000000000001</v>
      </c>
      <c r="G9" s="501">
        <v>119.5</v>
      </c>
      <c r="H9" s="501">
        <v>297.2</v>
      </c>
      <c r="I9" s="501">
        <v>256.10000000000002</v>
      </c>
      <c r="J9" s="501">
        <v>781.7</v>
      </c>
      <c r="K9" s="501">
        <v>254.7</v>
      </c>
      <c r="L9" s="501">
        <v>71.5</v>
      </c>
      <c r="M9" s="501">
        <v>31.6</v>
      </c>
      <c r="N9" s="507">
        <v>2.7</v>
      </c>
      <c r="O9" s="515">
        <f t="shared" si="0"/>
        <v>2070</v>
      </c>
      <c r="P9" s="321">
        <f t="shared" si="1"/>
        <v>172.5</v>
      </c>
      <c r="Q9" s="494"/>
      <c r="R9" s="495"/>
      <c r="S9" s="498"/>
      <c r="T9" s="495"/>
      <c r="U9" s="498"/>
      <c r="V9" s="495"/>
      <c r="W9" s="498"/>
    </row>
    <row r="10" spans="2:23" ht="22.5" customHeight="1">
      <c r="B10" s="336">
        <v>1999</v>
      </c>
      <c r="C10" s="501">
        <v>1.8</v>
      </c>
      <c r="D10" s="501">
        <v>12.2</v>
      </c>
      <c r="E10" s="501">
        <v>79.400000000000006</v>
      </c>
      <c r="F10" s="501">
        <v>103</v>
      </c>
      <c r="G10" s="501">
        <v>116.8</v>
      </c>
      <c r="H10" s="501">
        <v>245.7</v>
      </c>
      <c r="I10" s="501">
        <v>137.80000000000001</v>
      </c>
      <c r="J10" s="501">
        <v>203</v>
      </c>
      <c r="K10" s="501">
        <v>359.5</v>
      </c>
      <c r="L10" s="501">
        <v>171.6</v>
      </c>
      <c r="M10" s="501">
        <v>16.5</v>
      </c>
      <c r="N10" s="507">
        <v>7.9</v>
      </c>
      <c r="O10" s="515">
        <f t="shared" si="0"/>
        <v>1455.2</v>
      </c>
      <c r="P10" s="321">
        <f t="shared" si="1"/>
        <v>121.3</v>
      </c>
      <c r="Q10" s="494"/>
      <c r="R10" s="495"/>
      <c r="S10" s="498"/>
      <c r="T10" s="495"/>
      <c r="U10" s="498"/>
      <c r="V10" s="495"/>
      <c r="W10" s="498"/>
    </row>
    <row r="11" spans="2:23" ht="22.5" customHeight="1">
      <c r="B11" s="336">
        <v>2000</v>
      </c>
      <c r="C11" s="501">
        <v>27.5</v>
      </c>
      <c r="D11" s="501">
        <v>4.0999999999999996</v>
      </c>
      <c r="E11" s="501">
        <v>17.8</v>
      </c>
      <c r="F11" s="501">
        <v>67.8</v>
      </c>
      <c r="G11" s="501">
        <v>54.3</v>
      </c>
      <c r="H11" s="501">
        <v>238.3</v>
      </c>
      <c r="I11" s="501">
        <v>470.1</v>
      </c>
      <c r="J11" s="501">
        <v>473.6</v>
      </c>
      <c r="K11" s="501">
        <v>263.2</v>
      </c>
      <c r="L11" s="501">
        <v>24.6</v>
      </c>
      <c r="M11" s="501">
        <v>44.6</v>
      </c>
      <c r="N11" s="507">
        <v>21.6</v>
      </c>
      <c r="O11" s="515">
        <f t="shared" si="0"/>
        <v>1707.5</v>
      </c>
      <c r="P11" s="321">
        <f t="shared" si="1"/>
        <v>142.30000000000001</v>
      </c>
      <c r="R11" s="495"/>
      <c r="S11" s="498"/>
      <c r="T11" s="495"/>
      <c r="U11" s="498"/>
      <c r="V11" s="495"/>
      <c r="W11" s="498"/>
    </row>
    <row r="12" spans="2:23" ht="22.5" customHeight="1">
      <c r="B12" s="336">
        <v>2001</v>
      </c>
      <c r="C12" s="501">
        <v>61.2</v>
      </c>
      <c r="D12" s="501">
        <v>70</v>
      </c>
      <c r="E12" s="501">
        <v>16</v>
      </c>
      <c r="F12" s="501">
        <v>20.399999999999999</v>
      </c>
      <c r="G12" s="501">
        <v>30.2</v>
      </c>
      <c r="H12" s="501">
        <v>234.2</v>
      </c>
      <c r="I12" s="501">
        <v>171</v>
      </c>
      <c r="J12" s="501">
        <v>78.099999999999994</v>
      </c>
      <c r="K12" s="501">
        <v>25.2</v>
      </c>
      <c r="L12" s="501">
        <v>91.2</v>
      </c>
      <c r="M12" s="501">
        <v>10.8</v>
      </c>
      <c r="N12" s="507">
        <v>20.399999999999999</v>
      </c>
      <c r="O12" s="515">
        <f t="shared" si="0"/>
        <v>828.7</v>
      </c>
      <c r="P12" s="321">
        <f t="shared" si="1"/>
        <v>69.099999999999994</v>
      </c>
      <c r="R12" s="495"/>
      <c r="S12" s="498"/>
      <c r="T12" s="495"/>
      <c r="U12" s="498"/>
      <c r="V12" s="495"/>
      <c r="W12" s="498"/>
    </row>
    <row r="13" spans="2:23" ht="22.5" customHeight="1">
      <c r="B13" s="336">
        <v>2002</v>
      </c>
      <c r="C13" s="501">
        <v>92.1</v>
      </c>
      <c r="D13" s="501">
        <v>12</v>
      </c>
      <c r="E13" s="501">
        <v>33.5</v>
      </c>
      <c r="F13" s="501">
        <v>155.5</v>
      </c>
      <c r="G13" s="501">
        <v>130.5</v>
      </c>
      <c r="H13" s="501">
        <v>55.4</v>
      </c>
      <c r="I13" s="501">
        <v>149.1</v>
      </c>
      <c r="J13" s="501">
        <v>538.79999999999995</v>
      </c>
      <c r="K13" s="501">
        <v>77</v>
      </c>
      <c r="L13" s="501">
        <v>67.8</v>
      </c>
      <c r="M13" s="501">
        <v>24</v>
      </c>
      <c r="N13" s="507">
        <v>43</v>
      </c>
      <c r="O13" s="515">
        <f t="shared" si="0"/>
        <v>1378.7</v>
      </c>
      <c r="P13" s="321">
        <f t="shared" si="1"/>
        <v>114.9</v>
      </c>
      <c r="R13" s="495"/>
      <c r="S13" s="293"/>
      <c r="T13" s="495"/>
      <c r="U13" s="498"/>
      <c r="V13" s="495"/>
      <c r="W13" s="498"/>
    </row>
    <row r="14" spans="2:23" ht="22.5" customHeight="1">
      <c r="B14" s="336">
        <v>2003</v>
      </c>
      <c r="C14" s="501">
        <v>11.2</v>
      </c>
      <c r="D14" s="501">
        <v>59.2</v>
      </c>
      <c r="E14" s="501">
        <v>44.2</v>
      </c>
      <c r="F14" s="501">
        <v>217.5</v>
      </c>
      <c r="G14" s="501">
        <v>119.5</v>
      </c>
      <c r="H14" s="501">
        <v>186.4</v>
      </c>
      <c r="I14" s="501">
        <v>576.29999999999995</v>
      </c>
      <c r="J14" s="501">
        <v>254.9</v>
      </c>
      <c r="K14" s="501">
        <v>208.5</v>
      </c>
      <c r="L14" s="501">
        <v>21.5</v>
      </c>
      <c r="M14" s="501">
        <v>32.6</v>
      </c>
      <c r="N14" s="507">
        <v>17.100000000000001</v>
      </c>
      <c r="O14" s="515">
        <f t="shared" si="0"/>
        <v>1748.9</v>
      </c>
      <c r="P14" s="321">
        <f t="shared" si="1"/>
        <v>145.69999999999999</v>
      </c>
      <c r="R14" s="495"/>
      <c r="S14" s="293"/>
      <c r="T14" s="495"/>
      <c r="U14" s="498"/>
      <c r="V14" s="495"/>
      <c r="W14" s="498"/>
    </row>
    <row r="15" spans="2:23" ht="22.5" customHeight="1">
      <c r="B15" s="336">
        <v>2004</v>
      </c>
      <c r="C15" s="501">
        <v>10.9</v>
      </c>
      <c r="D15" s="501">
        <v>30.6</v>
      </c>
      <c r="E15" s="501">
        <v>83.2</v>
      </c>
      <c r="F15" s="501">
        <v>73.099999999999994</v>
      </c>
      <c r="G15" s="501">
        <v>109</v>
      </c>
      <c r="H15" s="501">
        <v>383.5</v>
      </c>
      <c r="I15" s="501">
        <v>391</v>
      </c>
      <c r="J15" s="501">
        <v>198.3</v>
      </c>
      <c r="K15" s="501">
        <v>133.69999999999999</v>
      </c>
      <c r="L15" s="501">
        <v>5</v>
      </c>
      <c r="M15" s="501">
        <v>37.1</v>
      </c>
      <c r="N15" s="507">
        <v>41.1</v>
      </c>
      <c r="O15" s="515">
        <f t="shared" si="0"/>
        <v>1496.5</v>
      </c>
      <c r="P15" s="321">
        <f t="shared" si="1"/>
        <v>124.7</v>
      </c>
      <c r="S15" s="293"/>
    </row>
    <row r="16" spans="2:23" ht="22.5" customHeight="1">
      <c r="B16" s="336">
        <v>2005</v>
      </c>
      <c r="C16" s="501">
        <v>6</v>
      </c>
      <c r="D16" s="501">
        <v>37.5</v>
      </c>
      <c r="E16" s="501">
        <v>38.799999999999997</v>
      </c>
      <c r="F16" s="501">
        <v>48.5</v>
      </c>
      <c r="G16" s="501">
        <v>60.5</v>
      </c>
      <c r="H16" s="501">
        <v>209.6</v>
      </c>
      <c r="I16" s="501">
        <v>463.3</v>
      </c>
      <c r="J16" s="501">
        <v>499.5</v>
      </c>
      <c r="K16" s="501">
        <v>226.4</v>
      </c>
      <c r="L16" s="501">
        <v>30.5</v>
      </c>
      <c r="M16" s="501">
        <v>20.3</v>
      </c>
      <c r="N16" s="507">
        <v>15.2</v>
      </c>
      <c r="O16" s="515">
        <f t="shared" si="0"/>
        <v>1656.1</v>
      </c>
      <c r="P16" s="321">
        <f t="shared" si="1"/>
        <v>138</v>
      </c>
      <c r="S16" s="293"/>
    </row>
    <row r="17" spans="2:19" ht="22.5" customHeight="1">
      <c r="B17" s="336">
        <v>2006</v>
      </c>
      <c r="C17" s="501">
        <v>31.2</v>
      </c>
      <c r="D17" s="501">
        <v>33.1</v>
      </c>
      <c r="E17" s="501">
        <v>8.1</v>
      </c>
      <c r="F17" s="501">
        <v>94.2</v>
      </c>
      <c r="G17" s="501">
        <v>119.7</v>
      </c>
      <c r="H17" s="501">
        <v>131</v>
      </c>
      <c r="I17" s="501">
        <v>531</v>
      </c>
      <c r="J17" s="501">
        <v>113.6</v>
      </c>
      <c r="K17" s="501">
        <v>24.1</v>
      </c>
      <c r="L17" s="501">
        <v>19.3</v>
      </c>
      <c r="M17" s="501">
        <v>60</v>
      </c>
      <c r="N17" s="507">
        <v>29.9</v>
      </c>
      <c r="O17" s="515">
        <f t="shared" si="0"/>
        <v>1195.2</v>
      </c>
      <c r="P17" s="321">
        <f t="shared" si="1"/>
        <v>99.6</v>
      </c>
      <c r="S17" s="293"/>
    </row>
    <row r="18" spans="2:19" ht="22.5" customHeight="1">
      <c r="B18" s="336">
        <v>2007</v>
      </c>
      <c r="C18" s="501">
        <v>14</v>
      </c>
      <c r="D18" s="501">
        <v>45</v>
      </c>
      <c r="E18" s="501">
        <v>117.5</v>
      </c>
      <c r="F18" s="501">
        <v>28.6</v>
      </c>
      <c r="G18" s="501">
        <v>130.1</v>
      </c>
      <c r="H18" s="501">
        <v>133</v>
      </c>
      <c r="I18" s="501">
        <v>275.7</v>
      </c>
      <c r="J18" s="501">
        <v>373</v>
      </c>
      <c r="K18" s="501">
        <v>549.9</v>
      </c>
      <c r="L18" s="501">
        <v>47.4</v>
      </c>
      <c r="M18" s="501">
        <v>9.8000000000000007</v>
      </c>
      <c r="N18" s="507">
        <v>26.9</v>
      </c>
      <c r="O18" s="515">
        <f t="shared" si="0"/>
        <v>1750.9</v>
      </c>
      <c r="P18" s="321">
        <f t="shared" si="1"/>
        <v>145.9</v>
      </c>
    </row>
    <row r="19" spans="2:19" ht="22.5" customHeight="1">
      <c r="B19" s="336">
        <v>2008</v>
      </c>
      <c r="C19" s="501">
        <v>45.3</v>
      </c>
      <c r="D19" s="501">
        <v>9.1</v>
      </c>
      <c r="E19" s="501">
        <v>29.1</v>
      </c>
      <c r="F19" s="501">
        <v>34.4</v>
      </c>
      <c r="G19" s="501">
        <v>59.2</v>
      </c>
      <c r="H19" s="501">
        <v>148.30000000000001</v>
      </c>
      <c r="I19" s="501">
        <v>253.4</v>
      </c>
      <c r="J19" s="501">
        <v>325.2</v>
      </c>
      <c r="K19" s="501">
        <v>85.5</v>
      </c>
      <c r="L19" s="501">
        <v>19.600000000000001</v>
      </c>
      <c r="M19" s="501">
        <v>12.1</v>
      </c>
      <c r="N19" s="507">
        <v>16.399999999999999</v>
      </c>
      <c r="O19" s="515">
        <f t="shared" si="0"/>
        <v>1037.5999999999999</v>
      </c>
      <c r="P19" s="321">
        <f t="shared" si="1"/>
        <v>86.5</v>
      </c>
    </row>
    <row r="20" spans="2:19" ht="22.5" customHeight="1">
      <c r="B20" s="336">
        <v>2009</v>
      </c>
      <c r="C20" s="501">
        <v>15.4</v>
      </c>
      <c r="D20" s="501">
        <v>27.5</v>
      </c>
      <c r="E20" s="501">
        <v>60.3</v>
      </c>
      <c r="F20" s="501">
        <v>34.5</v>
      </c>
      <c r="G20" s="501">
        <v>124.3</v>
      </c>
      <c r="H20" s="501">
        <v>87.3</v>
      </c>
      <c r="I20" s="501">
        <v>429.2</v>
      </c>
      <c r="J20" s="501">
        <v>148.30000000000001</v>
      </c>
      <c r="K20" s="501">
        <v>46</v>
      </c>
      <c r="L20" s="501">
        <v>24.7</v>
      </c>
      <c r="M20" s="501">
        <v>54.7</v>
      </c>
      <c r="N20" s="507">
        <v>38.200000000000003</v>
      </c>
      <c r="O20" s="515">
        <f t="shared" si="0"/>
        <v>1090.4000000000001</v>
      </c>
      <c r="P20" s="321">
        <f t="shared" si="1"/>
        <v>90.9</v>
      </c>
    </row>
    <row r="21" spans="2:19" ht="22.5" customHeight="1">
      <c r="B21" s="336">
        <v>2010</v>
      </c>
      <c r="C21" s="501">
        <v>46.4</v>
      </c>
      <c r="D21" s="501">
        <v>81.5</v>
      </c>
      <c r="E21" s="501">
        <v>100.1</v>
      </c>
      <c r="F21" s="501">
        <v>88.5</v>
      </c>
      <c r="G21" s="501">
        <v>117.6</v>
      </c>
      <c r="H21" s="501">
        <v>65.599999999999994</v>
      </c>
      <c r="I21" s="501">
        <v>223.1</v>
      </c>
      <c r="J21" s="501">
        <v>376.4</v>
      </c>
      <c r="K21" s="501">
        <v>250.5</v>
      </c>
      <c r="L21" s="501">
        <v>17.899999999999999</v>
      </c>
      <c r="M21" s="501">
        <v>16.399999999999999</v>
      </c>
      <c r="N21" s="507">
        <v>35.700000000000003</v>
      </c>
      <c r="O21" s="515">
        <f t="shared" si="0"/>
        <v>1419.7</v>
      </c>
      <c r="P21" s="321">
        <f t="shared" si="1"/>
        <v>118.3</v>
      </c>
    </row>
    <row r="22" spans="2:19" ht="22.5" customHeight="1">
      <c r="B22" s="336">
        <v>2011</v>
      </c>
      <c r="C22" s="501">
        <v>4</v>
      </c>
      <c r="D22" s="501">
        <v>44.8</v>
      </c>
      <c r="E22" s="501">
        <v>19</v>
      </c>
      <c r="F22" s="501">
        <v>71</v>
      </c>
      <c r="G22" s="501">
        <v>162</v>
      </c>
      <c r="H22" s="501">
        <v>391.6</v>
      </c>
      <c r="I22" s="501">
        <v>587.29999999999995</v>
      </c>
      <c r="J22" s="501">
        <v>420.3</v>
      </c>
      <c r="K22" s="501">
        <v>91.7</v>
      </c>
      <c r="L22" s="501">
        <v>37</v>
      </c>
      <c r="M22" s="501">
        <v>103.2</v>
      </c>
      <c r="N22" s="507">
        <v>11.5</v>
      </c>
      <c r="O22" s="515">
        <f t="shared" si="0"/>
        <v>1943.4</v>
      </c>
      <c r="P22" s="321">
        <f t="shared" si="1"/>
        <v>162</v>
      </c>
    </row>
    <row r="23" spans="2:19" ht="22.5" customHeight="1">
      <c r="B23" s="336">
        <v>2012</v>
      </c>
      <c r="C23" s="501">
        <v>16.399999999999999</v>
      </c>
      <c r="D23" s="501">
        <v>2.5</v>
      </c>
      <c r="E23" s="501">
        <v>54.6</v>
      </c>
      <c r="F23" s="501">
        <v>66.2</v>
      </c>
      <c r="G23" s="501">
        <v>24</v>
      </c>
      <c r="H23" s="501">
        <v>57.8</v>
      </c>
      <c r="I23" s="501">
        <v>277.60000000000002</v>
      </c>
      <c r="J23" s="501">
        <v>463.6</v>
      </c>
      <c r="K23" s="501">
        <v>242.5</v>
      </c>
      <c r="L23" s="501">
        <v>81.3</v>
      </c>
      <c r="M23" s="501">
        <v>58.4</v>
      </c>
      <c r="N23" s="507">
        <v>64.599999999999994</v>
      </c>
      <c r="O23" s="515">
        <f t="shared" si="0"/>
        <v>1409.5</v>
      </c>
      <c r="P23" s="321">
        <f t="shared" si="1"/>
        <v>117.5</v>
      </c>
    </row>
    <row r="24" spans="2:19" ht="22.5" customHeight="1">
      <c r="B24" s="336">
        <v>2013</v>
      </c>
      <c r="C24" s="501">
        <v>46.2</v>
      </c>
      <c r="D24" s="501">
        <v>54.2</v>
      </c>
      <c r="E24" s="501">
        <v>52.8</v>
      </c>
      <c r="F24" s="501">
        <v>86.8</v>
      </c>
      <c r="G24" s="501">
        <v>110.4</v>
      </c>
      <c r="H24" s="501">
        <v>162.6</v>
      </c>
      <c r="I24" s="501">
        <v>218.7</v>
      </c>
      <c r="J24" s="501">
        <v>126.6</v>
      </c>
      <c r="K24" s="501">
        <v>146.4</v>
      </c>
      <c r="L24" s="501">
        <v>19.600000000000001</v>
      </c>
      <c r="M24" s="501">
        <v>63.1</v>
      </c>
      <c r="N24" s="507">
        <v>32.799999999999997</v>
      </c>
      <c r="O24" s="515">
        <f t="shared" si="0"/>
        <v>1120.2</v>
      </c>
      <c r="P24" s="321">
        <f t="shared" si="1"/>
        <v>93.4</v>
      </c>
    </row>
    <row r="25" spans="2:19" ht="22.5" customHeight="1">
      <c r="B25" s="336">
        <v>2014</v>
      </c>
      <c r="C25" s="501">
        <v>6.5</v>
      </c>
      <c r="D25" s="501">
        <v>8.5</v>
      </c>
      <c r="E25" s="501">
        <v>67.2</v>
      </c>
      <c r="F25" s="501">
        <v>59.4</v>
      </c>
      <c r="G25" s="501">
        <v>49.7</v>
      </c>
      <c r="H25" s="501">
        <v>143.69999999999999</v>
      </c>
      <c r="I25" s="501">
        <v>177.2</v>
      </c>
      <c r="J25" s="501">
        <v>240.9</v>
      </c>
      <c r="K25" s="501">
        <v>118</v>
      </c>
      <c r="L25" s="501">
        <v>169.4</v>
      </c>
      <c r="M25" s="501">
        <v>40.700000000000003</v>
      </c>
      <c r="N25" s="507">
        <v>36.5</v>
      </c>
      <c r="O25" s="515">
        <f t="shared" si="0"/>
        <v>1117.7</v>
      </c>
      <c r="P25" s="321">
        <f t="shared" si="1"/>
        <v>93.1</v>
      </c>
    </row>
    <row r="26" spans="2:19" ht="22.5" customHeight="1">
      <c r="B26" s="336">
        <v>2015</v>
      </c>
      <c r="C26" s="501">
        <v>31.5</v>
      </c>
      <c r="D26" s="501">
        <v>27</v>
      </c>
      <c r="E26" s="501">
        <v>44.7</v>
      </c>
      <c r="F26" s="501">
        <v>95.2</v>
      </c>
      <c r="G26" s="501">
        <v>28.9</v>
      </c>
      <c r="H26" s="501">
        <v>119.8</v>
      </c>
      <c r="I26" s="501">
        <v>145.6</v>
      </c>
      <c r="J26" s="501">
        <v>51.6</v>
      </c>
      <c r="K26" s="501">
        <v>18.5</v>
      </c>
      <c r="L26" s="501">
        <v>94.1</v>
      </c>
      <c r="M26" s="501">
        <v>126.1</v>
      </c>
      <c r="N26" s="507">
        <v>39.700000000000003</v>
      </c>
      <c r="O26" s="515">
        <f t="shared" si="0"/>
        <v>822.7</v>
      </c>
      <c r="P26" s="321">
        <f t="shared" si="1"/>
        <v>68.599999999999994</v>
      </c>
    </row>
    <row r="27" spans="2:19" ht="22.5" customHeight="1">
      <c r="B27" s="336">
        <v>2016</v>
      </c>
      <c r="C27" s="501">
        <v>11.6</v>
      </c>
      <c r="D27" s="501">
        <v>45.8</v>
      </c>
      <c r="E27" s="501">
        <v>40.299999999999997</v>
      </c>
      <c r="F27" s="501">
        <v>154.9</v>
      </c>
      <c r="G27" s="501">
        <v>85.1</v>
      </c>
      <c r="H27" s="501">
        <v>62.5</v>
      </c>
      <c r="I27" s="501">
        <v>367.9</v>
      </c>
      <c r="J27" s="501">
        <v>57.4</v>
      </c>
      <c r="K27" s="501">
        <v>196</v>
      </c>
      <c r="L27" s="501">
        <v>122.6</v>
      </c>
      <c r="M27" s="501">
        <v>29.5</v>
      </c>
      <c r="N27" s="507">
        <v>54.8</v>
      </c>
      <c r="O27" s="515">
        <f t="shared" si="0"/>
        <v>1228.4000000000001</v>
      </c>
      <c r="P27" s="321">
        <f t="shared" si="1"/>
        <v>102.4</v>
      </c>
    </row>
    <row r="28" spans="2:19" ht="22.5" customHeight="1">
      <c r="B28" s="336">
        <v>2017</v>
      </c>
      <c r="C28" s="501">
        <v>15</v>
      </c>
      <c r="D28" s="501">
        <v>42</v>
      </c>
      <c r="E28" s="501">
        <v>11.6</v>
      </c>
      <c r="F28" s="501">
        <v>77.7</v>
      </c>
      <c r="G28" s="501">
        <v>29.3</v>
      </c>
      <c r="H28" s="501">
        <v>35.299999999999997</v>
      </c>
      <c r="I28" s="501">
        <v>434.5</v>
      </c>
      <c r="J28" s="501">
        <v>293.8</v>
      </c>
      <c r="K28" s="501">
        <v>111.4</v>
      </c>
      <c r="L28" s="501">
        <v>28.3</v>
      </c>
      <c r="M28" s="501">
        <v>15.1</v>
      </c>
      <c r="N28" s="507">
        <v>33.5</v>
      </c>
      <c r="O28" s="515">
        <f t="shared" si="0"/>
        <v>1127.5</v>
      </c>
      <c r="P28" s="321">
        <f t="shared" si="1"/>
        <v>94</v>
      </c>
    </row>
    <row r="29" spans="2:19" ht="22.5" customHeight="1">
      <c r="B29" s="336">
        <v>2018</v>
      </c>
      <c r="C29" s="501">
        <v>23.9</v>
      </c>
      <c r="D29" s="501">
        <v>40.5</v>
      </c>
      <c r="E29" s="501">
        <v>108.4</v>
      </c>
      <c r="F29" s="501">
        <v>155.30000000000001</v>
      </c>
      <c r="G29" s="501">
        <v>95.9</v>
      </c>
      <c r="H29" s="501">
        <v>115.8</v>
      </c>
      <c r="I29" s="501">
        <v>226.9</v>
      </c>
      <c r="J29" s="501">
        <v>408.6</v>
      </c>
      <c r="K29" s="501">
        <v>149.4</v>
      </c>
      <c r="L29" s="501">
        <v>133.9</v>
      </c>
      <c r="M29" s="501">
        <v>49.8</v>
      </c>
      <c r="N29" s="507">
        <v>33.700000000000003</v>
      </c>
      <c r="O29" s="515">
        <f t="shared" si="0"/>
        <v>1542.1</v>
      </c>
      <c r="P29" s="321">
        <f t="shared" si="1"/>
        <v>128.5</v>
      </c>
    </row>
    <row r="30" spans="2:19" ht="22.5" customHeight="1">
      <c r="B30" s="336">
        <v>2019</v>
      </c>
      <c r="C30" s="501">
        <v>1.7</v>
      </c>
      <c r="D30" s="501">
        <v>46.3</v>
      </c>
      <c r="E30" s="501">
        <v>33.700000000000003</v>
      </c>
      <c r="F30" s="501">
        <v>91.6</v>
      </c>
      <c r="G30" s="501">
        <v>35.6</v>
      </c>
      <c r="H30" s="501">
        <v>77.900000000000006</v>
      </c>
      <c r="I30" s="501">
        <v>199</v>
      </c>
      <c r="J30" s="501">
        <v>104.3</v>
      </c>
      <c r="K30" s="501">
        <v>167</v>
      </c>
      <c r="L30" s="501">
        <v>106.1</v>
      </c>
      <c r="M30" s="501">
        <v>94</v>
      </c>
      <c r="N30" s="507">
        <v>27</v>
      </c>
      <c r="O30" s="515">
        <f t="shared" si="0"/>
        <v>984.2</v>
      </c>
      <c r="P30" s="321">
        <f t="shared" si="1"/>
        <v>82</v>
      </c>
    </row>
    <row r="31" spans="2:19" ht="22.5" customHeight="1">
      <c r="B31" s="336">
        <v>2020</v>
      </c>
      <c r="C31" s="501">
        <v>78.5</v>
      </c>
      <c r="D31" s="501">
        <v>91.2</v>
      </c>
      <c r="E31" s="501">
        <v>24.4</v>
      </c>
      <c r="F31" s="501">
        <v>17.8</v>
      </c>
      <c r="G31" s="501">
        <v>80.400000000000006</v>
      </c>
      <c r="H31" s="501">
        <v>192.5</v>
      </c>
      <c r="I31" s="501">
        <v>544.9</v>
      </c>
      <c r="J31" s="501">
        <v>361.6</v>
      </c>
      <c r="K31" s="501">
        <v>173.6</v>
      </c>
      <c r="L31" s="501">
        <v>3.2</v>
      </c>
      <c r="M31" s="501">
        <v>41.8</v>
      </c>
      <c r="N31" s="507">
        <v>4.0999999999999996</v>
      </c>
      <c r="O31" s="515">
        <f t="shared" si="0"/>
        <v>1614</v>
      </c>
      <c r="P31" s="321">
        <f t="shared" si="1"/>
        <v>134.5</v>
      </c>
    </row>
    <row r="32" spans="2:19" ht="22.5" customHeight="1">
      <c r="B32" s="336">
        <v>2021</v>
      </c>
      <c r="C32" s="501">
        <v>23.6</v>
      </c>
      <c r="D32" s="501">
        <v>14.1</v>
      </c>
      <c r="E32" s="501">
        <v>95.2</v>
      </c>
      <c r="F32" s="501">
        <v>47.4</v>
      </c>
      <c r="G32" s="501">
        <v>134.19999999999999</v>
      </c>
      <c r="H32" s="501">
        <v>105.9</v>
      </c>
      <c r="I32" s="501">
        <v>151.80000000000001</v>
      </c>
      <c r="J32" s="501">
        <v>289.2</v>
      </c>
      <c r="K32" s="501">
        <v>161.19999999999999</v>
      </c>
      <c r="L32" s="501">
        <v>40.799999999999997</v>
      </c>
      <c r="M32" s="501">
        <v>41.7</v>
      </c>
      <c r="N32" s="507">
        <v>4.4000000000000004</v>
      </c>
      <c r="O32" s="515">
        <f t="shared" si="0"/>
        <v>1109.5</v>
      </c>
      <c r="P32" s="321">
        <f t="shared" si="1"/>
        <v>92.5</v>
      </c>
    </row>
    <row r="33" spans="2:16" ht="22.5" customHeight="1">
      <c r="B33" s="336">
        <v>2022</v>
      </c>
      <c r="C33" s="501">
        <v>1.2</v>
      </c>
      <c r="D33" s="501">
        <v>1.4</v>
      </c>
      <c r="E33" s="501">
        <v>74</v>
      </c>
      <c r="F33" s="501">
        <v>69.7</v>
      </c>
      <c r="G33" s="501">
        <v>8.1</v>
      </c>
      <c r="H33" s="501">
        <v>117.6</v>
      </c>
      <c r="I33" s="501">
        <v>195</v>
      </c>
      <c r="J33" s="501">
        <v>496.1</v>
      </c>
      <c r="K33" s="501">
        <v>90.2</v>
      </c>
      <c r="L33" s="501">
        <v>89.3</v>
      </c>
      <c r="M33" s="501">
        <v>45.8</v>
      </c>
      <c r="N33" s="507">
        <v>14.7</v>
      </c>
      <c r="O33" s="515">
        <f t="shared" si="0"/>
        <v>1203.0999999999999</v>
      </c>
      <c r="P33" s="321">
        <f t="shared" si="1"/>
        <v>100.3</v>
      </c>
    </row>
    <row r="34" spans="2:16" ht="22.5" customHeight="1" thickBot="1">
      <c r="B34" s="518">
        <v>2023</v>
      </c>
      <c r="C34" s="519">
        <v>28.4</v>
      </c>
      <c r="D34" s="519">
        <v>5.4</v>
      </c>
      <c r="E34" s="519">
        <v>23.8</v>
      </c>
      <c r="F34" s="519">
        <v>54.5</v>
      </c>
      <c r="G34" s="519">
        <v>192.9</v>
      </c>
      <c r="H34" s="519">
        <v>147.5</v>
      </c>
      <c r="I34" s="519">
        <v>776.3</v>
      </c>
      <c r="J34" s="519">
        <v>326.89999999999998</v>
      </c>
      <c r="K34" s="519">
        <v>310.2</v>
      </c>
      <c r="L34" s="519">
        <v>12.2</v>
      </c>
      <c r="M34" s="519">
        <v>40.299999999999997</v>
      </c>
      <c r="N34" s="520">
        <v>122.3</v>
      </c>
      <c r="O34" s="521">
        <f t="shared" si="0"/>
        <v>2040.7</v>
      </c>
      <c r="P34" s="522">
        <f t="shared" si="1"/>
        <v>170.1</v>
      </c>
    </row>
    <row r="35" spans="2:16" ht="22.5" customHeight="1">
      <c r="B35" s="423" t="s">
        <v>36</v>
      </c>
      <c r="C35" s="523">
        <f>MAX(C5:C34)</f>
        <v>92.1</v>
      </c>
      <c r="D35" s="523">
        <f t="shared" ref="D35:N35" si="2">MAX(D5:D34)</f>
        <v>91.2</v>
      </c>
      <c r="E35" s="523">
        <f t="shared" si="2"/>
        <v>138</v>
      </c>
      <c r="F35" s="523">
        <f t="shared" si="2"/>
        <v>217.5</v>
      </c>
      <c r="G35" s="523">
        <f t="shared" si="2"/>
        <v>200.9</v>
      </c>
      <c r="H35" s="523">
        <f t="shared" si="2"/>
        <v>411.4</v>
      </c>
      <c r="I35" s="523">
        <f t="shared" si="2"/>
        <v>776.3</v>
      </c>
      <c r="J35" s="523">
        <f t="shared" si="2"/>
        <v>781.7</v>
      </c>
      <c r="K35" s="523">
        <f t="shared" si="2"/>
        <v>549.9</v>
      </c>
      <c r="L35" s="523">
        <f t="shared" si="2"/>
        <v>171.6</v>
      </c>
      <c r="M35" s="523">
        <f t="shared" si="2"/>
        <v>168.2</v>
      </c>
      <c r="N35" s="424">
        <f t="shared" si="2"/>
        <v>122.3</v>
      </c>
      <c r="O35" s="524">
        <f t="shared" ref="O35" si="3">MAX(O5:O34)</f>
        <v>2070</v>
      </c>
      <c r="P35" s="424">
        <f>MAX(P5:P34)</f>
        <v>172.5</v>
      </c>
    </row>
    <row r="36" spans="2:16" ht="22.5" customHeight="1">
      <c r="B36" s="336" t="s">
        <v>37</v>
      </c>
      <c r="C36" s="142">
        <f>ROUND(MIN(C5:C34),1)</f>
        <v>1.2</v>
      </c>
      <c r="D36" s="142">
        <f t="shared" ref="D36:N36" si="4">ROUND(MIN(D5:D34),1)</f>
        <v>1.4</v>
      </c>
      <c r="E36" s="142">
        <f t="shared" si="4"/>
        <v>8.1</v>
      </c>
      <c r="F36" s="142">
        <f t="shared" si="4"/>
        <v>17.8</v>
      </c>
      <c r="G36" s="142">
        <f t="shared" si="4"/>
        <v>8.1</v>
      </c>
      <c r="H36" s="142">
        <f t="shared" si="4"/>
        <v>33.6</v>
      </c>
      <c r="I36" s="142">
        <f t="shared" si="4"/>
        <v>105.3</v>
      </c>
      <c r="J36" s="142">
        <f t="shared" si="4"/>
        <v>51.6</v>
      </c>
      <c r="K36" s="142">
        <f t="shared" si="4"/>
        <v>11.4</v>
      </c>
      <c r="L36" s="142">
        <f t="shared" si="4"/>
        <v>3.2</v>
      </c>
      <c r="M36" s="142">
        <f t="shared" si="4"/>
        <v>9.8000000000000007</v>
      </c>
      <c r="N36" s="321">
        <f t="shared" si="4"/>
        <v>2.7</v>
      </c>
      <c r="O36" s="516">
        <f>ROUND(MIN(O5:O34),1)</f>
        <v>822.7</v>
      </c>
      <c r="P36" s="507">
        <f>ROUND(MIN(P5:P34),1)</f>
        <v>68.599999999999994</v>
      </c>
    </row>
    <row r="37" spans="2:16" ht="22.5" customHeight="1" thickBot="1">
      <c r="B37" s="304" t="s">
        <v>45</v>
      </c>
      <c r="C37" s="302">
        <f>ROUND(AVERAGE(C5:C34),1)</f>
        <v>25.8</v>
      </c>
      <c r="D37" s="302">
        <f t="shared" ref="D37:N37" si="5">ROUND(AVERAGE(D5:D34),1)</f>
        <v>32.4</v>
      </c>
      <c r="E37" s="302">
        <f t="shared" si="5"/>
        <v>52.1</v>
      </c>
      <c r="F37" s="302">
        <f t="shared" si="5"/>
        <v>78.900000000000006</v>
      </c>
      <c r="G37" s="302">
        <f t="shared" si="5"/>
        <v>93.1</v>
      </c>
      <c r="H37" s="302">
        <f t="shared" si="5"/>
        <v>165.8</v>
      </c>
      <c r="I37" s="302">
        <f t="shared" si="5"/>
        <v>319.10000000000002</v>
      </c>
      <c r="J37" s="302">
        <f t="shared" si="5"/>
        <v>312.39999999999998</v>
      </c>
      <c r="K37" s="302">
        <f t="shared" si="5"/>
        <v>153.80000000000001</v>
      </c>
      <c r="L37" s="302">
        <f t="shared" si="5"/>
        <v>61</v>
      </c>
      <c r="M37" s="302">
        <f t="shared" si="5"/>
        <v>46.9</v>
      </c>
      <c r="N37" s="305">
        <f t="shared" si="5"/>
        <v>30.1</v>
      </c>
      <c r="O37" s="517">
        <f>ROUND(AVERAGE(O5:O34),1)</f>
        <v>1371.3</v>
      </c>
      <c r="P37" s="510">
        <f>ROUND(AVERAGE(P5:P34),1)</f>
        <v>114.3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25" t="s">
        <v>18</v>
      </c>
      <c r="O40" s="503" t="s">
        <v>43</v>
      </c>
      <c r="P40" s="505" t="s">
        <v>30</v>
      </c>
    </row>
    <row r="41" spans="2:16" ht="22.5" customHeight="1">
      <c r="B41" s="506">
        <f>B25</f>
        <v>2014</v>
      </c>
      <c r="C41" s="501">
        <f t="shared" ref="C41:N41" si="6">C25</f>
        <v>6.5</v>
      </c>
      <c r="D41" s="501">
        <f t="shared" si="6"/>
        <v>8.5</v>
      </c>
      <c r="E41" s="501">
        <f t="shared" si="6"/>
        <v>67.2</v>
      </c>
      <c r="F41" s="501">
        <f t="shared" si="6"/>
        <v>59.4</v>
      </c>
      <c r="G41" s="501">
        <f t="shared" si="6"/>
        <v>49.7</v>
      </c>
      <c r="H41" s="501">
        <f t="shared" si="6"/>
        <v>143.69999999999999</v>
      </c>
      <c r="I41" s="501">
        <f t="shared" si="6"/>
        <v>177.2</v>
      </c>
      <c r="J41" s="501">
        <f t="shared" si="6"/>
        <v>240.9</v>
      </c>
      <c r="K41" s="501">
        <f t="shared" si="6"/>
        <v>118</v>
      </c>
      <c r="L41" s="501">
        <f t="shared" si="6"/>
        <v>169.4</v>
      </c>
      <c r="M41" s="501">
        <f t="shared" si="6"/>
        <v>40.700000000000003</v>
      </c>
      <c r="N41" s="526">
        <f t="shared" si="6"/>
        <v>36.5</v>
      </c>
      <c r="O41" s="506">
        <f>ROUND(SUM(C41:N41),1)</f>
        <v>1117.7</v>
      </c>
      <c r="P41" s="507">
        <f>ROUND(O41/12,1)</f>
        <v>93.1</v>
      </c>
    </row>
    <row r="42" spans="2:16" ht="22.5" customHeight="1">
      <c r="B42" s="506">
        <f t="shared" ref="B42:N42" si="7">B26</f>
        <v>2015</v>
      </c>
      <c r="C42" s="501">
        <f t="shared" si="7"/>
        <v>31.5</v>
      </c>
      <c r="D42" s="501">
        <f t="shared" si="7"/>
        <v>27</v>
      </c>
      <c r="E42" s="501">
        <f t="shared" si="7"/>
        <v>44.7</v>
      </c>
      <c r="F42" s="501">
        <f t="shared" si="7"/>
        <v>95.2</v>
      </c>
      <c r="G42" s="501">
        <f t="shared" si="7"/>
        <v>28.9</v>
      </c>
      <c r="H42" s="501">
        <f t="shared" si="7"/>
        <v>119.8</v>
      </c>
      <c r="I42" s="501">
        <f t="shared" si="7"/>
        <v>145.6</v>
      </c>
      <c r="J42" s="501">
        <f t="shared" si="7"/>
        <v>51.6</v>
      </c>
      <c r="K42" s="501">
        <f t="shared" si="7"/>
        <v>18.5</v>
      </c>
      <c r="L42" s="501">
        <f t="shared" si="7"/>
        <v>94.1</v>
      </c>
      <c r="M42" s="501">
        <f t="shared" si="7"/>
        <v>126.1</v>
      </c>
      <c r="N42" s="526">
        <f t="shared" si="7"/>
        <v>39.700000000000003</v>
      </c>
      <c r="O42" s="506">
        <f t="shared" ref="O42:O50" si="8">ROUND(SUM(C42:N42),1)</f>
        <v>822.7</v>
      </c>
      <c r="P42" s="507">
        <f t="shared" ref="P42:P50" si="9">ROUND(O42/12,1)</f>
        <v>68.599999999999994</v>
      </c>
    </row>
    <row r="43" spans="2:16" ht="22.5" customHeight="1">
      <c r="B43" s="506">
        <f t="shared" ref="B43:N43" si="10">B27</f>
        <v>2016</v>
      </c>
      <c r="C43" s="501">
        <f t="shared" si="10"/>
        <v>11.6</v>
      </c>
      <c r="D43" s="501">
        <f t="shared" si="10"/>
        <v>45.8</v>
      </c>
      <c r="E43" s="501">
        <f t="shared" si="10"/>
        <v>40.299999999999997</v>
      </c>
      <c r="F43" s="501">
        <f t="shared" si="10"/>
        <v>154.9</v>
      </c>
      <c r="G43" s="501">
        <f t="shared" si="10"/>
        <v>85.1</v>
      </c>
      <c r="H43" s="501">
        <f t="shared" si="10"/>
        <v>62.5</v>
      </c>
      <c r="I43" s="501">
        <f t="shared" si="10"/>
        <v>367.9</v>
      </c>
      <c r="J43" s="501">
        <f t="shared" si="10"/>
        <v>57.4</v>
      </c>
      <c r="K43" s="501">
        <f t="shared" si="10"/>
        <v>196</v>
      </c>
      <c r="L43" s="501">
        <f t="shared" si="10"/>
        <v>122.6</v>
      </c>
      <c r="M43" s="501">
        <f t="shared" si="10"/>
        <v>29.5</v>
      </c>
      <c r="N43" s="526">
        <f t="shared" si="10"/>
        <v>54.8</v>
      </c>
      <c r="O43" s="506">
        <f t="shared" si="8"/>
        <v>1228.4000000000001</v>
      </c>
      <c r="P43" s="507">
        <f t="shared" si="9"/>
        <v>102.4</v>
      </c>
    </row>
    <row r="44" spans="2:16" ht="22.5" customHeight="1">
      <c r="B44" s="506">
        <f t="shared" ref="B44:N44" si="11">B28</f>
        <v>2017</v>
      </c>
      <c r="C44" s="501">
        <f t="shared" si="11"/>
        <v>15</v>
      </c>
      <c r="D44" s="501">
        <f t="shared" si="11"/>
        <v>42</v>
      </c>
      <c r="E44" s="501">
        <f t="shared" si="11"/>
        <v>11.6</v>
      </c>
      <c r="F44" s="501">
        <f t="shared" si="11"/>
        <v>77.7</v>
      </c>
      <c r="G44" s="501">
        <f t="shared" si="11"/>
        <v>29.3</v>
      </c>
      <c r="H44" s="501">
        <f t="shared" si="11"/>
        <v>35.299999999999997</v>
      </c>
      <c r="I44" s="501">
        <f t="shared" si="11"/>
        <v>434.5</v>
      </c>
      <c r="J44" s="501">
        <f t="shared" si="11"/>
        <v>293.8</v>
      </c>
      <c r="K44" s="501">
        <f t="shared" si="11"/>
        <v>111.4</v>
      </c>
      <c r="L44" s="501">
        <f t="shared" si="11"/>
        <v>28.3</v>
      </c>
      <c r="M44" s="501">
        <f t="shared" si="11"/>
        <v>15.1</v>
      </c>
      <c r="N44" s="526">
        <f t="shared" si="11"/>
        <v>33.5</v>
      </c>
      <c r="O44" s="506">
        <f t="shared" si="8"/>
        <v>1127.5</v>
      </c>
      <c r="P44" s="507">
        <f t="shared" si="9"/>
        <v>94</v>
      </c>
    </row>
    <row r="45" spans="2:16" ht="22.5" customHeight="1">
      <c r="B45" s="506">
        <f t="shared" ref="B45:N45" si="12">B29</f>
        <v>2018</v>
      </c>
      <c r="C45" s="501">
        <f t="shared" si="12"/>
        <v>23.9</v>
      </c>
      <c r="D45" s="501">
        <f t="shared" si="12"/>
        <v>40.5</v>
      </c>
      <c r="E45" s="501">
        <f t="shared" si="12"/>
        <v>108.4</v>
      </c>
      <c r="F45" s="501">
        <f t="shared" si="12"/>
        <v>155.30000000000001</v>
      </c>
      <c r="G45" s="501">
        <f t="shared" si="12"/>
        <v>95.9</v>
      </c>
      <c r="H45" s="501">
        <f t="shared" si="12"/>
        <v>115.8</v>
      </c>
      <c r="I45" s="501">
        <f t="shared" si="12"/>
        <v>226.9</v>
      </c>
      <c r="J45" s="501">
        <f t="shared" si="12"/>
        <v>408.6</v>
      </c>
      <c r="K45" s="501">
        <f t="shared" si="12"/>
        <v>149.4</v>
      </c>
      <c r="L45" s="501">
        <f t="shared" si="12"/>
        <v>133.9</v>
      </c>
      <c r="M45" s="501">
        <f t="shared" si="12"/>
        <v>49.8</v>
      </c>
      <c r="N45" s="526">
        <f t="shared" si="12"/>
        <v>33.700000000000003</v>
      </c>
      <c r="O45" s="506">
        <f t="shared" si="8"/>
        <v>1542.1</v>
      </c>
      <c r="P45" s="507">
        <f t="shared" si="9"/>
        <v>128.5</v>
      </c>
    </row>
    <row r="46" spans="2:16" ht="22.5" customHeight="1">
      <c r="B46" s="506">
        <f t="shared" ref="B46:N46" si="13">B30</f>
        <v>2019</v>
      </c>
      <c r="C46" s="501">
        <f t="shared" si="13"/>
        <v>1.7</v>
      </c>
      <c r="D46" s="501">
        <f t="shared" si="13"/>
        <v>46.3</v>
      </c>
      <c r="E46" s="501">
        <f t="shared" si="13"/>
        <v>33.700000000000003</v>
      </c>
      <c r="F46" s="501">
        <f t="shared" si="13"/>
        <v>91.6</v>
      </c>
      <c r="G46" s="501">
        <f t="shared" si="13"/>
        <v>35.6</v>
      </c>
      <c r="H46" s="501">
        <f t="shared" si="13"/>
        <v>77.900000000000006</v>
      </c>
      <c r="I46" s="501">
        <f t="shared" si="13"/>
        <v>199</v>
      </c>
      <c r="J46" s="501">
        <f t="shared" si="13"/>
        <v>104.3</v>
      </c>
      <c r="K46" s="501">
        <f t="shared" si="13"/>
        <v>167</v>
      </c>
      <c r="L46" s="501">
        <f t="shared" si="13"/>
        <v>106.1</v>
      </c>
      <c r="M46" s="501">
        <f t="shared" si="13"/>
        <v>94</v>
      </c>
      <c r="N46" s="526">
        <f t="shared" si="13"/>
        <v>27</v>
      </c>
      <c r="O46" s="506">
        <f t="shared" si="8"/>
        <v>984.2</v>
      </c>
      <c r="P46" s="507">
        <f t="shared" si="9"/>
        <v>82</v>
      </c>
    </row>
    <row r="47" spans="2:16" ht="22.5" customHeight="1">
      <c r="B47" s="506">
        <f t="shared" ref="B47:N47" si="14">B31</f>
        <v>2020</v>
      </c>
      <c r="C47" s="501">
        <f t="shared" si="14"/>
        <v>78.5</v>
      </c>
      <c r="D47" s="501">
        <f t="shared" si="14"/>
        <v>91.2</v>
      </c>
      <c r="E47" s="501">
        <f t="shared" si="14"/>
        <v>24.4</v>
      </c>
      <c r="F47" s="501">
        <f t="shared" si="14"/>
        <v>17.8</v>
      </c>
      <c r="G47" s="501">
        <f t="shared" si="14"/>
        <v>80.400000000000006</v>
      </c>
      <c r="H47" s="501">
        <f t="shared" si="14"/>
        <v>192.5</v>
      </c>
      <c r="I47" s="501">
        <f t="shared" si="14"/>
        <v>544.9</v>
      </c>
      <c r="J47" s="501">
        <f t="shared" si="14"/>
        <v>361.6</v>
      </c>
      <c r="K47" s="501">
        <f t="shared" si="14"/>
        <v>173.6</v>
      </c>
      <c r="L47" s="501">
        <f t="shared" si="14"/>
        <v>3.2</v>
      </c>
      <c r="M47" s="501">
        <f t="shared" si="14"/>
        <v>41.8</v>
      </c>
      <c r="N47" s="526">
        <f t="shared" si="14"/>
        <v>4.0999999999999996</v>
      </c>
      <c r="O47" s="506">
        <f t="shared" si="8"/>
        <v>1614</v>
      </c>
      <c r="P47" s="507">
        <f t="shared" si="9"/>
        <v>134.5</v>
      </c>
    </row>
    <row r="48" spans="2:16" ht="22.5" customHeight="1">
      <c r="B48" s="506">
        <f t="shared" ref="B48:N48" si="15">B32</f>
        <v>2021</v>
      </c>
      <c r="C48" s="501">
        <f t="shared" si="15"/>
        <v>23.6</v>
      </c>
      <c r="D48" s="501">
        <f t="shared" si="15"/>
        <v>14.1</v>
      </c>
      <c r="E48" s="501">
        <f t="shared" si="15"/>
        <v>95.2</v>
      </c>
      <c r="F48" s="501">
        <f t="shared" si="15"/>
        <v>47.4</v>
      </c>
      <c r="G48" s="501">
        <f t="shared" si="15"/>
        <v>134.19999999999999</v>
      </c>
      <c r="H48" s="501">
        <f t="shared" si="15"/>
        <v>105.9</v>
      </c>
      <c r="I48" s="501">
        <f t="shared" si="15"/>
        <v>151.80000000000001</v>
      </c>
      <c r="J48" s="501">
        <f t="shared" si="15"/>
        <v>289.2</v>
      </c>
      <c r="K48" s="501">
        <f t="shared" si="15"/>
        <v>161.19999999999999</v>
      </c>
      <c r="L48" s="501">
        <f t="shared" si="15"/>
        <v>40.799999999999997</v>
      </c>
      <c r="M48" s="501">
        <f t="shared" si="15"/>
        <v>41.7</v>
      </c>
      <c r="N48" s="526">
        <f t="shared" si="15"/>
        <v>4.4000000000000004</v>
      </c>
      <c r="O48" s="506">
        <f t="shared" si="8"/>
        <v>1109.5</v>
      </c>
      <c r="P48" s="507">
        <f t="shared" si="9"/>
        <v>92.5</v>
      </c>
    </row>
    <row r="49" spans="2:16" ht="22.5" customHeight="1">
      <c r="B49" s="506">
        <f t="shared" ref="B49:N49" si="16">B33</f>
        <v>2022</v>
      </c>
      <c r="C49" s="501">
        <f t="shared" si="16"/>
        <v>1.2</v>
      </c>
      <c r="D49" s="501">
        <f t="shared" si="16"/>
        <v>1.4</v>
      </c>
      <c r="E49" s="501">
        <f t="shared" si="16"/>
        <v>74</v>
      </c>
      <c r="F49" s="501">
        <f t="shared" si="16"/>
        <v>69.7</v>
      </c>
      <c r="G49" s="501">
        <f t="shared" si="16"/>
        <v>8.1</v>
      </c>
      <c r="H49" s="501">
        <f t="shared" si="16"/>
        <v>117.6</v>
      </c>
      <c r="I49" s="501">
        <f t="shared" si="16"/>
        <v>195</v>
      </c>
      <c r="J49" s="501">
        <f t="shared" si="16"/>
        <v>496.1</v>
      </c>
      <c r="K49" s="501">
        <f t="shared" si="16"/>
        <v>90.2</v>
      </c>
      <c r="L49" s="501">
        <f t="shared" si="16"/>
        <v>89.3</v>
      </c>
      <c r="M49" s="501">
        <f t="shared" si="16"/>
        <v>45.8</v>
      </c>
      <c r="N49" s="526">
        <f t="shared" si="16"/>
        <v>14.7</v>
      </c>
      <c r="O49" s="506">
        <f t="shared" si="8"/>
        <v>1203.0999999999999</v>
      </c>
      <c r="P49" s="507">
        <f t="shared" si="9"/>
        <v>100.3</v>
      </c>
    </row>
    <row r="50" spans="2:16" ht="22.5" customHeight="1" thickBot="1">
      <c r="B50" s="529">
        <f t="shared" ref="B50:N50" si="17">B34</f>
        <v>2023</v>
      </c>
      <c r="C50" s="519">
        <f t="shared" si="17"/>
        <v>28.4</v>
      </c>
      <c r="D50" s="519">
        <f t="shared" si="17"/>
        <v>5.4</v>
      </c>
      <c r="E50" s="519">
        <f>E34</f>
        <v>23.8</v>
      </c>
      <c r="F50" s="519">
        <f t="shared" si="17"/>
        <v>54.5</v>
      </c>
      <c r="G50" s="519">
        <f t="shared" si="17"/>
        <v>192.9</v>
      </c>
      <c r="H50" s="519">
        <f t="shared" si="17"/>
        <v>147.5</v>
      </c>
      <c r="I50" s="519">
        <f t="shared" si="17"/>
        <v>776.3</v>
      </c>
      <c r="J50" s="519">
        <f t="shared" si="17"/>
        <v>326.89999999999998</v>
      </c>
      <c r="K50" s="519">
        <f t="shared" si="17"/>
        <v>310.2</v>
      </c>
      <c r="L50" s="519">
        <f t="shared" si="17"/>
        <v>12.2</v>
      </c>
      <c r="M50" s="519">
        <f t="shared" si="17"/>
        <v>40.299999999999997</v>
      </c>
      <c r="N50" s="530">
        <f t="shared" si="17"/>
        <v>122.3</v>
      </c>
      <c r="O50" s="529">
        <f t="shared" si="8"/>
        <v>2040.7</v>
      </c>
      <c r="P50" s="520">
        <f t="shared" si="9"/>
        <v>170.1</v>
      </c>
    </row>
    <row r="51" spans="2:16" ht="22.5" customHeight="1">
      <c r="B51" s="531" t="s">
        <v>46</v>
      </c>
      <c r="C51" s="532">
        <f>MAX(C41:C50)</f>
        <v>78.5</v>
      </c>
      <c r="D51" s="532">
        <f t="shared" ref="D51:P51" si="18">MAX(D41:D50)</f>
        <v>91.2</v>
      </c>
      <c r="E51" s="532">
        <f t="shared" si="18"/>
        <v>108.4</v>
      </c>
      <c r="F51" s="532">
        <f t="shared" si="18"/>
        <v>155.30000000000001</v>
      </c>
      <c r="G51" s="532">
        <f t="shared" si="18"/>
        <v>192.9</v>
      </c>
      <c r="H51" s="532">
        <f t="shared" si="18"/>
        <v>192.5</v>
      </c>
      <c r="I51" s="532">
        <f t="shared" si="18"/>
        <v>776.3</v>
      </c>
      <c r="J51" s="532">
        <f t="shared" si="18"/>
        <v>496.1</v>
      </c>
      <c r="K51" s="532">
        <f t="shared" si="18"/>
        <v>310.2</v>
      </c>
      <c r="L51" s="532">
        <f t="shared" si="18"/>
        <v>169.4</v>
      </c>
      <c r="M51" s="532">
        <f t="shared" si="18"/>
        <v>126.1</v>
      </c>
      <c r="N51" s="533">
        <f t="shared" si="18"/>
        <v>122.3</v>
      </c>
      <c r="O51" s="531">
        <f t="shared" si="18"/>
        <v>2040.7</v>
      </c>
      <c r="P51" s="534">
        <f t="shared" si="18"/>
        <v>170.1</v>
      </c>
    </row>
    <row r="52" spans="2:16" ht="22.5" customHeight="1">
      <c r="B52" s="506" t="s">
        <v>47</v>
      </c>
      <c r="C52" s="501">
        <f>MIN(C41:C50)</f>
        <v>1.2</v>
      </c>
      <c r="D52" s="501">
        <f t="shared" ref="D52:P52" si="19">MIN(D41:D50)</f>
        <v>1.4</v>
      </c>
      <c r="E52" s="501">
        <f t="shared" si="19"/>
        <v>11.6</v>
      </c>
      <c r="F52" s="501">
        <f t="shared" si="19"/>
        <v>17.8</v>
      </c>
      <c r="G52" s="501">
        <f t="shared" si="19"/>
        <v>8.1</v>
      </c>
      <c r="H52" s="501">
        <f t="shared" si="19"/>
        <v>35.299999999999997</v>
      </c>
      <c r="I52" s="501">
        <f t="shared" si="19"/>
        <v>145.6</v>
      </c>
      <c r="J52" s="501">
        <f t="shared" si="19"/>
        <v>51.6</v>
      </c>
      <c r="K52" s="501">
        <f t="shared" si="19"/>
        <v>18.5</v>
      </c>
      <c r="L52" s="501">
        <f t="shared" si="19"/>
        <v>3.2</v>
      </c>
      <c r="M52" s="501">
        <f t="shared" si="19"/>
        <v>15.1</v>
      </c>
      <c r="N52" s="526">
        <f t="shared" si="19"/>
        <v>4.0999999999999996</v>
      </c>
      <c r="O52" s="506">
        <f>MIN(O41:O50)</f>
        <v>822.7</v>
      </c>
      <c r="P52" s="507">
        <f t="shared" si="19"/>
        <v>68.599999999999994</v>
      </c>
    </row>
    <row r="53" spans="2:16" ht="22.5" customHeight="1" thickBot="1">
      <c r="B53" s="508" t="s">
        <v>30</v>
      </c>
      <c r="C53" s="509">
        <f>ROUND(AVERAGE(C41:C50),1)</f>
        <v>22.2</v>
      </c>
      <c r="D53" s="509">
        <f t="shared" ref="D53:N53" si="20">ROUND(AVERAGE(D41:D50),1)</f>
        <v>32.200000000000003</v>
      </c>
      <c r="E53" s="509">
        <f t="shared" si="20"/>
        <v>52.3</v>
      </c>
      <c r="F53" s="509">
        <f t="shared" si="20"/>
        <v>82.4</v>
      </c>
      <c r="G53" s="509">
        <f t="shared" si="20"/>
        <v>74</v>
      </c>
      <c r="H53" s="509">
        <f t="shared" si="20"/>
        <v>111.9</v>
      </c>
      <c r="I53" s="509">
        <f t="shared" si="20"/>
        <v>321.89999999999998</v>
      </c>
      <c r="J53" s="509">
        <f t="shared" si="20"/>
        <v>263</v>
      </c>
      <c r="K53" s="509">
        <f t="shared" si="20"/>
        <v>149.6</v>
      </c>
      <c r="L53" s="509">
        <f t="shared" si="20"/>
        <v>80</v>
      </c>
      <c r="M53" s="509">
        <f t="shared" si="20"/>
        <v>52.5</v>
      </c>
      <c r="N53" s="527">
        <f t="shared" si="20"/>
        <v>37.1</v>
      </c>
      <c r="O53" s="528">
        <f>ROUND(AVERAGE(O41:O50),1)</f>
        <v>1279</v>
      </c>
      <c r="P53" s="510">
        <f>ROUND(AVERAGE(P41:P50),1)</f>
        <v>106.6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abSelected="1" topLeftCell="A28" workbookViewId="0">
      <selection activeCell="T55" sqref="T55"/>
    </sheetView>
  </sheetViews>
  <sheetFormatPr defaultColWidth="8.88671875" defaultRowHeight="16.5"/>
  <cols>
    <col min="1" max="1" width="8.88671875" style="141"/>
    <col min="2" max="2" width="8.88671875" style="474"/>
    <col min="3" max="3" width="8" style="474" customWidth="1"/>
    <col min="4" max="14" width="8.88671875" style="141"/>
    <col min="15" max="15" width="10.88671875" style="141" customWidth="1"/>
    <col min="16" max="16384" width="8.88671875" style="141"/>
  </cols>
  <sheetData>
    <row r="1" spans="2:16" ht="39" customHeight="1" thickBot="1">
      <c r="I1" s="293"/>
      <c r="J1" s="293"/>
      <c r="K1" s="293"/>
    </row>
    <row r="2" spans="2:16" ht="24" customHeight="1">
      <c r="B2" s="461"/>
      <c r="C2" s="462" t="s">
        <v>7</v>
      </c>
      <c r="D2" s="462" t="s">
        <v>8</v>
      </c>
      <c r="E2" s="462" t="s">
        <v>9</v>
      </c>
      <c r="F2" s="462" t="s">
        <v>10</v>
      </c>
      <c r="G2" s="462" t="s">
        <v>11</v>
      </c>
      <c r="H2" s="462" t="s">
        <v>12</v>
      </c>
      <c r="I2" s="462" t="s">
        <v>13</v>
      </c>
      <c r="J2" s="462" t="s">
        <v>14</v>
      </c>
      <c r="K2" s="462" t="s">
        <v>15</v>
      </c>
      <c r="L2" s="462" t="s">
        <v>16</v>
      </c>
      <c r="M2" s="462" t="s">
        <v>17</v>
      </c>
      <c r="N2" s="462" t="s">
        <v>18</v>
      </c>
      <c r="O2" s="462" t="s">
        <v>28</v>
      </c>
      <c r="P2" s="463" t="s">
        <v>20</v>
      </c>
    </row>
    <row r="3" spans="2:16">
      <c r="B3" s="464">
        <f>All!B5</f>
        <v>1994</v>
      </c>
      <c r="C3" s="460">
        <f>All!C5</f>
        <v>17.899999999999999</v>
      </c>
      <c r="D3" s="460">
        <f>All!D5</f>
        <v>16.8</v>
      </c>
      <c r="E3" s="460">
        <f>All!E5</f>
        <v>46.5</v>
      </c>
      <c r="F3" s="460">
        <f>All!F5</f>
        <v>38.700000000000003</v>
      </c>
      <c r="G3" s="460">
        <f>All!G5</f>
        <v>138.4</v>
      </c>
      <c r="H3" s="460">
        <f>All!H5</f>
        <v>115.1</v>
      </c>
      <c r="I3" s="460">
        <f>All!I5</f>
        <v>105.3</v>
      </c>
      <c r="J3" s="460">
        <f>All!J5</f>
        <v>145.9</v>
      </c>
      <c r="K3" s="460">
        <f>All!K5</f>
        <v>37.9</v>
      </c>
      <c r="L3" s="460">
        <f>All!L5</f>
        <v>145.30000000000001</v>
      </c>
      <c r="M3" s="460">
        <f>All!M5</f>
        <v>24.3</v>
      </c>
      <c r="N3" s="460">
        <f>All!N5</f>
        <v>25.8</v>
      </c>
      <c r="O3" s="460">
        <f>All!O5</f>
        <v>857.9</v>
      </c>
      <c r="P3" s="465">
        <f>All!P5</f>
        <v>71.5</v>
      </c>
    </row>
    <row r="4" spans="2:16">
      <c r="B4" s="464">
        <f>All!B6</f>
        <v>1995</v>
      </c>
      <c r="C4" s="460">
        <f>All!C6</f>
        <v>23.5</v>
      </c>
      <c r="D4" s="460">
        <f>All!D6</f>
        <v>16.899999999999999</v>
      </c>
      <c r="E4" s="460">
        <f>All!E6</f>
        <v>33.799999999999997</v>
      </c>
      <c r="F4" s="460">
        <f>All!F6</f>
        <v>54.7</v>
      </c>
      <c r="G4" s="460">
        <f>All!G6</f>
        <v>62.2</v>
      </c>
      <c r="H4" s="460">
        <f>All!H6</f>
        <v>33.6</v>
      </c>
      <c r="I4" s="460">
        <f>All!I6</f>
        <v>155.4</v>
      </c>
      <c r="J4" s="460">
        <f>All!J6</f>
        <v>641.9</v>
      </c>
      <c r="K4" s="460">
        <f>All!K6</f>
        <v>53.4</v>
      </c>
      <c r="L4" s="460">
        <f>All!L6</f>
        <v>36</v>
      </c>
      <c r="M4" s="460">
        <f>All!M6</f>
        <v>17.5</v>
      </c>
      <c r="N4" s="460">
        <f>All!N6</f>
        <v>7.3</v>
      </c>
      <c r="O4" s="460">
        <f>All!O6</f>
        <v>1136.2</v>
      </c>
      <c r="P4" s="465">
        <f>All!P6</f>
        <v>94.7</v>
      </c>
    </row>
    <row r="5" spans="2:16">
      <c r="B5" s="464">
        <f>All!B7</f>
        <v>1996</v>
      </c>
      <c r="C5" s="460">
        <f>All!C7</f>
        <v>32.700000000000003</v>
      </c>
      <c r="D5" s="460">
        <f>All!D7</f>
        <v>4.4000000000000004</v>
      </c>
      <c r="E5" s="460">
        <f>All!E7</f>
        <v>138</v>
      </c>
      <c r="F5" s="460">
        <f>All!F7</f>
        <v>49.8</v>
      </c>
      <c r="G5" s="460">
        <f>All!G7</f>
        <v>62.9</v>
      </c>
      <c r="H5" s="460">
        <f>All!H7</f>
        <v>411.4</v>
      </c>
      <c r="I5" s="460">
        <f>All!I7</f>
        <v>257.7</v>
      </c>
      <c r="J5" s="460">
        <f>All!J7</f>
        <v>114.4</v>
      </c>
      <c r="K5" s="460">
        <f>All!K7</f>
        <v>11.4</v>
      </c>
      <c r="L5" s="460">
        <f>All!L7</f>
        <v>90.8</v>
      </c>
      <c r="M5" s="460">
        <f>All!M7</f>
        <v>77.099999999999994</v>
      </c>
      <c r="N5" s="460">
        <f>All!N7</f>
        <v>28.6</v>
      </c>
      <c r="O5" s="460">
        <f>All!O7</f>
        <v>1279.2</v>
      </c>
      <c r="P5" s="465">
        <f>All!P7</f>
        <v>106.6</v>
      </c>
    </row>
    <row r="6" spans="2:16">
      <c r="B6" s="464">
        <f>All!B8</f>
        <v>1997</v>
      </c>
      <c r="C6" s="460">
        <f>All!C8</f>
        <v>15.6</v>
      </c>
      <c r="D6" s="460">
        <f>All!D8</f>
        <v>51.1</v>
      </c>
      <c r="E6" s="460">
        <f>All!E8</f>
        <v>37.1</v>
      </c>
      <c r="F6" s="460">
        <f>All!F8</f>
        <v>55.4</v>
      </c>
      <c r="G6" s="460">
        <f>All!G8</f>
        <v>200.9</v>
      </c>
      <c r="H6" s="460">
        <f>All!H8</f>
        <v>267.5</v>
      </c>
      <c r="I6" s="460">
        <f>All!I8</f>
        <v>424.2</v>
      </c>
      <c r="J6" s="460">
        <f>All!J8</f>
        <v>463.5</v>
      </c>
      <c r="K6" s="460">
        <f>All!K8</f>
        <v>30.2</v>
      </c>
      <c r="L6" s="460">
        <f>All!L8</f>
        <v>7.7</v>
      </c>
      <c r="M6" s="460">
        <f>All!M8</f>
        <v>168.2</v>
      </c>
      <c r="N6" s="460">
        <f>All!N8</f>
        <v>44.5</v>
      </c>
      <c r="O6" s="460">
        <f>All!O8</f>
        <v>1765.9</v>
      </c>
      <c r="P6" s="465">
        <f>All!P8</f>
        <v>147.19999999999999</v>
      </c>
    </row>
    <row r="7" spans="2:16">
      <c r="B7" s="464">
        <f>All!B9</f>
        <v>1998</v>
      </c>
      <c r="C7" s="460">
        <f>All!C9</f>
        <v>33.299999999999997</v>
      </c>
      <c r="D7" s="460">
        <f>All!D9</f>
        <v>36.299999999999997</v>
      </c>
      <c r="E7" s="460">
        <f>All!E9</f>
        <v>31.1</v>
      </c>
      <c r="F7" s="460">
        <f>All!F9</f>
        <v>154.30000000000001</v>
      </c>
      <c r="G7" s="460">
        <f>All!G9</f>
        <v>119.5</v>
      </c>
      <c r="H7" s="460">
        <f>All!H9</f>
        <v>297.2</v>
      </c>
      <c r="I7" s="460">
        <f>All!I9</f>
        <v>256.10000000000002</v>
      </c>
      <c r="J7" s="460">
        <f>All!J9</f>
        <v>781.7</v>
      </c>
      <c r="K7" s="460">
        <f>All!K9</f>
        <v>254.7</v>
      </c>
      <c r="L7" s="460">
        <f>All!L9</f>
        <v>71.5</v>
      </c>
      <c r="M7" s="460">
        <f>All!M9</f>
        <v>31.6</v>
      </c>
      <c r="N7" s="460">
        <f>All!N9</f>
        <v>2.7</v>
      </c>
      <c r="O7" s="460">
        <f>All!O9</f>
        <v>2070</v>
      </c>
      <c r="P7" s="465">
        <f>All!P9</f>
        <v>172.5</v>
      </c>
    </row>
    <row r="8" spans="2:16">
      <c r="B8" s="464">
        <f>All!B10</f>
        <v>1999</v>
      </c>
      <c r="C8" s="460">
        <f>All!C10</f>
        <v>1.8</v>
      </c>
      <c r="D8" s="460">
        <f>All!D10</f>
        <v>12.2</v>
      </c>
      <c r="E8" s="460">
        <f>All!E10</f>
        <v>79.400000000000006</v>
      </c>
      <c r="F8" s="460">
        <f>All!F10</f>
        <v>103</v>
      </c>
      <c r="G8" s="460">
        <f>All!G10</f>
        <v>116.8</v>
      </c>
      <c r="H8" s="460">
        <f>All!H10</f>
        <v>245.7</v>
      </c>
      <c r="I8" s="460">
        <f>All!I10</f>
        <v>137.80000000000001</v>
      </c>
      <c r="J8" s="460">
        <f>All!J10</f>
        <v>203</v>
      </c>
      <c r="K8" s="460">
        <f>All!K10</f>
        <v>359.5</v>
      </c>
      <c r="L8" s="460">
        <f>All!L10</f>
        <v>171.6</v>
      </c>
      <c r="M8" s="460">
        <f>All!M10</f>
        <v>16.5</v>
      </c>
      <c r="N8" s="460">
        <f>All!N10</f>
        <v>7.9</v>
      </c>
      <c r="O8" s="460">
        <f>All!O10</f>
        <v>1455.2</v>
      </c>
      <c r="P8" s="465">
        <f>All!P10</f>
        <v>121.3</v>
      </c>
    </row>
    <row r="9" spans="2:16">
      <c r="B9" s="464">
        <f>All!B11</f>
        <v>2000</v>
      </c>
      <c r="C9" s="460">
        <f>All!C11</f>
        <v>27.5</v>
      </c>
      <c r="D9" s="460">
        <f>All!D11</f>
        <v>4.0999999999999996</v>
      </c>
      <c r="E9" s="460">
        <f>All!E11</f>
        <v>17.8</v>
      </c>
      <c r="F9" s="460">
        <f>All!F11</f>
        <v>67.8</v>
      </c>
      <c r="G9" s="460">
        <f>All!G11</f>
        <v>54.3</v>
      </c>
      <c r="H9" s="460">
        <f>All!H11</f>
        <v>238.3</v>
      </c>
      <c r="I9" s="460">
        <f>All!I11</f>
        <v>470.1</v>
      </c>
      <c r="J9" s="460">
        <f>All!J11</f>
        <v>473.6</v>
      </c>
      <c r="K9" s="460">
        <f>All!K11</f>
        <v>263.2</v>
      </c>
      <c r="L9" s="460">
        <f>All!L11</f>
        <v>24.6</v>
      </c>
      <c r="M9" s="460">
        <f>All!M11</f>
        <v>44.6</v>
      </c>
      <c r="N9" s="460">
        <f>All!N11</f>
        <v>21.6</v>
      </c>
      <c r="O9" s="460">
        <f>All!O11</f>
        <v>1707.5</v>
      </c>
      <c r="P9" s="465">
        <f>All!P11</f>
        <v>142.30000000000001</v>
      </c>
    </row>
    <row r="10" spans="2:16">
      <c r="B10" s="464">
        <f>All!B12</f>
        <v>2001</v>
      </c>
      <c r="C10" s="460">
        <f>All!C12</f>
        <v>61.2</v>
      </c>
      <c r="D10" s="460">
        <f>All!D12</f>
        <v>70</v>
      </c>
      <c r="E10" s="460">
        <f>All!E12</f>
        <v>16</v>
      </c>
      <c r="F10" s="460">
        <f>All!F12</f>
        <v>20.399999999999999</v>
      </c>
      <c r="G10" s="460">
        <f>All!G12</f>
        <v>30.2</v>
      </c>
      <c r="H10" s="460">
        <f>All!H12</f>
        <v>234.2</v>
      </c>
      <c r="I10" s="460">
        <f>All!I12</f>
        <v>171</v>
      </c>
      <c r="J10" s="460">
        <f>All!J12</f>
        <v>78.099999999999994</v>
      </c>
      <c r="K10" s="460">
        <f>All!K12</f>
        <v>25.2</v>
      </c>
      <c r="L10" s="460">
        <f>All!L12</f>
        <v>91.2</v>
      </c>
      <c r="M10" s="460">
        <f>All!M12</f>
        <v>10.8</v>
      </c>
      <c r="N10" s="460">
        <f>All!N12</f>
        <v>20.399999999999999</v>
      </c>
      <c r="O10" s="460">
        <f>All!O12</f>
        <v>828.7</v>
      </c>
      <c r="P10" s="465">
        <f>All!P12</f>
        <v>69.099999999999994</v>
      </c>
    </row>
    <row r="11" spans="2:16">
      <c r="B11" s="464">
        <f>All!B13</f>
        <v>2002</v>
      </c>
      <c r="C11" s="460">
        <f>All!C13</f>
        <v>92.1</v>
      </c>
      <c r="D11" s="460">
        <f>All!D13</f>
        <v>12</v>
      </c>
      <c r="E11" s="460">
        <f>All!E13</f>
        <v>33.5</v>
      </c>
      <c r="F11" s="460">
        <f>All!F13</f>
        <v>155.5</v>
      </c>
      <c r="G11" s="460">
        <f>All!G13</f>
        <v>130.5</v>
      </c>
      <c r="H11" s="460">
        <f>All!H13</f>
        <v>55.4</v>
      </c>
      <c r="I11" s="460">
        <f>All!I13</f>
        <v>149.1</v>
      </c>
      <c r="J11" s="460">
        <f>All!J13</f>
        <v>538.79999999999995</v>
      </c>
      <c r="K11" s="460">
        <f>All!K13</f>
        <v>77</v>
      </c>
      <c r="L11" s="460">
        <f>All!L13</f>
        <v>67.8</v>
      </c>
      <c r="M11" s="460">
        <f>All!M13</f>
        <v>24</v>
      </c>
      <c r="N11" s="460">
        <f>All!N13</f>
        <v>43</v>
      </c>
      <c r="O11" s="460">
        <f>All!O13</f>
        <v>1378.7</v>
      </c>
      <c r="P11" s="465">
        <f>All!P13</f>
        <v>114.9</v>
      </c>
    </row>
    <row r="12" spans="2:16">
      <c r="B12" s="464">
        <f>All!B14</f>
        <v>2003</v>
      </c>
      <c r="C12" s="460">
        <f>All!C14</f>
        <v>11.2</v>
      </c>
      <c r="D12" s="460">
        <f>All!D14</f>
        <v>59.2</v>
      </c>
      <c r="E12" s="460">
        <f>All!E14</f>
        <v>44.2</v>
      </c>
      <c r="F12" s="460">
        <f>All!F14</f>
        <v>217.5</v>
      </c>
      <c r="G12" s="460">
        <f>All!G14</f>
        <v>119.5</v>
      </c>
      <c r="H12" s="460">
        <f>All!H14</f>
        <v>186.4</v>
      </c>
      <c r="I12" s="460">
        <f>All!I14</f>
        <v>576.29999999999995</v>
      </c>
      <c r="J12" s="460">
        <f>All!J14</f>
        <v>254.9</v>
      </c>
      <c r="K12" s="460">
        <f>All!K14</f>
        <v>208.5</v>
      </c>
      <c r="L12" s="460">
        <f>All!L14</f>
        <v>21.5</v>
      </c>
      <c r="M12" s="460">
        <f>All!M14</f>
        <v>32.6</v>
      </c>
      <c r="N12" s="460">
        <f>All!N14</f>
        <v>17.100000000000001</v>
      </c>
      <c r="O12" s="460">
        <f>All!O14</f>
        <v>1748.9</v>
      </c>
      <c r="P12" s="465">
        <f>All!P14</f>
        <v>145.69999999999999</v>
      </c>
    </row>
    <row r="13" spans="2:16">
      <c r="B13" s="464">
        <f>All!B15</f>
        <v>2004</v>
      </c>
      <c r="C13" s="460">
        <f>All!C15</f>
        <v>10.9</v>
      </c>
      <c r="D13" s="460">
        <f>All!D15</f>
        <v>30.6</v>
      </c>
      <c r="E13" s="460">
        <f>All!E15</f>
        <v>83.2</v>
      </c>
      <c r="F13" s="460">
        <f>All!F15</f>
        <v>73.099999999999994</v>
      </c>
      <c r="G13" s="460">
        <f>All!G15</f>
        <v>109</v>
      </c>
      <c r="H13" s="460">
        <f>All!H15</f>
        <v>383.5</v>
      </c>
      <c r="I13" s="460">
        <f>All!I15</f>
        <v>391</v>
      </c>
      <c r="J13" s="460">
        <f>All!J15</f>
        <v>198.3</v>
      </c>
      <c r="K13" s="460">
        <f>All!K15</f>
        <v>133.69999999999999</v>
      </c>
      <c r="L13" s="460">
        <f>All!L15</f>
        <v>5</v>
      </c>
      <c r="M13" s="460">
        <f>All!M15</f>
        <v>37.1</v>
      </c>
      <c r="N13" s="460">
        <f>All!N15</f>
        <v>41.1</v>
      </c>
      <c r="O13" s="460">
        <f>All!O15</f>
        <v>1496.5</v>
      </c>
      <c r="P13" s="465">
        <f>All!P15</f>
        <v>124.7</v>
      </c>
    </row>
    <row r="14" spans="2:16">
      <c r="B14" s="464">
        <f>All!B16</f>
        <v>2005</v>
      </c>
      <c r="C14" s="460">
        <f>All!C16</f>
        <v>6</v>
      </c>
      <c r="D14" s="460">
        <f>All!D16</f>
        <v>37.5</v>
      </c>
      <c r="E14" s="460">
        <f>All!E16</f>
        <v>38.799999999999997</v>
      </c>
      <c r="F14" s="460">
        <f>All!F16</f>
        <v>48.5</v>
      </c>
      <c r="G14" s="460">
        <f>All!G16</f>
        <v>60.5</v>
      </c>
      <c r="H14" s="460">
        <f>All!H16</f>
        <v>209.6</v>
      </c>
      <c r="I14" s="460">
        <f>All!I16</f>
        <v>463.3</v>
      </c>
      <c r="J14" s="460">
        <f>All!J16</f>
        <v>499.5</v>
      </c>
      <c r="K14" s="460">
        <f>All!K16</f>
        <v>226.4</v>
      </c>
      <c r="L14" s="460">
        <f>All!L16</f>
        <v>30.5</v>
      </c>
      <c r="M14" s="460">
        <f>All!M16</f>
        <v>20.3</v>
      </c>
      <c r="N14" s="460">
        <f>All!N16</f>
        <v>15.2</v>
      </c>
      <c r="O14" s="460">
        <f>All!O16</f>
        <v>1656.1</v>
      </c>
      <c r="P14" s="465">
        <f>All!P16</f>
        <v>138</v>
      </c>
    </row>
    <row r="15" spans="2:16">
      <c r="B15" s="464">
        <f>All!B17</f>
        <v>2006</v>
      </c>
      <c r="C15" s="460">
        <f>All!C17</f>
        <v>31.2</v>
      </c>
      <c r="D15" s="460">
        <f>All!D17</f>
        <v>33.1</v>
      </c>
      <c r="E15" s="460">
        <f>All!E17</f>
        <v>8.1</v>
      </c>
      <c r="F15" s="460">
        <f>All!F17</f>
        <v>94.2</v>
      </c>
      <c r="G15" s="460">
        <f>All!G17</f>
        <v>119.7</v>
      </c>
      <c r="H15" s="460">
        <f>All!H17</f>
        <v>131</v>
      </c>
      <c r="I15" s="460">
        <f>All!I17</f>
        <v>531</v>
      </c>
      <c r="J15" s="460">
        <f>All!J17</f>
        <v>113.6</v>
      </c>
      <c r="K15" s="460">
        <f>All!K17</f>
        <v>24.1</v>
      </c>
      <c r="L15" s="460">
        <f>All!L17</f>
        <v>19.3</v>
      </c>
      <c r="M15" s="460">
        <f>All!M17</f>
        <v>60</v>
      </c>
      <c r="N15" s="460">
        <f>All!N17</f>
        <v>29.9</v>
      </c>
      <c r="O15" s="460">
        <f>All!O17</f>
        <v>1195.2</v>
      </c>
      <c r="P15" s="465">
        <f>All!P17</f>
        <v>99.6</v>
      </c>
    </row>
    <row r="16" spans="2:16">
      <c r="B16" s="464">
        <f>All!B18</f>
        <v>2007</v>
      </c>
      <c r="C16" s="460">
        <f>All!C18</f>
        <v>14</v>
      </c>
      <c r="D16" s="460">
        <f>All!D18</f>
        <v>45</v>
      </c>
      <c r="E16" s="460">
        <f>All!E18</f>
        <v>117.5</v>
      </c>
      <c r="F16" s="460">
        <f>All!F18</f>
        <v>28.6</v>
      </c>
      <c r="G16" s="460">
        <f>All!G18</f>
        <v>130.1</v>
      </c>
      <c r="H16" s="460">
        <f>All!H18</f>
        <v>133</v>
      </c>
      <c r="I16" s="460">
        <f>All!I18</f>
        <v>275.7</v>
      </c>
      <c r="J16" s="460">
        <f>All!J18</f>
        <v>373</v>
      </c>
      <c r="K16" s="460">
        <f>All!K18</f>
        <v>549.9</v>
      </c>
      <c r="L16" s="460">
        <f>All!L18</f>
        <v>47.4</v>
      </c>
      <c r="M16" s="460">
        <f>All!M18</f>
        <v>9.8000000000000007</v>
      </c>
      <c r="N16" s="460">
        <f>All!N18</f>
        <v>26.9</v>
      </c>
      <c r="O16" s="460">
        <f>All!O18</f>
        <v>1750.9</v>
      </c>
      <c r="P16" s="465">
        <f>All!P18</f>
        <v>145.9</v>
      </c>
    </row>
    <row r="17" spans="2:16">
      <c r="B17" s="464">
        <f>All!B19</f>
        <v>2008</v>
      </c>
      <c r="C17" s="460">
        <f>All!C19</f>
        <v>45.3</v>
      </c>
      <c r="D17" s="460">
        <f>All!D19</f>
        <v>9.1</v>
      </c>
      <c r="E17" s="460">
        <f>All!E19</f>
        <v>29.1</v>
      </c>
      <c r="F17" s="460">
        <f>All!F19</f>
        <v>34.4</v>
      </c>
      <c r="G17" s="460">
        <f>All!G19</f>
        <v>59.2</v>
      </c>
      <c r="H17" s="460">
        <f>All!H19</f>
        <v>148.30000000000001</v>
      </c>
      <c r="I17" s="460">
        <f>All!I19</f>
        <v>253.4</v>
      </c>
      <c r="J17" s="460">
        <f>All!J19</f>
        <v>325.2</v>
      </c>
      <c r="K17" s="460">
        <f>All!K19</f>
        <v>85.5</v>
      </c>
      <c r="L17" s="460">
        <f>All!L19</f>
        <v>19.600000000000001</v>
      </c>
      <c r="M17" s="460">
        <f>All!M19</f>
        <v>12.1</v>
      </c>
      <c r="N17" s="460">
        <f>All!N19</f>
        <v>16.399999999999999</v>
      </c>
      <c r="O17" s="460">
        <f>All!O19</f>
        <v>1037.5999999999999</v>
      </c>
      <c r="P17" s="465">
        <f>All!P19</f>
        <v>86.5</v>
      </c>
    </row>
    <row r="18" spans="2:16">
      <c r="B18" s="464">
        <f>All!B20</f>
        <v>2009</v>
      </c>
      <c r="C18" s="460">
        <f>All!C20</f>
        <v>15.4</v>
      </c>
      <c r="D18" s="460">
        <f>All!D20</f>
        <v>27.5</v>
      </c>
      <c r="E18" s="460">
        <f>All!E20</f>
        <v>60.3</v>
      </c>
      <c r="F18" s="460">
        <f>All!F20</f>
        <v>34.5</v>
      </c>
      <c r="G18" s="460">
        <f>All!G20</f>
        <v>124.3</v>
      </c>
      <c r="H18" s="460">
        <f>All!H20</f>
        <v>87.3</v>
      </c>
      <c r="I18" s="460">
        <f>All!I20</f>
        <v>429.2</v>
      </c>
      <c r="J18" s="460">
        <f>All!J20</f>
        <v>148.30000000000001</v>
      </c>
      <c r="K18" s="460">
        <f>All!K20</f>
        <v>46</v>
      </c>
      <c r="L18" s="460">
        <f>All!L20</f>
        <v>24.7</v>
      </c>
      <c r="M18" s="460">
        <f>All!M20</f>
        <v>54.7</v>
      </c>
      <c r="N18" s="460">
        <f>All!N20</f>
        <v>38.200000000000003</v>
      </c>
      <c r="O18" s="460">
        <f>All!O20</f>
        <v>1090.4000000000001</v>
      </c>
      <c r="P18" s="465">
        <f>All!P20</f>
        <v>90.9</v>
      </c>
    </row>
    <row r="19" spans="2:16">
      <c r="B19" s="464">
        <f>All!B21</f>
        <v>2010</v>
      </c>
      <c r="C19" s="460">
        <f>All!C21</f>
        <v>46.4</v>
      </c>
      <c r="D19" s="460">
        <f>All!D21</f>
        <v>81.5</v>
      </c>
      <c r="E19" s="460">
        <f>All!E21</f>
        <v>100.1</v>
      </c>
      <c r="F19" s="460">
        <f>All!F21</f>
        <v>88.5</v>
      </c>
      <c r="G19" s="460">
        <f>All!G21</f>
        <v>117.6</v>
      </c>
      <c r="H19" s="460">
        <f>All!H21</f>
        <v>65.599999999999994</v>
      </c>
      <c r="I19" s="460">
        <f>All!I21</f>
        <v>223.1</v>
      </c>
      <c r="J19" s="460">
        <f>All!J21</f>
        <v>376.4</v>
      </c>
      <c r="K19" s="460">
        <f>All!K21</f>
        <v>250.5</v>
      </c>
      <c r="L19" s="460">
        <f>All!L21</f>
        <v>17.899999999999999</v>
      </c>
      <c r="M19" s="460">
        <f>All!M21</f>
        <v>16.399999999999999</v>
      </c>
      <c r="N19" s="460">
        <f>All!N21</f>
        <v>35.700000000000003</v>
      </c>
      <c r="O19" s="460">
        <f>All!O21</f>
        <v>1419.7</v>
      </c>
      <c r="P19" s="465">
        <f>All!P21</f>
        <v>118.3</v>
      </c>
    </row>
    <row r="20" spans="2:16">
      <c r="B20" s="464">
        <f>All!B22</f>
        <v>2011</v>
      </c>
      <c r="C20" s="460">
        <f>All!C22</f>
        <v>4</v>
      </c>
      <c r="D20" s="460">
        <f>All!D22</f>
        <v>44.8</v>
      </c>
      <c r="E20" s="460">
        <f>All!E22</f>
        <v>19</v>
      </c>
      <c r="F20" s="460">
        <f>All!F22</f>
        <v>71</v>
      </c>
      <c r="G20" s="460">
        <f>All!G22</f>
        <v>162</v>
      </c>
      <c r="H20" s="460">
        <f>All!H22</f>
        <v>391.6</v>
      </c>
      <c r="I20" s="460">
        <f>All!I22</f>
        <v>587.29999999999995</v>
      </c>
      <c r="J20" s="460">
        <f>All!J22</f>
        <v>420.3</v>
      </c>
      <c r="K20" s="460">
        <f>All!K22</f>
        <v>91.7</v>
      </c>
      <c r="L20" s="460">
        <f>All!L22</f>
        <v>37</v>
      </c>
      <c r="M20" s="460">
        <f>All!M22</f>
        <v>103.2</v>
      </c>
      <c r="N20" s="460">
        <f>All!N22</f>
        <v>11.5</v>
      </c>
      <c r="O20" s="460">
        <f>All!O22</f>
        <v>1943.4</v>
      </c>
      <c r="P20" s="465">
        <f>All!P22</f>
        <v>162</v>
      </c>
    </row>
    <row r="21" spans="2:16">
      <c r="B21" s="464">
        <f>All!B23</f>
        <v>2012</v>
      </c>
      <c r="C21" s="460">
        <f>All!C23</f>
        <v>16.399999999999999</v>
      </c>
      <c r="D21" s="460">
        <f>All!D23</f>
        <v>2.5</v>
      </c>
      <c r="E21" s="460">
        <f>All!E23</f>
        <v>54.6</v>
      </c>
      <c r="F21" s="460">
        <f>All!F23</f>
        <v>66.2</v>
      </c>
      <c r="G21" s="460">
        <f>All!G23</f>
        <v>24</v>
      </c>
      <c r="H21" s="460">
        <f>All!H23</f>
        <v>57.8</v>
      </c>
      <c r="I21" s="460">
        <f>All!I23</f>
        <v>277.60000000000002</v>
      </c>
      <c r="J21" s="460">
        <f>All!J23</f>
        <v>463.6</v>
      </c>
      <c r="K21" s="460">
        <f>All!K23</f>
        <v>242.5</v>
      </c>
      <c r="L21" s="460">
        <f>All!L23</f>
        <v>81.3</v>
      </c>
      <c r="M21" s="460">
        <f>All!M23</f>
        <v>58.4</v>
      </c>
      <c r="N21" s="460">
        <f>All!N23</f>
        <v>64.599999999999994</v>
      </c>
      <c r="O21" s="460">
        <f>All!O23</f>
        <v>1409.5</v>
      </c>
      <c r="P21" s="465">
        <f>All!P23</f>
        <v>117.5</v>
      </c>
    </row>
    <row r="22" spans="2:16">
      <c r="B22" s="464">
        <f>All!B24</f>
        <v>2013</v>
      </c>
      <c r="C22" s="460">
        <f>All!C24</f>
        <v>46.2</v>
      </c>
      <c r="D22" s="460">
        <f>All!D24</f>
        <v>54.2</v>
      </c>
      <c r="E22" s="460">
        <f>All!E24</f>
        <v>52.8</v>
      </c>
      <c r="F22" s="460">
        <f>All!F24</f>
        <v>86.8</v>
      </c>
      <c r="G22" s="460">
        <f>All!G24</f>
        <v>110.4</v>
      </c>
      <c r="H22" s="460">
        <f>All!H24</f>
        <v>162.6</v>
      </c>
      <c r="I22" s="460">
        <f>All!I24</f>
        <v>218.7</v>
      </c>
      <c r="J22" s="460">
        <f>All!J24</f>
        <v>126.6</v>
      </c>
      <c r="K22" s="460">
        <f>All!K24</f>
        <v>146.4</v>
      </c>
      <c r="L22" s="460">
        <f>All!L24</f>
        <v>19.600000000000001</v>
      </c>
      <c r="M22" s="460">
        <f>All!M24</f>
        <v>63.1</v>
      </c>
      <c r="N22" s="460">
        <f>All!N24</f>
        <v>32.799999999999997</v>
      </c>
      <c r="O22" s="460">
        <f>All!O24</f>
        <v>1120.2</v>
      </c>
      <c r="P22" s="465">
        <f>All!P24</f>
        <v>93.4</v>
      </c>
    </row>
    <row r="23" spans="2:16">
      <c r="B23" s="464">
        <f>All!B25</f>
        <v>2014</v>
      </c>
      <c r="C23" s="460">
        <f>All!C25</f>
        <v>6.5</v>
      </c>
      <c r="D23" s="460">
        <f>All!D25</f>
        <v>8.5</v>
      </c>
      <c r="E23" s="460">
        <f>All!E25</f>
        <v>67.2</v>
      </c>
      <c r="F23" s="460">
        <f>All!F25</f>
        <v>59.4</v>
      </c>
      <c r="G23" s="460">
        <f>All!G25</f>
        <v>49.7</v>
      </c>
      <c r="H23" s="460">
        <f>All!H25</f>
        <v>143.69999999999999</v>
      </c>
      <c r="I23" s="460">
        <f>All!I25</f>
        <v>177.2</v>
      </c>
      <c r="J23" s="460">
        <f>All!J25</f>
        <v>240.9</v>
      </c>
      <c r="K23" s="460">
        <f>All!K25</f>
        <v>118</v>
      </c>
      <c r="L23" s="460">
        <f>All!L25</f>
        <v>169.4</v>
      </c>
      <c r="M23" s="460">
        <f>All!M25</f>
        <v>40.700000000000003</v>
      </c>
      <c r="N23" s="460">
        <f>All!N25</f>
        <v>36.5</v>
      </c>
      <c r="O23" s="460">
        <f>All!O25</f>
        <v>1117.7</v>
      </c>
      <c r="P23" s="465">
        <f>All!P25</f>
        <v>93.1</v>
      </c>
    </row>
    <row r="24" spans="2:16">
      <c r="B24" s="464">
        <f>All!B26</f>
        <v>2015</v>
      </c>
      <c r="C24" s="460">
        <f>All!C26</f>
        <v>31.5</v>
      </c>
      <c r="D24" s="460">
        <f>All!D26</f>
        <v>27</v>
      </c>
      <c r="E24" s="460">
        <f>All!E26</f>
        <v>44.7</v>
      </c>
      <c r="F24" s="460">
        <f>All!F26</f>
        <v>95.2</v>
      </c>
      <c r="G24" s="460">
        <f>All!G26</f>
        <v>28.9</v>
      </c>
      <c r="H24" s="460">
        <f>All!H26</f>
        <v>119.8</v>
      </c>
      <c r="I24" s="460">
        <f>All!I26</f>
        <v>145.6</v>
      </c>
      <c r="J24" s="460">
        <f>All!J26</f>
        <v>51.6</v>
      </c>
      <c r="K24" s="460">
        <f>All!K26</f>
        <v>18.5</v>
      </c>
      <c r="L24" s="460">
        <f>All!L26</f>
        <v>94.1</v>
      </c>
      <c r="M24" s="460">
        <f>All!M26</f>
        <v>126.1</v>
      </c>
      <c r="N24" s="460">
        <f>All!N26</f>
        <v>39.700000000000003</v>
      </c>
      <c r="O24" s="460">
        <f>All!O26</f>
        <v>822.7</v>
      </c>
      <c r="P24" s="465">
        <f>All!P26</f>
        <v>68.599999999999994</v>
      </c>
    </row>
    <row r="25" spans="2:16">
      <c r="B25" s="464">
        <f>All!B27</f>
        <v>2016</v>
      </c>
      <c r="C25" s="460">
        <f>All!C27</f>
        <v>11.6</v>
      </c>
      <c r="D25" s="460">
        <f>All!D27</f>
        <v>45.8</v>
      </c>
      <c r="E25" s="460">
        <f>All!E27</f>
        <v>40.299999999999997</v>
      </c>
      <c r="F25" s="460">
        <f>All!F27</f>
        <v>154.9</v>
      </c>
      <c r="G25" s="460">
        <f>All!G27</f>
        <v>85.1</v>
      </c>
      <c r="H25" s="460">
        <f>All!H27</f>
        <v>62.5</v>
      </c>
      <c r="I25" s="460">
        <f>All!I27</f>
        <v>367.9</v>
      </c>
      <c r="J25" s="460">
        <f>All!J27</f>
        <v>57.4</v>
      </c>
      <c r="K25" s="460">
        <f>All!K27</f>
        <v>196</v>
      </c>
      <c r="L25" s="460">
        <f>All!L27</f>
        <v>122.6</v>
      </c>
      <c r="M25" s="460">
        <f>All!M27</f>
        <v>29.5</v>
      </c>
      <c r="N25" s="460">
        <f>All!N27</f>
        <v>54.8</v>
      </c>
      <c r="O25" s="460">
        <f>All!O27</f>
        <v>1228.4000000000001</v>
      </c>
      <c r="P25" s="465">
        <f>All!P27</f>
        <v>102.4</v>
      </c>
    </row>
    <row r="26" spans="2:16">
      <c r="B26" s="464">
        <f>All!B28</f>
        <v>2017</v>
      </c>
      <c r="C26" s="460">
        <f>All!C28</f>
        <v>15</v>
      </c>
      <c r="D26" s="460">
        <f>All!D28</f>
        <v>42</v>
      </c>
      <c r="E26" s="460">
        <f>All!E28</f>
        <v>11.6</v>
      </c>
      <c r="F26" s="460">
        <f>All!F28</f>
        <v>77.7</v>
      </c>
      <c r="G26" s="460">
        <f>All!G28</f>
        <v>29.3</v>
      </c>
      <c r="H26" s="460">
        <f>All!H28</f>
        <v>35.299999999999997</v>
      </c>
      <c r="I26" s="460">
        <f>All!I28</f>
        <v>434.5</v>
      </c>
      <c r="J26" s="460">
        <f>All!J28</f>
        <v>293.8</v>
      </c>
      <c r="K26" s="460">
        <f>All!K28</f>
        <v>111.4</v>
      </c>
      <c r="L26" s="460">
        <f>All!L28</f>
        <v>28.3</v>
      </c>
      <c r="M26" s="460">
        <f>All!M28</f>
        <v>15.1</v>
      </c>
      <c r="N26" s="460">
        <f>All!N28</f>
        <v>33.5</v>
      </c>
      <c r="O26" s="460">
        <f>All!O28</f>
        <v>1127.5</v>
      </c>
      <c r="P26" s="465">
        <f>All!P28</f>
        <v>94</v>
      </c>
    </row>
    <row r="27" spans="2:16">
      <c r="B27" s="464">
        <f>All!B29</f>
        <v>2018</v>
      </c>
      <c r="C27" s="460">
        <f>All!C29</f>
        <v>23.9</v>
      </c>
      <c r="D27" s="460">
        <f>All!D29</f>
        <v>40.5</v>
      </c>
      <c r="E27" s="460">
        <f>All!E29</f>
        <v>108.4</v>
      </c>
      <c r="F27" s="460">
        <f>All!F29</f>
        <v>155.30000000000001</v>
      </c>
      <c r="G27" s="460">
        <f>All!G29</f>
        <v>95.9</v>
      </c>
      <c r="H27" s="460">
        <f>All!H29</f>
        <v>115.8</v>
      </c>
      <c r="I27" s="460">
        <f>All!I29</f>
        <v>226.9</v>
      </c>
      <c r="J27" s="460">
        <f>All!J29</f>
        <v>408.6</v>
      </c>
      <c r="K27" s="460">
        <f>All!K29</f>
        <v>149.4</v>
      </c>
      <c r="L27" s="460">
        <f>All!L29</f>
        <v>133.9</v>
      </c>
      <c r="M27" s="460">
        <f>All!M29</f>
        <v>49.8</v>
      </c>
      <c r="N27" s="460">
        <f>All!N29</f>
        <v>33.700000000000003</v>
      </c>
      <c r="O27" s="460">
        <f>All!O29</f>
        <v>1542.1</v>
      </c>
      <c r="P27" s="465">
        <f>All!P29</f>
        <v>128.5</v>
      </c>
    </row>
    <row r="28" spans="2:16">
      <c r="B28" s="464">
        <f>All!B30</f>
        <v>2019</v>
      </c>
      <c r="C28" s="460">
        <f>All!C30</f>
        <v>1.7</v>
      </c>
      <c r="D28" s="460">
        <f>All!D30</f>
        <v>46.3</v>
      </c>
      <c r="E28" s="460">
        <f>All!E30</f>
        <v>33.700000000000003</v>
      </c>
      <c r="F28" s="460">
        <f>All!F30</f>
        <v>91.6</v>
      </c>
      <c r="G28" s="460">
        <f>All!G30</f>
        <v>35.6</v>
      </c>
      <c r="H28" s="460">
        <f>All!H30</f>
        <v>77.900000000000006</v>
      </c>
      <c r="I28" s="460">
        <f>All!I30</f>
        <v>199</v>
      </c>
      <c r="J28" s="460">
        <f>All!J30</f>
        <v>104.3</v>
      </c>
      <c r="K28" s="460">
        <f>All!K30</f>
        <v>167</v>
      </c>
      <c r="L28" s="460">
        <f>All!L30</f>
        <v>106.1</v>
      </c>
      <c r="M28" s="460">
        <f>All!M30</f>
        <v>94</v>
      </c>
      <c r="N28" s="460">
        <f>All!N30</f>
        <v>27</v>
      </c>
      <c r="O28" s="460">
        <f>All!O30</f>
        <v>984.2</v>
      </c>
      <c r="P28" s="465">
        <f>All!P30</f>
        <v>82</v>
      </c>
    </row>
    <row r="29" spans="2:16">
      <c r="B29" s="464">
        <f>All!B31</f>
        <v>2020</v>
      </c>
      <c r="C29" s="460">
        <f>All!C31</f>
        <v>78.5</v>
      </c>
      <c r="D29" s="460">
        <f>All!D31</f>
        <v>91.2</v>
      </c>
      <c r="E29" s="460">
        <f>All!E31</f>
        <v>24.4</v>
      </c>
      <c r="F29" s="460">
        <f>All!F31</f>
        <v>17.8</v>
      </c>
      <c r="G29" s="460">
        <f>All!G31</f>
        <v>80.400000000000006</v>
      </c>
      <c r="H29" s="460">
        <f>All!H31</f>
        <v>192.5</v>
      </c>
      <c r="I29" s="460">
        <f>All!I31</f>
        <v>544.9</v>
      </c>
      <c r="J29" s="460">
        <f>All!J31</f>
        <v>361.6</v>
      </c>
      <c r="K29" s="460">
        <f>All!K31</f>
        <v>173.6</v>
      </c>
      <c r="L29" s="460">
        <f>All!L31</f>
        <v>3.2</v>
      </c>
      <c r="M29" s="460">
        <f>All!M31</f>
        <v>41.8</v>
      </c>
      <c r="N29" s="460">
        <f>All!N31</f>
        <v>4.0999999999999996</v>
      </c>
      <c r="O29" s="460">
        <f>All!O31</f>
        <v>1614</v>
      </c>
      <c r="P29" s="465">
        <f>All!P31</f>
        <v>134.5</v>
      </c>
    </row>
    <row r="30" spans="2:16">
      <c r="B30" s="464">
        <f>All!B32</f>
        <v>2021</v>
      </c>
      <c r="C30" s="460">
        <f>All!C32</f>
        <v>23.6</v>
      </c>
      <c r="D30" s="460">
        <f>All!D32</f>
        <v>14.1</v>
      </c>
      <c r="E30" s="460">
        <f>All!E32</f>
        <v>95.2</v>
      </c>
      <c r="F30" s="460">
        <f>All!F32</f>
        <v>47.4</v>
      </c>
      <c r="G30" s="460">
        <f>All!G32</f>
        <v>134.19999999999999</v>
      </c>
      <c r="H30" s="460">
        <f>All!H32</f>
        <v>105.9</v>
      </c>
      <c r="I30" s="460">
        <f>All!I32</f>
        <v>151.80000000000001</v>
      </c>
      <c r="J30" s="460">
        <f>All!J32</f>
        <v>289.2</v>
      </c>
      <c r="K30" s="460">
        <f>All!K32</f>
        <v>161.19999999999999</v>
      </c>
      <c r="L30" s="460">
        <f>All!L32</f>
        <v>40.799999999999997</v>
      </c>
      <c r="M30" s="460">
        <f>All!M32</f>
        <v>41.7</v>
      </c>
      <c r="N30" s="460">
        <f>All!N32</f>
        <v>4.4000000000000004</v>
      </c>
      <c r="O30" s="460">
        <f>All!O32</f>
        <v>1109.5</v>
      </c>
      <c r="P30" s="465">
        <f>All!P32</f>
        <v>92.5</v>
      </c>
    </row>
    <row r="31" spans="2:16">
      <c r="B31" s="464">
        <f>All!B33</f>
        <v>2022</v>
      </c>
      <c r="C31" s="460">
        <f>All!C33</f>
        <v>1.2</v>
      </c>
      <c r="D31" s="460">
        <f>All!D33</f>
        <v>1.4</v>
      </c>
      <c r="E31" s="460">
        <f>All!E33</f>
        <v>74</v>
      </c>
      <c r="F31" s="460">
        <f>All!F33</f>
        <v>69.7</v>
      </c>
      <c r="G31" s="460">
        <f>All!G33</f>
        <v>8.1</v>
      </c>
      <c r="H31" s="460">
        <f>All!H33</f>
        <v>117.6</v>
      </c>
      <c r="I31" s="460">
        <f>All!I33</f>
        <v>195</v>
      </c>
      <c r="J31" s="460">
        <f>All!J33</f>
        <v>496.1</v>
      </c>
      <c r="K31" s="460">
        <f>All!K33</f>
        <v>90.2</v>
      </c>
      <c r="L31" s="460">
        <f>All!L33</f>
        <v>89.3</v>
      </c>
      <c r="M31" s="460">
        <f>All!M33</f>
        <v>45.8</v>
      </c>
      <c r="N31" s="460">
        <f>All!N33</f>
        <v>14.7</v>
      </c>
      <c r="O31" s="460">
        <f>All!O33</f>
        <v>1203.0999999999999</v>
      </c>
      <c r="P31" s="465">
        <f>All!P33</f>
        <v>100.3</v>
      </c>
    </row>
    <row r="32" spans="2:16">
      <c r="B32" s="464">
        <f>All!B34</f>
        <v>2023</v>
      </c>
      <c r="C32" s="460">
        <f>All!C34</f>
        <v>28.4</v>
      </c>
      <c r="D32" s="460">
        <f>All!D34</f>
        <v>5.4</v>
      </c>
      <c r="E32" s="460">
        <f>All!E34</f>
        <v>23.8</v>
      </c>
      <c r="F32" s="460">
        <f>All!F34</f>
        <v>54.5</v>
      </c>
      <c r="G32" s="460">
        <f>All!G34</f>
        <v>192.9</v>
      </c>
      <c r="H32" s="460">
        <f>All!H34</f>
        <v>147.5</v>
      </c>
      <c r="I32" s="460">
        <f>All!I34</f>
        <v>776.3</v>
      </c>
      <c r="J32" s="460">
        <f>All!J34</f>
        <v>326.89999999999998</v>
      </c>
      <c r="K32" s="460">
        <f>All!K34</f>
        <v>310.2</v>
      </c>
      <c r="L32" s="460">
        <f>All!L34</f>
        <v>12.2</v>
      </c>
      <c r="M32" s="460">
        <f>All!M34</f>
        <v>40.299999999999997</v>
      </c>
      <c r="N32" s="460">
        <f>All!N34</f>
        <v>122.3</v>
      </c>
      <c r="O32" s="460">
        <f>All!O34</f>
        <v>2040.7</v>
      </c>
      <c r="P32" s="465">
        <f>All!P34</f>
        <v>170.1</v>
      </c>
    </row>
    <row r="33" spans="2:17">
      <c r="B33" s="466" t="s">
        <v>171</v>
      </c>
      <c r="C33" s="459">
        <f>ROUND(SUM(C23:C32)/10,1)</f>
        <v>22.2</v>
      </c>
      <c r="D33" s="459">
        <f t="shared" ref="D33:P33" si="0">ROUND(SUM(D23:D32)/10,1)</f>
        <v>32.200000000000003</v>
      </c>
      <c r="E33" s="459">
        <f t="shared" si="0"/>
        <v>52.3</v>
      </c>
      <c r="F33" s="459">
        <f t="shared" si="0"/>
        <v>82.4</v>
      </c>
      <c r="G33" s="459">
        <f t="shared" si="0"/>
        <v>74</v>
      </c>
      <c r="H33" s="459">
        <f t="shared" si="0"/>
        <v>111.9</v>
      </c>
      <c r="I33" s="459">
        <f t="shared" si="0"/>
        <v>321.89999999999998</v>
      </c>
      <c r="J33" s="459">
        <f t="shared" si="0"/>
        <v>263</v>
      </c>
      <c r="K33" s="459">
        <f t="shared" si="0"/>
        <v>149.6</v>
      </c>
      <c r="L33" s="459">
        <f t="shared" si="0"/>
        <v>80</v>
      </c>
      <c r="M33" s="459">
        <f t="shared" si="0"/>
        <v>52.5</v>
      </c>
      <c r="N33" s="459">
        <f t="shared" si="0"/>
        <v>37.1</v>
      </c>
      <c r="O33" s="459">
        <f t="shared" si="0"/>
        <v>1279</v>
      </c>
      <c r="P33" s="467">
        <f t="shared" si="0"/>
        <v>106.6</v>
      </c>
    </row>
    <row r="34" spans="2:17" ht="17.25" thickBot="1">
      <c r="B34" s="468" t="s">
        <v>170</v>
      </c>
      <c r="C34" s="469">
        <f>All!C37</f>
        <v>25.8</v>
      </c>
      <c r="D34" s="469">
        <f>All!D37</f>
        <v>32.4</v>
      </c>
      <c r="E34" s="469">
        <f>All!E37</f>
        <v>52.1</v>
      </c>
      <c r="F34" s="469">
        <f>All!F37</f>
        <v>78.900000000000006</v>
      </c>
      <c r="G34" s="469">
        <f>All!G37</f>
        <v>93.1</v>
      </c>
      <c r="H34" s="469">
        <f>All!H37</f>
        <v>165.8</v>
      </c>
      <c r="I34" s="469">
        <f>All!I37</f>
        <v>319.10000000000002</v>
      </c>
      <c r="J34" s="469">
        <f>All!J37</f>
        <v>312.39999999999998</v>
      </c>
      <c r="K34" s="469">
        <f>All!K37</f>
        <v>153.80000000000001</v>
      </c>
      <c r="L34" s="469">
        <f>All!L37</f>
        <v>61</v>
      </c>
      <c r="M34" s="469">
        <f>All!M37</f>
        <v>46.9</v>
      </c>
      <c r="N34" s="469">
        <f>All!N37</f>
        <v>30.1</v>
      </c>
      <c r="O34" s="469">
        <f>All!O37</f>
        <v>1371.3</v>
      </c>
      <c r="P34" s="470">
        <f>All!P37</f>
        <v>114.3</v>
      </c>
    </row>
    <row r="36" spans="2:17" ht="17.25" thickBot="1"/>
    <row r="37" spans="2:17" ht="26.25" customHeight="1">
      <c r="B37" s="461" t="s">
        <v>29</v>
      </c>
      <c r="C37" s="463" t="s">
        <v>157</v>
      </c>
      <c r="D37" s="471"/>
      <c r="E37" s="472" t="s">
        <v>31</v>
      </c>
      <c r="F37" s="472" t="s">
        <v>32</v>
      </c>
      <c r="G37" s="472" t="s">
        <v>33</v>
      </c>
      <c r="H37" s="472" t="s">
        <v>34</v>
      </c>
      <c r="I37" s="472" t="s">
        <v>35</v>
      </c>
      <c r="J37" s="472" t="s">
        <v>12</v>
      </c>
      <c r="K37" s="462" t="s">
        <v>13</v>
      </c>
      <c r="L37" s="462" t="s">
        <v>14</v>
      </c>
      <c r="M37" s="462" t="s">
        <v>15</v>
      </c>
      <c r="N37" s="472" t="s">
        <v>16</v>
      </c>
      <c r="O37" s="472" t="s">
        <v>17</v>
      </c>
      <c r="P37" s="472" t="s">
        <v>18</v>
      </c>
      <c r="Q37" s="473" t="s">
        <v>30</v>
      </c>
    </row>
    <row r="38" spans="2:17" ht="17.25" thickBot="1">
      <c r="B38" s="464">
        <f>B23</f>
        <v>2014</v>
      </c>
      <c r="C38" s="465">
        <f>O23</f>
        <v>1117.7</v>
      </c>
      <c r="D38" s="475" t="s">
        <v>30</v>
      </c>
      <c r="E38" s="476">
        <f>All!C53</f>
        <v>22.2</v>
      </c>
      <c r="F38" s="476">
        <f>All!D53</f>
        <v>32.200000000000003</v>
      </c>
      <c r="G38" s="476">
        <f>All!E53</f>
        <v>52.3</v>
      </c>
      <c r="H38" s="476">
        <f>All!F53</f>
        <v>82.4</v>
      </c>
      <c r="I38" s="476">
        <f>All!G53</f>
        <v>74</v>
      </c>
      <c r="J38" s="476">
        <f>All!H53</f>
        <v>111.9</v>
      </c>
      <c r="K38" s="476">
        <f>All!I53</f>
        <v>321.89999999999998</v>
      </c>
      <c r="L38" s="476">
        <f>All!J53</f>
        <v>263</v>
      </c>
      <c r="M38" s="476">
        <f>All!K53</f>
        <v>149.6</v>
      </c>
      <c r="N38" s="476">
        <f>All!L53</f>
        <v>80</v>
      </c>
      <c r="O38" s="476">
        <f>All!M53</f>
        <v>52.5</v>
      </c>
      <c r="P38" s="476">
        <f>All!N53</f>
        <v>37.1</v>
      </c>
      <c r="Q38" s="477">
        <f>All!P53</f>
        <v>106.6</v>
      </c>
    </row>
    <row r="39" spans="2:17">
      <c r="B39" s="464">
        <f t="shared" ref="B39:B48" si="1">B24</f>
        <v>2015</v>
      </c>
      <c r="C39" s="465">
        <f t="shared" ref="C39:C48" si="2">O24</f>
        <v>822.7</v>
      </c>
    </row>
    <row r="40" spans="2:17">
      <c r="B40" s="464">
        <f t="shared" si="1"/>
        <v>2016</v>
      </c>
      <c r="C40" s="465">
        <f t="shared" si="2"/>
        <v>1228.4000000000001</v>
      </c>
    </row>
    <row r="41" spans="2:17">
      <c r="B41" s="464">
        <f t="shared" si="1"/>
        <v>2017</v>
      </c>
      <c r="C41" s="465">
        <f t="shared" si="2"/>
        <v>1127.5</v>
      </c>
    </row>
    <row r="42" spans="2:17">
      <c r="B42" s="464">
        <f t="shared" si="1"/>
        <v>2018</v>
      </c>
      <c r="C42" s="465">
        <f t="shared" si="2"/>
        <v>1542.1</v>
      </c>
    </row>
    <row r="43" spans="2:17">
      <c r="B43" s="464">
        <f t="shared" si="1"/>
        <v>2019</v>
      </c>
      <c r="C43" s="465">
        <f t="shared" si="2"/>
        <v>984.2</v>
      </c>
    </row>
    <row r="44" spans="2:17">
      <c r="B44" s="464">
        <f t="shared" si="1"/>
        <v>2020</v>
      </c>
      <c r="C44" s="465">
        <f t="shared" si="2"/>
        <v>1614</v>
      </c>
    </row>
    <row r="45" spans="2:17">
      <c r="B45" s="464">
        <f t="shared" si="1"/>
        <v>2021</v>
      </c>
      <c r="C45" s="465">
        <f t="shared" si="2"/>
        <v>1109.5</v>
      </c>
    </row>
    <row r="46" spans="2:17">
      <c r="B46" s="464">
        <f t="shared" si="1"/>
        <v>2022</v>
      </c>
      <c r="C46" s="465">
        <f t="shared" si="2"/>
        <v>1203.0999999999999</v>
      </c>
    </row>
    <row r="47" spans="2:17">
      <c r="B47" s="464">
        <f t="shared" si="1"/>
        <v>2023</v>
      </c>
      <c r="C47" s="465">
        <f t="shared" si="2"/>
        <v>2040.7</v>
      </c>
    </row>
    <row r="48" spans="2:17" ht="17.25" thickBot="1">
      <c r="B48" s="478" t="str">
        <f t="shared" si="1"/>
        <v>10년평균</v>
      </c>
      <c r="C48" s="479">
        <f t="shared" si="2"/>
        <v>1279</v>
      </c>
    </row>
    <row r="50" spans="2:3" ht="17.25" thickBot="1"/>
    <row r="51" spans="2:3">
      <c r="B51" s="485" t="s">
        <v>172</v>
      </c>
      <c r="C51" s="486" t="s">
        <v>157</v>
      </c>
    </row>
    <row r="52" spans="2:3">
      <c r="B52" s="482">
        <f>B3</f>
        <v>1994</v>
      </c>
      <c r="C52" s="483">
        <f>O3</f>
        <v>857.9</v>
      </c>
    </row>
    <row r="53" spans="2:3">
      <c r="B53" s="482">
        <f t="shared" ref="B53:B81" si="3">B4</f>
        <v>1995</v>
      </c>
      <c r="C53" s="483">
        <f t="shared" ref="C53:C81" si="4">O4</f>
        <v>1136.2</v>
      </c>
    </row>
    <row r="54" spans="2:3">
      <c r="B54" s="482">
        <f t="shared" si="3"/>
        <v>1996</v>
      </c>
      <c r="C54" s="483">
        <f t="shared" si="4"/>
        <v>1279.2</v>
      </c>
    </row>
    <row r="55" spans="2:3">
      <c r="B55" s="482">
        <f t="shared" si="3"/>
        <v>1997</v>
      </c>
      <c r="C55" s="483">
        <f t="shared" si="4"/>
        <v>1765.9</v>
      </c>
    </row>
    <row r="56" spans="2:3">
      <c r="B56" s="482">
        <f t="shared" si="3"/>
        <v>1998</v>
      </c>
      <c r="C56" s="483">
        <f t="shared" si="4"/>
        <v>2070</v>
      </c>
    </row>
    <row r="57" spans="2:3">
      <c r="B57" s="482">
        <f t="shared" si="3"/>
        <v>1999</v>
      </c>
      <c r="C57" s="483">
        <f t="shared" si="4"/>
        <v>1455.2</v>
      </c>
    </row>
    <row r="58" spans="2:3">
      <c r="B58" s="482">
        <f t="shared" si="3"/>
        <v>2000</v>
      </c>
      <c r="C58" s="483">
        <f t="shared" si="4"/>
        <v>1707.5</v>
      </c>
    </row>
    <row r="59" spans="2:3">
      <c r="B59" s="482">
        <f t="shared" si="3"/>
        <v>2001</v>
      </c>
      <c r="C59" s="483">
        <f t="shared" si="4"/>
        <v>828.7</v>
      </c>
    </row>
    <row r="60" spans="2:3">
      <c r="B60" s="482">
        <f t="shared" si="3"/>
        <v>2002</v>
      </c>
      <c r="C60" s="483">
        <f t="shared" si="4"/>
        <v>1378.7</v>
      </c>
    </row>
    <row r="61" spans="2:3">
      <c r="B61" s="482">
        <f t="shared" si="3"/>
        <v>2003</v>
      </c>
      <c r="C61" s="483">
        <f t="shared" si="4"/>
        <v>1748.9</v>
      </c>
    </row>
    <row r="62" spans="2:3">
      <c r="B62" s="482">
        <f t="shared" si="3"/>
        <v>2004</v>
      </c>
      <c r="C62" s="483">
        <f t="shared" si="4"/>
        <v>1496.5</v>
      </c>
    </row>
    <row r="63" spans="2:3">
      <c r="B63" s="482">
        <f t="shared" si="3"/>
        <v>2005</v>
      </c>
      <c r="C63" s="483">
        <f t="shared" si="4"/>
        <v>1656.1</v>
      </c>
    </row>
    <row r="64" spans="2:3">
      <c r="B64" s="482">
        <f t="shared" si="3"/>
        <v>2006</v>
      </c>
      <c r="C64" s="483">
        <f t="shared" si="4"/>
        <v>1195.2</v>
      </c>
    </row>
    <row r="65" spans="2:3">
      <c r="B65" s="482">
        <f t="shared" si="3"/>
        <v>2007</v>
      </c>
      <c r="C65" s="483">
        <f t="shared" si="4"/>
        <v>1750.9</v>
      </c>
    </row>
    <row r="66" spans="2:3">
      <c r="B66" s="482">
        <f t="shared" si="3"/>
        <v>2008</v>
      </c>
      <c r="C66" s="483">
        <f t="shared" si="4"/>
        <v>1037.5999999999999</v>
      </c>
    </row>
    <row r="67" spans="2:3">
      <c r="B67" s="482">
        <f t="shared" si="3"/>
        <v>2009</v>
      </c>
      <c r="C67" s="483">
        <f t="shared" si="4"/>
        <v>1090.4000000000001</v>
      </c>
    </row>
    <row r="68" spans="2:3">
      <c r="B68" s="482">
        <f t="shared" si="3"/>
        <v>2010</v>
      </c>
      <c r="C68" s="483">
        <f t="shared" si="4"/>
        <v>1419.7</v>
      </c>
    </row>
    <row r="69" spans="2:3">
      <c r="B69" s="482">
        <f t="shared" si="3"/>
        <v>2011</v>
      </c>
      <c r="C69" s="483">
        <f t="shared" si="4"/>
        <v>1943.4</v>
      </c>
    </row>
    <row r="70" spans="2:3">
      <c r="B70" s="482">
        <f t="shared" si="3"/>
        <v>2012</v>
      </c>
      <c r="C70" s="483">
        <f t="shared" si="4"/>
        <v>1409.5</v>
      </c>
    </row>
    <row r="71" spans="2:3">
      <c r="B71" s="482">
        <f t="shared" si="3"/>
        <v>2013</v>
      </c>
      <c r="C71" s="483">
        <f t="shared" si="4"/>
        <v>1120.2</v>
      </c>
    </row>
    <row r="72" spans="2:3">
      <c r="B72" s="482">
        <f t="shared" si="3"/>
        <v>2014</v>
      </c>
      <c r="C72" s="483">
        <f t="shared" si="4"/>
        <v>1117.7</v>
      </c>
    </row>
    <row r="73" spans="2:3">
      <c r="B73" s="482">
        <f t="shared" si="3"/>
        <v>2015</v>
      </c>
      <c r="C73" s="483">
        <f t="shared" si="4"/>
        <v>822.7</v>
      </c>
    </row>
    <row r="74" spans="2:3">
      <c r="B74" s="482">
        <f t="shared" si="3"/>
        <v>2016</v>
      </c>
      <c r="C74" s="483">
        <f t="shared" si="4"/>
        <v>1228.4000000000001</v>
      </c>
    </row>
    <row r="75" spans="2:3">
      <c r="B75" s="482">
        <f t="shared" si="3"/>
        <v>2017</v>
      </c>
      <c r="C75" s="483">
        <f t="shared" si="4"/>
        <v>1127.5</v>
      </c>
    </row>
    <row r="76" spans="2:3">
      <c r="B76" s="482">
        <f t="shared" si="3"/>
        <v>2018</v>
      </c>
      <c r="C76" s="483">
        <f t="shared" si="4"/>
        <v>1542.1</v>
      </c>
    </row>
    <row r="77" spans="2:3">
      <c r="B77" s="482">
        <f t="shared" si="3"/>
        <v>2019</v>
      </c>
      <c r="C77" s="483">
        <f t="shared" si="4"/>
        <v>984.2</v>
      </c>
    </row>
    <row r="78" spans="2:3">
      <c r="B78" s="482">
        <f>B29</f>
        <v>2020</v>
      </c>
      <c r="C78" s="483">
        <f t="shared" si="4"/>
        <v>1614</v>
      </c>
    </row>
    <row r="79" spans="2:3">
      <c r="B79" s="482">
        <f t="shared" si="3"/>
        <v>2021</v>
      </c>
      <c r="C79" s="483">
        <f t="shared" si="4"/>
        <v>1109.5</v>
      </c>
    </row>
    <row r="80" spans="2:3">
      <c r="B80" s="482">
        <f t="shared" si="3"/>
        <v>2022</v>
      </c>
      <c r="C80" s="483">
        <f t="shared" si="4"/>
        <v>1203.0999999999999</v>
      </c>
    </row>
    <row r="81" spans="2:3">
      <c r="B81" s="482">
        <f t="shared" si="3"/>
        <v>2023</v>
      </c>
      <c r="C81" s="483">
        <f t="shared" si="4"/>
        <v>2040.7</v>
      </c>
    </row>
    <row r="82" spans="2:3" ht="17.25" thickBot="1">
      <c r="B82" s="475" t="str">
        <f>B34</f>
        <v>30년평균</v>
      </c>
      <c r="C82" s="484">
        <f>O34</f>
        <v>1371.3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22" zoomScaleNormal="100" workbookViewId="0">
      <selection activeCell="G34" sqref="G34"/>
    </sheetView>
  </sheetViews>
  <sheetFormatPr defaultColWidth="8.88671875" defaultRowHeight="16.5"/>
  <cols>
    <col min="1" max="1" width="17" style="141" customWidth="1"/>
    <col min="2" max="2" width="19.21875" style="141" customWidth="1"/>
    <col min="3" max="4" width="10" style="141" customWidth="1"/>
    <col min="5" max="5" width="10.44140625" style="141" customWidth="1"/>
    <col min="6" max="14" width="8.77734375" style="141" customWidth="1"/>
    <col min="15" max="15" width="8.77734375" style="538" customWidth="1"/>
    <col min="16" max="16" width="8.77734375" style="141" customWidth="1"/>
    <col min="17" max="16384" width="8.88671875" style="141"/>
  </cols>
  <sheetData>
    <row r="2" spans="2:16" ht="20.25" customHeight="1">
      <c r="B2" s="632" t="str">
        <f>All!B2</f>
        <v>대전기상청</v>
      </c>
      <c r="C2" s="537" t="s">
        <v>324</v>
      </c>
    </row>
    <row r="3" spans="2:16" ht="20.25" customHeight="1" thickBot="1">
      <c r="B3" s="632"/>
      <c r="C3" s="537"/>
    </row>
    <row r="4" spans="2:16" ht="29.25" customHeight="1">
      <c r="B4" s="615"/>
      <c r="C4" s="621" t="s">
        <v>7</v>
      </c>
      <c r="D4" s="622" t="s">
        <v>8</v>
      </c>
      <c r="E4" s="622" t="s">
        <v>9</v>
      </c>
      <c r="F4" s="622" t="s">
        <v>10</v>
      </c>
      <c r="G4" s="622" t="s">
        <v>11</v>
      </c>
      <c r="H4" s="622" t="s">
        <v>12</v>
      </c>
      <c r="I4" s="622" t="s">
        <v>13</v>
      </c>
      <c r="J4" s="622" t="s">
        <v>14</v>
      </c>
      <c r="K4" s="622" t="s">
        <v>15</v>
      </c>
      <c r="L4" s="622" t="s">
        <v>16</v>
      </c>
      <c r="M4" s="622" t="s">
        <v>17</v>
      </c>
      <c r="N4" s="623" t="s">
        <v>18</v>
      </c>
      <c r="O4" s="624" t="s">
        <v>19</v>
      </c>
      <c r="P4" s="623" t="s">
        <v>20</v>
      </c>
    </row>
    <row r="5" spans="2:16" ht="22.15" customHeight="1">
      <c r="B5" s="616">
        <f>All!B41</f>
        <v>2014</v>
      </c>
      <c r="C5" s="540">
        <f>All!C41</f>
        <v>6.5</v>
      </c>
      <c r="D5" s="460">
        <f>All!D41</f>
        <v>8.5</v>
      </c>
      <c r="E5" s="460">
        <f>All!E41</f>
        <v>67.2</v>
      </c>
      <c r="F5" s="460">
        <f>All!F41</f>
        <v>59.4</v>
      </c>
      <c r="G5" s="460">
        <f>All!G41</f>
        <v>49.7</v>
      </c>
      <c r="H5" s="460">
        <f>All!H41</f>
        <v>143.69999999999999</v>
      </c>
      <c r="I5" s="460">
        <f>All!I41</f>
        <v>177.2</v>
      </c>
      <c r="J5" s="460">
        <f>All!J41</f>
        <v>240.9</v>
      </c>
      <c r="K5" s="460">
        <f>All!K41</f>
        <v>118</v>
      </c>
      <c r="L5" s="460">
        <f>All!L41</f>
        <v>169.4</v>
      </c>
      <c r="M5" s="460">
        <f>All!M41</f>
        <v>40.700000000000003</v>
      </c>
      <c r="N5" s="465">
        <f>All!N41</f>
        <v>36.5</v>
      </c>
      <c r="O5" s="541">
        <f>All!O41</f>
        <v>1117.7</v>
      </c>
      <c r="P5" s="465">
        <f>All!P41</f>
        <v>93.1</v>
      </c>
    </row>
    <row r="6" spans="2:16" ht="22.15" customHeight="1">
      <c r="B6" s="617">
        <f>All!B42</f>
        <v>2015</v>
      </c>
      <c r="C6" s="540">
        <f>All!C42</f>
        <v>31.5</v>
      </c>
      <c r="D6" s="460">
        <f>All!D42</f>
        <v>27</v>
      </c>
      <c r="E6" s="460">
        <f>All!E42</f>
        <v>44.7</v>
      </c>
      <c r="F6" s="460">
        <f>All!F42</f>
        <v>95.2</v>
      </c>
      <c r="G6" s="460">
        <f>All!G42</f>
        <v>28.9</v>
      </c>
      <c r="H6" s="460">
        <f>All!H42</f>
        <v>119.8</v>
      </c>
      <c r="I6" s="460">
        <f>All!I42</f>
        <v>145.6</v>
      </c>
      <c r="J6" s="460">
        <f>All!J42</f>
        <v>51.6</v>
      </c>
      <c r="K6" s="460">
        <f>All!K42</f>
        <v>18.5</v>
      </c>
      <c r="L6" s="460">
        <f>All!L42</f>
        <v>94.1</v>
      </c>
      <c r="M6" s="460">
        <f>All!M42</f>
        <v>126.1</v>
      </c>
      <c r="N6" s="465">
        <f>All!N42</f>
        <v>39.700000000000003</v>
      </c>
      <c r="O6" s="542">
        <f>All!O42</f>
        <v>822.7</v>
      </c>
      <c r="P6" s="465">
        <f>All!P42</f>
        <v>68.599999999999994</v>
      </c>
    </row>
    <row r="7" spans="2:16" ht="22.15" customHeight="1">
      <c r="B7" s="616">
        <f>All!B43</f>
        <v>2016</v>
      </c>
      <c r="C7" s="540">
        <f>All!C43</f>
        <v>11.6</v>
      </c>
      <c r="D7" s="460">
        <f>All!D43</f>
        <v>45.8</v>
      </c>
      <c r="E7" s="460">
        <f>All!E43</f>
        <v>40.299999999999997</v>
      </c>
      <c r="F7" s="460">
        <f>All!F43</f>
        <v>154.9</v>
      </c>
      <c r="G7" s="460">
        <f>All!G43</f>
        <v>85.1</v>
      </c>
      <c r="H7" s="460">
        <f>All!H43</f>
        <v>62.5</v>
      </c>
      <c r="I7" s="460">
        <f>All!I43</f>
        <v>367.9</v>
      </c>
      <c r="J7" s="460">
        <f>All!J43</f>
        <v>57.4</v>
      </c>
      <c r="K7" s="460">
        <f>All!K43</f>
        <v>196</v>
      </c>
      <c r="L7" s="460">
        <f>All!L43</f>
        <v>122.6</v>
      </c>
      <c r="M7" s="460">
        <f>All!M43</f>
        <v>29.5</v>
      </c>
      <c r="N7" s="465">
        <f>All!N43</f>
        <v>54.8</v>
      </c>
      <c r="O7" s="541">
        <f>All!O43</f>
        <v>1228.4000000000001</v>
      </c>
      <c r="P7" s="465">
        <f>All!P43</f>
        <v>102.4</v>
      </c>
    </row>
    <row r="8" spans="2:16" ht="22.15" customHeight="1">
      <c r="B8" s="616">
        <f>All!B44</f>
        <v>2017</v>
      </c>
      <c r="C8" s="540">
        <f>All!C44</f>
        <v>15</v>
      </c>
      <c r="D8" s="460">
        <f>All!D44</f>
        <v>42</v>
      </c>
      <c r="E8" s="460">
        <f>All!E44</f>
        <v>11.6</v>
      </c>
      <c r="F8" s="460">
        <f>All!F44</f>
        <v>77.7</v>
      </c>
      <c r="G8" s="460">
        <f>All!G44</f>
        <v>29.3</v>
      </c>
      <c r="H8" s="460">
        <f>All!H44</f>
        <v>35.299999999999997</v>
      </c>
      <c r="I8" s="460">
        <f>All!I44</f>
        <v>434.5</v>
      </c>
      <c r="J8" s="460">
        <f>All!J44</f>
        <v>293.8</v>
      </c>
      <c r="K8" s="460">
        <f>All!K44</f>
        <v>111.4</v>
      </c>
      <c r="L8" s="460">
        <f>All!L44</f>
        <v>28.3</v>
      </c>
      <c r="M8" s="460">
        <f>All!M44</f>
        <v>15.1</v>
      </c>
      <c r="N8" s="465">
        <f>All!N44</f>
        <v>33.5</v>
      </c>
      <c r="O8" s="541">
        <f>All!O44</f>
        <v>1127.5</v>
      </c>
      <c r="P8" s="465">
        <f>All!P44</f>
        <v>94</v>
      </c>
    </row>
    <row r="9" spans="2:16" ht="22.15" customHeight="1">
      <c r="B9" s="616">
        <f>All!B45</f>
        <v>2018</v>
      </c>
      <c r="C9" s="540">
        <f>All!C45</f>
        <v>23.9</v>
      </c>
      <c r="D9" s="460">
        <f>All!D45</f>
        <v>40.5</v>
      </c>
      <c r="E9" s="460">
        <f>All!E45</f>
        <v>108.4</v>
      </c>
      <c r="F9" s="460">
        <f>All!F45</f>
        <v>155.30000000000001</v>
      </c>
      <c r="G9" s="460">
        <f>All!G45</f>
        <v>95.9</v>
      </c>
      <c r="H9" s="460">
        <f>All!H45</f>
        <v>115.8</v>
      </c>
      <c r="I9" s="460">
        <f>All!I45</f>
        <v>226.9</v>
      </c>
      <c r="J9" s="460">
        <f>All!J45</f>
        <v>408.6</v>
      </c>
      <c r="K9" s="460">
        <f>All!K45</f>
        <v>149.4</v>
      </c>
      <c r="L9" s="460">
        <f>All!L45</f>
        <v>133.9</v>
      </c>
      <c r="M9" s="460">
        <f>All!M45</f>
        <v>49.8</v>
      </c>
      <c r="N9" s="465">
        <f>All!N45</f>
        <v>33.700000000000003</v>
      </c>
      <c r="O9" s="541">
        <f>All!O45</f>
        <v>1542.1</v>
      </c>
      <c r="P9" s="465">
        <f>All!P45</f>
        <v>128.5</v>
      </c>
    </row>
    <row r="10" spans="2:16" ht="22.15" customHeight="1">
      <c r="B10" s="616">
        <f>All!B46</f>
        <v>2019</v>
      </c>
      <c r="C10" s="540">
        <f>All!C46</f>
        <v>1.7</v>
      </c>
      <c r="D10" s="460">
        <f>All!D46</f>
        <v>46.3</v>
      </c>
      <c r="E10" s="460">
        <f>All!E46</f>
        <v>33.700000000000003</v>
      </c>
      <c r="F10" s="460">
        <f>All!F46</f>
        <v>91.6</v>
      </c>
      <c r="G10" s="460">
        <f>All!G46</f>
        <v>35.6</v>
      </c>
      <c r="H10" s="460">
        <f>All!H46</f>
        <v>77.900000000000006</v>
      </c>
      <c r="I10" s="460">
        <f>All!I46</f>
        <v>199</v>
      </c>
      <c r="J10" s="460">
        <f>All!J46</f>
        <v>104.3</v>
      </c>
      <c r="K10" s="460">
        <f>All!K46</f>
        <v>167</v>
      </c>
      <c r="L10" s="460">
        <f>All!L46</f>
        <v>106.1</v>
      </c>
      <c r="M10" s="460">
        <f>All!M46</f>
        <v>94</v>
      </c>
      <c r="N10" s="465">
        <f>All!N46</f>
        <v>27</v>
      </c>
      <c r="O10" s="541">
        <f>All!O46</f>
        <v>984.2</v>
      </c>
      <c r="P10" s="465">
        <f>All!P46</f>
        <v>82</v>
      </c>
    </row>
    <row r="11" spans="2:16" ht="22.15" customHeight="1">
      <c r="B11" s="616">
        <f>All!B47</f>
        <v>2020</v>
      </c>
      <c r="C11" s="540">
        <f>All!C47</f>
        <v>78.5</v>
      </c>
      <c r="D11" s="460">
        <f>All!D47</f>
        <v>91.2</v>
      </c>
      <c r="E11" s="460">
        <f>All!E47</f>
        <v>24.4</v>
      </c>
      <c r="F11" s="460">
        <f>All!F47</f>
        <v>17.8</v>
      </c>
      <c r="G11" s="460">
        <f>All!G47</f>
        <v>80.400000000000006</v>
      </c>
      <c r="H11" s="460">
        <f>All!H47</f>
        <v>192.5</v>
      </c>
      <c r="I11" s="460">
        <f>All!I47</f>
        <v>544.9</v>
      </c>
      <c r="J11" s="460">
        <f>All!J47</f>
        <v>361.6</v>
      </c>
      <c r="K11" s="460">
        <f>All!K47</f>
        <v>173.6</v>
      </c>
      <c r="L11" s="460">
        <f>All!L47</f>
        <v>3.2</v>
      </c>
      <c r="M11" s="460">
        <f>All!M47</f>
        <v>41.8</v>
      </c>
      <c r="N11" s="465">
        <f>All!N47</f>
        <v>4.0999999999999996</v>
      </c>
      <c r="O11" s="541">
        <f>All!O47</f>
        <v>1614</v>
      </c>
      <c r="P11" s="465">
        <f>All!P47</f>
        <v>134.5</v>
      </c>
    </row>
    <row r="12" spans="2:16" ht="22.15" customHeight="1">
      <c r="B12" s="616">
        <f>All!B48</f>
        <v>2021</v>
      </c>
      <c r="C12" s="540">
        <f>All!C48</f>
        <v>23.6</v>
      </c>
      <c r="D12" s="460">
        <f>All!D48</f>
        <v>14.1</v>
      </c>
      <c r="E12" s="460">
        <f>All!E48</f>
        <v>95.2</v>
      </c>
      <c r="F12" s="460">
        <f>All!F48</f>
        <v>47.4</v>
      </c>
      <c r="G12" s="460">
        <f>All!G48</f>
        <v>134.19999999999999</v>
      </c>
      <c r="H12" s="460">
        <f>All!H48</f>
        <v>105.9</v>
      </c>
      <c r="I12" s="460">
        <f>All!I48</f>
        <v>151.80000000000001</v>
      </c>
      <c r="J12" s="460">
        <f>All!J48</f>
        <v>289.2</v>
      </c>
      <c r="K12" s="460">
        <f>All!K48</f>
        <v>161.19999999999999</v>
      </c>
      <c r="L12" s="460">
        <f>All!L48</f>
        <v>40.799999999999997</v>
      </c>
      <c r="M12" s="460">
        <f>All!M48</f>
        <v>41.7</v>
      </c>
      <c r="N12" s="465">
        <f>All!N48</f>
        <v>4.4000000000000004</v>
      </c>
      <c r="O12" s="541">
        <f>All!O48</f>
        <v>1109.5</v>
      </c>
      <c r="P12" s="465">
        <f>All!P48</f>
        <v>92.5</v>
      </c>
    </row>
    <row r="13" spans="2:16" ht="22.15" customHeight="1">
      <c r="B13" s="617">
        <f>All!B49</f>
        <v>2022</v>
      </c>
      <c r="C13" s="540">
        <f>All!C49</f>
        <v>1.2</v>
      </c>
      <c r="D13" s="460">
        <f>All!D49</f>
        <v>1.4</v>
      </c>
      <c r="E13" s="460">
        <f>All!E49</f>
        <v>74</v>
      </c>
      <c r="F13" s="460">
        <f>All!F49</f>
        <v>69.7</v>
      </c>
      <c r="G13" s="460">
        <f>All!G49</f>
        <v>8.1</v>
      </c>
      <c r="H13" s="460">
        <f>All!H49</f>
        <v>117.6</v>
      </c>
      <c r="I13" s="460">
        <f>All!I49</f>
        <v>195</v>
      </c>
      <c r="J13" s="460">
        <f>All!J49</f>
        <v>496.1</v>
      </c>
      <c r="K13" s="460">
        <f>All!K49</f>
        <v>90.2</v>
      </c>
      <c r="L13" s="460">
        <f>All!L49</f>
        <v>89.3</v>
      </c>
      <c r="M13" s="460">
        <f>All!M49</f>
        <v>45.8</v>
      </c>
      <c r="N13" s="465">
        <f>All!N49</f>
        <v>14.7</v>
      </c>
      <c r="O13" s="542">
        <f>All!O49</f>
        <v>1203.0999999999999</v>
      </c>
      <c r="P13" s="465">
        <f>All!P49</f>
        <v>100.3</v>
      </c>
    </row>
    <row r="14" spans="2:16" ht="22.15" customHeight="1" thickBot="1">
      <c r="B14" s="618">
        <f>All!B50</f>
        <v>2023</v>
      </c>
      <c r="C14" s="543">
        <f>All!C50</f>
        <v>28.4</v>
      </c>
      <c r="D14" s="544">
        <f>All!D50</f>
        <v>5.4</v>
      </c>
      <c r="E14" s="544">
        <f>All!E50</f>
        <v>23.8</v>
      </c>
      <c r="F14" s="544">
        <f>All!F50</f>
        <v>54.5</v>
      </c>
      <c r="G14" s="544">
        <f>All!G50</f>
        <v>192.9</v>
      </c>
      <c r="H14" s="544">
        <f>All!H50</f>
        <v>147.5</v>
      </c>
      <c r="I14" s="544">
        <f>All!I50</f>
        <v>776.3</v>
      </c>
      <c r="J14" s="544">
        <f>All!J50</f>
        <v>326.89999999999998</v>
      </c>
      <c r="K14" s="544">
        <f>All!K50</f>
        <v>310.2</v>
      </c>
      <c r="L14" s="544">
        <f>All!L50</f>
        <v>12.2</v>
      </c>
      <c r="M14" s="544">
        <f>All!M50</f>
        <v>40.299999999999997</v>
      </c>
      <c r="N14" s="479">
        <f>All!N50</f>
        <v>122.3</v>
      </c>
      <c r="O14" s="614">
        <f>All!O50</f>
        <v>2040.7</v>
      </c>
      <c r="P14" s="479">
        <f>All!P50</f>
        <v>170.1</v>
      </c>
    </row>
    <row r="15" spans="2:16" ht="22.15" customHeight="1">
      <c r="B15" s="619" t="s">
        <v>21</v>
      </c>
      <c r="C15" s="546">
        <f>All!C51</f>
        <v>78.5</v>
      </c>
      <c r="D15" s="547">
        <f>All!D51</f>
        <v>91.2</v>
      </c>
      <c r="E15" s="547">
        <f>All!E51</f>
        <v>108.4</v>
      </c>
      <c r="F15" s="547">
        <f>All!F51</f>
        <v>155.30000000000001</v>
      </c>
      <c r="G15" s="547">
        <f>All!G51</f>
        <v>192.9</v>
      </c>
      <c r="H15" s="547">
        <f>All!H51</f>
        <v>192.5</v>
      </c>
      <c r="I15" s="547">
        <f>All!I51</f>
        <v>776.3</v>
      </c>
      <c r="J15" s="547">
        <f>All!J51</f>
        <v>496.1</v>
      </c>
      <c r="K15" s="547">
        <f>All!K51</f>
        <v>310.2</v>
      </c>
      <c r="L15" s="547">
        <f>All!L51</f>
        <v>169.4</v>
      </c>
      <c r="M15" s="547">
        <f>All!M51</f>
        <v>126.1</v>
      </c>
      <c r="N15" s="548">
        <f>All!N51</f>
        <v>122.3</v>
      </c>
      <c r="O15" s="549">
        <f>All!O51</f>
        <v>2040.7</v>
      </c>
      <c r="P15" s="548">
        <f>All!P51</f>
        <v>170.1</v>
      </c>
    </row>
    <row r="16" spans="2:16" ht="22.15" customHeight="1">
      <c r="B16" s="616" t="s">
        <v>22</v>
      </c>
      <c r="C16" s="540">
        <f>All!C52</f>
        <v>1.2</v>
      </c>
      <c r="D16" s="460">
        <f>All!D52</f>
        <v>1.4</v>
      </c>
      <c r="E16" s="460">
        <f>All!E52</f>
        <v>11.6</v>
      </c>
      <c r="F16" s="460">
        <f>All!F52</f>
        <v>17.8</v>
      </c>
      <c r="G16" s="460">
        <f>All!G52</f>
        <v>8.1</v>
      </c>
      <c r="H16" s="460">
        <f>All!H52</f>
        <v>35.299999999999997</v>
      </c>
      <c r="I16" s="460">
        <f>All!I52</f>
        <v>145.6</v>
      </c>
      <c r="J16" s="460">
        <f>All!J52</f>
        <v>51.6</v>
      </c>
      <c r="K16" s="460">
        <f>All!K52</f>
        <v>18.5</v>
      </c>
      <c r="L16" s="460">
        <f>All!L52</f>
        <v>3.2</v>
      </c>
      <c r="M16" s="460">
        <f>All!M52</f>
        <v>15.1</v>
      </c>
      <c r="N16" s="465">
        <f>All!N52</f>
        <v>4.0999999999999996</v>
      </c>
      <c r="O16" s="542">
        <f>All!O52</f>
        <v>822.7</v>
      </c>
      <c r="P16" s="465">
        <f>All!P52</f>
        <v>68.599999999999994</v>
      </c>
    </row>
    <row r="17" spans="2:16" ht="22.15" customHeight="1" thickBot="1">
      <c r="B17" s="618" t="s">
        <v>20</v>
      </c>
      <c r="C17" s="543">
        <f>All!C53</f>
        <v>22.2</v>
      </c>
      <c r="D17" s="544">
        <f>All!D53</f>
        <v>32.200000000000003</v>
      </c>
      <c r="E17" s="550">
        <f>All!E53</f>
        <v>52.3</v>
      </c>
      <c r="F17" s="544">
        <f>All!F53</f>
        <v>82.4</v>
      </c>
      <c r="G17" s="551">
        <f>All!G53</f>
        <v>74</v>
      </c>
      <c r="H17" s="551">
        <f>All!H53</f>
        <v>111.9</v>
      </c>
      <c r="I17" s="551">
        <f>All!I53</f>
        <v>321.89999999999998</v>
      </c>
      <c r="J17" s="551">
        <f>All!J53</f>
        <v>263</v>
      </c>
      <c r="K17" s="551">
        <f>All!K53</f>
        <v>149.6</v>
      </c>
      <c r="L17" s="544">
        <f>All!L53</f>
        <v>80</v>
      </c>
      <c r="M17" s="544">
        <f>All!M53</f>
        <v>52.5</v>
      </c>
      <c r="N17" s="479">
        <f>All!N53</f>
        <v>37.1</v>
      </c>
      <c r="O17" s="545">
        <f>All!O53</f>
        <v>1279</v>
      </c>
      <c r="P17" s="552">
        <f>All!P53</f>
        <v>106.6</v>
      </c>
    </row>
    <row r="18" spans="2:16" ht="29.25" customHeight="1" thickBot="1">
      <c r="B18" s="620" t="s">
        <v>23</v>
      </c>
      <c r="C18" s="553">
        <f>All!C37</f>
        <v>25.8</v>
      </c>
      <c r="D18" s="554">
        <f>All!D37</f>
        <v>32.4</v>
      </c>
      <c r="E18" s="554">
        <f>All!E37</f>
        <v>52.1</v>
      </c>
      <c r="F18" s="554">
        <f>All!F37</f>
        <v>78.900000000000006</v>
      </c>
      <c r="G18" s="554">
        <f>All!G37</f>
        <v>93.1</v>
      </c>
      <c r="H18" s="554">
        <f>All!H37</f>
        <v>165.8</v>
      </c>
      <c r="I18" s="555">
        <f>All!I37</f>
        <v>319.10000000000002</v>
      </c>
      <c r="J18" s="555">
        <f>All!J37</f>
        <v>312.39999999999998</v>
      </c>
      <c r="K18" s="555">
        <f>All!K37</f>
        <v>153.80000000000001</v>
      </c>
      <c r="L18" s="555">
        <f>All!L37</f>
        <v>61</v>
      </c>
      <c r="M18" s="555">
        <f>All!M37</f>
        <v>46.9</v>
      </c>
      <c r="N18" s="556">
        <f>All!N37</f>
        <v>30.1</v>
      </c>
      <c r="O18" s="557">
        <f>All!O37</f>
        <v>1371.3</v>
      </c>
      <c r="P18" s="556">
        <f>All!P37</f>
        <v>114.3</v>
      </c>
    </row>
    <row r="19" spans="2:16" ht="22.15" customHeight="1" thickBot="1"/>
    <row r="20" spans="2:16">
      <c r="B20" s="558" t="s">
        <v>24</v>
      </c>
      <c r="C20" s="559"/>
      <c r="D20" s="560">
        <f>SUM(G17:K17)</f>
        <v>920.4</v>
      </c>
      <c r="F20" s="561"/>
    </row>
    <row r="21" spans="2:16">
      <c r="B21" s="562" t="s">
        <v>163</v>
      </c>
      <c r="D21" s="563">
        <f>O17</f>
        <v>1279</v>
      </c>
    </row>
    <row r="22" spans="2:16" ht="17.25" thickBot="1">
      <c r="B22" s="564"/>
      <c r="C22" s="565"/>
      <c r="D22" s="566">
        <f>D20/D21</f>
        <v>0.71962470680218915</v>
      </c>
    </row>
    <row r="23" spans="2:16" ht="33.75" customHeight="1" thickBot="1">
      <c r="C23" s="567" t="s">
        <v>184</v>
      </c>
      <c r="D23" s="567" t="s">
        <v>185</v>
      </c>
      <c r="E23" s="567" t="s">
        <v>186</v>
      </c>
    </row>
    <row r="24" spans="2:16" ht="21.95" customHeight="1">
      <c r="B24" s="568" t="s">
        <v>93</v>
      </c>
      <c r="C24" s="155">
        <f>O16</f>
        <v>822.7</v>
      </c>
      <c r="D24" s="569"/>
      <c r="E24" s="481"/>
      <c r="H24" s="570" t="s">
        <v>181</v>
      </c>
      <c r="I24" s="637" t="s">
        <v>187</v>
      </c>
      <c r="J24" s="638"/>
      <c r="K24" s="625">
        <f>INDEX(Location[recharge], MATCH(I24,Location[name],0))</f>
        <v>0.14499999999999999</v>
      </c>
      <c r="L24" s="626">
        <f>INDEX(Location[ratio], MATCH(I24,Location[name],0))</f>
        <v>0.70499999999999996</v>
      </c>
    </row>
    <row r="25" spans="2:16" ht="21.95" customHeight="1">
      <c r="B25" s="571" t="s">
        <v>25</v>
      </c>
      <c r="C25" s="156">
        <f>O18</f>
        <v>1371.3</v>
      </c>
      <c r="D25" s="480"/>
      <c r="E25" s="483"/>
      <c r="H25" s="570" t="s">
        <v>182</v>
      </c>
      <c r="I25" s="639" t="s">
        <v>191</v>
      </c>
      <c r="J25" s="640"/>
      <c r="K25" s="573">
        <f>INDEX(Location[recharge], MATCH(I25,Location[name],0))</f>
        <v>0.152</v>
      </c>
      <c r="L25" s="574">
        <f>INDEX(Location[ratio], MATCH(I25,Location[name],0))</f>
        <v>0.68100000000000005</v>
      </c>
    </row>
    <row r="26" spans="2:16" ht="21.95" customHeight="1" thickBot="1">
      <c r="B26" s="572" t="s">
        <v>162</v>
      </c>
      <c r="C26" s="575">
        <f>L24</f>
        <v>0.70499999999999996</v>
      </c>
      <c r="D26" s="573">
        <f>L25</f>
        <v>0.68100000000000005</v>
      </c>
      <c r="E26" s="574">
        <f>L26</f>
        <v>0.72</v>
      </c>
      <c r="H26" s="570" t="s">
        <v>183</v>
      </c>
      <c r="I26" s="641" t="s">
        <v>244</v>
      </c>
      <c r="J26" s="642"/>
      <c r="K26" s="627">
        <f>INDEX(Location[recharge], MATCH(I26,Location[name],0))</f>
        <v>0.17100000000000001</v>
      </c>
      <c r="L26" s="628">
        <f>INDEX(Location[ratio], MATCH(I26,Location[name],0))</f>
        <v>0.72</v>
      </c>
    </row>
    <row r="27" spans="2:16" ht="21.95" customHeight="1">
      <c r="B27" s="571" t="s">
        <v>26</v>
      </c>
      <c r="C27" s="157">
        <f>Well!P4</f>
        <v>3171126.2626999998</v>
      </c>
      <c r="D27" s="480"/>
      <c r="E27" s="576"/>
    </row>
    <row r="28" spans="2:16" ht="21.95" customHeight="1" thickBot="1">
      <c r="B28" s="577" t="s">
        <v>27</v>
      </c>
      <c r="C28" s="578">
        <f>K24</f>
        <v>0.14499999999999999</v>
      </c>
      <c r="D28" s="579">
        <f>K25</f>
        <v>0.152</v>
      </c>
      <c r="E28" s="580">
        <f>K26</f>
        <v>0.17100000000000001</v>
      </c>
    </row>
    <row r="29" spans="2:16" ht="17.25" thickBot="1">
      <c r="E29" s="581"/>
    </row>
    <row r="30" spans="2:16" ht="22.15" customHeight="1" thickBot="1">
      <c r="B30" s="582" t="s">
        <v>164</v>
      </c>
      <c r="C30" s="583">
        <f>max*rf_1/10</f>
        <v>19.883849999999999</v>
      </c>
      <c r="D30" s="583">
        <f>max*rf_2/10</f>
        <v>20.843759999999996</v>
      </c>
      <c r="E30" s="584">
        <f>max*rf_3/10</f>
        <v>23.44923</v>
      </c>
    </row>
    <row r="31" spans="2:16" ht="22.15" customHeight="1" thickBot="1">
      <c r="E31" s="581"/>
      <c r="I31" s="585" t="s">
        <v>334</v>
      </c>
    </row>
    <row r="32" spans="2:16" ht="25.5" customHeight="1" thickBot="1">
      <c r="B32" s="633" t="s">
        <v>822</v>
      </c>
      <c r="C32" s="539"/>
      <c r="D32" s="539"/>
    </row>
    <row r="33" spans="1:6" ht="17.25" customHeight="1"/>
    <row r="34" spans="1:6" ht="17.25" customHeight="1">
      <c r="A34" s="586" t="s">
        <v>165</v>
      </c>
      <c r="C34" s="539"/>
      <c r="D34" s="539"/>
    </row>
    <row r="35" spans="1:6" ht="17.25" customHeight="1">
      <c r="A35" s="586" t="s">
        <v>166</v>
      </c>
    </row>
    <row r="3369" spans="15:15" s="588" customFormat="1" ht="17.25">
      <c r="O3369" s="587"/>
    </row>
    <row r="3655" spans="2430:2430">
      <c r="COL3655" s="589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2" t="s">
        <v>319</v>
      </c>
    </row>
    <row r="19" spans="1:7">
      <c r="A19" s="22" t="s">
        <v>355</v>
      </c>
      <c r="D19" s="22" t="s">
        <v>573</v>
      </c>
      <c r="G19" s="186" t="s">
        <v>336</v>
      </c>
    </row>
    <row r="20" spans="1:7">
      <c r="A20" s="22" t="s">
        <v>348</v>
      </c>
      <c r="D20" s="22">
        <v>150</v>
      </c>
      <c r="G20" s="186" t="s">
        <v>337</v>
      </c>
    </row>
    <row r="21" spans="1:7">
      <c r="A21" s="22" t="s">
        <v>349</v>
      </c>
      <c r="D21" s="22">
        <v>200</v>
      </c>
      <c r="G21" s="186" t="s">
        <v>338</v>
      </c>
    </row>
    <row r="22" spans="1:7">
      <c r="A22" s="22" t="s">
        <v>350</v>
      </c>
      <c r="D22" s="22">
        <v>250</v>
      </c>
      <c r="G22" s="186" t="s">
        <v>339</v>
      </c>
    </row>
    <row r="23" spans="1:7">
      <c r="A23" s="22" t="s">
        <v>351</v>
      </c>
      <c r="D23" s="22">
        <v>1700</v>
      </c>
      <c r="G23" s="186" t="s">
        <v>340</v>
      </c>
    </row>
    <row r="24" spans="1:7">
      <c r="A24" s="22" t="s">
        <v>352</v>
      </c>
      <c r="G24" s="186" t="s">
        <v>341</v>
      </c>
    </row>
    <row r="25" spans="1:7">
      <c r="A25" s="22" t="s">
        <v>353</v>
      </c>
      <c r="G25" s="186" t="s">
        <v>342</v>
      </c>
    </row>
    <row r="26" spans="1:7">
      <c r="A26" s="22" t="s">
        <v>354</v>
      </c>
      <c r="G26" s="186" t="s">
        <v>343</v>
      </c>
    </row>
    <row r="27" spans="1:7">
      <c r="G27" s="186" t="s">
        <v>344</v>
      </c>
    </row>
    <row r="28" spans="1:7">
      <c r="G28" s="186" t="s">
        <v>345</v>
      </c>
    </row>
    <row r="29" spans="1:7">
      <c r="G29" s="186" t="s">
        <v>346</v>
      </c>
    </row>
    <row r="30" spans="1:7">
      <c r="G30" s="186" t="s">
        <v>347</v>
      </c>
    </row>
    <row r="31" spans="1:7">
      <c r="G31" s="200" t="s">
        <v>593</v>
      </c>
    </row>
    <row r="32" spans="1:7">
      <c r="G32" s="186" t="s">
        <v>605</v>
      </c>
    </row>
    <row r="33" spans="7:7">
      <c r="G33" s="186" t="s">
        <v>606</v>
      </c>
    </row>
    <row r="34" spans="7:7">
      <c r="G34" s="186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1" t="s">
        <v>274</v>
      </c>
      <c r="D4" s="192" t="s">
        <v>258</v>
      </c>
      <c r="E4" s="192" t="s">
        <v>275</v>
      </c>
      <c r="F4" s="193" t="s">
        <v>280</v>
      </c>
      <c r="G4" s="192" t="s">
        <v>271</v>
      </c>
      <c r="H4" s="192" t="s">
        <v>276</v>
      </c>
      <c r="I4" s="192" t="s">
        <v>277</v>
      </c>
      <c r="J4" s="192" t="s">
        <v>278</v>
      </c>
      <c r="K4" s="194" t="s">
        <v>279</v>
      </c>
    </row>
    <row r="5" spans="3:11" ht="97.5" customHeight="1">
      <c r="C5" s="94" t="s">
        <v>226</v>
      </c>
      <c r="D5" s="126" t="s">
        <v>282</v>
      </c>
      <c r="E5" s="126" t="s">
        <v>283</v>
      </c>
      <c r="F5" s="126" t="s">
        <v>284</v>
      </c>
      <c r="G5" s="126" t="s">
        <v>710</v>
      </c>
      <c r="H5" s="126" t="s">
        <v>711</v>
      </c>
      <c r="I5" s="126" t="s">
        <v>712</v>
      </c>
      <c r="J5" s="126" t="s">
        <v>713</v>
      </c>
      <c r="K5" s="127" t="s">
        <v>714</v>
      </c>
    </row>
    <row r="6" spans="3:11" ht="97.5" customHeight="1">
      <c r="C6" s="94" t="s">
        <v>227</v>
      </c>
      <c r="D6" s="126" t="s">
        <v>282</v>
      </c>
      <c r="E6" s="126" t="s">
        <v>283</v>
      </c>
      <c r="F6" s="126" t="s">
        <v>284</v>
      </c>
      <c r="G6" s="126" t="s">
        <v>710</v>
      </c>
      <c r="H6" s="126" t="s">
        <v>711</v>
      </c>
      <c r="I6" s="126" t="s">
        <v>712</v>
      </c>
      <c r="J6" s="126" t="s">
        <v>713</v>
      </c>
      <c r="K6" s="127" t="s">
        <v>714</v>
      </c>
    </row>
    <row r="7" spans="3:11" ht="97.5" customHeight="1">
      <c r="C7" s="94"/>
      <c r="D7" s="126"/>
      <c r="E7" s="126"/>
      <c r="F7" s="126"/>
      <c r="G7" s="126"/>
      <c r="H7" s="126"/>
      <c r="I7" s="126"/>
      <c r="J7" s="126"/>
      <c r="K7" s="127"/>
    </row>
    <row r="8" spans="3:11" ht="97.5" customHeight="1">
      <c r="C8" s="94"/>
      <c r="D8" s="126"/>
      <c r="E8" s="126"/>
      <c r="F8" s="126"/>
      <c r="G8" s="126"/>
      <c r="H8" s="126"/>
      <c r="I8" s="126"/>
      <c r="J8" s="126"/>
      <c r="K8" s="127"/>
    </row>
    <row r="9" spans="3:11" ht="97.5" customHeight="1">
      <c r="C9" s="94"/>
      <c r="D9" s="126"/>
      <c r="E9" s="126"/>
      <c r="F9" s="126"/>
      <c r="G9" s="126"/>
      <c r="H9" s="126"/>
      <c r="I9" s="126"/>
      <c r="J9" s="126"/>
      <c r="K9" s="127"/>
    </row>
    <row r="10" spans="3:11" ht="97.5" customHeight="1">
      <c r="C10" s="94"/>
      <c r="D10" s="126"/>
      <c r="E10" s="126"/>
      <c r="F10" s="126"/>
      <c r="G10" s="126"/>
      <c r="H10" s="126"/>
      <c r="I10" s="126"/>
      <c r="J10" s="126"/>
      <c r="K10" s="127"/>
    </row>
    <row r="11" spans="3:11" ht="97.5" customHeight="1">
      <c r="C11" s="94"/>
      <c r="D11" s="126"/>
      <c r="E11" s="126"/>
      <c r="F11" s="126"/>
      <c r="G11" s="126"/>
      <c r="H11" s="126"/>
      <c r="I11" s="126"/>
      <c r="J11" s="126"/>
      <c r="K11" s="127"/>
    </row>
    <row r="12" spans="3:11" ht="97.5" customHeight="1">
      <c r="C12" s="94"/>
      <c r="D12" s="126"/>
      <c r="E12" s="126"/>
      <c r="F12" s="126"/>
      <c r="G12" s="126"/>
      <c r="H12" s="126"/>
      <c r="I12" s="126"/>
      <c r="J12" s="126"/>
      <c r="K12" s="127"/>
    </row>
    <row r="13" spans="3:11" ht="97.5" customHeight="1">
      <c r="C13" s="94"/>
      <c r="D13" s="126"/>
      <c r="E13" s="126"/>
      <c r="F13" s="126"/>
      <c r="G13" s="126"/>
      <c r="H13" s="126"/>
      <c r="I13" s="126"/>
      <c r="J13" s="126"/>
      <c r="K13" s="127"/>
    </row>
    <row r="14" spans="3:11" ht="97.5" customHeight="1">
      <c r="C14" s="94"/>
      <c r="D14" s="126"/>
      <c r="E14" s="126"/>
      <c r="F14" s="126"/>
      <c r="G14" s="126"/>
      <c r="H14" s="126"/>
      <c r="I14" s="126"/>
      <c r="J14" s="126"/>
      <c r="K14" s="127"/>
    </row>
    <row r="15" spans="3:11" ht="97.5" customHeight="1">
      <c r="C15" s="94"/>
      <c r="D15" s="126"/>
      <c r="E15" s="126"/>
      <c r="F15" s="126"/>
      <c r="G15" s="126"/>
      <c r="H15" s="126"/>
      <c r="I15" s="126"/>
      <c r="J15" s="126"/>
      <c r="K15" s="127"/>
    </row>
    <row r="16" spans="3:11" ht="97.5" customHeight="1">
      <c r="C16" s="94"/>
      <c r="D16" s="126"/>
      <c r="E16" s="126"/>
      <c r="F16" s="126"/>
      <c r="G16" s="126"/>
      <c r="H16" s="126"/>
      <c r="I16" s="126"/>
      <c r="J16" s="126"/>
      <c r="K16" s="127"/>
    </row>
    <row r="17" spans="3:11" ht="97.5" customHeight="1">
      <c r="C17" s="94"/>
      <c r="D17" s="126"/>
      <c r="E17" s="126"/>
      <c r="F17" s="126"/>
      <c r="G17" s="126"/>
      <c r="H17" s="126"/>
      <c r="I17" s="126"/>
      <c r="J17" s="126"/>
      <c r="K17" s="127"/>
    </row>
    <row r="18" spans="3:11" ht="97.5" customHeight="1">
      <c r="C18" s="94"/>
      <c r="D18" s="126"/>
      <c r="E18" s="126"/>
      <c r="F18" s="126"/>
      <c r="G18" s="126"/>
      <c r="H18" s="126"/>
      <c r="I18" s="126"/>
      <c r="J18" s="126"/>
      <c r="K18" s="127"/>
    </row>
    <row r="19" spans="3:11" ht="97.5" customHeight="1">
      <c r="C19" s="94"/>
      <c r="D19" s="126"/>
      <c r="E19" s="126"/>
      <c r="F19" s="126"/>
      <c r="G19" s="126"/>
      <c r="H19" s="126"/>
      <c r="I19" s="126"/>
      <c r="J19" s="126"/>
      <c r="K19" s="127"/>
    </row>
    <row r="20" spans="3:11" ht="97.5" customHeight="1">
      <c r="C20" s="94"/>
      <c r="D20" s="126"/>
      <c r="E20" s="126"/>
      <c r="F20" s="126"/>
      <c r="G20" s="126"/>
      <c r="H20" s="126"/>
      <c r="I20" s="126"/>
      <c r="J20" s="126"/>
      <c r="K20" s="127"/>
    </row>
    <row r="21" spans="3:11" ht="97.5" customHeight="1">
      <c r="C21" s="94"/>
      <c r="D21" s="126"/>
      <c r="E21" s="126"/>
      <c r="F21" s="126"/>
      <c r="G21" s="126"/>
      <c r="H21" s="126"/>
      <c r="I21" s="126"/>
      <c r="J21" s="126"/>
      <c r="K21" s="127"/>
    </row>
    <row r="22" spans="3:11" ht="97.5" customHeight="1">
      <c r="C22" s="94"/>
      <c r="D22" s="126"/>
      <c r="E22" s="126"/>
      <c r="F22" s="126"/>
      <c r="G22" s="126"/>
      <c r="H22" s="126"/>
      <c r="I22" s="126"/>
      <c r="J22" s="126"/>
      <c r="K22" s="127"/>
    </row>
    <row r="23" spans="3:11" ht="97.5" customHeight="1">
      <c r="C23" s="94"/>
      <c r="D23" s="126"/>
      <c r="E23" s="126"/>
      <c r="F23" s="126"/>
      <c r="G23" s="126"/>
      <c r="H23" s="126"/>
      <c r="I23" s="126"/>
      <c r="J23" s="126"/>
      <c r="K23" s="127"/>
    </row>
    <row r="24" spans="3:11" ht="97.5" customHeight="1">
      <c r="C24" s="94"/>
      <c r="D24" s="126"/>
      <c r="E24" s="126"/>
      <c r="F24" s="126"/>
      <c r="G24" s="126"/>
      <c r="H24" s="126"/>
      <c r="I24" s="126"/>
      <c r="J24" s="126"/>
      <c r="K24" s="127"/>
    </row>
    <row r="25" spans="3:11" ht="97.5" customHeight="1">
      <c r="C25" s="94"/>
      <c r="D25" s="126"/>
      <c r="E25" s="126"/>
      <c r="F25" s="126"/>
      <c r="G25" s="126"/>
      <c r="H25" s="126"/>
      <c r="I25" s="126"/>
      <c r="J25" s="126"/>
      <c r="K25" s="127"/>
    </row>
    <row r="26" spans="3:11" ht="97.5" customHeight="1">
      <c r="C26" s="94"/>
      <c r="D26" s="126"/>
      <c r="E26" s="126"/>
      <c r="F26" s="126"/>
      <c r="G26" s="126"/>
      <c r="H26" s="126"/>
      <c r="I26" s="126"/>
      <c r="J26" s="126"/>
      <c r="K26" s="127"/>
    </row>
    <row r="27" spans="3:11" ht="97.5" customHeight="1">
      <c r="C27" s="94"/>
      <c r="D27" s="126"/>
      <c r="E27" s="126"/>
      <c r="F27" s="126"/>
      <c r="G27" s="126"/>
      <c r="H27" s="126"/>
      <c r="I27" s="126"/>
      <c r="J27" s="126"/>
      <c r="K27" s="127"/>
    </row>
    <row r="28" spans="3:11" ht="97.5" customHeight="1">
      <c r="C28" s="94"/>
      <c r="D28" s="126"/>
      <c r="E28" s="126"/>
      <c r="F28" s="126"/>
      <c r="G28" s="126"/>
      <c r="H28" s="126"/>
      <c r="I28" s="126"/>
      <c r="J28" s="126"/>
      <c r="K28" s="127"/>
    </row>
    <row r="29" spans="3:11" ht="97.5" customHeight="1">
      <c r="C29" s="94"/>
      <c r="D29" s="126"/>
      <c r="E29" s="126"/>
      <c r="F29" s="126"/>
      <c r="G29" s="126"/>
      <c r="H29" s="126"/>
      <c r="I29" s="126"/>
      <c r="J29" s="126"/>
      <c r="K29" s="127"/>
    </row>
    <row r="30" spans="3:11" ht="97.5" customHeight="1">
      <c r="C30" s="94"/>
      <c r="D30" s="126"/>
      <c r="E30" s="126"/>
      <c r="F30" s="126"/>
      <c r="G30" s="126"/>
      <c r="H30" s="126"/>
      <c r="I30" s="126"/>
      <c r="J30" s="126"/>
      <c r="K30" s="127"/>
    </row>
    <row r="31" spans="3:11" ht="97.5" customHeight="1">
      <c r="C31" s="94"/>
      <c r="D31" s="126"/>
      <c r="E31" s="126"/>
      <c r="F31" s="126"/>
      <c r="G31" s="126"/>
      <c r="H31" s="126"/>
      <c r="I31" s="126"/>
      <c r="J31" s="126"/>
      <c r="K31" s="127"/>
    </row>
    <row r="32" spans="3:11" ht="97.5" customHeight="1">
      <c r="C32" s="94"/>
      <c r="D32" s="126"/>
      <c r="E32" s="126"/>
      <c r="F32" s="126"/>
      <c r="G32" s="126"/>
      <c r="H32" s="126"/>
      <c r="I32" s="126"/>
      <c r="J32" s="126"/>
      <c r="K32" s="127"/>
    </row>
    <row r="33" spans="3:11" ht="97.5" customHeight="1">
      <c r="C33" s="94"/>
      <c r="D33" s="126"/>
      <c r="E33" s="126"/>
      <c r="F33" s="126"/>
      <c r="G33" s="126"/>
      <c r="H33" s="126"/>
      <c r="I33" s="126"/>
      <c r="J33" s="126"/>
      <c r="K33" s="127"/>
    </row>
    <row r="34" spans="3:11" ht="97.5" customHeight="1">
      <c r="C34" s="94"/>
      <c r="D34" s="126"/>
      <c r="E34" s="126"/>
      <c r="F34" s="126"/>
      <c r="G34" s="126"/>
      <c r="H34" s="126"/>
      <c r="I34" s="126"/>
      <c r="J34" s="126"/>
      <c r="K34" s="127"/>
    </row>
    <row r="35" spans="3:11" ht="97.5" customHeight="1">
      <c r="C35" s="94"/>
      <c r="D35" s="122"/>
      <c r="E35" s="122"/>
      <c r="F35" s="122"/>
      <c r="G35" s="122"/>
      <c r="H35" s="122"/>
      <c r="I35" s="122"/>
      <c r="J35" s="122"/>
      <c r="K35" s="124"/>
    </row>
    <row r="36" spans="3:11" ht="97.5" customHeight="1" thickBot="1">
      <c r="C36" s="95"/>
      <c r="D36" s="123"/>
      <c r="E36" s="123"/>
      <c r="F36" s="123"/>
      <c r="G36" s="123"/>
      <c r="H36" s="123"/>
      <c r="I36" s="123"/>
      <c r="J36" s="123"/>
      <c r="K36" s="12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5" customFormat="1" ht="72.75" customHeight="1">
      <c r="A4" s="98" t="s">
        <v>262</v>
      </c>
      <c r="B4" s="199" t="s">
        <v>294</v>
      </c>
      <c r="C4" s="199" t="s">
        <v>295</v>
      </c>
      <c r="D4" s="199" t="s">
        <v>304</v>
      </c>
      <c r="E4" s="199" t="s">
        <v>312</v>
      </c>
      <c r="F4" s="199" t="s">
        <v>311</v>
      </c>
      <c r="G4" s="199" t="s">
        <v>296</v>
      </c>
      <c r="H4" s="108" t="s">
        <v>286</v>
      </c>
      <c r="I4" s="199" t="s">
        <v>297</v>
      </c>
      <c r="J4" s="199" t="s">
        <v>298</v>
      </c>
      <c r="K4" s="199" t="s">
        <v>302</v>
      </c>
      <c r="L4" s="199" t="s">
        <v>301</v>
      </c>
      <c r="M4" s="199" t="s">
        <v>299</v>
      </c>
      <c r="N4" s="199" t="s">
        <v>292</v>
      </c>
      <c r="O4" s="108" t="s">
        <v>287</v>
      </c>
      <c r="P4" s="108" t="s">
        <v>288</v>
      </c>
      <c r="Q4" s="199" t="s">
        <v>300</v>
      </c>
      <c r="R4" s="199" t="s">
        <v>305</v>
      </c>
      <c r="S4" s="199" t="s">
        <v>306</v>
      </c>
      <c r="T4" s="108" t="s">
        <v>291</v>
      </c>
      <c r="U4" s="199" t="s">
        <v>303</v>
      </c>
      <c r="V4" s="108" t="s">
        <v>289</v>
      </c>
      <c r="W4" s="108" t="s">
        <v>290</v>
      </c>
      <c r="X4" s="108" t="s">
        <v>293</v>
      </c>
      <c r="Y4" s="199" t="s">
        <v>309</v>
      </c>
      <c r="Z4" s="199" t="s">
        <v>310</v>
      </c>
      <c r="AA4" s="199" t="s">
        <v>317</v>
      </c>
      <c r="AB4" s="199" t="s">
        <v>318</v>
      </c>
      <c r="AC4" s="199" t="s">
        <v>313</v>
      </c>
      <c r="AD4" s="199" t="s">
        <v>307</v>
      </c>
      <c r="AE4" s="199" t="s">
        <v>308</v>
      </c>
      <c r="AF4" s="199" t="s">
        <v>314</v>
      </c>
      <c r="AG4" s="108" t="s">
        <v>315</v>
      </c>
      <c r="AH4" s="108" t="s">
        <v>316</v>
      </c>
      <c r="AI4" s="108" t="s">
        <v>587</v>
      </c>
      <c r="AJ4" s="108" t="s">
        <v>586</v>
      </c>
      <c r="AK4" s="108" t="s">
        <v>588</v>
      </c>
      <c r="AL4" s="108" t="s">
        <v>589</v>
      </c>
      <c r="AM4" s="108" t="s">
        <v>590</v>
      </c>
      <c r="AN4" s="100" t="s">
        <v>591</v>
      </c>
    </row>
    <row r="5" spans="1:40" ht="23.1" customHeight="1">
      <c r="A5" s="94" t="s">
        <v>85</v>
      </c>
      <c r="B5" s="122">
        <v>3.4</v>
      </c>
      <c r="C5" s="122">
        <v>46.5</v>
      </c>
      <c r="D5" s="130">
        <v>5.5227334033962343</v>
      </c>
      <c r="E5" s="130">
        <v>40.977266596603769</v>
      </c>
      <c r="F5" s="122">
        <v>43.1</v>
      </c>
      <c r="G5" s="122">
        <v>250</v>
      </c>
      <c r="H5" s="122">
        <v>0.125</v>
      </c>
      <c r="I5" s="122">
        <v>150</v>
      </c>
      <c r="J5" s="122">
        <v>12</v>
      </c>
      <c r="K5" s="122">
        <v>100</v>
      </c>
      <c r="L5" s="130">
        <v>2.9754133123546778</v>
      </c>
      <c r="M5" s="122">
        <v>5</v>
      </c>
      <c r="N5" s="122">
        <v>138</v>
      </c>
      <c r="O5" s="129">
        <v>0.88329999999999997</v>
      </c>
      <c r="P5" s="129">
        <v>2.6640000000000001</v>
      </c>
      <c r="Q5" s="129">
        <v>1.7736499999999999</v>
      </c>
      <c r="R5" s="122">
        <v>9.0399999999999994E-2</v>
      </c>
      <c r="S5" s="131">
        <v>2.9339999999999998E-4</v>
      </c>
      <c r="T5" s="122">
        <v>1.285E-2</v>
      </c>
      <c r="U5" s="130">
        <v>0.54159999999999997</v>
      </c>
      <c r="V5" s="130">
        <v>78.3</v>
      </c>
      <c r="W5" s="130">
        <v>95.9</v>
      </c>
      <c r="X5" s="130">
        <v>85.8</v>
      </c>
      <c r="Y5" s="129">
        <v>-2.4190753783788232</v>
      </c>
      <c r="Z5" s="129">
        <v>1.4039999999999999</v>
      </c>
      <c r="AA5" s="404">
        <v>114</v>
      </c>
      <c r="AB5" s="130">
        <v>102.54270836547418</v>
      </c>
      <c r="AC5" s="130">
        <v>62</v>
      </c>
      <c r="AD5" s="130">
        <v>18.03</v>
      </c>
      <c r="AE5" s="130">
        <v>38.35</v>
      </c>
      <c r="AF5" s="122">
        <v>8.6410000000000002E-4</v>
      </c>
      <c r="AG5" s="122">
        <v>0.2363797</v>
      </c>
      <c r="AH5" s="198">
        <v>0.89473684210526316</v>
      </c>
      <c r="AI5" s="129">
        <v>1.855</v>
      </c>
      <c r="AJ5" s="129">
        <v>5.0000000000000001E-4</v>
      </c>
      <c r="AK5" s="122" t="s">
        <v>263</v>
      </c>
      <c r="AL5" s="122">
        <v>1.6754</v>
      </c>
      <c r="AM5" s="122">
        <v>1.6775</v>
      </c>
      <c r="AN5" s="124">
        <v>1.6808000000000001</v>
      </c>
    </row>
    <row r="6" spans="1:40" ht="23.1" customHeight="1">
      <c r="A6" s="94" t="s">
        <v>154</v>
      </c>
      <c r="B6" s="122">
        <v>3.4</v>
      </c>
      <c r="C6" s="122">
        <v>46.5</v>
      </c>
      <c r="D6" s="130">
        <v>5.5227334033962343</v>
      </c>
      <c r="E6" s="130">
        <v>40.977266596603769</v>
      </c>
      <c r="F6" s="122">
        <v>43.1</v>
      </c>
      <c r="G6" s="122">
        <v>250</v>
      </c>
      <c r="H6" s="122">
        <v>0.125</v>
      </c>
      <c r="I6" s="122">
        <v>150</v>
      </c>
      <c r="J6" s="122">
        <v>12</v>
      </c>
      <c r="K6" s="122">
        <v>100</v>
      </c>
      <c r="L6" s="130">
        <v>2.9754133123546778</v>
      </c>
      <c r="M6" s="122">
        <v>5</v>
      </c>
      <c r="N6" s="122">
        <v>138</v>
      </c>
      <c r="O6" s="129">
        <v>0.88329999999999997</v>
      </c>
      <c r="P6" s="129">
        <v>2.6640000000000001</v>
      </c>
      <c r="Q6" s="129">
        <v>1.7736499999999999</v>
      </c>
      <c r="R6" s="122">
        <v>9.0399999999999994E-2</v>
      </c>
      <c r="S6" s="131">
        <v>2.9339999999999998E-4</v>
      </c>
      <c r="T6" s="122">
        <v>1.285E-2</v>
      </c>
      <c r="U6" s="130">
        <v>0.54159999999999997</v>
      </c>
      <c r="V6" s="130">
        <v>78.3</v>
      </c>
      <c r="W6" s="130">
        <v>95.9</v>
      </c>
      <c r="X6" s="130">
        <v>85.8</v>
      </c>
      <c r="Y6" s="129">
        <v>-2.4190753783788232</v>
      </c>
      <c r="Z6" s="129">
        <v>1.4039999999999999</v>
      </c>
      <c r="AA6" s="404">
        <v>114</v>
      </c>
      <c r="AB6" s="130">
        <v>102.54270836547418</v>
      </c>
      <c r="AC6" s="130">
        <v>62</v>
      </c>
      <c r="AD6" s="130">
        <v>18.03</v>
      </c>
      <c r="AE6" s="130">
        <v>38.35</v>
      </c>
      <c r="AF6" s="122">
        <v>8.6410000000000002E-4</v>
      </c>
      <c r="AG6" s="122">
        <v>0.2363797</v>
      </c>
      <c r="AH6" s="198">
        <v>0.89473684210526316</v>
      </c>
      <c r="AI6" s="129">
        <v>1.855</v>
      </c>
      <c r="AJ6" s="129">
        <v>5.0000000000000001E-4</v>
      </c>
      <c r="AK6" s="122" t="s">
        <v>263</v>
      </c>
      <c r="AL6" s="122">
        <v>1.6754</v>
      </c>
      <c r="AM6" s="122">
        <v>1.6775</v>
      </c>
      <c r="AN6" s="124">
        <v>1.6808000000000001</v>
      </c>
    </row>
    <row r="7" spans="1:40" ht="23.1" customHeight="1">
      <c r="A7" s="94"/>
      <c r="B7" s="122"/>
      <c r="C7" s="122"/>
      <c r="D7" s="130"/>
      <c r="E7" s="130"/>
      <c r="F7" s="122"/>
      <c r="G7" s="122"/>
      <c r="H7" s="122"/>
      <c r="I7" s="122"/>
      <c r="J7" s="122"/>
      <c r="K7" s="122"/>
      <c r="L7" s="130"/>
      <c r="M7" s="122"/>
      <c r="N7" s="122"/>
      <c r="O7" s="129"/>
      <c r="P7" s="129"/>
      <c r="Q7" s="129"/>
      <c r="R7" s="122"/>
      <c r="S7" s="131"/>
      <c r="T7" s="122"/>
      <c r="U7" s="130"/>
      <c r="V7" s="130"/>
      <c r="W7" s="130"/>
      <c r="X7" s="130"/>
      <c r="Y7" s="129"/>
      <c r="Z7" s="129"/>
      <c r="AA7" s="404"/>
      <c r="AB7" s="130"/>
      <c r="AC7" s="130"/>
      <c r="AD7" s="130"/>
      <c r="AE7" s="130"/>
      <c r="AF7" s="122"/>
      <c r="AG7" s="122"/>
      <c r="AH7" s="198"/>
      <c r="AI7" s="129"/>
      <c r="AJ7" s="129"/>
      <c r="AK7" s="122"/>
      <c r="AL7" s="122"/>
      <c r="AM7" s="122"/>
      <c r="AN7" s="124"/>
    </row>
    <row r="8" spans="1:40" ht="23.1" customHeight="1">
      <c r="A8" s="94"/>
      <c r="B8" s="122"/>
      <c r="C8" s="122"/>
      <c r="D8" s="130"/>
      <c r="E8" s="130"/>
      <c r="F8" s="122"/>
      <c r="G8" s="122"/>
      <c r="H8" s="122"/>
      <c r="I8" s="122"/>
      <c r="J8" s="122"/>
      <c r="K8" s="122"/>
      <c r="L8" s="130"/>
      <c r="M8" s="122"/>
      <c r="N8" s="122"/>
      <c r="O8" s="129"/>
      <c r="P8" s="129"/>
      <c r="Q8" s="129"/>
      <c r="R8" s="122"/>
      <c r="S8" s="131"/>
      <c r="T8" s="122"/>
      <c r="U8" s="130"/>
      <c r="V8" s="130"/>
      <c r="W8" s="130"/>
      <c r="X8" s="130"/>
      <c r="Y8" s="129"/>
      <c r="Z8" s="129"/>
      <c r="AA8" s="404"/>
      <c r="AB8" s="130"/>
      <c r="AC8" s="130"/>
      <c r="AD8" s="130"/>
      <c r="AE8" s="130"/>
      <c r="AF8" s="122"/>
      <c r="AG8" s="122"/>
      <c r="AH8" s="198"/>
      <c r="AI8" s="129"/>
      <c r="AJ8" s="129"/>
      <c r="AK8" s="122"/>
      <c r="AL8" s="122"/>
      <c r="AM8" s="122"/>
      <c r="AN8" s="124"/>
    </row>
    <row r="9" spans="1:40" ht="23.1" customHeight="1">
      <c r="A9" s="94"/>
      <c r="B9" s="122"/>
      <c r="C9" s="122"/>
      <c r="D9" s="130"/>
      <c r="E9" s="130"/>
      <c r="F9" s="122"/>
      <c r="G9" s="122"/>
      <c r="H9" s="122"/>
      <c r="I9" s="122"/>
      <c r="J9" s="122"/>
      <c r="K9" s="122"/>
      <c r="L9" s="130"/>
      <c r="M9" s="122"/>
      <c r="N9" s="122"/>
      <c r="O9" s="129"/>
      <c r="P9" s="129"/>
      <c r="Q9" s="129"/>
      <c r="R9" s="122"/>
      <c r="S9" s="131"/>
      <c r="T9" s="122"/>
      <c r="U9" s="130"/>
      <c r="V9" s="130"/>
      <c r="W9" s="130"/>
      <c r="X9" s="130"/>
      <c r="Y9" s="129"/>
      <c r="Z9" s="129"/>
      <c r="AA9" s="404"/>
      <c r="AB9" s="130"/>
      <c r="AC9" s="130"/>
      <c r="AD9" s="130"/>
      <c r="AE9" s="130"/>
      <c r="AF9" s="122"/>
      <c r="AG9" s="122"/>
      <c r="AH9" s="198"/>
      <c r="AI9" s="129"/>
      <c r="AJ9" s="129"/>
      <c r="AK9" s="122"/>
      <c r="AL9" s="122"/>
      <c r="AM9" s="122"/>
      <c r="AN9" s="124"/>
    </row>
    <row r="10" spans="1:40" ht="23.1" customHeight="1">
      <c r="A10" s="94"/>
      <c r="B10" s="122"/>
      <c r="C10" s="122"/>
      <c r="D10" s="130"/>
      <c r="E10" s="130"/>
      <c r="F10" s="122"/>
      <c r="G10" s="122"/>
      <c r="H10" s="122"/>
      <c r="I10" s="122"/>
      <c r="J10" s="122"/>
      <c r="K10" s="122"/>
      <c r="L10" s="130"/>
      <c r="M10" s="122"/>
      <c r="N10" s="122"/>
      <c r="O10" s="129"/>
      <c r="P10" s="129"/>
      <c r="Q10" s="129"/>
      <c r="R10" s="122"/>
      <c r="S10" s="131"/>
      <c r="T10" s="122"/>
      <c r="U10" s="130"/>
      <c r="V10" s="130"/>
      <c r="W10" s="130"/>
      <c r="X10" s="130"/>
      <c r="Y10" s="129"/>
      <c r="Z10" s="129"/>
      <c r="AA10" s="404"/>
      <c r="AB10" s="130"/>
      <c r="AC10" s="130"/>
      <c r="AD10" s="130"/>
      <c r="AE10" s="130"/>
      <c r="AF10" s="122"/>
      <c r="AG10" s="122"/>
      <c r="AH10" s="198"/>
      <c r="AI10" s="129"/>
      <c r="AJ10" s="129"/>
      <c r="AK10" s="122"/>
      <c r="AL10" s="122"/>
      <c r="AM10" s="122"/>
      <c r="AN10" s="124"/>
    </row>
    <row r="11" spans="1:40" ht="23.1" customHeight="1">
      <c r="A11" s="94"/>
      <c r="B11" s="122"/>
      <c r="C11" s="122"/>
      <c r="D11" s="130"/>
      <c r="E11" s="130"/>
      <c r="F11" s="122"/>
      <c r="G11" s="122"/>
      <c r="H11" s="122"/>
      <c r="I11" s="122"/>
      <c r="J11" s="122"/>
      <c r="K11" s="122"/>
      <c r="L11" s="130"/>
      <c r="M11" s="122"/>
      <c r="N11" s="122"/>
      <c r="O11" s="129"/>
      <c r="P11" s="129"/>
      <c r="Q11" s="129"/>
      <c r="R11" s="122"/>
      <c r="S11" s="131"/>
      <c r="T11" s="122"/>
      <c r="U11" s="130"/>
      <c r="V11" s="130"/>
      <c r="W11" s="130"/>
      <c r="X11" s="130"/>
      <c r="Y11" s="129"/>
      <c r="Z11" s="129"/>
      <c r="AA11" s="404"/>
      <c r="AB11" s="130"/>
      <c r="AC11" s="130"/>
      <c r="AD11" s="130"/>
      <c r="AE11" s="130"/>
      <c r="AF11" s="122"/>
      <c r="AG11" s="122"/>
      <c r="AH11" s="198"/>
      <c r="AI11" s="129"/>
      <c r="AJ11" s="129"/>
      <c r="AK11" s="122"/>
      <c r="AL11" s="122"/>
      <c r="AM11" s="122"/>
      <c r="AN11" s="124"/>
    </row>
    <row r="12" spans="1:40" ht="23.1" customHeight="1">
      <c r="A12" s="9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4"/>
    </row>
    <row r="13" spans="1:40" ht="23.1" customHeight="1">
      <c r="A13" s="9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4"/>
    </row>
    <row r="14" spans="1:40" ht="23.1" customHeight="1">
      <c r="A14" s="94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4"/>
    </row>
    <row r="15" spans="1:40" ht="23.1" customHeight="1">
      <c r="A15" s="94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4"/>
    </row>
    <row r="16" spans="1:40" ht="23.1" customHeight="1">
      <c r="A16" s="94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4"/>
    </row>
    <row r="17" spans="1:40" ht="23.1" customHeight="1">
      <c r="A17" s="94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4"/>
    </row>
    <row r="18" spans="1:40" ht="23.1" customHeight="1">
      <c r="A18" s="94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4"/>
    </row>
    <row r="19" spans="1:40" ht="23.1" customHeight="1">
      <c r="A19" s="94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4"/>
    </row>
    <row r="20" spans="1:40" ht="23.1" customHeight="1">
      <c r="A20" s="94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4"/>
    </row>
    <row r="21" spans="1:40" ht="23.1" customHeight="1">
      <c r="A21" s="94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4"/>
    </row>
    <row r="22" spans="1:40" ht="23.1" customHeight="1">
      <c r="A22" s="94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4"/>
    </row>
    <row r="23" spans="1:40" ht="23.1" customHeight="1">
      <c r="A23" s="94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4"/>
    </row>
    <row r="24" spans="1:40" ht="23.1" customHeight="1">
      <c r="A24" s="94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4"/>
    </row>
    <row r="25" spans="1:40" ht="23.1" customHeight="1">
      <c r="A25" s="94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4"/>
    </row>
    <row r="26" spans="1:40" ht="23.1" customHeight="1">
      <c r="A26" s="94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4"/>
    </row>
    <row r="27" spans="1:40" ht="23.1" customHeight="1">
      <c r="A27" s="94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4"/>
    </row>
    <row r="28" spans="1:40" ht="23.1" customHeight="1">
      <c r="A28" s="94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4"/>
    </row>
    <row r="29" spans="1:40" ht="23.1" customHeight="1">
      <c r="A29" s="94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4"/>
    </row>
    <row r="30" spans="1:40" ht="23.1" customHeight="1">
      <c r="A30" s="94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4"/>
    </row>
    <row r="31" spans="1:40" ht="23.1" customHeight="1">
      <c r="A31" s="94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4"/>
    </row>
    <row r="32" spans="1:40" ht="23.1" customHeight="1">
      <c r="A32" s="94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4"/>
    </row>
    <row r="33" spans="1:40" ht="23.1" customHeight="1">
      <c r="A33" s="94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4"/>
    </row>
    <row r="34" spans="1:40" ht="23.1" customHeight="1">
      <c r="A34" s="94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4"/>
    </row>
    <row r="35" spans="1:40" ht="23.1" customHeight="1">
      <c r="A35" s="94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4"/>
    </row>
    <row r="36" spans="1:40" ht="23.1" customHeight="1">
      <c r="A36" s="94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4"/>
    </row>
    <row r="37" spans="1:40" ht="23.1" customHeight="1" thickBot="1">
      <c r="A37" s="95"/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80"/>
    </row>
    <row r="5" spans="1:12" ht="20.100000000000001" customHeight="1" thickBot="1"/>
    <row r="6" spans="1:12" ht="20.100000000000001" customHeight="1">
      <c r="D6" s="171" t="s">
        <v>258</v>
      </c>
      <c r="E6" s="172" t="s">
        <v>328</v>
      </c>
      <c r="F6" s="172"/>
      <c r="G6" s="172" t="s">
        <v>329</v>
      </c>
      <c r="H6" s="172"/>
      <c r="I6" s="172" t="s">
        <v>330</v>
      </c>
      <c r="J6" s="172"/>
      <c r="K6" s="172" t="s">
        <v>331</v>
      </c>
      <c r="L6" s="173"/>
    </row>
    <row r="7" spans="1:12" ht="20.100000000000001" customHeight="1">
      <c r="D7" s="174" t="s">
        <v>332</v>
      </c>
      <c r="E7" s="175">
        <v>97</v>
      </c>
      <c r="F7" s="175">
        <v>330.9700000000002</v>
      </c>
      <c r="G7" s="175">
        <v>31</v>
      </c>
      <c r="H7" s="175">
        <v>60.169999999999995</v>
      </c>
      <c r="I7" s="175">
        <v>66</v>
      </c>
      <c r="J7" s="175">
        <v>270.80000000000018</v>
      </c>
      <c r="K7" s="175">
        <v>0</v>
      </c>
      <c r="L7" s="176">
        <v>0</v>
      </c>
    </row>
    <row r="8" spans="1:12" ht="20.100000000000001" customHeight="1" thickBot="1">
      <c r="D8" s="177" t="s">
        <v>333</v>
      </c>
      <c r="E8" s="178">
        <v>2</v>
      </c>
      <c r="F8" s="178">
        <v>6.76</v>
      </c>
      <c r="G8" s="178">
        <v>2</v>
      </c>
      <c r="H8" s="178">
        <v>6.76</v>
      </c>
      <c r="I8" s="178">
        <v>0</v>
      </c>
      <c r="J8" s="178">
        <v>0</v>
      </c>
      <c r="K8" s="178">
        <v>0</v>
      </c>
      <c r="L8" s="17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4" hidden="1" customWidth="1"/>
    <col min="2" max="3" width="8.88671875" style="294"/>
    <col min="4" max="5" width="0" style="294" hidden="1" customWidth="1"/>
    <col min="6" max="6" width="8.88671875" style="294"/>
    <col min="7" max="7" width="16.88671875" style="294" customWidth="1"/>
    <col min="8" max="8" width="11.77734375" style="294" customWidth="1"/>
    <col min="9" max="9" width="11.77734375" style="344" customWidth="1"/>
    <col min="10" max="10" width="11.77734375" style="294" customWidth="1"/>
    <col min="11" max="11" width="11.77734375" style="346" customWidth="1"/>
    <col min="12" max="17" width="11.77734375" style="294" customWidth="1"/>
    <col min="18" max="18" width="14" style="294" customWidth="1"/>
    <col min="19" max="19" width="15" style="294" customWidth="1"/>
    <col min="20" max="16384" width="8.88671875" style="294"/>
  </cols>
  <sheetData>
    <row r="1" spans="7:19" ht="36" customHeight="1" thickBot="1">
      <c r="G1" s="343" t="s">
        <v>230</v>
      </c>
      <c r="J1" s="345" t="s">
        <v>620</v>
      </c>
    </row>
    <row r="2" spans="7:19" ht="29.25" customHeight="1">
      <c r="G2" s="353" t="s">
        <v>206</v>
      </c>
      <c r="H2" s="354" t="s">
        <v>203</v>
      </c>
      <c r="I2" s="355" t="s">
        <v>212</v>
      </c>
      <c r="J2" s="354" t="s">
        <v>204</v>
      </c>
      <c r="K2" s="356" t="s">
        <v>205</v>
      </c>
      <c r="M2" s="357"/>
      <c r="N2" s="358" t="s">
        <v>210</v>
      </c>
      <c r="O2" s="356" t="s">
        <v>211</v>
      </c>
      <c r="Q2" s="353" t="s">
        <v>206</v>
      </c>
      <c r="R2" s="358" t="s">
        <v>214</v>
      </c>
      <c r="S2" s="356" t="s">
        <v>215</v>
      </c>
    </row>
    <row r="3" spans="7:19" ht="20.100000000000001" customHeight="1">
      <c r="G3" s="243" t="s">
        <v>226</v>
      </c>
      <c r="H3" s="244">
        <v>114</v>
      </c>
      <c r="I3" s="245">
        <v>102.54270836547418</v>
      </c>
      <c r="J3" s="244">
        <v>100</v>
      </c>
      <c r="K3" s="339">
        <v>0.89473684210526316</v>
      </c>
      <c r="M3" s="359" t="s">
        <v>205</v>
      </c>
      <c r="N3" s="347">
        <f>MIN(K3:K35)</f>
        <v>0.89473684210526316</v>
      </c>
      <c r="O3" s="348">
        <f>MAX(K3:K35)</f>
        <v>0.89473684210526316</v>
      </c>
      <c r="Q3" s="340" t="s">
        <v>226</v>
      </c>
      <c r="R3" s="341">
        <v>8.6410000000000002E-4</v>
      </c>
      <c r="S3" s="342">
        <v>0.2363797</v>
      </c>
    </row>
    <row r="4" spans="7:19" ht="20.100000000000001" customHeight="1">
      <c r="G4" s="204" t="s">
        <v>227</v>
      </c>
      <c r="H4" s="205">
        <v>114</v>
      </c>
      <c r="I4" s="221">
        <v>102.54270836547418</v>
      </c>
      <c r="J4" s="205">
        <v>100</v>
      </c>
      <c r="K4" s="225">
        <v>0.89473684210526316</v>
      </c>
      <c r="M4" s="359" t="s">
        <v>212</v>
      </c>
      <c r="N4" s="349">
        <f>MIN(I3:I35)</f>
        <v>102.54270836547418</v>
      </c>
      <c r="O4" s="350">
        <f>MAX(I3:I35)</f>
        <v>102.54270836547418</v>
      </c>
      <c r="Q4" s="227" t="s">
        <v>227</v>
      </c>
      <c r="R4" s="228">
        <v>8.6410000000000002E-4</v>
      </c>
      <c r="S4" s="229">
        <v>0.2363797</v>
      </c>
    </row>
    <row r="5" spans="7:19" ht="20.100000000000001" customHeight="1" thickBot="1">
      <c r="G5" s="243"/>
      <c r="H5" s="244"/>
      <c r="I5" s="245"/>
      <c r="J5" s="244"/>
      <c r="K5" s="339"/>
      <c r="M5" s="360" t="s">
        <v>213</v>
      </c>
      <c r="N5" s="351">
        <f>MIN(J3:J35)</f>
        <v>100</v>
      </c>
      <c r="O5" s="352">
        <f>MAX(J3:J35)</f>
        <v>100</v>
      </c>
      <c r="Q5" s="340"/>
      <c r="R5" s="341"/>
      <c r="S5" s="342"/>
    </row>
    <row r="6" spans="7:19" ht="20.100000000000001" customHeight="1">
      <c r="G6" s="204"/>
      <c r="H6" s="205"/>
      <c r="I6" s="221"/>
      <c r="J6" s="205"/>
      <c r="K6" s="226"/>
      <c r="Q6" s="227"/>
      <c r="R6" s="228"/>
      <c r="S6" s="229"/>
    </row>
    <row r="7" spans="7:19" ht="20.100000000000001" customHeight="1">
      <c r="G7" s="243"/>
      <c r="H7" s="244"/>
      <c r="I7" s="245"/>
      <c r="J7" s="244"/>
      <c r="K7" s="246"/>
      <c r="Q7" s="340"/>
      <c r="R7" s="341"/>
      <c r="S7" s="342"/>
    </row>
    <row r="8" spans="7:19" ht="20.100000000000001" customHeight="1">
      <c r="G8" s="204"/>
      <c r="H8" s="205"/>
      <c r="I8" s="221"/>
      <c r="J8" s="205"/>
      <c r="K8" s="226"/>
      <c r="Q8" s="204"/>
      <c r="R8" s="205"/>
      <c r="S8" s="208"/>
    </row>
    <row r="9" spans="7:19" ht="20.100000000000001" customHeight="1">
      <c r="G9" s="243"/>
      <c r="H9" s="244"/>
      <c r="I9" s="245"/>
      <c r="J9" s="244"/>
      <c r="K9" s="246"/>
      <c r="Q9" s="243"/>
      <c r="R9" s="244"/>
      <c r="S9" s="247"/>
    </row>
    <row r="10" spans="7:19" ht="20.100000000000001" customHeight="1">
      <c r="G10" s="204"/>
      <c r="H10" s="205"/>
      <c r="I10" s="221"/>
      <c r="J10" s="205"/>
      <c r="K10" s="226"/>
      <c r="Q10" s="204"/>
      <c r="R10" s="205"/>
      <c r="S10" s="208"/>
    </row>
    <row r="11" spans="7:19" ht="20.100000000000001" customHeight="1">
      <c r="G11" s="243"/>
      <c r="H11" s="244"/>
      <c r="I11" s="245"/>
      <c r="J11" s="244"/>
      <c r="K11" s="246"/>
      <c r="Q11" s="243"/>
      <c r="R11" s="244"/>
      <c r="S11" s="247"/>
    </row>
    <row r="12" spans="7:19" ht="20.100000000000001" hidden="1" customHeight="1" outlineLevel="1">
      <c r="G12" s="204"/>
      <c r="H12" s="205"/>
      <c r="I12" s="221"/>
      <c r="J12" s="205"/>
      <c r="K12" s="226"/>
      <c r="Q12" s="204"/>
      <c r="R12" s="205"/>
      <c r="S12" s="208"/>
    </row>
    <row r="13" spans="7:19" ht="20.100000000000001" hidden="1" customHeight="1" outlineLevel="1">
      <c r="G13" s="243"/>
      <c r="H13" s="244"/>
      <c r="I13" s="245"/>
      <c r="J13" s="244"/>
      <c r="K13" s="246"/>
      <c r="Q13" s="243"/>
      <c r="R13" s="244"/>
      <c r="S13" s="247"/>
    </row>
    <row r="14" spans="7:19" ht="20.100000000000001" hidden="1" customHeight="1" outlineLevel="1">
      <c r="G14" s="204"/>
      <c r="H14" s="205"/>
      <c r="I14" s="221"/>
      <c r="J14" s="205"/>
      <c r="K14" s="226"/>
      <c r="Q14" s="204"/>
      <c r="R14" s="205"/>
      <c r="S14" s="208"/>
    </row>
    <row r="15" spans="7:19" ht="20.100000000000001" hidden="1" customHeight="1" outlineLevel="1">
      <c r="G15" s="243"/>
      <c r="H15" s="244"/>
      <c r="I15" s="245"/>
      <c r="J15" s="244"/>
      <c r="K15" s="246"/>
      <c r="Q15" s="243"/>
      <c r="R15" s="244"/>
      <c r="S15" s="247"/>
    </row>
    <row r="16" spans="7:19" ht="20.100000000000001" hidden="1" customHeight="1" outlineLevel="1">
      <c r="G16" s="204"/>
      <c r="H16" s="205"/>
      <c r="I16" s="221"/>
      <c r="J16" s="205"/>
      <c r="K16" s="226"/>
      <c r="Q16" s="204"/>
      <c r="R16" s="205"/>
      <c r="S16" s="208"/>
    </row>
    <row r="17" spans="7:19" ht="20.100000000000001" hidden="1" customHeight="1" outlineLevel="1">
      <c r="G17" s="243"/>
      <c r="H17" s="244"/>
      <c r="I17" s="245"/>
      <c r="J17" s="244"/>
      <c r="K17" s="246"/>
      <c r="Q17" s="243"/>
      <c r="R17" s="244"/>
      <c r="S17" s="247"/>
    </row>
    <row r="18" spans="7:19" ht="20.100000000000001" hidden="1" customHeight="1" outlineLevel="1">
      <c r="G18" s="204"/>
      <c r="H18" s="205"/>
      <c r="I18" s="221"/>
      <c r="J18" s="205"/>
      <c r="K18" s="226"/>
      <c r="Q18" s="204"/>
      <c r="R18" s="205"/>
      <c r="S18" s="208"/>
    </row>
    <row r="19" spans="7:19" ht="20.100000000000001" hidden="1" customHeight="1" outlineLevel="1">
      <c r="G19" s="243"/>
      <c r="H19" s="244"/>
      <c r="I19" s="245"/>
      <c r="J19" s="244"/>
      <c r="K19" s="246"/>
      <c r="Q19" s="243"/>
      <c r="R19" s="244"/>
      <c r="S19" s="247"/>
    </row>
    <row r="20" spans="7:19" ht="20.100000000000001" hidden="1" customHeight="1" outlineLevel="1">
      <c r="G20" s="204"/>
      <c r="H20" s="205"/>
      <c r="I20" s="221"/>
      <c r="J20" s="205"/>
      <c r="K20" s="226"/>
      <c r="Q20" s="204"/>
      <c r="R20" s="205"/>
      <c r="S20" s="208"/>
    </row>
    <row r="21" spans="7:19" ht="20.100000000000001" hidden="1" customHeight="1" outlineLevel="1">
      <c r="G21" s="243"/>
      <c r="H21" s="244"/>
      <c r="I21" s="245"/>
      <c r="J21" s="244"/>
      <c r="K21" s="246"/>
      <c r="Q21" s="243"/>
      <c r="R21" s="244"/>
      <c r="S21" s="247"/>
    </row>
    <row r="22" spans="7:19" ht="20.100000000000001" hidden="1" customHeight="1" outlineLevel="1">
      <c r="G22" s="204"/>
      <c r="H22" s="205"/>
      <c r="I22" s="221"/>
      <c r="J22" s="205"/>
      <c r="K22" s="226"/>
      <c r="Q22" s="204"/>
      <c r="R22" s="205"/>
      <c r="S22" s="208"/>
    </row>
    <row r="23" spans="7:19" ht="20.100000000000001" hidden="1" customHeight="1" outlineLevel="1">
      <c r="G23" s="243"/>
      <c r="H23" s="244"/>
      <c r="I23" s="245"/>
      <c r="J23" s="244"/>
      <c r="K23" s="246"/>
      <c r="Q23" s="243"/>
      <c r="R23" s="244"/>
      <c r="S23" s="247"/>
    </row>
    <row r="24" spans="7:19" ht="20.100000000000001" hidden="1" customHeight="1" outlineLevel="1">
      <c r="G24" s="204"/>
      <c r="H24" s="205"/>
      <c r="I24" s="221"/>
      <c r="J24" s="205"/>
      <c r="K24" s="226"/>
      <c r="Q24" s="204"/>
      <c r="R24" s="205"/>
      <c r="S24" s="208"/>
    </row>
    <row r="25" spans="7:19" ht="20.100000000000001" hidden="1" customHeight="1" outlineLevel="1">
      <c r="G25" s="243"/>
      <c r="H25" s="244"/>
      <c r="I25" s="245"/>
      <c r="J25" s="244"/>
      <c r="K25" s="246"/>
      <c r="Q25" s="243"/>
      <c r="R25" s="244"/>
      <c r="S25" s="247"/>
    </row>
    <row r="26" spans="7:19" ht="20.100000000000001" hidden="1" customHeight="1" outlineLevel="1">
      <c r="G26" s="204"/>
      <c r="H26" s="205"/>
      <c r="I26" s="221"/>
      <c r="J26" s="205"/>
      <c r="K26" s="226"/>
      <c r="Q26" s="204"/>
      <c r="R26" s="205"/>
      <c r="S26" s="208"/>
    </row>
    <row r="27" spans="7:19" ht="20.100000000000001" hidden="1" customHeight="1" outlineLevel="1">
      <c r="G27" s="243"/>
      <c r="H27" s="244"/>
      <c r="I27" s="245"/>
      <c r="J27" s="244"/>
      <c r="K27" s="246"/>
      <c r="Q27" s="243"/>
      <c r="R27" s="244"/>
      <c r="S27" s="247"/>
    </row>
    <row r="28" spans="7:19" ht="20.100000000000001" hidden="1" customHeight="1" outlineLevel="1">
      <c r="G28" s="204"/>
      <c r="H28" s="205"/>
      <c r="I28" s="221"/>
      <c r="J28" s="205"/>
      <c r="K28" s="226"/>
      <c r="Q28" s="265"/>
      <c r="R28" s="266"/>
      <c r="S28" s="267"/>
    </row>
    <row r="29" spans="7:19" ht="20.100000000000001" hidden="1" customHeight="1" outlineLevel="1">
      <c r="G29" s="243"/>
      <c r="H29" s="244"/>
      <c r="I29" s="245"/>
      <c r="J29" s="244"/>
      <c r="K29" s="246"/>
      <c r="Q29" s="268"/>
      <c r="R29" s="269"/>
      <c r="S29" s="270"/>
    </row>
    <row r="30" spans="7:19" ht="20.100000000000001" hidden="1" customHeight="1" outlineLevel="1">
      <c r="G30" s="204"/>
      <c r="H30" s="205"/>
      <c r="I30" s="221"/>
      <c r="J30" s="205"/>
      <c r="K30" s="226"/>
      <c r="Q30" s="265"/>
      <c r="R30" s="266"/>
      <c r="S30" s="267"/>
    </row>
    <row r="31" spans="7:19" ht="20.100000000000001" hidden="1" customHeight="1" outlineLevel="1">
      <c r="G31" s="243"/>
      <c r="H31" s="244"/>
      <c r="I31" s="245"/>
      <c r="J31" s="244"/>
      <c r="K31" s="246"/>
      <c r="Q31" s="268"/>
      <c r="R31" s="269"/>
      <c r="S31" s="270"/>
    </row>
    <row r="32" spans="7:19" ht="20.100000000000001" hidden="1" customHeight="1" outlineLevel="1">
      <c r="G32" s="204"/>
      <c r="H32" s="205"/>
      <c r="I32" s="205"/>
      <c r="J32" s="205"/>
      <c r="K32" s="271"/>
      <c r="Q32" s="265"/>
      <c r="R32" s="266"/>
      <c r="S32" s="267"/>
    </row>
    <row r="33" spans="6:19" ht="20.100000000000001" hidden="1" customHeight="1" outlineLevel="1">
      <c r="G33" s="243"/>
      <c r="H33" s="244"/>
      <c r="I33" s="244"/>
      <c r="J33" s="244"/>
      <c r="K33" s="272"/>
      <c r="Q33" s="251"/>
      <c r="R33" s="250"/>
      <c r="S33" s="252"/>
    </row>
    <row r="34" spans="6:19" ht="20.100000000000001" hidden="1" customHeight="1" outlineLevel="1">
      <c r="G34" s="243"/>
      <c r="H34" s="244"/>
      <c r="I34" s="244"/>
      <c r="J34" s="244"/>
      <c r="K34" s="272"/>
      <c r="Q34" s="251"/>
      <c r="R34" s="250"/>
      <c r="S34" s="252"/>
    </row>
    <row r="35" spans="6:19" ht="20.100000000000001" hidden="1" customHeight="1" outlineLevel="1" thickBot="1">
      <c r="G35" s="248"/>
      <c r="H35" s="249"/>
      <c r="I35" s="249"/>
      <c r="J35" s="249"/>
      <c r="K35" s="273"/>
      <c r="Q35" s="248"/>
      <c r="R35" s="249"/>
      <c r="S35" s="31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4"/>
      <c r="N38" s="344"/>
      <c r="O38" s="344"/>
      <c r="P38" s="344"/>
      <c r="Q38" s="344"/>
      <c r="R38" s="344"/>
      <c r="S38" s="344"/>
    </row>
    <row r="39" spans="6:19" ht="20.100000000000001" customHeight="1">
      <c r="M39" s="293"/>
      <c r="N39" s="293"/>
      <c r="O39" s="293"/>
      <c r="P39" s="293"/>
      <c r="Q39" s="293"/>
      <c r="R39" s="344"/>
      <c r="S39" s="344"/>
    </row>
    <row r="40" spans="6:19" ht="20.100000000000001" customHeight="1">
      <c r="M40" s="293"/>
      <c r="N40" s="293"/>
      <c r="O40" s="293"/>
      <c r="P40" s="293"/>
      <c r="Q40" s="293"/>
      <c r="R40" s="344"/>
      <c r="S40" s="344"/>
    </row>
    <row r="41" spans="6:19" ht="20.100000000000001" customHeight="1" thickBot="1">
      <c r="G41" s="343" t="s">
        <v>619</v>
      </c>
      <c r="M41" s="344"/>
      <c r="N41" s="344"/>
      <c r="O41" s="344"/>
      <c r="P41" s="344"/>
      <c r="Q41" s="344"/>
      <c r="R41" s="344"/>
      <c r="S41" s="344"/>
    </row>
    <row r="42" spans="6:19" ht="27" customHeight="1" thickBot="1">
      <c r="G42" s="361" t="s">
        <v>237</v>
      </c>
      <c r="H42" s="362"/>
      <c r="I42" s="363"/>
    </row>
    <row r="43" spans="6:19" ht="15.95" customHeight="1">
      <c r="F43" s="647" t="s">
        <v>226</v>
      </c>
      <c r="G43" s="643">
        <v>62</v>
      </c>
      <c r="H43" s="338">
        <v>38.35</v>
      </c>
      <c r="I43" s="645">
        <v>102.54270836547418</v>
      </c>
    </row>
    <row r="44" spans="6:19" ht="15.95" customHeight="1">
      <c r="F44" s="648"/>
      <c r="G44" s="644"/>
      <c r="H44" s="244">
        <v>18.03</v>
      </c>
      <c r="I44" s="646"/>
      <c r="K44" s="294"/>
    </row>
    <row r="45" spans="6:19" ht="15.95" customHeight="1">
      <c r="F45" s="649" t="s">
        <v>227</v>
      </c>
      <c r="G45" s="650">
        <v>62</v>
      </c>
      <c r="H45" s="205">
        <v>38.35</v>
      </c>
      <c r="I45" s="651">
        <v>102.54270836547418</v>
      </c>
      <c r="K45" s="294"/>
    </row>
    <row r="46" spans="6:19" ht="15.95" customHeight="1">
      <c r="F46" s="649"/>
      <c r="G46" s="650"/>
      <c r="H46" s="205">
        <v>18.03</v>
      </c>
      <c r="I46" s="651"/>
      <c r="K46" s="294"/>
    </row>
    <row r="47" spans="6:19" ht="15.95" customHeight="1">
      <c r="F47" s="648"/>
      <c r="G47" s="644"/>
      <c r="H47" s="244"/>
      <c r="I47" s="646"/>
      <c r="K47" s="294"/>
    </row>
    <row r="48" spans="6:19" ht="15.95" customHeight="1">
      <c r="F48" s="648"/>
      <c r="G48" s="644"/>
      <c r="H48" s="244"/>
      <c r="I48" s="646"/>
      <c r="K48" s="294"/>
    </row>
    <row r="49" spans="6:11" ht="15.95" customHeight="1">
      <c r="F49" s="649"/>
      <c r="G49" s="650"/>
      <c r="H49" s="205"/>
      <c r="I49" s="651"/>
      <c r="K49" s="294"/>
    </row>
    <row r="50" spans="6:11" ht="15.95" customHeight="1">
      <c r="F50" s="649"/>
      <c r="G50" s="650"/>
      <c r="H50" s="205"/>
      <c r="I50" s="651"/>
      <c r="K50" s="294"/>
    </row>
    <row r="51" spans="6:11" ht="15.95" customHeight="1">
      <c r="F51" s="648"/>
      <c r="G51" s="644"/>
      <c r="H51" s="244"/>
      <c r="I51" s="646"/>
      <c r="K51" s="294"/>
    </row>
    <row r="52" spans="6:11" ht="15.95" customHeight="1">
      <c r="F52" s="648"/>
      <c r="G52" s="644"/>
      <c r="H52" s="244"/>
      <c r="I52" s="646"/>
      <c r="K52" s="294"/>
    </row>
    <row r="53" spans="6:11" ht="15.95" customHeight="1">
      <c r="F53" s="649"/>
      <c r="G53" s="650"/>
      <c r="H53" s="205"/>
      <c r="I53" s="651"/>
      <c r="K53" s="294"/>
    </row>
    <row r="54" spans="6:11" ht="15.95" customHeight="1">
      <c r="F54" s="649"/>
      <c r="G54" s="650"/>
      <c r="H54" s="205"/>
      <c r="I54" s="651"/>
      <c r="K54" s="294"/>
    </row>
    <row r="55" spans="6:11" ht="15.95" customHeight="1">
      <c r="F55" s="648"/>
      <c r="G55" s="644"/>
      <c r="H55" s="244"/>
      <c r="I55" s="646"/>
      <c r="K55" s="294"/>
    </row>
    <row r="56" spans="6:11" ht="15.95" customHeight="1">
      <c r="F56" s="648"/>
      <c r="G56" s="644"/>
      <c r="H56" s="244"/>
      <c r="I56" s="646"/>
      <c r="K56" s="294"/>
    </row>
    <row r="57" spans="6:11" ht="15.95" hidden="1" customHeight="1" outlineLevel="1">
      <c r="F57" s="649"/>
      <c r="G57" s="650"/>
      <c r="H57" s="205"/>
      <c r="I57" s="651"/>
      <c r="K57" s="294"/>
    </row>
    <row r="58" spans="6:11" ht="15.95" hidden="1" customHeight="1" outlineLevel="1">
      <c r="F58" s="649"/>
      <c r="G58" s="650"/>
      <c r="H58" s="205"/>
      <c r="I58" s="651"/>
      <c r="K58" s="294"/>
    </row>
    <row r="59" spans="6:11" ht="15.95" hidden="1" customHeight="1" outlineLevel="1">
      <c r="F59" s="648"/>
      <c r="G59" s="644"/>
      <c r="H59" s="244"/>
      <c r="I59" s="646"/>
      <c r="K59" s="294"/>
    </row>
    <row r="60" spans="6:11" ht="15.95" hidden="1" customHeight="1" outlineLevel="1">
      <c r="F60" s="648"/>
      <c r="G60" s="644"/>
      <c r="H60" s="244"/>
      <c r="I60" s="646"/>
      <c r="K60" s="294"/>
    </row>
    <row r="61" spans="6:11" ht="15.95" hidden="1" customHeight="1" outlineLevel="1">
      <c r="F61" s="649"/>
      <c r="G61" s="650"/>
      <c r="H61" s="205"/>
      <c r="I61" s="651"/>
      <c r="K61" s="294"/>
    </row>
    <row r="62" spans="6:11" ht="15.95" hidden="1" customHeight="1" outlineLevel="1">
      <c r="F62" s="649"/>
      <c r="G62" s="650"/>
      <c r="H62" s="205"/>
      <c r="I62" s="651"/>
      <c r="K62" s="294"/>
    </row>
    <row r="63" spans="6:11" ht="15.95" hidden="1" customHeight="1" outlineLevel="1">
      <c r="F63" s="648"/>
      <c r="G63" s="644"/>
      <c r="H63" s="244"/>
      <c r="I63" s="646"/>
      <c r="K63" s="294"/>
    </row>
    <row r="64" spans="6:11" ht="15.95" hidden="1" customHeight="1" outlineLevel="1">
      <c r="F64" s="648"/>
      <c r="G64" s="644"/>
      <c r="H64" s="244"/>
      <c r="I64" s="646"/>
      <c r="K64" s="294"/>
    </row>
    <row r="65" spans="6:11" ht="15.95" hidden="1" customHeight="1" outlineLevel="1">
      <c r="F65" s="649"/>
      <c r="G65" s="650"/>
      <c r="H65" s="205"/>
      <c r="I65" s="651"/>
      <c r="K65" s="294"/>
    </row>
    <row r="66" spans="6:11" ht="15.95" hidden="1" customHeight="1" outlineLevel="1">
      <c r="F66" s="649"/>
      <c r="G66" s="650"/>
      <c r="H66" s="205"/>
      <c r="I66" s="651"/>
      <c r="K66" s="294"/>
    </row>
    <row r="67" spans="6:11" ht="15.95" hidden="1" customHeight="1" outlineLevel="1">
      <c r="F67" s="648"/>
      <c r="G67" s="644"/>
      <c r="H67" s="244"/>
      <c r="I67" s="646"/>
      <c r="K67" s="294"/>
    </row>
    <row r="68" spans="6:11" ht="15.95" hidden="1" customHeight="1" outlineLevel="1">
      <c r="F68" s="648"/>
      <c r="G68" s="644"/>
      <c r="H68" s="244"/>
      <c r="I68" s="646"/>
      <c r="K68" s="294"/>
    </row>
    <row r="69" spans="6:11" ht="15.95" hidden="1" customHeight="1" outlineLevel="1">
      <c r="F69" s="649"/>
      <c r="G69" s="650"/>
      <c r="H69" s="205"/>
      <c r="I69" s="651"/>
      <c r="K69" s="294"/>
    </row>
    <row r="70" spans="6:11" ht="15.95" hidden="1" customHeight="1" outlineLevel="1">
      <c r="F70" s="649"/>
      <c r="G70" s="650"/>
      <c r="H70" s="205"/>
      <c r="I70" s="651"/>
      <c r="K70" s="294"/>
    </row>
    <row r="71" spans="6:11" ht="15.95" hidden="1" customHeight="1" outlineLevel="1">
      <c r="F71" s="648"/>
      <c r="G71" s="644"/>
      <c r="H71" s="244"/>
      <c r="I71" s="646"/>
      <c r="K71" s="294"/>
    </row>
    <row r="72" spans="6:11" ht="15.95" hidden="1" customHeight="1" outlineLevel="1">
      <c r="F72" s="648"/>
      <c r="G72" s="644"/>
      <c r="H72" s="244"/>
      <c r="I72" s="646"/>
      <c r="K72" s="294"/>
    </row>
    <row r="73" spans="6:11" ht="15.95" hidden="1" customHeight="1" outlineLevel="1">
      <c r="F73" s="649"/>
      <c r="G73" s="650"/>
      <c r="H73" s="205"/>
      <c r="I73" s="651"/>
    </row>
    <row r="74" spans="6:11" ht="15.95" hidden="1" customHeight="1" outlineLevel="1">
      <c r="F74" s="649"/>
      <c r="G74" s="650"/>
      <c r="H74" s="205"/>
      <c r="I74" s="651"/>
    </row>
    <row r="75" spans="6:11" ht="15.95" hidden="1" customHeight="1" outlineLevel="1">
      <c r="F75" s="648"/>
      <c r="G75" s="644"/>
      <c r="H75" s="244"/>
      <c r="I75" s="646"/>
    </row>
    <row r="76" spans="6:11" ht="15.95" hidden="1" customHeight="1" outlineLevel="1">
      <c r="F76" s="648"/>
      <c r="G76" s="644"/>
      <c r="H76" s="244"/>
      <c r="I76" s="646"/>
    </row>
    <row r="77" spans="6:11" ht="15.95" hidden="1" customHeight="1" outlineLevel="1">
      <c r="F77" s="649"/>
      <c r="G77" s="650"/>
      <c r="H77" s="205"/>
      <c r="I77" s="651"/>
    </row>
    <row r="78" spans="6:11" ht="15.95" hidden="1" customHeight="1" outlineLevel="1">
      <c r="F78" s="649"/>
      <c r="G78" s="650"/>
      <c r="H78" s="205"/>
      <c r="I78" s="651"/>
    </row>
    <row r="79" spans="6:11" ht="15.95" hidden="1" customHeight="1" outlineLevel="1">
      <c r="F79" s="648"/>
      <c r="G79" s="644"/>
      <c r="H79" s="244"/>
      <c r="I79" s="646"/>
    </row>
    <row r="80" spans="6:11" ht="15.95" hidden="1" customHeight="1" outlineLevel="1">
      <c r="F80" s="648"/>
      <c r="G80" s="644"/>
      <c r="H80" s="244"/>
      <c r="I80" s="646"/>
    </row>
    <row r="81" spans="6:9" ht="15.95" hidden="1" customHeight="1" outlineLevel="1">
      <c r="F81" s="649"/>
      <c r="G81" s="650"/>
      <c r="H81" s="205"/>
      <c r="I81" s="651"/>
    </row>
    <row r="82" spans="6:9" ht="15.95" hidden="1" customHeight="1" outlineLevel="1">
      <c r="F82" s="649"/>
      <c r="G82" s="650"/>
      <c r="H82" s="205"/>
      <c r="I82" s="651"/>
    </row>
    <row r="83" spans="6:9" ht="15.95" hidden="1" customHeight="1" outlineLevel="1">
      <c r="F83" s="648"/>
      <c r="G83" s="644"/>
      <c r="H83" s="244"/>
      <c r="I83" s="646"/>
    </row>
    <row r="84" spans="6:9" ht="15.95" hidden="1" customHeight="1" outlineLevel="1">
      <c r="F84" s="648"/>
      <c r="G84" s="644"/>
      <c r="H84" s="244"/>
      <c r="I84" s="646"/>
    </row>
    <row r="85" spans="6:9" ht="15.95" hidden="1" customHeight="1" outlineLevel="1">
      <c r="F85" s="649"/>
      <c r="G85" s="650"/>
      <c r="H85" s="205"/>
      <c r="I85" s="651"/>
    </row>
    <row r="86" spans="6:9" ht="15.95" hidden="1" customHeight="1" outlineLevel="1">
      <c r="F86" s="649"/>
      <c r="G86" s="650"/>
      <c r="H86" s="205"/>
      <c r="I86" s="651"/>
    </row>
    <row r="87" spans="6:9" ht="15.95" hidden="1" customHeight="1" outlineLevel="1">
      <c r="F87" s="648"/>
      <c r="G87" s="644"/>
      <c r="H87" s="244"/>
      <c r="I87" s="646"/>
    </row>
    <row r="88" spans="6:9" ht="15.95" hidden="1" customHeight="1" outlineLevel="1">
      <c r="F88" s="648"/>
      <c r="G88" s="644"/>
      <c r="H88" s="244"/>
      <c r="I88" s="646"/>
    </row>
    <row r="89" spans="6:9" ht="15.95" hidden="1" customHeight="1" outlineLevel="1">
      <c r="F89" s="649"/>
      <c r="G89" s="650"/>
      <c r="H89" s="205"/>
      <c r="I89" s="651"/>
    </row>
    <row r="90" spans="6:9" ht="15.95" hidden="1" customHeight="1" outlineLevel="1">
      <c r="F90" s="649"/>
      <c r="G90" s="650"/>
      <c r="H90" s="205"/>
      <c r="I90" s="651"/>
    </row>
    <row r="91" spans="6:9" ht="15.95" hidden="1" customHeight="1" outlineLevel="1">
      <c r="F91" s="648"/>
      <c r="G91" s="644"/>
      <c r="H91" s="244"/>
      <c r="I91" s="646"/>
    </row>
    <row r="92" spans="6:9" ht="15.95" hidden="1" customHeight="1" outlineLevel="1">
      <c r="F92" s="648"/>
      <c r="G92" s="644"/>
      <c r="H92" s="244"/>
      <c r="I92" s="646"/>
    </row>
    <row r="93" spans="6:9" ht="15.95" hidden="1" customHeight="1" outlineLevel="1">
      <c r="F93" s="649"/>
      <c r="G93" s="650"/>
      <c r="H93" s="205"/>
      <c r="I93" s="651"/>
    </row>
    <row r="94" spans="6:9" ht="15.95" hidden="1" customHeight="1" outlineLevel="1">
      <c r="F94" s="649"/>
      <c r="G94" s="650"/>
      <c r="H94" s="205"/>
      <c r="I94" s="651"/>
    </row>
    <row r="95" spans="6:9" ht="15.95" hidden="1" customHeight="1" outlineLevel="1">
      <c r="F95" s="654"/>
      <c r="G95" s="652"/>
      <c r="H95" s="142"/>
      <c r="I95" s="653"/>
    </row>
    <row r="96" spans="6:9" ht="15.95" hidden="1" customHeight="1" outlineLevel="1">
      <c r="F96" s="654"/>
      <c r="G96" s="652"/>
      <c r="H96" s="142"/>
      <c r="I96" s="653"/>
    </row>
    <row r="97" spans="6:9" ht="15.95" hidden="1" customHeight="1" outlineLevel="1">
      <c r="F97" s="655"/>
      <c r="G97" s="657"/>
      <c r="H97" s="216"/>
      <c r="I97" s="659"/>
    </row>
    <row r="98" spans="6:9" ht="15.95" hidden="1" customHeight="1" outlineLevel="1">
      <c r="F98" s="655"/>
      <c r="G98" s="657"/>
      <c r="H98" s="216"/>
      <c r="I98" s="659"/>
    </row>
    <row r="99" spans="6:9" ht="15.95" hidden="1" customHeight="1" outlineLevel="1">
      <c r="F99" s="654"/>
      <c r="G99" s="652"/>
      <c r="H99" s="142"/>
      <c r="I99" s="653"/>
    </row>
    <row r="100" spans="6:9" ht="15.95" hidden="1" customHeight="1" outlineLevel="1">
      <c r="F100" s="654"/>
      <c r="G100" s="652"/>
      <c r="H100" s="142"/>
      <c r="I100" s="653"/>
    </row>
    <row r="101" spans="6:9" ht="15.95" hidden="1" customHeight="1" outlineLevel="1">
      <c r="F101" s="655"/>
      <c r="G101" s="657"/>
      <c r="H101" s="216"/>
      <c r="I101" s="659"/>
    </row>
    <row r="102" spans="6:9" ht="15.95" hidden="1" customHeight="1" outlineLevel="1" thickBot="1">
      <c r="F102" s="656"/>
      <c r="G102" s="658"/>
      <c r="H102" s="329"/>
      <c r="I102" s="66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4" customWidth="1"/>
    <col min="2" max="2" width="15.33203125" style="364" customWidth="1"/>
    <col min="3" max="3" width="13.6640625" style="364" customWidth="1"/>
    <col min="4" max="4" width="15.88671875" style="364" customWidth="1"/>
    <col min="5" max="5" width="10.109375" style="364" customWidth="1"/>
    <col min="6" max="6" width="10.33203125" style="364" customWidth="1"/>
    <col min="7" max="7" width="10.109375" style="364" customWidth="1"/>
    <col min="8" max="8" width="10.21875" style="364" customWidth="1"/>
    <col min="9" max="9" width="11.109375" style="364" customWidth="1"/>
    <col min="10" max="10" width="11" style="364" customWidth="1"/>
    <col min="11" max="11" width="10.88671875" style="364" customWidth="1"/>
    <col min="12" max="12" width="10" style="364" customWidth="1"/>
    <col min="13" max="13" width="9.44140625" style="364" bestFit="1" customWidth="1"/>
    <col min="14" max="14" width="9.88671875" style="364" customWidth="1"/>
    <col min="15" max="15" width="9.44140625" style="364" customWidth="1"/>
    <col min="16" max="16" width="11.109375" style="364" customWidth="1"/>
    <col min="17" max="17" width="13" style="364" customWidth="1"/>
    <col min="18" max="18" width="12.33203125" style="364" customWidth="1"/>
    <col min="19" max="34" width="9.44140625" style="364" bestFit="1" customWidth="1"/>
    <col min="35" max="16384" width="8.88671875" style="364"/>
  </cols>
  <sheetData>
    <row r="1" spans="3:21" ht="20.100000000000001" customHeight="1" thickBot="1">
      <c r="C1" s="343" t="s">
        <v>285</v>
      </c>
      <c r="G1" s="343" t="s">
        <v>618</v>
      </c>
      <c r="L1" s="343" t="s">
        <v>233</v>
      </c>
      <c r="S1" s="343" t="s">
        <v>234</v>
      </c>
    </row>
    <row r="2" spans="3:21" ht="36.75" customHeight="1">
      <c r="C2" s="374" t="s">
        <v>216</v>
      </c>
      <c r="D2" s="375" t="s">
        <v>609</v>
      </c>
      <c r="E2" s="375" t="s">
        <v>213</v>
      </c>
      <c r="F2" s="375" t="s">
        <v>220</v>
      </c>
      <c r="G2" s="375" t="s">
        <v>221</v>
      </c>
      <c r="H2" s="375" t="s">
        <v>161</v>
      </c>
      <c r="I2" s="375" t="s">
        <v>222</v>
      </c>
      <c r="J2" s="376" t="s">
        <v>223</v>
      </c>
      <c r="L2" s="374" t="s">
        <v>213</v>
      </c>
      <c r="M2" s="375" t="s">
        <v>217</v>
      </c>
      <c r="N2" s="375" t="s">
        <v>218</v>
      </c>
      <c r="O2" s="375" t="s">
        <v>219</v>
      </c>
      <c r="P2" s="375" t="s">
        <v>235</v>
      </c>
      <c r="Q2" s="376" t="s">
        <v>236</v>
      </c>
      <c r="S2" s="374" t="s">
        <v>221</v>
      </c>
      <c r="T2" s="375" t="s">
        <v>224</v>
      </c>
      <c r="U2" s="376" t="s">
        <v>225</v>
      </c>
    </row>
    <row r="3" spans="3:21" ht="20.100000000000001" customHeight="1">
      <c r="C3" s="243" t="s">
        <v>226</v>
      </c>
      <c r="D3" s="244">
        <v>2880</v>
      </c>
      <c r="E3" s="244">
        <v>100</v>
      </c>
      <c r="F3" s="244">
        <v>3.4</v>
      </c>
      <c r="G3" s="244">
        <v>46.5</v>
      </c>
      <c r="H3" s="244">
        <v>43.1</v>
      </c>
      <c r="I3" s="244">
        <v>0.125</v>
      </c>
      <c r="J3" s="301">
        <v>2.9754133123546778</v>
      </c>
      <c r="K3" s="294"/>
      <c r="L3" s="243">
        <v>100</v>
      </c>
      <c r="M3" s="244">
        <v>0.125</v>
      </c>
      <c r="N3" s="244">
        <v>0.125</v>
      </c>
      <c r="O3" s="244">
        <v>138</v>
      </c>
      <c r="P3" s="244">
        <v>0.88329999999999997</v>
      </c>
      <c r="Q3" s="247">
        <v>9.0399999999999994E-2</v>
      </c>
      <c r="S3" s="306">
        <v>46.5</v>
      </c>
      <c r="T3" s="288">
        <v>5.5227334033962343</v>
      </c>
      <c r="U3" s="301">
        <v>40.977266596603769</v>
      </c>
    </row>
    <row r="4" spans="3:21" ht="20.100000000000001" customHeight="1">
      <c r="C4" s="204" t="s">
        <v>227</v>
      </c>
      <c r="D4" s="205">
        <v>2880</v>
      </c>
      <c r="E4" s="205">
        <v>100</v>
      </c>
      <c r="F4" s="205">
        <v>3.4</v>
      </c>
      <c r="G4" s="205">
        <v>46.5</v>
      </c>
      <c r="H4" s="205">
        <v>43.1</v>
      </c>
      <c r="I4" s="205">
        <v>0.125</v>
      </c>
      <c r="J4" s="206">
        <v>2.9754133123546778</v>
      </c>
      <c r="K4" s="294"/>
      <c r="L4" s="204">
        <v>100</v>
      </c>
      <c r="M4" s="205">
        <v>0.125</v>
      </c>
      <c r="N4" s="205">
        <v>0.125</v>
      </c>
      <c r="O4" s="205">
        <v>138</v>
      </c>
      <c r="P4" s="205">
        <v>0.88329999999999997</v>
      </c>
      <c r="Q4" s="208">
        <v>9.0399999999999994E-2</v>
      </c>
      <c r="S4" s="259">
        <v>46.5</v>
      </c>
      <c r="T4" s="211">
        <v>5.5227334033962343</v>
      </c>
      <c r="U4" s="206">
        <v>40.977266596603769</v>
      </c>
    </row>
    <row r="5" spans="3:21" ht="20.100000000000001" customHeight="1">
      <c r="C5" s="243"/>
      <c r="D5" s="244"/>
      <c r="E5" s="244"/>
      <c r="F5" s="244"/>
      <c r="G5" s="244"/>
      <c r="H5" s="244"/>
      <c r="I5" s="244"/>
      <c r="J5" s="301"/>
      <c r="K5" s="294"/>
      <c r="L5" s="243"/>
      <c r="M5" s="244"/>
      <c r="N5" s="244"/>
      <c r="O5" s="244"/>
      <c r="P5" s="244"/>
      <c r="Q5" s="247"/>
      <c r="S5" s="306"/>
      <c r="T5" s="288"/>
      <c r="U5" s="301"/>
    </row>
    <row r="6" spans="3:21" ht="20.100000000000001" customHeight="1">
      <c r="C6" s="204"/>
      <c r="D6" s="205"/>
      <c r="E6" s="205"/>
      <c r="F6" s="205"/>
      <c r="G6" s="205"/>
      <c r="H6" s="205"/>
      <c r="I6" s="205"/>
      <c r="J6" s="206"/>
      <c r="K6" s="294"/>
      <c r="L6" s="204"/>
      <c r="M6" s="205"/>
      <c r="N6" s="205"/>
      <c r="O6" s="205"/>
      <c r="P6" s="205"/>
      <c r="Q6" s="208"/>
      <c r="S6" s="259"/>
      <c r="T6" s="211"/>
      <c r="U6" s="206"/>
    </row>
    <row r="7" spans="3:21" ht="20.100000000000001" customHeight="1">
      <c r="C7" s="243"/>
      <c r="D7" s="244"/>
      <c r="E7" s="244"/>
      <c r="F7" s="244"/>
      <c r="G7" s="244"/>
      <c r="H7" s="244"/>
      <c r="I7" s="244"/>
      <c r="J7" s="301"/>
      <c r="K7" s="294"/>
      <c r="L7" s="243"/>
      <c r="M7" s="244"/>
      <c r="N7" s="244"/>
      <c r="O7" s="244"/>
      <c r="P7" s="244"/>
      <c r="Q7" s="247"/>
      <c r="S7" s="306"/>
      <c r="T7" s="288"/>
      <c r="U7" s="301"/>
    </row>
    <row r="8" spans="3:21" ht="20.100000000000001" customHeight="1">
      <c r="C8" s="204"/>
      <c r="D8" s="205"/>
      <c r="E8" s="205"/>
      <c r="F8" s="205"/>
      <c r="G8" s="205"/>
      <c r="H8" s="205"/>
      <c r="I8" s="205"/>
      <c r="J8" s="206"/>
      <c r="K8" s="294"/>
      <c r="L8" s="204"/>
      <c r="M8" s="205"/>
      <c r="N8" s="205"/>
      <c r="O8" s="205"/>
      <c r="P8" s="205"/>
      <c r="Q8" s="208"/>
      <c r="S8" s="204"/>
      <c r="T8" s="211"/>
      <c r="U8" s="206"/>
    </row>
    <row r="9" spans="3:21" ht="20.100000000000001" customHeight="1">
      <c r="C9" s="243"/>
      <c r="D9" s="244"/>
      <c r="E9" s="244"/>
      <c r="F9" s="244"/>
      <c r="G9" s="244"/>
      <c r="H9" s="244"/>
      <c r="I9" s="244"/>
      <c r="J9" s="301"/>
      <c r="K9" s="294"/>
      <c r="L9" s="243"/>
      <c r="M9" s="244"/>
      <c r="N9" s="244"/>
      <c r="O9" s="244"/>
      <c r="P9" s="244"/>
      <c r="Q9" s="247"/>
      <c r="S9" s="243"/>
      <c r="T9" s="288"/>
      <c r="U9" s="301"/>
    </row>
    <row r="10" spans="3:21" ht="20.100000000000001" customHeight="1">
      <c r="C10" s="204"/>
      <c r="D10" s="205"/>
      <c r="E10" s="205"/>
      <c r="F10" s="205"/>
      <c r="G10" s="205"/>
      <c r="H10" s="205"/>
      <c r="I10" s="205"/>
      <c r="J10" s="206"/>
      <c r="K10" s="294"/>
      <c r="L10" s="204"/>
      <c r="M10" s="205"/>
      <c r="N10" s="205"/>
      <c r="O10" s="205"/>
      <c r="P10" s="205"/>
      <c r="Q10" s="208"/>
      <c r="S10" s="204"/>
      <c r="T10" s="211"/>
      <c r="U10" s="206"/>
    </row>
    <row r="11" spans="3:21" ht="20.100000000000001" customHeight="1">
      <c r="C11" s="243"/>
      <c r="D11" s="244"/>
      <c r="E11" s="244"/>
      <c r="F11" s="244"/>
      <c r="G11" s="244"/>
      <c r="H11" s="244"/>
      <c r="I11" s="244"/>
      <c r="J11" s="301"/>
      <c r="K11" s="294"/>
      <c r="L11" s="243"/>
      <c r="M11" s="244"/>
      <c r="N11" s="244"/>
      <c r="O11" s="244"/>
      <c r="P11" s="244"/>
      <c r="Q11" s="247"/>
      <c r="S11" s="243"/>
      <c r="T11" s="288"/>
      <c r="U11" s="301"/>
    </row>
    <row r="12" spans="3:21" ht="20.100000000000001" customHeight="1">
      <c r="C12" s="204"/>
      <c r="D12" s="205"/>
      <c r="E12" s="205"/>
      <c r="F12" s="205"/>
      <c r="G12" s="205"/>
      <c r="H12" s="205"/>
      <c r="I12" s="205"/>
      <c r="J12" s="206"/>
      <c r="K12" s="294"/>
      <c r="L12" s="204"/>
      <c r="M12" s="205"/>
      <c r="N12" s="205"/>
      <c r="O12" s="205"/>
      <c r="P12" s="205"/>
      <c r="Q12" s="208"/>
      <c r="S12" s="204"/>
      <c r="T12" s="211"/>
      <c r="U12" s="206"/>
    </row>
    <row r="13" spans="3:21" ht="20.100000000000001" hidden="1" customHeight="1" outlineLevel="1">
      <c r="C13" s="243"/>
      <c r="D13" s="244"/>
      <c r="E13" s="244"/>
      <c r="F13" s="244"/>
      <c r="G13" s="244"/>
      <c r="H13" s="244"/>
      <c r="I13" s="244"/>
      <c r="J13" s="301"/>
      <c r="K13" s="294"/>
      <c r="L13" s="243"/>
      <c r="M13" s="244"/>
      <c r="N13" s="244"/>
      <c r="O13" s="244"/>
      <c r="P13" s="244"/>
      <c r="Q13" s="247"/>
      <c r="S13" s="243"/>
      <c r="T13" s="288"/>
      <c r="U13" s="301"/>
    </row>
    <row r="14" spans="3:21" ht="20.100000000000001" hidden="1" customHeight="1" outlineLevel="1">
      <c r="C14" s="204"/>
      <c r="D14" s="205"/>
      <c r="E14" s="205"/>
      <c r="F14" s="205"/>
      <c r="G14" s="205"/>
      <c r="H14" s="205"/>
      <c r="I14" s="205"/>
      <c r="J14" s="206"/>
      <c r="K14" s="294"/>
      <c r="L14" s="204"/>
      <c r="M14" s="205"/>
      <c r="N14" s="205"/>
      <c r="O14" s="205"/>
      <c r="P14" s="205"/>
      <c r="Q14" s="208"/>
      <c r="S14" s="204"/>
      <c r="T14" s="211"/>
      <c r="U14" s="206"/>
    </row>
    <row r="15" spans="3:21" ht="20.100000000000001" hidden="1" customHeight="1" outlineLevel="1">
      <c r="C15" s="243"/>
      <c r="D15" s="244"/>
      <c r="E15" s="244"/>
      <c r="F15" s="244"/>
      <c r="G15" s="244"/>
      <c r="H15" s="244"/>
      <c r="I15" s="244"/>
      <c r="J15" s="301"/>
      <c r="K15" s="294"/>
      <c r="L15" s="243"/>
      <c r="M15" s="244"/>
      <c r="N15" s="244"/>
      <c r="O15" s="244"/>
      <c r="P15" s="244"/>
      <c r="Q15" s="247"/>
      <c r="S15" s="243"/>
      <c r="T15" s="288"/>
      <c r="U15" s="301"/>
    </row>
    <row r="16" spans="3:21" ht="20.100000000000001" hidden="1" customHeight="1" outlineLevel="1">
      <c r="C16" s="204"/>
      <c r="D16" s="205"/>
      <c r="E16" s="205"/>
      <c r="F16" s="205"/>
      <c r="G16" s="205"/>
      <c r="H16" s="205"/>
      <c r="I16" s="205"/>
      <c r="J16" s="206"/>
      <c r="K16" s="294"/>
      <c r="L16" s="204"/>
      <c r="M16" s="205"/>
      <c r="N16" s="205"/>
      <c r="O16" s="205"/>
      <c r="P16" s="205"/>
      <c r="Q16" s="208"/>
      <c r="S16" s="204"/>
      <c r="T16" s="211"/>
      <c r="U16" s="206"/>
    </row>
    <row r="17" spans="3:21" ht="20.100000000000001" hidden="1" customHeight="1" outlineLevel="1">
      <c r="C17" s="243"/>
      <c r="D17" s="244"/>
      <c r="E17" s="244"/>
      <c r="F17" s="244"/>
      <c r="G17" s="244"/>
      <c r="H17" s="244"/>
      <c r="I17" s="244"/>
      <c r="J17" s="301"/>
      <c r="K17" s="294"/>
      <c r="L17" s="243"/>
      <c r="M17" s="244"/>
      <c r="N17" s="244"/>
      <c r="O17" s="244"/>
      <c r="P17" s="244"/>
      <c r="Q17" s="247"/>
      <c r="S17" s="243"/>
      <c r="T17" s="288"/>
      <c r="U17" s="301"/>
    </row>
    <row r="18" spans="3:21" ht="20.100000000000001" hidden="1" customHeight="1" outlineLevel="1">
      <c r="C18" s="204"/>
      <c r="D18" s="205"/>
      <c r="E18" s="205"/>
      <c r="F18" s="205"/>
      <c r="G18" s="205"/>
      <c r="H18" s="205"/>
      <c r="I18" s="205"/>
      <c r="J18" s="206"/>
      <c r="K18" s="294"/>
      <c r="L18" s="204"/>
      <c r="M18" s="205"/>
      <c r="N18" s="205"/>
      <c r="O18" s="205"/>
      <c r="P18" s="205"/>
      <c r="Q18" s="208"/>
      <c r="S18" s="204"/>
      <c r="T18" s="211"/>
      <c r="U18" s="206"/>
    </row>
    <row r="19" spans="3:21" ht="20.100000000000001" hidden="1" customHeight="1" outlineLevel="1">
      <c r="C19" s="243"/>
      <c r="D19" s="244"/>
      <c r="E19" s="244"/>
      <c r="F19" s="244"/>
      <c r="G19" s="244"/>
      <c r="H19" s="244"/>
      <c r="I19" s="244"/>
      <c r="J19" s="301"/>
      <c r="K19" s="294"/>
      <c r="L19" s="243"/>
      <c r="M19" s="244"/>
      <c r="N19" s="244"/>
      <c r="O19" s="244"/>
      <c r="P19" s="244"/>
      <c r="Q19" s="247"/>
      <c r="S19" s="243"/>
      <c r="T19" s="288"/>
      <c r="U19" s="301"/>
    </row>
    <row r="20" spans="3:21" ht="20.100000000000001" hidden="1" customHeight="1" outlineLevel="1">
      <c r="C20" s="204"/>
      <c r="D20" s="205"/>
      <c r="E20" s="205"/>
      <c r="F20" s="205"/>
      <c r="G20" s="205"/>
      <c r="H20" s="205"/>
      <c r="I20" s="205"/>
      <c r="J20" s="206"/>
      <c r="K20" s="294"/>
      <c r="L20" s="204"/>
      <c r="M20" s="205"/>
      <c r="N20" s="205"/>
      <c r="O20" s="205"/>
      <c r="P20" s="205"/>
      <c r="Q20" s="208"/>
      <c r="S20" s="204"/>
      <c r="T20" s="211"/>
      <c r="U20" s="206"/>
    </row>
    <row r="21" spans="3:21" ht="20.100000000000001" hidden="1" customHeight="1" outlineLevel="1">
      <c r="C21" s="243"/>
      <c r="D21" s="244"/>
      <c r="E21" s="244"/>
      <c r="F21" s="244"/>
      <c r="G21" s="244"/>
      <c r="H21" s="244"/>
      <c r="I21" s="244"/>
      <c r="J21" s="301"/>
      <c r="K21" s="294"/>
      <c r="L21" s="243"/>
      <c r="M21" s="244"/>
      <c r="N21" s="244"/>
      <c r="O21" s="244"/>
      <c r="P21" s="244"/>
      <c r="Q21" s="247"/>
      <c r="S21" s="243"/>
      <c r="T21" s="288"/>
      <c r="U21" s="301"/>
    </row>
    <row r="22" spans="3:21" ht="20.100000000000001" hidden="1" customHeight="1" outlineLevel="1">
      <c r="C22" s="204"/>
      <c r="D22" s="205"/>
      <c r="E22" s="205"/>
      <c r="F22" s="205"/>
      <c r="G22" s="205"/>
      <c r="H22" s="205"/>
      <c r="I22" s="205"/>
      <c r="J22" s="206"/>
      <c r="K22" s="294"/>
      <c r="L22" s="204"/>
      <c r="M22" s="205"/>
      <c r="N22" s="205"/>
      <c r="O22" s="205"/>
      <c r="P22" s="205"/>
      <c r="Q22" s="208"/>
      <c r="S22" s="204"/>
      <c r="T22" s="211"/>
      <c r="U22" s="206"/>
    </row>
    <row r="23" spans="3:21" ht="20.100000000000001" hidden="1" customHeight="1" outlineLevel="1">
      <c r="C23" s="243"/>
      <c r="D23" s="244"/>
      <c r="E23" s="244"/>
      <c r="F23" s="244"/>
      <c r="G23" s="244"/>
      <c r="H23" s="244"/>
      <c r="I23" s="244"/>
      <c r="J23" s="301"/>
      <c r="K23" s="294"/>
      <c r="L23" s="243"/>
      <c r="M23" s="244"/>
      <c r="N23" s="244"/>
      <c r="O23" s="244"/>
      <c r="P23" s="244"/>
      <c r="Q23" s="247"/>
      <c r="S23" s="243"/>
      <c r="T23" s="288"/>
      <c r="U23" s="301"/>
    </row>
    <row r="24" spans="3:21" ht="20.100000000000001" hidden="1" customHeight="1" outlineLevel="1">
      <c r="C24" s="204"/>
      <c r="D24" s="205"/>
      <c r="E24" s="205"/>
      <c r="F24" s="205"/>
      <c r="G24" s="205"/>
      <c r="H24" s="205"/>
      <c r="I24" s="205"/>
      <c r="J24" s="206"/>
      <c r="K24" s="294"/>
      <c r="L24" s="204"/>
      <c r="M24" s="205"/>
      <c r="N24" s="205"/>
      <c r="O24" s="205"/>
      <c r="P24" s="205"/>
      <c r="Q24" s="208"/>
      <c r="S24" s="204"/>
      <c r="T24" s="211"/>
      <c r="U24" s="206"/>
    </row>
    <row r="25" spans="3:21" ht="20.100000000000001" hidden="1" customHeight="1" outlineLevel="1">
      <c r="C25" s="243"/>
      <c r="D25" s="244"/>
      <c r="E25" s="244"/>
      <c r="F25" s="244"/>
      <c r="G25" s="244"/>
      <c r="H25" s="244"/>
      <c r="I25" s="244"/>
      <c r="J25" s="301"/>
      <c r="K25" s="294"/>
      <c r="L25" s="243"/>
      <c r="M25" s="244"/>
      <c r="N25" s="244"/>
      <c r="O25" s="244"/>
      <c r="P25" s="244"/>
      <c r="Q25" s="247"/>
      <c r="S25" s="243"/>
      <c r="T25" s="288"/>
      <c r="U25" s="301"/>
    </row>
    <row r="26" spans="3:21" ht="20.100000000000001" hidden="1" customHeight="1" outlineLevel="1">
      <c r="C26" s="204"/>
      <c r="D26" s="205"/>
      <c r="E26" s="205"/>
      <c r="F26" s="205"/>
      <c r="G26" s="205"/>
      <c r="H26" s="205"/>
      <c r="I26" s="205"/>
      <c r="J26" s="206"/>
      <c r="K26" s="294"/>
      <c r="L26" s="204"/>
      <c r="M26" s="205"/>
      <c r="N26" s="205"/>
      <c r="O26" s="205"/>
      <c r="P26" s="205"/>
      <c r="Q26" s="208"/>
      <c r="S26" s="204"/>
      <c r="T26" s="211"/>
      <c r="U26" s="206"/>
    </row>
    <row r="27" spans="3:21" ht="20.100000000000001" hidden="1" customHeight="1" outlineLevel="1">
      <c r="C27" s="243"/>
      <c r="D27" s="244"/>
      <c r="E27" s="244"/>
      <c r="F27" s="244"/>
      <c r="G27" s="244"/>
      <c r="H27" s="244"/>
      <c r="I27" s="244"/>
      <c r="J27" s="301"/>
      <c r="K27" s="294"/>
      <c r="L27" s="243"/>
      <c r="M27" s="244"/>
      <c r="N27" s="244"/>
      <c r="O27" s="244"/>
      <c r="P27" s="244"/>
      <c r="Q27" s="247"/>
      <c r="S27" s="243"/>
      <c r="T27" s="288"/>
      <c r="U27" s="301"/>
    </row>
    <row r="28" spans="3:21" ht="20.100000000000001" hidden="1" customHeight="1" outlineLevel="1">
      <c r="C28" s="204"/>
      <c r="D28" s="205"/>
      <c r="E28" s="205"/>
      <c r="F28" s="205"/>
      <c r="G28" s="205"/>
      <c r="H28" s="205"/>
      <c r="I28" s="205"/>
      <c r="J28" s="206"/>
      <c r="K28" s="294"/>
      <c r="L28" s="204"/>
      <c r="M28" s="205"/>
      <c r="N28" s="205"/>
      <c r="O28" s="205"/>
      <c r="P28" s="205"/>
      <c r="Q28" s="208"/>
      <c r="S28" s="204"/>
      <c r="T28" s="211"/>
      <c r="U28" s="206"/>
    </row>
    <row r="29" spans="3:21" ht="20.100000000000001" hidden="1" customHeight="1" outlineLevel="1">
      <c r="C29" s="243"/>
      <c r="D29" s="244"/>
      <c r="E29" s="244"/>
      <c r="F29" s="244"/>
      <c r="G29" s="244"/>
      <c r="H29" s="244"/>
      <c r="I29" s="244"/>
      <c r="J29" s="301"/>
      <c r="K29" s="294"/>
      <c r="L29" s="243"/>
      <c r="M29" s="244"/>
      <c r="N29" s="244"/>
      <c r="O29" s="244"/>
      <c r="P29" s="244"/>
      <c r="Q29" s="247"/>
      <c r="S29" s="243"/>
      <c r="T29" s="288"/>
      <c r="U29" s="301"/>
    </row>
    <row r="30" spans="3:21" ht="20.100000000000001" hidden="1" customHeight="1" outlineLevel="1">
      <c r="C30" s="204"/>
      <c r="D30" s="205"/>
      <c r="E30" s="205"/>
      <c r="F30" s="205"/>
      <c r="G30" s="205"/>
      <c r="H30" s="205"/>
      <c r="I30" s="205"/>
      <c r="J30" s="206"/>
      <c r="K30" s="294"/>
      <c r="L30" s="204"/>
      <c r="M30" s="205"/>
      <c r="N30" s="205"/>
      <c r="O30" s="205"/>
      <c r="P30" s="205"/>
      <c r="Q30" s="208"/>
      <c r="S30" s="204"/>
      <c r="T30" s="211"/>
      <c r="U30" s="206"/>
    </row>
    <row r="31" spans="3:21" ht="20.100000000000001" hidden="1" customHeight="1" outlineLevel="1">
      <c r="C31" s="243"/>
      <c r="D31" s="244"/>
      <c r="E31" s="244"/>
      <c r="F31" s="244"/>
      <c r="G31" s="244"/>
      <c r="H31" s="244"/>
      <c r="I31" s="244"/>
      <c r="J31" s="301"/>
      <c r="K31" s="294"/>
      <c r="L31" s="243"/>
      <c r="M31" s="244"/>
      <c r="N31" s="244"/>
      <c r="O31" s="244"/>
      <c r="P31" s="244"/>
      <c r="Q31" s="247"/>
      <c r="S31" s="243"/>
      <c r="T31" s="288"/>
      <c r="U31" s="301"/>
    </row>
    <row r="32" spans="3:21" ht="20.100000000000001" hidden="1" customHeight="1" outlineLevel="1">
      <c r="C32" s="204"/>
      <c r="D32" s="205"/>
      <c r="E32" s="205"/>
      <c r="F32" s="205"/>
      <c r="G32" s="205"/>
      <c r="H32" s="205"/>
      <c r="I32" s="205"/>
      <c r="J32" s="206"/>
      <c r="K32" s="294"/>
      <c r="L32" s="204"/>
      <c r="M32" s="205"/>
      <c r="N32" s="205"/>
      <c r="O32" s="205"/>
      <c r="P32" s="205"/>
      <c r="Q32" s="208"/>
      <c r="S32" s="204"/>
      <c r="T32" s="211"/>
      <c r="U32" s="206"/>
    </row>
    <row r="33" spans="3:36" ht="20.100000000000001" hidden="1" customHeight="1" outlineLevel="1" thickBot="1">
      <c r="C33" s="248"/>
      <c r="D33" s="302"/>
      <c r="E33" s="302"/>
      <c r="F33" s="302"/>
      <c r="G33" s="302"/>
      <c r="H33" s="302"/>
      <c r="I33" s="302"/>
      <c r="J33" s="303"/>
      <c r="K33" s="294"/>
      <c r="L33" s="304"/>
      <c r="M33" s="302"/>
      <c r="N33" s="302"/>
      <c r="O33" s="302"/>
      <c r="P33" s="302"/>
      <c r="Q33" s="305"/>
      <c r="S33" s="304"/>
      <c r="T33" s="307"/>
      <c r="U33" s="303"/>
    </row>
    <row r="34" spans="3:36" ht="20.100000000000001" hidden="1" customHeight="1" outlineLevel="1">
      <c r="D34" s="294"/>
      <c r="E34" s="294"/>
      <c r="F34" s="294"/>
      <c r="G34" s="294"/>
      <c r="H34" s="294"/>
      <c r="I34" s="294"/>
      <c r="J34" s="365"/>
      <c r="K34" s="294"/>
      <c r="L34" s="294"/>
      <c r="M34" s="294"/>
      <c r="N34" s="294"/>
      <c r="O34" s="294"/>
      <c r="P34" s="294"/>
      <c r="Q34" s="294"/>
      <c r="S34" s="294"/>
      <c r="T34" s="365"/>
      <c r="U34" s="365"/>
    </row>
    <row r="35" spans="3:36" ht="20.100000000000001" customHeight="1" collapsed="1">
      <c r="H35" s="366"/>
      <c r="J35" s="367"/>
      <c r="K35" s="367"/>
      <c r="L35" s="367"/>
      <c r="M35" s="367"/>
      <c r="N35" s="367"/>
      <c r="O35" s="367"/>
      <c r="P35" s="367"/>
      <c r="S35" s="294"/>
      <c r="T35" s="365"/>
      <c r="U35" s="365"/>
    </row>
    <row r="36" spans="3:36" s="294" customFormat="1" ht="26.25" customHeight="1" thickBot="1">
      <c r="D36" s="343" t="s">
        <v>240</v>
      </c>
      <c r="F36" s="343" t="s">
        <v>617</v>
      </c>
      <c r="H36" s="346"/>
      <c r="T36" s="365"/>
      <c r="U36" s="365"/>
    </row>
    <row r="37" spans="3:36" s="368" customFormat="1" ht="36" customHeight="1">
      <c r="D37" s="377" t="s">
        <v>260</v>
      </c>
      <c r="E37" s="378" t="s">
        <v>226</v>
      </c>
      <c r="F37" s="378" t="s">
        <v>227</v>
      </c>
      <c r="G37" s="378"/>
      <c r="H37" s="393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9"/>
      <c r="AI37" s="293"/>
      <c r="AJ37" s="294"/>
    </row>
    <row r="38" spans="3:36" s="294" customFormat="1" ht="23.1" customHeight="1">
      <c r="D38" s="308" t="s">
        <v>243</v>
      </c>
      <c r="E38" s="309">
        <v>1.7736499999999999</v>
      </c>
      <c r="F38" s="209">
        <v>1.7736499999999999</v>
      </c>
      <c r="G38" s="309"/>
      <c r="H38" s="209"/>
      <c r="I38" s="309"/>
      <c r="J38" s="212"/>
      <c r="K38" s="310"/>
      <c r="L38" s="212"/>
      <c r="M38" s="310"/>
      <c r="N38" s="212"/>
      <c r="O38" s="310"/>
      <c r="P38" s="212"/>
      <c r="Q38" s="309"/>
      <c r="R38" s="209"/>
      <c r="S38" s="309"/>
      <c r="T38" s="209"/>
      <c r="U38" s="309"/>
      <c r="V38" s="209"/>
      <c r="W38" s="309"/>
      <c r="X38" s="209"/>
      <c r="Y38" s="309"/>
      <c r="Z38" s="209"/>
      <c r="AA38" s="309"/>
      <c r="AB38" s="209"/>
      <c r="AC38" s="309"/>
      <c r="AD38" s="209"/>
      <c r="AE38" s="309"/>
      <c r="AF38" s="209"/>
      <c r="AG38" s="309"/>
      <c r="AH38" s="260"/>
    </row>
    <row r="39" spans="3:36" s="294" customFormat="1" ht="23.1" customHeight="1">
      <c r="D39" s="308" t="s">
        <v>231</v>
      </c>
      <c r="E39" s="309">
        <v>1.285E-2</v>
      </c>
      <c r="F39" s="209">
        <v>1.285E-2</v>
      </c>
      <c r="G39" s="309"/>
      <c r="H39" s="209"/>
      <c r="I39" s="309"/>
      <c r="J39" s="212"/>
      <c r="K39" s="310"/>
      <c r="L39" s="212"/>
      <c r="M39" s="310"/>
      <c r="N39" s="212"/>
      <c r="O39" s="310"/>
      <c r="P39" s="212"/>
      <c r="Q39" s="309"/>
      <c r="R39" s="209"/>
      <c r="S39" s="309"/>
      <c r="T39" s="209"/>
      <c r="U39" s="309"/>
      <c r="V39" s="209"/>
      <c r="W39" s="309"/>
      <c r="X39" s="209"/>
      <c r="Y39" s="309"/>
      <c r="Z39" s="209"/>
      <c r="AA39" s="309"/>
      <c r="AB39" s="209"/>
      <c r="AC39" s="309"/>
      <c r="AD39" s="209"/>
      <c r="AE39" s="309"/>
      <c r="AF39" s="209"/>
      <c r="AG39" s="309"/>
      <c r="AH39" s="260"/>
    </row>
    <row r="40" spans="3:36" s="294" customFormat="1" ht="23.1" customHeight="1">
      <c r="D40" s="308" t="s">
        <v>232</v>
      </c>
      <c r="E40" s="311">
        <v>2.9339999999999998E-4</v>
      </c>
      <c r="F40" s="210">
        <v>2.9339999999999998E-4</v>
      </c>
      <c r="G40" s="311"/>
      <c r="H40" s="210"/>
      <c r="I40" s="311"/>
      <c r="J40" s="213"/>
      <c r="K40" s="312"/>
      <c r="L40" s="213"/>
      <c r="M40" s="312"/>
      <c r="N40" s="213"/>
      <c r="O40" s="312"/>
      <c r="P40" s="213"/>
      <c r="Q40" s="311"/>
      <c r="R40" s="210"/>
      <c r="S40" s="311"/>
      <c r="T40" s="210"/>
      <c r="U40" s="311"/>
      <c r="V40" s="210"/>
      <c r="W40" s="311"/>
      <c r="X40" s="210"/>
      <c r="Y40" s="311"/>
      <c r="Z40" s="210"/>
      <c r="AA40" s="311"/>
      <c r="AB40" s="210"/>
      <c r="AC40" s="311"/>
      <c r="AD40" s="210"/>
      <c r="AE40" s="311"/>
      <c r="AF40" s="210"/>
      <c r="AG40" s="311"/>
      <c r="AH40" s="217"/>
    </row>
    <row r="41" spans="3:36" s="294" customFormat="1" ht="23.1" customHeight="1">
      <c r="D41" s="308" t="s">
        <v>610</v>
      </c>
      <c r="E41" s="309">
        <v>0.54159999999999997</v>
      </c>
      <c r="F41" s="209">
        <v>0.54159999999999997</v>
      </c>
      <c r="G41" s="309"/>
      <c r="H41" s="209"/>
      <c r="I41" s="309"/>
      <c r="J41" s="212"/>
      <c r="K41" s="310"/>
      <c r="L41" s="212"/>
      <c r="M41" s="310"/>
      <c r="N41" s="212"/>
      <c r="O41" s="310"/>
      <c r="P41" s="212"/>
      <c r="Q41" s="309"/>
      <c r="R41" s="209"/>
      <c r="S41" s="309"/>
      <c r="T41" s="209"/>
      <c r="U41" s="309"/>
      <c r="V41" s="209"/>
      <c r="W41" s="309"/>
      <c r="X41" s="209"/>
      <c r="Y41" s="309"/>
      <c r="Z41" s="209"/>
      <c r="AA41" s="309"/>
      <c r="AB41" s="209"/>
      <c r="AC41" s="309"/>
      <c r="AD41" s="209"/>
      <c r="AE41" s="309"/>
      <c r="AF41" s="209"/>
      <c r="AG41" s="309"/>
      <c r="AH41" s="260"/>
    </row>
    <row r="42" spans="3:36" s="294" customFormat="1" ht="23.1" customHeight="1">
      <c r="D42" s="308" t="s">
        <v>242</v>
      </c>
      <c r="E42" s="288">
        <v>43.1</v>
      </c>
      <c r="F42" s="211">
        <v>43.1</v>
      </c>
      <c r="G42" s="288"/>
      <c r="H42" s="211"/>
      <c r="I42" s="288"/>
      <c r="J42" s="214"/>
      <c r="K42" s="314"/>
      <c r="L42" s="214"/>
      <c r="M42" s="314"/>
      <c r="N42" s="214"/>
      <c r="O42" s="314"/>
      <c r="P42" s="214"/>
      <c r="Q42" s="288"/>
      <c r="R42" s="211"/>
      <c r="S42" s="288"/>
      <c r="T42" s="211"/>
      <c r="U42" s="288"/>
      <c r="V42" s="211"/>
      <c r="W42" s="288"/>
      <c r="X42" s="211"/>
      <c r="Y42" s="288"/>
      <c r="Z42" s="211"/>
      <c r="AA42" s="288"/>
      <c r="AB42" s="211"/>
      <c r="AC42" s="288"/>
      <c r="AD42" s="211"/>
      <c r="AE42" s="288"/>
      <c r="AF42" s="211"/>
      <c r="AG42" s="288"/>
      <c r="AH42" s="206"/>
    </row>
    <row r="43" spans="3:36" s="294" customFormat="1" ht="23.1" customHeight="1" thickBot="1">
      <c r="D43" s="315" t="s">
        <v>241</v>
      </c>
      <c r="E43" s="249">
        <v>138</v>
      </c>
      <c r="F43" s="207">
        <v>138</v>
      </c>
      <c r="G43" s="249"/>
      <c r="H43" s="207"/>
      <c r="I43" s="249"/>
      <c r="J43" s="215"/>
      <c r="K43" s="316"/>
      <c r="L43" s="215"/>
      <c r="M43" s="316"/>
      <c r="N43" s="215"/>
      <c r="O43" s="316"/>
      <c r="P43" s="215"/>
      <c r="Q43" s="249"/>
      <c r="R43" s="207"/>
      <c r="S43" s="249"/>
      <c r="T43" s="261"/>
      <c r="U43" s="317"/>
      <c r="V43" s="207"/>
      <c r="W43" s="249"/>
      <c r="X43" s="207"/>
      <c r="Y43" s="249"/>
      <c r="Z43" s="207"/>
      <c r="AA43" s="249"/>
      <c r="AB43" s="207"/>
      <c r="AC43" s="249"/>
      <c r="AD43" s="207"/>
      <c r="AE43" s="249"/>
      <c r="AF43" s="207"/>
      <c r="AG43" s="249"/>
      <c r="AH43" s="262"/>
    </row>
    <row r="44" spans="3:36" ht="20.100000000000001" customHeight="1">
      <c r="D44" s="369"/>
      <c r="E44" s="369"/>
      <c r="F44" s="367"/>
      <c r="G44" s="369"/>
      <c r="H44" s="366"/>
      <c r="T44" s="370"/>
      <c r="U44" s="370"/>
    </row>
    <row r="45" spans="3:36" ht="20.100000000000001" customHeight="1">
      <c r="D45" s="294"/>
      <c r="E45" s="294"/>
      <c r="F45" s="294"/>
      <c r="G45" s="294"/>
      <c r="H45" s="294"/>
      <c r="I45" s="294"/>
      <c r="J45" s="365"/>
      <c r="K45" s="294"/>
      <c r="L45" s="294"/>
      <c r="M45" s="294"/>
      <c r="N45" s="294"/>
      <c r="O45" s="294"/>
      <c r="P45" s="294"/>
      <c r="Q45" s="294"/>
      <c r="T45" s="370"/>
      <c r="U45" s="370"/>
    </row>
    <row r="46" spans="3:36" ht="32.25" customHeight="1" thickBot="1">
      <c r="C46" s="343" t="s">
        <v>611</v>
      </c>
      <c r="D46" s="294"/>
      <c r="E46" s="294"/>
      <c r="F46" s="294"/>
      <c r="G46" s="294"/>
      <c r="H46" s="371"/>
      <c r="I46" s="343"/>
      <c r="J46" s="372"/>
      <c r="K46" s="294"/>
      <c r="L46" s="294"/>
      <c r="M46" s="294"/>
      <c r="N46" s="294"/>
      <c r="P46" s="371"/>
      <c r="Q46" s="294"/>
      <c r="R46" s="294"/>
    </row>
    <row r="47" spans="3:36" s="294" customFormat="1" ht="33.75" customHeight="1">
      <c r="C47" s="380" t="s">
        <v>274</v>
      </c>
      <c r="D47" s="381" t="s">
        <v>644</v>
      </c>
      <c r="E47" s="381" t="s">
        <v>658</v>
      </c>
      <c r="F47" s="382" t="s">
        <v>659</v>
      </c>
      <c r="H47" s="380" t="s">
        <v>206</v>
      </c>
      <c r="I47" s="381" t="s">
        <v>660</v>
      </c>
      <c r="J47" s="383" t="s">
        <v>107</v>
      </c>
      <c r="K47" s="381" t="s">
        <v>664</v>
      </c>
      <c r="L47" s="381" t="s">
        <v>661</v>
      </c>
      <c r="M47" s="381" t="s">
        <v>211</v>
      </c>
      <c r="N47" s="382" t="s">
        <v>210</v>
      </c>
      <c r="P47" s="380" t="s">
        <v>206</v>
      </c>
      <c r="Q47" s="381" t="s">
        <v>662</v>
      </c>
      <c r="R47" s="382" t="s">
        <v>663</v>
      </c>
    </row>
    <row r="48" spans="3:36" ht="20.100000000000001" customHeight="1">
      <c r="C48" s="661" t="s">
        <v>85</v>
      </c>
      <c r="D48" s="142" t="s">
        <v>645</v>
      </c>
      <c r="E48" s="309">
        <v>0.88329999999999997</v>
      </c>
      <c r="F48" s="313">
        <v>2.9339999999999998E-4</v>
      </c>
      <c r="G48" s="294"/>
      <c r="H48" s="332" t="s">
        <v>226</v>
      </c>
      <c r="I48" s="245">
        <v>78.3</v>
      </c>
      <c r="J48" s="245">
        <v>95.9</v>
      </c>
      <c r="K48" s="245">
        <v>85.8</v>
      </c>
      <c r="L48" s="245">
        <v>86.7</v>
      </c>
      <c r="M48" s="245">
        <v>95.9</v>
      </c>
      <c r="N48" s="333">
        <v>78.3</v>
      </c>
      <c r="P48" s="336" t="s">
        <v>226</v>
      </c>
      <c r="Q48" s="309">
        <v>-2.4190753783788232</v>
      </c>
      <c r="R48" s="337">
        <v>1.4039999999999999</v>
      </c>
    </row>
    <row r="49" spans="3:18" ht="20.100000000000001" customHeight="1">
      <c r="C49" s="662"/>
      <c r="D49" s="142" t="s">
        <v>646</v>
      </c>
      <c r="E49" s="309">
        <v>2.6640000000000001</v>
      </c>
      <c r="F49" s="247"/>
      <c r="G49" s="294"/>
      <c r="H49" s="220" t="s">
        <v>227</v>
      </c>
      <c r="I49" s="221">
        <v>78.3</v>
      </c>
      <c r="J49" s="221">
        <v>95.9</v>
      </c>
      <c r="K49" s="221">
        <v>85.8</v>
      </c>
      <c r="L49" s="221">
        <v>86.7</v>
      </c>
      <c r="M49" s="221">
        <v>95.9</v>
      </c>
      <c r="N49" s="222">
        <v>78.3</v>
      </c>
      <c r="P49" s="223" t="s">
        <v>227</v>
      </c>
      <c r="Q49" s="209">
        <v>-2.4190753783788232</v>
      </c>
      <c r="R49" s="224">
        <v>1.4039999999999999</v>
      </c>
    </row>
    <row r="50" spans="3:18" ht="20.100000000000001" customHeight="1">
      <c r="C50" s="663"/>
      <c r="D50" s="142" t="s">
        <v>647</v>
      </c>
      <c r="E50" s="241">
        <v>1.7736499999999999</v>
      </c>
      <c r="F50" s="242">
        <v>2.9339999999999998E-4</v>
      </c>
      <c r="G50" s="294"/>
      <c r="H50" s="332"/>
      <c r="I50" s="245"/>
      <c r="J50" s="245"/>
      <c r="K50" s="245"/>
      <c r="L50" s="245"/>
      <c r="M50" s="245"/>
      <c r="N50" s="333"/>
      <c r="P50" s="336"/>
      <c r="Q50" s="309"/>
      <c r="R50" s="337"/>
    </row>
    <row r="51" spans="3:18" ht="20.100000000000001" customHeight="1">
      <c r="C51" s="655" t="s">
        <v>154</v>
      </c>
      <c r="D51" s="216" t="s">
        <v>645</v>
      </c>
      <c r="E51" s="209">
        <v>0.88329999999999997</v>
      </c>
      <c r="F51" s="217">
        <v>2.9339999999999998E-4</v>
      </c>
      <c r="G51" s="294"/>
      <c r="H51" s="220"/>
      <c r="I51" s="221"/>
      <c r="J51" s="221"/>
      <c r="K51" s="221"/>
      <c r="L51" s="221"/>
      <c r="M51" s="221"/>
      <c r="N51" s="222"/>
      <c r="P51" s="223"/>
      <c r="Q51" s="209"/>
      <c r="R51" s="224"/>
    </row>
    <row r="52" spans="3:18" ht="20.100000000000001" customHeight="1">
      <c r="C52" s="655"/>
      <c r="D52" s="216" t="s">
        <v>646</v>
      </c>
      <c r="E52" s="209">
        <v>2.6640000000000001</v>
      </c>
      <c r="F52" s="208"/>
      <c r="G52" s="294"/>
      <c r="H52" s="332"/>
      <c r="I52" s="245"/>
      <c r="J52" s="245"/>
      <c r="K52" s="245"/>
      <c r="L52" s="245"/>
      <c r="M52" s="245"/>
      <c r="N52" s="333"/>
      <c r="P52" s="336"/>
      <c r="Q52" s="309"/>
      <c r="R52" s="337"/>
    </row>
    <row r="53" spans="3:18" ht="20.100000000000001" customHeight="1">
      <c r="C53" s="655"/>
      <c r="D53" s="216" t="s">
        <v>647</v>
      </c>
      <c r="E53" s="218">
        <v>1.7736499999999999</v>
      </c>
      <c r="F53" s="219">
        <v>2.9339999999999998E-4</v>
      </c>
      <c r="G53" s="294"/>
      <c r="H53" s="220"/>
      <c r="I53" s="221"/>
      <c r="J53" s="221"/>
      <c r="K53" s="221"/>
      <c r="L53" s="221"/>
      <c r="M53" s="221"/>
      <c r="N53" s="222"/>
      <c r="P53" s="223"/>
      <c r="Q53" s="209"/>
      <c r="R53" s="224"/>
    </row>
    <row r="54" spans="3:18" ht="20.100000000000001" customHeight="1">
      <c r="C54" s="654" t="s">
        <v>155</v>
      </c>
      <c r="D54" s="142" t="s">
        <v>645</v>
      </c>
      <c r="E54" s="309"/>
      <c r="F54" s="313"/>
      <c r="G54" s="294"/>
      <c r="H54" s="332"/>
      <c r="I54" s="245"/>
      <c r="J54" s="245"/>
      <c r="K54" s="245"/>
      <c r="L54" s="245"/>
      <c r="M54" s="245"/>
      <c r="N54" s="333"/>
      <c r="P54" s="336"/>
      <c r="Q54" s="309"/>
      <c r="R54" s="337"/>
    </row>
    <row r="55" spans="3:18" ht="20.100000000000001" customHeight="1">
      <c r="C55" s="654"/>
      <c r="D55" s="142" t="s">
        <v>646</v>
      </c>
      <c r="E55" s="309"/>
      <c r="F55" s="247"/>
      <c r="G55" s="294"/>
      <c r="H55" s="220"/>
      <c r="I55" s="221"/>
      <c r="J55" s="221"/>
      <c r="K55" s="221"/>
      <c r="L55" s="221"/>
      <c r="M55" s="221"/>
      <c r="N55" s="222"/>
      <c r="P55" s="223"/>
      <c r="Q55" s="209"/>
      <c r="R55" s="224"/>
    </row>
    <row r="56" spans="3:18" ht="20.100000000000001" customHeight="1">
      <c r="C56" s="654"/>
      <c r="D56" s="142" t="s">
        <v>647</v>
      </c>
      <c r="E56" s="241"/>
      <c r="F56" s="242"/>
      <c r="G56" s="294"/>
      <c r="H56" s="332"/>
      <c r="I56" s="245"/>
      <c r="J56" s="245"/>
      <c r="K56" s="245"/>
      <c r="L56" s="245"/>
      <c r="M56" s="245"/>
      <c r="N56" s="333"/>
      <c r="P56" s="336"/>
      <c r="Q56" s="309"/>
      <c r="R56" s="337"/>
    </row>
    <row r="57" spans="3:18" ht="20.100000000000001" customHeight="1">
      <c r="C57" s="655" t="s">
        <v>621</v>
      </c>
      <c r="D57" s="216" t="s">
        <v>645</v>
      </c>
      <c r="E57" s="209"/>
      <c r="F57" s="217"/>
      <c r="G57" s="294"/>
      <c r="H57" s="220"/>
      <c r="I57" s="221"/>
      <c r="J57" s="221"/>
      <c r="K57" s="221"/>
      <c r="L57" s="221"/>
      <c r="M57" s="221"/>
      <c r="N57" s="222"/>
      <c r="P57" s="223"/>
      <c r="Q57" s="209"/>
      <c r="R57" s="224"/>
    </row>
    <row r="58" spans="3:18" ht="20.100000000000001" customHeight="1">
      <c r="C58" s="655"/>
      <c r="D58" s="216" t="s">
        <v>646</v>
      </c>
      <c r="E58" s="209"/>
      <c r="F58" s="208"/>
      <c r="G58" s="294"/>
      <c r="H58" s="332"/>
      <c r="I58" s="245"/>
      <c r="J58" s="245"/>
      <c r="K58" s="245"/>
      <c r="L58" s="245"/>
      <c r="M58" s="245"/>
      <c r="N58" s="333"/>
      <c r="P58" s="336"/>
      <c r="Q58" s="309"/>
      <c r="R58" s="337"/>
    </row>
    <row r="59" spans="3:18" ht="20.100000000000001" customHeight="1">
      <c r="C59" s="655"/>
      <c r="D59" s="216" t="s">
        <v>647</v>
      </c>
      <c r="E59" s="218"/>
      <c r="F59" s="219"/>
      <c r="G59" s="294"/>
      <c r="H59" s="220"/>
      <c r="I59" s="221"/>
      <c r="J59" s="221"/>
      <c r="K59" s="221"/>
      <c r="L59" s="221"/>
      <c r="M59" s="221"/>
      <c r="N59" s="222"/>
      <c r="P59" s="223"/>
      <c r="Q59" s="209"/>
      <c r="R59" s="224"/>
    </row>
    <row r="60" spans="3:18" ht="20.100000000000001" customHeight="1">
      <c r="C60" s="654" t="s">
        <v>622</v>
      </c>
      <c r="D60" s="142" t="s">
        <v>645</v>
      </c>
      <c r="E60" s="309"/>
      <c r="F60" s="313"/>
      <c r="G60" s="294"/>
      <c r="H60" s="332"/>
      <c r="I60" s="245"/>
      <c r="J60" s="245"/>
      <c r="K60" s="245"/>
      <c r="L60" s="245"/>
      <c r="M60" s="245"/>
      <c r="N60" s="333"/>
      <c r="P60" s="336"/>
      <c r="Q60" s="309"/>
      <c r="R60" s="337"/>
    </row>
    <row r="61" spans="3:18" ht="20.100000000000001" customHeight="1">
      <c r="C61" s="654"/>
      <c r="D61" s="142" t="s">
        <v>646</v>
      </c>
      <c r="E61" s="309"/>
      <c r="F61" s="247"/>
      <c r="G61" s="294"/>
      <c r="H61" s="220"/>
      <c r="I61" s="221"/>
      <c r="J61" s="221"/>
      <c r="K61" s="221"/>
      <c r="L61" s="221"/>
      <c r="M61" s="221"/>
      <c r="N61" s="222"/>
      <c r="P61" s="223"/>
      <c r="Q61" s="209"/>
      <c r="R61" s="224"/>
    </row>
    <row r="62" spans="3:18" ht="20.100000000000001" customHeight="1">
      <c r="C62" s="654"/>
      <c r="D62" s="142" t="s">
        <v>647</v>
      </c>
      <c r="E62" s="241"/>
      <c r="F62" s="242"/>
      <c r="G62" s="294"/>
      <c r="H62" s="332"/>
      <c r="I62" s="334"/>
      <c r="J62" s="334"/>
      <c r="K62" s="334"/>
      <c r="L62" s="334"/>
      <c r="M62" s="334"/>
      <c r="N62" s="333"/>
      <c r="O62" s="294"/>
      <c r="P62" s="336"/>
      <c r="Q62" s="309"/>
      <c r="R62" s="337"/>
    </row>
    <row r="63" spans="3:18" ht="20.100000000000001" customHeight="1">
      <c r="C63" s="655" t="s">
        <v>666</v>
      </c>
      <c r="D63" s="216" t="s">
        <v>645</v>
      </c>
      <c r="E63" s="209"/>
      <c r="F63" s="217"/>
      <c r="H63" s="220"/>
      <c r="I63" s="221"/>
      <c r="J63" s="221"/>
      <c r="K63" s="221"/>
      <c r="L63" s="221"/>
      <c r="M63" s="221"/>
      <c r="N63" s="254"/>
      <c r="P63" s="223"/>
      <c r="Q63" s="209"/>
      <c r="R63" s="224"/>
    </row>
    <row r="64" spans="3:18" ht="20.100000000000001" customHeight="1">
      <c r="C64" s="655"/>
      <c r="D64" s="216" t="s">
        <v>646</v>
      </c>
      <c r="E64" s="209"/>
      <c r="F64" s="208"/>
      <c r="H64" s="332"/>
      <c r="I64" s="245"/>
      <c r="J64" s="245"/>
      <c r="K64" s="245"/>
      <c r="L64" s="245"/>
      <c r="M64" s="245"/>
      <c r="N64" s="335"/>
      <c r="P64" s="336"/>
      <c r="Q64" s="309"/>
      <c r="R64" s="337"/>
    </row>
    <row r="65" spans="3:18" ht="20.100000000000001" customHeight="1">
      <c r="C65" s="655"/>
      <c r="D65" s="216" t="s">
        <v>647</v>
      </c>
      <c r="E65" s="218"/>
      <c r="F65" s="219"/>
      <c r="H65" s="220"/>
      <c r="I65" s="221"/>
      <c r="J65" s="221"/>
      <c r="K65" s="221"/>
      <c r="L65" s="221"/>
      <c r="M65" s="221"/>
      <c r="N65" s="254"/>
      <c r="P65" s="223"/>
      <c r="Q65" s="209"/>
      <c r="R65" s="224"/>
    </row>
    <row r="66" spans="3:18" ht="20.100000000000001" customHeight="1">
      <c r="C66" s="654" t="s">
        <v>667</v>
      </c>
      <c r="D66" s="142" t="s">
        <v>645</v>
      </c>
      <c r="E66" s="309"/>
      <c r="F66" s="313"/>
      <c r="H66" s="332"/>
      <c r="I66" s="245"/>
      <c r="J66" s="245"/>
      <c r="K66" s="245"/>
      <c r="L66" s="245"/>
      <c r="M66" s="245"/>
      <c r="N66" s="335"/>
      <c r="P66" s="336"/>
      <c r="Q66" s="309"/>
      <c r="R66" s="337"/>
    </row>
    <row r="67" spans="3:18" ht="20.100000000000001" customHeight="1">
      <c r="C67" s="654"/>
      <c r="D67" s="142" t="s">
        <v>646</v>
      </c>
      <c r="E67" s="309"/>
      <c r="F67" s="247"/>
      <c r="H67" s="220"/>
      <c r="I67" s="221"/>
      <c r="J67" s="221"/>
      <c r="K67" s="221"/>
      <c r="L67" s="221"/>
      <c r="M67" s="221"/>
      <c r="N67" s="254"/>
      <c r="P67" s="223"/>
      <c r="Q67" s="209"/>
      <c r="R67" s="224"/>
    </row>
    <row r="68" spans="3:18" ht="20.100000000000001" customHeight="1">
      <c r="C68" s="654"/>
      <c r="D68" s="142" t="s">
        <v>647</v>
      </c>
      <c r="E68" s="241"/>
      <c r="F68" s="242"/>
      <c r="H68" s="332"/>
      <c r="I68" s="245"/>
      <c r="J68" s="245"/>
      <c r="K68" s="245"/>
      <c r="L68" s="245"/>
      <c r="M68" s="245"/>
      <c r="N68" s="335"/>
      <c r="P68" s="336"/>
      <c r="Q68" s="309"/>
      <c r="R68" s="337"/>
    </row>
    <row r="69" spans="3:18" ht="20.100000000000001" customHeight="1">
      <c r="C69" s="655" t="s">
        <v>597</v>
      </c>
      <c r="D69" s="216" t="s">
        <v>246</v>
      </c>
      <c r="E69" s="209"/>
      <c r="F69" s="217"/>
      <c r="H69" s="220"/>
      <c r="I69" s="221"/>
      <c r="J69" s="221"/>
      <c r="K69" s="221"/>
      <c r="L69" s="221"/>
      <c r="M69" s="221"/>
      <c r="N69" s="254"/>
      <c r="P69" s="223"/>
      <c r="Q69" s="209"/>
      <c r="R69" s="224"/>
    </row>
    <row r="70" spans="3:18" ht="20.100000000000001" customHeight="1">
      <c r="C70" s="655"/>
      <c r="D70" s="216" t="s">
        <v>247</v>
      </c>
      <c r="E70" s="209"/>
      <c r="F70" s="208"/>
      <c r="H70" s="332"/>
      <c r="I70" s="245"/>
      <c r="J70" s="245"/>
      <c r="K70" s="245"/>
      <c r="L70" s="245"/>
      <c r="M70" s="245"/>
      <c r="N70" s="335"/>
      <c r="P70" s="336"/>
      <c r="Q70" s="309"/>
      <c r="R70" s="337"/>
    </row>
    <row r="71" spans="3:18" ht="20.100000000000001" customHeight="1">
      <c r="C71" s="655"/>
      <c r="D71" s="216" t="s">
        <v>248</v>
      </c>
      <c r="E71" s="218"/>
      <c r="F71" s="219"/>
      <c r="H71" s="220"/>
      <c r="I71" s="221"/>
      <c r="J71" s="221"/>
      <c r="K71" s="221"/>
      <c r="L71" s="221"/>
      <c r="M71" s="221"/>
      <c r="N71" s="254"/>
      <c r="P71" s="223"/>
      <c r="Q71" s="209"/>
      <c r="R71" s="224"/>
    </row>
    <row r="72" spans="3:18" ht="20.100000000000001" customHeight="1">
      <c r="C72" s="654" t="s">
        <v>598</v>
      </c>
      <c r="D72" s="142" t="s">
        <v>246</v>
      </c>
      <c r="E72" s="309"/>
      <c r="F72" s="313"/>
      <c r="H72" s="332"/>
      <c r="I72" s="245"/>
      <c r="J72" s="245"/>
      <c r="K72" s="245"/>
      <c r="L72" s="245"/>
      <c r="M72" s="245"/>
      <c r="N72" s="335"/>
      <c r="P72" s="336"/>
      <c r="Q72" s="309"/>
      <c r="R72" s="337"/>
    </row>
    <row r="73" spans="3:18" ht="20.100000000000001" customHeight="1">
      <c r="C73" s="654"/>
      <c r="D73" s="142" t="s">
        <v>247</v>
      </c>
      <c r="E73" s="309"/>
      <c r="F73" s="247"/>
      <c r="H73" s="220"/>
      <c r="I73" s="221"/>
      <c r="J73" s="221"/>
      <c r="K73" s="221"/>
      <c r="L73" s="221"/>
      <c r="M73" s="221"/>
      <c r="N73" s="254"/>
      <c r="P73" s="223"/>
      <c r="Q73" s="209"/>
      <c r="R73" s="224"/>
    </row>
    <row r="74" spans="3:18" ht="20.100000000000001" customHeight="1">
      <c r="C74" s="654"/>
      <c r="D74" s="142" t="s">
        <v>248</v>
      </c>
      <c r="E74" s="241"/>
      <c r="F74" s="242"/>
      <c r="H74" s="332"/>
      <c r="I74" s="245"/>
      <c r="J74" s="245"/>
      <c r="K74" s="245"/>
      <c r="L74" s="245"/>
      <c r="M74" s="245"/>
      <c r="N74" s="335"/>
      <c r="P74" s="336"/>
      <c r="Q74" s="309"/>
      <c r="R74" s="337"/>
    </row>
    <row r="75" spans="3:18" ht="20.100000000000001" customHeight="1">
      <c r="C75" s="655" t="s">
        <v>623</v>
      </c>
      <c r="D75" s="216" t="s">
        <v>246</v>
      </c>
      <c r="E75" s="209"/>
      <c r="F75" s="217"/>
      <c r="H75" s="220"/>
      <c r="I75" s="221"/>
      <c r="J75" s="221"/>
      <c r="K75" s="221"/>
      <c r="L75" s="221"/>
      <c r="M75" s="221"/>
      <c r="N75" s="254"/>
      <c r="P75" s="223"/>
      <c r="Q75" s="209"/>
      <c r="R75" s="224"/>
    </row>
    <row r="76" spans="3:18" ht="20.100000000000001" customHeight="1">
      <c r="C76" s="655"/>
      <c r="D76" s="216" t="s">
        <v>247</v>
      </c>
      <c r="E76" s="209"/>
      <c r="F76" s="208"/>
      <c r="H76" s="332"/>
      <c r="I76" s="245"/>
      <c r="J76" s="245"/>
      <c r="K76" s="245"/>
      <c r="L76" s="245"/>
      <c r="M76" s="245"/>
      <c r="N76" s="335"/>
      <c r="P76" s="336"/>
      <c r="Q76" s="309"/>
      <c r="R76" s="337"/>
    </row>
    <row r="77" spans="3:18" ht="20.100000000000001" customHeight="1" thickBot="1">
      <c r="C77" s="655"/>
      <c r="D77" s="216" t="s">
        <v>248</v>
      </c>
      <c r="E77" s="218"/>
      <c r="F77" s="219"/>
      <c r="H77" s="253"/>
      <c r="I77" s="255"/>
      <c r="J77" s="255"/>
      <c r="K77" s="255"/>
      <c r="L77" s="255"/>
      <c r="M77" s="255"/>
      <c r="N77" s="256"/>
      <c r="P77" s="240"/>
      <c r="Q77" s="257"/>
      <c r="R77" s="258"/>
    </row>
    <row r="78" spans="3:18" ht="20.100000000000001" customHeight="1" thickBot="1">
      <c r="C78" s="654" t="s">
        <v>624</v>
      </c>
      <c r="D78" s="142" t="s">
        <v>246</v>
      </c>
      <c r="E78" s="241"/>
      <c r="F78" s="242"/>
      <c r="H78" s="293"/>
      <c r="I78" s="293"/>
      <c r="J78" s="293"/>
      <c r="K78" s="293"/>
      <c r="L78" s="293"/>
      <c r="M78" s="293"/>
      <c r="N78" s="293"/>
      <c r="P78" s="293"/>
      <c r="Q78" s="293"/>
      <c r="R78" s="293"/>
    </row>
    <row r="79" spans="3:18" ht="30.75" customHeight="1">
      <c r="C79" s="654"/>
      <c r="D79" s="142" t="s">
        <v>247</v>
      </c>
      <c r="E79" s="241"/>
      <c r="F79" s="242"/>
      <c r="H79" s="415" t="s">
        <v>206</v>
      </c>
      <c r="I79" s="416" t="s">
        <v>665</v>
      </c>
      <c r="J79" s="417" t="s">
        <v>659</v>
      </c>
      <c r="K79" s="293"/>
      <c r="L79" s="293"/>
      <c r="M79" s="293"/>
      <c r="N79" s="293"/>
      <c r="P79" s="293"/>
      <c r="Q79" s="293"/>
      <c r="R79" s="293"/>
    </row>
    <row r="80" spans="3:18" ht="20.100000000000001" customHeight="1">
      <c r="C80" s="654"/>
      <c r="D80" s="142" t="s">
        <v>248</v>
      </c>
      <c r="E80" s="241"/>
      <c r="F80" s="242"/>
      <c r="H80" s="332" t="s">
        <v>226</v>
      </c>
      <c r="I80" s="406">
        <v>2.6640000000000001</v>
      </c>
      <c r="J80" s="407">
        <v>2.9339999999999998E-4</v>
      </c>
      <c r="K80" s="293"/>
      <c r="L80" s="293"/>
      <c r="M80" s="293"/>
      <c r="N80" s="293"/>
      <c r="P80" s="293"/>
      <c r="Q80" s="293"/>
      <c r="R80" s="293"/>
    </row>
    <row r="81" spans="3:18" ht="20.100000000000001" customHeight="1">
      <c r="C81" s="655" t="s">
        <v>625</v>
      </c>
      <c r="D81" s="216" t="s">
        <v>246</v>
      </c>
      <c r="E81" s="218"/>
      <c r="F81" s="219"/>
      <c r="H81" s="220" t="s">
        <v>227</v>
      </c>
      <c r="I81" s="410">
        <v>2.6640000000000001</v>
      </c>
      <c r="J81" s="411">
        <v>2.9339999999999998E-4</v>
      </c>
      <c r="K81" s="293"/>
      <c r="L81" s="293"/>
      <c r="M81" s="293"/>
      <c r="N81" s="293"/>
      <c r="P81" s="293"/>
      <c r="Q81" s="293"/>
      <c r="R81" s="293"/>
    </row>
    <row r="82" spans="3:18" ht="20.100000000000001" customHeight="1" thickBot="1">
      <c r="C82" s="655"/>
      <c r="D82" s="216" t="s">
        <v>247</v>
      </c>
      <c r="E82" s="218"/>
      <c r="F82" s="219"/>
      <c r="H82" s="332"/>
      <c r="I82" s="408"/>
      <c r="J82" s="407"/>
      <c r="K82" s="293"/>
      <c r="L82" s="293"/>
      <c r="M82" s="293"/>
      <c r="N82" s="293"/>
      <c r="P82" s="293"/>
      <c r="Q82" s="293"/>
      <c r="R82" s="293"/>
    </row>
    <row r="83" spans="3:18" ht="20.100000000000001" customHeight="1" thickBot="1">
      <c r="C83" s="655"/>
      <c r="D83" s="216" t="s">
        <v>248</v>
      </c>
      <c r="E83" s="218"/>
      <c r="F83" s="219"/>
      <c r="H83" s="405"/>
      <c r="I83" s="412"/>
      <c r="J83" s="413"/>
      <c r="K83" s="293"/>
      <c r="L83" s="293"/>
      <c r="M83" s="293"/>
      <c r="N83" s="293"/>
      <c r="P83" s="293"/>
      <c r="Q83" s="293"/>
      <c r="R83" s="293"/>
    </row>
    <row r="84" spans="3:18" ht="20.100000000000001" customHeight="1">
      <c r="C84" s="654" t="s">
        <v>626</v>
      </c>
      <c r="D84" s="142" t="s">
        <v>246</v>
      </c>
      <c r="E84" s="241"/>
      <c r="F84" s="242"/>
      <c r="H84" s="332"/>
      <c r="I84" s="409"/>
      <c r="J84" s="407"/>
      <c r="K84" s="293"/>
      <c r="L84" s="293"/>
      <c r="M84" s="293"/>
      <c r="N84" s="293"/>
      <c r="P84" s="293"/>
      <c r="Q84" s="293"/>
      <c r="R84" s="293"/>
    </row>
    <row r="85" spans="3:18" ht="20.100000000000001" customHeight="1">
      <c r="C85" s="654"/>
      <c r="D85" s="142" t="s">
        <v>247</v>
      </c>
      <c r="E85" s="241"/>
      <c r="F85" s="242"/>
      <c r="H85" s="220"/>
      <c r="I85" s="410"/>
      <c r="J85" s="411"/>
      <c r="K85" s="293"/>
      <c r="L85" s="293"/>
      <c r="M85" s="293"/>
      <c r="N85" s="293"/>
      <c r="P85" s="293"/>
      <c r="Q85" s="293"/>
      <c r="R85" s="293"/>
    </row>
    <row r="86" spans="3:18" ht="20.100000000000001" customHeight="1">
      <c r="C86" s="654"/>
      <c r="D86" s="142" t="s">
        <v>248</v>
      </c>
      <c r="E86" s="241"/>
      <c r="F86" s="242"/>
      <c r="H86" s="332"/>
      <c r="I86" s="406"/>
      <c r="J86" s="407"/>
      <c r="K86" s="293"/>
      <c r="L86" s="293"/>
      <c r="M86" s="293"/>
      <c r="N86" s="293"/>
      <c r="P86" s="293"/>
      <c r="Q86" s="293"/>
      <c r="R86" s="293"/>
    </row>
    <row r="87" spans="3:18" ht="20.100000000000001" customHeight="1">
      <c r="C87" s="655" t="s">
        <v>627</v>
      </c>
      <c r="D87" s="216" t="s">
        <v>246</v>
      </c>
      <c r="E87" s="218"/>
      <c r="F87" s="219"/>
      <c r="H87" s="220"/>
      <c r="I87" s="410"/>
      <c r="J87" s="411"/>
      <c r="K87" s="293"/>
      <c r="L87" s="293"/>
      <c r="M87" s="293"/>
      <c r="N87" s="293"/>
      <c r="P87" s="293"/>
      <c r="Q87" s="293"/>
      <c r="R87" s="293"/>
    </row>
    <row r="88" spans="3:18" ht="20.100000000000001" customHeight="1">
      <c r="C88" s="655"/>
      <c r="D88" s="216" t="s">
        <v>247</v>
      </c>
      <c r="E88" s="218"/>
      <c r="F88" s="219"/>
      <c r="H88" s="332"/>
      <c r="I88" s="406"/>
      <c r="J88" s="407"/>
      <c r="K88" s="293"/>
      <c r="L88" s="293"/>
      <c r="M88" s="293"/>
      <c r="N88" s="293"/>
      <c r="P88" s="293"/>
      <c r="Q88" s="293"/>
      <c r="R88" s="293"/>
    </row>
    <row r="89" spans="3:18" ht="20.100000000000001" customHeight="1">
      <c r="C89" s="655"/>
      <c r="D89" s="216" t="s">
        <v>248</v>
      </c>
      <c r="E89" s="218"/>
      <c r="F89" s="219"/>
      <c r="H89" s="220"/>
      <c r="I89" s="410"/>
      <c r="J89" s="411"/>
      <c r="K89" s="293"/>
      <c r="L89" s="293"/>
      <c r="M89" s="293"/>
      <c r="N89" s="293"/>
      <c r="P89" s="293"/>
      <c r="Q89" s="293"/>
      <c r="R89" s="293"/>
    </row>
    <row r="90" spans="3:18" ht="20.100000000000001" hidden="1" customHeight="1" outlineLevel="1">
      <c r="C90" s="654" t="s">
        <v>628</v>
      </c>
      <c r="D90" s="142" t="s">
        <v>246</v>
      </c>
      <c r="E90" s="241"/>
      <c r="F90" s="242"/>
      <c r="H90" s="332"/>
      <c r="I90" s="406"/>
      <c r="J90" s="407"/>
      <c r="K90" s="293"/>
      <c r="L90" s="293"/>
      <c r="M90" s="293"/>
      <c r="N90" s="293"/>
      <c r="P90" s="293"/>
      <c r="Q90" s="293"/>
      <c r="R90" s="293"/>
    </row>
    <row r="91" spans="3:18" ht="20.100000000000001" hidden="1" customHeight="1" outlineLevel="1">
      <c r="C91" s="654"/>
      <c r="D91" s="142" t="s">
        <v>247</v>
      </c>
      <c r="E91" s="241"/>
      <c r="F91" s="242"/>
      <c r="H91" s="220"/>
      <c r="I91" s="410"/>
      <c r="J91" s="411"/>
      <c r="K91" s="293"/>
      <c r="L91" s="293"/>
      <c r="M91" s="293"/>
      <c r="N91" s="293"/>
      <c r="P91" s="293"/>
      <c r="Q91" s="293"/>
      <c r="R91" s="293"/>
    </row>
    <row r="92" spans="3:18" ht="20.100000000000001" hidden="1" customHeight="1" outlineLevel="1">
      <c r="C92" s="654"/>
      <c r="D92" s="142" t="s">
        <v>248</v>
      </c>
      <c r="E92" s="241"/>
      <c r="F92" s="242"/>
      <c r="H92" s="332"/>
      <c r="I92" s="406"/>
      <c r="J92" s="407"/>
      <c r="K92" s="293"/>
      <c r="L92" s="293"/>
      <c r="M92" s="293"/>
      <c r="N92" s="293"/>
      <c r="P92" s="293"/>
      <c r="Q92" s="293"/>
      <c r="R92" s="293"/>
    </row>
    <row r="93" spans="3:18" ht="20.100000000000001" hidden="1" customHeight="1" outlineLevel="1">
      <c r="C93" s="655" t="s">
        <v>629</v>
      </c>
      <c r="D93" s="216" t="s">
        <v>246</v>
      </c>
      <c r="E93" s="218"/>
      <c r="F93" s="219"/>
      <c r="H93" s="220"/>
      <c r="I93" s="410"/>
      <c r="J93" s="411"/>
      <c r="K93" s="293"/>
      <c r="L93" s="293"/>
      <c r="M93" s="293"/>
      <c r="N93" s="293"/>
      <c r="P93" s="293"/>
      <c r="Q93" s="293"/>
      <c r="R93" s="293"/>
    </row>
    <row r="94" spans="3:18" ht="20.100000000000001" hidden="1" customHeight="1" outlineLevel="1">
      <c r="C94" s="655"/>
      <c r="D94" s="216" t="s">
        <v>247</v>
      </c>
      <c r="E94" s="218"/>
      <c r="F94" s="219"/>
      <c r="H94" s="332"/>
      <c r="I94" s="406"/>
      <c r="J94" s="407"/>
      <c r="K94" s="293"/>
      <c r="L94" s="293"/>
      <c r="M94" s="293"/>
      <c r="N94" s="293"/>
      <c r="P94" s="293"/>
      <c r="Q94" s="293"/>
      <c r="R94" s="293"/>
    </row>
    <row r="95" spans="3:18" ht="20.100000000000001" hidden="1" customHeight="1" outlineLevel="1">
      <c r="C95" s="655"/>
      <c r="D95" s="216" t="s">
        <v>248</v>
      </c>
      <c r="E95" s="218"/>
      <c r="F95" s="219"/>
      <c r="H95" s="220"/>
      <c r="I95" s="410"/>
      <c r="J95" s="411"/>
      <c r="K95" s="293"/>
      <c r="L95" s="293"/>
      <c r="M95" s="293"/>
      <c r="N95" s="293"/>
      <c r="P95" s="293"/>
      <c r="Q95" s="293"/>
      <c r="R95" s="293"/>
    </row>
    <row r="96" spans="3:18" ht="20.100000000000001" hidden="1" customHeight="1" outlineLevel="1">
      <c r="C96" s="654" t="s">
        <v>630</v>
      </c>
      <c r="D96" s="142" t="s">
        <v>246</v>
      </c>
      <c r="E96" s="241"/>
      <c r="F96" s="242"/>
      <c r="H96" s="332"/>
      <c r="I96" s="406"/>
      <c r="J96" s="407"/>
      <c r="K96" s="293"/>
      <c r="L96" s="293"/>
      <c r="M96" s="293"/>
      <c r="N96" s="293"/>
      <c r="P96" s="293"/>
      <c r="Q96" s="293"/>
      <c r="R96" s="293"/>
    </row>
    <row r="97" spans="3:18" ht="20.100000000000001" hidden="1" customHeight="1" outlineLevel="1">
      <c r="C97" s="654"/>
      <c r="D97" s="142" t="s">
        <v>247</v>
      </c>
      <c r="E97" s="241"/>
      <c r="F97" s="242"/>
      <c r="H97" s="220"/>
      <c r="I97" s="410"/>
      <c r="J97" s="411"/>
      <c r="K97" s="293"/>
      <c r="L97" s="293"/>
      <c r="M97" s="293"/>
      <c r="N97" s="293"/>
      <c r="P97" s="293"/>
      <c r="Q97" s="293"/>
      <c r="R97" s="293"/>
    </row>
    <row r="98" spans="3:18" ht="20.100000000000001" hidden="1" customHeight="1" outlineLevel="1">
      <c r="C98" s="654"/>
      <c r="D98" s="142" t="s">
        <v>248</v>
      </c>
      <c r="E98" s="241"/>
      <c r="F98" s="242"/>
      <c r="H98" s="332"/>
      <c r="I98" s="406"/>
      <c r="J98" s="407"/>
      <c r="K98" s="293"/>
      <c r="L98" s="293"/>
      <c r="M98" s="293"/>
      <c r="N98" s="293"/>
      <c r="P98" s="293"/>
      <c r="Q98" s="293"/>
      <c r="R98" s="293"/>
    </row>
    <row r="99" spans="3:18" ht="20.100000000000001" hidden="1" customHeight="1" outlineLevel="1">
      <c r="C99" s="655" t="s">
        <v>631</v>
      </c>
      <c r="D99" s="216" t="s">
        <v>246</v>
      </c>
      <c r="E99" s="218"/>
      <c r="F99" s="219"/>
      <c r="H99" s="220"/>
      <c r="I99" s="410"/>
      <c r="J99" s="411"/>
      <c r="K99" s="293"/>
      <c r="L99" s="293"/>
      <c r="M99" s="293"/>
      <c r="N99" s="293"/>
      <c r="P99" s="293"/>
      <c r="Q99" s="293"/>
      <c r="R99" s="293"/>
    </row>
    <row r="100" spans="3:18" ht="20.100000000000001" hidden="1" customHeight="1" outlineLevel="1">
      <c r="C100" s="655"/>
      <c r="D100" s="216" t="s">
        <v>247</v>
      </c>
      <c r="E100" s="218"/>
      <c r="F100" s="219"/>
      <c r="H100" s="332"/>
      <c r="I100" s="406"/>
      <c r="J100" s="407"/>
      <c r="K100" s="293"/>
      <c r="L100" s="293"/>
      <c r="M100" s="293"/>
      <c r="N100" s="293"/>
      <c r="P100" s="293"/>
      <c r="Q100" s="293"/>
      <c r="R100" s="293"/>
    </row>
    <row r="101" spans="3:18" ht="20.100000000000001" hidden="1" customHeight="1" outlineLevel="1">
      <c r="C101" s="655"/>
      <c r="D101" s="216" t="s">
        <v>248</v>
      </c>
      <c r="E101" s="218"/>
      <c r="F101" s="219"/>
      <c r="H101" s="220"/>
      <c r="I101" s="410"/>
      <c r="J101" s="411"/>
      <c r="K101" s="293"/>
      <c r="L101" s="293"/>
      <c r="M101" s="293"/>
      <c r="N101" s="293"/>
      <c r="P101" s="293"/>
      <c r="Q101" s="293"/>
      <c r="R101" s="293"/>
    </row>
    <row r="102" spans="3:18" ht="20.100000000000001" hidden="1" customHeight="1" outlineLevel="1">
      <c r="C102" s="654" t="s">
        <v>632</v>
      </c>
      <c r="D102" s="142" t="s">
        <v>246</v>
      </c>
      <c r="E102" s="309"/>
      <c r="F102" s="313"/>
      <c r="H102" s="332"/>
      <c r="I102" s="406"/>
      <c r="J102" s="279"/>
    </row>
    <row r="103" spans="3:18" ht="20.100000000000001" hidden="1" customHeight="1" outlineLevel="1">
      <c r="C103" s="654"/>
      <c r="D103" s="142" t="s">
        <v>247</v>
      </c>
      <c r="E103" s="309"/>
      <c r="F103" s="247"/>
      <c r="H103" s="220"/>
      <c r="I103" s="410"/>
      <c r="J103" s="276"/>
    </row>
    <row r="104" spans="3:18" ht="20.100000000000001" hidden="1" customHeight="1" outlineLevel="1">
      <c r="C104" s="654"/>
      <c r="D104" s="142" t="s">
        <v>248</v>
      </c>
      <c r="E104" s="241"/>
      <c r="F104" s="242"/>
      <c r="H104" s="332"/>
      <c r="I104" s="406"/>
      <c r="J104" s="279"/>
    </row>
    <row r="105" spans="3:18" ht="20.100000000000001" hidden="1" customHeight="1" outlineLevel="1">
      <c r="C105" s="655" t="s">
        <v>633</v>
      </c>
      <c r="D105" s="216" t="s">
        <v>246</v>
      </c>
      <c r="E105" s="209"/>
      <c r="F105" s="217"/>
      <c r="H105" s="220"/>
      <c r="I105" s="410"/>
      <c r="J105" s="276"/>
    </row>
    <row r="106" spans="3:18" ht="20.100000000000001" hidden="1" customHeight="1" outlineLevel="1">
      <c r="C106" s="655"/>
      <c r="D106" s="216" t="s">
        <v>247</v>
      </c>
      <c r="E106" s="209"/>
      <c r="F106" s="208"/>
      <c r="H106" s="332"/>
      <c r="I106" s="406"/>
      <c r="J106" s="279"/>
    </row>
    <row r="107" spans="3:18" ht="20.100000000000001" hidden="1" customHeight="1" outlineLevel="1">
      <c r="C107" s="655"/>
      <c r="D107" s="216" t="s">
        <v>248</v>
      </c>
      <c r="E107" s="218"/>
      <c r="F107" s="219"/>
      <c r="H107" s="220"/>
      <c r="I107" s="410"/>
      <c r="J107" s="276"/>
    </row>
    <row r="108" spans="3:18" ht="20.100000000000001" hidden="1" customHeight="1" outlineLevel="1">
      <c r="C108" s="654" t="s">
        <v>634</v>
      </c>
      <c r="D108" s="142" t="s">
        <v>246</v>
      </c>
      <c r="E108" s="241"/>
      <c r="F108" s="242"/>
      <c r="H108" s="332"/>
      <c r="I108" s="406"/>
      <c r="J108" s="279"/>
    </row>
    <row r="109" spans="3:18" ht="20.100000000000001" hidden="1" customHeight="1" outlineLevel="1" thickBot="1">
      <c r="C109" s="654"/>
      <c r="D109" s="142" t="s">
        <v>247</v>
      </c>
      <c r="E109" s="241"/>
      <c r="F109" s="242"/>
      <c r="H109" s="253"/>
      <c r="I109" s="414"/>
      <c r="J109" s="300"/>
    </row>
    <row r="110" spans="3:18" ht="20.100000000000001" hidden="1" customHeight="1" outlineLevel="1">
      <c r="C110" s="654"/>
      <c r="D110" s="142" t="s">
        <v>248</v>
      </c>
      <c r="E110" s="241"/>
      <c r="F110" s="242"/>
      <c r="H110" s="293"/>
    </row>
    <row r="111" spans="3:18" ht="20.100000000000001" hidden="1" customHeight="1" outlineLevel="1">
      <c r="C111" s="655" t="s">
        <v>635</v>
      </c>
      <c r="D111" s="216" t="s">
        <v>246</v>
      </c>
      <c r="E111" s="218"/>
      <c r="F111" s="219"/>
      <c r="H111" s="293"/>
    </row>
    <row r="112" spans="3:18" ht="20.100000000000001" hidden="1" customHeight="1" outlineLevel="1">
      <c r="C112" s="655"/>
      <c r="D112" s="216" t="s">
        <v>247</v>
      </c>
      <c r="E112" s="218"/>
      <c r="F112" s="219"/>
      <c r="H112" s="293"/>
    </row>
    <row r="113" spans="3:8" ht="20.100000000000001" hidden="1" customHeight="1" outlineLevel="1">
      <c r="C113" s="655"/>
      <c r="D113" s="216" t="s">
        <v>248</v>
      </c>
      <c r="E113" s="218"/>
      <c r="F113" s="219"/>
      <c r="H113" s="293"/>
    </row>
    <row r="114" spans="3:8" ht="20.100000000000001" hidden="1" customHeight="1" outlineLevel="1">
      <c r="C114" s="654" t="s">
        <v>636</v>
      </c>
      <c r="D114" s="142" t="s">
        <v>246</v>
      </c>
      <c r="E114" s="241"/>
      <c r="F114" s="242"/>
      <c r="H114" s="293"/>
    </row>
    <row r="115" spans="3:8" ht="20.100000000000001" hidden="1" customHeight="1" outlineLevel="1">
      <c r="C115" s="654"/>
      <c r="D115" s="142" t="s">
        <v>247</v>
      </c>
      <c r="E115" s="241"/>
      <c r="F115" s="242"/>
      <c r="H115" s="293"/>
    </row>
    <row r="116" spans="3:8" ht="20.100000000000001" hidden="1" customHeight="1" outlineLevel="1">
      <c r="C116" s="654"/>
      <c r="D116" s="142" t="s">
        <v>248</v>
      </c>
      <c r="E116" s="241"/>
      <c r="F116" s="242"/>
      <c r="H116" s="293"/>
    </row>
    <row r="117" spans="3:8" ht="20.100000000000001" hidden="1" customHeight="1" outlineLevel="1">
      <c r="C117" s="655" t="s">
        <v>637</v>
      </c>
      <c r="D117" s="216" t="s">
        <v>246</v>
      </c>
      <c r="E117" s="218"/>
      <c r="F117" s="219"/>
      <c r="H117" s="293"/>
    </row>
    <row r="118" spans="3:8" ht="20.100000000000001" hidden="1" customHeight="1" outlineLevel="1">
      <c r="C118" s="655"/>
      <c r="D118" s="216" t="s">
        <v>247</v>
      </c>
      <c r="E118" s="218"/>
      <c r="F118" s="219"/>
      <c r="H118" s="293"/>
    </row>
    <row r="119" spans="3:8" ht="20.100000000000001" hidden="1" customHeight="1" outlineLevel="1">
      <c r="C119" s="655"/>
      <c r="D119" s="216" t="s">
        <v>248</v>
      </c>
      <c r="E119" s="218"/>
      <c r="F119" s="219"/>
      <c r="H119" s="293"/>
    </row>
    <row r="120" spans="3:8" ht="20.100000000000001" hidden="1" customHeight="1" outlineLevel="1">
      <c r="C120" s="654" t="s">
        <v>638</v>
      </c>
      <c r="D120" s="142" t="s">
        <v>246</v>
      </c>
      <c r="E120" s="241"/>
      <c r="F120" s="242"/>
      <c r="H120" s="293"/>
    </row>
    <row r="121" spans="3:8" ht="20.100000000000001" hidden="1" customHeight="1" outlineLevel="1">
      <c r="C121" s="654"/>
      <c r="D121" s="142" t="s">
        <v>247</v>
      </c>
      <c r="E121" s="241"/>
      <c r="F121" s="242"/>
      <c r="H121" s="293"/>
    </row>
    <row r="122" spans="3:8" ht="20.100000000000001" hidden="1" customHeight="1" outlineLevel="1">
      <c r="C122" s="654"/>
      <c r="D122" s="142" t="s">
        <v>248</v>
      </c>
      <c r="E122" s="241"/>
      <c r="F122" s="242"/>
      <c r="H122" s="293"/>
    </row>
    <row r="123" spans="3:8" ht="20.100000000000001" hidden="1" customHeight="1" outlineLevel="1">
      <c r="C123" s="655" t="s">
        <v>639</v>
      </c>
      <c r="D123" s="216" t="s">
        <v>246</v>
      </c>
      <c r="E123" s="218"/>
      <c r="F123" s="219"/>
      <c r="H123" s="293"/>
    </row>
    <row r="124" spans="3:8" ht="20.100000000000001" hidden="1" customHeight="1" outlineLevel="1">
      <c r="C124" s="655"/>
      <c r="D124" s="216" t="s">
        <v>247</v>
      </c>
      <c r="E124" s="218"/>
      <c r="F124" s="219"/>
      <c r="H124" s="293"/>
    </row>
    <row r="125" spans="3:8" ht="20.100000000000001" hidden="1" customHeight="1" outlineLevel="1">
      <c r="C125" s="655"/>
      <c r="D125" s="216" t="s">
        <v>248</v>
      </c>
      <c r="E125" s="218"/>
      <c r="F125" s="219"/>
      <c r="H125" s="293"/>
    </row>
    <row r="126" spans="3:8" ht="20.25" hidden="1" customHeight="1" outlineLevel="1">
      <c r="C126" s="654" t="s">
        <v>640</v>
      </c>
      <c r="D126" s="142" t="s">
        <v>246</v>
      </c>
      <c r="E126" s="241"/>
      <c r="F126" s="242"/>
      <c r="H126" s="293"/>
    </row>
    <row r="127" spans="3:8" ht="20.100000000000001" hidden="1" customHeight="1" outlineLevel="1">
      <c r="C127" s="654"/>
      <c r="D127" s="142" t="s">
        <v>247</v>
      </c>
      <c r="E127" s="241"/>
      <c r="F127" s="242"/>
      <c r="H127" s="293"/>
    </row>
    <row r="128" spans="3:8" ht="20.100000000000001" hidden="1" customHeight="1" outlineLevel="1">
      <c r="C128" s="654"/>
      <c r="D128" s="142" t="s">
        <v>248</v>
      </c>
      <c r="E128" s="241"/>
      <c r="F128" s="242"/>
      <c r="H128" s="293"/>
    </row>
    <row r="129" spans="3:12" ht="20.100000000000001" hidden="1" customHeight="1" outlineLevel="1">
      <c r="C129" s="655" t="s">
        <v>641</v>
      </c>
      <c r="D129" s="216" t="s">
        <v>246</v>
      </c>
      <c r="E129" s="324"/>
      <c r="F129" s="325"/>
      <c r="H129" s="293"/>
    </row>
    <row r="130" spans="3:12" ht="20.100000000000001" hidden="1" customHeight="1" outlineLevel="1">
      <c r="C130" s="655"/>
      <c r="D130" s="216" t="s">
        <v>247</v>
      </c>
      <c r="E130" s="324"/>
      <c r="F130" s="326"/>
    </row>
    <row r="131" spans="3:12" ht="20.100000000000001" hidden="1" customHeight="1" outlineLevel="1">
      <c r="C131" s="655"/>
      <c r="D131" s="216" t="s">
        <v>248</v>
      </c>
      <c r="E131" s="327"/>
      <c r="F131" s="328"/>
    </row>
    <row r="132" spans="3:12" ht="20.100000000000001" hidden="1" customHeight="1" outlineLevel="1">
      <c r="C132" s="654" t="s">
        <v>642</v>
      </c>
      <c r="D132" s="142" t="s">
        <v>246</v>
      </c>
      <c r="E132" s="319"/>
      <c r="F132" s="320"/>
    </row>
    <row r="133" spans="3:12" ht="20.100000000000001" hidden="1" customHeight="1" outlineLevel="1">
      <c r="C133" s="654"/>
      <c r="D133" s="142" t="s">
        <v>247</v>
      </c>
      <c r="E133" s="319"/>
      <c r="F133" s="321"/>
    </row>
    <row r="134" spans="3:12" ht="20.100000000000001" hidden="1" customHeight="1" outlineLevel="1">
      <c r="C134" s="654"/>
      <c r="D134" s="142" t="s">
        <v>248</v>
      </c>
      <c r="E134" s="322"/>
      <c r="F134" s="323"/>
    </row>
    <row r="135" spans="3:12" ht="20.100000000000001" hidden="1" customHeight="1" outlineLevel="1">
      <c r="C135" s="655" t="s">
        <v>643</v>
      </c>
      <c r="D135" s="216" t="s">
        <v>246</v>
      </c>
      <c r="E135" s="324"/>
      <c r="F135" s="325"/>
    </row>
    <row r="136" spans="3:12" ht="20.100000000000001" hidden="1" customHeight="1" outlineLevel="1">
      <c r="C136" s="655"/>
      <c r="D136" s="216" t="s">
        <v>247</v>
      </c>
      <c r="E136" s="324"/>
      <c r="F136" s="326"/>
    </row>
    <row r="137" spans="3:12" ht="20.100000000000001" hidden="1" customHeight="1" outlineLevel="1" thickBot="1">
      <c r="C137" s="656"/>
      <c r="D137" s="329" t="s">
        <v>248</v>
      </c>
      <c r="E137" s="330"/>
      <c r="F137" s="331"/>
    </row>
    <row r="138" spans="3:12" ht="20.100000000000001" customHeight="1" collapsed="1">
      <c r="F138" s="373"/>
    </row>
    <row r="141" spans="3:12" ht="20.100000000000001" customHeight="1">
      <c r="F141" s="373"/>
    </row>
    <row r="143" spans="3:12" ht="20.100000000000001" customHeight="1"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3:12" ht="20.100000000000001" customHeight="1"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3:12" ht="20.100000000000001" customHeight="1"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3:12" ht="20.100000000000001" customHeight="1"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3:12" ht="20.100000000000001" customHeight="1"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3:12" ht="20.100000000000001" customHeight="1"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3:12" ht="20.100000000000001" customHeight="1"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3:12" ht="20.100000000000001" customHeight="1"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3:12" ht="20.100000000000001" customHeight="1"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3:12" ht="20.100000000000001" customHeight="1"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3:12" ht="20.100000000000001" customHeight="1"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3:12" ht="20.100000000000001" customHeight="1"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3:12" ht="20.100000000000001" customHeight="1"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3:12" ht="20.100000000000001" customHeight="1"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3:12" ht="20.100000000000001" customHeight="1"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3:12" ht="20.100000000000001" customHeight="1"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3:12" ht="20.100000000000001" customHeight="1"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3:12" ht="20.100000000000001" customHeight="1"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3:12" ht="20.100000000000001" customHeight="1"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3:12" ht="20.100000000000001" customHeight="1"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3:12" ht="20.100000000000001" customHeight="1"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3:12" ht="20.100000000000001" customHeight="1"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3:12" ht="20.100000000000001" customHeight="1">
      <c r="F165" s="373"/>
    </row>
    <row r="168" spans="3:12" ht="20.100000000000001" customHeight="1">
      <c r="F168" s="373"/>
    </row>
    <row r="171" spans="3:12" ht="20.100000000000001" customHeight="1">
      <c r="F171" s="373"/>
    </row>
    <row r="174" spans="3:12" ht="20.100000000000001" customHeight="1">
      <c r="F174" s="373"/>
    </row>
    <row r="177" spans="6:6" ht="20.100000000000001" customHeight="1">
      <c r="F177" s="373"/>
    </row>
    <row r="180" spans="6:6" ht="20.100000000000001" customHeight="1">
      <c r="F180" s="373"/>
    </row>
    <row r="183" spans="6:6" ht="20.100000000000001" customHeight="1">
      <c r="F183" s="37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5" t="s">
        <v>274</v>
      </c>
      <c r="D3" s="196" t="s">
        <v>648</v>
      </c>
      <c r="E3" s="196" t="s">
        <v>271</v>
      </c>
      <c r="F3" s="196" t="s">
        <v>272</v>
      </c>
      <c r="G3" s="196" t="s">
        <v>649</v>
      </c>
      <c r="H3" s="196" t="s">
        <v>650</v>
      </c>
      <c r="I3" s="196" t="s">
        <v>651</v>
      </c>
      <c r="J3" s="196" t="s">
        <v>652</v>
      </c>
      <c r="K3" s="196" t="s">
        <v>653</v>
      </c>
      <c r="L3" s="196" t="s">
        <v>654</v>
      </c>
      <c r="M3" s="196" t="s">
        <v>655</v>
      </c>
      <c r="N3" s="196" t="s">
        <v>656</v>
      </c>
      <c r="O3" s="197" t="s">
        <v>657</v>
      </c>
    </row>
    <row r="4" spans="3:15" ht="20.100000000000001" customHeight="1">
      <c r="C4" s="117" t="s">
        <v>226</v>
      </c>
      <c r="D4" s="667" t="s">
        <v>679</v>
      </c>
      <c r="E4" s="118">
        <v>80</v>
      </c>
      <c r="F4" s="118">
        <v>3.0325000000000002</v>
      </c>
      <c r="G4" s="670">
        <v>3.1478000000000002</v>
      </c>
      <c r="H4" s="667">
        <v>0.03</v>
      </c>
      <c r="I4" s="118">
        <v>46</v>
      </c>
      <c r="J4" s="673">
        <v>46</v>
      </c>
      <c r="K4" s="118">
        <v>22</v>
      </c>
      <c r="L4" s="673">
        <v>29.3</v>
      </c>
      <c r="M4" s="118">
        <v>-7.7000000000000002E-3</v>
      </c>
      <c r="N4" s="670">
        <v>-7.7000000000000002E-3</v>
      </c>
      <c r="O4" s="664" t="s">
        <v>238</v>
      </c>
    </row>
    <row r="5" spans="3:15" ht="20.100000000000001" customHeight="1">
      <c r="C5" s="117" t="s">
        <v>227</v>
      </c>
      <c r="D5" s="668"/>
      <c r="E5" s="118">
        <v>80</v>
      </c>
      <c r="F5" s="118">
        <v>3.242</v>
      </c>
      <c r="G5" s="671"/>
      <c r="H5" s="668"/>
      <c r="I5" s="118">
        <v>46</v>
      </c>
      <c r="J5" s="674"/>
      <c r="K5" s="118">
        <v>33</v>
      </c>
      <c r="L5" s="674"/>
      <c r="M5" s="118">
        <v>-7.7000000000000002E-3</v>
      </c>
      <c r="N5" s="671"/>
      <c r="O5" s="665"/>
    </row>
    <row r="6" spans="3:15" ht="20.100000000000001" customHeight="1">
      <c r="C6" s="117" t="s">
        <v>228</v>
      </c>
      <c r="D6" s="669"/>
      <c r="E6" s="118">
        <v>80</v>
      </c>
      <c r="F6" s="118">
        <v>3.169</v>
      </c>
      <c r="G6" s="672"/>
      <c r="H6" s="669"/>
      <c r="I6" s="118">
        <v>46</v>
      </c>
      <c r="J6" s="675"/>
      <c r="K6" s="118">
        <v>33</v>
      </c>
      <c r="L6" s="675"/>
      <c r="M6" s="118">
        <v>-7.6E-3</v>
      </c>
      <c r="N6" s="672"/>
      <c r="O6" s="666"/>
    </row>
    <row r="7" spans="3:15" ht="20.100000000000001" customHeight="1">
      <c r="C7" s="117"/>
      <c r="D7" s="118"/>
      <c r="E7" s="118"/>
      <c r="F7" s="118"/>
      <c r="G7" s="399"/>
      <c r="H7" s="118"/>
      <c r="I7" s="118"/>
      <c r="J7" s="400"/>
      <c r="K7" s="118"/>
      <c r="L7" s="400"/>
      <c r="M7" s="118"/>
      <c r="N7" s="399"/>
      <c r="O7" s="401"/>
    </row>
    <row r="8" spans="3:15" ht="20.100000000000001" customHeight="1">
      <c r="C8" s="117"/>
      <c r="D8" s="118"/>
      <c r="E8" s="118"/>
      <c r="F8" s="118"/>
      <c r="G8" s="399"/>
      <c r="H8" s="118"/>
      <c r="I8" s="118"/>
      <c r="J8" s="400"/>
      <c r="K8" s="118"/>
      <c r="L8" s="400"/>
      <c r="M8" s="118"/>
      <c r="N8" s="399"/>
      <c r="O8" s="401"/>
    </row>
    <row r="9" spans="3:15" ht="20.100000000000001" customHeight="1">
      <c r="C9" s="117"/>
      <c r="D9" s="118"/>
      <c r="E9" s="118"/>
      <c r="F9" s="118"/>
      <c r="G9" s="399"/>
      <c r="H9" s="118"/>
      <c r="I9" s="118"/>
      <c r="J9" s="400"/>
      <c r="K9" s="118"/>
      <c r="L9" s="400"/>
      <c r="M9" s="118"/>
      <c r="N9" s="399"/>
      <c r="O9" s="401"/>
    </row>
    <row r="10" spans="3:15" ht="20.100000000000001" customHeight="1">
      <c r="C10" s="117"/>
      <c r="D10" s="118"/>
      <c r="E10" s="118"/>
      <c r="F10" s="118"/>
      <c r="G10" s="399"/>
      <c r="H10" s="118"/>
      <c r="I10" s="118"/>
      <c r="J10" s="400"/>
      <c r="K10" s="118"/>
      <c r="L10" s="400"/>
      <c r="M10" s="118"/>
      <c r="N10" s="399"/>
      <c r="O10" s="401"/>
    </row>
    <row r="11" spans="3:15" ht="20.100000000000001" customHeight="1">
      <c r="C11" s="117"/>
      <c r="D11" s="118"/>
      <c r="E11" s="118"/>
      <c r="F11" s="118"/>
      <c r="G11" s="399"/>
      <c r="H11" s="118"/>
      <c r="I11" s="118"/>
      <c r="J11" s="400"/>
      <c r="K11" s="118"/>
      <c r="L11" s="400"/>
      <c r="M11" s="118"/>
      <c r="N11" s="399"/>
      <c r="O11" s="401"/>
    </row>
    <row r="12" spans="3:15" ht="20.100000000000001" customHeight="1">
      <c r="C12" s="117"/>
      <c r="D12" s="118"/>
      <c r="E12" s="118"/>
      <c r="F12" s="118"/>
      <c r="G12" s="399"/>
      <c r="H12" s="118"/>
      <c r="I12" s="118"/>
      <c r="J12" s="400"/>
      <c r="K12" s="118"/>
      <c r="L12" s="400"/>
      <c r="M12" s="118"/>
      <c r="N12" s="399"/>
      <c r="O12" s="401"/>
    </row>
    <row r="13" spans="3:15" ht="20.100000000000001" customHeight="1">
      <c r="C13" s="117"/>
      <c r="D13" s="118"/>
      <c r="E13" s="118"/>
      <c r="F13" s="118"/>
      <c r="G13" s="399"/>
      <c r="H13" s="118"/>
      <c r="I13" s="118"/>
      <c r="J13" s="400"/>
      <c r="K13" s="118"/>
      <c r="L13" s="400"/>
      <c r="M13" s="118"/>
      <c r="N13" s="399"/>
      <c r="O13" s="401"/>
    </row>
    <row r="14" spans="3:15" ht="20.100000000000001" customHeight="1">
      <c r="C14" s="117"/>
      <c r="D14" s="118"/>
      <c r="E14" s="118"/>
      <c r="F14" s="118"/>
      <c r="G14" s="399"/>
      <c r="H14" s="118"/>
      <c r="I14" s="118"/>
      <c r="J14" s="400"/>
      <c r="K14" s="118"/>
      <c r="L14" s="400"/>
      <c r="M14" s="118"/>
      <c r="N14" s="399"/>
      <c r="O14" s="401"/>
    </row>
    <row r="15" spans="3:15" ht="20.100000000000001" customHeight="1">
      <c r="C15" s="117"/>
      <c r="D15" s="118"/>
      <c r="E15" s="118"/>
      <c r="F15" s="118"/>
      <c r="G15" s="399"/>
      <c r="H15" s="118"/>
      <c r="I15" s="118"/>
      <c r="J15" s="400"/>
      <c r="K15" s="118"/>
      <c r="L15" s="400"/>
      <c r="M15" s="118"/>
      <c r="N15" s="399"/>
      <c r="O15" s="401"/>
    </row>
    <row r="16" spans="3:15" ht="20.100000000000001" customHeight="1">
      <c r="C16" s="117"/>
      <c r="D16" s="118"/>
      <c r="E16" s="118"/>
      <c r="F16" s="118"/>
      <c r="G16" s="399"/>
      <c r="H16" s="118"/>
      <c r="I16" s="118"/>
      <c r="J16" s="400"/>
      <c r="K16" s="118"/>
      <c r="L16" s="400"/>
      <c r="M16" s="118"/>
      <c r="N16" s="399"/>
      <c r="O16" s="401"/>
    </row>
    <row r="17" spans="3:15" ht="20.100000000000001" customHeight="1">
      <c r="C17" s="117"/>
      <c r="D17" s="118"/>
      <c r="E17" s="118"/>
      <c r="F17" s="118"/>
      <c r="G17" s="399"/>
      <c r="H17" s="118"/>
      <c r="I17" s="118"/>
      <c r="J17" s="400"/>
      <c r="K17" s="118"/>
      <c r="L17" s="400"/>
      <c r="M17" s="118"/>
      <c r="N17" s="399"/>
      <c r="O17" s="401"/>
    </row>
    <row r="18" spans="3:15" ht="20.100000000000001" customHeight="1">
      <c r="C18" s="264"/>
      <c r="D18" s="239"/>
      <c r="E18" s="239"/>
      <c r="F18" s="239"/>
      <c r="G18" s="396"/>
      <c r="H18" s="239"/>
      <c r="I18" s="239"/>
      <c r="J18" s="397"/>
      <c r="K18" s="239"/>
      <c r="L18" s="397"/>
      <c r="M18" s="239"/>
      <c r="N18" s="396"/>
      <c r="O18" s="398"/>
    </row>
    <row r="19" spans="3:15" ht="20.100000000000001" customHeight="1">
      <c r="C19" s="117"/>
      <c r="D19" s="118"/>
      <c r="E19" s="118"/>
      <c r="F19" s="118"/>
      <c r="G19" s="399"/>
      <c r="H19" s="118"/>
      <c r="I19" s="118"/>
      <c r="J19" s="400"/>
      <c r="K19" s="118"/>
      <c r="L19" s="400"/>
      <c r="M19" s="118"/>
      <c r="N19" s="399"/>
      <c r="O19" s="401"/>
    </row>
    <row r="20" spans="3:15" ht="20.100000000000001" customHeight="1">
      <c r="C20" s="117"/>
      <c r="D20" s="118"/>
      <c r="E20" s="118"/>
      <c r="F20" s="118"/>
      <c r="G20" s="399"/>
      <c r="H20" s="118"/>
      <c r="I20" s="118"/>
      <c r="J20" s="400"/>
      <c r="K20" s="118"/>
      <c r="L20" s="400"/>
      <c r="M20" s="118"/>
      <c r="N20" s="399"/>
      <c r="O20" s="401"/>
    </row>
    <row r="21" spans="3:15" ht="20.100000000000001" customHeight="1">
      <c r="C21" s="117"/>
      <c r="D21" s="118"/>
      <c r="E21" s="118"/>
      <c r="F21" s="118"/>
      <c r="G21" s="399"/>
      <c r="H21" s="118"/>
      <c r="I21" s="118"/>
      <c r="J21" s="400"/>
      <c r="K21" s="118"/>
      <c r="L21" s="400"/>
      <c r="M21" s="118"/>
      <c r="N21" s="399"/>
      <c r="O21" s="401"/>
    </row>
    <row r="22" spans="3:15" ht="20.100000000000001" customHeight="1">
      <c r="C22" s="117"/>
      <c r="D22" s="118"/>
      <c r="E22" s="118"/>
      <c r="F22" s="118"/>
      <c r="G22" s="399"/>
      <c r="H22" s="118"/>
      <c r="I22" s="118"/>
      <c r="J22" s="400"/>
      <c r="K22" s="118"/>
      <c r="L22" s="400"/>
      <c r="M22" s="118"/>
      <c r="N22" s="399"/>
      <c r="O22" s="401"/>
    </row>
    <row r="23" spans="3:15" ht="20.100000000000001" customHeight="1">
      <c r="C23" s="117"/>
      <c r="D23" s="118"/>
      <c r="E23" s="118"/>
      <c r="F23" s="118"/>
      <c r="G23" s="399"/>
      <c r="H23" s="118"/>
      <c r="I23" s="118"/>
      <c r="J23" s="400"/>
      <c r="K23" s="118"/>
      <c r="L23" s="400"/>
      <c r="M23" s="118"/>
      <c r="N23" s="399"/>
      <c r="O23" s="401"/>
    </row>
    <row r="24" spans="3:15" ht="20.100000000000001" customHeight="1">
      <c r="C24" s="117"/>
      <c r="D24" s="118"/>
      <c r="E24" s="118"/>
      <c r="F24" s="118"/>
      <c r="G24" s="399"/>
      <c r="H24" s="118"/>
      <c r="I24" s="118"/>
      <c r="J24" s="400"/>
      <c r="K24" s="118"/>
      <c r="L24" s="400"/>
      <c r="M24" s="118"/>
      <c r="N24" s="399"/>
      <c r="O24" s="401"/>
    </row>
    <row r="25" spans="3:15" ht="20.100000000000001" customHeight="1">
      <c r="C25" s="117"/>
      <c r="D25" s="118"/>
      <c r="E25" s="118"/>
      <c r="F25" s="118"/>
      <c r="G25" s="399"/>
      <c r="H25" s="118"/>
      <c r="I25" s="118"/>
      <c r="J25" s="400"/>
      <c r="K25" s="118"/>
      <c r="L25" s="400"/>
      <c r="M25" s="118"/>
      <c r="N25" s="399"/>
      <c r="O25" s="401"/>
    </row>
    <row r="26" spans="3:15" ht="20.100000000000001" customHeight="1">
      <c r="C26" s="117"/>
      <c r="D26" s="118"/>
      <c r="E26" s="118"/>
      <c r="F26" s="118"/>
      <c r="G26" s="399"/>
      <c r="H26" s="118"/>
      <c r="I26" s="118"/>
      <c r="J26" s="400"/>
      <c r="K26" s="118"/>
      <c r="L26" s="400"/>
      <c r="M26" s="118"/>
      <c r="N26" s="399"/>
      <c r="O26" s="401"/>
    </row>
    <row r="27" spans="3:15" ht="20.100000000000001" customHeight="1">
      <c r="C27" s="117"/>
      <c r="D27" s="118"/>
      <c r="E27" s="118"/>
      <c r="F27" s="118"/>
      <c r="G27" s="399"/>
      <c r="H27" s="118"/>
      <c r="I27" s="118"/>
      <c r="J27" s="400"/>
      <c r="K27" s="118"/>
      <c r="L27" s="400"/>
      <c r="M27" s="118"/>
      <c r="N27" s="399"/>
      <c r="O27" s="401"/>
    </row>
    <row r="28" spans="3:15" ht="20.100000000000001" customHeight="1">
      <c r="C28" s="117"/>
      <c r="D28" s="118"/>
      <c r="E28" s="118"/>
      <c r="F28" s="118"/>
      <c r="G28" s="399"/>
      <c r="H28" s="118"/>
      <c r="I28" s="118"/>
      <c r="J28" s="400"/>
      <c r="K28" s="118"/>
      <c r="L28" s="400"/>
      <c r="M28" s="118"/>
      <c r="N28" s="399"/>
      <c r="O28" s="401"/>
    </row>
    <row r="29" spans="3:15" ht="20.100000000000001" customHeight="1">
      <c r="C29" s="117"/>
      <c r="D29" s="118"/>
      <c r="E29" s="118"/>
      <c r="F29" s="118"/>
      <c r="G29" s="399"/>
      <c r="H29" s="118"/>
      <c r="I29" s="118"/>
      <c r="J29" s="400"/>
      <c r="K29" s="118"/>
      <c r="L29" s="400"/>
      <c r="M29" s="118"/>
      <c r="N29" s="399"/>
      <c r="O29" s="401"/>
    </row>
    <row r="30" spans="3:15" ht="20.100000000000001" customHeight="1">
      <c r="C30" s="117"/>
      <c r="D30" s="118"/>
      <c r="E30" s="118"/>
      <c r="F30" s="118"/>
      <c r="G30" s="399"/>
      <c r="H30" s="118"/>
      <c r="I30" s="118"/>
      <c r="J30" s="400"/>
      <c r="K30" s="118"/>
      <c r="L30" s="400"/>
      <c r="M30" s="118"/>
      <c r="N30" s="399"/>
      <c r="O30" s="401"/>
    </row>
    <row r="31" spans="3:15" ht="20.100000000000001" customHeight="1">
      <c r="C31" s="117"/>
      <c r="D31" s="118"/>
      <c r="E31" s="118"/>
      <c r="F31" s="118"/>
      <c r="G31" s="399"/>
      <c r="H31" s="118"/>
      <c r="I31" s="118"/>
      <c r="J31" s="400"/>
      <c r="K31" s="118"/>
      <c r="L31" s="400"/>
      <c r="M31" s="118"/>
      <c r="N31" s="399"/>
      <c r="O31" s="401"/>
    </row>
    <row r="32" spans="3:15" ht="20.100000000000001" customHeight="1">
      <c r="C32" s="117"/>
      <c r="D32" s="118"/>
      <c r="E32" s="118"/>
      <c r="F32" s="118"/>
      <c r="G32" s="399"/>
      <c r="H32" s="118"/>
      <c r="I32" s="118"/>
      <c r="J32" s="400"/>
      <c r="K32" s="118"/>
      <c r="L32" s="400"/>
      <c r="M32" s="118"/>
      <c r="N32" s="399"/>
      <c r="O32" s="401"/>
    </row>
    <row r="33" spans="3:15" ht="20.100000000000001" customHeight="1">
      <c r="C33" s="117"/>
      <c r="D33" s="118"/>
      <c r="E33" s="118"/>
      <c r="F33" s="118"/>
      <c r="G33" s="399"/>
      <c r="H33" s="118"/>
      <c r="I33" s="118"/>
      <c r="J33" s="400"/>
      <c r="K33" s="118"/>
      <c r="L33" s="400"/>
      <c r="M33" s="118"/>
      <c r="N33" s="399"/>
      <c r="O33" s="401"/>
    </row>
    <row r="34" spans="3:15" ht="20.100000000000001" customHeight="1" thickBot="1">
      <c r="C34" s="115"/>
      <c r="D34" s="402"/>
      <c r="E34" s="116"/>
      <c r="F34" s="116"/>
      <c r="G34" s="402"/>
      <c r="H34" s="402"/>
      <c r="I34" s="116"/>
      <c r="J34" s="402"/>
      <c r="K34" s="116"/>
      <c r="L34" s="402"/>
      <c r="M34" s="116"/>
      <c r="N34" s="402"/>
      <c r="O34" s="4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3" customWidth="1"/>
    <col min="4" max="12" width="12.33203125" customWidth="1"/>
    <col min="13" max="18" width="11.21875" customWidth="1"/>
    <col min="19" max="19" width="11.109375" customWidth="1"/>
    <col min="20" max="20" width="12.44140625" style="293" customWidth="1"/>
    <col min="21" max="22" width="8.88671875" style="293"/>
    <col min="23" max="23" width="12.109375" style="293" customWidth="1"/>
    <col min="24" max="88" width="8.88671875" style="293"/>
  </cols>
  <sheetData>
    <row r="1" spans="1:88" s="293" customFormat="1" ht="20.100000000000001" customHeight="1"/>
    <row r="2" spans="1:88" s="419" customFormat="1" ht="27.75" customHeight="1" thickBot="1">
      <c r="D2" s="343" t="s">
        <v>250</v>
      </c>
      <c r="M2" s="343" t="s">
        <v>608</v>
      </c>
    </row>
    <row r="3" spans="1:88" s="36" customFormat="1" ht="42.75" customHeight="1">
      <c r="A3" s="371"/>
      <c r="B3" s="371"/>
      <c r="C3" s="371"/>
      <c r="D3" s="380" t="s">
        <v>264</v>
      </c>
      <c r="E3" s="384" t="s">
        <v>265</v>
      </c>
      <c r="F3" s="384" t="s">
        <v>266</v>
      </c>
      <c r="G3" s="384" t="s">
        <v>267</v>
      </c>
      <c r="H3" s="384" t="s">
        <v>268</v>
      </c>
      <c r="I3" s="384" t="s">
        <v>269</v>
      </c>
      <c r="J3" s="384" t="s">
        <v>256</v>
      </c>
      <c r="K3" s="385" t="s">
        <v>257</v>
      </c>
      <c r="L3" s="371"/>
      <c r="M3" s="380" t="s">
        <v>264</v>
      </c>
      <c r="N3" s="384" t="s">
        <v>265</v>
      </c>
      <c r="O3" s="384" t="s">
        <v>266</v>
      </c>
      <c r="P3" s="384" t="s">
        <v>268</v>
      </c>
      <c r="Q3" s="384" t="s">
        <v>269</v>
      </c>
      <c r="R3" s="384" t="s">
        <v>256</v>
      </c>
      <c r="S3" s="385" t="s">
        <v>257</v>
      </c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  <c r="AT3" s="371"/>
      <c r="AU3" s="371"/>
      <c r="AV3" s="371"/>
      <c r="AW3" s="371"/>
      <c r="AX3" s="371"/>
      <c r="AY3" s="371"/>
      <c r="AZ3" s="371"/>
      <c r="BA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</row>
    <row r="4" spans="1:88" s="89" customFormat="1" ht="33.75" customHeight="1" thickBot="1">
      <c r="A4" s="420"/>
      <c r="B4" s="420"/>
      <c r="C4" s="420"/>
      <c r="D4" s="90">
        <v>1148114.5304</v>
      </c>
      <c r="E4" s="91">
        <v>1439.8</v>
      </c>
      <c r="F4" s="91">
        <v>638.57752718536619</v>
      </c>
      <c r="G4" s="418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20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420"/>
      <c r="AY4" s="420"/>
      <c r="AZ4" s="420"/>
      <c r="BA4" s="420"/>
      <c r="BB4" s="420"/>
      <c r="BC4" s="420"/>
      <c r="BD4" s="420"/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420"/>
      <c r="BX4" s="420"/>
      <c r="BY4" s="420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</row>
    <row r="5" spans="1:88" s="293" customFormat="1" ht="20.100000000000001" customHeight="1"/>
    <row r="6" spans="1:88" s="293" customFormat="1" ht="20.100000000000001" customHeight="1" thickBot="1"/>
    <row r="7" spans="1:88" ht="62.25" customHeight="1">
      <c r="D7" s="380" t="s">
        <v>264</v>
      </c>
      <c r="E7" s="384" t="s">
        <v>265</v>
      </c>
      <c r="F7" s="384" t="s">
        <v>266</v>
      </c>
      <c r="G7" s="384" t="s">
        <v>267</v>
      </c>
      <c r="H7" s="384" t="s">
        <v>268</v>
      </c>
      <c r="I7" s="384" t="s">
        <v>269</v>
      </c>
      <c r="J7" s="384" t="s">
        <v>270</v>
      </c>
      <c r="K7" s="385" t="s">
        <v>256</v>
      </c>
      <c r="L7" s="293"/>
      <c r="M7" s="293"/>
      <c r="N7" s="293"/>
      <c r="O7" s="293"/>
      <c r="P7" s="293"/>
      <c r="Q7" s="293"/>
      <c r="R7" s="293"/>
      <c r="S7" s="293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8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3"/>
      <c r="M8" s="293"/>
      <c r="N8" s="293"/>
      <c r="O8" s="293"/>
      <c r="P8" s="293"/>
      <c r="Q8" s="293"/>
      <c r="R8" s="293"/>
      <c r="S8" s="293"/>
    </row>
    <row r="9" spans="1:88" s="293" customFormat="1" ht="20.100000000000001" customHeight="1"/>
    <row r="10" spans="1:88" s="293" customFormat="1" ht="30.75" customHeight="1" thickBot="1">
      <c r="D10" s="343" t="s">
        <v>273</v>
      </c>
      <c r="G10" s="292" t="s">
        <v>615</v>
      </c>
      <c r="L10" s="292" t="s">
        <v>616</v>
      </c>
    </row>
    <row r="11" spans="1:88" s="36" customFormat="1" ht="39" customHeight="1">
      <c r="A11" s="371"/>
      <c r="B11" s="371"/>
      <c r="C11" s="371"/>
      <c r="D11" s="119" t="s">
        <v>685</v>
      </c>
      <c r="E11" s="120" t="s">
        <v>686</v>
      </c>
      <c r="F11" s="120" t="s">
        <v>271</v>
      </c>
      <c r="G11" s="120" t="s">
        <v>687</v>
      </c>
      <c r="H11" s="120" t="s">
        <v>688</v>
      </c>
      <c r="I11" s="120" t="s">
        <v>272</v>
      </c>
      <c r="J11" s="121" t="s">
        <v>689</v>
      </c>
      <c r="K11" s="371"/>
      <c r="L11" s="119" t="s">
        <v>685</v>
      </c>
      <c r="M11" s="120" t="s">
        <v>686</v>
      </c>
      <c r="N11" s="120" t="s">
        <v>271</v>
      </c>
      <c r="O11" s="120" t="s">
        <v>687</v>
      </c>
      <c r="P11" s="120" t="s">
        <v>688</v>
      </c>
      <c r="Q11" s="120" t="s">
        <v>161</v>
      </c>
      <c r="R11" s="120" t="s">
        <v>272</v>
      </c>
      <c r="S11" s="121" t="s">
        <v>689</v>
      </c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71"/>
      <c r="AH11" s="371"/>
      <c r="AI11" s="371"/>
      <c r="AJ11" s="371"/>
      <c r="AK11" s="371"/>
      <c r="AL11" s="371"/>
      <c r="AM11" s="371"/>
      <c r="AN11" s="371"/>
      <c r="AO11" s="371"/>
      <c r="AP11" s="371"/>
      <c r="AQ11" s="371"/>
      <c r="AR11" s="371"/>
      <c r="AS11" s="371"/>
      <c r="AT11" s="371"/>
      <c r="AU11" s="371"/>
      <c r="AV11" s="371"/>
      <c r="AW11" s="371"/>
      <c r="AX11" s="371"/>
      <c r="AY11" s="371"/>
      <c r="AZ11" s="371"/>
      <c r="BA11" s="371"/>
      <c r="BB11" s="371"/>
      <c r="BC11" s="371"/>
      <c r="BD11" s="371"/>
      <c r="BE11" s="371"/>
      <c r="BF11" s="371"/>
      <c r="BG11" s="371"/>
      <c r="BH11" s="371"/>
      <c r="BI11" s="371"/>
      <c r="BJ11" s="371"/>
      <c r="BK11" s="371"/>
      <c r="BL11" s="371"/>
      <c r="BM11" s="371"/>
      <c r="BN11" s="371"/>
      <c r="BO11" s="371"/>
      <c r="BP11" s="371"/>
      <c r="BQ11" s="371"/>
      <c r="BR11" s="371"/>
      <c r="BS11" s="371"/>
      <c r="BT11" s="371"/>
      <c r="BU11" s="371"/>
      <c r="BV11" s="371"/>
      <c r="BW11" s="371"/>
      <c r="BX11" s="371"/>
      <c r="BY11" s="371"/>
      <c r="BZ11" s="371"/>
      <c r="CA11" s="371"/>
      <c r="CB11" s="371"/>
      <c r="CC11" s="371"/>
      <c r="CD11" s="371"/>
      <c r="CE11" s="371"/>
      <c r="CF11" s="371"/>
      <c r="CG11" s="371"/>
      <c r="CH11" s="371"/>
      <c r="CI11" s="371"/>
      <c r="CJ11" s="371"/>
    </row>
    <row r="12" spans="1:88" s="22" customFormat="1" ht="20.100000000000001" customHeight="1">
      <c r="A12" s="294"/>
      <c r="B12" s="294"/>
      <c r="C12" s="294"/>
      <c r="D12" s="277" t="s">
        <v>226</v>
      </c>
      <c r="E12" s="278">
        <v>100</v>
      </c>
      <c r="F12" s="278">
        <v>100</v>
      </c>
      <c r="G12" s="280">
        <v>15.3</v>
      </c>
      <c r="H12" s="280">
        <v>38.200000000000003</v>
      </c>
      <c r="I12" s="281">
        <v>2.5990000000000002</v>
      </c>
      <c r="J12" s="282">
        <v>2.5549999999999998E-4</v>
      </c>
      <c r="K12" s="294"/>
      <c r="L12" s="277" t="s">
        <v>226</v>
      </c>
      <c r="M12" s="278">
        <v>100</v>
      </c>
      <c r="N12" s="278">
        <v>100</v>
      </c>
      <c r="O12" s="280">
        <v>15.3</v>
      </c>
      <c r="P12" s="280">
        <v>38.200000000000003</v>
      </c>
      <c r="Q12" s="288">
        <v>22.900000000000002</v>
      </c>
      <c r="R12" s="281">
        <v>2.5990000000000002</v>
      </c>
      <c r="S12" s="282">
        <v>2.5549999999999998E-4</v>
      </c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  <c r="CD12" s="294"/>
      <c r="CE12" s="294"/>
      <c r="CF12" s="294"/>
      <c r="CG12" s="294"/>
      <c r="CH12" s="294"/>
      <c r="CI12" s="294"/>
      <c r="CJ12" s="294"/>
    </row>
    <row r="13" spans="1:88" s="22" customFormat="1" ht="20.100000000000001" customHeight="1">
      <c r="A13" s="294"/>
      <c r="B13" s="294"/>
      <c r="C13" s="294"/>
      <c r="D13" s="274" t="s">
        <v>227</v>
      </c>
      <c r="E13" s="275">
        <v>100</v>
      </c>
      <c r="F13" s="275">
        <v>100</v>
      </c>
      <c r="G13" s="296">
        <v>15.2</v>
      </c>
      <c r="H13" s="296">
        <v>37.9</v>
      </c>
      <c r="I13" s="386">
        <v>2.4245000000000001</v>
      </c>
      <c r="J13" s="387">
        <v>2.5520000000000002E-4</v>
      </c>
      <c r="K13" s="294"/>
      <c r="L13" s="274" t="s">
        <v>227</v>
      </c>
      <c r="M13" s="275">
        <v>100</v>
      </c>
      <c r="N13" s="275">
        <v>100</v>
      </c>
      <c r="O13" s="296">
        <v>15.2</v>
      </c>
      <c r="P13" s="296">
        <v>37.9</v>
      </c>
      <c r="Q13" s="211">
        <v>22.7</v>
      </c>
      <c r="R13" s="386">
        <v>2.4245000000000001</v>
      </c>
      <c r="S13" s="387">
        <v>2.5520000000000002E-4</v>
      </c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  <c r="CD13" s="294"/>
      <c r="CE13" s="294"/>
      <c r="CF13" s="294"/>
      <c r="CG13" s="294"/>
      <c r="CH13" s="294"/>
      <c r="CI13" s="294"/>
      <c r="CJ13" s="294"/>
    </row>
    <row r="14" spans="1:88" s="22" customFormat="1" ht="20.100000000000001" customHeight="1">
      <c r="A14" s="294"/>
      <c r="B14" s="294"/>
      <c r="C14" s="294"/>
      <c r="D14" s="277"/>
      <c r="E14" s="278"/>
      <c r="F14" s="278"/>
      <c r="G14" s="280"/>
      <c r="H14" s="280"/>
      <c r="I14" s="281"/>
      <c r="J14" s="282"/>
      <c r="K14" s="294"/>
      <c r="L14" s="277"/>
      <c r="M14" s="278"/>
      <c r="N14" s="278"/>
      <c r="O14" s="280"/>
      <c r="P14" s="280"/>
      <c r="Q14" s="288"/>
      <c r="R14" s="281"/>
      <c r="S14" s="282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  <c r="CD14" s="294"/>
      <c r="CE14" s="294"/>
      <c r="CF14" s="294"/>
      <c r="CG14" s="294"/>
      <c r="CH14" s="294"/>
      <c r="CI14" s="294"/>
      <c r="CJ14" s="294"/>
    </row>
    <row r="15" spans="1:88" s="22" customFormat="1" ht="20.100000000000001" customHeight="1">
      <c r="A15" s="294"/>
      <c r="B15" s="294"/>
      <c r="C15" s="294"/>
      <c r="D15" s="274"/>
      <c r="E15" s="275"/>
      <c r="F15" s="275"/>
      <c r="G15" s="296"/>
      <c r="H15" s="296"/>
      <c r="I15" s="386"/>
      <c r="J15" s="387"/>
      <c r="K15" s="294"/>
      <c r="L15" s="274"/>
      <c r="M15" s="275"/>
      <c r="N15" s="275"/>
      <c r="O15" s="296"/>
      <c r="P15" s="296"/>
      <c r="Q15" s="211"/>
      <c r="R15" s="386"/>
      <c r="S15" s="387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  <c r="CD15" s="294"/>
      <c r="CE15" s="294"/>
      <c r="CF15" s="294"/>
      <c r="CG15" s="294"/>
      <c r="CH15" s="294"/>
      <c r="CI15" s="294"/>
      <c r="CJ15" s="294"/>
    </row>
    <row r="16" spans="1:88" s="22" customFormat="1" ht="20.100000000000001" customHeight="1">
      <c r="A16" s="294"/>
      <c r="B16" s="294"/>
      <c r="C16" s="294"/>
      <c r="D16" s="277"/>
      <c r="E16" s="278"/>
      <c r="F16" s="278"/>
      <c r="G16" s="280"/>
      <c r="H16" s="280"/>
      <c r="I16" s="281"/>
      <c r="J16" s="282"/>
      <c r="K16" s="294"/>
      <c r="L16" s="277"/>
      <c r="M16" s="278"/>
      <c r="N16" s="278"/>
      <c r="O16" s="280"/>
      <c r="P16" s="280"/>
      <c r="Q16" s="288"/>
      <c r="R16" s="281"/>
      <c r="S16" s="282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  <c r="CD16" s="294"/>
      <c r="CE16" s="294"/>
      <c r="CF16" s="294"/>
      <c r="CG16" s="294"/>
      <c r="CH16" s="294"/>
      <c r="CI16" s="294"/>
      <c r="CJ16" s="294"/>
    </row>
    <row r="17" spans="1:88" s="22" customFormat="1" ht="20.100000000000001" customHeight="1">
      <c r="A17" s="294"/>
      <c r="B17" s="294"/>
      <c r="C17" s="294"/>
      <c r="D17" s="274"/>
      <c r="E17" s="275"/>
      <c r="F17" s="275"/>
      <c r="G17" s="296"/>
      <c r="H17" s="296"/>
      <c r="I17" s="386"/>
      <c r="J17" s="387"/>
      <c r="K17" s="294"/>
      <c r="L17" s="274"/>
      <c r="M17" s="275"/>
      <c r="N17" s="275"/>
      <c r="O17" s="296"/>
      <c r="P17" s="296"/>
      <c r="Q17" s="211"/>
      <c r="R17" s="386"/>
      <c r="S17" s="387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  <c r="CD17" s="294"/>
      <c r="CE17" s="294"/>
      <c r="CF17" s="294"/>
      <c r="CG17" s="294"/>
      <c r="CH17" s="294"/>
      <c r="CI17" s="294"/>
      <c r="CJ17" s="294"/>
    </row>
    <row r="18" spans="1:88" s="22" customFormat="1" ht="20.100000000000001" customHeight="1">
      <c r="A18" s="294"/>
      <c r="B18" s="294"/>
      <c r="C18" s="294"/>
      <c r="D18" s="277"/>
      <c r="E18" s="278"/>
      <c r="F18" s="278"/>
      <c r="G18" s="280"/>
      <c r="H18" s="280"/>
      <c r="I18" s="281"/>
      <c r="J18" s="282"/>
      <c r="K18" s="294"/>
      <c r="L18" s="277"/>
      <c r="M18" s="278"/>
      <c r="N18" s="278"/>
      <c r="O18" s="280"/>
      <c r="P18" s="280"/>
      <c r="Q18" s="288"/>
      <c r="R18" s="281"/>
      <c r="S18" s="282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  <c r="CD18" s="294"/>
      <c r="CE18" s="294"/>
      <c r="CF18" s="294"/>
      <c r="CG18" s="294"/>
      <c r="CH18" s="294"/>
      <c r="CI18" s="294"/>
      <c r="CJ18" s="294"/>
    </row>
    <row r="19" spans="1:88" s="22" customFormat="1" ht="20.100000000000001" customHeight="1">
      <c r="A19" s="294"/>
      <c r="B19" s="294"/>
      <c r="C19" s="294"/>
      <c r="D19" s="274"/>
      <c r="E19" s="275"/>
      <c r="F19" s="275"/>
      <c r="G19" s="296"/>
      <c r="H19" s="296"/>
      <c r="I19" s="386"/>
      <c r="J19" s="387"/>
      <c r="K19" s="294"/>
      <c r="L19" s="274"/>
      <c r="M19" s="275"/>
      <c r="N19" s="275"/>
      <c r="O19" s="296"/>
      <c r="P19" s="296"/>
      <c r="Q19" s="211"/>
      <c r="R19" s="386"/>
      <c r="S19" s="387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  <c r="CD19" s="294"/>
      <c r="CE19" s="294"/>
      <c r="CF19" s="294"/>
      <c r="CG19" s="294"/>
      <c r="CH19" s="294"/>
      <c r="CI19" s="294"/>
      <c r="CJ19" s="294"/>
    </row>
    <row r="20" spans="1:88" s="22" customFormat="1" ht="20.100000000000001" customHeight="1">
      <c r="A20" s="294"/>
      <c r="B20" s="294"/>
      <c r="C20" s="294"/>
      <c r="D20" s="277"/>
      <c r="E20" s="278"/>
      <c r="F20" s="278"/>
      <c r="G20" s="280"/>
      <c r="H20" s="280"/>
      <c r="I20" s="281"/>
      <c r="J20" s="282"/>
      <c r="K20" s="294"/>
      <c r="L20" s="277"/>
      <c r="M20" s="278"/>
      <c r="N20" s="278"/>
      <c r="O20" s="280"/>
      <c r="P20" s="280"/>
      <c r="Q20" s="288"/>
      <c r="R20" s="281"/>
      <c r="S20" s="282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  <c r="AU20" s="294"/>
      <c r="AV20" s="294"/>
      <c r="AW20" s="294"/>
      <c r="AX20" s="294"/>
      <c r="AY20" s="294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BJ20" s="294"/>
      <c r="BK20" s="294"/>
      <c r="BL20" s="294"/>
      <c r="BM20" s="294"/>
      <c r="BN20" s="294"/>
      <c r="BO20" s="294"/>
      <c r="BP20" s="294"/>
      <c r="BQ20" s="294"/>
      <c r="BR20" s="294"/>
      <c r="BS20" s="294"/>
      <c r="BT20" s="294"/>
      <c r="BU20" s="294"/>
      <c r="BV20" s="294"/>
      <c r="BW20" s="294"/>
      <c r="BX20" s="294"/>
      <c r="BY20" s="294"/>
      <c r="BZ20" s="294"/>
      <c r="CA20" s="294"/>
      <c r="CB20" s="294"/>
      <c r="CC20" s="294"/>
      <c r="CD20" s="294"/>
      <c r="CE20" s="294"/>
      <c r="CF20" s="294"/>
      <c r="CG20" s="294"/>
      <c r="CH20" s="294"/>
      <c r="CI20" s="294"/>
      <c r="CJ20" s="294"/>
    </row>
    <row r="21" spans="1:88" s="22" customFormat="1" ht="20.100000000000001" customHeight="1">
      <c r="A21" s="294"/>
      <c r="B21" s="294"/>
      <c r="C21" s="294"/>
      <c r="D21" s="274"/>
      <c r="E21" s="275"/>
      <c r="F21" s="275"/>
      <c r="G21" s="296"/>
      <c r="H21" s="296"/>
      <c r="I21" s="386"/>
      <c r="J21" s="387"/>
      <c r="K21" s="294"/>
      <c r="L21" s="274"/>
      <c r="M21" s="275"/>
      <c r="N21" s="275"/>
      <c r="O21" s="296"/>
      <c r="P21" s="296"/>
      <c r="Q21" s="211"/>
      <c r="R21" s="386"/>
      <c r="S21" s="387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  <c r="AU21" s="294"/>
      <c r="AV21" s="294"/>
      <c r="AW21" s="294"/>
      <c r="AX21" s="294"/>
      <c r="AY21" s="294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BJ21" s="294"/>
      <c r="BK21" s="294"/>
      <c r="BL21" s="294"/>
      <c r="BM21" s="294"/>
      <c r="BN21" s="294"/>
      <c r="BO21" s="294"/>
      <c r="BP21" s="294"/>
      <c r="BQ21" s="294"/>
      <c r="BR21" s="294"/>
      <c r="BS21" s="294"/>
      <c r="BT21" s="294"/>
      <c r="BU21" s="294"/>
      <c r="BV21" s="294"/>
      <c r="BW21" s="294"/>
      <c r="BX21" s="294"/>
      <c r="BY21" s="294"/>
      <c r="BZ21" s="294"/>
      <c r="CA21" s="294"/>
      <c r="CB21" s="294"/>
      <c r="CC21" s="294"/>
      <c r="CD21" s="294"/>
      <c r="CE21" s="294"/>
      <c r="CF21" s="294"/>
      <c r="CG21" s="294"/>
      <c r="CH21" s="294"/>
      <c r="CI21" s="294"/>
      <c r="CJ21" s="294"/>
    </row>
    <row r="22" spans="1:88" s="22" customFormat="1" ht="20.100000000000001" hidden="1" customHeight="1" outlineLevel="1">
      <c r="A22" s="294"/>
      <c r="B22" s="294"/>
      <c r="C22" s="294"/>
      <c r="D22" s="277"/>
      <c r="E22" s="278"/>
      <c r="F22" s="278"/>
      <c r="G22" s="280"/>
      <c r="H22" s="280"/>
      <c r="I22" s="281"/>
      <c r="J22" s="282"/>
      <c r="K22" s="294"/>
      <c r="L22" s="277"/>
      <c r="M22" s="278"/>
      <c r="N22" s="278"/>
      <c r="O22" s="280"/>
      <c r="P22" s="280"/>
      <c r="Q22" s="288"/>
      <c r="R22" s="281"/>
      <c r="S22" s="282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  <c r="CD22" s="294"/>
      <c r="CE22" s="294"/>
      <c r="CF22" s="294"/>
      <c r="CG22" s="294"/>
      <c r="CH22" s="294"/>
      <c r="CI22" s="294"/>
      <c r="CJ22" s="294"/>
    </row>
    <row r="23" spans="1:88" s="22" customFormat="1" ht="20.100000000000001" hidden="1" customHeight="1" outlineLevel="1">
      <c r="A23" s="294"/>
      <c r="B23" s="294"/>
      <c r="C23" s="294"/>
      <c r="D23" s="274"/>
      <c r="E23" s="275"/>
      <c r="F23" s="275"/>
      <c r="G23" s="296"/>
      <c r="H23" s="296"/>
      <c r="I23" s="386"/>
      <c r="J23" s="387"/>
      <c r="K23" s="294"/>
      <c r="L23" s="274"/>
      <c r="M23" s="275"/>
      <c r="N23" s="275"/>
      <c r="O23" s="296"/>
      <c r="P23" s="296"/>
      <c r="Q23" s="211"/>
      <c r="R23" s="386"/>
      <c r="S23" s="387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  <c r="AU23" s="294"/>
      <c r="AV23" s="294"/>
      <c r="AW23" s="294"/>
      <c r="AX23" s="294"/>
      <c r="AY23" s="294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BJ23" s="294"/>
      <c r="BK23" s="294"/>
      <c r="BL23" s="294"/>
      <c r="BM23" s="294"/>
      <c r="BN23" s="294"/>
      <c r="BO23" s="294"/>
      <c r="BP23" s="294"/>
      <c r="BQ23" s="294"/>
      <c r="BR23" s="294"/>
      <c r="BS23" s="294"/>
      <c r="BT23" s="294"/>
      <c r="BU23" s="294"/>
      <c r="BV23" s="294"/>
      <c r="BW23" s="294"/>
      <c r="BX23" s="294"/>
      <c r="BY23" s="294"/>
      <c r="BZ23" s="294"/>
      <c r="CA23" s="294"/>
      <c r="CB23" s="294"/>
      <c r="CC23" s="294"/>
      <c r="CD23" s="294"/>
      <c r="CE23" s="294"/>
      <c r="CF23" s="294"/>
      <c r="CG23" s="294"/>
      <c r="CH23" s="294"/>
      <c r="CI23" s="294"/>
      <c r="CJ23" s="294"/>
    </row>
    <row r="24" spans="1:88" s="22" customFormat="1" ht="20.100000000000001" hidden="1" customHeight="1" outlineLevel="1">
      <c r="A24" s="294"/>
      <c r="B24" s="294"/>
      <c r="C24" s="294"/>
      <c r="D24" s="277"/>
      <c r="E24" s="278"/>
      <c r="F24" s="278"/>
      <c r="G24" s="280"/>
      <c r="H24" s="280"/>
      <c r="I24" s="281"/>
      <c r="J24" s="282"/>
      <c r="K24" s="294"/>
      <c r="L24" s="277"/>
      <c r="M24" s="278"/>
      <c r="N24" s="278"/>
      <c r="O24" s="280"/>
      <c r="P24" s="280"/>
      <c r="Q24" s="288"/>
      <c r="R24" s="281"/>
      <c r="S24" s="282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  <c r="AU24" s="294"/>
      <c r="AV24" s="294"/>
      <c r="AW24" s="294"/>
      <c r="AX24" s="294"/>
      <c r="AY24" s="294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BJ24" s="294"/>
      <c r="BK24" s="294"/>
      <c r="BL24" s="294"/>
      <c r="BM24" s="294"/>
      <c r="BN24" s="294"/>
      <c r="BO24" s="294"/>
      <c r="BP24" s="294"/>
      <c r="BQ24" s="294"/>
      <c r="BR24" s="294"/>
      <c r="BS24" s="294"/>
      <c r="BT24" s="294"/>
      <c r="BU24" s="294"/>
      <c r="BV24" s="294"/>
      <c r="BW24" s="294"/>
      <c r="BX24" s="294"/>
      <c r="BY24" s="294"/>
      <c r="BZ24" s="294"/>
      <c r="CA24" s="294"/>
      <c r="CB24" s="294"/>
      <c r="CC24" s="294"/>
      <c r="CD24" s="294"/>
      <c r="CE24" s="294"/>
      <c r="CF24" s="294"/>
      <c r="CG24" s="294"/>
      <c r="CH24" s="294"/>
      <c r="CI24" s="294"/>
      <c r="CJ24" s="294"/>
    </row>
    <row r="25" spans="1:88" s="22" customFormat="1" ht="20.100000000000001" hidden="1" customHeight="1" outlineLevel="1">
      <c r="A25" s="294"/>
      <c r="B25" s="294"/>
      <c r="C25" s="294"/>
      <c r="D25" s="274"/>
      <c r="E25" s="275"/>
      <c r="F25" s="275"/>
      <c r="G25" s="296"/>
      <c r="H25" s="296"/>
      <c r="I25" s="386"/>
      <c r="J25" s="387"/>
      <c r="K25" s="294"/>
      <c r="L25" s="274"/>
      <c r="M25" s="275"/>
      <c r="N25" s="275"/>
      <c r="O25" s="296"/>
      <c r="P25" s="296"/>
      <c r="Q25" s="211"/>
      <c r="R25" s="386"/>
      <c r="S25" s="387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294"/>
      <c r="BM25" s="294"/>
      <c r="BN25" s="294"/>
      <c r="BO25" s="294"/>
      <c r="BP25" s="294"/>
      <c r="BQ25" s="294"/>
      <c r="BR25" s="294"/>
      <c r="BS25" s="294"/>
      <c r="BT25" s="294"/>
      <c r="BU25" s="294"/>
      <c r="BV25" s="294"/>
      <c r="BW25" s="294"/>
      <c r="BX25" s="294"/>
      <c r="BY25" s="294"/>
      <c r="BZ25" s="294"/>
      <c r="CA25" s="294"/>
      <c r="CB25" s="294"/>
      <c r="CC25" s="294"/>
      <c r="CD25" s="294"/>
      <c r="CE25" s="294"/>
      <c r="CF25" s="294"/>
      <c r="CG25" s="294"/>
      <c r="CH25" s="294"/>
      <c r="CI25" s="294"/>
      <c r="CJ25" s="294"/>
    </row>
    <row r="26" spans="1:88" s="22" customFormat="1" ht="20.100000000000001" hidden="1" customHeight="1" outlineLevel="1">
      <c r="A26" s="294"/>
      <c r="B26" s="294"/>
      <c r="C26" s="294"/>
      <c r="D26" s="277"/>
      <c r="E26" s="278"/>
      <c r="F26" s="278"/>
      <c r="G26" s="280"/>
      <c r="H26" s="280"/>
      <c r="I26" s="281"/>
      <c r="J26" s="282"/>
      <c r="K26" s="294"/>
      <c r="L26" s="277"/>
      <c r="M26" s="278"/>
      <c r="N26" s="278"/>
      <c r="O26" s="280"/>
      <c r="P26" s="280"/>
      <c r="Q26" s="288"/>
      <c r="R26" s="281"/>
      <c r="S26" s="282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294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BJ26" s="294"/>
      <c r="BK26" s="294"/>
      <c r="BL26" s="294"/>
      <c r="BM26" s="294"/>
      <c r="BN26" s="294"/>
      <c r="BO26" s="294"/>
      <c r="BP26" s="294"/>
      <c r="BQ26" s="294"/>
      <c r="BR26" s="294"/>
      <c r="BS26" s="294"/>
      <c r="BT26" s="294"/>
      <c r="BU26" s="294"/>
      <c r="BV26" s="294"/>
      <c r="BW26" s="294"/>
      <c r="BX26" s="294"/>
      <c r="BY26" s="294"/>
      <c r="BZ26" s="294"/>
      <c r="CA26" s="294"/>
      <c r="CB26" s="294"/>
      <c r="CC26" s="294"/>
      <c r="CD26" s="294"/>
      <c r="CE26" s="294"/>
      <c r="CF26" s="294"/>
      <c r="CG26" s="294"/>
      <c r="CH26" s="294"/>
      <c r="CI26" s="294"/>
      <c r="CJ26" s="294"/>
    </row>
    <row r="27" spans="1:88" s="22" customFormat="1" ht="20.100000000000001" hidden="1" customHeight="1" outlineLevel="1">
      <c r="A27" s="294"/>
      <c r="B27" s="294"/>
      <c r="C27" s="294"/>
      <c r="D27" s="274"/>
      <c r="E27" s="275"/>
      <c r="F27" s="275"/>
      <c r="G27" s="296"/>
      <c r="H27" s="296"/>
      <c r="I27" s="386"/>
      <c r="J27" s="387"/>
      <c r="K27" s="294"/>
      <c r="L27" s="274"/>
      <c r="M27" s="275"/>
      <c r="N27" s="275"/>
      <c r="O27" s="296"/>
      <c r="P27" s="296"/>
      <c r="Q27" s="391"/>
      <c r="R27" s="386"/>
      <c r="S27" s="387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294"/>
      <c r="AZ27" s="294"/>
      <c r="BA27" s="294"/>
      <c r="BB27" s="294"/>
      <c r="BC27" s="294"/>
      <c r="BD27" s="294"/>
      <c r="BE27" s="294"/>
      <c r="BF27" s="294"/>
      <c r="BG27" s="294"/>
      <c r="BH27" s="294"/>
      <c r="BI27" s="294"/>
      <c r="BJ27" s="294"/>
      <c r="BK27" s="294"/>
      <c r="BL27" s="294"/>
      <c r="BM27" s="294"/>
      <c r="BN27" s="294"/>
      <c r="BO27" s="294"/>
      <c r="BP27" s="294"/>
      <c r="BQ27" s="294"/>
      <c r="BR27" s="294"/>
      <c r="BS27" s="294"/>
      <c r="BT27" s="294"/>
      <c r="BU27" s="294"/>
      <c r="BV27" s="294"/>
      <c r="BW27" s="294"/>
      <c r="BX27" s="294"/>
      <c r="BY27" s="294"/>
      <c r="BZ27" s="294"/>
      <c r="CA27" s="294"/>
      <c r="CB27" s="294"/>
      <c r="CC27" s="294"/>
      <c r="CD27" s="294"/>
      <c r="CE27" s="294"/>
      <c r="CF27" s="294"/>
      <c r="CG27" s="294"/>
      <c r="CH27" s="294"/>
      <c r="CI27" s="294"/>
      <c r="CJ27" s="294"/>
    </row>
    <row r="28" spans="1:88" s="22" customFormat="1" ht="20.100000000000001" hidden="1" customHeight="1" outlineLevel="1">
      <c r="A28" s="294"/>
      <c r="B28" s="294"/>
      <c r="C28" s="294"/>
      <c r="D28" s="277"/>
      <c r="E28" s="278"/>
      <c r="F28" s="278"/>
      <c r="G28" s="280"/>
      <c r="H28" s="280"/>
      <c r="I28" s="281"/>
      <c r="J28" s="282"/>
      <c r="K28" s="294"/>
      <c r="L28" s="277"/>
      <c r="M28" s="278"/>
      <c r="N28" s="278"/>
      <c r="O28" s="280"/>
      <c r="P28" s="280"/>
      <c r="Q28" s="289"/>
      <c r="R28" s="281"/>
      <c r="S28" s="282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  <c r="AU28" s="294"/>
      <c r="AV28" s="294"/>
      <c r="AW28" s="294"/>
      <c r="AX28" s="294"/>
      <c r="AY28" s="294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4"/>
      <c r="BR28" s="294"/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4"/>
      <c r="CI28" s="294"/>
      <c r="CJ28" s="294"/>
    </row>
    <row r="29" spans="1:88" s="22" customFormat="1" ht="20.100000000000001" hidden="1" customHeight="1" outlineLevel="1">
      <c r="A29" s="294"/>
      <c r="B29" s="294"/>
      <c r="C29" s="294"/>
      <c r="D29" s="274"/>
      <c r="E29" s="275"/>
      <c r="F29" s="275"/>
      <c r="G29" s="296"/>
      <c r="H29" s="296"/>
      <c r="I29" s="386"/>
      <c r="J29" s="387"/>
      <c r="K29" s="294"/>
      <c r="L29" s="274"/>
      <c r="M29" s="275"/>
      <c r="N29" s="275"/>
      <c r="O29" s="296"/>
      <c r="P29" s="296"/>
      <c r="Q29" s="391"/>
      <c r="R29" s="386"/>
      <c r="S29" s="387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  <c r="BJ29" s="294"/>
      <c r="BK29" s="294"/>
      <c r="BL29" s="294"/>
      <c r="BM29" s="294"/>
      <c r="BN29" s="294"/>
      <c r="BO29" s="294"/>
      <c r="BP29" s="294"/>
      <c r="BQ29" s="294"/>
      <c r="BR29" s="294"/>
      <c r="BS29" s="294"/>
      <c r="BT29" s="294"/>
      <c r="BU29" s="294"/>
      <c r="BV29" s="294"/>
      <c r="BW29" s="294"/>
      <c r="BX29" s="294"/>
      <c r="BY29" s="294"/>
      <c r="BZ29" s="294"/>
      <c r="CA29" s="294"/>
      <c r="CB29" s="294"/>
      <c r="CC29" s="294"/>
      <c r="CD29" s="294"/>
      <c r="CE29" s="294"/>
      <c r="CF29" s="294"/>
      <c r="CG29" s="294"/>
      <c r="CH29" s="294"/>
      <c r="CI29" s="294"/>
      <c r="CJ29" s="294"/>
    </row>
    <row r="30" spans="1:88" s="22" customFormat="1" ht="20.100000000000001" hidden="1" customHeight="1" outlineLevel="1">
      <c r="A30" s="294"/>
      <c r="B30" s="294"/>
      <c r="C30" s="294"/>
      <c r="D30" s="277"/>
      <c r="E30" s="278"/>
      <c r="F30" s="278"/>
      <c r="G30" s="280"/>
      <c r="H30" s="280"/>
      <c r="I30" s="281"/>
      <c r="J30" s="282"/>
      <c r="K30" s="294"/>
      <c r="L30" s="277"/>
      <c r="M30" s="278"/>
      <c r="N30" s="278"/>
      <c r="O30" s="280"/>
      <c r="P30" s="280"/>
      <c r="Q30" s="289"/>
      <c r="R30" s="281"/>
      <c r="S30" s="282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  <c r="BJ30" s="294"/>
      <c r="BK30" s="294"/>
      <c r="BL30" s="294"/>
      <c r="BM30" s="294"/>
      <c r="BN30" s="294"/>
      <c r="BO30" s="294"/>
      <c r="BP30" s="294"/>
      <c r="BQ30" s="294"/>
      <c r="BR30" s="294"/>
      <c r="BS30" s="294"/>
      <c r="BT30" s="294"/>
      <c r="BU30" s="294"/>
      <c r="BV30" s="294"/>
      <c r="BW30" s="294"/>
      <c r="BX30" s="294"/>
      <c r="BY30" s="294"/>
      <c r="BZ30" s="294"/>
      <c r="CA30" s="294"/>
      <c r="CB30" s="294"/>
      <c r="CC30" s="294"/>
      <c r="CD30" s="294"/>
      <c r="CE30" s="294"/>
      <c r="CF30" s="294"/>
      <c r="CG30" s="294"/>
      <c r="CH30" s="294"/>
      <c r="CI30" s="294"/>
      <c r="CJ30" s="294"/>
    </row>
    <row r="31" spans="1:88" s="22" customFormat="1" ht="20.100000000000001" hidden="1" customHeight="1" outlineLevel="1">
      <c r="A31" s="294"/>
      <c r="B31" s="294"/>
      <c r="C31" s="294"/>
      <c r="D31" s="274"/>
      <c r="E31" s="275"/>
      <c r="F31" s="275"/>
      <c r="G31" s="296"/>
      <c r="H31" s="296"/>
      <c r="I31" s="386"/>
      <c r="J31" s="387"/>
      <c r="K31" s="294"/>
      <c r="L31" s="274"/>
      <c r="M31" s="275"/>
      <c r="N31" s="275"/>
      <c r="O31" s="296"/>
      <c r="P31" s="296"/>
      <c r="Q31" s="391"/>
      <c r="R31" s="386"/>
      <c r="S31" s="387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BJ31" s="294"/>
      <c r="BK31" s="294"/>
      <c r="BL31" s="294"/>
      <c r="BM31" s="294"/>
      <c r="BN31" s="294"/>
      <c r="BO31" s="294"/>
      <c r="BP31" s="294"/>
      <c r="BQ31" s="294"/>
      <c r="BR31" s="294"/>
      <c r="BS31" s="294"/>
      <c r="BT31" s="294"/>
      <c r="BU31" s="294"/>
      <c r="BV31" s="294"/>
      <c r="BW31" s="294"/>
      <c r="BX31" s="294"/>
      <c r="BY31" s="294"/>
      <c r="BZ31" s="294"/>
      <c r="CA31" s="294"/>
      <c r="CB31" s="294"/>
      <c r="CC31" s="294"/>
      <c r="CD31" s="294"/>
      <c r="CE31" s="294"/>
      <c r="CF31" s="294"/>
      <c r="CG31" s="294"/>
      <c r="CH31" s="294"/>
      <c r="CI31" s="294"/>
      <c r="CJ31" s="294"/>
    </row>
    <row r="32" spans="1:88" s="22" customFormat="1" ht="20.100000000000001" hidden="1" customHeight="1" outlineLevel="1">
      <c r="A32" s="294"/>
      <c r="B32" s="294"/>
      <c r="C32" s="294"/>
      <c r="D32" s="277"/>
      <c r="E32" s="278"/>
      <c r="F32" s="278"/>
      <c r="G32" s="280"/>
      <c r="H32" s="280"/>
      <c r="I32" s="281"/>
      <c r="J32" s="282"/>
      <c r="K32" s="294"/>
      <c r="L32" s="277"/>
      <c r="M32" s="278"/>
      <c r="N32" s="278"/>
      <c r="O32" s="280"/>
      <c r="P32" s="280"/>
      <c r="Q32" s="289"/>
      <c r="R32" s="281"/>
      <c r="S32" s="282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BJ32" s="294"/>
      <c r="BK32" s="294"/>
      <c r="BL32" s="294"/>
      <c r="BM32" s="294"/>
      <c r="BN32" s="294"/>
      <c r="BO32" s="294"/>
      <c r="BP32" s="294"/>
      <c r="BQ32" s="294"/>
      <c r="BR32" s="294"/>
      <c r="BS32" s="294"/>
      <c r="BT32" s="294"/>
      <c r="BU32" s="294"/>
      <c r="BV32" s="294"/>
      <c r="BW32" s="294"/>
      <c r="BX32" s="294"/>
      <c r="BY32" s="294"/>
      <c r="BZ32" s="294"/>
      <c r="CA32" s="294"/>
      <c r="CB32" s="294"/>
      <c r="CC32" s="294"/>
      <c r="CD32" s="294"/>
      <c r="CE32" s="294"/>
      <c r="CF32" s="294"/>
      <c r="CG32" s="294"/>
      <c r="CH32" s="294"/>
      <c r="CI32" s="294"/>
      <c r="CJ32" s="294"/>
    </row>
    <row r="33" spans="1:88" s="22" customFormat="1" ht="20.100000000000001" hidden="1" customHeight="1" outlineLevel="1">
      <c r="A33" s="294"/>
      <c r="B33" s="294"/>
      <c r="C33" s="294"/>
      <c r="D33" s="274"/>
      <c r="E33" s="275"/>
      <c r="F33" s="275"/>
      <c r="G33" s="296"/>
      <c r="H33" s="296"/>
      <c r="I33" s="386"/>
      <c r="J33" s="387"/>
      <c r="K33" s="294"/>
      <c r="L33" s="274"/>
      <c r="M33" s="275"/>
      <c r="N33" s="275"/>
      <c r="O33" s="296"/>
      <c r="P33" s="296"/>
      <c r="Q33" s="391"/>
      <c r="R33" s="386"/>
      <c r="S33" s="387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294"/>
      <c r="CJ33" s="294"/>
    </row>
    <row r="34" spans="1:88" s="22" customFormat="1" ht="20.100000000000001" hidden="1" customHeight="1" outlineLevel="1">
      <c r="A34" s="294"/>
      <c r="B34" s="294"/>
      <c r="C34" s="294"/>
      <c r="D34" s="277"/>
      <c r="E34" s="278"/>
      <c r="F34" s="278"/>
      <c r="G34" s="280"/>
      <c r="H34" s="280"/>
      <c r="I34" s="281"/>
      <c r="J34" s="282"/>
      <c r="K34" s="294"/>
      <c r="L34" s="277"/>
      <c r="M34" s="278"/>
      <c r="N34" s="278"/>
      <c r="O34" s="280"/>
      <c r="P34" s="280"/>
      <c r="Q34" s="289"/>
      <c r="R34" s="281"/>
      <c r="S34" s="282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BJ34" s="294"/>
      <c r="BK34" s="294"/>
      <c r="BL34" s="294"/>
      <c r="BM34" s="294"/>
      <c r="BN34" s="294"/>
      <c r="BO34" s="294"/>
      <c r="BP34" s="294"/>
      <c r="BQ34" s="294"/>
      <c r="BR34" s="294"/>
      <c r="BS34" s="294"/>
      <c r="BT34" s="294"/>
      <c r="BU34" s="294"/>
      <c r="BV34" s="294"/>
      <c r="BW34" s="294"/>
      <c r="BX34" s="294"/>
      <c r="BY34" s="294"/>
      <c r="BZ34" s="294"/>
      <c r="CA34" s="294"/>
      <c r="CB34" s="294"/>
      <c r="CC34" s="294"/>
      <c r="CD34" s="294"/>
      <c r="CE34" s="294"/>
      <c r="CF34" s="294"/>
      <c r="CG34" s="294"/>
      <c r="CH34" s="294"/>
      <c r="CI34" s="294"/>
      <c r="CJ34" s="294"/>
    </row>
    <row r="35" spans="1:88" s="22" customFormat="1" ht="20.100000000000001" hidden="1" customHeight="1" outlineLevel="1">
      <c r="A35" s="294"/>
      <c r="B35" s="294"/>
      <c r="C35" s="294"/>
      <c r="D35" s="274"/>
      <c r="E35" s="275"/>
      <c r="F35" s="275"/>
      <c r="G35" s="296"/>
      <c r="H35" s="296"/>
      <c r="I35" s="386"/>
      <c r="J35" s="387"/>
      <c r="K35" s="294"/>
      <c r="L35" s="274"/>
      <c r="M35" s="275"/>
      <c r="N35" s="275"/>
      <c r="O35" s="296"/>
      <c r="P35" s="296"/>
      <c r="Q35" s="391"/>
      <c r="R35" s="386"/>
      <c r="S35" s="387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</row>
    <row r="36" spans="1:88" s="22" customFormat="1" ht="20.100000000000001" hidden="1" customHeight="1" outlineLevel="1">
      <c r="A36" s="294"/>
      <c r="B36" s="294"/>
      <c r="C36" s="294"/>
      <c r="D36" s="277"/>
      <c r="E36" s="278"/>
      <c r="F36" s="278"/>
      <c r="G36" s="280"/>
      <c r="H36" s="280"/>
      <c r="I36" s="281"/>
      <c r="J36" s="282"/>
      <c r="K36" s="294"/>
      <c r="L36" s="277"/>
      <c r="M36" s="278"/>
      <c r="N36" s="278"/>
      <c r="O36" s="280"/>
      <c r="P36" s="280"/>
      <c r="Q36" s="289"/>
      <c r="R36" s="281"/>
      <c r="S36" s="282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</row>
    <row r="37" spans="1:88" s="22" customFormat="1" ht="20.100000000000001" hidden="1" customHeight="1" outlineLevel="1">
      <c r="A37" s="294"/>
      <c r="B37" s="294"/>
      <c r="C37" s="294"/>
      <c r="D37" s="274"/>
      <c r="E37" s="275"/>
      <c r="F37" s="275"/>
      <c r="G37" s="296"/>
      <c r="H37" s="296"/>
      <c r="I37" s="386"/>
      <c r="J37" s="387"/>
      <c r="K37" s="294"/>
      <c r="L37" s="274"/>
      <c r="M37" s="275"/>
      <c r="N37" s="275"/>
      <c r="O37" s="296"/>
      <c r="P37" s="296"/>
      <c r="Q37" s="391"/>
      <c r="R37" s="386"/>
      <c r="S37" s="387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  <c r="BG37" s="294"/>
      <c r="BH37" s="294"/>
      <c r="BI37" s="294"/>
      <c r="BJ37" s="294"/>
      <c r="BK37" s="294"/>
      <c r="BL37" s="294"/>
      <c r="BM37" s="294"/>
      <c r="BN37" s="294"/>
      <c r="BO37" s="294"/>
      <c r="BP37" s="294"/>
      <c r="BQ37" s="294"/>
      <c r="BR37" s="294"/>
      <c r="BS37" s="294"/>
      <c r="BT37" s="294"/>
      <c r="BU37" s="294"/>
      <c r="BV37" s="294"/>
      <c r="BW37" s="294"/>
      <c r="BX37" s="294"/>
      <c r="BY37" s="294"/>
      <c r="BZ37" s="294"/>
      <c r="CA37" s="294"/>
      <c r="CB37" s="294"/>
      <c r="CC37" s="294"/>
      <c r="CD37" s="294"/>
      <c r="CE37" s="294"/>
      <c r="CF37" s="294"/>
      <c r="CG37" s="294"/>
      <c r="CH37" s="294"/>
      <c r="CI37" s="294"/>
      <c r="CJ37" s="294"/>
    </row>
    <row r="38" spans="1:88" s="22" customFormat="1" ht="20.100000000000001" hidden="1" customHeight="1" outlineLevel="1">
      <c r="A38" s="294"/>
      <c r="B38" s="294"/>
      <c r="C38" s="294"/>
      <c r="D38" s="277"/>
      <c r="E38" s="278"/>
      <c r="F38" s="278"/>
      <c r="G38" s="280"/>
      <c r="H38" s="280"/>
      <c r="I38" s="281"/>
      <c r="J38" s="282"/>
      <c r="K38" s="294"/>
      <c r="L38" s="277"/>
      <c r="M38" s="278"/>
      <c r="N38" s="278"/>
      <c r="O38" s="280"/>
      <c r="P38" s="280"/>
      <c r="Q38" s="289"/>
      <c r="R38" s="281"/>
      <c r="S38" s="282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  <c r="BJ38" s="294"/>
      <c r="BK38" s="294"/>
      <c r="BL38" s="294"/>
      <c r="BM38" s="294"/>
      <c r="BN38" s="294"/>
      <c r="BO38" s="294"/>
      <c r="BP38" s="294"/>
      <c r="BQ38" s="294"/>
      <c r="BR38" s="294"/>
      <c r="BS38" s="294"/>
      <c r="BT38" s="294"/>
      <c r="BU38" s="294"/>
      <c r="BV38" s="294"/>
      <c r="BW38" s="294"/>
      <c r="BX38" s="294"/>
      <c r="BY38" s="294"/>
      <c r="BZ38" s="294"/>
      <c r="CA38" s="294"/>
      <c r="CB38" s="294"/>
      <c r="CC38" s="294"/>
      <c r="CD38" s="294"/>
      <c r="CE38" s="294"/>
      <c r="CF38" s="294"/>
      <c r="CG38" s="294"/>
      <c r="CH38" s="294"/>
      <c r="CI38" s="294"/>
      <c r="CJ38" s="294"/>
    </row>
    <row r="39" spans="1:88" s="22" customFormat="1" ht="20.100000000000001" hidden="1" customHeight="1" outlineLevel="1">
      <c r="A39" s="294"/>
      <c r="B39" s="294"/>
      <c r="C39" s="294"/>
      <c r="D39" s="274"/>
      <c r="E39" s="275"/>
      <c r="F39" s="275"/>
      <c r="G39" s="296"/>
      <c r="H39" s="296"/>
      <c r="I39" s="386"/>
      <c r="J39" s="387"/>
      <c r="K39" s="294"/>
      <c r="L39" s="274"/>
      <c r="M39" s="275"/>
      <c r="N39" s="275"/>
      <c r="O39" s="296"/>
      <c r="P39" s="296"/>
      <c r="Q39" s="391"/>
      <c r="R39" s="386"/>
      <c r="S39" s="387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94"/>
      <c r="BY39" s="294"/>
      <c r="BZ39" s="294"/>
      <c r="CA39" s="294"/>
      <c r="CB39" s="294"/>
      <c r="CC39" s="294"/>
      <c r="CD39" s="294"/>
      <c r="CE39" s="294"/>
      <c r="CF39" s="294"/>
      <c r="CG39" s="294"/>
      <c r="CH39" s="294"/>
      <c r="CI39" s="294"/>
      <c r="CJ39" s="294"/>
    </row>
    <row r="40" spans="1:88" s="22" customFormat="1" ht="20.100000000000001" hidden="1" customHeight="1" outlineLevel="1">
      <c r="A40" s="294"/>
      <c r="B40" s="294"/>
      <c r="C40" s="294"/>
      <c r="D40" s="283"/>
      <c r="E40" s="284"/>
      <c r="F40" s="284"/>
      <c r="G40" s="285"/>
      <c r="H40" s="285"/>
      <c r="I40" s="286"/>
      <c r="J40" s="287"/>
      <c r="K40" s="294"/>
      <c r="L40" s="283"/>
      <c r="M40" s="284"/>
      <c r="N40" s="284"/>
      <c r="O40" s="285"/>
      <c r="P40" s="285"/>
      <c r="Q40" s="290"/>
      <c r="R40" s="286"/>
      <c r="S40" s="287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  <c r="BJ40" s="294"/>
      <c r="BK40" s="294"/>
      <c r="BL40" s="294"/>
      <c r="BM40" s="294"/>
      <c r="BN40" s="294"/>
      <c r="BO40" s="294"/>
      <c r="BP40" s="294"/>
      <c r="BQ40" s="294"/>
      <c r="BR40" s="294"/>
      <c r="BS40" s="294"/>
      <c r="BT40" s="294"/>
      <c r="BU40" s="294"/>
      <c r="BV40" s="294"/>
      <c r="BW40" s="294"/>
      <c r="BX40" s="294"/>
      <c r="BY40" s="294"/>
      <c r="BZ40" s="294"/>
      <c r="CA40" s="294"/>
      <c r="CB40" s="294"/>
      <c r="CC40" s="294"/>
      <c r="CD40" s="294"/>
      <c r="CE40" s="294"/>
      <c r="CF40" s="294"/>
      <c r="CG40" s="294"/>
      <c r="CH40" s="294"/>
      <c r="CI40" s="294"/>
      <c r="CJ40" s="294"/>
    </row>
    <row r="41" spans="1:88" s="22" customFormat="1" ht="20.100000000000001" hidden="1" customHeight="1" outlineLevel="1" thickBot="1">
      <c r="A41" s="294"/>
      <c r="B41" s="294"/>
      <c r="C41" s="294"/>
      <c r="D41" s="298"/>
      <c r="E41" s="299"/>
      <c r="F41" s="299"/>
      <c r="G41" s="388"/>
      <c r="H41" s="388"/>
      <c r="I41" s="389"/>
      <c r="J41" s="390"/>
      <c r="K41" s="294"/>
      <c r="L41" s="298"/>
      <c r="M41" s="299"/>
      <c r="N41" s="299"/>
      <c r="O41" s="388"/>
      <c r="P41" s="388"/>
      <c r="Q41" s="392"/>
      <c r="R41" s="389"/>
      <c r="S41" s="390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/>
      <c r="AW41" s="294"/>
      <c r="AX41" s="294"/>
      <c r="AY41" s="294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BJ41" s="294"/>
      <c r="BK41" s="294"/>
      <c r="BL41" s="294"/>
      <c r="BM41" s="294"/>
      <c r="BN41" s="294"/>
      <c r="BO41" s="294"/>
      <c r="BP41" s="294"/>
      <c r="BQ41" s="294"/>
      <c r="BR41" s="294"/>
      <c r="BS41" s="294"/>
      <c r="BT41" s="294"/>
      <c r="BU41" s="294"/>
      <c r="BV41" s="294"/>
      <c r="BW41" s="294"/>
      <c r="BX41" s="294"/>
      <c r="BY41" s="294"/>
      <c r="BZ41" s="294"/>
      <c r="CA41" s="294"/>
      <c r="CB41" s="294"/>
      <c r="CC41" s="294"/>
      <c r="CD41" s="294"/>
      <c r="CE41" s="294"/>
      <c r="CF41" s="294"/>
      <c r="CG41" s="294"/>
      <c r="CH41" s="294"/>
      <c r="CI41" s="294"/>
      <c r="CJ41" s="294"/>
    </row>
    <row r="42" spans="1:88" s="294" customFormat="1" ht="20.100000000000001" customHeight="1" collapsed="1">
      <c r="D42" s="291"/>
      <c r="E42" s="291"/>
      <c r="F42" s="291"/>
      <c r="G42" s="291"/>
      <c r="H42" s="291"/>
      <c r="I42" s="291"/>
      <c r="J42" s="291"/>
    </row>
    <row r="43" spans="1:88" s="293" customFormat="1" ht="20.100000000000001" customHeight="1" thickBot="1">
      <c r="D43" s="292" t="s">
        <v>613</v>
      </c>
      <c r="I43" s="292" t="s">
        <v>614</v>
      </c>
      <c r="M43" s="295" t="s">
        <v>607</v>
      </c>
    </row>
    <row r="44" spans="1:88" ht="31.5" customHeight="1" thickBot="1">
      <c r="D44" s="119" t="s">
        <v>258</v>
      </c>
      <c r="E44" s="120" t="s">
        <v>690</v>
      </c>
      <c r="F44" s="120" t="s">
        <v>691</v>
      </c>
      <c r="G44" s="121" t="s">
        <v>326</v>
      </c>
      <c r="H44" s="293"/>
      <c r="I44" s="119" t="s">
        <v>258</v>
      </c>
      <c r="J44" s="120" t="s">
        <v>692</v>
      </c>
      <c r="K44" s="121" t="s">
        <v>693</v>
      </c>
      <c r="L44" s="293"/>
      <c r="M44" s="119" t="s">
        <v>36</v>
      </c>
      <c r="N44" s="120" t="s">
        <v>37</v>
      </c>
      <c r="O44" s="121" t="s">
        <v>45</v>
      </c>
      <c r="P44" s="293"/>
      <c r="Q44" s="371" t="s">
        <v>335</v>
      </c>
      <c r="R44" s="293"/>
      <c r="S44" s="293"/>
    </row>
    <row r="45" spans="1:88" s="22" customFormat="1" ht="20.100000000000001" customHeight="1">
      <c r="A45" s="294"/>
      <c r="B45" s="294"/>
      <c r="C45" s="294"/>
      <c r="D45" s="277" t="s">
        <v>226</v>
      </c>
      <c r="E45" s="278" t="s">
        <v>695</v>
      </c>
      <c r="F45" s="278" t="s">
        <v>696</v>
      </c>
      <c r="G45" s="279" t="s">
        <v>672</v>
      </c>
      <c r="H45" s="294"/>
      <c r="I45" s="277" t="s">
        <v>226</v>
      </c>
      <c r="J45" s="278">
        <v>95</v>
      </c>
      <c r="K45" s="279">
        <v>119</v>
      </c>
      <c r="L45" s="294"/>
      <c r="M45" s="277" t="s">
        <v>695</v>
      </c>
      <c r="N45" s="278" t="s">
        <v>697</v>
      </c>
      <c r="O45" s="279" t="s">
        <v>698</v>
      </c>
      <c r="P45" s="294"/>
      <c r="Q45" s="184">
        <f>MAX(K45:K74)</f>
        <v>129</v>
      </c>
      <c r="R45" s="185" t="s">
        <v>600</v>
      </c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</row>
    <row r="46" spans="1:88" s="22" customFormat="1" ht="20.100000000000001" customHeight="1" thickBot="1">
      <c r="A46" s="294"/>
      <c r="B46" s="294"/>
      <c r="C46" s="294"/>
      <c r="D46" s="274" t="s">
        <v>227</v>
      </c>
      <c r="E46" s="275" t="s">
        <v>699</v>
      </c>
      <c r="F46" s="275" t="s">
        <v>700</v>
      </c>
      <c r="G46" s="276" t="s">
        <v>672</v>
      </c>
      <c r="H46" s="294"/>
      <c r="I46" s="274" t="s">
        <v>227</v>
      </c>
      <c r="J46" s="275">
        <v>105</v>
      </c>
      <c r="K46" s="276">
        <v>129</v>
      </c>
      <c r="L46" s="294"/>
      <c r="M46" s="274" t="s">
        <v>699</v>
      </c>
      <c r="N46" s="275" t="s">
        <v>701</v>
      </c>
      <c r="O46" s="276" t="s">
        <v>702</v>
      </c>
      <c r="P46" s="294"/>
      <c r="Q46" s="95">
        <f>MIN(J45:J74)</f>
        <v>95</v>
      </c>
      <c r="R46" s="125" t="s">
        <v>694</v>
      </c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</row>
    <row r="47" spans="1:88" s="22" customFormat="1" ht="20.100000000000001" customHeight="1" thickBot="1">
      <c r="A47" s="294"/>
      <c r="B47" s="294"/>
      <c r="C47" s="294"/>
      <c r="D47" s="277"/>
      <c r="E47" s="278"/>
      <c r="F47" s="278"/>
      <c r="G47" s="279"/>
      <c r="H47" s="294"/>
      <c r="I47" s="277"/>
      <c r="J47" s="278"/>
      <c r="K47" s="279"/>
      <c r="L47" s="294"/>
      <c r="M47" s="277"/>
      <c r="N47" s="278"/>
      <c r="O47" s="279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</row>
    <row r="48" spans="1:88" s="22" customFormat="1" ht="20.100000000000001" customHeight="1">
      <c r="A48" s="294"/>
      <c r="B48" s="294"/>
      <c r="C48" s="294"/>
      <c r="D48" s="274"/>
      <c r="E48" s="275"/>
      <c r="F48" s="275"/>
      <c r="G48" s="276"/>
      <c r="H48" s="294"/>
      <c r="I48" s="274"/>
      <c r="J48" s="275"/>
      <c r="K48" s="276"/>
      <c r="L48" s="294"/>
      <c r="M48" s="274"/>
      <c r="N48" s="275"/>
      <c r="O48" s="276"/>
      <c r="P48" s="294"/>
      <c r="Q48" s="184" t="s">
        <v>601</v>
      </c>
      <c r="R48" s="185">
        <f>MAX(E45:E74)</f>
        <v>0</v>
      </c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</row>
    <row r="49" spans="1:88" s="22" customFormat="1" ht="20.100000000000001" customHeight="1" thickBot="1">
      <c r="A49" s="294"/>
      <c r="B49" s="294"/>
      <c r="C49" s="294"/>
      <c r="D49" s="277"/>
      <c r="E49" s="278"/>
      <c r="F49" s="278"/>
      <c r="G49" s="279"/>
      <c r="H49" s="294"/>
      <c r="I49" s="277"/>
      <c r="J49" s="278"/>
      <c r="K49" s="279"/>
      <c r="L49" s="294"/>
      <c r="M49" s="277"/>
      <c r="N49" s="278"/>
      <c r="O49" s="279"/>
      <c r="P49" s="294"/>
      <c r="Q49" s="95" t="s">
        <v>602</v>
      </c>
      <c r="R49" s="125">
        <f>MIN(E45:E74)</f>
        <v>0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</row>
    <row r="50" spans="1:88" s="22" customFormat="1" ht="20.100000000000001" customHeight="1" thickBot="1">
      <c r="A50" s="294"/>
      <c r="B50" s="294"/>
      <c r="C50" s="294"/>
      <c r="D50" s="274"/>
      <c r="E50" s="275"/>
      <c r="F50" s="275"/>
      <c r="G50" s="276"/>
      <c r="H50" s="294"/>
      <c r="I50" s="274"/>
      <c r="J50" s="275"/>
      <c r="K50" s="276"/>
      <c r="L50" s="294"/>
      <c r="M50" s="274"/>
      <c r="N50" s="275"/>
      <c r="O50" s="276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/>
      <c r="AW50" s="294"/>
      <c r="AX50" s="294"/>
      <c r="AY50" s="294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  <c r="BJ50" s="294"/>
      <c r="BK50" s="294"/>
      <c r="BL50" s="294"/>
      <c r="BM50" s="294"/>
      <c r="BN50" s="294"/>
      <c r="BO50" s="294"/>
      <c r="BP50" s="294"/>
      <c r="BQ50" s="294"/>
      <c r="BR50" s="294"/>
      <c r="BS50" s="294"/>
      <c r="BT50" s="294"/>
      <c r="BU50" s="294"/>
      <c r="BV50" s="294"/>
      <c r="BW50" s="294"/>
      <c r="BX50" s="294"/>
      <c r="BY50" s="294"/>
      <c r="BZ50" s="294"/>
      <c r="CA50" s="294"/>
      <c r="CB50" s="294"/>
      <c r="CC50" s="294"/>
      <c r="CD50" s="294"/>
      <c r="CE50" s="294"/>
      <c r="CF50" s="294"/>
      <c r="CG50" s="294"/>
      <c r="CH50" s="294"/>
      <c r="CI50" s="294"/>
      <c r="CJ50" s="294"/>
    </row>
    <row r="51" spans="1:88" s="22" customFormat="1" ht="20.100000000000001" customHeight="1">
      <c r="A51" s="294"/>
      <c r="B51" s="294"/>
      <c r="C51" s="294"/>
      <c r="D51" s="277"/>
      <c r="E51" s="278"/>
      <c r="F51" s="278"/>
      <c r="G51" s="279"/>
      <c r="H51" s="294"/>
      <c r="I51" s="277"/>
      <c r="J51" s="278"/>
      <c r="K51" s="279"/>
      <c r="L51" s="294"/>
      <c r="M51" s="277"/>
      <c r="N51" s="278"/>
      <c r="O51" s="279"/>
      <c r="P51" s="294"/>
      <c r="Q51" s="184" t="s">
        <v>603</v>
      </c>
      <c r="R51" s="185">
        <f>MAX(F45:F74)</f>
        <v>0</v>
      </c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BJ51" s="294"/>
      <c r="BK51" s="294"/>
      <c r="BL51" s="294"/>
      <c r="BM51" s="294"/>
      <c r="BN51" s="294"/>
      <c r="BO51" s="294"/>
      <c r="BP51" s="294"/>
      <c r="BQ51" s="294"/>
      <c r="BR51" s="294"/>
      <c r="BS51" s="294"/>
      <c r="BT51" s="294"/>
      <c r="BU51" s="294"/>
      <c r="BV51" s="294"/>
      <c r="BW51" s="294"/>
      <c r="BX51" s="294"/>
      <c r="BY51" s="294"/>
      <c r="BZ51" s="294"/>
      <c r="CA51" s="294"/>
      <c r="CB51" s="294"/>
      <c r="CC51" s="294"/>
      <c r="CD51" s="294"/>
      <c r="CE51" s="294"/>
      <c r="CF51" s="294"/>
      <c r="CG51" s="294"/>
      <c r="CH51" s="294"/>
      <c r="CI51" s="294"/>
      <c r="CJ51" s="294"/>
    </row>
    <row r="52" spans="1:88" s="22" customFormat="1" ht="19.5" customHeight="1" thickBot="1">
      <c r="A52" s="294"/>
      <c r="B52" s="294"/>
      <c r="C52" s="294"/>
      <c r="D52" s="274"/>
      <c r="E52" s="275"/>
      <c r="F52" s="275"/>
      <c r="G52" s="276"/>
      <c r="H52" s="294"/>
      <c r="I52" s="274"/>
      <c r="J52" s="275"/>
      <c r="K52" s="276"/>
      <c r="L52" s="294"/>
      <c r="M52" s="274"/>
      <c r="N52" s="275"/>
      <c r="O52" s="276"/>
      <c r="P52" s="294"/>
      <c r="Q52" s="95" t="s">
        <v>604</v>
      </c>
      <c r="R52" s="125">
        <f>MIN(F45:F74)</f>
        <v>0</v>
      </c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  <c r="AU52" s="294"/>
      <c r="AV52" s="294"/>
      <c r="AW52" s="294"/>
      <c r="AX52" s="294"/>
      <c r="AY52" s="294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BJ52" s="294"/>
      <c r="BK52" s="294"/>
      <c r="BL52" s="294"/>
      <c r="BM52" s="294"/>
      <c r="BN52" s="294"/>
      <c r="BO52" s="294"/>
      <c r="BP52" s="294"/>
      <c r="BQ52" s="294"/>
      <c r="BR52" s="294"/>
      <c r="BS52" s="294"/>
      <c r="BT52" s="294"/>
      <c r="BU52" s="294"/>
      <c r="BV52" s="294"/>
      <c r="BW52" s="294"/>
      <c r="BX52" s="294"/>
      <c r="BY52" s="294"/>
      <c r="BZ52" s="294"/>
      <c r="CA52" s="294"/>
      <c r="CB52" s="294"/>
      <c r="CC52" s="294"/>
      <c r="CD52" s="294"/>
      <c r="CE52" s="294"/>
      <c r="CF52" s="294"/>
      <c r="CG52" s="294"/>
      <c r="CH52" s="294"/>
      <c r="CI52" s="294"/>
      <c r="CJ52" s="294"/>
    </row>
    <row r="53" spans="1:88" s="22" customFormat="1" ht="20.100000000000001" customHeight="1">
      <c r="A53" s="294"/>
      <c r="B53" s="294"/>
      <c r="C53" s="294"/>
      <c r="D53" s="277"/>
      <c r="E53" s="278"/>
      <c r="F53" s="278"/>
      <c r="G53" s="279"/>
      <c r="H53" s="294"/>
      <c r="I53" s="277"/>
      <c r="J53" s="278"/>
      <c r="K53" s="279"/>
      <c r="L53" s="294"/>
      <c r="M53" s="277"/>
      <c r="N53" s="278"/>
      <c r="O53" s="279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BJ53" s="294"/>
      <c r="BK53" s="294"/>
      <c r="BL53" s="294"/>
      <c r="BM53" s="294"/>
      <c r="BN53" s="294"/>
      <c r="BO53" s="294"/>
      <c r="BP53" s="294"/>
      <c r="BQ53" s="294"/>
      <c r="BR53" s="294"/>
      <c r="BS53" s="294"/>
      <c r="BT53" s="294"/>
      <c r="BU53" s="294"/>
      <c r="BV53" s="294"/>
      <c r="BW53" s="294"/>
      <c r="BX53" s="294"/>
      <c r="BY53" s="294"/>
      <c r="BZ53" s="294"/>
      <c r="CA53" s="294"/>
      <c r="CB53" s="294"/>
      <c r="CC53" s="294"/>
      <c r="CD53" s="294"/>
      <c r="CE53" s="294"/>
      <c r="CF53" s="294"/>
      <c r="CG53" s="294"/>
      <c r="CH53" s="294"/>
      <c r="CI53" s="294"/>
      <c r="CJ53" s="294"/>
    </row>
    <row r="54" spans="1:88" s="22" customFormat="1" ht="20.100000000000001" customHeight="1">
      <c r="A54" s="294"/>
      <c r="B54" s="294"/>
      <c r="C54" s="294"/>
      <c r="D54" s="274"/>
      <c r="E54" s="275"/>
      <c r="F54" s="275"/>
      <c r="G54" s="276"/>
      <c r="H54" s="294"/>
      <c r="I54" s="274"/>
      <c r="J54" s="275"/>
      <c r="K54" s="276"/>
      <c r="L54" s="294"/>
      <c r="M54" s="274"/>
      <c r="N54" s="275"/>
      <c r="O54" s="276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  <c r="AG54" s="294"/>
      <c r="AH54" s="294"/>
      <c r="AI54" s="294"/>
      <c r="AJ54" s="294"/>
      <c r="AK54" s="294"/>
      <c r="AL54" s="294"/>
      <c r="AM54" s="294"/>
      <c r="AN54" s="294"/>
      <c r="AO54" s="294"/>
      <c r="AP54" s="294"/>
      <c r="AQ54" s="294"/>
      <c r="AR54" s="294"/>
      <c r="AS54" s="294"/>
      <c r="AT54" s="294"/>
      <c r="AU54" s="294"/>
      <c r="AV54" s="294"/>
      <c r="AW54" s="294"/>
      <c r="AX54" s="294"/>
      <c r="AY54" s="294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BJ54" s="294"/>
      <c r="BK54" s="294"/>
      <c r="BL54" s="294"/>
      <c r="BM54" s="294"/>
      <c r="BN54" s="294"/>
      <c r="BO54" s="294"/>
      <c r="BP54" s="294"/>
      <c r="BQ54" s="294"/>
      <c r="BR54" s="294"/>
      <c r="BS54" s="294"/>
      <c r="BT54" s="294"/>
      <c r="BU54" s="294"/>
      <c r="BV54" s="294"/>
      <c r="BW54" s="294"/>
      <c r="BX54" s="294"/>
      <c r="BY54" s="294"/>
      <c r="BZ54" s="294"/>
      <c r="CA54" s="294"/>
      <c r="CB54" s="294"/>
      <c r="CC54" s="294"/>
      <c r="CD54" s="294"/>
      <c r="CE54" s="294"/>
      <c r="CF54" s="294"/>
      <c r="CG54" s="294"/>
      <c r="CH54" s="294"/>
      <c r="CI54" s="294"/>
      <c r="CJ54" s="294"/>
    </row>
    <row r="55" spans="1:88" s="22" customFormat="1" ht="20.100000000000001" customHeight="1">
      <c r="A55" s="294"/>
      <c r="B55" s="294"/>
      <c r="C55" s="294"/>
      <c r="D55" s="277"/>
      <c r="E55" s="278"/>
      <c r="F55" s="278"/>
      <c r="G55" s="279"/>
      <c r="H55" s="294"/>
      <c r="I55" s="277"/>
      <c r="J55" s="278"/>
      <c r="K55" s="279"/>
      <c r="L55" s="294"/>
      <c r="M55" s="277"/>
      <c r="N55" s="278"/>
      <c r="O55" s="279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BJ55" s="294"/>
      <c r="BK55" s="294"/>
      <c r="BL55" s="294"/>
      <c r="BM55" s="294"/>
      <c r="BN55" s="294"/>
      <c r="BO55" s="294"/>
      <c r="BP55" s="294"/>
      <c r="BQ55" s="294"/>
      <c r="BR55" s="294"/>
      <c r="BS55" s="294"/>
      <c r="BT55" s="294"/>
      <c r="BU55" s="294"/>
      <c r="BV55" s="294"/>
      <c r="BW55" s="294"/>
      <c r="BX55" s="294"/>
      <c r="BY55" s="294"/>
      <c r="BZ55" s="294"/>
      <c r="CA55" s="294"/>
      <c r="CB55" s="294"/>
      <c r="CC55" s="294"/>
      <c r="CD55" s="294"/>
      <c r="CE55" s="294"/>
      <c r="CF55" s="294"/>
      <c r="CG55" s="294"/>
      <c r="CH55" s="294"/>
      <c r="CI55" s="294"/>
      <c r="CJ55" s="294"/>
    </row>
    <row r="56" spans="1:88" s="22" customFormat="1" ht="20.100000000000001" hidden="1" customHeight="1" outlineLevel="1">
      <c r="A56" s="294"/>
      <c r="B56" s="294"/>
      <c r="C56" s="294"/>
      <c r="D56" s="274"/>
      <c r="E56" s="275"/>
      <c r="F56" s="275"/>
      <c r="G56" s="276"/>
      <c r="H56" s="294"/>
      <c r="I56" s="274"/>
      <c r="J56" s="275"/>
      <c r="K56" s="276"/>
      <c r="L56" s="294"/>
      <c r="M56" s="274"/>
      <c r="N56" s="275"/>
      <c r="O56" s="276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  <c r="AG56" s="294"/>
      <c r="AH56" s="294"/>
      <c r="AI56" s="294"/>
      <c r="AJ56" s="294"/>
      <c r="AK56" s="294"/>
      <c r="AL56" s="294"/>
      <c r="AM56" s="294"/>
      <c r="AN56" s="294"/>
      <c r="AO56" s="294"/>
      <c r="AP56" s="294"/>
      <c r="AQ56" s="294"/>
      <c r="AR56" s="294"/>
      <c r="AS56" s="294"/>
      <c r="AT56" s="294"/>
      <c r="AU56" s="294"/>
      <c r="AV56" s="294"/>
      <c r="AW56" s="294"/>
      <c r="AX56" s="294"/>
      <c r="AY56" s="294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BJ56" s="294"/>
      <c r="BK56" s="294"/>
      <c r="BL56" s="294"/>
      <c r="BM56" s="294"/>
      <c r="BN56" s="294"/>
      <c r="BO56" s="294"/>
      <c r="BP56" s="294"/>
      <c r="BQ56" s="294"/>
      <c r="BR56" s="294"/>
      <c r="BS56" s="294"/>
      <c r="BT56" s="294"/>
      <c r="BU56" s="294"/>
      <c r="BV56" s="294"/>
      <c r="BW56" s="294"/>
      <c r="BX56" s="294"/>
      <c r="BY56" s="294"/>
      <c r="BZ56" s="294"/>
      <c r="CA56" s="294"/>
      <c r="CB56" s="294"/>
      <c r="CC56" s="294"/>
      <c r="CD56" s="294"/>
      <c r="CE56" s="294"/>
      <c r="CF56" s="294"/>
      <c r="CG56" s="294"/>
      <c r="CH56" s="294"/>
      <c r="CI56" s="294"/>
      <c r="CJ56" s="294"/>
    </row>
    <row r="57" spans="1:88" s="22" customFormat="1" ht="20.100000000000001" hidden="1" customHeight="1" outlineLevel="1">
      <c r="A57" s="294"/>
      <c r="B57" s="294"/>
      <c r="C57" s="294"/>
      <c r="D57" s="277"/>
      <c r="E57" s="278"/>
      <c r="F57" s="278"/>
      <c r="G57" s="279"/>
      <c r="H57" s="294"/>
      <c r="I57" s="277"/>
      <c r="J57" s="278"/>
      <c r="K57" s="279"/>
      <c r="L57" s="294"/>
      <c r="M57" s="277"/>
      <c r="N57" s="278"/>
      <c r="O57" s="279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  <c r="AG57" s="294"/>
      <c r="AH57" s="294"/>
      <c r="AI57" s="294"/>
      <c r="AJ57" s="294"/>
      <c r="AK57" s="294"/>
      <c r="AL57" s="294"/>
      <c r="AM57" s="294"/>
      <c r="AN57" s="294"/>
      <c r="AO57" s="294"/>
      <c r="AP57" s="294"/>
      <c r="AQ57" s="294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294"/>
      <c r="BC57" s="294"/>
      <c r="BD57" s="294"/>
      <c r="BE57" s="294"/>
      <c r="BF57" s="294"/>
      <c r="BG57" s="294"/>
      <c r="BH57" s="294"/>
      <c r="BI57" s="294"/>
      <c r="BJ57" s="294"/>
      <c r="BK57" s="294"/>
      <c r="BL57" s="294"/>
      <c r="BM57" s="294"/>
      <c r="BN57" s="294"/>
      <c r="BO57" s="294"/>
      <c r="BP57" s="294"/>
      <c r="BQ57" s="294"/>
      <c r="BR57" s="294"/>
      <c r="BS57" s="294"/>
      <c r="BT57" s="294"/>
      <c r="BU57" s="294"/>
      <c r="BV57" s="294"/>
      <c r="BW57" s="294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4"/>
      <c r="CI57" s="294"/>
      <c r="CJ57" s="294"/>
    </row>
    <row r="58" spans="1:88" s="22" customFormat="1" ht="20.100000000000001" hidden="1" customHeight="1" outlineLevel="1">
      <c r="A58" s="294"/>
      <c r="B58" s="294"/>
      <c r="C58" s="294"/>
      <c r="D58" s="274"/>
      <c r="E58" s="275"/>
      <c r="F58" s="275"/>
      <c r="G58" s="276"/>
      <c r="H58" s="294"/>
      <c r="I58" s="274"/>
      <c r="J58" s="275"/>
      <c r="K58" s="276"/>
      <c r="L58" s="294"/>
      <c r="M58" s="274"/>
      <c r="N58" s="275"/>
      <c r="O58" s="276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</row>
    <row r="59" spans="1:88" s="22" customFormat="1" ht="20.100000000000001" hidden="1" customHeight="1" outlineLevel="1">
      <c r="A59" s="294"/>
      <c r="B59" s="294"/>
      <c r="C59" s="294"/>
      <c r="D59" s="277"/>
      <c r="E59" s="278"/>
      <c r="F59" s="278"/>
      <c r="G59" s="279"/>
      <c r="H59" s="294"/>
      <c r="I59" s="277"/>
      <c r="J59" s="278"/>
      <c r="K59" s="279"/>
      <c r="L59" s="294"/>
      <c r="M59" s="277"/>
      <c r="N59" s="278"/>
      <c r="O59" s="279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</row>
    <row r="60" spans="1:88" s="22" customFormat="1" ht="20.100000000000001" hidden="1" customHeight="1" outlineLevel="1">
      <c r="A60" s="294"/>
      <c r="B60" s="294"/>
      <c r="C60" s="294"/>
      <c r="D60" s="274"/>
      <c r="E60" s="275"/>
      <c r="F60" s="275"/>
      <c r="G60" s="276"/>
      <c r="H60" s="294"/>
      <c r="I60" s="274"/>
      <c r="J60" s="275"/>
      <c r="K60" s="276"/>
      <c r="L60" s="294"/>
      <c r="M60" s="274"/>
      <c r="N60" s="275"/>
      <c r="O60" s="276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</row>
    <row r="61" spans="1:88" s="22" customFormat="1" ht="20.100000000000001" hidden="1" customHeight="1" outlineLevel="1">
      <c r="A61" s="294"/>
      <c r="B61" s="294"/>
      <c r="C61" s="294"/>
      <c r="D61" s="277"/>
      <c r="E61" s="278"/>
      <c r="F61" s="278"/>
      <c r="G61" s="279"/>
      <c r="H61" s="294"/>
      <c r="I61" s="277"/>
      <c r="J61" s="278"/>
      <c r="K61" s="279"/>
      <c r="L61" s="294"/>
      <c r="M61" s="277"/>
      <c r="N61" s="278"/>
      <c r="O61" s="279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</row>
    <row r="62" spans="1:88" s="22" customFormat="1" ht="20.100000000000001" hidden="1" customHeight="1" outlineLevel="1">
      <c r="A62" s="294"/>
      <c r="B62" s="294"/>
      <c r="C62" s="294"/>
      <c r="D62" s="274"/>
      <c r="E62" s="275"/>
      <c r="F62" s="275"/>
      <c r="G62" s="276"/>
      <c r="H62" s="294"/>
      <c r="I62" s="274"/>
      <c r="J62" s="275"/>
      <c r="K62" s="276"/>
      <c r="L62" s="294"/>
      <c r="M62" s="274"/>
      <c r="N62" s="275"/>
      <c r="O62" s="276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</row>
    <row r="63" spans="1:88" s="22" customFormat="1" ht="20.100000000000001" hidden="1" customHeight="1" outlineLevel="1">
      <c r="A63" s="294"/>
      <c r="B63" s="294"/>
      <c r="C63" s="294"/>
      <c r="D63" s="277"/>
      <c r="E63" s="278"/>
      <c r="F63" s="278"/>
      <c r="G63" s="279"/>
      <c r="H63" s="294"/>
      <c r="I63" s="277"/>
      <c r="J63" s="278"/>
      <c r="K63" s="279"/>
      <c r="L63" s="294"/>
      <c r="M63" s="277"/>
      <c r="N63" s="278"/>
      <c r="O63" s="279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</row>
    <row r="64" spans="1:88" s="22" customFormat="1" ht="20.100000000000001" hidden="1" customHeight="1" outlineLevel="1">
      <c r="A64" s="294"/>
      <c r="B64" s="294"/>
      <c r="C64" s="294"/>
      <c r="D64" s="274"/>
      <c r="E64" s="275"/>
      <c r="F64" s="275"/>
      <c r="G64" s="276"/>
      <c r="H64" s="294"/>
      <c r="I64" s="274"/>
      <c r="J64" s="275"/>
      <c r="K64" s="276"/>
      <c r="L64" s="294"/>
      <c r="M64" s="274"/>
      <c r="N64" s="275"/>
      <c r="O64" s="276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</row>
    <row r="65" spans="1:88" s="22" customFormat="1" ht="20.100000000000001" hidden="1" customHeight="1" outlineLevel="1">
      <c r="A65" s="294"/>
      <c r="B65" s="294"/>
      <c r="C65" s="294"/>
      <c r="D65" s="277"/>
      <c r="E65" s="278"/>
      <c r="F65" s="278"/>
      <c r="G65" s="279"/>
      <c r="H65" s="294"/>
      <c r="I65" s="277"/>
      <c r="J65" s="278"/>
      <c r="K65" s="279"/>
      <c r="L65" s="294"/>
      <c r="M65" s="277"/>
      <c r="N65" s="278"/>
      <c r="O65" s="279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</row>
    <row r="66" spans="1:88" s="22" customFormat="1" ht="20.100000000000001" hidden="1" customHeight="1" outlineLevel="1">
      <c r="A66" s="294"/>
      <c r="B66" s="294"/>
      <c r="C66" s="294"/>
      <c r="D66" s="274"/>
      <c r="E66" s="275"/>
      <c r="F66" s="275"/>
      <c r="G66" s="276"/>
      <c r="H66" s="294"/>
      <c r="I66" s="274"/>
      <c r="J66" s="275"/>
      <c r="K66" s="276"/>
      <c r="L66" s="294"/>
      <c r="M66" s="274"/>
      <c r="N66" s="275"/>
      <c r="O66" s="276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</row>
    <row r="67" spans="1:88" s="22" customFormat="1" ht="20.100000000000001" hidden="1" customHeight="1" outlineLevel="1">
      <c r="A67" s="294"/>
      <c r="B67" s="294"/>
      <c r="C67" s="294"/>
      <c r="D67" s="277"/>
      <c r="E67" s="278"/>
      <c r="F67" s="278"/>
      <c r="G67" s="279"/>
      <c r="H67" s="294"/>
      <c r="I67" s="277"/>
      <c r="J67" s="278"/>
      <c r="K67" s="279"/>
      <c r="L67" s="294"/>
      <c r="M67" s="277"/>
      <c r="N67" s="278"/>
      <c r="O67" s="279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</row>
    <row r="68" spans="1:88" s="22" customFormat="1" ht="20.100000000000001" hidden="1" customHeight="1" outlineLevel="1">
      <c r="A68" s="294"/>
      <c r="B68" s="294"/>
      <c r="C68" s="294"/>
      <c r="D68" s="274"/>
      <c r="E68" s="275"/>
      <c r="F68" s="275"/>
      <c r="G68" s="276"/>
      <c r="H68" s="294"/>
      <c r="I68" s="274"/>
      <c r="J68" s="275"/>
      <c r="K68" s="276"/>
      <c r="L68" s="294"/>
      <c r="M68" s="274"/>
      <c r="N68" s="275"/>
      <c r="O68" s="276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</row>
    <row r="69" spans="1:88" s="22" customFormat="1" ht="20.100000000000001" hidden="1" customHeight="1" outlineLevel="1">
      <c r="A69" s="294"/>
      <c r="B69" s="294"/>
      <c r="C69" s="294"/>
      <c r="D69" s="277"/>
      <c r="E69" s="278"/>
      <c r="F69" s="278"/>
      <c r="G69" s="279"/>
      <c r="H69" s="294"/>
      <c r="I69" s="277"/>
      <c r="J69" s="278"/>
      <c r="K69" s="279"/>
      <c r="L69" s="294"/>
      <c r="M69" s="277"/>
      <c r="N69" s="278"/>
      <c r="O69" s="279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</row>
    <row r="70" spans="1:88" s="22" customFormat="1" ht="20.100000000000001" hidden="1" customHeight="1" outlineLevel="1">
      <c r="A70" s="294"/>
      <c r="B70" s="294"/>
      <c r="C70" s="294"/>
      <c r="D70" s="274"/>
      <c r="E70" s="275"/>
      <c r="F70" s="275"/>
      <c r="G70" s="276"/>
      <c r="H70" s="294"/>
      <c r="I70" s="274"/>
      <c r="J70" s="275"/>
      <c r="K70" s="276"/>
      <c r="L70" s="294"/>
      <c r="M70" s="274"/>
      <c r="N70" s="275"/>
      <c r="O70" s="276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</row>
    <row r="71" spans="1:88" s="22" customFormat="1" ht="19.5" hidden="1" customHeight="1" outlineLevel="1">
      <c r="A71" s="294"/>
      <c r="B71" s="294"/>
      <c r="C71" s="294"/>
      <c r="D71" s="277"/>
      <c r="E71" s="278"/>
      <c r="F71" s="278"/>
      <c r="G71" s="279"/>
      <c r="H71" s="294"/>
      <c r="I71" s="277"/>
      <c r="J71" s="278"/>
      <c r="K71" s="279"/>
      <c r="L71" s="294"/>
      <c r="M71" s="277"/>
      <c r="N71" s="278"/>
      <c r="O71" s="279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</row>
    <row r="72" spans="1:88" s="22" customFormat="1" ht="19.5" hidden="1" customHeight="1" outlineLevel="1">
      <c r="A72" s="294"/>
      <c r="B72" s="294"/>
      <c r="C72" s="294"/>
      <c r="D72" s="274"/>
      <c r="E72" s="275"/>
      <c r="F72" s="275"/>
      <c r="G72" s="276"/>
      <c r="H72" s="294"/>
      <c r="I72" s="274"/>
      <c r="J72" s="275"/>
      <c r="K72" s="276"/>
      <c r="L72" s="294"/>
      <c r="M72" s="274"/>
      <c r="N72" s="275"/>
      <c r="O72" s="276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</row>
    <row r="73" spans="1:88" s="22" customFormat="1" ht="19.5" hidden="1" customHeight="1" outlineLevel="1">
      <c r="A73" s="294"/>
      <c r="B73" s="294"/>
      <c r="C73" s="294"/>
      <c r="D73" s="283"/>
      <c r="E73" s="284"/>
      <c r="F73" s="284"/>
      <c r="G73" s="297"/>
      <c r="H73" s="294"/>
      <c r="I73" s="283"/>
      <c r="J73" s="284"/>
      <c r="K73" s="297"/>
      <c r="L73" s="294"/>
      <c r="M73" s="283"/>
      <c r="N73" s="284"/>
      <c r="O73" s="297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</row>
    <row r="74" spans="1:88" s="22" customFormat="1" ht="19.5" hidden="1" customHeight="1" outlineLevel="1" thickBot="1">
      <c r="A74" s="294"/>
      <c r="B74" s="294"/>
      <c r="C74" s="294"/>
      <c r="D74" s="298"/>
      <c r="E74" s="299"/>
      <c r="F74" s="299"/>
      <c r="G74" s="300"/>
      <c r="I74" s="298"/>
      <c r="J74" s="299"/>
      <c r="K74" s="300"/>
      <c r="L74" s="294"/>
      <c r="M74" s="298"/>
      <c r="N74" s="299"/>
      <c r="O74" s="300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</row>
    <row r="75" spans="1:88" s="293" customFormat="1" ht="15.95" customHeight="1" collapsed="1">
      <c r="D75" s="425"/>
      <c r="L75" s="426"/>
    </row>
    <row r="76" spans="1:88" s="293" customFormat="1" ht="15.95" customHeight="1">
      <c r="D76" s="425"/>
    </row>
    <row r="77" spans="1:88" s="293" customFormat="1" ht="15.95" customHeight="1" thickBot="1">
      <c r="D77" s="427" t="s">
        <v>249</v>
      </c>
    </row>
    <row r="78" spans="1:88" s="22" customFormat="1" ht="30" customHeight="1">
      <c r="A78" s="294"/>
      <c r="B78" s="294"/>
      <c r="C78" s="294"/>
      <c r="D78" s="380" t="s">
        <v>226</v>
      </c>
      <c r="E78" s="381" t="s">
        <v>227</v>
      </c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2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</row>
    <row r="79" spans="1:88" s="114" customFormat="1" ht="30" customHeight="1" thickBot="1">
      <c r="A79" s="428"/>
      <c r="B79" s="428"/>
      <c r="C79" s="428"/>
      <c r="D79" s="115" t="s">
        <v>682</v>
      </c>
      <c r="E79" s="116" t="s">
        <v>682</v>
      </c>
      <c r="F79" s="116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31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428"/>
      <c r="AZ79" s="428"/>
      <c r="BA79" s="428"/>
      <c r="BB79" s="428"/>
      <c r="BC79" s="428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428"/>
      <c r="CI79" s="428"/>
      <c r="CJ79" s="428"/>
    </row>
    <row r="80" spans="1:88" s="293" customFormat="1" ht="15.95" customHeight="1">
      <c r="D80" s="425"/>
    </row>
    <row r="81" spans="1:88" s="293" customFormat="1" ht="15.95" customHeight="1">
      <c r="D81" s="425"/>
    </row>
    <row r="82" spans="1:88" s="293" customFormat="1" ht="15.95" customHeight="1" thickBot="1">
      <c r="D82" s="427" t="s">
        <v>259</v>
      </c>
    </row>
    <row r="83" spans="1:88" s="22" customFormat="1" ht="30" customHeight="1">
      <c r="A83" s="294"/>
      <c r="B83" s="294"/>
      <c r="C83" s="294"/>
      <c r="D83" s="380" t="s">
        <v>226</v>
      </c>
      <c r="E83" s="381" t="s">
        <v>227</v>
      </c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2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</row>
    <row r="84" spans="1:88" s="114" customFormat="1" ht="30" customHeight="1" thickBot="1">
      <c r="A84" s="428"/>
      <c r="B84" s="428"/>
      <c r="C84" s="428"/>
      <c r="D84" s="115" t="s">
        <v>703</v>
      </c>
      <c r="E84" s="116" t="s">
        <v>703</v>
      </c>
      <c r="F84" s="116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31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428"/>
      <c r="AZ84" s="428"/>
      <c r="BA84" s="428"/>
      <c r="BB84" s="428"/>
      <c r="BC84" s="428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428"/>
      <c r="CI84" s="428"/>
      <c r="CJ84" s="428"/>
    </row>
    <row r="85" spans="1:88" s="293" customFormat="1" ht="15.95" customHeight="1">
      <c r="D85" s="425"/>
    </row>
    <row r="86" spans="1:88" s="293" customFormat="1" ht="15.95" customHeight="1">
      <c r="D86" s="425"/>
    </row>
    <row r="87" spans="1:88" s="293" customFormat="1" ht="15.95" customHeight="1" thickBot="1">
      <c r="D87" s="427" t="s">
        <v>668</v>
      </c>
    </row>
    <row r="88" spans="1:88" ht="30" customHeight="1">
      <c r="D88" s="380" t="s">
        <v>226</v>
      </c>
      <c r="E88" s="381" t="s">
        <v>227</v>
      </c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2"/>
    </row>
    <row r="89" spans="1:88" ht="30" customHeight="1" thickBot="1">
      <c r="D89" s="115" t="s">
        <v>674</v>
      </c>
      <c r="E89" s="116" t="s">
        <v>674</v>
      </c>
      <c r="F89" s="116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263"/>
      <c r="R89" s="263"/>
      <c r="S89" s="263"/>
      <c r="T89" s="429"/>
      <c r="U89" s="429"/>
      <c r="V89" s="429"/>
      <c r="W89" s="429"/>
      <c r="X89" s="429"/>
      <c r="Y89" s="429"/>
      <c r="Z89" s="429"/>
      <c r="AA89" s="429"/>
      <c r="AB89" s="429"/>
      <c r="AC89" s="429"/>
      <c r="AD89" s="429"/>
      <c r="AE89" s="429"/>
      <c r="AF89" s="429"/>
      <c r="AG89" s="430"/>
    </row>
    <row r="90" spans="1:88" s="293" customFormat="1" ht="15.95" customHeight="1"/>
    <row r="91" spans="1:88" s="293" customFormat="1" ht="15.95" customHeight="1"/>
    <row r="92" spans="1:88" s="293" customFormat="1" ht="15.95" customHeight="1" thickBot="1">
      <c r="D92" s="427" t="s">
        <v>220</v>
      </c>
      <c r="E92" s="431">
        <f>MIN(D94:AG94)</f>
        <v>0</v>
      </c>
      <c r="F92" s="431">
        <f>MAX(D94:AG94)</f>
        <v>0</v>
      </c>
    </row>
    <row r="93" spans="1:88" ht="30" customHeight="1">
      <c r="D93" s="380" t="s">
        <v>226</v>
      </c>
      <c r="E93" s="381" t="s">
        <v>227</v>
      </c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2"/>
    </row>
    <row r="94" spans="1:88" ht="30" customHeight="1" thickBot="1">
      <c r="D94" s="115" t="s">
        <v>704</v>
      </c>
      <c r="E94" s="116" t="s">
        <v>705</v>
      </c>
      <c r="F94" s="116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249"/>
      <c r="U94" s="249"/>
      <c r="V94" s="249"/>
      <c r="W94" s="249"/>
      <c r="X94" s="249"/>
      <c r="Y94" s="249"/>
      <c r="Z94" s="249"/>
      <c r="AA94" s="249"/>
      <c r="AB94" s="249"/>
      <c r="AC94" s="249"/>
      <c r="AD94" s="249"/>
      <c r="AE94" s="249"/>
      <c r="AF94" s="249"/>
      <c r="AG94" s="318"/>
    </row>
    <row r="95" spans="1:88" s="293" customFormat="1" ht="15.95" customHeight="1"/>
    <row r="96" spans="1:88" s="293" customFormat="1" ht="15.95" customHeight="1"/>
    <row r="97" spans="1:88" s="293" customFormat="1" ht="15.95" customHeight="1" thickBot="1">
      <c r="D97" s="427" t="s">
        <v>221</v>
      </c>
      <c r="E97" s="431">
        <f>MIN(D99:AG99)</f>
        <v>0</v>
      </c>
      <c r="F97" s="431">
        <f>MAX(D99:AG99)</f>
        <v>0</v>
      </c>
      <c r="G97" s="432" t="s">
        <v>599</v>
      </c>
    </row>
    <row r="98" spans="1:88" ht="30" customHeight="1">
      <c r="D98" s="380" t="s">
        <v>226</v>
      </c>
      <c r="E98" s="381" t="s">
        <v>227</v>
      </c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2"/>
    </row>
    <row r="99" spans="1:88" ht="30" customHeight="1" thickBot="1">
      <c r="D99" s="115" t="s">
        <v>706</v>
      </c>
      <c r="E99" s="116" t="s">
        <v>681</v>
      </c>
      <c r="F99" s="116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263"/>
      <c r="R99" s="263"/>
      <c r="S99" s="263"/>
      <c r="T99" s="429"/>
      <c r="U99" s="429"/>
      <c r="V99" s="433"/>
      <c r="W99" s="429"/>
      <c r="X99" s="429"/>
      <c r="Y99" s="429"/>
      <c r="Z99" s="429"/>
      <c r="AA99" s="429"/>
      <c r="AB99" s="429"/>
      <c r="AC99" s="429"/>
      <c r="AD99" s="429"/>
      <c r="AE99" s="429"/>
      <c r="AF99" s="429"/>
      <c r="AG99" s="430"/>
    </row>
    <row r="100" spans="1:88" s="293" customFormat="1" ht="15.95" customHeight="1"/>
    <row r="101" spans="1:88" s="293" customFormat="1" ht="15.95" customHeight="1"/>
    <row r="102" spans="1:88" s="293" customFormat="1" ht="15.95" customHeight="1" thickBot="1">
      <c r="D102" s="427" t="s">
        <v>669</v>
      </c>
    </row>
    <row r="103" spans="1:88" ht="30" customHeight="1">
      <c r="D103" s="380" t="s">
        <v>226</v>
      </c>
      <c r="E103" s="381" t="s">
        <v>227</v>
      </c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2"/>
    </row>
    <row r="104" spans="1:88" ht="30" customHeight="1" thickBot="1">
      <c r="D104" s="115" t="s">
        <v>707</v>
      </c>
      <c r="E104" s="116" t="s">
        <v>707</v>
      </c>
      <c r="F104" s="116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263"/>
      <c r="R104" s="263"/>
      <c r="S104" s="263"/>
      <c r="T104" s="429"/>
      <c r="U104" s="429"/>
      <c r="V104" s="429"/>
      <c r="W104" s="429"/>
      <c r="X104" s="429"/>
      <c r="Y104" s="429"/>
      <c r="Z104" s="429"/>
      <c r="AA104" s="429"/>
      <c r="AB104" s="429"/>
      <c r="AC104" s="429"/>
      <c r="AD104" s="429"/>
      <c r="AE104" s="429"/>
      <c r="AF104" s="429"/>
      <c r="AG104" s="430"/>
    </row>
    <row r="105" spans="1:88" s="293" customFormat="1" ht="15.95" customHeight="1"/>
    <row r="106" spans="1:88" s="293" customFormat="1" ht="15.95" customHeight="1"/>
    <row r="107" spans="1:88" s="293" customFormat="1" ht="15.95" customHeight="1" thickBot="1">
      <c r="D107" s="427" t="s">
        <v>261</v>
      </c>
    </row>
    <row r="108" spans="1:88" s="22" customFormat="1" ht="30" customHeight="1">
      <c r="A108" s="294"/>
      <c r="B108" s="294"/>
      <c r="C108" s="294"/>
      <c r="D108" s="380" t="s">
        <v>226</v>
      </c>
      <c r="E108" s="381" t="s">
        <v>227</v>
      </c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2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</row>
    <row r="109" spans="1:88" s="114" customFormat="1" ht="30" customHeight="1" thickBot="1">
      <c r="A109" s="428"/>
      <c r="B109" s="428"/>
      <c r="C109" s="428"/>
      <c r="D109" s="115" t="s">
        <v>683</v>
      </c>
      <c r="E109" s="116" t="s">
        <v>683</v>
      </c>
      <c r="F109" s="116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49"/>
      <c r="AG109" s="31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428"/>
      <c r="AZ109" s="428"/>
      <c r="BA109" s="428"/>
      <c r="BB109" s="428"/>
      <c r="BC109" s="428"/>
      <c r="BD109" s="428"/>
      <c r="BE109" s="428"/>
      <c r="BF109" s="428"/>
      <c r="BG109" s="428"/>
      <c r="BH109" s="428"/>
      <c r="BI109" s="428"/>
      <c r="BJ109" s="428"/>
      <c r="BK109" s="428"/>
      <c r="BL109" s="428"/>
      <c r="BM109" s="428"/>
      <c r="BN109" s="428"/>
      <c r="BO109" s="428"/>
      <c r="BP109" s="428"/>
      <c r="BQ109" s="428"/>
      <c r="BR109" s="428"/>
      <c r="BS109" s="428"/>
      <c r="BT109" s="428"/>
      <c r="BU109" s="428"/>
      <c r="BV109" s="428"/>
      <c r="BW109" s="428"/>
      <c r="BX109" s="428"/>
      <c r="BY109" s="428"/>
      <c r="BZ109" s="428"/>
      <c r="CA109" s="428"/>
      <c r="CB109" s="428"/>
      <c r="CC109" s="428"/>
      <c r="CD109" s="428"/>
      <c r="CE109" s="428"/>
      <c r="CF109" s="428"/>
      <c r="CG109" s="428"/>
      <c r="CH109" s="428"/>
      <c r="CI109" s="428"/>
      <c r="CJ109" s="428"/>
    </row>
    <row r="110" spans="1:88" s="293" customFormat="1" ht="15.95" customHeight="1"/>
    <row r="111" spans="1:88" s="293" customFormat="1" ht="15.95" customHeight="1"/>
    <row r="112" spans="1:88" s="293" customFormat="1" ht="15.95" customHeight="1" thickBot="1">
      <c r="D112" s="427" t="s">
        <v>595</v>
      </c>
    </row>
    <row r="113" spans="4:33" ht="30" customHeight="1">
      <c r="D113" s="380" t="s">
        <v>226</v>
      </c>
      <c r="E113" s="381" t="s">
        <v>227</v>
      </c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421"/>
      <c r="U113" s="421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2"/>
    </row>
    <row r="114" spans="4:33" ht="30" customHeight="1" thickBot="1">
      <c r="D114" s="115" t="s">
        <v>684</v>
      </c>
      <c r="E114" s="116" t="s">
        <v>684</v>
      </c>
      <c r="F114" s="116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263"/>
      <c r="R114" s="263"/>
      <c r="S114" s="263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429"/>
      <c r="AG114" s="430"/>
    </row>
    <row r="115" spans="4:33" s="293" customFormat="1" ht="15.95" customHeight="1"/>
    <row r="116" spans="4:33" s="293" customFormat="1" ht="15.95" customHeight="1"/>
    <row r="117" spans="4:33" s="293" customFormat="1" ht="15.95" customHeight="1" thickBot="1">
      <c r="D117" s="427" t="s">
        <v>594</v>
      </c>
    </row>
    <row r="118" spans="4:33" ht="30" customHeight="1">
      <c r="D118" s="380" t="s">
        <v>226</v>
      </c>
      <c r="E118" s="381" t="s">
        <v>227</v>
      </c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2"/>
    </row>
    <row r="119" spans="4:33" ht="30" customHeight="1" thickBot="1">
      <c r="D119" s="115" t="s">
        <v>673</v>
      </c>
      <c r="E119" s="116" t="s">
        <v>673</v>
      </c>
      <c r="F119" s="116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263"/>
      <c r="R119" s="263"/>
      <c r="S119" s="263"/>
      <c r="T119" s="429"/>
      <c r="U119" s="429"/>
      <c r="V119" s="429"/>
      <c r="W119" s="429"/>
      <c r="X119" s="429"/>
      <c r="Y119" s="429"/>
      <c r="Z119" s="429"/>
      <c r="AA119" s="429"/>
      <c r="AB119" s="429"/>
      <c r="AC119" s="429"/>
      <c r="AD119" s="429"/>
      <c r="AE119" s="429"/>
      <c r="AF119" s="429"/>
      <c r="AG119" s="430"/>
    </row>
    <row r="120" spans="4:33" s="293" customFormat="1" ht="20.100000000000001" customHeight="1"/>
    <row r="121" spans="4:33" s="293" customFormat="1" ht="20.100000000000001" customHeight="1"/>
    <row r="122" spans="4:33" s="293" customFormat="1" ht="20.100000000000001" customHeight="1"/>
    <row r="123" spans="4:33" s="293" customFormat="1" ht="20.100000000000001" customHeight="1"/>
    <row r="124" spans="4:33" s="293" customFormat="1" ht="20.100000000000001" customHeight="1"/>
    <row r="125" spans="4:33" s="293" customFormat="1" ht="20.100000000000001" customHeight="1"/>
    <row r="126" spans="4:33" s="293" customFormat="1" ht="20.100000000000001" customHeight="1"/>
    <row r="127" spans="4:33" s="293" customFormat="1" ht="20.100000000000001" customHeight="1"/>
    <row r="128" spans="4:33" s="293" customFormat="1" ht="20.100000000000001" customHeight="1"/>
    <row r="129" s="293" customFormat="1" ht="20.100000000000001" customHeight="1"/>
    <row r="130" s="293" customFormat="1" ht="20.100000000000001" customHeight="1"/>
    <row r="131" s="293" customFormat="1" ht="20.100000000000001" customHeight="1"/>
    <row r="132" s="293" customFormat="1" ht="20.100000000000001" customHeight="1"/>
    <row r="133" s="293" customFormat="1" ht="20.100000000000001" customHeight="1"/>
    <row r="134" s="293" customFormat="1" ht="20.100000000000001" customHeight="1"/>
    <row r="135" s="293" customFormat="1" ht="20.100000000000001" customHeight="1"/>
    <row r="136" s="293" customFormat="1" ht="20.100000000000001" customHeight="1"/>
    <row r="137" s="293" customFormat="1" ht="20.100000000000001" customHeight="1"/>
    <row r="138" s="293" customFormat="1" ht="20.100000000000001" customHeight="1"/>
    <row r="139" s="293" customFormat="1" ht="20.100000000000001" customHeight="1"/>
    <row r="140" s="293" customFormat="1" ht="20.100000000000001" customHeight="1"/>
    <row r="141" s="293" customFormat="1" ht="20.100000000000001" customHeight="1"/>
    <row r="142" s="293" customFormat="1" ht="20.100000000000001" customHeight="1"/>
    <row r="143" s="293" customFormat="1" ht="20.100000000000001" customHeight="1"/>
    <row r="144" s="293" customFormat="1" ht="20.100000000000001" customHeight="1"/>
    <row r="145" s="293" customFormat="1" ht="20.100000000000001" customHeight="1"/>
    <row r="146" s="293" customFormat="1" ht="20.100000000000001" customHeight="1"/>
    <row r="147" s="293" customFormat="1" ht="20.100000000000001" customHeight="1"/>
    <row r="148" s="293" customFormat="1" ht="20.100000000000001" customHeight="1"/>
    <row r="149" s="293" customFormat="1" ht="20.100000000000001" customHeight="1"/>
    <row r="150" s="293" customFormat="1" ht="20.100000000000001" customHeight="1"/>
    <row r="151" s="293" customFormat="1" ht="20.100000000000001" customHeight="1"/>
    <row r="152" s="293" customFormat="1" ht="20.100000000000001" customHeight="1"/>
    <row r="153" s="293" customFormat="1" ht="20.100000000000001" customHeight="1"/>
    <row r="154" s="293" customFormat="1" ht="20.100000000000001" customHeight="1"/>
    <row r="155" s="293" customFormat="1" ht="20.100000000000001" customHeight="1"/>
    <row r="156" s="293" customFormat="1" ht="20.100000000000001" customHeight="1"/>
    <row r="157" s="293" customFormat="1" ht="20.100000000000001" customHeight="1"/>
    <row r="158" s="293" customFormat="1" ht="20.100000000000001" customHeight="1"/>
    <row r="159" s="293" customFormat="1" ht="20.100000000000001" customHeight="1"/>
    <row r="160" s="293" customFormat="1" ht="20.100000000000001" customHeight="1"/>
    <row r="161" s="293" customFormat="1" ht="20.100000000000001" customHeight="1"/>
    <row r="162" s="293" customFormat="1" ht="20.100000000000001" customHeight="1"/>
    <row r="163" s="293" customFormat="1" ht="20.100000000000001" customHeight="1"/>
    <row r="164" s="293" customFormat="1" ht="20.100000000000001" customHeight="1"/>
    <row r="165" s="293" customFormat="1" ht="20.100000000000001" customHeight="1"/>
    <row r="166" s="293" customFormat="1" ht="20.100000000000001" customHeight="1"/>
    <row r="167" s="293" customFormat="1" ht="20.100000000000001" customHeight="1"/>
    <row r="168" s="293" customFormat="1" ht="20.100000000000001" customHeight="1"/>
    <row r="169" s="293" customFormat="1" ht="20.100000000000001" customHeight="1"/>
    <row r="170" s="293" customFormat="1" ht="20.100000000000001" customHeight="1"/>
    <row r="171" s="293" customFormat="1" ht="20.100000000000001" customHeight="1"/>
    <row r="172" s="293" customFormat="1" ht="20.100000000000001" customHeight="1"/>
    <row r="173" s="293" customFormat="1" ht="20.100000000000001" customHeight="1"/>
    <row r="174" s="293" customFormat="1" ht="20.100000000000001" customHeight="1"/>
    <row r="175" s="293" customFormat="1" ht="20.100000000000001" customHeight="1"/>
    <row r="176" s="293" customFormat="1" ht="20.100000000000001" customHeight="1"/>
    <row r="177" s="293" customFormat="1" ht="20.100000000000001" customHeight="1"/>
    <row r="178" s="293" customFormat="1" ht="20.100000000000001" customHeight="1"/>
    <row r="179" s="293" customFormat="1" ht="20.100000000000001" customHeight="1"/>
    <row r="180" s="293" customFormat="1" ht="20.100000000000001" customHeight="1"/>
    <row r="181" s="293" customFormat="1" ht="20.100000000000001" customHeight="1"/>
    <row r="182" s="293" customFormat="1" ht="20.100000000000001" customHeight="1"/>
    <row r="183" s="293" customFormat="1" ht="20.100000000000001" customHeight="1"/>
    <row r="184" s="293" customFormat="1" ht="20.100000000000001" customHeight="1"/>
    <row r="185" s="293" customFormat="1" ht="20.100000000000001" customHeight="1"/>
    <row r="186" s="293" customFormat="1" ht="20.100000000000001" customHeight="1"/>
    <row r="187" s="293" customFormat="1" ht="20.100000000000001" customHeight="1"/>
    <row r="188" s="293" customFormat="1" ht="20.100000000000001" customHeight="1"/>
    <row r="189" s="293" customFormat="1" ht="20.100000000000001" customHeight="1"/>
    <row r="190" s="293" customFormat="1" ht="20.100000000000001" customHeight="1"/>
    <row r="191" s="293" customFormat="1" ht="20.100000000000001" customHeight="1"/>
    <row r="192" s="293" customFormat="1" ht="20.100000000000001" customHeight="1"/>
    <row r="193" s="293" customFormat="1" ht="20.100000000000001" customHeight="1"/>
    <row r="194" s="293" customFormat="1" ht="20.100000000000001" customHeight="1"/>
    <row r="195" s="293" customFormat="1" ht="20.100000000000001" customHeight="1"/>
    <row r="196" s="293" customFormat="1" ht="20.100000000000001" customHeight="1"/>
    <row r="197" s="293" customFormat="1" ht="20.100000000000001" customHeight="1"/>
    <row r="198" s="293" customFormat="1" ht="20.100000000000001" customHeight="1"/>
    <row r="199" s="293" customFormat="1" ht="20.100000000000001" customHeight="1"/>
    <row r="200" s="293" customFormat="1" ht="20.100000000000001" customHeight="1"/>
    <row r="201" s="293" customFormat="1" ht="20.100000000000001" customHeight="1"/>
    <row r="202" s="293" customFormat="1" ht="20.100000000000001" customHeight="1"/>
    <row r="203" s="293" customFormat="1" ht="20.100000000000001" customHeight="1"/>
    <row r="204" s="293" customFormat="1" ht="20.100000000000001" customHeight="1"/>
    <row r="205" s="293" customFormat="1" ht="20.100000000000001" customHeight="1"/>
    <row r="206" s="293" customFormat="1" ht="20.100000000000001" customHeight="1"/>
    <row r="207" s="293" customFormat="1" ht="20.100000000000001" customHeight="1"/>
    <row r="208" s="293" customFormat="1" ht="20.100000000000001" customHeight="1"/>
    <row r="209" s="293" customFormat="1" ht="20.100000000000001" customHeight="1"/>
    <row r="210" s="293" customFormat="1" ht="20.100000000000001" customHeight="1"/>
    <row r="211" s="293" customFormat="1" ht="20.100000000000001" customHeight="1"/>
    <row r="212" s="293" customFormat="1" ht="20.100000000000001" customHeight="1"/>
    <row r="213" s="293" customFormat="1" ht="20.100000000000001" customHeight="1"/>
    <row r="214" s="293" customFormat="1" ht="20.100000000000001" customHeight="1"/>
    <row r="215" s="293" customFormat="1" ht="20.100000000000001" customHeight="1"/>
    <row r="216" s="293" customFormat="1" ht="20.100000000000001" customHeight="1"/>
    <row r="217" s="293" customFormat="1" ht="20.100000000000001" customHeight="1"/>
    <row r="218" s="293" customFormat="1" ht="20.100000000000001" customHeight="1"/>
    <row r="219" s="293" customFormat="1" ht="20.100000000000001" customHeight="1"/>
    <row r="220" s="293" customFormat="1" ht="20.100000000000001" customHeight="1"/>
    <row r="221" s="293" customFormat="1" ht="20.100000000000001" customHeight="1"/>
    <row r="222" s="293" customFormat="1" ht="20.100000000000001" customHeight="1"/>
    <row r="223" s="293" customFormat="1" ht="20.100000000000001" customHeight="1"/>
    <row r="224" s="293" customFormat="1" ht="20.100000000000001" customHeight="1"/>
    <row r="225" s="293" customFormat="1" ht="20.100000000000001" customHeight="1"/>
    <row r="226" s="293" customFormat="1" ht="20.100000000000001" customHeight="1"/>
    <row r="227" s="293" customFormat="1" ht="20.100000000000001" customHeight="1"/>
    <row r="228" s="293" customFormat="1" ht="20.100000000000001" customHeight="1"/>
    <row r="229" s="293" customFormat="1" ht="20.100000000000001" customHeight="1"/>
    <row r="230" s="293" customFormat="1" ht="20.100000000000001" customHeight="1"/>
    <row r="231" s="293" customFormat="1" ht="20.100000000000001" customHeight="1"/>
    <row r="232" s="293" customFormat="1" ht="20.100000000000001" customHeight="1"/>
    <row r="233" s="293" customFormat="1" ht="20.100000000000001" customHeight="1"/>
    <row r="234" s="293" customFormat="1" ht="20.100000000000001" customHeight="1"/>
    <row r="235" s="293" customFormat="1" ht="20.100000000000001" customHeight="1"/>
    <row r="236" s="293" customFormat="1" ht="20.100000000000001" customHeight="1"/>
    <row r="237" s="293" customFormat="1" ht="20.100000000000001" customHeight="1"/>
    <row r="238" s="293" customFormat="1" ht="20.100000000000001" customHeight="1"/>
    <row r="239" s="293" customFormat="1" ht="20.100000000000001" customHeight="1"/>
    <row r="240" s="293" customFormat="1" ht="20.100000000000001" customHeight="1"/>
    <row r="241" s="293" customFormat="1" ht="20.100000000000001" customHeight="1"/>
    <row r="242" s="293" customFormat="1" ht="20.100000000000001" customHeight="1"/>
    <row r="243" s="293" customFormat="1" ht="20.100000000000001" customHeight="1"/>
    <row r="244" s="293" customFormat="1" ht="20.100000000000001" customHeight="1"/>
    <row r="245" s="293" customFormat="1" ht="20.100000000000001" customHeight="1"/>
    <row r="246" s="293" customFormat="1" ht="20.100000000000001" customHeight="1"/>
    <row r="247" s="293" customFormat="1" ht="20.100000000000001" customHeight="1"/>
    <row r="248" s="293" customFormat="1" ht="20.100000000000001" customHeight="1"/>
    <row r="249" s="293" customFormat="1" ht="20.100000000000001" customHeight="1"/>
    <row r="250" s="293" customFormat="1" ht="20.100000000000001" customHeight="1"/>
    <row r="251" s="293" customFormat="1" ht="20.100000000000001" customHeight="1"/>
    <row r="252" s="293" customFormat="1" ht="20.100000000000001" customHeight="1"/>
    <row r="253" s="293" customFormat="1" ht="20.100000000000001" customHeight="1"/>
    <row r="254" s="293" customFormat="1" ht="20.100000000000001" customHeight="1"/>
    <row r="255" s="293" customFormat="1" ht="20.100000000000001" customHeight="1"/>
    <row r="256" s="293" customFormat="1" ht="20.100000000000001" customHeight="1"/>
    <row r="257" s="293" customFormat="1" ht="20.100000000000001" customHeight="1"/>
    <row r="258" s="293" customFormat="1" ht="20.100000000000001" customHeight="1"/>
    <row r="259" s="293" customFormat="1" ht="20.100000000000001" customHeight="1"/>
    <row r="260" s="293" customFormat="1" ht="20.100000000000001" customHeight="1"/>
    <row r="261" s="293" customFormat="1" ht="20.100000000000001" customHeight="1"/>
    <row r="262" s="293" customFormat="1" ht="20.100000000000001" customHeight="1"/>
    <row r="263" s="293" customFormat="1" ht="20.100000000000001" customHeight="1"/>
    <row r="264" s="293" customFormat="1" ht="20.100000000000001" customHeight="1"/>
    <row r="265" s="293" customFormat="1" ht="20.100000000000001" customHeight="1"/>
    <row r="266" s="293" customFormat="1" ht="20.100000000000001" customHeight="1"/>
    <row r="267" s="293" customFormat="1" ht="20.100000000000001" customHeight="1"/>
    <row r="268" s="293" customFormat="1" ht="20.100000000000001" customHeight="1"/>
    <row r="269" s="293" customFormat="1" ht="20.100000000000001" customHeight="1"/>
    <row r="270" s="293" customFormat="1" ht="20.100000000000001" customHeight="1"/>
    <row r="271" s="293" customFormat="1" ht="20.100000000000001" customHeight="1"/>
    <row r="272" s="293" customFormat="1" ht="20.100000000000001" customHeight="1"/>
    <row r="273" s="293" customFormat="1" ht="20.100000000000001" customHeight="1"/>
    <row r="274" s="293" customFormat="1" ht="20.100000000000001" customHeight="1"/>
    <row r="275" s="293" customFormat="1" ht="20.100000000000001" customHeight="1"/>
    <row r="276" s="293" customFormat="1" ht="20.100000000000001" customHeight="1"/>
    <row r="277" s="293" customFormat="1" ht="20.100000000000001" customHeight="1"/>
    <row r="278" s="293" customFormat="1" ht="20.100000000000001" customHeight="1"/>
    <row r="279" s="293" customFormat="1" ht="20.100000000000001" customHeight="1"/>
    <row r="280" s="293" customFormat="1" ht="20.100000000000001" customHeight="1"/>
    <row r="281" s="293" customFormat="1" ht="20.100000000000001" customHeight="1"/>
    <row r="282" s="293" customFormat="1" ht="20.100000000000001" customHeight="1"/>
    <row r="283" s="293" customFormat="1" ht="20.100000000000001" customHeight="1"/>
    <row r="284" s="293" customFormat="1" ht="20.100000000000001" customHeight="1"/>
    <row r="285" s="293" customFormat="1" ht="20.100000000000001" customHeight="1"/>
    <row r="286" s="293" customFormat="1" ht="20.100000000000001" customHeight="1"/>
    <row r="287" s="293" customFormat="1" ht="20.100000000000001" customHeight="1"/>
    <row r="288" s="293" customFormat="1" ht="20.100000000000001" customHeight="1"/>
    <row r="289" s="293" customFormat="1" ht="20.100000000000001" customHeight="1"/>
    <row r="290" s="293" customFormat="1" ht="20.100000000000001" customHeight="1"/>
    <row r="291" s="293" customFormat="1" ht="20.100000000000001" customHeight="1"/>
    <row r="292" s="293" customFormat="1" ht="20.100000000000001" customHeight="1"/>
    <row r="293" s="293" customFormat="1" ht="20.100000000000001" customHeight="1"/>
    <row r="294" s="293" customFormat="1" ht="20.100000000000001" customHeight="1"/>
    <row r="295" s="293" customFormat="1" ht="20.100000000000001" customHeight="1"/>
    <row r="296" s="293" customFormat="1" ht="20.100000000000001" customHeight="1"/>
    <row r="297" s="293" customFormat="1" ht="20.100000000000001" customHeight="1"/>
    <row r="298" s="293" customFormat="1" ht="20.100000000000001" customHeight="1"/>
    <row r="299" s="293" customFormat="1" ht="20.100000000000001" customHeight="1"/>
    <row r="300" s="293" customFormat="1" ht="20.100000000000001" customHeight="1"/>
    <row r="301" s="293" customFormat="1" ht="20.100000000000001" customHeight="1"/>
    <row r="302" s="293" customFormat="1" ht="20.100000000000001" customHeight="1"/>
    <row r="303" s="293" customFormat="1" ht="20.100000000000001" customHeight="1"/>
    <row r="304" s="293" customFormat="1" ht="20.100000000000001" customHeight="1"/>
    <row r="305" s="293" customFormat="1" ht="20.100000000000001" customHeight="1"/>
    <row r="306" s="293" customFormat="1" ht="20.100000000000001" customHeight="1"/>
    <row r="307" s="293" customFormat="1" ht="20.100000000000001" customHeight="1"/>
    <row r="308" s="293" customFormat="1" ht="20.100000000000001" customHeight="1"/>
    <row r="309" s="293" customFormat="1" ht="20.100000000000001" customHeight="1"/>
    <row r="310" s="293" customFormat="1" ht="20.100000000000001" customHeight="1"/>
    <row r="311" s="293" customFormat="1" ht="20.100000000000001" customHeight="1"/>
    <row r="312" s="293" customFormat="1" ht="20.100000000000001" customHeight="1"/>
    <row r="313" s="293" customFormat="1" ht="20.100000000000001" customHeight="1"/>
    <row r="314" s="293" customFormat="1" ht="20.100000000000001" customHeight="1"/>
    <row r="315" s="293" customFormat="1" ht="20.100000000000001" customHeight="1"/>
    <row r="316" s="293" customFormat="1" ht="20.100000000000001" customHeight="1"/>
    <row r="317" s="293" customFormat="1" ht="20.100000000000001" customHeight="1"/>
    <row r="318" s="293" customFormat="1" ht="20.100000000000001" customHeight="1"/>
    <row r="319" s="293" customFormat="1" ht="20.100000000000001" customHeight="1"/>
    <row r="320" s="293" customFormat="1" ht="20.100000000000001" customHeight="1"/>
    <row r="321" s="293" customFormat="1" ht="20.100000000000001" customHeight="1"/>
    <row r="322" s="293" customFormat="1" ht="20.100000000000001" customHeight="1"/>
    <row r="323" s="293" customFormat="1" ht="20.100000000000001" customHeight="1"/>
    <row r="324" s="293" customFormat="1" ht="20.100000000000001" customHeight="1"/>
    <row r="325" s="293" customFormat="1" ht="20.100000000000001" customHeight="1"/>
    <row r="326" s="293" customFormat="1" ht="20.100000000000001" customHeight="1"/>
    <row r="327" s="293" customFormat="1" ht="20.100000000000001" customHeight="1"/>
    <row r="328" s="293" customFormat="1" ht="20.100000000000001" customHeight="1"/>
    <row r="329" s="293" customFormat="1" ht="20.100000000000001" customHeight="1"/>
    <row r="330" s="293" customFormat="1" ht="20.100000000000001" customHeight="1"/>
    <row r="331" s="293" customFormat="1" ht="20.100000000000001" customHeight="1"/>
    <row r="332" s="293" customFormat="1" ht="20.100000000000001" customHeight="1"/>
    <row r="333" s="293" customFormat="1" ht="20.100000000000001" customHeight="1"/>
    <row r="334" s="293" customFormat="1" ht="20.100000000000001" customHeight="1"/>
    <row r="335" s="293" customFormat="1" ht="20.100000000000001" customHeight="1"/>
    <row r="336" s="293" customFormat="1" ht="20.100000000000001" customHeight="1"/>
    <row r="337" s="293" customFormat="1" ht="20.100000000000001" customHeight="1"/>
    <row r="338" s="293" customFormat="1" ht="20.100000000000001" customHeight="1"/>
    <row r="339" s="293" customFormat="1" ht="20.100000000000001" customHeight="1"/>
    <row r="340" s="293" customFormat="1" ht="20.100000000000001" customHeight="1"/>
    <row r="341" s="293" customFormat="1" ht="20.100000000000001" customHeight="1"/>
    <row r="342" s="293" customFormat="1" ht="20.100000000000001" customHeight="1"/>
    <row r="343" s="293" customFormat="1" ht="20.100000000000001" customHeight="1"/>
    <row r="344" s="293" customFormat="1" ht="20.100000000000001" customHeight="1"/>
    <row r="345" s="293" customFormat="1" ht="20.100000000000001" customHeight="1"/>
    <row r="346" s="293" customFormat="1" ht="20.100000000000001" customHeight="1"/>
    <row r="347" s="293" customFormat="1" ht="20.100000000000001" customHeight="1"/>
    <row r="348" s="293" customFormat="1" ht="20.100000000000001" customHeight="1"/>
    <row r="349" s="293" customFormat="1" ht="20.100000000000001" customHeight="1"/>
    <row r="350" s="293" customFormat="1" ht="20.100000000000001" customHeight="1"/>
    <row r="351" s="293" customFormat="1" ht="20.100000000000001" customHeight="1"/>
    <row r="352" s="293" customFormat="1" ht="20.100000000000001" customHeight="1"/>
    <row r="353" s="293" customFormat="1" ht="20.100000000000001" customHeight="1"/>
    <row r="354" s="293" customFormat="1" ht="20.100000000000001" customHeight="1"/>
    <row r="355" s="293" customFormat="1" ht="20.100000000000001" customHeight="1"/>
    <row r="356" s="293" customFormat="1" ht="20.100000000000001" customHeight="1"/>
    <row r="357" s="293" customFormat="1" ht="20.100000000000001" customHeight="1"/>
    <row r="358" s="293" customFormat="1" ht="20.100000000000001" customHeight="1"/>
    <row r="359" s="293" customFormat="1" ht="20.100000000000001" customHeight="1"/>
    <row r="360" s="293" customFormat="1" ht="20.100000000000001" customHeight="1"/>
    <row r="361" s="293" customFormat="1" ht="20.100000000000001" customHeight="1"/>
    <row r="362" s="293" customFormat="1" ht="20.100000000000001" customHeight="1"/>
    <row r="363" s="293" customFormat="1" ht="20.100000000000001" customHeight="1"/>
    <row r="364" s="293" customFormat="1" ht="20.100000000000001" customHeight="1"/>
    <row r="365" s="293" customFormat="1" ht="20.100000000000001" customHeight="1"/>
    <row r="366" s="293" customFormat="1" ht="20.100000000000001" customHeight="1"/>
    <row r="367" s="293" customFormat="1" ht="20.100000000000001" customHeight="1"/>
    <row r="368" s="293" customFormat="1" ht="20.100000000000001" customHeight="1"/>
    <row r="369" s="293" customFormat="1" ht="20.100000000000001" customHeight="1"/>
    <row r="370" s="293" customFormat="1" ht="20.100000000000001" customHeight="1"/>
    <row r="371" s="293" customFormat="1" ht="20.100000000000001" customHeight="1"/>
    <row r="372" s="293" customFormat="1" ht="20.100000000000001" customHeight="1"/>
    <row r="373" s="293" customFormat="1" ht="20.100000000000001" customHeight="1"/>
    <row r="374" s="293" customFormat="1" ht="20.100000000000001" customHeight="1"/>
    <row r="375" s="293" customFormat="1" ht="20.100000000000001" customHeight="1"/>
    <row r="376" s="293" customFormat="1" ht="20.100000000000001" customHeight="1"/>
    <row r="377" s="293" customFormat="1" ht="20.100000000000001" customHeight="1"/>
    <row r="378" s="293" customFormat="1" ht="20.100000000000001" customHeight="1"/>
    <row r="379" s="293" customFormat="1" ht="20.100000000000001" customHeight="1"/>
    <row r="380" s="293" customFormat="1" ht="20.100000000000001" customHeight="1"/>
    <row r="381" s="293" customFormat="1" ht="20.100000000000001" customHeight="1"/>
    <row r="382" s="293" customFormat="1" ht="20.100000000000001" customHeight="1"/>
    <row r="383" s="293" customFormat="1" ht="20.100000000000001" customHeight="1"/>
    <row r="384" s="293" customFormat="1" ht="20.100000000000001" customHeight="1"/>
    <row r="385" s="293" customFormat="1" ht="20.100000000000001" customHeight="1"/>
    <row r="386" s="293" customFormat="1" ht="20.100000000000001" customHeight="1"/>
    <row r="387" s="293" customFormat="1" ht="20.100000000000001" customHeight="1"/>
    <row r="388" s="293" customFormat="1" ht="20.100000000000001" customHeight="1"/>
    <row r="389" s="293" customFormat="1" ht="20.100000000000001" customHeight="1"/>
    <row r="390" s="293" customFormat="1" ht="20.100000000000001" customHeight="1"/>
    <row r="391" s="293" customFormat="1" ht="20.100000000000001" customHeight="1"/>
    <row r="392" s="293" customFormat="1" ht="20.100000000000001" customHeight="1"/>
    <row r="393" s="293" customFormat="1" ht="20.100000000000001" customHeight="1"/>
    <row r="394" s="293" customFormat="1" ht="20.100000000000001" customHeight="1"/>
    <row r="395" s="293" customFormat="1" ht="20.100000000000001" customHeight="1"/>
    <row r="396" s="293" customFormat="1" ht="20.100000000000001" customHeight="1"/>
    <row r="397" s="293" customFormat="1" ht="20.100000000000001" customHeight="1"/>
    <row r="398" s="293" customFormat="1" ht="20.100000000000001" customHeight="1"/>
    <row r="399" s="293" customFormat="1" ht="20.100000000000001" customHeight="1"/>
    <row r="400" s="293" customFormat="1" ht="20.100000000000001" customHeight="1"/>
    <row r="401" s="293" customFormat="1" ht="20.100000000000001" customHeight="1"/>
    <row r="402" s="293" customFormat="1" ht="20.100000000000001" customHeight="1"/>
    <row r="403" s="293" customFormat="1" ht="20.100000000000001" customHeight="1"/>
    <row r="404" s="293" customFormat="1" ht="20.100000000000001" customHeight="1"/>
    <row r="405" s="293" customFormat="1" ht="20.100000000000001" customHeight="1"/>
    <row r="406" s="293" customFormat="1" ht="20.100000000000001" customHeight="1"/>
    <row r="407" s="293" customFormat="1" ht="20.100000000000001" customHeight="1"/>
    <row r="408" s="293" customFormat="1" ht="20.100000000000001" customHeight="1"/>
    <row r="409" s="293" customFormat="1" ht="20.100000000000001" customHeight="1"/>
    <row r="410" s="293" customFormat="1" ht="20.100000000000001" customHeight="1"/>
    <row r="411" s="293" customFormat="1" ht="20.100000000000001" customHeight="1"/>
    <row r="412" s="293" customFormat="1" ht="20.100000000000001" customHeight="1"/>
    <row r="413" s="293" customFormat="1" ht="20.100000000000001" customHeight="1"/>
    <row r="414" s="293" customFormat="1" ht="20.100000000000001" customHeight="1"/>
    <row r="415" s="293" customFormat="1" ht="20.100000000000001" customHeight="1"/>
    <row r="416" s="293" customFormat="1" ht="20.100000000000001" customHeight="1"/>
    <row r="417" s="293" customFormat="1" ht="20.100000000000001" customHeight="1"/>
    <row r="418" s="293" customFormat="1" ht="20.100000000000001" customHeight="1"/>
    <row r="419" s="293" customFormat="1" ht="20.100000000000001" customHeight="1"/>
    <row r="420" s="293" customFormat="1" ht="20.100000000000001" customHeight="1"/>
    <row r="421" s="293" customFormat="1" ht="20.100000000000001" customHeight="1"/>
    <row r="422" s="293" customFormat="1" ht="20.100000000000001" customHeight="1"/>
    <row r="423" s="293" customFormat="1" ht="20.100000000000001" customHeight="1"/>
    <row r="424" s="293" customFormat="1" ht="20.100000000000001" customHeight="1"/>
    <row r="425" s="293" customFormat="1" ht="20.100000000000001" customHeight="1"/>
    <row r="426" s="293" customFormat="1" ht="20.100000000000001" customHeight="1"/>
    <row r="427" s="293" customFormat="1" ht="20.100000000000001" customHeight="1"/>
    <row r="428" s="293" customFormat="1" ht="20.100000000000001" customHeight="1"/>
    <row r="429" s="293" customFormat="1" ht="20.100000000000001" customHeight="1"/>
    <row r="430" s="293" customFormat="1" ht="20.100000000000001" customHeight="1"/>
    <row r="431" s="293" customFormat="1" ht="20.100000000000001" customHeight="1"/>
    <row r="432" s="293" customFormat="1" ht="20.100000000000001" customHeight="1"/>
    <row r="433" s="293" customFormat="1" ht="20.100000000000001" customHeight="1"/>
    <row r="434" s="293" customFormat="1" ht="20.100000000000001" customHeight="1"/>
    <row r="435" s="293" customFormat="1" ht="20.100000000000001" customHeight="1"/>
    <row r="436" s="293" customFormat="1" ht="20.100000000000001" customHeight="1"/>
    <row r="437" s="293" customFormat="1" ht="20.100000000000001" customHeight="1"/>
    <row r="438" s="293" customFormat="1" ht="20.100000000000001" customHeight="1"/>
    <row r="439" s="293" customFormat="1" ht="20.100000000000001" customHeight="1"/>
    <row r="440" s="293" customFormat="1" ht="20.100000000000001" customHeight="1"/>
    <row r="441" s="293" customFormat="1" ht="20.100000000000001" customHeight="1"/>
    <row r="442" s="293" customFormat="1" ht="20.100000000000001" customHeight="1"/>
    <row r="443" s="293" customFormat="1" ht="20.100000000000001" customHeight="1"/>
    <row r="444" s="293" customFormat="1" ht="20.100000000000001" customHeight="1"/>
    <row r="445" s="293" customFormat="1" ht="20.100000000000001" customHeight="1"/>
    <row r="446" s="293" customFormat="1" ht="20.100000000000001" customHeight="1"/>
    <row r="447" s="293" customFormat="1" ht="20.100000000000001" customHeight="1"/>
    <row r="448" s="293" customFormat="1" ht="20.100000000000001" customHeight="1"/>
    <row r="449" s="293" customFormat="1" ht="20.100000000000001" customHeight="1"/>
    <row r="450" s="293" customFormat="1" ht="20.100000000000001" customHeight="1"/>
    <row r="451" s="293" customFormat="1" ht="20.100000000000001" customHeight="1"/>
    <row r="452" s="293" customFormat="1" ht="20.100000000000001" customHeight="1"/>
    <row r="453" s="293" customFormat="1" ht="20.100000000000001" customHeight="1"/>
    <row r="454" s="293" customFormat="1" ht="20.100000000000001" customHeight="1"/>
    <row r="455" s="293" customFormat="1" ht="20.100000000000001" customHeight="1"/>
    <row r="456" s="293" customFormat="1" ht="20.100000000000001" customHeight="1"/>
    <row r="457" s="293" customFormat="1" ht="20.100000000000001" customHeight="1"/>
    <row r="458" s="293" customFormat="1" ht="20.100000000000001" customHeight="1"/>
    <row r="459" s="293" customFormat="1" ht="20.100000000000001" customHeight="1"/>
    <row r="460" s="293" customFormat="1" ht="20.100000000000001" customHeight="1"/>
    <row r="461" s="293" customFormat="1" ht="20.100000000000001" customHeight="1"/>
    <row r="462" s="293" customFormat="1" ht="20.100000000000001" customHeight="1"/>
    <row r="463" s="293" customFormat="1" ht="20.100000000000001" customHeight="1"/>
    <row r="464" s="293" customFormat="1" ht="20.100000000000001" customHeight="1"/>
    <row r="465" s="293" customFormat="1" ht="20.100000000000001" customHeight="1"/>
    <row r="466" s="293" customFormat="1" ht="20.100000000000001" customHeight="1"/>
    <row r="467" s="293" customFormat="1" ht="20.100000000000001" customHeight="1"/>
    <row r="468" s="293" customFormat="1" ht="20.100000000000001" customHeight="1"/>
    <row r="469" s="293" customFormat="1" ht="20.100000000000001" customHeight="1"/>
    <row r="470" s="293" customFormat="1" ht="20.100000000000001" customHeight="1"/>
    <row r="471" s="293" customFormat="1" ht="20.100000000000001" customHeight="1"/>
    <row r="472" s="293" customFormat="1" ht="20.100000000000001" customHeight="1"/>
    <row r="473" s="293" customFormat="1" ht="20.100000000000001" customHeight="1"/>
    <row r="474" s="293" customFormat="1" ht="20.100000000000001" customHeight="1"/>
    <row r="475" s="293" customFormat="1" ht="20.100000000000001" customHeight="1"/>
    <row r="476" s="293" customFormat="1" ht="20.100000000000001" customHeight="1"/>
    <row r="477" s="293" customFormat="1" ht="20.100000000000001" customHeight="1"/>
    <row r="478" s="293" customFormat="1" ht="20.100000000000001" customHeight="1"/>
    <row r="479" s="293" customFormat="1" ht="20.100000000000001" customHeight="1"/>
    <row r="480" s="293" customFormat="1" ht="20.100000000000001" customHeight="1"/>
    <row r="481" s="293" customFormat="1" ht="20.100000000000001" customHeight="1"/>
    <row r="482" s="293" customFormat="1" ht="20.100000000000001" customHeight="1"/>
    <row r="483" s="293" customFormat="1" ht="20.100000000000001" customHeight="1"/>
    <row r="484" s="293" customFormat="1" ht="20.100000000000001" customHeight="1"/>
    <row r="485" s="293" customFormat="1" ht="20.100000000000001" customHeight="1"/>
    <row r="486" s="293" customFormat="1" ht="20.100000000000001" customHeight="1"/>
    <row r="487" s="293" customFormat="1" ht="20.100000000000001" customHeight="1"/>
    <row r="488" s="293" customFormat="1" ht="20.100000000000001" customHeight="1"/>
    <row r="489" s="293" customFormat="1" ht="20.100000000000001" customHeight="1"/>
    <row r="490" s="293" customFormat="1" ht="20.100000000000001" customHeight="1"/>
    <row r="491" s="293" customFormat="1" ht="20.100000000000001" customHeight="1"/>
    <row r="492" s="293" customFormat="1" ht="20.100000000000001" customHeight="1"/>
    <row r="493" s="293" customFormat="1" ht="20.100000000000001" customHeight="1"/>
    <row r="494" s="293" customFormat="1" ht="20.100000000000001" customHeight="1"/>
    <row r="495" s="293" customFormat="1" ht="20.100000000000001" customHeight="1"/>
    <row r="496" s="293" customFormat="1" ht="20.100000000000001" customHeight="1"/>
    <row r="497" s="293" customFormat="1" ht="20.100000000000001" customHeight="1"/>
    <row r="498" s="293" customFormat="1" ht="20.100000000000001" customHeight="1"/>
    <row r="499" s="293" customFormat="1" ht="20.100000000000001" customHeight="1"/>
    <row r="500" s="293" customFormat="1" ht="20.100000000000001" customHeight="1"/>
    <row r="501" s="293" customFormat="1" ht="20.100000000000001" customHeight="1"/>
    <row r="502" s="293" customFormat="1" ht="20.100000000000001" customHeight="1"/>
    <row r="503" s="293" customFormat="1" ht="20.100000000000001" customHeight="1"/>
    <row r="504" s="293" customFormat="1" ht="20.100000000000001" customHeight="1"/>
    <row r="505" s="293" customFormat="1" ht="20.100000000000001" customHeight="1"/>
    <row r="506" s="293" customFormat="1" ht="20.100000000000001" customHeight="1"/>
    <row r="507" s="293" customFormat="1" ht="20.100000000000001" customHeight="1"/>
    <row r="508" s="293" customFormat="1" ht="20.100000000000001" customHeight="1"/>
    <row r="509" s="293" customFormat="1" ht="20.100000000000001" customHeight="1"/>
    <row r="510" s="293" customFormat="1" ht="20.100000000000001" customHeight="1"/>
    <row r="511" s="293" customFormat="1" ht="20.100000000000001" customHeight="1"/>
    <row r="512" s="293" customFormat="1" ht="20.100000000000001" customHeight="1"/>
    <row r="513" s="293" customFormat="1" ht="20.100000000000001" customHeight="1"/>
    <row r="514" s="293" customFormat="1" ht="20.100000000000001" customHeight="1"/>
    <row r="515" s="293" customFormat="1" ht="20.100000000000001" customHeight="1"/>
    <row r="516" s="293" customFormat="1" ht="20.100000000000001" customHeight="1"/>
    <row r="517" s="293" customFormat="1" ht="20.100000000000001" customHeight="1"/>
    <row r="518" s="293" customFormat="1" ht="20.100000000000001" customHeight="1"/>
    <row r="519" s="293" customFormat="1" ht="20.100000000000001" customHeight="1"/>
    <row r="520" s="293" customFormat="1" ht="20.100000000000001" customHeight="1"/>
    <row r="521" s="293" customFormat="1" ht="20.100000000000001" customHeight="1"/>
    <row r="522" s="293" customFormat="1" ht="20.100000000000001" customHeight="1"/>
    <row r="523" s="293" customFormat="1" ht="20.100000000000001" customHeight="1"/>
    <row r="524" s="293" customFormat="1" ht="20.100000000000001" customHeight="1"/>
    <row r="525" s="293" customFormat="1" ht="20.100000000000001" customHeight="1"/>
    <row r="526" s="293" customFormat="1" ht="20.100000000000001" customHeight="1"/>
    <row r="527" s="293" customFormat="1" ht="20.100000000000001" customHeight="1"/>
    <row r="528" s="293" customFormat="1" ht="20.100000000000001" customHeight="1"/>
    <row r="529" s="293" customFormat="1" ht="20.100000000000001" customHeight="1"/>
    <row r="530" s="293" customFormat="1" ht="20.100000000000001" customHeight="1"/>
    <row r="531" s="293" customFormat="1" ht="20.100000000000001" customHeight="1"/>
    <row r="532" s="293" customFormat="1" ht="20.100000000000001" customHeight="1"/>
    <row r="533" s="293" customFormat="1" ht="20.100000000000001" customHeight="1"/>
    <row r="534" s="293" customFormat="1" ht="20.100000000000001" customHeight="1"/>
    <row r="535" s="293" customFormat="1" ht="20.100000000000001" customHeight="1"/>
    <row r="536" s="293" customFormat="1" ht="20.100000000000001" customHeight="1"/>
    <row r="537" s="293" customFormat="1" ht="20.100000000000001" customHeight="1"/>
    <row r="538" s="293" customFormat="1" ht="20.100000000000001" customHeight="1"/>
    <row r="539" s="293" customFormat="1" ht="20.100000000000001" customHeight="1"/>
    <row r="540" s="293" customFormat="1" ht="20.100000000000001" customHeight="1"/>
    <row r="541" s="293" customFormat="1" ht="20.100000000000001" customHeight="1"/>
    <row r="542" s="293" customFormat="1" ht="20.100000000000001" customHeight="1"/>
    <row r="543" s="293" customFormat="1" ht="20.100000000000001" customHeight="1"/>
    <row r="544" s="293" customFormat="1" ht="20.100000000000001" customHeight="1"/>
    <row r="545" s="293" customFormat="1" ht="20.100000000000001" customHeight="1"/>
    <row r="546" s="293" customFormat="1" ht="20.100000000000001" customHeight="1"/>
    <row r="547" s="293" customFormat="1" ht="20.100000000000001" customHeight="1"/>
    <row r="548" s="293" customFormat="1" ht="20.100000000000001" customHeight="1"/>
    <row r="549" s="293" customFormat="1" ht="20.100000000000001" customHeight="1"/>
    <row r="550" s="293" customFormat="1" ht="20.100000000000001" customHeight="1"/>
    <row r="551" s="293" customFormat="1" ht="20.100000000000001" customHeight="1"/>
    <row r="552" s="293" customFormat="1" ht="20.100000000000001" customHeight="1"/>
    <row r="553" s="293" customFormat="1" ht="20.100000000000001" customHeight="1"/>
    <row r="554" s="293" customFormat="1" ht="20.100000000000001" customHeight="1"/>
    <row r="555" s="293" customFormat="1" ht="20.100000000000001" customHeight="1"/>
    <row r="556" s="293" customFormat="1" ht="20.100000000000001" customHeight="1"/>
    <row r="557" s="293" customFormat="1" ht="20.100000000000001" customHeight="1"/>
    <row r="558" s="293" customFormat="1" ht="20.100000000000001" customHeight="1"/>
    <row r="559" s="293" customFormat="1" ht="20.100000000000001" customHeight="1"/>
    <row r="560" s="293" customFormat="1" ht="20.100000000000001" customHeight="1"/>
    <row r="561" s="293" customFormat="1" ht="20.100000000000001" customHeight="1"/>
    <row r="562" s="293" customFormat="1" ht="20.100000000000001" customHeight="1"/>
    <row r="563" s="293" customFormat="1" ht="20.100000000000001" customHeight="1"/>
    <row r="564" s="293" customFormat="1" ht="20.100000000000001" customHeight="1"/>
    <row r="565" s="293" customFormat="1" ht="20.100000000000001" customHeight="1"/>
    <row r="566" s="293" customFormat="1" ht="20.100000000000001" customHeight="1"/>
    <row r="567" s="293" customFormat="1" ht="20.100000000000001" customHeight="1"/>
    <row r="568" s="293" customFormat="1" ht="20.100000000000001" customHeight="1"/>
    <row r="569" s="293" customFormat="1" ht="20.100000000000001" customHeight="1"/>
    <row r="570" s="293" customFormat="1" ht="20.100000000000001" customHeight="1"/>
    <row r="571" s="293" customFormat="1" ht="20.100000000000001" customHeight="1"/>
    <row r="572" s="293" customFormat="1" ht="20.100000000000001" customHeight="1"/>
    <row r="573" s="293" customFormat="1" ht="20.100000000000001" customHeight="1"/>
    <row r="574" s="293" customFormat="1" ht="20.100000000000001" customHeight="1"/>
    <row r="575" s="293" customFormat="1" ht="20.100000000000001" customHeight="1"/>
    <row r="576" s="293" customFormat="1" ht="20.100000000000001" customHeight="1"/>
    <row r="577" s="293" customFormat="1" ht="20.100000000000001" customHeight="1"/>
    <row r="578" s="293" customFormat="1" ht="20.100000000000001" customHeight="1"/>
    <row r="579" s="293" customFormat="1" ht="20.100000000000001" customHeight="1"/>
    <row r="580" s="293" customFormat="1" ht="20.100000000000001" customHeight="1"/>
    <row r="581" s="293" customFormat="1" ht="20.100000000000001" customHeight="1"/>
    <row r="582" s="293" customFormat="1" ht="20.100000000000001" customHeight="1"/>
    <row r="583" s="293" customFormat="1" ht="20.100000000000001" customHeight="1"/>
    <row r="584" s="293" customFormat="1" ht="20.100000000000001" customHeight="1"/>
    <row r="585" s="293" customFormat="1" ht="20.100000000000001" customHeight="1"/>
    <row r="586" s="293" customFormat="1" ht="20.100000000000001" customHeight="1"/>
    <row r="587" s="293" customFormat="1" ht="20.100000000000001" customHeight="1"/>
    <row r="588" s="293" customFormat="1" ht="20.100000000000001" customHeight="1"/>
    <row r="589" s="293" customFormat="1" ht="20.100000000000001" customHeight="1"/>
    <row r="590" s="293" customFormat="1" ht="20.100000000000001" customHeight="1"/>
    <row r="591" s="293" customFormat="1" ht="20.100000000000001" customHeight="1"/>
    <row r="592" s="293" customFormat="1" ht="20.100000000000001" customHeight="1"/>
    <row r="593" s="293" customFormat="1" ht="20.100000000000001" customHeight="1"/>
    <row r="594" s="293" customFormat="1" ht="20.100000000000001" customHeight="1"/>
    <row r="595" s="293" customFormat="1" ht="20.100000000000001" customHeight="1"/>
    <row r="596" s="293" customFormat="1" ht="20.100000000000001" customHeight="1"/>
    <row r="597" s="293" customFormat="1" ht="20.100000000000001" customHeight="1"/>
    <row r="598" s="293" customFormat="1" ht="20.100000000000001" customHeight="1"/>
    <row r="599" s="293" customFormat="1" ht="20.100000000000001" customHeight="1"/>
    <row r="600" s="293" customFormat="1" ht="20.100000000000001" customHeight="1"/>
    <row r="601" s="293" customFormat="1" ht="20.100000000000001" customHeight="1"/>
    <row r="602" s="293" customFormat="1" ht="20.100000000000001" customHeight="1"/>
    <row r="603" s="293" customFormat="1" ht="20.100000000000001" customHeight="1"/>
    <row r="604" s="293" customFormat="1" ht="20.100000000000001" customHeight="1"/>
    <row r="605" s="293" customFormat="1" ht="20.100000000000001" customHeight="1"/>
    <row r="606" s="293" customFormat="1" ht="20.100000000000001" customHeight="1"/>
    <row r="607" s="293" customFormat="1" ht="20.100000000000001" customHeight="1"/>
    <row r="608" s="293" customFormat="1" ht="20.100000000000001" customHeight="1"/>
    <row r="609" s="293" customFormat="1" ht="20.100000000000001" customHeight="1"/>
    <row r="610" s="293" customFormat="1" ht="20.100000000000001" customHeight="1"/>
    <row r="611" s="293" customFormat="1" ht="20.100000000000001" customHeight="1"/>
    <row r="612" s="293" customFormat="1" ht="20.100000000000001" customHeight="1"/>
    <row r="613" s="293" customFormat="1" ht="20.100000000000001" customHeight="1"/>
    <row r="614" s="293" customFormat="1" ht="20.100000000000001" customHeight="1"/>
    <row r="615" s="293" customFormat="1" ht="20.100000000000001" customHeight="1"/>
    <row r="616" s="293" customFormat="1" ht="20.100000000000001" customHeight="1"/>
    <row r="617" s="293" customFormat="1" ht="20.100000000000001" customHeight="1"/>
    <row r="618" s="293" customFormat="1" ht="20.100000000000001" customHeight="1"/>
    <row r="619" s="293" customFormat="1" ht="20.100000000000001" customHeight="1"/>
    <row r="620" s="293" customFormat="1" ht="20.100000000000001" customHeight="1"/>
    <row r="621" s="293" customFormat="1" ht="20.100000000000001" customHeight="1"/>
    <row r="622" s="293" customFormat="1" ht="20.100000000000001" customHeight="1"/>
    <row r="623" s="293" customFormat="1" ht="20.100000000000001" customHeight="1"/>
    <row r="624" s="293" customFormat="1" ht="20.100000000000001" customHeight="1"/>
    <row r="625" s="293" customFormat="1" ht="20.100000000000001" customHeight="1"/>
    <row r="626" s="293" customFormat="1" ht="20.100000000000001" customHeight="1"/>
    <row r="627" s="293" customFormat="1" ht="20.100000000000001" customHeight="1"/>
    <row r="628" s="293" customFormat="1" ht="20.100000000000001" customHeight="1"/>
    <row r="629" s="293" customFormat="1" ht="20.100000000000001" customHeight="1"/>
    <row r="630" s="293" customFormat="1" ht="20.100000000000001" customHeight="1"/>
    <row r="631" s="293" customFormat="1" ht="20.100000000000001" customHeight="1"/>
    <row r="632" s="293" customFormat="1" ht="20.100000000000001" customHeight="1"/>
    <row r="633" s="293" customFormat="1" ht="20.100000000000001" customHeight="1"/>
    <row r="634" s="293" customFormat="1" ht="20.100000000000001" customHeight="1"/>
    <row r="635" s="293" customFormat="1" ht="20.100000000000001" customHeight="1"/>
    <row r="636" s="293" customFormat="1" ht="20.100000000000001" customHeight="1"/>
    <row r="637" s="293" customFormat="1" ht="20.100000000000001" customHeight="1"/>
    <row r="638" s="293" customFormat="1" ht="20.100000000000001" customHeight="1"/>
    <row r="639" s="293" customFormat="1" ht="20.100000000000001" customHeight="1"/>
    <row r="640" s="293" customFormat="1" ht="20.100000000000001" customHeight="1"/>
    <row r="641" s="293" customFormat="1" ht="20.100000000000001" customHeight="1"/>
    <row r="642" s="293" customFormat="1" ht="20.100000000000001" customHeight="1"/>
    <row r="643" s="293" customFormat="1" ht="20.100000000000001" customHeight="1"/>
    <row r="644" s="293" customFormat="1" ht="20.100000000000001" customHeight="1"/>
    <row r="645" s="293" customFormat="1" ht="20.100000000000001" customHeight="1"/>
    <row r="646" s="293" customFormat="1" ht="20.100000000000001" customHeight="1"/>
    <row r="647" s="293" customFormat="1" ht="20.100000000000001" customHeight="1"/>
    <row r="648" s="293" customFormat="1" ht="20.100000000000001" customHeight="1"/>
    <row r="649" s="293" customFormat="1" ht="20.100000000000001" customHeight="1"/>
    <row r="650" s="293" customFormat="1" ht="20.100000000000001" customHeight="1"/>
    <row r="651" s="293" customFormat="1" ht="20.100000000000001" customHeight="1"/>
    <row r="652" s="293" customFormat="1" ht="20.100000000000001" customHeight="1"/>
    <row r="653" s="293" customFormat="1" ht="20.100000000000001" customHeight="1"/>
    <row r="654" s="293" customFormat="1" ht="20.100000000000001" customHeight="1"/>
    <row r="655" s="293" customFormat="1" ht="20.100000000000001" customHeight="1"/>
    <row r="656" s="293" customFormat="1" ht="20.100000000000001" customHeight="1"/>
    <row r="657" s="293" customFormat="1" ht="20.100000000000001" customHeight="1"/>
    <row r="658" s="293" customFormat="1" ht="20.100000000000001" customHeight="1"/>
    <row r="659" s="293" customFormat="1" ht="20.100000000000001" customHeight="1"/>
    <row r="660" s="293" customFormat="1" ht="20.100000000000001" customHeight="1"/>
    <row r="661" s="293" customFormat="1" ht="20.100000000000001" customHeight="1"/>
    <row r="662" s="293" customFormat="1" ht="20.100000000000001" customHeight="1"/>
    <row r="663" s="293" customFormat="1" ht="20.100000000000001" customHeight="1"/>
    <row r="664" s="293" customFormat="1" ht="20.100000000000001" customHeight="1"/>
    <row r="665" s="293" customFormat="1" ht="20.100000000000001" customHeight="1"/>
    <row r="666" s="293" customFormat="1" ht="20.100000000000001" customHeight="1"/>
    <row r="667" s="293" customFormat="1" ht="20.100000000000001" customHeight="1"/>
    <row r="668" s="293" customFormat="1" ht="20.100000000000001" customHeight="1"/>
    <row r="669" s="293" customFormat="1" ht="20.100000000000001" customHeight="1"/>
    <row r="670" s="293" customFormat="1" ht="20.100000000000001" customHeight="1"/>
    <row r="671" s="293" customFormat="1" ht="20.100000000000001" customHeight="1"/>
    <row r="672" s="293" customFormat="1" ht="20.100000000000001" customHeight="1"/>
    <row r="673" s="293" customFormat="1" ht="20.100000000000001" customHeight="1"/>
    <row r="674" s="293" customFormat="1" ht="20.100000000000001" customHeight="1"/>
    <row r="675" s="293" customFormat="1" ht="20.100000000000001" customHeight="1"/>
    <row r="676" s="293" customFormat="1" ht="20.100000000000001" customHeight="1"/>
    <row r="677" s="293" customFormat="1" ht="20.100000000000001" customHeight="1"/>
    <row r="678" s="293" customFormat="1" ht="20.100000000000001" customHeight="1"/>
    <row r="679" s="293" customFormat="1" ht="20.100000000000001" customHeight="1"/>
    <row r="680" s="293" customFormat="1" ht="20.100000000000001" customHeight="1"/>
    <row r="681" s="293" customFormat="1" ht="20.100000000000001" customHeight="1"/>
    <row r="682" s="293" customFormat="1" ht="20.100000000000001" customHeight="1"/>
    <row r="683" s="293" customFormat="1" ht="20.100000000000001" customHeight="1"/>
    <row r="684" s="293" customFormat="1" ht="20.100000000000001" customHeight="1"/>
    <row r="685" s="293" customFormat="1" ht="20.100000000000001" customHeight="1"/>
    <row r="686" s="293" customFormat="1" ht="20.100000000000001" customHeight="1"/>
    <row r="687" s="293" customFormat="1" ht="20.100000000000001" customHeight="1"/>
    <row r="688" s="293" customFormat="1" ht="20.100000000000001" customHeight="1"/>
    <row r="689" s="293" customFormat="1" ht="20.100000000000001" customHeight="1"/>
    <row r="690" s="293" customFormat="1" ht="20.100000000000001" customHeight="1"/>
    <row r="691" s="293" customFormat="1" ht="20.100000000000001" customHeight="1"/>
    <row r="692" s="293" customFormat="1" ht="20.100000000000001" customHeight="1"/>
    <row r="693" s="293" customFormat="1" ht="20.100000000000001" customHeight="1"/>
    <row r="694" s="293" customFormat="1" ht="20.100000000000001" customHeight="1"/>
    <row r="695" s="293" customFormat="1" ht="20.100000000000001" customHeight="1"/>
    <row r="696" s="293" customFormat="1" ht="20.100000000000001" customHeight="1"/>
    <row r="697" s="293" customFormat="1" ht="20.100000000000001" customHeight="1"/>
    <row r="698" s="293" customFormat="1" ht="20.100000000000001" customHeight="1"/>
    <row r="699" s="293" customFormat="1" ht="20.100000000000001" customHeight="1"/>
    <row r="700" s="293" customFormat="1" ht="20.100000000000001" customHeight="1"/>
    <row r="701" s="293" customFormat="1" ht="20.100000000000001" customHeight="1"/>
    <row r="702" s="293" customFormat="1" ht="20.100000000000001" customHeight="1"/>
    <row r="703" s="293" customFormat="1" ht="20.100000000000001" customHeight="1"/>
    <row r="704" s="293" customFormat="1" ht="20.100000000000001" customHeight="1"/>
    <row r="705" s="293" customFormat="1" ht="20.100000000000001" customHeight="1"/>
    <row r="706" s="293" customFormat="1" ht="20.100000000000001" customHeight="1"/>
    <row r="707" s="293" customFormat="1" ht="20.100000000000001" customHeight="1"/>
    <row r="708" s="293" customFormat="1" ht="20.100000000000001" customHeight="1"/>
    <row r="709" s="293" customFormat="1" ht="20.100000000000001" customHeight="1"/>
    <row r="710" s="293" customFormat="1" ht="20.100000000000001" customHeight="1"/>
    <row r="711" s="293" customFormat="1" ht="20.100000000000001" customHeight="1"/>
    <row r="712" s="293" customFormat="1" ht="20.100000000000001" customHeight="1"/>
    <row r="713" s="293" customFormat="1" ht="20.100000000000001" customHeight="1"/>
    <row r="714" s="293" customFormat="1" ht="20.100000000000001" customHeight="1"/>
    <row r="715" s="293" customFormat="1" ht="20.100000000000001" customHeight="1"/>
    <row r="716" s="293" customFormat="1" ht="20.100000000000001" customHeight="1"/>
    <row r="717" s="293" customFormat="1" ht="20.100000000000001" customHeight="1"/>
    <row r="718" s="293" customFormat="1" ht="20.100000000000001" customHeight="1"/>
    <row r="719" s="293" customFormat="1" ht="20.100000000000001" customHeight="1"/>
    <row r="720" s="293" customFormat="1" ht="20.100000000000001" customHeight="1"/>
    <row r="721" s="293" customFormat="1" ht="20.100000000000001" customHeight="1"/>
    <row r="722" s="293" customFormat="1" ht="20.100000000000001" customHeight="1"/>
    <row r="723" s="293" customFormat="1" ht="20.100000000000001" customHeight="1"/>
    <row r="724" s="293" customFormat="1" ht="20.100000000000001" customHeight="1"/>
    <row r="725" s="293" customFormat="1" ht="20.100000000000001" customHeight="1"/>
    <row r="726" s="293" customFormat="1" ht="20.100000000000001" customHeight="1"/>
    <row r="727" s="293" customFormat="1" ht="20.100000000000001" customHeight="1"/>
    <row r="728" s="293" customFormat="1" ht="20.100000000000001" customHeight="1"/>
    <row r="729" s="293" customFormat="1" ht="20.100000000000001" customHeight="1"/>
    <row r="730" s="293" customFormat="1" ht="20.100000000000001" customHeight="1"/>
    <row r="731" s="293" customFormat="1" ht="20.100000000000001" customHeight="1"/>
    <row r="732" s="293" customFormat="1" ht="20.100000000000001" customHeight="1"/>
    <row r="733" s="293" customFormat="1" ht="20.100000000000001" customHeight="1"/>
    <row r="734" s="293" customFormat="1" ht="20.100000000000001" customHeight="1"/>
    <row r="735" s="293" customFormat="1" ht="20.100000000000001" customHeight="1"/>
    <row r="736" s="293" customFormat="1" ht="20.100000000000001" customHeight="1"/>
    <row r="737" s="293" customFormat="1" ht="20.100000000000001" customHeight="1"/>
    <row r="738" s="293" customFormat="1" ht="20.100000000000001" customHeight="1"/>
    <row r="739" s="293" customFormat="1" ht="20.100000000000001" customHeight="1"/>
    <row r="740" s="293" customFormat="1" ht="20.100000000000001" customHeight="1"/>
    <row r="741" s="293" customFormat="1" ht="20.100000000000001" customHeight="1"/>
    <row r="742" s="293" customFormat="1" ht="20.100000000000001" customHeight="1"/>
    <row r="743" s="293" customFormat="1" ht="20.100000000000001" customHeight="1"/>
    <row r="744" s="293" customFormat="1" ht="20.100000000000001" customHeight="1"/>
    <row r="745" s="293" customFormat="1" ht="20.100000000000001" customHeight="1"/>
    <row r="746" s="293" customFormat="1" ht="20.100000000000001" customHeight="1"/>
    <row r="747" s="293" customFormat="1" ht="20.100000000000001" customHeight="1"/>
    <row r="748" s="293" customFormat="1" ht="20.100000000000001" customHeight="1"/>
    <row r="749" s="293" customFormat="1" ht="20.100000000000001" customHeight="1"/>
    <row r="750" s="293" customFormat="1" ht="20.100000000000001" customHeight="1"/>
    <row r="751" s="293" customFormat="1" ht="20.100000000000001" customHeight="1"/>
    <row r="752" s="293" customFormat="1" ht="20.100000000000001" customHeight="1"/>
    <row r="753" s="293" customFormat="1" ht="20.100000000000001" customHeight="1"/>
    <row r="754" s="293" customFormat="1" ht="20.100000000000001" customHeight="1"/>
    <row r="755" s="293" customFormat="1" ht="20.100000000000001" customHeight="1"/>
    <row r="756" s="293" customFormat="1" ht="20.100000000000001" customHeight="1"/>
    <row r="757" s="293" customFormat="1" ht="20.100000000000001" customHeight="1"/>
    <row r="758" s="293" customFormat="1" ht="20.100000000000001" customHeight="1"/>
    <row r="759" s="293" customFormat="1" ht="20.100000000000001" customHeight="1"/>
    <row r="760" s="293" customFormat="1" ht="20.100000000000001" customHeight="1"/>
    <row r="761" s="293" customFormat="1" ht="20.100000000000001" customHeight="1"/>
    <row r="762" s="293" customFormat="1" ht="20.100000000000001" customHeight="1"/>
    <row r="763" s="293" customFormat="1" ht="20.100000000000001" customHeight="1"/>
    <row r="764" s="293" customFormat="1" ht="20.100000000000001" customHeight="1"/>
    <row r="765" s="293" customFormat="1" ht="20.100000000000001" customHeight="1"/>
    <row r="766" s="293" customFormat="1" ht="20.100000000000001" customHeight="1"/>
    <row r="767" s="293" customFormat="1" ht="20.100000000000001" customHeight="1"/>
    <row r="768" s="293" customFormat="1" ht="20.100000000000001" customHeight="1"/>
    <row r="769" s="293" customFormat="1" ht="20.100000000000001" customHeight="1"/>
    <row r="770" s="293" customFormat="1" ht="20.100000000000001" customHeight="1"/>
    <row r="771" s="293" customFormat="1" ht="20.100000000000001" customHeight="1"/>
    <row r="772" s="293" customFormat="1" ht="20.100000000000001" customHeight="1"/>
    <row r="773" s="293" customFormat="1" ht="20.100000000000001" customHeight="1"/>
    <row r="774" s="293" customFormat="1" ht="20.100000000000001" customHeight="1"/>
    <row r="775" s="293" customFormat="1" ht="20.100000000000001" customHeight="1"/>
    <row r="776" s="293" customFormat="1" ht="20.100000000000001" customHeight="1"/>
    <row r="777" s="293" customFormat="1" ht="20.100000000000001" customHeight="1"/>
    <row r="778" s="293" customFormat="1" ht="20.100000000000001" customHeight="1"/>
    <row r="779" s="293" customFormat="1" ht="20.100000000000001" customHeight="1"/>
    <row r="780" s="293" customFormat="1" ht="20.100000000000001" customHeight="1"/>
    <row r="781" s="293" customFormat="1" ht="20.100000000000001" customHeight="1"/>
    <row r="782" s="293" customFormat="1" ht="20.100000000000001" customHeight="1"/>
    <row r="783" s="293" customFormat="1" ht="20.100000000000001" customHeight="1"/>
    <row r="784" s="293" customFormat="1" ht="20.100000000000001" customHeight="1"/>
    <row r="785" s="293" customFormat="1" ht="20.100000000000001" customHeight="1"/>
    <row r="786" s="293" customFormat="1" ht="20.100000000000001" customHeight="1"/>
    <row r="787" s="293" customFormat="1" ht="20.100000000000001" customHeight="1"/>
    <row r="788" s="293" customFormat="1" ht="20.100000000000001" customHeight="1"/>
    <row r="789" s="293" customFormat="1" ht="20.100000000000001" customHeight="1"/>
    <row r="790" s="293" customFormat="1" ht="20.100000000000001" customHeight="1"/>
    <row r="791" s="293" customFormat="1" ht="20.100000000000001" customHeight="1"/>
    <row r="792" s="293" customFormat="1" ht="20.100000000000001" customHeight="1"/>
    <row r="793" s="293" customFormat="1" ht="20.100000000000001" customHeight="1"/>
    <row r="794" s="293" customFormat="1" ht="20.100000000000001" customHeight="1"/>
    <row r="795" s="293" customFormat="1" ht="20.100000000000001" customHeight="1"/>
    <row r="796" s="293" customFormat="1" ht="20.100000000000001" customHeight="1"/>
    <row r="797" s="293" customFormat="1" ht="20.100000000000001" customHeight="1"/>
    <row r="798" s="293" customFormat="1" ht="20.100000000000001" customHeight="1"/>
    <row r="799" s="293" customFormat="1" ht="20.100000000000001" customHeight="1"/>
    <row r="800" s="293" customFormat="1" ht="20.100000000000001" customHeight="1"/>
    <row r="801" s="293" customFormat="1" ht="20.100000000000001" customHeight="1"/>
    <row r="802" s="293" customFormat="1" ht="20.100000000000001" customHeight="1"/>
    <row r="803" s="293" customFormat="1" ht="20.100000000000001" customHeight="1"/>
    <row r="804" s="293" customFormat="1" ht="20.100000000000001" customHeight="1"/>
    <row r="805" s="293" customFormat="1" ht="20.100000000000001" customHeight="1"/>
    <row r="806" s="293" customFormat="1" ht="20.100000000000001" customHeight="1"/>
    <row r="807" s="293" customFormat="1" ht="20.100000000000001" customHeight="1"/>
    <row r="808" s="293" customFormat="1" ht="20.100000000000001" customHeight="1"/>
    <row r="809" s="293" customFormat="1" ht="20.100000000000001" customHeight="1"/>
    <row r="810" s="293" customFormat="1" ht="20.100000000000001" customHeight="1"/>
    <row r="811" s="293" customFormat="1" ht="20.100000000000001" customHeight="1"/>
    <row r="812" s="293" customFormat="1" ht="20.100000000000001" customHeight="1"/>
    <row r="813" s="293" customFormat="1" ht="20.100000000000001" customHeight="1"/>
    <row r="814" s="293" customFormat="1" ht="20.100000000000001" customHeight="1"/>
    <row r="815" s="293" customFormat="1" ht="20.100000000000001" customHeight="1"/>
    <row r="816" s="293" customFormat="1" ht="20.100000000000001" customHeight="1"/>
    <row r="817" s="293" customFormat="1" ht="20.100000000000001" customHeight="1"/>
    <row r="818" s="293" customFormat="1" ht="20.100000000000001" customHeight="1"/>
    <row r="819" s="293" customFormat="1" ht="20.100000000000001" customHeight="1"/>
    <row r="820" s="293" customFormat="1" ht="20.100000000000001" customHeight="1"/>
    <row r="821" s="293" customFormat="1" ht="20.100000000000001" customHeight="1"/>
    <row r="822" s="293" customFormat="1" ht="20.100000000000001" customHeight="1"/>
    <row r="823" s="293" customFormat="1" ht="20.100000000000001" customHeight="1"/>
    <row r="824" s="293" customFormat="1" ht="20.100000000000001" customHeight="1"/>
    <row r="825" s="293" customFormat="1" ht="20.100000000000001" customHeight="1"/>
    <row r="826" s="293" customFormat="1" ht="20.100000000000001" customHeight="1"/>
    <row r="827" s="293" customFormat="1" ht="20.100000000000001" customHeight="1"/>
    <row r="828" s="293" customFormat="1" ht="20.100000000000001" customHeight="1"/>
    <row r="829" s="293" customFormat="1" ht="20.100000000000001" customHeight="1"/>
    <row r="830" s="293" customFormat="1" ht="20.100000000000001" customHeight="1"/>
    <row r="831" s="293" customFormat="1" ht="20.100000000000001" customHeight="1"/>
    <row r="832" s="293" customFormat="1" ht="20.100000000000001" customHeight="1"/>
    <row r="833" s="293" customFormat="1" ht="20.100000000000001" customHeight="1"/>
    <row r="834" s="293" customFormat="1" ht="20.100000000000001" customHeight="1"/>
    <row r="835" s="293" customFormat="1" ht="20.100000000000001" customHeight="1"/>
    <row r="836" s="293" customFormat="1" ht="20.100000000000001" customHeight="1"/>
    <row r="837" s="293" customFormat="1" ht="20.100000000000001" customHeight="1"/>
    <row r="838" s="293" customFormat="1" ht="20.100000000000001" customHeight="1"/>
    <row r="839" s="293" customFormat="1" ht="20.100000000000001" customHeight="1"/>
    <row r="840" s="293" customFormat="1" ht="20.100000000000001" customHeight="1"/>
    <row r="841" s="293" customFormat="1" ht="20.100000000000001" customHeight="1"/>
    <row r="842" s="293" customFormat="1" ht="20.100000000000001" customHeight="1"/>
    <row r="843" s="293" customFormat="1" ht="20.100000000000001" customHeight="1"/>
    <row r="844" s="293" customFormat="1" ht="20.100000000000001" customHeight="1"/>
    <row r="845" s="293" customFormat="1" ht="20.100000000000001" customHeight="1"/>
    <row r="846" s="293" customFormat="1" ht="20.100000000000001" customHeight="1"/>
    <row r="847" s="29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zoomScaleNormal="100" workbookViewId="0">
      <selection activeCell="D21" sqref="D2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90" customFormat="1" ht="107.25" customHeight="1" thickBot="1">
      <c r="B1" s="294"/>
      <c r="C1" s="294"/>
      <c r="D1" s="630"/>
      <c r="E1" s="631" t="s">
        <v>824</v>
      </c>
      <c r="F1" s="631"/>
      <c r="G1" s="294"/>
      <c r="H1" s="294"/>
      <c r="I1" s="294"/>
      <c r="J1" s="50"/>
      <c r="K1" s="294"/>
      <c r="L1" s="294"/>
      <c r="M1" s="294"/>
      <c r="N1" s="294"/>
      <c r="O1" s="294"/>
      <c r="P1" s="629"/>
      <c r="Q1" s="294"/>
      <c r="R1" s="294"/>
    </row>
    <row r="2" spans="1:18" s="53" customFormat="1" ht="23.1" customHeight="1">
      <c r="A2" s="704" t="s">
        <v>0</v>
      </c>
      <c r="B2" s="705" t="s">
        <v>39</v>
      </c>
      <c r="C2" s="705" t="s">
        <v>6</v>
      </c>
      <c r="D2" s="705" t="s">
        <v>38</v>
      </c>
      <c r="E2" s="705" t="s">
        <v>201</v>
      </c>
      <c r="F2" s="705" t="s">
        <v>200</v>
      </c>
      <c r="G2" s="706" t="s">
        <v>1</v>
      </c>
      <c r="H2" s="706" t="s">
        <v>2</v>
      </c>
      <c r="I2" s="706" t="s">
        <v>169</v>
      </c>
      <c r="J2" s="707" t="s">
        <v>254</v>
      </c>
      <c r="K2" s="706" t="s">
        <v>253</v>
      </c>
      <c r="L2" s="706" t="s">
        <v>3</v>
      </c>
      <c r="M2" s="706" t="s">
        <v>4</v>
      </c>
      <c r="N2" s="706" t="s">
        <v>5</v>
      </c>
      <c r="O2" s="706" t="s">
        <v>252</v>
      </c>
      <c r="P2" s="708" t="s">
        <v>251</v>
      </c>
      <c r="Q2" s="705" t="s">
        <v>156</v>
      </c>
      <c r="R2" s="709" t="s">
        <v>91</v>
      </c>
    </row>
    <row r="3" spans="1:18" s="53" customFormat="1" ht="27" customHeight="1">
      <c r="A3" s="710"/>
      <c r="B3" s="711"/>
      <c r="C3" s="711"/>
      <c r="D3" s="711"/>
      <c r="E3" s="711"/>
      <c r="F3" s="711"/>
      <c r="G3" s="712"/>
      <c r="H3" s="712"/>
      <c r="I3" s="712"/>
      <c r="J3" s="713"/>
      <c r="K3" s="712"/>
      <c r="L3" s="712"/>
      <c r="M3" s="712"/>
      <c r="N3" s="712"/>
      <c r="O3" s="712"/>
      <c r="P3" s="714"/>
      <c r="Q3" s="711"/>
      <c r="R3" s="715"/>
    </row>
    <row r="4" spans="1:18" ht="23.1" customHeight="1" thickBot="1">
      <c r="A4" s="716" t="s">
        <v>825</v>
      </c>
      <c r="B4" s="717" t="str">
        <f>Recharge!$B$32</f>
        <v>(주)동해엔지니어링</v>
      </c>
      <c r="C4" s="718"/>
      <c r="D4" s="719" t="s">
        <v>823</v>
      </c>
      <c r="E4" s="719" t="str">
        <f>Recharge!$I$24</f>
        <v>금강/갑천</v>
      </c>
      <c r="F4" s="719" t="str">
        <f>All!$B$2</f>
        <v>대전기상청</v>
      </c>
      <c r="G4" s="719">
        <v>250</v>
      </c>
      <c r="H4" s="719">
        <v>150</v>
      </c>
      <c r="I4" s="719">
        <v>100</v>
      </c>
      <c r="J4" s="719">
        <v>100</v>
      </c>
      <c r="K4" s="719">
        <v>120</v>
      </c>
      <c r="L4" s="719">
        <v>2</v>
      </c>
      <c r="M4" s="719">
        <v>60</v>
      </c>
      <c r="N4" s="720">
        <v>32</v>
      </c>
      <c r="O4" s="721">
        <f>ROUND(water!$F$7, 1)</f>
        <v>331</v>
      </c>
      <c r="P4" s="722">
        <v>3171126.2626999998</v>
      </c>
      <c r="Q4" s="719"/>
      <c r="R4" s="723"/>
    </row>
    <row r="5" spans="1:18" ht="23.25" customHeight="1" thickBot="1">
      <c r="A5" s="81"/>
      <c r="J5" s="96"/>
      <c r="P5" s="97"/>
    </row>
    <row r="6" spans="1:18" ht="23.25" customHeight="1" thickBot="1">
      <c r="I6" s="201">
        <f>SUM(I4:I5)</f>
        <v>100</v>
      </c>
    </row>
    <row r="10" spans="1:18">
      <c r="Q10" s="22" t="s">
        <v>119</v>
      </c>
    </row>
    <row r="11" spans="1:18">
      <c r="K11"/>
      <c r="L11"/>
    </row>
    <row r="12" spans="1:18">
      <c r="I12"/>
      <c r="J12"/>
      <c r="K12"/>
      <c r="L12"/>
      <c r="M12"/>
      <c r="N12"/>
      <c r="O12"/>
      <c r="P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153</v>
      </c>
      <c r="C2" s="598" t="str">
        <f>Well!D4</f>
        <v>유성구 죽동 305</v>
      </c>
      <c r="D2" s="599"/>
      <c r="E2" s="599"/>
      <c r="F2" s="599"/>
      <c r="G2" s="599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89">
        <f>Well!C4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90">
        <f>Well!R4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90">
        <f>Well!Q4</f>
        <v>0</v>
      </c>
      <c r="D5" s="607" t="s">
        <v>53</v>
      </c>
      <c r="E5" s="202">
        <v>0.88329999999999997</v>
      </c>
      <c r="F5" s="20">
        <f>$E$5/$C$14</f>
        <v>6.4007246376811596E-3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691" t="str">
        <f>Well!D4</f>
        <v>유성구 죽동 305</v>
      </c>
      <c r="D6" s="607" t="s">
        <v>56</v>
      </c>
      <c r="E6" s="203">
        <v>2.6640000000000001</v>
      </c>
      <c r="F6" s="20">
        <f>$E$6/$C$14</f>
        <v>1.9304347826086959E-2</v>
      </c>
      <c r="G6" s="601">
        <v>36.36</v>
      </c>
      <c r="H6" s="603">
        <v>1.4039999999999999</v>
      </c>
      <c r="I6"/>
      <c r="J6" s="169" t="s">
        <v>325</v>
      </c>
      <c r="K6" s="166">
        <v>165</v>
      </c>
      <c r="L6"/>
      <c r="M6"/>
    </row>
    <row r="7" spans="1:13" ht="20.100000000000001" customHeight="1" thickBot="1">
      <c r="B7" s="608" t="s">
        <v>55</v>
      </c>
      <c r="C7" s="692">
        <f>Well!H4</f>
        <v>150</v>
      </c>
      <c r="D7" s="82" t="s">
        <v>58</v>
      </c>
      <c r="E7" s="80">
        <f>ROUND((E5+E6)/2,4)</f>
        <v>1.7737000000000001</v>
      </c>
      <c r="F7" s="21">
        <f>$E$7/$C$14</f>
        <v>1.2852898550724638E-2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693">
        <f>Well!G4</f>
        <v>250</v>
      </c>
    </row>
    <row r="9" spans="1:13" ht="25.5" customHeight="1" thickBot="1">
      <c r="B9" s="608" t="s">
        <v>59</v>
      </c>
      <c r="C9" s="694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695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695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96">
        <f>C7-C9</f>
        <v>138</v>
      </c>
      <c r="H12" s="9"/>
      <c r="J12" s="158" t="s">
        <v>116</v>
      </c>
      <c r="K12" s="636">
        <v>18</v>
      </c>
      <c r="L12" s="635">
        <f>K12+180</f>
        <v>198</v>
      </c>
    </row>
    <row r="13" spans="1:13" ht="20.100000000000001" customHeight="1">
      <c r="A13" s="8">
        <f>C10+C11+C12+C13</f>
        <v>150</v>
      </c>
      <c r="B13" s="3" t="s">
        <v>65</v>
      </c>
      <c r="C13" s="696"/>
      <c r="D13" s="74" t="str">
        <f>All!B2</f>
        <v>대전기상청</v>
      </c>
      <c r="E13" s="74" t="str">
        <f>Recharge!I24</f>
        <v>금강/갑천</v>
      </c>
      <c r="F13" s="612">
        <f>rf_1</f>
        <v>0.14499999999999999</v>
      </c>
      <c r="G13" s="612">
        <f>allow_ratio</f>
        <v>0.70499999999999996</v>
      </c>
      <c r="H13" s="10"/>
      <c r="J13" s="158" t="s">
        <v>109</v>
      </c>
      <c r="K13" s="164">
        <v>413</v>
      </c>
      <c r="L13" s="161"/>
    </row>
    <row r="14" spans="1:13" ht="20.100000000000001" customHeight="1">
      <c r="B14" s="608" t="s">
        <v>66</v>
      </c>
      <c r="C14" s="697">
        <f>C7-IF(C20&gt;C9,C20,C9)</f>
        <v>138</v>
      </c>
      <c r="F14" s="613"/>
      <c r="G14" s="612">
        <f>max</f>
        <v>1371.3</v>
      </c>
      <c r="H14" s="10"/>
      <c r="J14" s="158" t="s">
        <v>110</v>
      </c>
      <c r="K14" s="164">
        <v>80</v>
      </c>
      <c r="L14" s="161"/>
    </row>
    <row r="15" spans="1:13" ht="20.100000000000001" customHeight="1" thickBot="1">
      <c r="B15" s="608" t="s">
        <v>67</v>
      </c>
      <c r="C15" s="693">
        <f>Well!I4</f>
        <v>100</v>
      </c>
      <c r="E15" s="25">
        <v>1</v>
      </c>
      <c r="J15" s="158" t="s">
        <v>111</v>
      </c>
      <c r="K15" s="164">
        <v>67</v>
      </c>
      <c r="L15" s="161"/>
    </row>
    <row r="16" spans="1:13" ht="20.100000000000001" customHeight="1">
      <c r="B16" s="3" t="s">
        <v>68</v>
      </c>
      <c r="C16" s="698">
        <f>Well!J4</f>
        <v>100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76.599999999999994</v>
      </c>
      <c r="L16" s="161"/>
    </row>
    <row r="17" spans="2:12" ht="20.100000000000001" customHeight="1" thickBot="1">
      <c r="B17" s="3" t="s">
        <v>69</v>
      </c>
      <c r="C17" s="699">
        <f>Well!L4</f>
        <v>2</v>
      </c>
      <c r="E17" s="133">
        <f>Well!P4</f>
        <v>3171126.2626999998</v>
      </c>
      <c r="F17" s="78">
        <f>(max*rf_1*E17/1000)</f>
        <v>630541.98938587389</v>
      </c>
      <c r="G17" s="77">
        <f>F17*allow_ratio</f>
        <v>444532.10251704109</v>
      </c>
      <c r="J17" s="158" t="s">
        <v>112</v>
      </c>
      <c r="K17" s="165">
        <f>K16-K15</f>
        <v>9.5999999999999943</v>
      </c>
      <c r="L17" s="161"/>
    </row>
    <row r="18" spans="2:12" ht="20.100000000000001" customHeight="1" thickBot="1">
      <c r="B18" s="3" t="s">
        <v>70</v>
      </c>
      <c r="C18" s="699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2.3244552058111368E-2</v>
      </c>
      <c r="L18" s="163">
        <f>K18*100</f>
        <v>2.324455205811137</v>
      </c>
    </row>
    <row r="19" spans="2:12" ht="20.100000000000001" customHeight="1" thickBot="1">
      <c r="B19" s="12" t="s">
        <v>74</v>
      </c>
      <c r="C19" s="700">
        <f>Well!N4</f>
        <v>32</v>
      </c>
      <c r="E19" s="133">
        <f>E17</f>
        <v>3171126.2626999998</v>
      </c>
      <c r="F19" s="75">
        <f>(max*rf_1*E19/1000)/365</f>
        <v>1727.5122996873258</v>
      </c>
      <c r="G19" s="76">
        <f>F19*allow_ratio</f>
        <v>1217.8961712795647</v>
      </c>
      <c r="H19" s="72">
        <f>G19-F21</f>
        <v>886.89617127956467</v>
      </c>
    </row>
    <row r="20" spans="2:12" ht="20.100000000000001" customHeight="1">
      <c r="B20" s="610" t="s">
        <v>75</v>
      </c>
      <c r="C20" s="701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02">
        <v>46.5</v>
      </c>
      <c r="D21" s="8"/>
      <c r="E21" s="134">
        <f>Well!$I$6</f>
        <v>100</v>
      </c>
      <c r="F21" s="135">
        <f>Well!O4</f>
        <v>331</v>
      </c>
      <c r="G21" s="77">
        <f>G19-E21-F21</f>
        <v>786.89617127956467</v>
      </c>
    </row>
    <row r="22" spans="2:12" ht="20.100000000000001" customHeight="1" thickBot="1">
      <c r="B22" s="611" t="s">
        <v>161</v>
      </c>
      <c r="C22" s="703">
        <f>C21-C20</f>
        <v>43.1</v>
      </c>
      <c r="E22" s="394">
        <f>E21+F21</f>
        <v>431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676" t="s">
        <v>49</v>
      </c>
      <c r="C26" s="181" t="s">
        <v>101</v>
      </c>
      <c r="D26" s="145">
        <f>C20</f>
        <v>3.4</v>
      </c>
      <c r="E26" s="146">
        <f>Recharge!C30</f>
        <v>19.883849999999999</v>
      </c>
      <c r="F26" s="147" t="s">
        <v>180</v>
      </c>
      <c r="G26" s="145" t="s">
        <v>356</v>
      </c>
      <c r="H26" s="148">
        <f>L18</f>
        <v>2.324455205811137</v>
      </c>
      <c r="I26" s="145" t="s">
        <v>180</v>
      </c>
      <c r="J26" s="149">
        <f>(E7/C14)/864</f>
        <v>1.4876039989264627E-5</v>
      </c>
      <c r="K26" s="439" t="s">
        <v>694</v>
      </c>
    </row>
    <row r="27" spans="2:12" ht="25.5" customHeight="1">
      <c r="B27" s="677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680</v>
      </c>
    </row>
    <row r="28" spans="2:12" ht="25.5" customHeight="1">
      <c r="B28" s="677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677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677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678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45187.430555555555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1">
        <v>215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81" t="s">
        <v>84</v>
      </c>
      <c r="C12" s="682"/>
      <c r="D12" s="682" t="s">
        <v>85</v>
      </c>
      <c r="E12" s="682"/>
      <c r="F12" s="683"/>
      <c r="H12" s="681" t="s">
        <v>85</v>
      </c>
      <c r="I12" s="682"/>
      <c r="J12" s="683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45187.434027777774</v>
      </c>
      <c r="C14" s="441">
        <v>5</v>
      </c>
      <c r="D14" s="441">
        <f t="shared" ref="D14:D20" si="0">baseTemp+H14</f>
        <v>15.100000000000001</v>
      </c>
      <c r="E14" s="442">
        <f>$C$8+I14</f>
        <v>221</v>
      </c>
      <c r="F14" s="451">
        <f>$C$9+J14</f>
        <v>7.0100000000000007</v>
      </c>
      <c r="H14" s="455">
        <v>0.3</v>
      </c>
      <c r="I14" s="456">
        <v>6</v>
      </c>
      <c r="J14" s="457">
        <v>0.11</v>
      </c>
      <c r="L14"/>
      <c r="M14"/>
      <c r="N14"/>
    </row>
    <row r="15" spans="2:14" s="22" customFormat="1" ht="26.1" customHeight="1">
      <c r="B15" s="454">
        <f t="shared" ref="B15:B23" si="1">$C$6+C15/1440</f>
        <v>45187.451388888891</v>
      </c>
      <c r="C15" s="441">
        <v>30</v>
      </c>
      <c r="D15" s="441">
        <f t="shared" si="0"/>
        <v>14.5</v>
      </c>
      <c r="E15" s="442">
        <f t="shared" ref="E15:E20" si="2">$C$8+I15</f>
        <v>231</v>
      </c>
      <c r="F15" s="451">
        <f t="shared" ref="F15:F20" si="3">$C$9+J15</f>
        <v>6.99</v>
      </c>
      <c r="H15" s="94">
        <v>-0.3</v>
      </c>
      <c r="I15" s="122">
        <v>16</v>
      </c>
      <c r="J15" s="124">
        <v>0.09</v>
      </c>
      <c r="L15"/>
      <c r="M15"/>
      <c r="N15"/>
    </row>
    <row r="16" spans="2:14" s="22" customFormat="1" ht="26.1" customHeight="1">
      <c r="B16" s="454">
        <f t="shared" si="1"/>
        <v>45187.472222222219</v>
      </c>
      <c r="C16" s="441">
        <v>60</v>
      </c>
      <c r="D16" s="441">
        <f t="shared" si="0"/>
        <v>14.600000000000001</v>
      </c>
      <c r="E16" s="442">
        <f t="shared" si="2"/>
        <v>217</v>
      </c>
      <c r="F16" s="451">
        <f t="shared" si="3"/>
        <v>6.8100000000000005</v>
      </c>
      <c r="H16" s="94">
        <v>-0.2</v>
      </c>
      <c r="I16" s="122">
        <v>2</v>
      </c>
      <c r="J16" s="124">
        <v>-0.09</v>
      </c>
      <c r="L16"/>
      <c r="M16"/>
      <c r="N16"/>
    </row>
    <row r="17" spans="2:14" s="22" customFormat="1" ht="26.1" customHeight="1">
      <c r="B17" s="454">
        <f t="shared" si="1"/>
        <v>45187.513888888891</v>
      </c>
      <c r="C17" s="441">
        <v>120</v>
      </c>
      <c r="D17" s="441">
        <f t="shared" si="0"/>
        <v>15</v>
      </c>
      <c r="E17" s="442">
        <f t="shared" si="2"/>
        <v>204</v>
      </c>
      <c r="F17" s="451">
        <f t="shared" si="3"/>
        <v>6.98</v>
      </c>
      <c r="H17" s="94">
        <v>0.2</v>
      </c>
      <c r="I17" s="122">
        <v>-11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45187.597222222219</v>
      </c>
      <c r="C18" s="441">
        <v>240</v>
      </c>
      <c r="D18" s="441">
        <f t="shared" si="0"/>
        <v>14.9</v>
      </c>
      <c r="E18" s="442">
        <f t="shared" si="2"/>
        <v>208</v>
      </c>
      <c r="F18" s="451">
        <f t="shared" si="3"/>
        <v>6.78</v>
      </c>
      <c r="H18" s="94">
        <v>0.1</v>
      </c>
      <c r="I18" s="122">
        <v>-7</v>
      </c>
      <c r="J18" s="124">
        <v>-0.12</v>
      </c>
      <c r="L18"/>
      <c r="M18"/>
      <c r="N18"/>
    </row>
    <row r="19" spans="2:14" s="22" customFormat="1" ht="26.1" customHeight="1">
      <c r="B19" s="454">
        <f t="shared" si="1"/>
        <v>45187.763888888891</v>
      </c>
      <c r="C19" s="441">
        <v>480</v>
      </c>
      <c r="D19" s="444">
        <f t="shared" si="0"/>
        <v>14.600000000000001</v>
      </c>
      <c r="E19" s="442">
        <f t="shared" si="2"/>
        <v>230</v>
      </c>
      <c r="F19" s="451">
        <f t="shared" si="3"/>
        <v>6.78</v>
      </c>
      <c r="H19" s="94">
        <v>-0.2</v>
      </c>
      <c r="I19" s="122">
        <v>15</v>
      </c>
      <c r="J19" s="124">
        <v>-0.12</v>
      </c>
      <c r="L19"/>
      <c r="M19"/>
      <c r="N19"/>
    </row>
    <row r="20" spans="2:14" s="23" customFormat="1" ht="26.1" customHeight="1">
      <c r="B20" s="454">
        <f t="shared" si="1"/>
        <v>45188.430555555555</v>
      </c>
      <c r="C20" s="441">
        <v>1440</v>
      </c>
      <c r="D20" s="441">
        <f t="shared" si="0"/>
        <v>14.600000000000001</v>
      </c>
      <c r="E20" s="442">
        <f t="shared" si="2"/>
        <v>207</v>
      </c>
      <c r="F20" s="451">
        <f t="shared" si="3"/>
        <v>6.82</v>
      </c>
      <c r="H20" s="94">
        <v>-0.2</v>
      </c>
      <c r="I20" s="122">
        <v>-8</v>
      </c>
      <c r="J20" s="124">
        <v>-0.08</v>
      </c>
      <c r="L20"/>
      <c r="M20"/>
      <c r="N20"/>
    </row>
    <row r="21" spans="2:14" s="23" customFormat="1" ht="26.1" customHeight="1">
      <c r="B21" s="454">
        <f t="shared" si="1"/>
        <v>45188.597222222219</v>
      </c>
      <c r="C21" s="441">
        <v>1680</v>
      </c>
      <c r="D21" s="441">
        <f>$D$20</f>
        <v>14.600000000000001</v>
      </c>
      <c r="E21" s="442">
        <f>$E$20</f>
        <v>207</v>
      </c>
      <c r="F21" s="451">
        <f>$F$20</f>
        <v>6.82</v>
      </c>
      <c r="H21" s="94">
        <v>-0.3</v>
      </c>
      <c r="I21" s="122">
        <v>-14</v>
      </c>
      <c r="J21" s="124">
        <v>0.11</v>
      </c>
      <c r="L21"/>
      <c r="M21"/>
      <c r="N21"/>
    </row>
    <row r="22" spans="2:14" s="23" customFormat="1" ht="26.1" customHeight="1">
      <c r="B22" s="454">
        <f t="shared" si="1"/>
        <v>45188.763888888891</v>
      </c>
      <c r="C22" s="441">
        <v>1920</v>
      </c>
      <c r="D22" s="441">
        <f t="shared" ref="D22:D23" si="4">$D$20</f>
        <v>14.600000000000001</v>
      </c>
      <c r="E22" s="442">
        <f t="shared" ref="E22:E23" si="5">$E$20</f>
        <v>207</v>
      </c>
      <c r="F22" s="451">
        <f t="shared" ref="F22:F23" si="6">$F$20</f>
        <v>6.82</v>
      </c>
      <c r="H22" s="94">
        <v>-0.2</v>
      </c>
      <c r="I22" s="122">
        <v>-17</v>
      </c>
      <c r="J22" s="124">
        <v>0.08</v>
      </c>
      <c r="L22"/>
      <c r="M22"/>
      <c r="N22"/>
    </row>
    <row r="23" spans="2:14" s="23" customFormat="1" ht="26.1" customHeight="1" thickBot="1">
      <c r="B23" s="454">
        <f t="shared" si="1"/>
        <v>45189.430555555555</v>
      </c>
      <c r="C23" s="441">
        <v>2880</v>
      </c>
      <c r="D23" s="441">
        <f t="shared" si="4"/>
        <v>14.600000000000001</v>
      </c>
      <c r="E23" s="442">
        <f t="shared" si="5"/>
        <v>207</v>
      </c>
      <c r="F23" s="451">
        <f t="shared" si="6"/>
        <v>6.82</v>
      </c>
      <c r="H23" s="95">
        <v>-0.2</v>
      </c>
      <c r="I23" s="123">
        <v>3</v>
      </c>
      <c r="J23" s="125">
        <v>-0.09</v>
      </c>
      <c r="L23"/>
      <c r="M23"/>
      <c r="N23"/>
    </row>
    <row r="24" spans="2:14" s="23" customFormat="1" ht="26.1" customHeight="1">
      <c r="B24" s="684" t="s">
        <v>36</v>
      </c>
      <c r="C24" s="685"/>
      <c r="D24" s="440">
        <f>MAX(D14:D23)</f>
        <v>15.100000000000001</v>
      </c>
      <c r="E24" s="440">
        <f t="shared" ref="E24:F24" si="7">MAX(E14:E23)</f>
        <v>231</v>
      </c>
      <c r="F24" s="449">
        <f t="shared" si="7"/>
        <v>7.0100000000000007</v>
      </c>
      <c r="H24" s="22"/>
      <c r="I24" s="22"/>
      <c r="J24" s="22"/>
    </row>
    <row r="25" spans="2:14" s="23" customFormat="1" ht="26.1" customHeight="1">
      <c r="B25" s="684" t="s">
        <v>37</v>
      </c>
      <c r="C25" s="685"/>
      <c r="D25" s="440">
        <f>MIN(D14:D23)</f>
        <v>14.5</v>
      </c>
      <c r="E25" s="440">
        <f t="shared" ref="E25:F25" si="8">MIN(E14:E23)</f>
        <v>204</v>
      </c>
      <c r="F25" s="449">
        <f t="shared" si="8"/>
        <v>6.78</v>
      </c>
      <c r="H25" s="22"/>
      <c r="I25" s="22"/>
      <c r="J25" s="22"/>
    </row>
    <row r="26" spans="2:14" s="23" customFormat="1" ht="26.1" customHeight="1" thickBot="1">
      <c r="B26" s="679" t="s">
        <v>90</v>
      </c>
      <c r="C26" s="680"/>
      <c r="D26" s="452">
        <f>D24-D25</f>
        <v>0.60000000000000142</v>
      </c>
      <c r="E26" s="452">
        <f t="shared" ref="E26:F26" si="9">E24-E25</f>
        <v>27</v>
      </c>
      <c r="F26" s="453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4" t="s">
        <v>80</v>
      </c>
      <c r="C6" s="230">
        <v>44753.861111111109</v>
      </c>
      <c r="D6" s="233"/>
      <c r="E6" s="22"/>
      <c r="F6" s="22"/>
    </row>
    <row r="7" spans="2:9" s="23" customFormat="1" ht="26.1" customHeight="1" thickBot="1">
      <c r="B7" s="101" t="s">
        <v>81</v>
      </c>
      <c r="C7" s="231">
        <v>14</v>
      </c>
      <c r="D7" s="234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2">
        <v>229</v>
      </c>
      <c r="E8" s="22"/>
      <c r="F8" s="22"/>
    </row>
    <row r="9" spans="2:9" s="23" customFormat="1" ht="26.1" customHeight="1" thickBot="1">
      <c r="B9" s="101" t="s">
        <v>83</v>
      </c>
      <c r="C9" s="102">
        <v>7.9</v>
      </c>
      <c r="D9" s="103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81" t="s">
        <v>84</v>
      </c>
      <c r="C12" s="682"/>
      <c r="D12" s="682" t="s">
        <v>85</v>
      </c>
      <c r="E12" s="682"/>
      <c r="F12" s="682"/>
      <c r="G12" s="682" t="s">
        <v>154</v>
      </c>
      <c r="H12" s="682"/>
      <c r="I12" s="683"/>
    </row>
    <row r="13" spans="2:9" s="22" customFormat="1" ht="26.1" customHeight="1">
      <c r="B13" s="448" t="s">
        <v>80</v>
      </c>
      <c r="C13" s="440" t="s">
        <v>86</v>
      </c>
      <c r="D13" s="440" t="s">
        <v>87</v>
      </c>
      <c r="E13" s="440" t="s">
        <v>88</v>
      </c>
      <c r="F13" s="440" t="s">
        <v>89</v>
      </c>
      <c r="G13" s="440" t="s">
        <v>87</v>
      </c>
      <c r="H13" s="440" t="s">
        <v>88</v>
      </c>
      <c r="I13" s="449" t="s">
        <v>89</v>
      </c>
    </row>
    <row r="14" spans="2:9" s="22" customFormat="1" ht="26.1" customHeight="1">
      <c r="B14" s="450">
        <f>$C$6+C14/1440</f>
        <v>44753.864583333328</v>
      </c>
      <c r="C14" s="441">
        <v>5</v>
      </c>
      <c r="D14" s="445">
        <f t="shared" ref="D14:D23" si="0">baseTemp+D31</f>
        <v>14</v>
      </c>
      <c r="E14" s="446">
        <f t="shared" ref="E14:E20" si="1">$C$8+E31</f>
        <v>223</v>
      </c>
      <c r="F14" s="443">
        <f t="shared" ref="F14:F20" si="2">$C$9+F31</f>
        <v>7.83</v>
      </c>
      <c r="G14" s="445">
        <f t="shared" ref="G14:G23" si="3">baseTemp2+H31</f>
        <v>14</v>
      </c>
      <c r="H14" s="446">
        <f>$D$8+I31</f>
        <v>232</v>
      </c>
      <c r="I14" s="451">
        <f>$D$9+J31</f>
        <v>7.89</v>
      </c>
    </row>
    <row r="15" spans="2:9" s="22" customFormat="1" ht="26.1" customHeight="1">
      <c r="B15" s="450">
        <f t="shared" ref="B15:B23" si="4">$C$6+C15/1440</f>
        <v>44753.881944444445</v>
      </c>
      <c r="C15" s="441">
        <v>30</v>
      </c>
      <c r="D15" s="445">
        <f t="shared" si="0"/>
        <v>14.1</v>
      </c>
      <c r="E15" s="446">
        <f t="shared" si="1"/>
        <v>224</v>
      </c>
      <c r="F15" s="443">
        <f t="shared" si="2"/>
        <v>7.82</v>
      </c>
      <c r="G15" s="445">
        <f t="shared" si="3"/>
        <v>14</v>
      </c>
      <c r="H15" s="446">
        <f t="shared" ref="H15:H20" si="5">$D$8+I32</f>
        <v>226</v>
      </c>
      <c r="I15" s="451">
        <f t="shared" ref="I15:I20" si="6">$D$9+J32</f>
        <v>7.71</v>
      </c>
    </row>
    <row r="16" spans="2:9" s="22" customFormat="1" ht="26.1" customHeight="1">
      <c r="B16" s="450">
        <f t="shared" si="4"/>
        <v>44753.902777777774</v>
      </c>
      <c r="C16" s="441">
        <v>60</v>
      </c>
      <c r="D16" s="445">
        <f t="shared" si="0"/>
        <v>14</v>
      </c>
      <c r="E16" s="446">
        <f t="shared" si="1"/>
        <v>228</v>
      </c>
      <c r="F16" s="443">
        <f t="shared" si="2"/>
        <v>8.01</v>
      </c>
      <c r="G16" s="445">
        <f t="shared" si="3"/>
        <v>13.9</v>
      </c>
      <c r="H16" s="446">
        <f t="shared" si="5"/>
        <v>232</v>
      </c>
      <c r="I16" s="451">
        <f t="shared" si="6"/>
        <v>7.7</v>
      </c>
    </row>
    <row r="17" spans="2:10" s="22" customFormat="1" ht="26.1" customHeight="1">
      <c r="B17" s="450">
        <f t="shared" si="4"/>
        <v>44753.944444444445</v>
      </c>
      <c r="C17" s="441">
        <v>120</v>
      </c>
      <c r="D17" s="445">
        <f t="shared" si="0"/>
        <v>14</v>
      </c>
      <c r="E17" s="446">
        <f t="shared" si="1"/>
        <v>228</v>
      </c>
      <c r="F17" s="443">
        <f t="shared" si="2"/>
        <v>8.01</v>
      </c>
      <c r="G17" s="445">
        <f t="shared" si="3"/>
        <v>13.9</v>
      </c>
      <c r="H17" s="446">
        <f t="shared" si="5"/>
        <v>228</v>
      </c>
      <c r="I17" s="451">
        <f t="shared" si="6"/>
        <v>7.7</v>
      </c>
    </row>
    <row r="18" spans="2:10" s="22" customFormat="1" ht="26.1" customHeight="1">
      <c r="B18" s="450">
        <f t="shared" si="4"/>
        <v>44754.027777777774</v>
      </c>
      <c r="C18" s="441">
        <v>240</v>
      </c>
      <c r="D18" s="445">
        <f t="shared" si="0"/>
        <v>14.1</v>
      </c>
      <c r="E18" s="446">
        <f t="shared" si="1"/>
        <v>227</v>
      </c>
      <c r="F18" s="443">
        <f t="shared" si="2"/>
        <v>8.01</v>
      </c>
      <c r="G18" s="445">
        <f t="shared" si="3"/>
        <v>13.9</v>
      </c>
      <c r="H18" s="446">
        <f t="shared" si="5"/>
        <v>230</v>
      </c>
      <c r="I18" s="451">
        <f t="shared" si="6"/>
        <v>7.7</v>
      </c>
    </row>
    <row r="19" spans="2:10" s="22" customFormat="1" ht="26.1" customHeight="1">
      <c r="B19" s="450">
        <f t="shared" si="4"/>
        <v>44754.194444444445</v>
      </c>
      <c r="C19" s="441">
        <v>480</v>
      </c>
      <c r="D19" s="445">
        <f t="shared" si="0"/>
        <v>14</v>
      </c>
      <c r="E19" s="446">
        <f t="shared" si="1"/>
        <v>225</v>
      </c>
      <c r="F19" s="443">
        <f t="shared" si="2"/>
        <v>7.78</v>
      </c>
      <c r="G19" s="445">
        <f t="shared" si="3"/>
        <v>13.9</v>
      </c>
      <c r="H19" s="446">
        <f t="shared" si="5"/>
        <v>228</v>
      </c>
      <c r="I19" s="451">
        <f t="shared" si="6"/>
        <v>7.92</v>
      </c>
    </row>
    <row r="20" spans="2:10" s="23" customFormat="1" ht="26.1" customHeight="1">
      <c r="B20" s="450">
        <f t="shared" si="4"/>
        <v>44754.861111111109</v>
      </c>
      <c r="C20" s="441">
        <v>1440</v>
      </c>
      <c r="D20" s="445">
        <f t="shared" si="0"/>
        <v>14.1</v>
      </c>
      <c r="E20" s="446">
        <f t="shared" si="1"/>
        <v>227</v>
      </c>
      <c r="F20" s="443">
        <f t="shared" si="2"/>
        <v>7.9700000000000006</v>
      </c>
      <c r="G20" s="445">
        <f t="shared" si="3"/>
        <v>13.9</v>
      </c>
      <c r="H20" s="446">
        <f t="shared" si="5"/>
        <v>227</v>
      </c>
      <c r="I20" s="451">
        <f t="shared" si="6"/>
        <v>7.7299999999999995</v>
      </c>
    </row>
    <row r="21" spans="2:10" s="23" customFormat="1" ht="26.1" customHeight="1">
      <c r="B21" s="450">
        <f t="shared" si="4"/>
        <v>44755.027777777774</v>
      </c>
      <c r="C21" s="441">
        <v>1680</v>
      </c>
      <c r="D21" s="445">
        <f t="shared" si="0"/>
        <v>14</v>
      </c>
      <c r="E21" s="446">
        <f>$E$20</f>
        <v>227</v>
      </c>
      <c r="F21" s="443">
        <f>$F$20</f>
        <v>7.9700000000000006</v>
      </c>
      <c r="G21" s="445">
        <f t="shared" si="3"/>
        <v>14.1</v>
      </c>
      <c r="H21" s="446">
        <f>$H$20</f>
        <v>227</v>
      </c>
      <c r="I21" s="451">
        <f>$I$20</f>
        <v>7.7299999999999995</v>
      </c>
    </row>
    <row r="22" spans="2:10" s="23" customFormat="1" ht="26.1" customHeight="1">
      <c r="B22" s="450">
        <f t="shared" si="4"/>
        <v>44755.194444444445</v>
      </c>
      <c r="C22" s="441">
        <v>1920</v>
      </c>
      <c r="D22" s="445">
        <f t="shared" si="0"/>
        <v>14</v>
      </c>
      <c r="E22" s="446">
        <f t="shared" ref="E22:E23" si="7">$E$20</f>
        <v>227</v>
      </c>
      <c r="F22" s="443">
        <f t="shared" ref="F22:F23" si="8">$F$20</f>
        <v>7.9700000000000006</v>
      </c>
      <c r="G22" s="445">
        <f t="shared" si="3"/>
        <v>13.9</v>
      </c>
      <c r="H22" s="446">
        <f t="shared" ref="H22:H23" si="9">$H$20</f>
        <v>227</v>
      </c>
      <c r="I22" s="451">
        <f t="shared" ref="I22:I23" si="10">$I$20</f>
        <v>7.7299999999999995</v>
      </c>
    </row>
    <row r="23" spans="2:10" s="23" customFormat="1" ht="26.1" customHeight="1">
      <c r="B23" s="450">
        <f t="shared" si="4"/>
        <v>44755.861111111109</v>
      </c>
      <c r="C23" s="441">
        <v>2880</v>
      </c>
      <c r="D23" s="445">
        <f t="shared" si="0"/>
        <v>14</v>
      </c>
      <c r="E23" s="446">
        <f t="shared" si="7"/>
        <v>227</v>
      </c>
      <c r="F23" s="443">
        <f t="shared" si="8"/>
        <v>7.9700000000000006</v>
      </c>
      <c r="G23" s="445">
        <f t="shared" si="3"/>
        <v>13.9</v>
      </c>
      <c r="H23" s="446">
        <f t="shared" si="9"/>
        <v>227</v>
      </c>
      <c r="I23" s="451">
        <f t="shared" si="10"/>
        <v>7.7299999999999995</v>
      </c>
    </row>
    <row r="24" spans="2:10" s="23" customFormat="1" ht="26.1" customHeight="1">
      <c r="B24" s="684" t="s">
        <v>36</v>
      </c>
      <c r="C24" s="685"/>
      <c r="D24" s="440">
        <f>MAX(D14:D23)</f>
        <v>14.1</v>
      </c>
      <c r="E24" s="440">
        <f t="shared" ref="E24:F24" si="11">MAX(E14:E23)</f>
        <v>228</v>
      </c>
      <c r="F24" s="440">
        <f t="shared" si="11"/>
        <v>8.01</v>
      </c>
      <c r="G24" s="440">
        <f>MAX(G14:G23)</f>
        <v>14.1</v>
      </c>
      <c r="H24" s="440">
        <f t="shared" ref="H24:I24" si="12">MAX(H14:H23)</f>
        <v>232</v>
      </c>
      <c r="I24" s="449">
        <f t="shared" si="12"/>
        <v>7.92</v>
      </c>
      <c r="J24" s="22"/>
    </row>
    <row r="25" spans="2:10" s="23" customFormat="1" ht="26.1" customHeight="1">
      <c r="B25" s="684" t="s">
        <v>37</v>
      </c>
      <c r="C25" s="685"/>
      <c r="D25" s="440">
        <f>MIN(D14:D23)</f>
        <v>14</v>
      </c>
      <c r="E25" s="440">
        <f t="shared" ref="E25:F25" si="13">MIN(E14:E23)</f>
        <v>223</v>
      </c>
      <c r="F25" s="447">
        <f t="shared" si="13"/>
        <v>7.78</v>
      </c>
      <c r="G25" s="440">
        <f>MIN(G14:G23)</f>
        <v>13.9</v>
      </c>
      <c r="H25" s="440">
        <f t="shared" ref="H25:I25" si="14">MIN(H14:H23)</f>
        <v>226</v>
      </c>
      <c r="I25" s="449">
        <f t="shared" si="14"/>
        <v>7.7</v>
      </c>
      <c r="J25" s="22"/>
    </row>
    <row r="26" spans="2:10" s="23" customFormat="1" ht="26.1" customHeight="1" thickBot="1">
      <c r="B26" s="679" t="s">
        <v>90</v>
      </c>
      <c r="C26" s="680"/>
      <c r="D26" s="452">
        <f>D24-D25</f>
        <v>9.9999999999999645E-2</v>
      </c>
      <c r="E26" s="452">
        <f t="shared" ref="E26:F26" si="15">E24-E25</f>
        <v>5</v>
      </c>
      <c r="F26" s="452">
        <f t="shared" si="15"/>
        <v>0.22999999999999954</v>
      </c>
      <c r="G26" s="452">
        <f>G24-G25</f>
        <v>0.19999999999999929</v>
      </c>
      <c r="H26" s="452">
        <f t="shared" ref="H26:I26" si="16">H24-H25</f>
        <v>6</v>
      </c>
      <c r="I26" s="453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86" t="s">
        <v>85</v>
      </c>
      <c r="E29" s="687"/>
      <c r="F29" s="688"/>
      <c r="H29" s="686" t="s">
        <v>154</v>
      </c>
      <c r="I29" s="687"/>
      <c r="J29" s="688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4" t="s">
        <v>80</v>
      </c>
      <c r="C6" s="105">
        <v>44717.430555555555</v>
      </c>
      <c r="D6" s="54"/>
      <c r="E6" s="54"/>
      <c r="F6" s="22"/>
    </row>
    <row r="7" spans="2:12" s="23" customFormat="1" ht="26.1" customHeight="1" thickBot="1">
      <c r="B7" s="107" t="s">
        <v>81</v>
      </c>
      <c r="C7" s="235">
        <v>14.7</v>
      </c>
      <c r="D7" s="237">
        <v>14.8</v>
      </c>
      <c r="E7" s="238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6">
        <v>197</v>
      </c>
      <c r="E8" s="232">
        <v>194</v>
      </c>
      <c r="F8" s="22"/>
    </row>
    <row r="9" spans="2:12" s="23" customFormat="1" ht="26.1" customHeight="1" thickBot="1">
      <c r="B9" s="101" t="s">
        <v>83</v>
      </c>
      <c r="C9" s="102">
        <v>8.4</v>
      </c>
      <c r="D9" s="109">
        <v>8.3000000000000007</v>
      </c>
      <c r="E9" s="103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81" t="s">
        <v>84</v>
      </c>
      <c r="C12" s="682"/>
      <c r="D12" s="682" t="s">
        <v>85</v>
      </c>
      <c r="E12" s="682"/>
      <c r="F12" s="682"/>
      <c r="G12" s="682" t="s">
        <v>154</v>
      </c>
      <c r="H12" s="682"/>
      <c r="I12" s="682"/>
      <c r="J12" s="682" t="s">
        <v>155</v>
      </c>
      <c r="K12" s="682"/>
      <c r="L12" s="683"/>
    </row>
    <row r="13" spans="2:12" s="22" customFormat="1" ht="26.1" customHeight="1">
      <c r="B13" s="448" t="s">
        <v>80</v>
      </c>
      <c r="C13" s="440" t="s">
        <v>86</v>
      </c>
      <c r="D13" s="440" t="s">
        <v>158</v>
      </c>
      <c r="E13" s="440" t="s">
        <v>167</v>
      </c>
      <c r="F13" s="440" t="s">
        <v>89</v>
      </c>
      <c r="G13" s="440" t="s">
        <v>158</v>
      </c>
      <c r="H13" s="440" t="s">
        <v>167</v>
      </c>
      <c r="I13" s="440" t="s">
        <v>89</v>
      </c>
      <c r="J13" s="440" t="s">
        <v>158</v>
      </c>
      <c r="K13" s="440" t="s">
        <v>167</v>
      </c>
      <c r="L13" s="449" t="s">
        <v>89</v>
      </c>
    </row>
    <row r="14" spans="2:12" s="22" customFormat="1" ht="26.1" customHeight="1">
      <c r="B14" s="450">
        <f>$C$6+C14/1440</f>
        <v>44717.434027777774</v>
      </c>
      <c r="C14" s="441">
        <v>5</v>
      </c>
      <c r="D14" s="441">
        <f t="shared" ref="D14:D20" si="0">baseTemp+D31</f>
        <v>14.7</v>
      </c>
      <c r="E14" s="446">
        <f t="shared" ref="E14:E20" si="1">$C$8+E31</f>
        <v>194</v>
      </c>
      <c r="F14" s="443">
        <f t="shared" ref="F14:F20" si="2">$C$9+F31</f>
        <v>8.33</v>
      </c>
      <c r="G14" s="445">
        <f t="shared" ref="G14:G20" si="3">bTemp2+H31</f>
        <v>14.8</v>
      </c>
      <c r="H14" s="446">
        <f>$D$8+I31</f>
        <v>200</v>
      </c>
      <c r="I14" s="443">
        <f>$D$9+J31</f>
        <v>8.39</v>
      </c>
      <c r="J14" s="445">
        <f t="shared" ref="J14:J20" si="4">bTemp3+L31</f>
        <v>14.9</v>
      </c>
      <c r="K14" s="446">
        <f>$E$8+M31</f>
        <v>195</v>
      </c>
      <c r="L14" s="451">
        <f>$E$9+N31</f>
        <v>8.2800000000000011</v>
      </c>
    </row>
    <row r="15" spans="2:12" s="22" customFormat="1" ht="26.1" customHeight="1">
      <c r="B15" s="450">
        <f t="shared" ref="B15:B23" si="5">$C$6+C15/1440</f>
        <v>44717.451388888891</v>
      </c>
      <c r="C15" s="441">
        <v>30</v>
      </c>
      <c r="D15" s="441">
        <f t="shared" si="0"/>
        <v>14.799999999999999</v>
      </c>
      <c r="E15" s="446">
        <f t="shared" si="1"/>
        <v>195</v>
      </c>
      <c r="F15" s="443">
        <f t="shared" si="2"/>
        <v>8.32</v>
      </c>
      <c r="G15" s="445">
        <f t="shared" si="3"/>
        <v>14.8</v>
      </c>
      <c r="H15" s="446">
        <f t="shared" ref="H15:H20" si="6">$D$8+I32</f>
        <v>194</v>
      </c>
      <c r="I15" s="443">
        <f t="shared" ref="I15:I20" si="7">$D$9+J32</f>
        <v>8.2100000000000009</v>
      </c>
      <c r="J15" s="445">
        <f t="shared" si="4"/>
        <v>14.9</v>
      </c>
      <c r="K15" s="446">
        <f t="shared" ref="K15:K20" si="8">$E$8+M32</f>
        <v>192</v>
      </c>
      <c r="L15" s="451">
        <f t="shared" ref="L15:L20" si="9">$E$9+N32</f>
        <v>8.49</v>
      </c>
    </row>
    <row r="16" spans="2:12" s="22" customFormat="1" ht="26.1" customHeight="1">
      <c r="B16" s="450">
        <f t="shared" si="5"/>
        <v>44717.472222222219</v>
      </c>
      <c r="C16" s="441">
        <v>60</v>
      </c>
      <c r="D16" s="441">
        <f t="shared" si="0"/>
        <v>14.7</v>
      </c>
      <c r="E16" s="446">
        <f t="shared" si="1"/>
        <v>199</v>
      </c>
      <c r="F16" s="443">
        <f t="shared" si="2"/>
        <v>8.51</v>
      </c>
      <c r="G16" s="445">
        <f t="shared" si="3"/>
        <v>14.700000000000001</v>
      </c>
      <c r="H16" s="446">
        <f t="shared" si="6"/>
        <v>200</v>
      </c>
      <c r="I16" s="443">
        <f t="shared" si="7"/>
        <v>8.2000000000000011</v>
      </c>
      <c r="J16" s="445">
        <f t="shared" si="4"/>
        <v>15</v>
      </c>
      <c r="K16" s="446">
        <f t="shared" si="8"/>
        <v>193</v>
      </c>
      <c r="L16" s="451">
        <f t="shared" si="9"/>
        <v>8.51</v>
      </c>
    </row>
    <row r="17" spans="2:14" s="22" customFormat="1" ht="26.1" customHeight="1">
      <c r="B17" s="450">
        <f t="shared" si="5"/>
        <v>44717.513888888891</v>
      </c>
      <c r="C17" s="441">
        <v>120</v>
      </c>
      <c r="D17" s="441">
        <f t="shared" si="0"/>
        <v>14.7</v>
      </c>
      <c r="E17" s="446">
        <f t="shared" si="1"/>
        <v>199</v>
      </c>
      <c r="F17" s="443">
        <f t="shared" si="2"/>
        <v>8.51</v>
      </c>
      <c r="G17" s="445">
        <f t="shared" si="3"/>
        <v>14.700000000000001</v>
      </c>
      <c r="H17" s="446">
        <f t="shared" si="6"/>
        <v>196</v>
      </c>
      <c r="I17" s="443">
        <f t="shared" si="7"/>
        <v>8.2000000000000011</v>
      </c>
      <c r="J17" s="445">
        <f t="shared" si="4"/>
        <v>15</v>
      </c>
      <c r="K17" s="446">
        <f t="shared" si="8"/>
        <v>196</v>
      </c>
      <c r="L17" s="451">
        <f t="shared" si="9"/>
        <v>8.3000000000000007</v>
      </c>
    </row>
    <row r="18" spans="2:14" s="22" customFormat="1" ht="26.1" customHeight="1">
      <c r="B18" s="450">
        <f t="shared" si="5"/>
        <v>44717.597222222219</v>
      </c>
      <c r="C18" s="441">
        <v>240</v>
      </c>
      <c r="D18" s="441">
        <f t="shared" si="0"/>
        <v>14.799999999999999</v>
      </c>
      <c r="E18" s="446">
        <f t="shared" si="1"/>
        <v>198</v>
      </c>
      <c r="F18" s="443">
        <f t="shared" si="2"/>
        <v>8.51</v>
      </c>
      <c r="G18" s="445">
        <f t="shared" si="3"/>
        <v>14.700000000000001</v>
      </c>
      <c r="H18" s="446">
        <f t="shared" si="6"/>
        <v>198</v>
      </c>
      <c r="I18" s="443">
        <f t="shared" si="7"/>
        <v>8.2000000000000011</v>
      </c>
      <c r="J18" s="445">
        <f t="shared" si="4"/>
        <v>14.8</v>
      </c>
      <c r="K18" s="446">
        <f t="shared" si="8"/>
        <v>196</v>
      </c>
      <c r="L18" s="451">
        <f t="shared" si="9"/>
        <v>8.52</v>
      </c>
    </row>
    <row r="19" spans="2:14" s="22" customFormat="1" ht="26.1" customHeight="1">
      <c r="B19" s="450">
        <f t="shared" si="5"/>
        <v>44717.763888888891</v>
      </c>
      <c r="C19" s="441">
        <v>480</v>
      </c>
      <c r="D19" s="441">
        <f t="shared" si="0"/>
        <v>14.7</v>
      </c>
      <c r="E19" s="446">
        <f t="shared" si="1"/>
        <v>196</v>
      </c>
      <c r="F19" s="443">
        <f t="shared" si="2"/>
        <v>8.2800000000000011</v>
      </c>
      <c r="G19" s="445">
        <f t="shared" si="3"/>
        <v>14.700000000000001</v>
      </c>
      <c r="H19" s="446">
        <f t="shared" si="6"/>
        <v>196</v>
      </c>
      <c r="I19" s="443">
        <f t="shared" si="7"/>
        <v>8.42</v>
      </c>
      <c r="J19" s="445">
        <f t="shared" si="4"/>
        <v>15</v>
      </c>
      <c r="K19" s="446">
        <f t="shared" si="8"/>
        <v>191</v>
      </c>
      <c r="L19" s="451">
        <f t="shared" si="9"/>
        <v>8.2800000000000011</v>
      </c>
    </row>
    <row r="20" spans="2:14" s="23" customFormat="1" ht="26.1" customHeight="1">
      <c r="B20" s="450">
        <f t="shared" si="5"/>
        <v>44718.430555555555</v>
      </c>
      <c r="C20" s="441">
        <v>1440</v>
      </c>
      <c r="D20" s="441">
        <f t="shared" si="0"/>
        <v>14.799999999999999</v>
      </c>
      <c r="E20" s="446">
        <f t="shared" si="1"/>
        <v>198</v>
      </c>
      <c r="F20" s="443">
        <f t="shared" si="2"/>
        <v>8.4700000000000006</v>
      </c>
      <c r="G20" s="445">
        <f t="shared" si="3"/>
        <v>14.700000000000001</v>
      </c>
      <c r="H20" s="446">
        <f t="shared" si="6"/>
        <v>195</v>
      </c>
      <c r="I20" s="443">
        <f t="shared" si="7"/>
        <v>8.23</v>
      </c>
      <c r="J20" s="445">
        <f t="shared" si="4"/>
        <v>14.8</v>
      </c>
      <c r="K20" s="446">
        <f t="shared" si="8"/>
        <v>191</v>
      </c>
      <c r="L20" s="451">
        <f t="shared" si="9"/>
        <v>8.33</v>
      </c>
    </row>
    <row r="21" spans="2:14" s="23" customFormat="1" ht="26.1" customHeight="1">
      <c r="B21" s="450">
        <f t="shared" si="5"/>
        <v>44718.597222222219</v>
      </c>
      <c r="C21" s="441">
        <v>1680</v>
      </c>
      <c r="D21" s="441">
        <f>$D$20</f>
        <v>14.799999999999999</v>
      </c>
      <c r="E21" s="446">
        <f>$E$20</f>
        <v>198</v>
      </c>
      <c r="F21" s="443">
        <f>$F$20</f>
        <v>8.4700000000000006</v>
      </c>
      <c r="G21" s="445">
        <f>$G$20</f>
        <v>14.700000000000001</v>
      </c>
      <c r="H21" s="446">
        <f>$H$20</f>
        <v>195</v>
      </c>
      <c r="I21" s="443">
        <f>$I$20</f>
        <v>8.23</v>
      </c>
      <c r="J21" s="445">
        <f>$J$20</f>
        <v>14.8</v>
      </c>
      <c r="K21" s="446">
        <f>$K$20</f>
        <v>191</v>
      </c>
      <c r="L21" s="451">
        <f>$L$20</f>
        <v>8.33</v>
      </c>
    </row>
    <row r="22" spans="2:14" s="23" customFormat="1" ht="26.1" customHeight="1">
      <c r="B22" s="450">
        <f t="shared" si="5"/>
        <v>44718.763888888891</v>
      </c>
      <c r="C22" s="441">
        <v>1920</v>
      </c>
      <c r="D22" s="441">
        <f t="shared" ref="D22:D23" si="10">$D$20</f>
        <v>14.799999999999999</v>
      </c>
      <c r="E22" s="446">
        <f t="shared" ref="E22:E23" si="11">$E$20</f>
        <v>198</v>
      </c>
      <c r="F22" s="443">
        <f t="shared" ref="F22:F23" si="12">$F$20</f>
        <v>8.4700000000000006</v>
      </c>
      <c r="G22" s="445">
        <f t="shared" ref="G22:G23" si="13">$G$20</f>
        <v>14.700000000000001</v>
      </c>
      <c r="H22" s="446">
        <f t="shared" ref="H22:H23" si="14">$H$20</f>
        <v>195</v>
      </c>
      <c r="I22" s="443">
        <f t="shared" ref="I22:I23" si="15">$I$20</f>
        <v>8.23</v>
      </c>
      <c r="J22" s="445">
        <f t="shared" ref="J22:J23" si="16">$J$20</f>
        <v>14.8</v>
      </c>
      <c r="K22" s="446">
        <f t="shared" ref="K22:K23" si="17">$K$20</f>
        <v>191</v>
      </c>
      <c r="L22" s="451">
        <f t="shared" ref="L22:L23" si="18">$L$20</f>
        <v>8.33</v>
      </c>
    </row>
    <row r="23" spans="2:14" s="23" customFormat="1" ht="26.1" customHeight="1">
      <c r="B23" s="450">
        <f t="shared" si="5"/>
        <v>44719.430555555555</v>
      </c>
      <c r="C23" s="441">
        <v>2880</v>
      </c>
      <c r="D23" s="441">
        <f t="shared" si="10"/>
        <v>14.799999999999999</v>
      </c>
      <c r="E23" s="446">
        <f t="shared" si="11"/>
        <v>198</v>
      </c>
      <c r="F23" s="443">
        <f t="shared" si="12"/>
        <v>8.4700000000000006</v>
      </c>
      <c r="G23" s="445">
        <f t="shared" si="13"/>
        <v>14.700000000000001</v>
      </c>
      <c r="H23" s="446">
        <f t="shared" si="14"/>
        <v>195</v>
      </c>
      <c r="I23" s="443">
        <f t="shared" si="15"/>
        <v>8.23</v>
      </c>
      <c r="J23" s="445">
        <f t="shared" si="16"/>
        <v>14.8</v>
      </c>
      <c r="K23" s="446">
        <f t="shared" si="17"/>
        <v>191</v>
      </c>
      <c r="L23" s="451">
        <f t="shared" si="18"/>
        <v>8.33</v>
      </c>
    </row>
    <row r="24" spans="2:14" s="23" customFormat="1" ht="26.1" customHeight="1">
      <c r="B24" s="684" t="s">
        <v>36</v>
      </c>
      <c r="C24" s="685"/>
      <c r="D24" s="440">
        <f>MAX(D14:D23)</f>
        <v>14.799999999999999</v>
      </c>
      <c r="E24" s="440">
        <f t="shared" ref="E24:F24" si="19">MAX(E14:E23)</f>
        <v>199</v>
      </c>
      <c r="F24" s="440">
        <f t="shared" si="19"/>
        <v>8.51</v>
      </c>
      <c r="G24" s="440">
        <f>MAX(G14:G23)</f>
        <v>14.8</v>
      </c>
      <c r="H24" s="440">
        <f t="shared" ref="H24:I24" si="20">MAX(H14:H23)</f>
        <v>200</v>
      </c>
      <c r="I24" s="440">
        <f t="shared" si="20"/>
        <v>8.42</v>
      </c>
      <c r="J24" s="440">
        <f>MAX(J14:J23)</f>
        <v>15</v>
      </c>
      <c r="K24" s="440">
        <f t="shared" ref="K24:L24" si="21">MAX(K14:K23)</f>
        <v>196</v>
      </c>
      <c r="L24" s="449">
        <f t="shared" si="21"/>
        <v>8.52</v>
      </c>
    </row>
    <row r="25" spans="2:14" s="23" customFormat="1" ht="26.1" customHeight="1">
      <c r="B25" s="684" t="s">
        <v>37</v>
      </c>
      <c r="C25" s="685"/>
      <c r="D25" s="440">
        <f>MIN(D14:D23)</f>
        <v>14.7</v>
      </c>
      <c r="E25" s="440">
        <f t="shared" ref="E25:F25" si="22">MIN(E14:E23)</f>
        <v>194</v>
      </c>
      <c r="F25" s="440">
        <f t="shared" si="22"/>
        <v>8.2800000000000011</v>
      </c>
      <c r="G25" s="440">
        <f>MIN(G14:G23)</f>
        <v>14.700000000000001</v>
      </c>
      <c r="H25" s="440">
        <f t="shared" ref="H25:I25" si="23">MIN(H14:H23)</f>
        <v>194</v>
      </c>
      <c r="I25" s="440">
        <f t="shared" si="23"/>
        <v>8.2000000000000011</v>
      </c>
      <c r="J25" s="440">
        <f>MIN(J14:J23)</f>
        <v>14.8</v>
      </c>
      <c r="K25" s="440">
        <f t="shared" ref="K25:L25" si="24">MIN(K14:K23)</f>
        <v>191</v>
      </c>
      <c r="L25" s="449">
        <f t="shared" si="24"/>
        <v>8.2800000000000011</v>
      </c>
    </row>
    <row r="26" spans="2:14" s="23" customFormat="1" ht="26.1" customHeight="1" thickBot="1">
      <c r="B26" s="679" t="s">
        <v>90</v>
      </c>
      <c r="C26" s="680"/>
      <c r="D26" s="452">
        <f>D24-D25</f>
        <v>9.9999999999999645E-2</v>
      </c>
      <c r="E26" s="452">
        <f t="shared" ref="E26:F26" si="25">E24-E25</f>
        <v>5</v>
      </c>
      <c r="F26" s="452">
        <f t="shared" si="25"/>
        <v>0.22999999999999865</v>
      </c>
      <c r="G26" s="452">
        <f>G24-G25</f>
        <v>9.9999999999999645E-2</v>
      </c>
      <c r="H26" s="452">
        <f t="shared" ref="H26:I26" si="26">H24-H25</f>
        <v>6</v>
      </c>
      <c r="I26" s="452">
        <f t="shared" si="26"/>
        <v>0.21999999999999886</v>
      </c>
      <c r="J26" s="452">
        <f>J24-J25</f>
        <v>0.19999999999999929</v>
      </c>
      <c r="K26" s="452">
        <f t="shared" ref="K26:L26" si="27">K24-K25</f>
        <v>5</v>
      </c>
      <c r="L26" s="453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86" t="s">
        <v>85</v>
      </c>
      <c r="E29" s="687"/>
      <c r="F29" s="688"/>
      <c r="H29" s="686" t="s">
        <v>154</v>
      </c>
      <c r="I29" s="687"/>
      <c r="J29" s="688"/>
      <c r="L29" s="686" t="s">
        <v>155</v>
      </c>
      <c r="M29" s="687"/>
      <c r="N29" s="688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2024-06-27T05:18:50Z</dcterms:modified>
</cp:coreProperties>
</file>