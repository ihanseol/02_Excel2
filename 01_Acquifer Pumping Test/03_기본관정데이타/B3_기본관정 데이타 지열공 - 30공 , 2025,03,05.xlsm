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0FF04067-3E8D-4482-900A-63F5FF3C9B92}" xr6:coauthVersionLast="47" xr6:coauthVersionMax="47" xr10:uidLastSave="{00000000-0000-0000-0000-000000000000}"/>
  <bookViews>
    <workbookView xWindow="6210" yWindow="330" windowWidth="30825" windowHeight="2002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F23" i="211" l="1"/>
  <c r="E23" i="211"/>
  <c r="D23" i="211"/>
  <c r="B23" i="211"/>
  <c r="F22" i="211"/>
  <c r="E22" i="211"/>
  <c r="D22" i="211"/>
  <c r="B22" i="211"/>
  <c r="F21" i="211"/>
  <c r="E21" i="211"/>
  <c r="D21" i="211"/>
  <c r="B21" i="211"/>
  <c r="F20" i="211"/>
  <c r="E20" i="211"/>
  <c r="D20" i="21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F25" i="211" s="1"/>
  <c r="E14" i="211"/>
  <c r="E25" i="211" s="1"/>
  <c r="D14" i="211"/>
  <c r="D25" i="211" s="1"/>
  <c r="B14" i="211"/>
  <c r="F23" i="210"/>
  <c r="E23" i="210"/>
  <c r="B23" i="210"/>
  <c r="F22" i="210"/>
  <c r="E22" i="210"/>
  <c r="B22" i="210"/>
  <c r="F21" i="210"/>
  <c r="B21" i="210"/>
  <c r="F20" i="210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F25" i="210" s="1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D22" i="210" l="1"/>
  <c r="E24" i="211"/>
  <c r="E26" i="211" s="1"/>
  <c r="D24" i="211"/>
  <c r="D26" i="211" s="1"/>
  <c r="F24" i="211"/>
  <c r="F26" i="211" s="1"/>
  <c r="D23" i="210"/>
  <c r="D24" i="210" s="1"/>
  <c r="E25" i="210"/>
  <c r="F24" i="210"/>
  <c r="F26" i="210" s="1"/>
  <c r="D25" i="210"/>
  <c r="E24" i="210"/>
  <c r="E26" i="210" s="1"/>
  <c r="D22" i="209"/>
  <c r="D24" i="209" s="1"/>
  <c r="D23" i="209"/>
  <c r="E25" i="209"/>
  <c r="F25" i="209"/>
  <c r="E24" i="209"/>
  <c r="E26" i="209" s="1"/>
  <c r="F24" i="209"/>
  <c r="F26" i="209" s="1"/>
  <c r="D26" i="210" l="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K30" i="208" s="1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" i="208" l="1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F6" i="207"/>
  <c r="J26" i="207"/>
  <c r="J26" i="208" l="1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7" i="208"/>
  <c r="G17" i="208" s="1"/>
  <c r="F13" i="208"/>
  <c r="F13" i="207"/>
  <c r="F19" i="208"/>
  <c r="G19" i="208" s="1"/>
  <c r="F17" i="207"/>
  <c r="G17" i="207" s="1"/>
  <c r="F19" i="207"/>
  <c r="G19" i="207" s="1"/>
  <c r="G13" i="55"/>
  <c r="F13" i="55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<sst xmlns="http://schemas.openxmlformats.org/spreadsheetml/2006/main" count="1492" uniqueCount="870">
  <si>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</si>
  <si>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</si>
  <si>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</si>
  <si>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</si>
  <si>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</si>
  <si>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</si>
  <si>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</si>
  <si>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</si>
  <si>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</si>
  <si>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</si>
  <si>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</si>
  <si>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</si>
  <si>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</si>
  <si>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</si>
  <si>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</si>
  <si>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</si>
  <si>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</si>
  <si>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</si>
  <si>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</si>
  <si>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</si>
  <si>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</si>
  <si>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</si>
  <si>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</si>
  <si>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</si>
  <si>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</si>
  <si>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</si>
  <si>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</si>
  <si>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</si>
  <si>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</si>
  <si>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</si>
  <si>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</si>
  <si>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</si>
  <si>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</si>
  <si>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</si>
  <si>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</si>
  <si>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</si>
  <si>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</si>
  <si>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</si>
  <si>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</si>
  <si>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</si>
  <si>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</si>
  <si>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</si>
  <si>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</si>
  <si>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</si>
  <si>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</si>
  <si>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</si>
  <si>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</si>
  <si>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</si>
  <si>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</si>
  <si>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</si>
  <si>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</si>
  <si>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</si>
  <si>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</si>
  <si>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</si>
  <si>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</si>
  <si>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</si>
  <si>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</si>
  <si>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</si>
  <si>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</si>
  <si>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</si>
  <si>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</si>
  <si>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</si>
  <si>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</si>
  <si>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</si>
  <si>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</si>
  <si>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</si>
  <si>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</si>
  <si>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</si>
  <si>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</si>
  <si>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</si>
  <si>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</si>
  <si>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</si>
  <si>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</si>
  <si>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</si>
  <si>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</si>
  <si>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</si>
  <si>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</si>
  <si>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</si>
  <si>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</si>
  <si>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</si>
  <si>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</si>
  <si>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</si>
  <si>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</si>
  <si>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</si>
  <si>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</si>
  <si>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</si>
  <si>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</si>
  <si>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</si>
  <si>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</si>
  <si>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</si>
  <si>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</si>
  <si>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</si>
  <si>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</si>
  <si>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</si>
  <si>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</si>
  <si>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</si>
  <si>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</si>
  <si>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</si>
  <si>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</si>
  <si>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</si>
  <si>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</si>
  <si>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</si>
  <si>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</si>
  <si>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</si>
  <si>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</si>
  <si>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</si>
  <si>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</si>
  <si>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</si>
  <si>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</si>
  <si>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</si>
  <si>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</si>
  <si>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</si>
  <si>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</si>
  <si>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</si>
  <si>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</si>
  <si>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</si>
  <si>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</si>
  <si>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</si>
  <si>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</si>
  <si>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</si>
  <si>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</si>
  <si>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</si>
  <si>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</si>
  <si>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</si>
  <si>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</si>
  <si>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</si>
  <si>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</si>
  <si>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</si>
  <si>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</si>
  <si>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</si>
  <si>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</si>
  <si>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</si>
  <si>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</si>
  <si>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</si>
  <si>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</si>
  <si>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</si>
  <si>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</si>
  <si>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</si>
  <si>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</si>
  <si>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</si>
  <si>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</si>
  <si>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</si>
  <si>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</si>
  <si>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</si>
  <si>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</si>
  <si>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</si>
  <si>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</si>
  <si>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</si>
  <si>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</si>
  <si>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</si>
  <si>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</si>
  <si>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</si>
  <si>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</si>
  <si>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</si>
  <si>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</si>
  <si>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</si>
  <si>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</si>
  <si>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</si>
  <si>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</si>
  <si>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</si>
  <si>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</si>
  <si>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</si>
  <si>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</si>
  <si>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</si>
  <si>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</si>
  <si>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</si>
  <si>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</si>
  <si>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</si>
  <si>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</si>
  <si>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</si>
  <si>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</si>
  <si>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</si>
  <si>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</si>
  <si>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</si>
  <si>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</si>
  <si>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</si>
  <si>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</si>
  <si>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</si>
  <si>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</si>
  <si>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</si>
  <si>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</si>
  <si>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</si>
  <si>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</si>
  <si>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</si>
  <si>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</si>
  <si>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</si>
  <si>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</si>
  <si>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</si>
  <si>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</si>
  <si>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</si>
  <si>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</si>
  <si>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</si>
  <si>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</si>
  <si>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</si>
  <si>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</si>
  <si>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</si>
  <si>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</si>
  <si>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</si>
  <si>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</si>
  <si>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</si>
  <si>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</si>
  <si>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</si>
  <si>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</si>
  <si>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</si>
  <si>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</si>
  <si>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</si>
  <si>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</si>
  <si>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</si>
  <si>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</si>
  <si>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</si>
  <si>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</si>
  <si>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</si>
  <si>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</si>
  <si>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</si>
  <si>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</si>
  <si>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</si>
  <si>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</si>
  <si>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</si>
  <si>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</si>
  <si>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</si>
  <si>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</si>
  <si>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</si>
  <si>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</si>
  <si>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</si>
  <si>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</si>
  <si>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</si>
  <si>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</si>
  <si>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</si>
  <si>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</si>
  <si>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</si>
  <si>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</si>
  <si>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</si>
  <si>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</si>
  <si>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</si>
  <si>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</si>
  <si>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</si>
  <si>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</si>
  <si>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</si>
  <si>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</si>
  <si>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</si>
  <si>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</si>
  <si>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</si>
  <si>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</si>
  <si>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</si>
  <si>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</si>
  <si>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</si>
  <si>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</si>
  <si>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</si>
  <si>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</si>
  <si>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</si>
  <si>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</si>
  <si>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</si>
  <si>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</si>
  <si>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</si>
  <si>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</si>
  <si>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</si>
  <si>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</si>
  <si>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</si>
  <si>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</si>
  <si>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</si>
  <si>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</si>
  <si>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</si>
  <si>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</si>
  <si>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</si>
  <si>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</si>
  <si>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</si>
  <si>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</si>
  <si>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</si>
  <si>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</si>
  <si>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</si>
  <si>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</si>
  <si>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</si>
  <si>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</si>
  <si>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</si>
  <si>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</si>
  <si>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</si>
  <si>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</si>
  <si>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</si>
  <si>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</si>
  <si>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</si>
  <si>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</si>
  <si>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</si>
  <si>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</si>
  <si>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</si>
  <si>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</si>
  <si>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</si>
  <si>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</si>
  <si>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</si>
  <si>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</si>
  <si>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</si>
  <si>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</si>
  <si>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</si>
  <si>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</si>
  <si>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</si>
  <si>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</si>
  <si>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</si>
  <si>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</si>
  <si>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</si>
  <si>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</si>
  <si>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</si>
  <si>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</si>
  <si>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</si>
  <si>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</si>
  <si>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</si>
  <si>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</si>
  <si>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</si>
  <si>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</si>
  <si>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</si>
  <si>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</si>
  <si>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</si>
  <si>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</si>
  <si>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</si>
  <si>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</si>
  <si>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</si>
  <si>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</si>
  <si>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</si>
  <si>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</si>
  <si>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</si>
  <si>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</si>
  <si>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</si>
  <si>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</si>
  <si>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</si>
  <si>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</si>
  <si>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</si>
  <si>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</si>
  <si>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</si>
  <si>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</si>
  <si>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</si>
  <si>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</si>
  <si>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</si>
  <si>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</si>
  <si>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</si>
  <si>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</si>
  <si>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</si>
  <si>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</si>
  <si>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</si>
  <si>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</si>
  <si>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</si>
  <si>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</si>
  <si>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</si>
  <si>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</si>
  <si>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</si>
  <si>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</si>
  <si>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</si>
  <si>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</si>
  <si>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</si>
  <si>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</si>
  <si>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</si>
  <si>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</si>
  <si>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</si>
  <si>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</si>
  <si>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</si>
  <si>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</si>
  <si>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</si>
  <si>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</si>
  <si>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</si>
  <si>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</si>
  <si>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</si>
  <si>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</si>
  <si>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</si>
  <si>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</si>
  <si>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</si>
  <si>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</si>
  <si>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</si>
  <si>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</si>
  <si>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</si>
  <si>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</si>
  <si>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</si>
  <si>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</si>
  <si>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</si>
  <si>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</si>
  <si>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</si>
  <si>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</si>
  <si>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</si>
  <si>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</si>
  <si>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</si>
  <si>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</si>
  <si>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</si>
  <si>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</si>
  <si>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</si>
  <si>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</si>
  <si>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</si>
  <si>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</si>
  <si>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</si>
  <si>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</si>
  <si>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</si>
  <si>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</si>
  <si>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</si>
  <si>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</si>
  <si>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</si>
  <si>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</si>
  <si>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</si>
  <si>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</si>
  <si>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</si>
  <si>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</si>
  <si>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</si>
  <si>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</si>
  <si>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</si>
  <si>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</si>
  <si>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</si>
  <si>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</si>
  <si>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</si>
  <si>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</si>
  <si>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</si>
  <si>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</si>
  <si>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</si>
  <si>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</si>
  <si>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</si>
  <si>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</si>
  <si>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</si>
  <si>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</si>
  <si>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</si>
  <si>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</si>
  <si>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</si>
  <si>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</si>
  <si>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</si>
  <si>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</si>
  <si>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</si>
  <si>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</si>
  <si>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</si>
  <si>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</si>
  <si>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</si>
  <si>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</si>
  <si>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</si>
  <si>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</si>
  <si>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</si>
  <si>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</si>
  <si>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</si>
  <si>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</si>
  <si>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</si>
  <si>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</si>
  <si>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</si>
  <si>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</si>
  <si>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</si>
  <si>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</si>
  <si>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</si>
  <si>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</si>
  <si>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</si>
  <si>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</si>
  <si>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</si>
  <si>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</si>
  <si>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</si>
  <si>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</si>
  <si>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</si>
  <si>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</si>
  <si>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</si>
  <si>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</si>
  <si>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</si>
  <si>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</si>
  <si>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</si>
  <si>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</si>
  <si>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</si>
  <si>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</si>
  <si>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</si>
  <si>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</si>
  <si>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</si>
  <si>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</si>
  <si>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</si>
  <si>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</si>
  <si>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</si>
  <si>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</si>
  <si>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</si>
  <si>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</si>
  <si>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</si>
  <si>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</si>
  <si>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</si>
  <si>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</si>
  <si>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</si>
  <si>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</si>
  <si>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</si>
  <si>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</si>
  <si>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</si>
  <si>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</si>
  <si>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</si>
  <si>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</si>
  <si>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</si>
  <si>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</si>
  <si>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</si>
  <si>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</si>
  <si>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</si>
  <si>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</si>
  <si>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</si>
  <si>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</si>
  <si>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</si>
  <si>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</si>
  <si>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</si>
  <si>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</si>
  <si>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</si>
  <si>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</si>
  <si>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</si>
  <si>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</si>
  <si>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</si>
  <si>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</si>
  <si>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</si>
  <si>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</si>
  <si>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</si>
  <si>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</si>
  <si>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</si>
  <si>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</si>
  <si>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</si>
  <si>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</si>
  <si>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</si>
  <si>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</si>
  <si>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</si>
  <si>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</si>
  <si>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</si>
  <si>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</si>
  <si>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</si>
  <si>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</si>
  <si>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</si>
  <si>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</si>
  <si>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</si>
  <si>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</si>
  <si>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</si>
  <si>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</si>
  <si>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</si>
  <si>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</si>
  <si>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</si>
  <si>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</si>
  <si>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</si>
  <si>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</si>
  <si>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</si>
  <si>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</si>
  <si>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</si>
  <si>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</si>
  <si>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</si>
  <si>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</si>
  <si>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</si>
  <si>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</si>
  <si>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</si>
  <si>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</si>
  <si>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</si>
  <si>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</si>
  <si>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</si>
  <si>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</si>
  <si>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</si>
  <si>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</si>
  <si>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</si>
  <si>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</si>
  <si>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</si>
  <si>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</si>
  <si>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</si>
  <si>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</si>
  <si>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</si>
  <si>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</si>
  <si>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</si>
  <si>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</si>
  <si>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</si>
  <si>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</si>
  <si>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</si>
  <si>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</si>
  <si>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</si>
  <si>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</si>
  <si>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</si>
  <si>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</si>
  <si>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</si>
  <si>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</si>
  <si>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</si>
  <si>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</si>
  <si>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</si>
  <si>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</si>
  <si>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</si>
  <si>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</si>
  <si>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</si>
  <si>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</si>
  <si>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</si>
  <si>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</si>
  <si>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</si>
  <si>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</si>
  <si>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</si>
  <si>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</si>
  <si>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</si>
  <si>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</si>
  <si>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</si>
  <si>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</si>
  <si>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</si>
  <si>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</si>
  <si>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</si>
  <si>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</si>
  <si>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</si>
  <si>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</si>
  <si>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</si>
  <si>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</si>
  <si>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</si>
  <si>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</si>
  <si>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</si>
  <si>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</si>
  <si>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</si>
  <si>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</si>
  <si>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</si>
  <si>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</si>
  <si>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</si>
  <si>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</si>
  <si>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</si>
  <si>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</si>
  <si>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</si>
  <si>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</si>
  <si>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</si>
  <si>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</si>
  <si>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</si>
  <si>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</si>
  <si>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</si>
  <si>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</si>
  <si>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</si>
  <si>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</si>
  <si>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</si>
  <si>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</si>
  <si>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</si>
  <si>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</si>
  <si>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</si>
  <si>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</si>
  <si>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</si>
  <si>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</si>
  <si>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</si>
  <si>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</si>
  <si>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</si>
  <si>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</si>
  <si>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</si>
  <si>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</si>
  <si>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</si>
  <si>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</si>
  <si>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</si>
  <si>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</si>
  <si>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</si>
  <si>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</si>
  <si>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</si>
  <si>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</si>
  <si>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</si>
  <si>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</si>
  <si>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</si>
  <si>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</si>
  <si>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</si>
  <si>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</si>
  <si>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</si>
  <si>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</si>
  <si>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</si>
  <si>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</si>
  <si>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</si>
  <si>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</si>
  <si>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</si>
  <si>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</si>
  <si>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</si>
  <si>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</si>
  <si>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</si>
  <si>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</si>
  <si>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</si>
  <si>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</si>
  <si>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</si>
  <si>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</si>
  <si>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</si>
  <si>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</si>
  <si>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</si>
  <si>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</si>
  <si>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</si>
  <si>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</si>
  <si>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</si>
  <si>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</si>
  <si>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</si>
  <si>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</si>
  <si>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</si>
  <si>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</si>
  <si>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</si>
  <si>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</si>
  <si>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</si>
  <si>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</si>
  <si>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</si>
  <si>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</si>
  <si>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</si>
  <si>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</si>
  <si>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</si>
  <si>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</si>
  <si>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</si>
  <si>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</si>
  <si>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</si>
  <si>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</si>
  <si>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</si>
  <si>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</si>
  <si>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</si>
  <si>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</si>
  <si>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</si>
  <si>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</si>
  <si>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</si>
  <si>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</si>
  <si>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</si>
  <si>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</si>
  <si>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</si>
  <si>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</si>
  <si>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</si>
  <si>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</si>
  <si>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</si>
  <si>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</si>
  <si>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</si>
  <si>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</si>
  <si>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</si>
  <si>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</si>
  <si>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</si>
  <si>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</si>
  <si>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</si>
  <si>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</si>
  <si>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</si>
  <si>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</si>
  <si>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</si>
  <si>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</si>
  <si>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</si>
  <si>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</si>
  <si>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</si>
  <si>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</si>
  <si>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</si>
  <si>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</si>
  <si>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</si>
  <si>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</si>
  <si>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</si>
  <si>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</si>
  <si>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</si>
  <si>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</si>
  <si>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</si>
  <si>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</si>
  <si>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</si>
  <si>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</si>
  <si>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</si>
  <si>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</si>
  <si>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</si>
  <si>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</si>
  <si>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</si>
  <si>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</si>
  <si>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</si>
  <si>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</si>
  <si>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</si>
  <si>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</si>
  <si>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</si>
  <si>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</si>
  <si>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</si>
  <si>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</si>
  <si>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</si>
  <si>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</si>
  <si>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</si>
  <si>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</si>
  <si>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</si>
  <si>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</si>
  <si>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</si>
  <si>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</si>
  <si>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</si>
  <si>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</si>
  <si>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</si>
  <si>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</si>
  <si>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</si>
  <si>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</si>
  <si>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</si>
  <si>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</si>
  <si>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</si>
  <si>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</si>
  <si>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</si>
  <si>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</si>
  <si>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</si>
  <si>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</si>
  <si>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</si>
  <si>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</si>
  <si>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</si>
  <si>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</si>
  <si>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</si>
  <si>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</si>
  <si>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</si>
  <si>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</si>
  <si>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</si>
  <si>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</si>
  <si>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</si>
  <si>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</si>
  <si>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</si>
  <si>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</si>
  <si>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</si>
  <si>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</si>
  <si>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</si>
  <si>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</si>
  <si>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</si>
  <si>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</si>
  <si>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</si>
  <si>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</si>
  <si>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</si>
  <si>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</si>
  <si>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</si>
  <si>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</si>
  <si>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</si>
  <si>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</si>
  <si>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</si>
  <si>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</si>
  <si>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</si>
  <si>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</si>
  <si>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</si>
  <si>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</si>
  <si>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</si>
  <si>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</si>
  <si>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</si>
  <si>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</si>
  <si>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</si>
  <si>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</si>
  <si>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</si>
  <si>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</si>
  <si>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</si>
  <si>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</si>
  <si>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</si>
  <si>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대천유통(주) 지하수 이용허가 유효기간의 연장을 위한 지하수영향조사보고서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</si>
  <si>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</si>
  <si>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</si>
  <si>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</si>
  <si>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</si>
  <si>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</si>
  <si>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</si>
  <si>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</si>
  <si>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</si>
  <si>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</si>
  <si>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</si>
  <si>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</si>
  <si>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</si>
  <si>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</si>
  <si>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</si>
  <si>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</si>
  <si>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</si>
  <si>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</si>
  <si>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</si>
  <si>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</si>
  <si>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</si>
  <si>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</si>
  <si>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</si>
  <si>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</si>
  <si>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</si>
  <si>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</si>
  <si>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</si>
  <si>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</si>
  <si>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</si>
  <si>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</si>
  <si>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</si>
  <si>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</si>
  <si>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</si>
  <si>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</si>
  <si>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</si>
  <si>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</si>
  <si>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</si>
  <si>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</si>
  <si>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</si>
  <si>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</si>
  <si>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</si>
  <si>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</si>
  <si>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</si>
  <si>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</si>
  <si>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</si>
  <si>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</si>
  <si>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</si>
  <si>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</si>
  <si>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</si>
  <si>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</si>
  <si>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</si>
  <si>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</si>
  <si>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</si>
  <si>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</si>
  <si>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</si>
  <si>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</si>
  <si>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</si>
  <si>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</si>
  <si>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</si>
  <si>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</si>
  <si>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</si>
  <si>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</si>
  <si>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</si>
  <si>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</si>
  <si>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</si>
  <si>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</si>
  <si>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보령시 주교면 주교리 903-19번지</t>
  </si>
  <si>
    <t>보령시 주교면 주교리 903-9번지</t>
  </si>
  <si>
    <t>충청남도 공주시 우성면 보흥리 425-4</t>
  </si>
  <si>
    <t>우성농공단지 지하수 이용허가 유효기간의 연장을 위한 지하수영향조사보고서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</si>
</sst>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2" Type="http://schemas.openxmlformats.org/officeDocument/2006/relationships/image" Target="../media/image57.emf"/><Relationship Id="rId16" Type="http://schemas.openxmlformats.org/officeDocument/2006/relationships/image" Target="../media/image65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50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7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9ED359F-4313-1EBF-0FAB-B7F863E8C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7A328162-F005-E7E4-04A7-EC81F7375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ED88B40-4D1F-9DD6-5A58-AD0608BF7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ECD718D6-9B64-9344-9EE3-4D68EC6B9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280CC30F-DBD6-D7B9-D61A-8B89B0ACFD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D2FDDCF-C685-3551-49E4-95BA5B840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F192C749-081E-420F-F662-B987002D5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7304E3C3-C7B2-F4BB-9AFF-0013F4AD30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2C9BFAA6-9271-DDD5-4EF8-A3AF69EB6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7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70.emf"/><Relationship Id="rId5" Type="http://schemas.openxmlformats.org/officeDocument/2006/relationships/image" Target="../media/image68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2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3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3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3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35" t="s">
        <v>850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S67" sqref="S67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0">
        <f>All!C42</f>
        <v>7.8</v>
      </c>
      <c r="D6" s="581">
        <f>All!D42</f>
        <v>54.2</v>
      </c>
      <c r="E6" s="581">
        <f>All!E42</f>
        <v>18.7</v>
      </c>
      <c r="F6" s="581">
        <f>All!F42</f>
        <v>105.1</v>
      </c>
      <c r="G6" s="581">
        <f>All!G42</f>
        <v>146.5</v>
      </c>
      <c r="H6" s="581">
        <f>All!H42</f>
        <v>23.7</v>
      </c>
      <c r="I6" s="581">
        <f>All!I42</f>
        <v>200.2</v>
      </c>
      <c r="J6" s="581">
        <f>All!J42</f>
        <v>5.0999999999999996</v>
      </c>
      <c r="K6" s="581">
        <f>All!K42</f>
        <v>73.400000000000006</v>
      </c>
      <c r="L6" s="581">
        <f>All!L42</f>
        <v>108</v>
      </c>
      <c r="M6" s="581">
        <f>All!M42</f>
        <v>5.6</v>
      </c>
      <c r="N6" s="582">
        <f>All!N42</f>
        <v>44.5</v>
      </c>
      <c r="O6" s="515">
        <f>All!O42</f>
        <v>792.8</v>
      </c>
      <c r="P6" s="582">
        <f>All!P42</f>
        <v>66.099999999999994</v>
      </c>
    </row>
    <row r="7" spans="2:16" ht="22.15" customHeight="1">
      <c r="B7" s="571">
        <f>All!B43</f>
        <v>2017</v>
      </c>
      <c r="C7" s="580">
        <f>All!C43</f>
        <v>14.8</v>
      </c>
      <c r="D7" s="581">
        <f>All!D43</f>
        <v>30.2</v>
      </c>
      <c r="E7" s="581">
        <f>All!E43</f>
        <v>14.4</v>
      </c>
      <c r="F7" s="581">
        <f>All!F43</f>
        <v>57.6</v>
      </c>
      <c r="G7" s="581">
        <f>All!G43</f>
        <v>58.9</v>
      </c>
      <c r="H7" s="581">
        <f>All!H43</f>
        <v>21.1</v>
      </c>
      <c r="I7" s="581">
        <f>All!I43</f>
        <v>278.10000000000002</v>
      </c>
      <c r="J7" s="581">
        <f>All!J43</f>
        <v>210</v>
      </c>
      <c r="K7" s="581">
        <f>All!K43</f>
        <v>90</v>
      </c>
      <c r="L7" s="581">
        <f>All!L43</f>
        <v>26.6</v>
      </c>
      <c r="M7" s="581">
        <f>All!M43</f>
        <v>15.9</v>
      </c>
      <c r="N7" s="582">
        <f>All!N43</f>
        <v>38.6</v>
      </c>
      <c r="O7" s="515">
        <f>All!O43</f>
        <v>856.2</v>
      </c>
      <c r="P7" s="582">
        <f>All!P43</f>
        <v>71.400000000000006</v>
      </c>
    </row>
    <row r="8" spans="2:16" ht="22.15" customHeight="1">
      <c r="B8" s="571">
        <f>All!B44</f>
        <v>2018</v>
      </c>
      <c r="C8" s="580">
        <f>All!C44</f>
        <v>15</v>
      </c>
      <c r="D8" s="581">
        <f>All!D44</f>
        <v>33.6</v>
      </c>
      <c r="E8" s="581">
        <f>All!E44</f>
        <v>92</v>
      </c>
      <c r="F8" s="581">
        <f>All!F44</f>
        <v>128.1</v>
      </c>
      <c r="G8" s="581">
        <f>All!G44</f>
        <v>104.5</v>
      </c>
      <c r="H8" s="581">
        <f>All!H44</f>
        <v>71</v>
      </c>
      <c r="I8" s="581">
        <f>All!I44</f>
        <v>262.7</v>
      </c>
      <c r="J8" s="581">
        <f>All!J44</f>
        <v>239.6</v>
      </c>
      <c r="K8" s="581">
        <f>All!K44</f>
        <v>158.19999999999999</v>
      </c>
      <c r="L8" s="581">
        <f>All!L44</f>
        <v>154.69999999999999</v>
      </c>
      <c r="M8" s="581">
        <f>All!M44</f>
        <v>46.7</v>
      </c>
      <c r="N8" s="582">
        <f>All!N44</f>
        <v>31.1</v>
      </c>
      <c r="O8" s="515">
        <f>All!O44</f>
        <v>1337.2</v>
      </c>
      <c r="P8" s="582">
        <f>All!P44</f>
        <v>111.4</v>
      </c>
    </row>
    <row r="9" spans="2:16" ht="22.15" customHeight="1">
      <c r="B9" s="571">
        <f>All!B45</f>
        <v>2019</v>
      </c>
      <c r="C9" s="580">
        <f>All!C45</f>
        <v>1.9</v>
      </c>
      <c r="D9" s="581">
        <f>All!D45</f>
        <v>17.8</v>
      </c>
      <c r="E9" s="581">
        <f>All!E45</f>
        <v>18.2</v>
      </c>
      <c r="F9" s="581">
        <f>All!F45</f>
        <v>71.900000000000006</v>
      </c>
      <c r="G9" s="581">
        <f>All!G45</f>
        <v>31.3</v>
      </c>
      <c r="H9" s="581">
        <f>All!H45</f>
        <v>56</v>
      </c>
      <c r="I9" s="581">
        <f>All!I45</f>
        <v>149</v>
      </c>
      <c r="J9" s="581">
        <f>All!J45</f>
        <v>131.30000000000001</v>
      </c>
      <c r="K9" s="581">
        <f>All!K45</f>
        <v>118.7</v>
      </c>
      <c r="L9" s="581">
        <f>All!L45</f>
        <v>63.9</v>
      </c>
      <c r="M9" s="581">
        <f>All!M45</f>
        <v>130.6</v>
      </c>
      <c r="N9" s="582">
        <f>All!N45</f>
        <v>31.3</v>
      </c>
      <c r="O9" s="515">
        <f>All!O45</f>
        <v>821.9</v>
      </c>
      <c r="P9" s="582">
        <f>All!P45</f>
        <v>68.5</v>
      </c>
    </row>
    <row r="10" spans="2:16" ht="22.15" customHeight="1">
      <c r="B10" s="571">
        <f>All!B46</f>
        <v>2020</v>
      </c>
      <c r="C10" s="580">
        <f>All!C46</f>
        <v>49.4</v>
      </c>
      <c r="D10" s="581">
        <f>All!D46</f>
        <v>75.3</v>
      </c>
      <c r="E10" s="581">
        <f>All!E46</f>
        <v>22.8</v>
      </c>
      <c r="F10" s="581">
        <f>All!F46</f>
        <v>16.5</v>
      </c>
      <c r="G10" s="581">
        <f>All!G46</f>
        <v>92.4</v>
      </c>
      <c r="H10" s="581">
        <f>All!H46</f>
        <v>139.69999999999999</v>
      </c>
      <c r="I10" s="581">
        <f>All!I46</f>
        <v>345.9</v>
      </c>
      <c r="J10" s="581">
        <f>All!J46</f>
        <v>321.5</v>
      </c>
      <c r="K10" s="581">
        <f>All!K46</f>
        <v>177.1</v>
      </c>
      <c r="L10" s="581">
        <f>All!L46</f>
        <v>16.2</v>
      </c>
      <c r="M10" s="581">
        <f>All!M46</f>
        <v>35.4</v>
      </c>
      <c r="N10" s="582">
        <f>All!N46</f>
        <v>9.6999999999999993</v>
      </c>
      <c r="O10" s="515">
        <f>All!O46</f>
        <v>1301.9000000000001</v>
      </c>
      <c r="P10" s="582">
        <f>All!P46</f>
        <v>108.5</v>
      </c>
    </row>
    <row r="11" spans="2:16" ht="22.15" customHeight="1">
      <c r="B11" s="571">
        <f>All!B47</f>
        <v>2021</v>
      </c>
      <c r="C11" s="580">
        <f>All!C47</f>
        <v>32</v>
      </c>
      <c r="D11" s="581">
        <f>All!D47</f>
        <v>18.7</v>
      </c>
      <c r="E11" s="581">
        <f>All!E47</f>
        <v>76.099999999999994</v>
      </c>
      <c r="F11" s="581">
        <f>All!F47</f>
        <v>43.4</v>
      </c>
      <c r="G11" s="581">
        <f>All!G47</f>
        <v>110</v>
      </c>
      <c r="H11" s="581">
        <f>All!H47</f>
        <v>55</v>
      </c>
      <c r="I11" s="581">
        <f>All!I47</f>
        <v>131.30000000000001</v>
      </c>
      <c r="J11" s="581">
        <f>All!J47</f>
        <v>253.7</v>
      </c>
      <c r="K11" s="581">
        <f>All!K47</f>
        <v>215.9</v>
      </c>
      <c r="L11" s="581">
        <f>All!L47</f>
        <v>39.6</v>
      </c>
      <c r="M11" s="581">
        <f>All!M47</f>
        <v>117.8</v>
      </c>
      <c r="N11" s="582">
        <f>All!N47</f>
        <v>14.4</v>
      </c>
      <c r="O11" s="515">
        <f>All!O47</f>
        <v>1107.9000000000001</v>
      </c>
      <c r="P11" s="582">
        <f>All!P47</f>
        <v>92.3</v>
      </c>
    </row>
    <row r="12" spans="2:16" ht="22.15" customHeight="1">
      <c r="B12" s="571">
        <f>All!B48</f>
        <v>2022</v>
      </c>
      <c r="C12" s="580">
        <f>All!C48</f>
        <v>8.4</v>
      </c>
      <c r="D12" s="581">
        <f>All!D48</f>
        <v>5.3</v>
      </c>
      <c r="E12" s="581">
        <f>All!E48</f>
        <v>60.9</v>
      </c>
      <c r="F12" s="581">
        <f>All!F48</f>
        <v>34.799999999999997</v>
      </c>
      <c r="G12" s="581">
        <f>All!G48</f>
        <v>5.7</v>
      </c>
      <c r="H12" s="581">
        <f>All!H48</f>
        <v>225</v>
      </c>
      <c r="I12" s="581">
        <f>All!I48</f>
        <v>119.7</v>
      </c>
      <c r="J12" s="581">
        <f>All!J48</f>
        <v>637.1</v>
      </c>
      <c r="K12" s="581">
        <f>All!K48</f>
        <v>102</v>
      </c>
      <c r="L12" s="581">
        <f>All!L48</f>
        <v>112</v>
      </c>
      <c r="M12" s="581">
        <f>All!M48</f>
        <v>23.3</v>
      </c>
      <c r="N12" s="582">
        <f>All!N48</f>
        <v>14</v>
      </c>
      <c r="O12" s="515">
        <f>All!O48</f>
        <v>1348.2</v>
      </c>
      <c r="P12" s="582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83">
        <f>All!C50</f>
        <v>29.5</v>
      </c>
      <c r="D14" s="584">
        <f>All!D50</f>
        <v>92.6</v>
      </c>
      <c r="E14" s="584">
        <f>All!E50</f>
        <v>35.799999999999997</v>
      </c>
      <c r="F14" s="584">
        <f>All!F50</f>
        <v>48.8</v>
      </c>
      <c r="G14" s="584">
        <f>All!G50</f>
        <v>130.9</v>
      </c>
      <c r="H14" s="584">
        <f>All!H50</f>
        <v>89</v>
      </c>
      <c r="I14" s="584">
        <f>All!I50</f>
        <v>557.29999999999995</v>
      </c>
      <c r="J14" s="584">
        <f>All!J50</f>
        <v>149.69999999999999</v>
      </c>
      <c r="K14" s="584">
        <f>All!K50</f>
        <v>234.9</v>
      </c>
      <c r="L14" s="584">
        <f>All!L50</f>
        <v>58.3</v>
      </c>
      <c r="M14" s="584">
        <f>All!M50</f>
        <v>49</v>
      </c>
      <c r="N14" s="585">
        <f>All!N50</f>
        <v>18.5</v>
      </c>
      <c r="O14" s="520">
        <f>All!O50</f>
        <v>1494.3</v>
      </c>
      <c r="P14" s="585">
        <f>All!P50</f>
        <v>124.5</v>
      </c>
    </row>
    <row r="15" spans="2:16" ht="22.15" customHeight="1">
      <c r="B15" s="573" t="s">
        <v>21</v>
      </c>
      <c r="C15" s="586">
        <f>All!C51</f>
        <v>49.4</v>
      </c>
      <c r="D15" s="587">
        <f>All!D51</f>
        <v>92.6</v>
      </c>
      <c r="E15" s="587">
        <f>All!E51</f>
        <v>92</v>
      </c>
      <c r="F15" s="587">
        <f>All!F51</f>
        <v>129.69999999999999</v>
      </c>
      <c r="G15" s="587">
        <f>All!G51</f>
        <v>190.8</v>
      </c>
      <c r="H15" s="587">
        <f>All!H51</f>
        <v>225</v>
      </c>
      <c r="I15" s="587">
        <f>All!I51</f>
        <v>772.2</v>
      </c>
      <c r="J15" s="587">
        <f>All!J51</f>
        <v>637.1</v>
      </c>
      <c r="K15" s="587">
        <f>All!K51</f>
        <v>288.39999999999998</v>
      </c>
      <c r="L15" s="587">
        <f>All!L51</f>
        <v>154.69999999999999</v>
      </c>
      <c r="M15" s="587">
        <f>All!M51</f>
        <v>155.6</v>
      </c>
      <c r="N15" s="588">
        <f>All!N51</f>
        <v>112.5</v>
      </c>
      <c r="O15" s="518">
        <f>All!O51</f>
        <v>1726.7</v>
      </c>
      <c r="P15" s="588">
        <f>All!P51</f>
        <v>143.9</v>
      </c>
    </row>
    <row r="16" spans="2:16" ht="22.15" customHeight="1">
      <c r="B16" s="571" t="s">
        <v>22</v>
      </c>
      <c r="C16" s="580">
        <f>All!C52</f>
        <v>1.9</v>
      </c>
      <c r="D16" s="581">
        <f>All!D52</f>
        <v>0.4</v>
      </c>
      <c r="E16" s="581">
        <f>All!E52</f>
        <v>7.2</v>
      </c>
      <c r="F16" s="581">
        <f>All!F52</f>
        <v>16.5</v>
      </c>
      <c r="G16" s="581">
        <f>All!G52</f>
        <v>5.7</v>
      </c>
      <c r="H16" s="581">
        <f>All!H52</f>
        <v>21.1</v>
      </c>
      <c r="I16" s="581">
        <f>All!I52</f>
        <v>94.7</v>
      </c>
      <c r="J16" s="581">
        <f>All!J52</f>
        <v>5.0999999999999996</v>
      </c>
      <c r="K16" s="581">
        <f>All!K52</f>
        <v>13.3</v>
      </c>
      <c r="L16" s="581">
        <f>All!L52</f>
        <v>16.2</v>
      </c>
      <c r="M16" s="581">
        <f>All!M52</f>
        <v>5.6</v>
      </c>
      <c r="N16" s="582">
        <f>All!N52</f>
        <v>9.6999999999999993</v>
      </c>
      <c r="O16" s="516">
        <f>All!O52</f>
        <v>785.4</v>
      </c>
      <c r="P16" s="582">
        <f>All!P52</f>
        <v>65.5</v>
      </c>
    </row>
    <row r="17" spans="2:16" ht="22.15" customHeight="1" thickBot="1">
      <c r="B17" s="572" t="s">
        <v>20</v>
      </c>
      <c r="C17" s="583">
        <f>All!C53</f>
        <v>20.8</v>
      </c>
      <c r="D17" s="584">
        <f>All!D53</f>
        <v>35.200000000000003</v>
      </c>
      <c r="E17" s="589">
        <f>All!E53</f>
        <v>37.700000000000003</v>
      </c>
      <c r="F17" s="584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84">
        <f>All!L53</f>
        <v>69.5</v>
      </c>
      <c r="M17" s="584">
        <f>All!M53</f>
        <v>64.5</v>
      </c>
      <c r="N17" s="585">
        <f>All!N53</f>
        <v>38</v>
      </c>
      <c r="O17" s="517">
        <f>All!O53</f>
        <v>1157.3</v>
      </c>
      <c r="P17" s="590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776" t="s">
        <v>187</v>
      </c>
      <c r="J24" s="777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78" t="s">
        <v>184</v>
      </c>
      <c r="J25" s="779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0" t="s">
        <v>232</v>
      </c>
      <c r="J26" s="781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817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2" t="s">
        <v>789</v>
      </c>
      <c r="B39" s="783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818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819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820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803</v>
      </c>
      <c r="H5" s="113" t="s">
        <v>804</v>
      </c>
      <c r="I5" s="113" t="s">
        <v>805</v>
      </c>
      <c r="J5" s="113" t="s">
        <v>806</v>
      </c>
      <c r="K5" s="114" t="s">
        <v>807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803</v>
      </c>
      <c r="H6" s="113" t="s">
        <v>808</v>
      </c>
      <c r="I6" s="113" t="s">
        <v>809</v>
      </c>
      <c r="J6" s="113" t="s">
        <v>810</v>
      </c>
      <c r="K6" s="114" t="s">
        <v>811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812</v>
      </c>
      <c r="H7" s="113" t="s">
        <v>813</v>
      </c>
      <c r="I7" s="113" t="s">
        <v>814</v>
      </c>
      <c r="J7" s="113" t="s">
        <v>815</v>
      </c>
      <c r="K7" s="114" t="s">
        <v>816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F15" sqref="F1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81</v>
      </c>
      <c r="B5" s="535">
        <v>8.4499999999999993</v>
      </c>
      <c r="C5" s="535">
        <v>43.5</v>
      </c>
      <c r="D5" s="541">
        <v>10.486749434776506</v>
      </c>
      <c r="E5" s="541">
        <v>33.013250565223494</v>
      </c>
      <c r="F5" s="535">
        <v>35.049999999999997</v>
      </c>
      <c r="G5" s="535">
        <v>200</v>
      </c>
      <c r="H5" s="535">
        <v>0.1</v>
      </c>
      <c r="I5" s="535">
        <v>100</v>
      </c>
      <c r="J5" s="535">
        <v>12</v>
      </c>
      <c r="K5" s="535">
        <v>145</v>
      </c>
      <c r="L5" s="541">
        <v>3.4291035598786501</v>
      </c>
      <c r="M5" s="535">
        <v>3</v>
      </c>
      <c r="N5" s="535">
        <v>88</v>
      </c>
      <c r="O5" s="542">
        <v>2.9740000000000002</v>
      </c>
      <c r="P5" s="542">
        <v>2.3730000000000002</v>
      </c>
      <c r="Q5" s="542">
        <v>2.6735000000000002</v>
      </c>
      <c r="R5" s="535">
        <v>7.918E-2</v>
      </c>
      <c r="S5" s="543">
        <v>2.0780000000000001E-4</v>
      </c>
      <c r="T5" s="535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545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35">
        <v>3.5599999999999998E-4</v>
      </c>
      <c r="AG5" s="535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35">
        <v>0.29339999999999999</v>
      </c>
      <c r="AM5" s="535">
        <v>0.29409999999999997</v>
      </c>
      <c r="AN5" s="535">
        <v>1.2584</v>
      </c>
      <c r="AO5" s="535" t="s">
        <v>868</v>
      </c>
      <c r="AP5" s="535" t="s">
        <v>325</v>
      </c>
      <c r="AQ5" s="532">
        <v>31.28</v>
      </c>
      <c r="AR5" s="547" t="s">
        <v>869</v>
      </c>
    </row>
    <row r="6" spans="1:702" ht="23.1" customHeight="1">
      <c r="A6" s="540" t="s">
        <v>147</v>
      </c>
      <c r="B6" s="535">
        <v>8.23</v>
      </c>
      <c r="C6" s="535">
        <v>54.82</v>
      </c>
      <c r="D6" s="541">
        <v>10.386048579795844</v>
      </c>
      <c r="E6" s="541">
        <v>44.433951420204153</v>
      </c>
      <c r="F6" s="535">
        <v>46.59</v>
      </c>
      <c r="G6" s="535">
        <v>200</v>
      </c>
      <c r="H6" s="535">
        <v>0.1</v>
      </c>
      <c r="I6" s="535">
        <v>90</v>
      </c>
      <c r="J6" s="535">
        <v>12</v>
      </c>
      <c r="K6" s="535">
        <v>200</v>
      </c>
      <c r="L6" s="541">
        <v>4.5587876286934215</v>
      </c>
      <c r="M6" s="535">
        <v>5</v>
      </c>
      <c r="N6" s="535">
        <v>78</v>
      </c>
      <c r="O6" s="542">
        <v>3.0659999999999998</v>
      </c>
      <c r="P6" s="542">
        <v>2.38</v>
      </c>
      <c r="Q6" s="542">
        <v>2.7229999999999999</v>
      </c>
      <c r="R6" s="535">
        <v>8.8139999999999996E-2</v>
      </c>
      <c r="S6" s="543">
        <v>2.23E-4</v>
      </c>
      <c r="T6" s="535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545">
        <v>229</v>
      </c>
      <c r="AB6" s="541">
        <v>206.68381565981989</v>
      </c>
      <c r="AC6" s="541">
        <v>125</v>
      </c>
      <c r="AD6" s="541">
        <v>19.5</v>
      </c>
      <c r="AE6" s="541">
        <v>41.46</v>
      </c>
      <c r="AF6" s="535">
        <v>2.4159999999999999E-4</v>
      </c>
      <c r="AG6" s="535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35">
        <v>0.33350000000000002</v>
      </c>
      <c r="AM6" s="535">
        <v>0.3342</v>
      </c>
      <c r="AN6" s="535">
        <v>1.3277000000000001</v>
      </c>
      <c r="AO6" s="535" t="s">
        <v>801</v>
      </c>
      <c r="AP6" s="535" t="s">
        <v>322</v>
      </c>
      <c r="AQ6" s="532">
        <v>40.47</v>
      </c>
      <c r="AR6" s="547" t="s">
        <v>800</v>
      </c>
    </row>
    <row r="7" spans="1:702" ht="23.1" customHeight="1">
      <c r="A7" s="540" t="s">
        <v>148</v>
      </c>
      <c r="B7" s="535">
        <v>7.95</v>
      </c>
      <c r="C7" s="535">
        <v>52.37</v>
      </c>
      <c r="D7" s="541">
        <v>10.085579340410948</v>
      </c>
      <c r="E7" s="541">
        <v>42.284420659589045</v>
      </c>
      <c r="F7" s="535">
        <v>44.419999999999995</v>
      </c>
      <c r="G7" s="535">
        <v>200</v>
      </c>
      <c r="H7" s="535">
        <v>0.1</v>
      </c>
      <c r="I7" s="535">
        <v>200</v>
      </c>
      <c r="J7" s="535">
        <v>12</v>
      </c>
      <c r="K7" s="535">
        <v>100</v>
      </c>
      <c r="L7" s="541">
        <v>3.4571242302835072</v>
      </c>
      <c r="M7" s="535">
        <v>5</v>
      </c>
      <c r="N7" s="535">
        <v>188</v>
      </c>
      <c r="O7" s="542">
        <v>1.5369999999999999</v>
      </c>
      <c r="P7" s="542">
        <v>1.117</v>
      </c>
      <c r="Q7" s="542">
        <v>1.327</v>
      </c>
      <c r="R7" s="535">
        <v>6.5759999999999999E-2</v>
      </c>
      <c r="S7" s="543">
        <v>2.6879999999999997E-4</v>
      </c>
      <c r="T7" s="535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545">
        <v>114</v>
      </c>
      <c r="AB7" s="541">
        <v>102.52347213091078</v>
      </c>
      <c r="AC7" s="541">
        <v>62</v>
      </c>
      <c r="AD7" s="541">
        <v>18.59</v>
      </c>
      <c r="AE7" s="541">
        <v>39.53</v>
      </c>
      <c r="AF7" s="535">
        <v>8.8940000000000004E-4</v>
      </c>
      <c r="AG7" s="535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35">
        <v>2.8999999999999998E-3</v>
      </c>
      <c r="AM7" s="535">
        <v>2.8999999999999998E-3</v>
      </c>
      <c r="AN7" s="535">
        <v>1.1468</v>
      </c>
      <c r="AO7" s="535" t="s">
        <v>802</v>
      </c>
      <c r="AP7" s="535" t="s">
        <v>322</v>
      </c>
      <c r="AQ7" s="532">
        <v>57.6</v>
      </c>
      <c r="AR7" s="547" t="s">
        <v>800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206.66780091709089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206.68381565981989</v>
      </c>
      <c r="J4" s="164">
        <v>200</v>
      </c>
      <c r="K4" s="175">
        <v>0.89956331877729256</v>
      </c>
      <c r="M4" s="275" t="s">
        <v>205</v>
      </c>
      <c r="N4" s="265">
        <f>MIN(I3:I35)</f>
        <v>102.52347213091078</v>
      </c>
      <c r="O4" s="266">
        <f>MAX(I3:I35)</f>
        <v>206.68381565981989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102.52347213091078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88" t="s">
        <v>219</v>
      </c>
      <c r="G43" s="784">
        <v>229</v>
      </c>
      <c r="H43" s="254">
        <v>41.03</v>
      </c>
      <c r="I43" s="786">
        <v>206.66780091709089</v>
      </c>
    </row>
    <row r="44" spans="6:25" ht="15.95" customHeight="1">
      <c r="F44" s="789"/>
      <c r="G44" s="785"/>
      <c r="H44" s="192">
        <v>19.3</v>
      </c>
      <c r="I44" s="787"/>
      <c r="K44" s="231"/>
    </row>
    <row r="45" spans="6:25" ht="15.95" customHeight="1">
      <c r="F45" s="790" t="s">
        <v>786</v>
      </c>
      <c r="G45" s="792">
        <v>229</v>
      </c>
      <c r="H45" s="164">
        <v>41.46</v>
      </c>
      <c r="I45" s="794">
        <v>206.68381565981989</v>
      </c>
      <c r="K45" s="231"/>
    </row>
    <row r="46" spans="6:25" ht="15.95" customHeight="1">
      <c r="F46" s="791"/>
      <c r="G46" s="793"/>
      <c r="H46" s="164">
        <v>19.5</v>
      </c>
      <c r="I46" s="794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5" t="s">
        <v>787</v>
      </c>
      <c r="G47" s="796">
        <v>114</v>
      </c>
      <c r="H47" s="192">
        <v>39.53</v>
      </c>
      <c r="I47" s="787">
        <v>102.52347213091078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89"/>
      <c r="G48" s="785"/>
      <c r="H48" s="192">
        <v>18.59</v>
      </c>
      <c r="I48" s="787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90"/>
      <c r="G49" s="792"/>
      <c r="H49" s="164"/>
      <c r="I49" s="794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91"/>
      <c r="G50" s="793"/>
      <c r="H50" s="164"/>
      <c r="I50" s="794"/>
      <c r="K50" s="231"/>
    </row>
    <row r="51" spans="6:25" ht="15.95" customHeight="1">
      <c r="F51" s="795"/>
      <c r="G51" s="796"/>
      <c r="H51" s="192"/>
      <c r="I51" s="787"/>
      <c r="K51" s="231"/>
    </row>
    <row r="52" spans="6:25" ht="15.95" customHeight="1">
      <c r="F52" s="789"/>
      <c r="G52" s="785"/>
      <c r="H52" s="192"/>
      <c r="I52" s="787"/>
      <c r="K52" s="231"/>
    </row>
    <row r="53" spans="6:25" ht="15.95" customHeight="1">
      <c r="F53" s="790"/>
      <c r="G53" s="792"/>
      <c r="H53" s="164"/>
      <c r="I53" s="794"/>
      <c r="K53" s="231"/>
    </row>
    <row r="54" spans="6:25" ht="15.95" customHeight="1">
      <c r="F54" s="791"/>
      <c r="G54" s="793"/>
      <c r="H54" s="164"/>
      <c r="I54" s="794"/>
      <c r="K54" s="231"/>
    </row>
    <row r="55" spans="6:25" ht="15.95" customHeight="1">
      <c r="F55" s="795"/>
      <c r="G55" s="796"/>
      <c r="H55" s="192"/>
      <c r="I55" s="787"/>
      <c r="K55" s="231"/>
    </row>
    <row r="56" spans="6:25" ht="15.95" customHeight="1">
      <c r="F56" s="789"/>
      <c r="G56" s="785"/>
      <c r="H56" s="192"/>
      <c r="I56" s="787"/>
      <c r="K56" s="231"/>
    </row>
    <row r="57" spans="6:25" ht="15.95" hidden="1" customHeight="1" outlineLevel="1">
      <c r="F57" s="790"/>
      <c r="G57" s="792"/>
      <c r="H57" s="164"/>
      <c r="I57" s="794"/>
      <c r="K57" s="231"/>
    </row>
    <row r="58" spans="6:25" ht="15.95" hidden="1" customHeight="1" outlineLevel="1">
      <c r="F58" s="791"/>
      <c r="G58" s="793"/>
      <c r="H58" s="164"/>
      <c r="I58" s="794"/>
      <c r="K58" s="231"/>
    </row>
    <row r="59" spans="6:25" ht="15.95" hidden="1" customHeight="1" outlineLevel="1">
      <c r="F59" s="795"/>
      <c r="G59" s="796"/>
      <c r="H59" s="192"/>
      <c r="I59" s="787"/>
      <c r="K59" s="231"/>
    </row>
    <row r="60" spans="6:25" ht="15.95" hidden="1" customHeight="1" outlineLevel="1">
      <c r="F60" s="789"/>
      <c r="G60" s="785"/>
      <c r="H60" s="192"/>
      <c r="I60" s="787"/>
      <c r="K60" s="231"/>
    </row>
    <row r="61" spans="6:25" ht="15.95" hidden="1" customHeight="1" outlineLevel="1">
      <c r="F61" s="790"/>
      <c r="G61" s="792"/>
      <c r="H61" s="164"/>
      <c r="I61" s="794"/>
      <c r="K61" s="231"/>
    </row>
    <row r="62" spans="6:25" ht="15.95" hidden="1" customHeight="1" outlineLevel="1">
      <c r="F62" s="791"/>
      <c r="G62" s="793"/>
      <c r="H62" s="164"/>
      <c r="I62" s="794"/>
      <c r="K62" s="231"/>
    </row>
    <row r="63" spans="6:25" ht="15.95" hidden="1" customHeight="1" outlineLevel="1">
      <c r="F63" s="795"/>
      <c r="G63" s="796"/>
      <c r="H63" s="192"/>
      <c r="I63" s="787"/>
      <c r="K63" s="231"/>
    </row>
    <row r="64" spans="6:25" ht="15.95" hidden="1" customHeight="1" outlineLevel="1">
      <c r="F64" s="789"/>
      <c r="G64" s="785"/>
      <c r="H64" s="192"/>
      <c r="I64" s="787"/>
      <c r="K64" s="231"/>
    </row>
    <row r="65" spans="6:11" ht="15.95" hidden="1" customHeight="1" outlineLevel="1">
      <c r="F65" s="790"/>
      <c r="G65" s="792"/>
      <c r="H65" s="164"/>
      <c r="I65" s="794"/>
      <c r="K65" s="231"/>
    </row>
    <row r="66" spans="6:11" ht="15.95" hidden="1" customHeight="1" outlineLevel="1">
      <c r="F66" s="791"/>
      <c r="G66" s="793"/>
      <c r="H66" s="164"/>
      <c r="I66" s="794"/>
      <c r="K66" s="231"/>
    </row>
    <row r="67" spans="6:11" ht="15.95" hidden="1" customHeight="1" outlineLevel="1">
      <c r="F67" s="795"/>
      <c r="G67" s="796"/>
      <c r="H67" s="192"/>
      <c r="I67" s="787"/>
      <c r="K67" s="231"/>
    </row>
    <row r="68" spans="6:11" ht="15.95" hidden="1" customHeight="1" outlineLevel="1">
      <c r="F68" s="789"/>
      <c r="G68" s="785"/>
      <c r="H68" s="192"/>
      <c r="I68" s="787"/>
      <c r="K68" s="231"/>
    </row>
    <row r="69" spans="6:11" ht="15.95" hidden="1" customHeight="1" outlineLevel="1">
      <c r="F69" s="790"/>
      <c r="G69" s="792"/>
      <c r="H69" s="164"/>
      <c r="I69" s="794"/>
      <c r="K69" s="231"/>
    </row>
    <row r="70" spans="6:11" ht="15.95" hidden="1" customHeight="1" outlineLevel="1">
      <c r="F70" s="791"/>
      <c r="G70" s="793"/>
      <c r="H70" s="164"/>
      <c r="I70" s="794"/>
      <c r="K70" s="231"/>
    </row>
    <row r="71" spans="6:11" ht="15.95" hidden="1" customHeight="1" outlineLevel="1">
      <c r="F71" s="795"/>
      <c r="G71" s="796"/>
      <c r="H71" s="192"/>
      <c r="I71" s="787"/>
      <c r="K71" s="231"/>
    </row>
    <row r="72" spans="6:11" ht="15.95" hidden="1" customHeight="1" outlineLevel="1">
      <c r="F72" s="789"/>
      <c r="G72" s="785"/>
      <c r="H72" s="192"/>
      <c r="I72" s="787"/>
      <c r="K72" s="231"/>
    </row>
    <row r="73" spans="6:11" ht="15.95" hidden="1" customHeight="1" outlineLevel="1">
      <c r="F73" s="790"/>
      <c r="G73" s="792"/>
      <c r="H73" s="164"/>
      <c r="I73" s="794"/>
    </row>
    <row r="74" spans="6:11" ht="15.95" hidden="1" customHeight="1" outlineLevel="1">
      <c r="F74" s="791"/>
      <c r="G74" s="793"/>
      <c r="H74" s="164"/>
      <c r="I74" s="794"/>
    </row>
    <row r="75" spans="6:11" ht="15.95" hidden="1" customHeight="1" outlineLevel="1">
      <c r="F75" s="795"/>
      <c r="G75" s="796"/>
      <c r="H75" s="192"/>
      <c r="I75" s="787"/>
    </row>
    <row r="76" spans="6:11" ht="15.95" hidden="1" customHeight="1" outlineLevel="1">
      <c r="F76" s="789"/>
      <c r="G76" s="785"/>
      <c r="H76" s="192"/>
      <c r="I76" s="787"/>
    </row>
    <row r="77" spans="6:11" ht="15.95" hidden="1" customHeight="1" outlineLevel="1">
      <c r="F77" s="790"/>
      <c r="G77" s="792"/>
      <c r="H77" s="164"/>
      <c r="I77" s="794"/>
    </row>
    <row r="78" spans="6:11" ht="15.95" hidden="1" customHeight="1" outlineLevel="1">
      <c r="F78" s="791"/>
      <c r="G78" s="793"/>
      <c r="H78" s="164"/>
      <c r="I78" s="794"/>
    </row>
    <row r="79" spans="6:11" ht="15.95" hidden="1" customHeight="1" outlineLevel="1">
      <c r="F79" s="795"/>
      <c r="G79" s="796"/>
      <c r="H79" s="192"/>
      <c r="I79" s="787"/>
    </row>
    <row r="80" spans="6:11" ht="15.95" hidden="1" customHeight="1" outlineLevel="1">
      <c r="F80" s="789"/>
      <c r="G80" s="785"/>
      <c r="H80" s="192"/>
      <c r="I80" s="787"/>
    </row>
    <row r="81" spans="6:9" ht="15.95" hidden="1" customHeight="1" outlineLevel="1">
      <c r="F81" s="790"/>
      <c r="G81" s="792"/>
      <c r="H81" s="164"/>
      <c r="I81" s="794"/>
    </row>
    <row r="82" spans="6:9" ht="15.95" hidden="1" customHeight="1" outlineLevel="1">
      <c r="F82" s="791"/>
      <c r="G82" s="793"/>
      <c r="H82" s="164"/>
      <c r="I82" s="794"/>
    </row>
    <row r="83" spans="6:9" ht="15.95" hidden="1" customHeight="1" outlineLevel="1">
      <c r="F83" s="795"/>
      <c r="G83" s="796"/>
      <c r="H83" s="192"/>
      <c r="I83" s="787"/>
    </row>
    <row r="84" spans="6:9" ht="15.95" hidden="1" customHeight="1" outlineLevel="1">
      <c r="F84" s="789"/>
      <c r="G84" s="785"/>
      <c r="H84" s="192"/>
      <c r="I84" s="787"/>
    </row>
    <row r="85" spans="6:9" ht="15.95" hidden="1" customHeight="1" outlineLevel="1">
      <c r="F85" s="790"/>
      <c r="G85" s="792"/>
      <c r="H85" s="164"/>
      <c r="I85" s="794"/>
    </row>
    <row r="86" spans="6:9" ht="15.95" hidden="1" customHeight="1" outlineLevel="1">
      <c r="F86" s="791"/>
      <c r="G86" s="793"/>
      <c r="H86" s="164"/>
      <c r="I86" s="794"/>
    </row>
    <row r="87" spans="6:9" ht="15.95" hidden="1" customHeight="1" outlineLevel="1">
      <c r="F87" s="795"/>
      <c r="G87" s="796"/>
      <c r="H87" s="192"/>
      <c r="I87" s="787"/>
    </row>
    <row r="88" spans="6:9" ht="15.95" hidden="1" customHeight="1" outlineLevel="1">
      <c r="F88" s="789"/>
      <c r="G88" s="785"/>
      <c r="H88" s="192"/>
      <c r="I88" s="787"/>
    </row>
    <row r="89" spans="6:9" ht="15.95" hidden="1" customHeight="1" outlineLevel="1">
      <c r="F89" s="790"/>
      <c r="G89" s="792"/>
      <c r="H89" s="164"/>
      <c r="I89" s="794"/>
    </row>
    <row r="90" spans="6:9" ht="15.95" hidden="1" customHeight="1" outlineLevel="1">
      <c r="F90" s="791"/>
      <c r="G90" s="793"/>
      <c r="H90" s="164"/>
      <c r="I90" s="794"/>
    </row>
    <row r="91" spans="6:9" ht="15.95" hidden="1" customHeight="1" outlineLevel="1">
      <c r="F91" s="795"/>
      <c r="G91" s="796"/>
      <c r="H91" s="192"/>
      <c r="I91" s="787"/>
    </row>
    <row r="92" spans="6:9" ht="15.95" hidden="1" customHeight="1" outlineLevel="1">
      <c r="F92" s="789"/>
      <c r="G92" s="785"/>
      <c r="H92" s="192"/>
      <c r="I92" s="787"/>
    </row>
    <row r="93" spans="6:9" ht="15.95" hidden="1" customHeight="1" outlineLevel="1">
      <c r="F93" s="790"/>
      <c r="G93" s="792"/>
      <c r="H93" s="164"/>
      <c r="I93" s="794"/>
    </row>
    <row r="94" spans="6:9" ht="15.95" hidden="1" customHeight="1" outlineLevel="1">
      <c r="F94" s="791"/>
      <c r="G94" s="793"/>
      <c r="H94" s="164"/>
      <c r="I94" s="794"/>
    </row>
    <row r="95" spans="6:9" ht="15.95" hidden="1" customHeight="1" outlineLevel="1">
      <c r="F95" s="800"/>
      <c r="G95" s="797"/>
      <c r="H95" s="120"/>
      <c r="I95" s="799"/>
    </row>
    <row r="96" spans="6:9" ht="15.95" hidden="1" customHeight="1" outlineLevel="1">
      <c r="F96" s="801"/>
      <c r="G96" s="798"/>
      <c r="H96" s="120"/>
      <c r="I96" s="799"/>
    </row>
    <row r="97" spans="6:9" ht="15.95" hidden="1" customHeight="1" outlineLevel="1">
      <c r="F97" s="802"/>
      <c r="G97" s="804"/>
      <c r="H97" s="169"/>
      <c r="I97" s="806"/>
    </row>
    <row r="98" spans="6:9" ht="15.95" hidden="1" customHeight="1" outlineLevel="1">
      <c r="F98" s="808"/>
      <c r="G98" s="809"/>
      <c r="H98" s="169"/>
      <c r="I98" s="806"/>
    </row>
    <row r="99" spans="6:9" ht="15.95" hidden="1" customHeight="1" outlineLevel="1">
      <c r="F99" s="800"/>
      <c r="G99" s="797"/>
      <c r="H99" s="120"/>
      <c r="I99" s="799"/>
    </row>
    <row r="100" spans="6:9" ht="15.95" hidden="1" customHeight="1" outlineLevel="1">
      <c r="F100" s="801"/>
      <c r="G100" s="798"/>
      <c r="H100" s="120"/>
      <c r="I100" s="799"/>
    </row>
    <row r="101" spans="6:9" ht="15.95" hidden="1" customHeight="1" outlineLevel="1">
      <c r="F101" s="802"/>
      <c r="G101" s="804"/>
      <c r="H101" s="169"/>
      <c r="I101" s="806"/>
    </row>
    <row r="102" spans="6:9" ht="15.95" hidden="1" customHeight="1" outlineLevel="1" thickBot="1">
      <c r="F102" s="803"/>
      <c r="G102" s="805"/>
      <c r="H102" s="247"/>
      <c r="I102" s="80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859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857</v>
      </c>
      <c r="Q2" s="713" t="s">
        <v>858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2.7690000000000001</v>
      </c>
      <c r="E38" s="669">
        <v>2.7229999999999999</v>
      </c>
      <c r="F38" s="668">
        <v>1.327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3.5499999999999997E-2</v>
      </c>
      <c r="E39" s="669">
        <v>3.4909999999999997E-2</v>
      </c>
      <c r="F39" s="668">
        <v>7.0499999999999998E-3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2.2220000000000001E-4</v>
      </c>
      <c r="E40" s="672">
        <v>2.23E-4</v>
      </c>
      <c r="F40" s="671">
        <v>2.6879999999999997E-4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0.45829999999999999</v>
      </c>
      <c r="E41" s="669">
        <v>0.45829999999999999</v>
      </c>
      <c r="F41" s="668">
        <v>0.45829999999999999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46.11</v>
      </c>
      <c r="E42" s="674">
        <v>46.59</v>
      </c>
      <c r="F42" s="673">
        <v>44.419999999999995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78</v>
      </c>
      <c r="E43" s="677">
        <v>78</v>
      </c>
      <c r="F43" s="676">
        <v>188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852</v>
      </c>
      <c r="I46" s="259"/>
      <c r="J46" s="288"/>
      <c r="K46" s="231"/>
      <c r="L46" s="231"/>
      <c r="M46" s="231"/>
      <c r="N46" s="231"/>
      <c r="P46" s="259" t="s">
        <v>853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0" t="s">
        <v>81</v>
      </c>
      <c r="D48" s="684" t="s">
        <v>854</v>
      </c>
      <c r="E48" s="668">
        <v>3.101</v>
      </c>
      <c r="F48" s="685">
        <v>2.2220000000000001E-4</v>
      </c>
      <c r="G48" s="708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163.63333333333335</v>
      </c>
      <c r="M48" s="193">
        <v>174.3</v>
      </c>
      <c r="N48" s="249">
        <v>174.3</v>
      </c>
      <c r="P48" s="252" t="s">
        <v>219</v>
      </c>
      <c r="Q48" s="244">
        <v>-2.9926932892249285</v>
      </c>
      <c r="R48" s="705">
        <v>1.994</v>
      </c>
      <c r="S48" s="680"/>
      <c r="T48" s="680"/>
      <c r="U48" s="680"/>
      <c r="V48" s="680"/>
    </row>
    <row r="49" spans="3:22" ht="20.100000000000001" customHeight="1">
      <c r="C49" s="810"/>
      <c r="D49" s="686" t="s">
        <v>855</v>
      </c>
      <c r="E49" s="668">
        <v>2.4369999999999998</v>
      </c>
      <c r="F49" s="711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162.80000000000001</v>
      </c>
      <c r="M49" s="171">
        <v>173.4</v>
      </c>
      <c r="N49" s="172">
        <v>173.4</v>
      </c>
      <c r="P49" s="173" t="s">
        <v>786</v>
      </c>
      <c r="Q49" s="167">
        <v>-2.9895274628632769</v>
      </c>
      <c r="R49" s="706">
        <v>1.988</v>
      </c>
      <c r="S49" s="680"/>
      <c r="T49" s="680"/>
      <c r="U49" s="680"/>
      <c r="V49" s="680"/>
    </row>
    <row r="50" spans="3:22" ht="20.100000000000001" customHeight="1">
      <c r="C50" s="801"/>
      <c r="D50" s="686" t="s">
        <v>856</v>
      </c>
      <c r="E50" s="688">
        <v>2.7690000000000001</v>
      </c>
      <c r="F50" s="689">
        <v>2.2220000000000001E-4</v>
      </c>
      <c r="G50" s="709"/>
      <c r="H50" s="248" t="s">
        <v>787</v>
      </c>
      <c r="I50" s="193">
        <v>56.6</v>
      </c>
      <c r="J50" s="193">
        <v>69.3</v>
      </c>
      <c r="K50" s="193">
        <v>71.3</v>
      </c>
      <c r="L50" s="193">
        <v>65.066666666666663</v>
      </c>
      <c r="M50" s="193">
        <v>69.3</v>
      </c>
      <c r="N50" s="249">
        <v>69.3</v>
      </c>
      <c r="P50" s="252" t="s">
        <v>787</v>
      </c>
      <c r="Q50" s="244">
        <v>-2.7498891417221762</v>
      </c>
      <c r="R50" s="705">
        <v>1.5640000000000001</v>
      </c>
      <c r="S50" s="680"/>
      <c r="T50" s="680"/>
      <c r="U50" s="680"/>
      <c r="V50" s="680"/>
    </row>
    <row r="51" spans="3:22" ht="20.100000000000001" customHeight="1">
      <c r="C51" s="802" t="s">
        <v>147</v>
      </c>
      <c r="D51" s="690" t="s">
        <v>854</v>
      </c>
      <c r="E51" s="669">
        <v>3.0659999999999998</v>
      </c>
      <c r="F51" s="691">
        <v>2.23E-4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1"/>
      <c r="D52" s="690" t="s">
        <v>855</v>
      </c>
      <c r="E52" s="669">
        <v>2.38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08"/>
      <c r="D53" s="690" t="s">
        <v>856</v>
      </c>
      <c r="E53" s="692">
        <v>2.7229999999999999</v>
      </c>
      <c r="F53" s="693">
        <v>2.23E-4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0" t="s">
        <v>148</v>
      </c>
      <c r="D54" s="686" t="s">
        <v>854</v>
      </c>
      <c r="E54" s="668">
        <v>1.5369999999999999</v>
      </c>
      <c r="F54" s="685">
        <v>2.6879999999999997E-4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0"/>
      <c r="D55" s="686" t="s">
        <v>855</v>
      </c>
      <c r="E55" s="668">
        <v>1.117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1"/>
      <c r="D56" s="686" t="s">
        <v>856</v>
      </c>
      <c r="E56" s="688">
        <v>1.327</v>
      </c>
      <c r="F56" s="689">
        <v>2.6879999999999997E-4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802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1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08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0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0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1"/>
      <c r="D80" s="686"/>
      <c r="E80" s="688"/>
      <c r="F80" s="689"/>
      <c r="H80" s="248" t="s">
        <v>219</v>
      </c>
      <c r="I80" s="304">
        <v>3.101</v>
      </c>
      <c r="J80" s="305">
        <v>8.8359999999999994E-2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802"/>
      <c r="D81" s="690"/>
      <c r="E81" s="692"/>
      <c r="F81" s="693"/>
      <c r="H81" s="170" t="s">
        <v>786</v>
      </c>
      <c r="I81" s="308">
        <v>3.0659999999999998</v>
      </c>
      <c r="J81" s="309">
        <v>8.8139999999999996E-2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1"/>
      <c r="D82" s="690"/>
      <c r="E82" s="692"/>
      <c r="F82" s="693"/>
      <c r="H82" s="248" t="s">
        <v>787</v>
      </c>
      <c r="I82" s="306">
        <v>1.5369999999999999</v>
      </c>
      <c r="J82" s="305">
        <v>6.5759999999999999E-2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08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0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0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1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802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1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08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0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0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1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802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1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08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0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0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1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802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1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08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0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0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1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802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1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808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0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0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1"/>
      <c r="D110" s="686"/>
      <c r="E110" s="688"/>
      <c r="F110" s="689"/>
      <c r="H110" s="230"/>
    </row>
    <row r="111" spans="3:18" ht="20.100000000000001" hidden="1" customHeight="1" outlineLevel="1">
      <c r="C111" s="802"/>
      <c r="D111" s="690"/>
      <c r="E111" s="692"/>
      <c r="F111" s="693"/>
      <c r="H111" s="230"/>
    </row>
    <row r="112" spans="3:18" ht="20.100000000000001" hidden="1" customHeight="1" outlineLevel="1">
      <c r="C112" s="811"/>
      <c r="D112" s="690"/>
      <c r="E112" s="692"/>
      <c r="F112" s="693"/>
      <c r="H112" s="230"/>
    </row>
    <row r="113" spans="3:8" ht="20.100000000000001" hidden="1" customHeight="1" outlineLevel="1">
      <c r="C113" s="808"/>
      <c r="D113" s="690"/>
      <c r="E113" s="692"/>
      <c r="F113" s="693"/>
      <c r="H113" s="230"/>
    </row>
    <row r="114" spans="3:8" ht="20.100000000000001" hidden="1" customHeight="1" outlineLevel="1">
      <c r="C114" s="800"/>
      <c r="D114" s="686"/>
      <c r="E114" s="688"/>
      <c r="F114" s="689"/>
      <c r="H114" s="230"/>
    </row>
    <row r="115" spans="3:8" ht="20.100000000000001" hidden="1" customHeight="1" outlineLevel="1">
      <c r="C115" s="810"/>
      <c r="D115" s="686"/>
      <c r="E115" s="688"/>
      <c r="F115" s="689"/>
      <c r="H115" s="230"/>
    </row>
    <row r="116" spans="3:8" ht="20.100000000000001" hidden="1" customHeight="1" outlineLevel="1">
      <c r="C116" s="801"/>
      <c r="D116" s="686"/>
      <c r="E116" s="688"/>
      <c r="F116" s="689"/>
      <c r="H116" s="230"/>
    </row>
    <row r="117" spans="3:8" ht="20.100000000000001" hidden="1" customHeight="1" outlineLevel="1">
      <c r="C117" s="802"/>
      <c r="D117" s="690"/>
      <c r="E117" s="692"/>
      <c r="F117" s="693"/>
      <c r="H117" s="230"/>
    </row>
    <row r="118" spans="3:8" ht="20.100000000000001" hidden="1" customHeight="1" outlineLevel="1">
      <c r="C118" s="811"/>
      <c r="D118" s="690"/>
      <c r="E118" s="692"/>
      <c r="F118" s="693"/>
      <c r="H118" s="230"/>
    </row>
    <row r="119" spans="3:8" ht="20.100000000000001" hidden="1" customHeight="1" outlineLevel="1">
      <c r="C119" s="808"/>
      <c r="D119" s="690"/>
      <c r="E119" s="692"/>
      <c r="F119" s="693"/>
      <c r="H119" s="230"/>
    </row>
    <row r="120" spans="3:8" ht="20.100000000000001" hidden="1" customHeight="1" outlineLevel="1">
      <c r="C120" s="800"/>
      <c r="D120" s="686"/>
      <c r="E120" s="688"/>
      <c r="F120" s="689"/>
      <c r="H120" s="230"/>
    </row>
    <row r="121" spans="3:8" ht="20.100000000000001" hidden="1" customHeight="1" outlineLevel="1">
      <c r="C121" s="810"/>
      <c r="D121" s="686"/>
      <c r="E121" s="688"/>
      <c r="F121" s="689"/>
      <c r="H121" s="230"/>
    </row>
    <row r="122" spans="3:8" ht="20.100000000000001" hidden="1" customHeight="1" outlineLevel="1">
      <c r="C122" s="801"/>
      <c r="D122" s="686"/>
      <c r="E122" s="688"/>
      <c r="F122" s="689"/>
      <c r="H122" s="230"/>
    </row>
    <row r="123" spans="3:8" ht="20.100000000000001" hidden="1" customHeight="1" outlineLevel="1">
      <c r="C123" s="802"/>
      <c r="D123" s="690"/>
      <c r="E123" s="692"/>
      <c r="F123" s="693"/>
      <c r="H123" s="230"/>
    </row>
    <row r="124" spans="3:8" ht="20.100000000000001" hidden="1" customHeight="1" outlineLevel="1">
      <c r="C124" s="811"/>
      <c r="D124" s="690"/>
      <c r="E124" s="692"/>
      <c r="F124" s="693"/>
      <c r="H124" s="230"/>
    </row>
    <row r="125" spans="3:8" ht="20.100000000000001" hidden="1" customHeight="1" outlineLevel="1">
      <c r="C125" s="808"/>
      <c r="D125" s="690"/>
      <c r="E125" s="692"/>
      <c r="F125" s="693"/>
      <c r="H125" s="230"/>
    </row>
    <row r="126" spans="3:8" ht="20.25" hidden="1" customHeight="1" outlineLevel="1">
      <c r="C126" s="800"/>
      <c r="D126" s="686"/>
      <c r="E126" s="688"/>
      <c r="F126" s="689"/>
      <c r="H126" s="230"/>
    </row>
    <row r="127" spans="3:8" ht="20.100000000000001" hidden="1" customHeight="1" outlineLevel="1">
      <c r="C127" s="810"/>
      <c r="D127" s="686"/>
      <c r="E127" s="688"/>
      <c r="F127" s="689"/>
      <c r="H127" s="230"/>
    </row>
    <row r="128" spans="3:8" ht="20.100000000000001" hidden="1" customHeight="1" outlineLevel="1">
      <c r="C128" s="801"/>
      <c r="D128" s="686"/>
      <c r="E128" s="688"/>
      <c r="F128" s="689"/>
      <c r="H128" s="230"/>
    </row>
    <row r="129" spans="3:12" ht="20.100000000000001" hidden="1" customHeight="1" outlineLevel="1">
      <c r="C129" s="802"/>
      <c r="D129" s="690"/>
      <c r="E129" s="695"/>
      <c r="F129" s="499"/>
      <c r="H129" s="230"/>
    </row>
    <row r="130" spans="3:12" ht="20.100000000000001" hidden="1" customHeight="1" outlineLevel="1">
      <c r="C130" s="811"/>
      <c r="D130" s="690"/>
      <c r="E130" s="695"/>
      <c r="F130" s="493"/>
    </row>
    <row r="131" spans="3:12" ht="20.100000000000001" hidden="1" customHeight="1" outlineLevel="1">
      <c r="C131" s="808"/>
      <c r="D131" s="690"/>
      <c r="E131" s="696"/>
      <c r="F131" s="697"/>
    </row>
    <row r="132" spans="3:12" ht="20.100000000000001" hidden="1" customHeight="1" outlineLevel="1">
      <c r="C132" s="800"/>
      <c r="D132" s="686"/>
      <c r="E132" s="684"/>
      <c r="F132" s="498"/>
    </row>
    <row r="133" spans="3:12" ht="20.100000000000001" hidden="1" customHeight="1" outlineLevel="1">
      <c r="C133" s="810"/>
      <c r="D133" s="686"/>
      <c r="E133" s="684"/>
      <c r="F133" s="482"/>
    </row>
    <row r="134" spans="3:12" ht="20.100000000000001" hidden="1" customHeight="1" outlineLevel="1">
      <c r="C134" s="801"/>
      <c r="D134" s="686"/>
      <c r="E134" s="698"/>
      <c r="F134" s="699"/>
    </row>
    <row r="135" spans="3:12" ht="20.100000000000001" hidden="1" customHeight="1" outlineLevel="1">
      <c r="C135" s="802"/>
      <c r="D135" s="690"/>
      <c r="E135" s="695"/>
      <c r="F135" s="499"/>
    </row>
    <row r="136" spans="3:12" ht="20.100000000000001" hidden="1" customHeight="1" outlineLevel="1">
      <c r="C136" s="811"/>
      <c r="D136" s="690"/>
      <c r="E136" s="695"/>
      <c r="F136" s="493"/>
    </row>
    <row r="137" spans="3:12" ht="20.100000000000001" hidden="1" customHeight="1" outlineLevel="1" thickBot="1">
      <c r="C137" s="803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5" t="s">
        <v>788</v>
      </c>
      <c r="E4" s="504">
        <v>200</v>
      </c>
      <c r="F4" s="504">
        <v>2.7690000000000001</v>
      </c>
      <c r="G4" s="818">
        <v>2.2730000000000001</v>
      </c>
      <c r="H4" s="815">
        <v>0.03</v>
      </c>
      <c r="I4" s="504">
        <v>78</v>
      </c>
      <c r="J4" s="821">
        <v>114.7</v>
      </c>
      <c r="K4" s="504">
        <v>329</v>
      </c>
      <c r="L4" s="821">
        <v>314.7</v>
      </c>
      <c r="M4" s="504">
        <v>1.03E-2</v>
      </c>
      <c r="N4" s="818">
        <v>0.01</v>
      </c>
      <c r="O4" s="812" t="s">
        <v>226</v>
      </c>
    </row>
    <row r="5" spans="1:15" ht="20.100000000000001" customHeight="1">
      <c r="C5" s="503" t="s">
        <v>786</v>
      </c>
      <c r="D5" s="816"/>
      <c r="E5" s="504">
        <v>200</v>
      </c>
      <c r="F5" s="504">
        <v>2.7229999999999999</v>
      </c>
      <c r="G5" s="819"/>
      <c r="H5" s="816"/>
      <c r="I5" s="504">
        <v>78</v>
      </c>
      <c r="J5" s="822"/>
      <c r="K5" s="504">
        <v>306</v>
      </c>
      <c r="L5" s="822"/>
      <c r="M5" s="504">
        <v>9.2999999999999992E-3</v>
      </c>
      <c r="N5" s="819"/>
      <c r="O5" s="813"/>
    </row>
    <row r="6" spans="1:15" ht="20.100000000000001" customHeight="1">
      <c r="A6"/>
      <c r="B6"/>
      <c r="C6" s="503" t="s">
        <v>787</v>
      </c>
      <c r="D6" s="817"/>
      <c r="E6" s="504">
        <v>100</v>
      </c>
      <c r="F6" s="504">
        <v>1.327</v>
      </c>
      <c r="G6" s="820"/>
      <c r="H6" s="817"/>
      <c r="I6" s="504">
        <v>188</v>
      </c>
      <c r="J6" s="823"/>
      <c r="K6" s="504">
        <v>309</v>
      </c>
      <c r="L6" s="823"/>
      <c r="M6" s="504">
        <v>1.0500000000000001E-2</v>
      </c>
      <c r="N6" s="820"/>
      <c r="O6" s="814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821</v>
      </c>
      <c r="F45" s="223" t="s">
        <v>822</v>
      </c>
      <c r="G45" s="224" t="s">
        <v>823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821</v>
      </c>
      <c r="N45" s="223" t="s">
        <v>824</v>
      </c>
      <c r="O45" s="224" t="s">
        <v>825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826</v>
      </c>
      <c r="F46" s="220" t="s">
        <v>827</v>
      </c>
      <c r="G46" s="221" t="s">
        <v>823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826</v>
      </c>
      <c r="N46" s="220" t="s">
        <v>828</v>
      </c>
      <c r="O46" s="221" t="s">
        <v>829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830</v>
      </c>
      <c r="F47" s="223" t="s">
        <v>831</v>
      </c>
      <c r="G47" s="224" t="s">
        <v>823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830</v>
      </c>
      <c r="N47" s="223" t="s">
        <v>832</v>
      </c>
      <c r="O47" s="224" t="s">
        <v>833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834</v>
      </c>
      <c r="E79" s="105" t="s">
        <v>834</v>
      </c>
      <c r="F79" s="105" t="s">
        <v>835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836</v>
      </c>
      <c r="E84" s="105" t="s">
        <v>836</v>
      </c>
      <c r="F84" s="105" t="s">
        <v>837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848</v>
      </c>
      <c r="E89" s="105" t="s">
        <v>848</v>
      </c>
      <c r="F89" s="105" t="s">
        <v>848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851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839</v>
      </c>
      <c r="E94" s="105" t="s">
        <v>840</v>
      </c>
      <c r="F94" s="105" t="s">
        <v>841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842</v>
      </c>
      <c r="E99" s="105" t="s">
        <v>843</v>
      </c>
      <c r="F99" s="105" t="s">
        <v>844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849</v>
      </c>
      <c r="E104" s="105" t="s">
        <v>849</v>
      </c>
      <c r="F104" s="105" t="s">
        <v>849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838</v>
      </c>
      <c r="E109" s="105" t="s">
        <v>838</v>
      </c>
      <c r="F109" s="105" t="s">
        <v>838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846</v>
      </c>
      <c r="E114" s="105" t="s">
        <v>847</v>
      </c>
      <c r="F114" s="105" t="s">
        <v>847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845</v>
      </c>
      <c r="E119" s="105" t="s">
        <v>845</v>
      </c>
      <c r="F119" s="105" t="s">
        <v>845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I23" sqref="I23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800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34" t="s">
        <v>0</v>
      </c>
      <c r="B2" s="824" t="s">
        <v>39</v>
      </c>
      <c r="C2" s="824" t="s">
        <v>6</v>
      </c>
      <c r="D2" s="824" t="s">
        <v>38</v>
      </c>
      <c r="E2" s="824" t="s">
        <v>194</v>
      </c>
      <c r="F2" s="824" t="s">
        <v>193</v>
      </c>
      <c r="G2" s="828" t="s">
        <v>1</v>
      </c>
      <c r="H2" s="828" t="s">
        <v>2</v>
      </c>
      <c r="I2" s="828" t="s">
        <v>162</v>
      </c>
      <c r="J2" s="832" t="s">
        <v>239</v>
      </c>
      <c r="K2" s="828" t="s">
        <v>238</v>
      </c>
      <c r="L2" s="828" t="s">
        <v>3</v>
      </c>
      <c r="M2" s="828" t="s">
        <v>4</v>
      </c>
      <c r="N2" s="828" t="s">
        <v>5</v>
      </c>
      <c r="O2" s="828" t="s">
        <v>237</v>
      </c>
      <c r="P2" s="830" t="s">
        <v>236</v>
      </c>
      <c r="Q2" s="824" t="s">
        <v>149</v>
      </c>
      <c r="R2" s="826" t="s">
        <v>87</v>
      </c>
    </row>
    <row r="3" spans="1:18" s="46" customFormat="1" ht="27" customHeight="1">
      <c r="A3" s="835"/>
      <c r="B3" s="825"/>
      <c r="C3" s="825"/>
      <c r="D3" s="825"/>
      <c r="E3" s="825"/>
      <c r="F3" s="825"/>
      <c r="G3" s="829"/>
      <c r="H3" s="829"/>
      <c r="I3" s="829"/>
      <c r="J3" s="833"/>
      <c r="K3" s="829"/>
      <c r="L3" s="829"/>
      <c r="M3" s="829"/>
      <c r="N3" s="829"/>
      <c r="O3" s="829"/>
      <c r="P3" s="831"/>
      <c r="Q3" s="825"/>
      <c r="R3" s="827"/>
    </row>
    <row r="4" spans="1:18" ht="23.1" customHeight="1">
      <c r="A4" s="756" t="s">
        <v>798</v>
      </c>
      <c r="B4" s="757" t="str">
        <f>Recharge!$B$32</f>
        <v xml:space="preserve">산수개발(주) </v>
      </c>
      <c r="C4" s="758"/>
      <c r="D4" s="759" t="s">
        <v>799</v>
      </c>
      <c r="E4" s="759" t="str">
        <f>Recharge!$I$24</f>
        <v>금강서해/금강서해</v>
      </c>
      <c r="F4" s="759" t="str">
        <f>All!$B$2</f>
        <v>보령기상청</v>
      </c>
      <c r="G4" s="759">
        <v>200</v>
      </c>
      <c r="H4" s="759">
        <v>90</v>
      </c>
      <c r="I4" s="759">
        <v>200</v>
      </c>
      <c r="J4" s="759">
        <v>200</v>
      </c>
      <c r="K4" s="759">
        <v>240</v>
      </c>
      <c r="L4" s="759">
        <v>5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862</v>
      </c>
      <c r="B5" s="757" t="str">
        <f>Recharge!$B$32</f>
        <v xml:space="preserve">산수개발(주) </v>
      </c>
      <c r="C5" s="758"/>
      <c r="D5" s="759" t="s">
        <v>866</v>
      </c>
      <c r="E5" s="759" t="str">
        <f>Recharge!$I$24</f>
        <v>금강서해/금강서해</v>
      </c>
      <c r="F5" s="759" t="str">
        <f>All!$B$2</f>
        <v>보령기상청</v>
      </c>
      <c r="G5" s="759">
        <v>200</v>
      </c>
      <c r="H5" s="759">
        <v>90</v>
      </c>
      <c r="I5" s="759">
        <v>200</v>
      </c>
      <c r="J5" s="759">
        <v>200</v>
      </c>
      <c r="K5" s="759">
        <v>260</v>
      </c>
      <c r="L5" s="759">
        <v>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863</v>
      </c>
      <c r="B6" s="765" t="str">
        <f>Recharge!$B$32</f>
        <v xml:space="preserve">산수개발(주) </v>
      </c>
      <c r="C6" s="766"/>
      <c r="D6" s="767" t="s">
        <v>867</v>
      </c>
      <c r="E6" s="767" t="str">
        <f>Recharge!$I$24</f>
        <v>금강서해/금강서해</v>
      </c>
      <c r="F6" s="767" t="str">
        <f>All!$B$2</f>
        <v>보령기상청</v>
      </c>
      <c r="G6" s="767">
        <v>200</v>
      </c>
      <c r="H6" s="767">
        <v>200</v>
      </c>
      <c r="I6" s="767">
        <v>100</v>
      </c>
      <c r="J6" s="767">
        <v>100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500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8.8359999999999994E-2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3.101</v>
      </c>
      <c r="F5" s="655">
        <f>$E$5/$C$14</f>
        <v>3.9756410256410253E-2</v>
      </c>
      <c r="G5" s="656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보령시 주교면 주교리 903-15번지</v>
      </c>
      <c r="D6" s="651" t="s">
        <v>56</v>
      </c>
      <c r="E6" s="655">
        <v>2.4369999999999998</v>
      </c>
      <c r="F6" s="655">
        <f>$E$6/$C$14</f>
        <v>3.1243589743589741E-2</v>
      </c>
      <c r="G6" s="657">
        <v>41.24</v>
      </c>
      <c r="H6" s="448">
        <v>1.994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90</v>
      </c>
      <c r="D7" s="658" t="s">
        <v>58</v>
      </c>
      <c r="E7" s="659">
        <f>ROUND((E5+E6)/2,4)</f>
        <v>2.7690000000000001</v>
      </c>
      <c r="F7" s="660">
        <f>$E$7/$C$14</f>
        <v>3.5500000000000004E-2</v>
      </c>
      <c r="G7" s="661">
        <f>G5</f>
        <v>2.2220000000000001E-4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41" t="s">
        <v>69</v>
      </c>
      <c r="C17" s="75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53.54</v>
      </c>
      <c r="D21" s="5"/>
      <c r="E21" s="117">
        <f>Well!$I$8</f>
        <v>500</v>
      </c>
      <c r="F21" s="118">
        <f>Well!O4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46.11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49</v>
      </c>
      <c r="C26" s="718" t="s">
        <v>94</v>
      </c>
      <c r="D26" s="729">
        <f>C20</f>
        <v>7.43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1.0325301204819277</v>
      </c>
      <c r="I26" s="718" t="s">
        <v>173</v>
      </c>
      <c r="J26" s="732">
        <f>((E7/C14)/86400)</f>
        <v>4.1087962962962967E-7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보령시 주교면 주교리 903-19번지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860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8.8139999999999996E-2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3.0659999999999998</v>
      </c>
      <c r="F5" s="655">
        <f>$E$5/$C$14</f>
        <v>3.9307692307692307E-2</v>
      </c>
      <c r="G5" s="656">
        <v>2.23E-4</v>
      </c>
      <c r="H5" s="447">
        <v>-2.9895274628632769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보령시 주교면 주교리 903-19번지</v>
      </c>
      <c r="D6" s="651" t="s">
        <v>56</v>
      </c>
      <c r="E6" s="655">
        <v>2.38</v>
      </c>
      <c r="F6" s="655">
        <f>$E$6/$C$14</f>
        <v>3.0512820512820511E-2</v>
      </c>
      <c r="G6" s="657">
        <v>40.47</v>
      </c>
      <c r="H6" s="448">
        <v>1.988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90</v>
      </c>
      <c r="D7" s="658" t="s">
        <v>58</v>
      </c>
      <c r="E7" s="659">
        <f>ROUND((E5+E6)/2,4)</f>
        <v>2.7229999999999999</v>
      </c>
      <c r="F7" s="660">
        <f>$E$7/$C$14</f>
        <v>3.4910256410256406E-2</v>
      </c>
      <c r="G7" s="661">
        <f>G5</f>
        <v>2.23E-4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173.4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141.6</v>
      </c>
      <c r="F10" s="454">
        <v>173.4</v>
      </c>
      <c r="G10" s="455">
        <v>112.2</v>
      </c>
      <c r="H10" s="153">
        <f>MIN(E10,F10,G10)</f>
        <v>112.2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142.4</v>
      </c>
      <c r="F11" s="121">
        <f>ROUND((E10+F10)/2,1)</f>
        <v>157.5</v>
      </c>
      <c r="H11" s="152">
        <f>ROUND(AVERAGE(E10:G10),1)</f>
        <v>142.4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90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200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9.77</v>
      </c>
      <c r="L16" s="131"/>
    </row>
    <row r="17" spans="2:12" ht="20.100000000000001" customHeight="1" thickBot="1">
      <c r="B17" s="641" t="s">
        <v>69</v>
      </c>
      <c r="C17" s="751">
        <f>Well!L5</f>
        <v>5</v>
      </c>
      <c r="E17" s="116">
        <f>Well!P5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7.77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9.3277310924369736E-3</v>
      </c>
      <c r="L18" s="133">
        <f>K18*100</f>
        <v>0.93277310924369738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8.23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54.82</v>
      </c>
      <c r="D21" s="5"/>
      <c r="E21" s="117">
        <f>Well!$I$8</f>
        <v>500</v>
      </c>
      <c r="F21" s="118">
        <f>Well!O5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46.59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864</v>
      </c>
      <c r="C26" s="718" t="s">
        <v>94</v>
      </c>
      <c r="D26" s="729">
        <f>C20</f>
        <v>8.23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0.93277310924369738</v>
      </c>
      <c r="I26" s="718" t="s">
        <v>173</v>
      </c>
      <c r="J26" s="732">
        <f>((E7/C14)/86400)</f>
        <v>4.0405389363722692E-7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30" sqref="I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보령시 주교면 주교리 903-9번지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861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6.5759999999999999E-2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1.5369999999999999</v>
      </c>
      <c r="F5" s="655">
        <f>$E$5/$C$14</f>
        <v>8.1755319148936172E-3</v>
      </c>
      <c r="G5" s="656">
        <v>2.6879999999999997E-4</v>
      </c>
      <c r="H5" s="447">
        <v>-2.7498891417221762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보령시 주교면 주교리 903-9번지</v>
      </c>
      <c r="D6" s="651" t="s">
        <v>56</v>
      </c>
      <c r="E6" s="655">
        <v>1.117</v>
      </c>
      <c r="F6" s="655">
        <f>$E$6/$C$14</f>
        <v>5.9414893617021278E-3</v>
      </c>
      <c r="G6" s="657">
        <v>57.6</v>
      </c>
      <c r="H6" s="448">
        <v>1.5640000000000001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200</v>
      </c>
      <c r="D7" s="658" t="s">
        <v>58</v>
      </c>
      <c r="E7" s="659">
        <f>ROUND((E5+E6)/2,4)</f>
        <v>1.327</v>
      </c>
      <c r="F7" s="660">
        <f>$E$7/$C$14</f>
        <v>7.0585106382978725E-3</v>
      </c>
      <c r="G7" s="661">
        <f>G5</f>
        <v>2.6879999999999997E-4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71.3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56.6</v>
      </c>
      <c r="F10" s="454">
        <v>69.3</v>
      </c>
      <c r="G10" s="455">
        <v>71.3</v>
      </c>
      <c r="H10" s="153">
        <f>MIN(E10,F10,G10)</f>
        <v>56.6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65.7</v>
      </c>
      <c r="F11" s="121">
        <f>ROUND((E10+F10)/2,1)</f>
        <v>63</v>
      </c>
      <c r="H11" s="152">
        <f>ROUND(AVERAGE(E10:G10),1)</f>
        <v>65.7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1224.5999999999999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100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7.0500000000000007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1.0491071428571429E-2</v>
      </c>
      <c r="L18" s="133">
        <f>K18*100</f>
        <v>1.049107142857143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42" t="s">
        <v>73</v>
      </c>
      <c r="C20" s="644">
        <v>7.95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52.37</v>
      </c>
      <c r="D21" s="5"/>
      <c r="E21" s="117">
        <f>Well!$I$8</f>
        <v>500</v>
      </c>
      <c r="F21" s="118">
        <f>Well!O6</f>
        <v>200.2</v>
      </c>
      <c r="G21" s="70">
        <f>G19-E21-F21</f>
        <v>521.83735029357081</v>
      </c>
    </row>
    <row r="22" spans="2:12" ht="20.100000000000001" customHeight="1" thickBot="1">
      <c r="B22" s="642" t="s">
        <v>154</v>
      </c>
      <c r="C22" s="752">
        <f>C21-C20</f>
        <v>44.419999999999995</v>
      </c>
      <c r="E22" s="298">
        <f>E21+F21</f>
        <v>700.2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6" t="s">
        <v>865</v>
      </c>
      <c r="C26" s="718" t="s">
        <v>94</v>
      </c>
      <c r="D26" s="729">
        <f>C20</f>
        <v>7.95</v>
      </c>
      <c r="E26" s="730">
        <f>Recharge!C30</f>
        <v>18.981299999999997</v>
      </c>
      <c r="F26" s="719" t="s">
        <v>173</v>
      </c>
      <c r="G26" s="729" t="s">
        <v>341</v>
      </c>
      <c r="H26" s="731">
        <f>L18</f>
        <v>1.049107142857143</v>
      </c>
      <c r="I26" s="718" t="s">
        <v>173</v>
      </c>
      <c r="J26" s="732">
        <f>((E7/C14)/86400)</f>
        <v>8.1695724980299444E-8</v>
      </c>
      <c r="K26" s="720" t="s">
        <v>628</v>
      </c>
    </row>
    <row r="27" spans="2:12" ht="25.5" customHeight="1">
      <c r="B27" s="836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6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6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6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37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2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3" t="s">
        <v>36</v>
      </c>
      <c r="C24" s="844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3" t="s">
        <v>37</v>
      </c>
      <c r="C25" s="844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5" t="s">
        <v>81</v>
      </c>
      <c r="E29" s="846"/>
      <c r="F29" s="847"/>
      <c r="H29" s="845" t="s">
        <v>147</v>
      </c>
      <c r="I29" s="846"/>
      <c r="J29" s="847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0" t="s">
        <v>80</v>
      </c>
      <c r="C12" s="841"/>
      <c r="D12" s="841" t="s">
        <v>81</v>
      </c>
      <c r="E12" s="841"/>
      <c r="F12" s="841"/>
      <c r="G12" s="841" t="s">
        <v>147</v>
      </c>
      <c r="H12" s="841"/>
      <c r="I12" s="841"/>
      <c r="J12" s="841" t="s">
        <v>148</v>
      </c>
      <c r="K12" s="841"/>
      <c r="L12" s="842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3" t="s">
        <v>36</v>
      </c>
      <c r="C24" s="844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3" t="s">
        <v>37</v>
      </c>
      <c r="C25" s="844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38" t="s">
        <v>86</v>
      </c>
      <c r="C26" s="839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5" t="s">
        <v>81</v>
      </c>
      <c r="E29" s="846"/>
      <c r="F29" s="847"/>
      <c r="H29" s="845" t="s">
        <v>147</v>
      </c>
      <c r="I29" s="846"/>
      <c r="J29" s="847"/>
      <c r="L29" s="845" t="s">
        <v>148</v>
      </c>
      <c r="M29" s="846"/>
      <c r="N29" s="847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81</v>
      </c>
      <c r="E12" s="841"/>
      <c r="F12" s="842"/>
      <c r="H12" s="840" t="s">
        <v>81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147</v>
      </c>
      <c r="E12" s="841"/>
      <c r="F12" s="842"/>
      <c r="H12" s="840" t="s">
        <v>147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0" t="s">
        <v>80</v>
      </c>
      <c r="C12" s="841"/>
      <c r="D12" s="841" t="s">
        <v>148</v>
      </c>
      <c r="E12" s="841"/>
      <c r="F12" s="842"/>
      <c r="H12" s="840" t="s">
        <v>148</v>
      </c>
      <c r="I12" s="841"/>
      <c r="J12" s="842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3" t="s">
        <v>36</v>
      </c>
      <c r="C24" s="844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3" t="s">
        <v>37</v>
      </c>
      <c r="C25" s="844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38" t="s">
        <v>86</v>
      </c>
      <c r="C26" s="839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2025-03-05T02:57:47Z</dcterms:modified>
</cp:coreProperties>
</file>