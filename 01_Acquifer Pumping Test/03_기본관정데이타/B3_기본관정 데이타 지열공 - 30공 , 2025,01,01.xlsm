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984E3106-B532-4030-82CD-153B1E64FD99}" xr6:coauthVersionLast="47" xr6:coauthVersionMax="47" xr10:uidLastSave="{00000000-0000-0000-0000-000000000000}"/>
  <bookViews>
    <workbookView xWindow="3120" yWindow="540" windowWidth="32775" windowHeight="1945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E2" i="55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<sst xmlns="http://schemas.openxmlformats.org/spreadsheetml/2006/main" count="1237" uniqueCount="836">
  <si>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</si>
  <si>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</si>
  <si>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</si>
  <si>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</si>
  <si>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</si>
  <si>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</si>
  <si>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</si>
  <si>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</si>
  <si>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</si>
  <si>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</si>
  <si>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</si>
  <si>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</si>
  <si>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</si>
  <si>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</si>
  <si>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</si>
  <si>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</si>
  <si>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</si>
  <si>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</si>
  <si>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</si>
  <si>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</si>
  <si>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</si>
  <si>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</si>
  <si>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</si>
  <si>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</si>
  <si>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</si>
  <si>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</si>
  <si>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</si>
  <si>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</si>
  <si>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</si>
  <si>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</si>
  <si>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</si>
  <si>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</si>
  <si>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</si>
  <si>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</si>
  <si>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</si>
  <si>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</si>
  <si>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</si>
  <si>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</si>
  <si>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</si>
  <si>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</si>
  <si>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</si>
  <si>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</si>
  <si>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</si>
  <si>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</si>
  <si>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</si>
  <si>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</si>
  <si>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</si>
  <si>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</si>
  <si>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</si>
  <si>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</si>
  <si>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</si>
  <si>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</si>
  <si>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</si>
  <si>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</si>
  <si>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</si>
  <si>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</si>
  <si>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</si>
  <si>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</si>
  <si>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</si>
  <si>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</si>
  <si>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</si>
  <si>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</si>
  <si>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</si>
  <si>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</si>
  <si>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</si>
  <si>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</si>
  <si>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</si>
  <si>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</si>
  <si>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</si>
  <si>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</si>
  <si>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</si>
  <si>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</si>
  <si>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</si>
  <si>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</si>
  <si>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</si>
  <si>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</si>
  <si>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</si>
  <si>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</si>
  <si>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</si>
  <si>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</si>
  <si>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</si>
  <si>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</si>
  <si>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</si>
  <si>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</si>
  <si>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</si>
  <si>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</si>
  <si>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</si>
  <si>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</si>
  <si>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</si>
  <si>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</si>
  <si>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</si>
  <si>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</si>
  <si>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</si>
  <si>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</si>
  <si>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</si>
  <si>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</si>
  <si>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</si>
  <si>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</si>
  <si>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</si>
  <si>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</si>
  <si>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</si>
  <si>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</si>
  <si>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</si>
  <si>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</si>
  <si>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</si>
  <si>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</si>
  <si>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</si>
  <si>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</si>
  <si>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</si>
  <si>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</si>
  <si>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</si>
  <si>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</si>
  <si>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</si>
  <si>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</si>
  <si>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</si>
  <si>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</si>
  <si>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</si>
  <si>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</si>
  <si>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</si>
  <si>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</si>
  <si>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</si>
  <si>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</si>
  <si>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</si>
  <si>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</si>
  <si>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</si>
  <si>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</si>
  <si>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</si>
  <si>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</si>
  <si>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</si>
  <si>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</si>
  <si>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</si>
  <si>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</si>
  <si>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</si>
  <si>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</si>
  <si>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</si>
  <si>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</si>
  <si>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</si>
  <si>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</si>
  <si>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</si>
  <si>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</si>
  <si>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</si>
  <si>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</si>
  <si>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</si>
  <si>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</si>
  <si>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</si>
  <si>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</si>
  <si>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</si>
  <si>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</si>
  <si>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</si>
  <si>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</si>
  <si>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</si>
  <si>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</si>
  <si>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</si>
  <si>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</si>
  <si>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</si>
  <si>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</si>
  <si>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</si>
  <si>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</si>
  <si>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</si>
  <si>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</si>
  <si>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</si>
  <si>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</si>
  <si>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</si>
  <si>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</si>
  <si>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</si>
  <si>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</si>
  <si>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</si>
  <si>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</si>
  <si>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</si>
  <si>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</si>
  <si>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</si>
  <si>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</si>
  <si>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</si>
  <si>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</si>
  <si>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</si>
  <si>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</si>
  <si>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</si>
  <si>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</si>
  <si>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</si>
  <si>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</si>
  <si>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</si>
  <si>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</si>
  <si>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</si>
  <si>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</si>
  <si>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</si>
  <si>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</si>
  <si>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</si>
  <si>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</si>
  <si>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</si>
  <si>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</si>
  <si>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</si>
  <si>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</si>
  <si>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</si>
  <si>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</si>
  <si>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</si>
  <si>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</si>
  <si>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</si>
  <si>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</si>
  <si>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</si>
  <si>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</si>
  <si>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</si>
  <si>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</si>
  <si>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</si>
  <si>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</si>
  <si>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</si>
  <si>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</si>
  <si>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</si>
  <si>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</si>
  <si>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</si>
  <si>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</si>
  <si>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</si>
  <si>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</si>
  <si>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</si>
  <si>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</si>
  <si>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</si>
  <si>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</si>
  <si>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</si>
  <si>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</si>
  <si>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</si>
  <si>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</si>
  <si>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</si>
  <si>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</si>
  <si>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</si>
  <si>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</si>
  <si>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</si>
  <si>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</si>
  <si>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</si>
  <si>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</si>
  <si>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</si>
  <si>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</si>
  <si>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</si>
  <si>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</si>
  <si>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</si>
  <si>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</si>
  <si>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</si>
  <si>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</si>
  <si>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</si>
  <si>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</si>
  <si>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</si>
  <si>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</si>
  <si>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</si>
  <si>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</si>
  <si>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</si>
  <si>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</si>
  <si>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</si>
  <si>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</si>
  <si>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</si>
  <si>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</si>
  <si>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</si>
  <si>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</si>
  <si>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</si>
  <si>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</si>
  <si>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</si>
  <si>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</si>
  <si>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</si>
  <si>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</si>
  <si>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</si>
  <si>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</si>
  <si>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</si>
  <si>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</si>
  <si>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</si>
  <si>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</si>
  <si>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</si>
  <si>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</si>
  <si>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</si>
  <si>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</si>
  <si>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</si>
  <si>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</si>
  <si>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</si>
  <si>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</si>
  <si>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</si>
  <si>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</si>
  <si>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</si>
  <si>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</si>
  <si>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</si>
  <si>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</si>
  <si>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</si>
  <si>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</si>
  <si>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</si>
  <si>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</si>
  <si>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</si>
  <si>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</si>
  <si>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</si>
  <si>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</si>
  <si>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</si>
  <si>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</si>
  <si>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</si>
  <si>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</si>
  <si>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</si>
  <si>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</si>
  <si>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</si>
  <si>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</si>
  <si>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</si>
  <si>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</si>
  <si>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</si>
  <si>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</si>
  <si>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</si>
  <si>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</si>
  <si>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</si>
  <si>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</si>
  <si>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</si>
  <si>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</si>
  <si>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</si>
  <si>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</si>
  <si>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</si>
  <si>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</si>
  <si>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</si>
  <si>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</si>
  <si>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</si>
  <si>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</si>
  <si>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</si>
  <si>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</si>
  <si>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</si>
  <si>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</si>
  <si>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</si>
  <si>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</si>
  <si>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</si>
  <si>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</si>
  <si>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</si>
  <si>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</si>
  <si>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</si>
  <si>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</si>
  <si>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</si>
  <si>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</si>
  <si>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</si>
  <si>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</si>
  <si>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</si>
  <si>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</si>
  <si>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</si>
  <si>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</si>
  <si>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</si>
  <si>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</si>
  <si>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</si>
  <si>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</si>
  <si>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</si>
  <si>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</si>
  <si>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</si>
  <si>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</si>
  <si>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</si>
  <si>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</si>
  <si>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</si>
  <si>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</si>
  <si>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</si>
  <si>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</si>
  <si>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</si>
  <si>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</si>
  <si>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</si>
  <si>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</si>
  <si>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</si>
  <si>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</si>
  <si>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</si>
  <si>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</si>
  <si>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</si>
  <si>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</si>
  <si>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</si>
  <si>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</si>
  <si>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</si>
  <si>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</si>
  <si>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</si>
  <si>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</si>
  <si>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</si>
  <si>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</si>
  <si>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</si>
  <si>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</si>
  <si>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</si>
  <si>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</si>
  <si>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</si>
  <si>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</si>
  <si>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</si>
  <si>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</si>
  <si>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</si>
  <si>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</si>
  <si>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</si>
  <si>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</si>
  <si>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</si>
  <si>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</si>
  <si>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</si>
  <si>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</si>
  <si>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</si>
  <si>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</si>
  <si>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</si>
  <si>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</si>
  <si>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</si>
  <si>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</si>
  <si>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</si>
  <si>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</si>
  <si>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</si>
  <si>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</si>
  <si>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</si>
  <si>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</si>
  <si>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</si>
  <si>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</si>
  <si>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</si>
  <si>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</si>
  <si>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</si>
  <si>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</si>
  <si>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</si>
  <si>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</si>
  <si>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</si>
  <si>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</si>
  <si>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</si>
  <si>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</si>
  <si>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</si>
  <si>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</si>
  <si>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</si>
  <si>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</si>
  <si>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</si>
  <si>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</si>
  <si>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</si>
  <si>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</si>
  <si>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</si>
  <si>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</si>
  <si>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</si>
  <si>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</si>
  <si>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</si>
  <si>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</si>
  <si>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</si>
  <si>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</si>
  <si>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</si>
  <si>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</si>
  <si>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</si>
  <si>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</si>
  <si>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</si>
  <si>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</si>
  <si>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</si>
  <si>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</si>
  <si>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</si>
  <si>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</si>
  <si>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</si>
  <si>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</si>
  <si>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</si>
  <si>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</si>
  <si>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</si>
  <si>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</si>
  <si>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</si>
  <si>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</si>
  <si>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</si>
  <si>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</si>
  <si>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</si>
  <si>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</si>
  <si>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</si>
  <si>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</si>
  <si>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</si>
  <si>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</si>
  <si>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</si>
  <si>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</si>
  <si>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</si>
  <si>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</si>
  <si>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</si>
  <si>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</si>
  <si>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</si>
  <si>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</si>
  <si>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</si>
  <si>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</si>
  <si>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</si>
  <si>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</si>
  <si>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</si>
  <si>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</si>
  <si>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</si>
  <si>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</si>
  <si>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</si>
  <si>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</si>
  <si>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</si>
  <si>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</si>
  <si>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</si>
  <si>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</si>
  <si>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</si>
  <si>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</si>
  <si>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</si>
  <si>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</si>
  <si>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</si>
  <si>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</si>
  <si>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</si>
  <si>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</si>
  <si>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</si>
  <si>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</si>
  <si>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</si>
  <si>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</si>
  <si>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</si>
  <si>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</si>
  <si>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</si>
  <si>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</si>
  <si>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</si>
  <si>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</si>
  <si>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</si>
  <si>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</si>
  <si>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</si>
  <si>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</si>
  <si>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</si>
  <si>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</si>
  <si>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</si>
  <si>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</si>
  <si>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</si>
  <si>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</si>
  <si>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</si>
  <si>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</si>
  <si>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</si>
  <si>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</si>
  <si>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</si>
  <si>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</si>
  <si>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</si>
  <si>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</si>
  <si>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</si>
  <si>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</si>
  <si>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</si>
  <si>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</si>
  <si>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</si>
  <si>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</si>
  <si>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</si>
  <si>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</si>
  <si>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</si>
  <si>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</si>
  <si>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</si>
  <si>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</si>
  <si>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</si>
  <si>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</si>
  <si>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</si>
  <si>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</si>
  <si>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</si>
  <si>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</si>
  <si>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</si>
  <si>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</si>
  <si>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</si>
  <si>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</si>
  <si>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</si>
  <si>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</si>
  <si>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</si>
  <si>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</si>
  <si>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</si>
  <si>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</si>
  <si>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</si>
  <si>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</si>
  <si>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</si>
  <si>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</si>
  <si>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</si>
  <si>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</si>
  <si>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</si>
  <si>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</si>
  <si>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</si>
  <si>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</si>
  <si>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</si>
  <si>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</si>
  <si>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</si>
  <si>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</si>
  <si>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</si>
  <si>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</si>
  <si>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</si>
  <si>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</si>
  <si>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</si>
  <si>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</si>
  <si>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</si>
  <si>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</si>
  <si>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</si>
  <si>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</si>
  <si>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</si>
  <si>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</si>
  <si>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</si>
  <si>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</si>
  <si>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</si>
  <si>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</si>
  <si>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</si>
  <si>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</si>
  <si>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</si>
  <si>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</si>
  <si>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</si>
  <si>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</si>
  <si>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</si>
  <si>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</si>
  <si>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</si>
  <si>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</si>
  <si>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</si>
  <si>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</si>
  <si>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</si>
  <si>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</si>
  <si>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</si>
  <si>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</si>
  <si>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</si>
  <si>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</si>
  <si>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</si>
  <si>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</si>
  <si>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</si>
  <si>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</si>
  <si>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</si>
  <si>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</si>
  <si>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</si>
  <si>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</si>
  <si>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</si>
  <si>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</si>
  <si>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</si>
  <si>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</si>
  <si>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</si>
  <si>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</si>
  <si>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</si>
  <si>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</si>
  <si>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</si>
  <si>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</si>
  <si>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</si>
  <si>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</si>
  <si>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</si>
  <si>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</si>
  <si>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</si>
  <si>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</si>
  <si>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</si>
  <si>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</si>
  <si>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</si>
  <si>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</si>
  <si>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</si>
  <si>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</si>
  <si>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</si>
  <si>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</si>
  <si>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</si>
  <si>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</si>
  <si>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</si>
  <si>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</si>
  <si>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</si>
  <si>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</si>
  <si>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</si>
  <si>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</si>
  <si>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</si>
  <si>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</si>
  <si>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</si>
  <si>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</si>
  <si>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</si>
  <si>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</si>
  <si>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</si>
  <si>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</si>
  <si>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</si>
  <si>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</si>
  <si>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</si>
  <si>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</si>
  <si>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</si>
  <si>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</si>
  <si>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</si>
  <si>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</si>
  <si>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</si>
  <si>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</si>
  <si>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</si>
  <si>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</si>
  <si>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</si>
  <si>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</si>
  <si>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</si>
  <si>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</si>
  <si>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</si>
  <si>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</si>
  <si>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</si>
  <si>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</si>
  <si>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</si>
  <si>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</si>
  <si>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</si>
  <si>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</si>
  <si>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</si>
  <si>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</si>
  <si>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</si>
  <si>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</si>
  <si>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</si>
  <si>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</si>
  <si>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</si>
  <si>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</si>
  <si>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</si>
  <si>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</si>
  <si>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</si>
  <si>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</si>
  <si>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</si>
  <si>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</si>
  <si>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</si>
  <si>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</si>
  <si>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</si>
  <si>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</si>
  <si>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</si>
  <si>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</si>
  <si>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</si>
  <si>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</si>
  <si>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</si>
  <si>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</si>
  <si>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</si>
  <si>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</si>
  <si>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</si>
  <si>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</si>
  <si>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</si>
  <si>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</si>
  <si>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</si>
  <si>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</si>
  <si>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</si>
  <si>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</si>
  <si>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</si>
  <si>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</si>
  <si>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</si>
  <si>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</si>
  <si>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</si>
  <si>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</si>
  <si>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</si>
  <si>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</si>
  <si>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</si>
  <si>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</si>
  <si>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</si>
  <si>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</si>
  <si>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</si>
  <si>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</si>
  <si>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</si>
  <si>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</si>
  <si>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</si>
  <si>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</si>
  <si>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</si>
  <si>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</si>
  <si>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</si>
  <si>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</si>
  <si>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</si>
  <si>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</si>
  <si>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</si>
  <si>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</si>
  <si>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</si>
  <si>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</si>
  <si>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</si>
  <si>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</si>
  <si>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</si>
  <si>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</si>
  <si>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</si>
  <si>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</si>
  <si>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</si>
  <si>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</si>
  <si>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</si>
  <si>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</si>
  <si>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</si>
  <si>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</si>
  <si>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</si>
  <si>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</si>
  <si>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</si>
  <si>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</si>
  <si>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</si>
  <si>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</si>
  <si>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</si>
  <si>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</si>
  <si>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</si>
  <si>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</si>
  <si>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</si>
  <si>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</si>
  <si>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</si>
  <si>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</si>
  <si>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</si>
  <si>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</si>
  <si>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</si>
  <si>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</si>
  <si>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</si>
  <si>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</si>
  <si>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</si>
  <si>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</si>
  <si>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</si>
  <si>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</si>
  <si>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</si>
  <si>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</si>
  <si>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</si>
  <si>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</si>
  <si>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</si>
  <si>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</si>
  <si>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</si>
  <si>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</si>
  <si>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</si>
  <si>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</si>
  <si>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</si>
  <si>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</si>
  <si>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</si>
  <si>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</si>
  <si>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</si>
  <si>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</si>
  <si>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</si>
  <si>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</si>
  <si>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</si>
  <si>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</si>
  <si>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</si>
  <si>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</si>
  <si>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</si>
  <si>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</si>
  <si>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</si>
  <si>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</si>
  <si>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</si>
  <si>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</si>
  <si>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</si>
  <si>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</si>
  <si>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</si>
  <si>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</si>
  <si>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</si>
  <si>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</si>
  <si>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</si>
  <si>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</si>
  <si>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</si>
  <si>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</si>
  <si>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</si>
  <si>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</si>
  <si>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</si>
  <si>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</si>
  <si>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</si>
  <si>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</si>
  <si>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</si>
  <si>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</si>
  <si>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</si>
  <si>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</si>
  <si>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</si>
  <si>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</si>
  <si>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</si>
  <si>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</si>
  <si>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</si>
  <si>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</si>
  <si>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</si>
  <si>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</si>
  <si>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</si>
  <si>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</si>
  <si>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</si>
  <si>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</si>
  <si>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W1</t>
  </si>
  <si>
    <t>보령시 주교면 관창리 1224-9</t>
  </si>
  <si>
    <t>2024년 , 주식회사 KDF 지하수 영향조사</t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</si>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</sst>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53" xfId="23" applyFont="1" applyFill="1" applyBorder="1" applyAlignment="1">
      <alignment horizontal="center" vertical="center"/>
    </xf>
    <xf numFmtId="0" fontId="35" fillId="27" borderId="4" xfId="23" applyFont="1" applyFill="1" applyBorder="1" applyAlignment="1">
      <alignment horizontal="center" vertical="center"/>
    </xf>
    <xf numFmtId="0" fontId="35" fillId="27" borderId="54" xfId="23" applyFont="1" applyFill="1" applyBorder="1" applyAlignment="1">
      <alignment horizontal="center" vertical="center"/>
    </xf>
    <xf numFmtId="0" fontId="35" fillId="27" borderId="21" xfId="23" applyFont="1" applyFill="1" applyBorder="1" applyAlignment="1">
      <alignment horizontal="center" vertical="center"/>
    </xf>
    <xf numFmtId="0" fontId="35" fillId="27" borderId="22" xfId="23" applyFont="1" applyFill="1" applyBorder="1" applyAlignment="1">
      <alignment horizontal="center" vertical="center"/>
    </xf>
    <xf numFmtId="0" fontId="35" fillId="27" borderId="23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27" borderId="8" xfId="16" applyFont="1" applyFill="1" applyBorder="1" applyAlignment="1">
      <alignment horizontal="center" vertical="center"/>
    </xf>
    <xf numFmtId="0" fontId="18" fillId="27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16" borderId="8" xfId="0" applyFont="1" applyFill="1" applyBorder="1" applyAlignment="1">
      <alignment horizontal="center" vertical="center"/>
    </xf>
    <xf numFmtId="0" fontId="40" fillId="16" borderId="9" xfId="0" applyFont="1" applyFill="1" applyBorder="1" applyAlignment="1">
      <alignment horizontal="center" vertical="center"/>
    </xf>
    <xf numFmtId="0" fontId="40" fillId="16" borderId="10" xfId="0" applyFont="1" applyFill="1" applyBorder="1" applyAlignment="1">
      <alignment horizontal="center" vertical="center"/>
    </xf>
    <xf numFmtId="0" fontId="40" fillId="16" borderId="26" xfId="0" applyFont="1" applyFill="1" applyBorder="1" applyAlignment="1">
      <alignment horizontal="center" vertical="center"/>
    </xf>
    <xf numFmtId="0" fontId="35" fillId="16" borderId="8" xfId="17" applyNumberFormat="1" applyFont="1" applyFill="1" applyBorder="1" applyAlignment="1">
      <alignment horizontal="center" vertical="center"/>
    </xf>
    <xf numFmtId="0" fontId="35" fillId="16" borderId="9" xfId="17" applyNumberFormat="1" applyFont="1" applyFill="1" applyBorder="1" applyAlignment="1">
      <alignment horizontal="center" vertical="center"/>
    </xf>
    <xf numFmtId="0" fontId="35" fillId="16" borderId="13" xfId="17" applyNumberFormat="1" applyFont="1" applyFill="1" applyBorder="1" applyAlignment="1">
      <alignment horizontal="center" vertical="center"/>
    </xf>
    <xf numFmtId="0" fontId="35" fillId="16" borderId="10" xfId="17" applyNumberFormat="1" applyFont="1" applyFill="1" applyBorder="1" applyAlignment="1">
      <alignment horizontal="center" vertical="center"/>
    </xf>
    <xf numFmtId="0" fontId="56" fillId="16" borderId="50" xfId="0" applyFont="1" applyFill="1" applyBorder="1" applyAlignment="1">
      <alignment horizontal="center" vertical="center"/>
    </xf>
    <xf numFmtId="0" fontId="56" fillId="16" borderId="24" xfId="0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4" xfId="23" applyFont="1" applyFill="1" applyBorder="1" applyAlignment="1">
      <alignment horizontal="center" vertical="center"/>
    </xf>
    <xf numFmtId="0" fontId="18" fillId="0" borderId="38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2" xfId="23" applyFont="1" applyFill="1" applyBorder="1" applyAlignment="1">
      <alignment horizontal="center" vertical="center"/>
    </xf>
    <xf numFmtId="0" fontId="18" fillId="0" borderId="63" xfId="23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29" fillId="0" borderId="23" xfId="23" applyFont="1" applyFill="1" applyBorder="1" applyAlignment="1">
      <alignment horizontal="center" vertical="center"/>
    </xf>
    <xf numFmtId="0" fontId="73" fillId="4" borderId="32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792.1</c:v>
                </c:pt>
                <c:pt idx="1">
                  <c:v>991.7</c:v>
                </c:pt>
                <c:pt idx="2">
                  <c:v>1233.2</c:v>
                </c:pt>
                <c:pt idx="3">
                  <c:v>1284.0999999999999</c:v>
                </c:pt>
                <c:pt idx="4">
                  <c:v>891.3</c:v>
                </c:pt>
                <c:pt idx="5">
                  <c:v>1651.1</c:v>
                </c:pt>
                <c:pt idx="6">
                  <c:v>1186.5</c:v>
                </c:pt>
                <c:pt idx="7">
                  <c:v>1775.3</c:v>
                </c:pt>
                <c:pt idx="8">
                  <c:v>1598.8</c:v>
                </c:pt>
                <c:pt idx="9">
                  <c:v>1311.4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1598.6</c:v>
                </c:pt>
                <c:pt idx="1">
                  <c:v>1256.5999999999999</c:v>
                </c:pt>
                <c:pt idx="2">
                  <c:v>1210.2</c:v>
                </c:pt>
                <c:pt idx="3">
                  <c:v>2349.1</c:v>
                </c:pt>
                <c:pt idx="4">
                  <c:v>1733.1</c:v>
                </c:pt>
                <c:pt idx="5">
                  <c:v>1186.8</c:v>
                </c:pt>
                <c:pt idx="6">
                  <c:v>1386</c:v>
                </c:pt>
                <c:pt idx="7">
                  <c:v>1388</c:v>
                </c:pt>
                <c:pt idx="8">
                  <c:v>2012</c:v>
                </c:pt>
                <c:pt idx="9">
                  <c:v>1499.1</c:v>
                </c:pt>
                <c:pt idx="10">
                  <c:v>1358.4</c:v>
                </c:pt>
                <c:pt idx="11">
                  <c:v>1681.9</c:v>
                </c:pt>
                <c:pt idx="12">
                  <c:v>1212.3</c:v>
                </c:pt>
                <c:pt idx="13">
                  <c:v>1356.3</c:v>
                </c:pt>
                <c:pt idx="14">
                  <c:v>1564</c:v>
                </c:pt>
                <c:pt idx="15">
                  <c:v>2043.5</c:v>
                </c:pt>
                <c:pt idx="16">
                  <c:v>2039.3</c:v>
                </c:pt>
                <c:pt idx="17">
                  <c:v>1646.3</c:v>
                </c:pt>
                <c:pt idx="18">
                  <c:v>1403.8</c:v>
                </c:pt>
                <c:pt idx="19">
                  <c:v>808.9</c:v>
                </c:pt>
                <c:pt idx="20">
                  <c:v>792.1</c:v>
                </c:pt>
                <c:pt idx="21">
                  <c:v>991.7</c:v>
                </c:pt>
                <c:pt idx="22">
                  <c:v>1233.2</c:v>
                </c:pt>
                <c:pt idx="23">
                  <c:v>1284.0999999999999</c:v>
                </c:pt>
                <c:pt idx="24">
                  <c:v>891.3</c:v>
                </c:pt>
                <c:pt idx="25">
                  <c:v>1651.1</c:v>
                </c:pt>
                <c:pt idx="26">
                  <c:v>1186.5</c:v>
                </c:pt>
                <c:pt idx="27">
                  <c:v>1775.3</c:v>
                </c:pt>
                <c:pt idx="28">
                  <c:v>1598.8</c:v>
                </c:pt>
                <c:pt idx="29">
                  <c:v>1311.4</c:v>
                </c:pt>
                <c:pt idx="30">
                  <c:v>1448.3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18.7</c:v>
                </c:pt>
                <c:pt idx="1">
                  <c:v>27.5</c:v>
                </c:pt>
                <c:pt idx="2">
                  <c:v>40.5</c:v>
                </c:pt>
                <c:pt idx="3">
                  <c:v>68.8</c:v>
                </c:pt>
                <c:pt idx="4">
                  <c:v>104.9</c:v>
                </c:pt>
                <c:pt idx="5">
                  <c:v>141.5</c:v>
                </c:pt>
                <c:pt idx="6">
                  <c:v>329.3</c:v>
                </c:pt>
                <c:pt idx="7">
                  <c:v>265.3</c:v>
                </c:pt>
                <c:pt idx="8">
                  <c:v>109.5</c:v>
                </c:pt>
                <c:pt idx="9">
                  <c:v>64.5</c:v>
                </c:pt>
                <c:pt idx="10">
                  <c:v>72.900000000000006</c:v>
                </c:pt>
                <c:pt idx="11">
                  <c:v>28.2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1.emf"/><Relationship Id="rId3" Type="http://schemas.openxmlformats.org/officeDocument/2006/relationships/image" Target="../media/image43.emf"/><Relationship Id="rId7" Type="http://schemas.openxmlformats.org/officeDocument/2006/relationships/image" Target="../media/image40.emf"/><Relationship Id="rId12" Type="http://schemas.openxmlformats.org/officeDocument/2006/relationships/image" Target="../media/image39.emf"/><Relationship Id="rId2" Type="http://schemas.openxmlformats.org/officeDocument/2006/relationships/image" Target="../media/image44.emf"/><Relationship Id="rId16" Type="http://schemas.openxmlformats.org/officeDocument/2006/relationships/image" Target="../media/image52.emf"/><Relationship Id="rId1" Type="http://schemas.openxmlformats.org/officeDocument/2006/relationships/image" Target="../media/image45.emf"/><Relationship Id="rId6" Type="http://schemas.openxmlformats.org/officeDocument/2006/relationships/image" Target="../media/image46.emf"/><Relationship Id="rId11" Type="http://schemas.openxmlformats.org/officeDocument/2006/relationships/image" Target="../media/image50.emf"/><Relationship Id="rId5" Type="http://schemas.openxmlformats.org/officeDocument/2006/relationships/image" Target="../media/image41.emf"/><Relationship Id="rId15" Type="http://schemas.openxmlformats.org/officeDocument/2006/relationships/image" Target="../media/image37.emf"/><Relationship Id="rId10" Type="http://schemas.openxmlformats.org/officeDocument/2006/relationships/image" Target="../media/image49.emf"/><Relationship Id="rId4" Type="http://schemas.openxmlformats.org/officeDocument/2006/relationships/image" Target="../media/image42.emf"/><Relationship Id="rId9" Type="http://schemas.openxmlformats.org/officeDocument/2006/relationships/image" Target="../media/image48.emf"/><Relationship Id="rId14" Type="http://schemas.openxmlformats.org/officeDocument/2006/relationships/image" Target="../media/image3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5" Type="http://schemas.openxmlformats.org/officeDocument/2006/relationships/image" Target="../media/image58.emf"/><Relationship Id="rId4" Type="http://schemas.openxmlformats.org/officeDocument/2006/relationships/image" Target="../media/image6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0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3.emf"/><Relationship Id="rId4" Type="http://schemas.openxmlformats.org/officeDocument/2006/relationships/control" Target="../activeX/activeX24.xml"/><Relationship Id="rId9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3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5.emf"/><Relationship Id="rId5" Type="http://schemas.openxmlformats.org/officeDocument/2006/relationships/image" Target="../media/image60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353</v>
      </c>
      <c r="C2" s="541" t="s">
        <v>782</v>
      </c>
    </row>
    <row r="3" spans="2:3" ht="20.100000000000001" customHeight="1">
      <c r="B3" s="541" t="s">
        <v>677</v>
      </c>
      <c r="C3" s="541" t="s">
        <v>674</v>
      </c>
    </row>
    <row r="4" spans="2:3" ht="20.100000000000001" customHeight="1">
      <c r="B4" s="541" t="s">
        <v>678</v>
      </c>
      <c r="C4" s="541" t="s">
        <v>674</v>
      </c>
    </row>
    <row r="5" spans="2:3" ht="20.100000000000001" customHeight="1">
      <c r="B5" s="541" t="s">
        <v>679</v>
      </c>
      <c r="C5" s="541" t="s">
        <v>674</v>
      </c>
    </row>
    <row r="6" spans="2:3" ht="20.100000000000001" customHeight="1">
      <c r="B6" s="541" t="s">
        <v>680</v>
      </c>
      <c r="C6" s="541" t="s">
        <v>674</v>
      </c>
    </row>
    <row r="7" spans="2:3" ht="20.100000000000001" customHeight="1">
      <c r="B7" s="541" t="s">
        <v>681</v>
      </c>
      <c r="C7" s="541" t="s">
        <v>674</v>
      </c>
    </row>
    <row r="8" spans="2:3" ht="20.100000000000001" customHeight="1">
      <c r="B8" s="541" t="s">
        <v>682</v>
      </c>
      <c r="C8" s="541" t="s">
        <v>674</v>
      </c>
    </row>
    <row r="9" spans="2:3" ht="20.100000000000001" customHeight="1">
      <c r="B9" s="541" t="s">
        <v>676</v>
      </c>
      <c r="C9" s="541" t="s">
        <v>674</v>
      </c>
    </row>
    <row r="10" spans="2:3" ht="20.100000000000001" customHeight="1">
      <c r="B10" s="541" t="s">
        <v>675</v>
      </c>
      <c r="C10" s="541" t="s">
        <v>674</v>
      </c>
    </row>
    <row r="11" spans="2:3" ht="20.100000000000001" customHeight="1">
      <c r="B11" s="541" t="s">
        <v>683</v>
      </c>
      <c r="C11" s="541" t="s">
        <v>674</v>
      </c>
    </row>
    <row r="12" spans="2:3" ht="20.100000000000001" customHeight="1">
      <c r="B12" s="541" t="s">
        <v>684</v>
      </c>
      <c r="C12" s="541" t="s">
        <v>674</v>
      </c>
    </row>
    <row r="13" spans="2:3" ht="20.100000000000001" customHeight="1">
      <c r="B13" s="541" t="s">
        <v>685</v>
      </c>
      <c r="C13" s="541" t="s">
        <v>674</v>
      </c>
    </row>
    <row r="14" spans="2:3" ht="20.100000000000001" customHeight="1">
      <c r="B14" s="541" t="s">
        <v>686</v>
      </c>
      <c r="C14" s="541" t="s">
        <v>674</v>
      </c>
    </row>
    <row r="15" spans="2:3" ht="20.100000000000001" customHeight="1">
      <c r="B15" s="541" t="s">
        <v>687</v>
      </c>
      <c r="C15" s="541" t="s">
        <v>688</v>
      </c>
    </row>
    <row r="16" spans="2:3" ht="20.100000000000001" customHeight="1">
      <c r="B16" s="541" t="s">
        <v>689</v>
      </c>
      <c r="C16" s="541" t="s">
        <v>688</v>
      </c>
    </row>
    <row r="17" spans="2:3" ht="20.100000000000001" customHeight="1">
      <c r="B17" s="541" t="s">
        <v>690</v>
      </c>
      <c r="C17" s="541" t="s">
        <v>688</v>
      </c>
    </row>
    <row r="18" spans="2:3" ht="20.100000000000001" customHeight="1">
      <c r="B18" s="541" t="s">
        <v>691</v>
      </c>
      <c r="C18" s="541" t="s">
        <v>688</v>
      </c>
    </row>
    <row r="19" spans="2:3" ht="20.100000000000001" customHeight="1">
      <c r="B19" s="541" t="s">
        <v>692</v>
      </c>
      <c r="C19" s="541" t="s">
        <v>688</v>
      </c>
    </row>
    <row r="20" spans="2:3" ht="20.100000000000001" customHeight="1">
      <c r="B20" s="541" t="s">
        <v>693</v>
      </c>
      <c r="C20" s="541" t="s">
        <v>688</v>
      </c>
    </row>
    <row r="21" spans="2:3" ht="20.100000000000001" customHeight="1">
      <c r="B21" s="541" t="s">
        <v>694</v>
      </c>
      <c r="C21" s="541" t="s">
        <v>688</v>
      </c>
    </row>
    <row r="22" spans="2:3" ht="20.100000000000001" customHeight="1">
      <c r="B22" s="541" t="s">
        <v>695</v>
      </c>
      <c r="C22" s="541" t="s">
        <v>688</v>
      </c>
    </row>
    <row r="23" spans="2:3" ht="20.100000000000001" customHeight="1">
      <c r="B23" s="541" t="s">
        <v>696</v>
      </c>
      <c r="C23" s="541" t="s">
        <v>688</v>
      </c>
    </row>
    <row r="24" spans="2:3" ht="20.100000000000001" customHeight="1">
      <c r="B24" s="541" t="s">
        <v>697</v>
      </c>
      <c r="C24" s="541" t="s">
        <v>688</v>
      </c>
    </row>
    <row r="25" spans="2:3" ht="20.100000000000001" customHeight="1">
      <c r="B25" s="541" t="s">
        <v>698</v>
      </c>
      <c r="C25" s="541" t="s">
        <v>699</v>
      </c>
    </row>
    <row r="26" spans="2:3" ht="20.100000000000001" customHeight="1">
      <c r="B26" s="541" t="s">
        <v>700</v>
      </c>
      <c r="C26" s="541" t="s">
        <v>699</v>
      </c>
    </row>
    <row r="27" spans="2:3" ht="20.100000000000001" customHeight="1">
      <c r="B27" s="541" t="s">
        <v>701</v>
      </c>
      <c r="C27" s="541" t="s">
        <v>699</v>
      </c>
    </row>
    <row r="28" spans="2:3" ht="20.100000000000001" customHeight="1">
      <c r="B28" s="541" t="s">
        <v>702</v>
      </c>
      <c r="C28" s="541" t="s">
        <v>699</v>
      </c>
    </row>
    <row r="29" spans="2:3" ht="20.100000000000001" customHeight="1">
      <c r="B29" s="541" t="s">
        <v>703</v>
      </c>
      <c r="C29" s="541" t="s">
        <v>699</v>
      </c>
    </row>
    <row r="30" spans="2:3" ht="20.100000000000001" customHeight="1">
      <c r="B30" s="541" t="s">
        <v>704</v>
      </c>
      <c r="C30" s="541" t="s">
        <v>699</v>
      </c>
    </row>
    <row r="31" spans="2:3" ht="20.100000000000001" customHeight="1">
      <c r="B31" s="541" t="s">
        <v>705</v>
      </c>
      <c r="C31" s="541" t="s">
        <v>699</v>
      </c>
    </row>
    <row r="32" spans="2:3" ht="20.100000000000001" customHeight="1">
      <c r="B32" s="541" t="s">
        <v>706</v>
      </c>
      <c r="C32" s="541" t="s">
        <v>699</v>
      </c>
    </row>
    <row r="33" spans="2:3" ht="20.100000000000001" customHeight="1">
      <c r="B33" s="541" t="s">
        <v>707</v>
      </c>
      <c r="C33" s="541" t="s">
        <v>699</v>
      </c>
    </row>
    <row r="34" spans="2:3" ht="20.100000000000001" customHeight="1">
      <c r="B34" s="541" t="s">
        <v>708</v>
      </c>
      <c r="C34" s="541" t="s">
        <v>699</v>
      </c>
    </row>
    <row r="35" spans="2:3" ht="20.100000000000001" customHeight="1">
      <c r="B35" s="541" t="s">
        <v>709</v>
      </c>
      <c r="C35" s="541" t="s">
        <v>699</v>
      </c>
    </row>
    <row r="36" spans="2:3" ht="20.100000000000001" customHeight="1">
      <c r="B36" s="541" t="s">
        <v>710</v>
      </c>
      <c r="C36" s="541" t="s">
        <v>699</v>
      </c>
    </row>
    <row r="37" spans="2:3" ht="20.100000000000001" customHeight="1">
      <c r="B37" s="541" t="s">
        <v>711</v>
      </c>
      <c r="C37" s="541" t="s">
        <v>699</v>
      </c>
    </row>
    <row r="38" spans="2:3" ht="20.100000000000001" customHeight="1">
      <c r="B38" s="541" t="s">
        <v>712</v>
      </c>
      <c r="C38" s="541" t="s">
        <v>699</v>
      </c>
    </row>
    <row r="39" spans="2:3" ht="20.100000000000001" customHeight="1">
      <c r="B39" s="541" t="s">
        <v>713</v>
      </c>
      <c r="C39" s="541" t="s">
        <v>699</v>
      </c>
    </row>
    <row r="40" spans="2:3" ht="20.100000000000001" customHeight="1">
      <c r="B40" s="541" t="s">
        <v>714</v>
      </c>
      <c r="C40" s="541" t="s">
        <v>715</v>
      </c>
    </row>
    <row r="41" spans="2:3" ht="20.100000000000001" customHeight="1">
      <c r="B41" s="541" t="s">
        <v>716</v>
      </c>
      <c r="C41" s="541" t="s">
        <v>715</v>
      </c>
    </row>
    <row r="42" spans="2:3" ht="20.100000000000001" customHeight="1">
      <c r="B42" s="541" t="s">
        <v>717</v>
      </c>
      <c r="C42" s="541" t="s">
        <v>715</v>
      </c>
    </row>
    <row r="43" spans="2:3" ht="20.100000000000001" customHeight="1">
      <c r="B43" s="541" t="s">
        <v>718</v>
      </c>
      <c r="C43" s="541" t="s">
        <v>715</v>
      </c>
    </row>
    <row r="44" spans="2:3" ht="20.100000000000001" customHeight="1">
      <c r="B44" s="541" t="s">
        <v>719</v>
      </c>
      <c r="C44" s="541" t="s">
        <v>715</v>
      </c>
    </row>
    <row r="45" spans="2:3" ht="20.100000000000001" customHeight="1">
      <c r="B45" s="541" t="s">
        <v>720</v>
      </c>
      <c r="C45" s="541" t="s">
        <v>715</v>
      </c>
    </row>
    <row r="46" spans="2:3" ht="20.100000000000001" customHeight="1">
      <c r="B46" s="541" t="s">
        <v>721</v>
      </c>
      <c r="C46" s="541" t="s">
        <v>715</v>
      </c>
    </row>
    <row r="47" spans="2:3" ht="20.100000000000001" customHeight="1">
      <c r="B47" s="541" t="s">
        <v>722</v>
      </c>
      <c r="C47" s="541" t="s">
        <v>715</v>
      </c>
    </row>
    <row r="48" spans="2:3" ht="20.100000000000001" customHeight="1">
      <c r="B48" s="541" t="s">
        <v>723</v>
      </c>
      <c r="C48" s="541" t="s">
        <v>715</v>
      </c>
    </row>
    <row r="49" spans="2:3" ht="20.100000000000001" customHeight="1">
      <c r="B49" s="541" t="s">
        <v>724</v>
      </c>
      <c r="C49" s="541" t="s">
        <v>715</v>
      </c>
    </row>
    <row r="50" spans="2:3" ht="20.100000000000001" customHeight="1">
      <c r="B50" s="541" t="s">
        <v>725</v>
      </c>
      <c r="C50" s="541" t="s">
        <v>715</v>
      </c>
    </row>
    <row r="51" spans="2:3" ht="20.100000000000001" customHeight="1">
      <c r="B51" s="541" t="s">
        <v>726</v>
      </c>
      <c r="C51" s="541" t="s">
        <v>715</v>
      </c>
    </row>
    <row r="52" spans="2:3" ht="20.100000000000001" customHeight="1">
      <c r="B52" s="541" t="s">
        <v>727</v>
      </c>
      <c r="C52" s="541" t="s">
        <v>715</v>
      </c>
    </row>
    <row r="53" spans="2:3" ht="20.100000000000001" customHeight="1">
      <c r="B53" s="541" t="s">
        <v>728</v>
      </c>
      <c r="C53" s="541" t="s">
        <v>715</v>
      </c>
    </row>
    <row r="54" spans="2:3" ht="20.100000000000001" customHeight="1">
      <c r="B54" s="541" t="s">
        <v>729</v>
      </c>
      <c r="C54" s="541" t="s">
        <v>715</v>
      </c>
    </row>
    <row r="55" spans="2:3" ht="20.100000000000001" customHeight="1">
      <c r="B55" s="541" t="s">
        <v>730</v>
      </c>
      <c r="C55" s="541" t="s">
        <v>715</v>
      </c>
    </row>
    <row r="56" spans="2:3" ht="20.100000000000001" customHeight="1">
      <c r="B56" s="541" t="s">
        <v>731</v>
      </c>
      <c r="C56" s="541" t="s">
        <v>715</v>
      </c>
    </row>
    <row r="57" spans="2:3" ht="20.100000000000001" customHeight="1">
      <c r="B57" s="541" t="s">
        <v>732</v>
      </c>
      <c r="C57" s="541" t="s">
        <v>715</v>
      </c>
    </row>
    <row r="58" spans="2:3" ht="20.100000000000001" customHeight="1">
      <c r="B58" s="541" t="s">
        <v>733</v>
      </c>
      <c r="C58" s="541" t="s">
        <v>715</v>
      </c>
    </row>
    <row r="59" spans="2:3" ht="20.100000000000001" customHeight="1">
      <c r="B59" s="541" t="s">
        <v>734</v>
      </c>
      <c r="C59" s="541" t="s">
        <v>715</v>
      </c>
    </row>
    <row r="60" spans="2:3" ht="20.100000000000001" customHeight="1">
      <c r="B60" s="541" t="s">
        <v>735</v>
      </c>
      <c r="C60" s="541" t="s">
        <v>715</v>
      </c>
    </row>
    <row r="61" spans="2:3" ht="20.100000000000001" customHeight="1">
      <c r="B61" s="541" t="s">
        <v>736</v>
      </c>
      <c r="C61" s="541" t="s">
        <v>715</v>
      </c>
    </row>
    <row r="62" spans="2:3" ht="20.100000000000001" customHeight="1">
      <c r="B62" s="541" t="s">
        <v>737</v>
      </c>
      <c r="C62" s="541" t="s">
        <v>715</v>
      </c>
    </row>
    <row r="63" spans="2:3" ht="20.100000000000001" customHeight="1">
      <c r="B63" s="541" t="s">
        <v>738</v>
      </c>
      <c r="C63" s="541" t="s">
        <v>715</v>
      </c>
    </row>
    <row r="64" spans="2:3" ht="20.100000000000001" customHeight="1">
      <c r="B64" s="541" t="s">
        <v>739</v>
      </c>
      <c r="C64" s="541" t="s">
        <v>715</v>
      </c>
    </row>
    <row r="65" spans="2:3" ht="20.100000000000001" customHeight="1">
      <c r="B65" s="541" t="s">
        <v>740</v>
      </c>
      <c r="C65" s="541" t="s">
        <v>715</v>
      </c>
    </row>
    <row r="66" spans="2:3" ht="20.100000000000001" customHeight="1">
      <c r="B66" s="541" t="s">
        <v>741</v>
      </c>
      <c r="C66" s="541" t="s">
        <v>715</v>
      </c>
    </row>
    <row r="67" spans="2:3" ht="20.100000000000001" customHeight="1">
      <c r="B67" s="541" t="s">
        <v>742</v>
      </c>
      <c r="C67" s="541" t="s">
        <v>715</v>
      </c>
    </row>
    <row r="68" spans="2:3" ht="20.100000000000001" customHeight="1">
      <c r="B68" s="541" t="s">
        <v>743</v>
      </c>
      <c r="C68" s="541" t="s">
        <v>744</v>
      </c>
    </row>
    <row r="69" spans="2:3" ht="20.100000000000001" customHeight="1">
      <c r="B69" s="541" t="s">
        <v>745</v>
      </c>
      <c r="C69" s="541" t="s">
        <v>744</v>
      </c>
    </row>
    <row r="70" spans="2:3" ht="20.100000000000001" customHeight="1">
      <c r="B70" s="541" t="s">
        <v>746</v>
      </c>
      <c r="C70" s="541" t="s">
        <v>744</v>
      </c>
    </row>
    <row r="71" spans="2:3" ht="20.100000000000001" customHeight="1">
      <c r="B71" s="541" t="s">
        <v>747</v>
      </c>
      <c r="C71" s="541" t="s">
        <v>744</v>
      </c>
    </row>
    <row r="72" spans="2:3" ht="20.100000000000001" customHeight="1">
      <c r="B72" s="541" t="s">
        <v>748</v>
      </c>
      <c r="C72" s="541" t="s">
        <v>744</v>
      </c>
    </row>
    <row r="73" spans="2:3" ht="20.100000000000001" customHeight="1">
      <c r="B73" s="541" t="s">
        <v>749</v>
      </c>
      <c r="C73" s="541" t="s">
        <v>744</v>
      </c>
    </row>
    <row r="74" spans="2:3" ht="20.100000000000001" customHeight="1">
      <c r="B74" s="541" t="s">
        <v>750</v>
      </c>
      <c r="C74" s="541" t="s">
        <v>744</v>
      </c>
    </row>
    <row r="75" spans="2:3" ht="20.100000000000001" customHeight="1">
      <c r="B75" s="541" t="s">
        <v>751</v>
      </c>
      <c r="C75" s="541" t="s">
        <v>744</v>
      </c>
    </row>
    <row r="76" spans="2:3" ht="20.100000000000001" customHeight="1">
      <c r="B76" s="541" t="s">
        <v>752</v>
      </c>
      <c r="C76" s="541" t="s">
        <v>744</v>
      </c>
    </row>
    <row r="77" spans="2:3" ht="20.100000000000001" customHeight="1">
      <c r="B77" s="541" t="s">
        <v>753</v>
      </c>
      <c r="C77" s="541" t="s">
        <v>744</v>
      </c>
    </row>
    <row r="78" spans="2:3" ht="20.100000000000001" customHeight="1">
      <c r="B78" s="541" t="s">
        <v>754</v>
      </c>
      <c r="C78" s="541" t="s">
        <v>744</v>
      </c>
    </row>
    <row r="79" spans="2:3" ht="20.100000000000001" customHeight="1">
      <c r="B79" s="541" t="s">
        <v>755</v>
      </c>
      <c r="C79" s="541" t="s">
        <v>744</v>
      </c>
    </row>
    <row r="80" spans="2:3" ht="20.100000000000001" customHeight="1">
      <c r="B80" s="541" t="s">
        <v>756</v>
      </c>
      <c r="C80" s="541" t="s">
        <v>744</v>
      </c>
    </row>
    <row r="81" spans="2:3" ht="20.100000000000001" customHeight="1">
      <c r="B81" s="541" t="s">
        <v>757</v>
      </c>
      <c r="C81" s="541" t="s">
        <v>744</v>
      </c>
    </row>
    <row r="82" spans="2:3" ht="20.100000000000001" customHeight="1">
      <c r="B82" s="541" t="s">
        <v>758</v>
      </c>
      <c r="C82" s="541" t="s">
        <v>744</v>
      </c>
    </row>
    <row r="83" spans="2:3" ht="20.100000000000001" customHeight="1">
      <c r="B83" s="541" t="s">
        <v>759</v>
      </c>
      <c r="C83" s="541" t="s">
        <v>744</v>
      </c>
    </row>
    <row r="84" spans="2:3" ht="20.100000000000001" customHeight="1">
      <c r="B84" s="541" t="s">
        <v>760</v>
      </c>
      <c r="C84" s="541" t="s">
        <v>744</v>
      </c>
    </row>
    <row r="85" spans="2:3" ht="20.100000000000001" customHeight="1">
      <c r="B85" s="541" t="s">
        <v>761</v>
      </c>
      <c r="C85" s="541" t="s">
        <v>744</v>
      </c>
    </row>
    <row r="86" spans="2:3" ht="20.100000000000001" customHeight="1">
      <c r="B86" s="541" t="s">
        <v>762</v>
      </c>
      <c r="C86" s="541" t="s">
        <v>744</v>
      </c>
    </row>
    <row r="87" spans="2:3" ht="20.100000000000001" customHeight="1">
      <c r="B87" s="541" t="s">
        <v>763</v>
      </c>
      <c r="C87" s="541" t="s">
        <v>744</v>
      </c>
    </row>
    <row r="88" spans="2:3" ht="20.100000000000001" customHeight="1">
      <c r="B88" s="541" t="s">
        <v>764</v>
      </c>
      <c r="C88" s="541" t="s">
        <v>744</v>
      </c>
    </row>
    <row r="89" spans="2:3" ht="20.100000000000001" customHeight="1">
      <c r="B89" s="541" t="s">
        <v>765</v>
      </c>
      <c r="C89" s="541" t="s">
        <v>744</v>
      </c>
    </row>
    <row r="90" spans="2:3" ht="20.100000000000001" customHeight="1">
      <c r="B90" s="541" t="s">
        <v>766</v>
      </c>
      <c r="C90" s="541" t="s">
        <v>744</v>
      </c>
    </row>
    <row r="91" spans="2:3" ht="20.100000000000001" customHeight="1">
      <c r="B91" s="541" t="s">
        <v>767</v>
      </c>
      <c r="C91" s="541" t="s">
        <v>744</v>
      </c>
    </row>
    <row r="92" spans="2:3" ht="20.100000000000001" customHeight="1">
      <c r="B92" s="541" t="s">
        <v>768</v>
      </c>
      <c r="C92" s="541" t="s">
        <v>744</v>
      </c>
    </row>
    <row r="93" spans="2:3" ht="20.100000000000001" customHeight="1">
      <c r="B93" s="541" t="s">
        <v>769</v>
      </c>
      <c r="C93" s="541" t="s">
        <v>744</v>
      </c>
    </row>
    <row r="94" spans="2:3" ht="20.100000000000001" customHeight="1">
      <c r="B94" s="541" t="s">
        <v>770</v>
      </c>
      <c r="C94" s="541" t="s">
        <v>744</v>
      </c>
    </row>
    <row r="95" spans="2:3" ht="20.100000000000001" customHeight="1">
      <c r="B95" s="541" t="s">
        <v>771</v>
      </c>
      <c r="C95" s="541" t="s">
        <v>744</v>
      </c>
    </row>
    <row r="96" spans="2:3" ht="20.100000000000001" customHeight="1">
      <c r="B96" s="541" t="s">
        <v>772</v>
      </c>
      <c r="C96" s="541" t="s">
        <v>744</v>
      </c>
    </row>
    <row r="97" spans="2:3" ht="20.100000000000001" customHeight="1">
      <c r="B97" s="541" t="s">
        <v>773</v>
      </c>
      <c r="C97" s="541" t="s">
        <v>744</v>
      </c>
    </row>
    <row r="98" spans="2:3" ht="20.100000000000001" customHeight="1">
      <c r="B98" s="541" t="s">
        <v>774</v>
      </c>
      <c r="C98" s="541" t="s">
        <v>744</v>
      </c>
    </row>
    <row r="99" spans="2:3" ht="20.100000000000001" customHeight="1">
      <c r="B99" s="541" t="s">
        <v>775</v>
      </c>
      <c r="C99" s="541" t="s">
        <v>744</v>
      </c>
    </row>
    <row r="100" spans="2:3" ht="20.100000000000001" customHeight="1">
      <c r="B100" s="541" t="s">
        <v>776</v>
      </c>
      <c r="C100" s="541" t="s">
        <v>777</v>
      </c>
    </row>
    <row r="101" spans="2:3" ht="20.100000000000001" customHeight="1">
      <c r="B101" s="541" t="s">
        <v>778</v>
      </c>
      <c r="C101" s="541" t="s">
        <v>777</v>
      </c>
    </row>
    <row r="102" spans="2:3" ht="20.100000000000001" customHeight="1">
      <c r="B102" s="541" t="s">
        <v>779</v>
      </c>
      <c r="C102" s="541" t="s">
        <v>777</v>
      </c>
    </row>
    <row r="103" spans="2:3" ht="20.100000000000001" customHeight="1">
      <c r="B103" s="541" t="s">
        <v>780</v>
      </c>
      <c r="C103" s="541" t="s">
        <v>777</v>
      </c>
    </row>
    <row r="104" spans="2:3" ht="16.5">
      <c r="B104" s="541" t="s">
        <v>781</v>
      </c>
      <c r="C104" s="541" t="s">
        <v>777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353</v>
      </c>
      <c r="B1" s="180" t="s">
        <v>196</v>
      </c>
      <c r="C1" s="180" t="s">
        <v>485</v>
      </c>
      <c r="D1" s="180" t="s">
        <v>484</v>
      </c>
      <c r="F1" s="180" t="s">
        <v>353</v>
      </c>
      <c r="G1" s="180" t="s">
        <v>196</v>
      </c>
      <c r="H1" s="180" t="s">
        <v>485</v>
      </c>
      <c r="I1" s="180" t="s">
        <v>484</v>
      </c>
      <c r="K1" s="180" t="s">
        <v>353</v>
      </c>
      <c r="L1" s="180" t="s">
        <v>196</v>
      </c>
      <c r="M1" s="180" t="s">
        <v>485</v>
      </c>
      <c r="N1" s="180" t="s">
        <v>484</v>
      </c>
      <c r="P1" s="180" t="s">
        <v>353</v>
      </c>
      <c r="Q1" s="180" t="s">
        <v>485</v>
      </c>
    </row>
    <row r="2" spans="1:17">
      <c r="A2" s="180" t="s">
        <v>568</v>
      </c>
      <c r="B2" s="180" t="s">
        <v>567</v>
      </c>
      <c r="C2" s="180">
        <v>116</v>
      </c>
      <c r="D2" s="180">
        <v>14</v>
      </c>
      <c r="F2" s="180" t="s">
        <v>566</v>
      </c>
      <c r="G2" s="180" t="s">
        <v>565</v>
      </c>
      <c r="H2" s="180">
        <v>105</v>
      </c>
      <c r="I2" s="180">
        <v>38</v>
      </c>
      <c r="K2" s="180" t="s">
        <v>564</v>
      </c>
      <c r="L2" s="180" t="s">
        <v>563</v>
      </c>
      <c r="M2" s="180">
        <v>226</v>
      </c>
      <c r="N2" s="180">
        <v>54</v>
      </c>
      <c r="P2" s="180" t="s">
        <v>562</v>
      </c>
      <c r="Q2" s="180" t="s">
        <v>561</v>
      </c>
    </row>
    <row r="3" spans="1:17">
      <c r="A3" s="180" t="s">
        <v>560</v>
      </c>
      <c r="B3" s="180" t="s">
        <v>559</v>
      </c>
      <c r="C3" s="180">
        <v>108</v>
      </c>
      <c r="D3" s="180">
        <v>14</v>
      </c>
      <c r="F3" s="180" t="s">
        <v>558</v>
      </c>
      <c r="G3" s="180" t="s">
        <v>557</v>
      </c>
      <c r="H3" s="180">
        <v>100</v>
      </c>
      <c r="I3" s="180">
        <v>38</v>
      </c>
      <c r="K3" s="180" t="s">
        <v>556</v>
      </c>
      <c r="L3" s="180" t="s">
        <v>555</v>
      </c>
      <c r="M3" s="180">
        <v>221</v>
      </c>
      <c r="N3" s="180">
        <v>54</v>
      </c>
      <c r="P3" s="180" t="s">
        <v>554</v>
      </c>
      <c r="Q3" s="180" t="s">
        <v>553</v>
      </c>
    </row>
    <row r="4" spans="1:17">
      <c r="A4" s="180" t="s">
        <v>552</v>
      </c>
      <c r="B4" s="180" t="s">
        <v>551</v>
      </c>
      <c r="C4" s="180">
        <v>201</v>
      </c>
      <c r="D4" s="180">
        <v>22</v>
      </c>
      <c r="F4" s="180" t="s">
        <v>550</v>
      </c>
      <c r="G4" s="180" t="s">
        <v>549</v>
      </c>
      <c r="H4" s="180">
        <v>106</v>
      </c>
      <c r="I4" s="180">
        <v>38</v>
      </c>
      <c r="K4" s="180" t="s">
        <v>548</v>
      </c>
      <c r="L4" s="180" t="s">
        <v>547</v>
      </c>
      <c r="M4" s="180">
        <v>131</v>
      </c>
      <c r="N4" s="180">
        <v>54</v>
      </c>
      <c r="P4" s="180" t="s">
        <v>546</v>
      </c>
      <c r="Q4" s="180" t="s">
        <v>545</v>
      </c>
    </row>
    <row r="5" spans="1:17">
      <c r="A5" s="180" t="s">
        <v>544</v>
      </c>
      <c r="B5" s="180" t="s">
        <v>543</v>
      </c>
      <c r="C5" s="180">
        <v>102</v>
      </c>
      <c r="D5" s="180">
        <v>22</v>
      </c>
      <c r="F5" s="180" t="s">
        <v>542</v>
      </c>
      <c r="G5" s="180" t="s">
        <v>541</v>
      </c>
      <c r="H5" s="180">
        <v>104</v>
      </c>
      <c r="I5" s="180">
        <v>38</v>
      </c>
      <c r="K5" s="180" t="s">
        <v>540</v>
      </c>
      <c r="L5" s="180" t="s">
        <v>539</v>
      </c>
      <c r="M5" s="180">
        <v>135</v>
      </c>
      <c r="N5" s="180">
        <v>54</v>
      </c>
      <c r="P5" s="180" t="s">
        <v>538</v>
      </c>
      <c r="Q5" s="180" t="s">
        <v>537</v>
      </c>
    </row>
    <row r="6" spans="1:17">
      <c r="A6" s="180" t="s">
        <v>536</v>
      </c>
      <c r="B6" s="180" t="s">
        <v>535</v>
      </c>
      <c r="C6" s="180">
        <v>112</v>
      </c>
      <c r="D6" s="180">
        <v>22</v>
      </c>
      <c r="F6" s="180" t="s">
        <v>534</v>
      </c>
      <c r="G6" s="180" t="s">
        <v>533</v>
      </c>
      <c r="H6" s="180">
        <v>93</v>
      </c>
      <c r="I6" s="180">
        <v>38</v>
      </c>
      <c r="K6" s="180" t="s">
        <v>548</v>
      </c>
      <c r="L6" s="180" t="s">
        <v>532</v>
      </c>
      <c r="M6" s="180">
        <v>127</v>
      </c>
      <c r="N6" s="180">
        <v>54</v>
      </c>
      <c r="P6" s="180" t="s">
        <v>531</v>
      </c>
      <c r="Q6" s="180" t="s">
        <v>530</v>
      </c>
    </row>
    <row r="7" spans="1:17">
      <c r="A7" s="180" t="s">
        <v>529</v>
      </c>
      <c r="B7" s="180" t="s">
        <v>528</v>
      </c>
      <c r="C7" s="180">
        <v>98</v>
      </c>
      <c r="D7" s="180">
        <v>32</v>
      </c>
      <c r="F7" s="180" t="s">
        <v>527</v>
      </c>
      <c r="G7" s="180" t="s">
        <v>526</v>
      </c>
      <c r="H7" s="180">
        <v>214</v>
      </c>
      <c r="I7" s="180">
        <v>38</v>
      </c>
      <c r="K7" s="180" t="s">
        <v>660</v>
      </c>
      <c r="L7" s="180" t="s">
        <v>525</v>
      </c>
      <c r="M7" s="180">
        <v>133</v>
      </c>
      <c r="N7" s="180">
        <v>28</v>
      </c>
      <c r="P7" s="180" t="s">
        <v>524</v>
      </c>
      <c r="Q7" s="180" t="s">
        <v>523</v>
      </c>
    </row>
    <row r="8" spans="1:17">
      <c r="A8" s="180" t="s">
        <v>522</v>
      </c>
      <c r="B8" s="180" t="s">
        <v>521</v>
      </c>
      <c r="C8" s="180">
        <v>119</v>
      </c>
      <c r="D8" s="180">
        <v>32</v>
      </c>
      <c r="F8" s="180" t="s">
        <v>520</v>
      </c>
      <c r="G8" s="180" t="s">
        <v>519</v>
      </c>
      <c r="H8" s="180">
        <v>90</v>
      </c>
      <c r="I8" s="180">
        <v>38</v>
      </c>
      <c r="K8" s="180" t="s">
        <v>518</v>
      </c>
      <c r="L8" s="180" t="s">
        <v>517</v>
      </c>
      <c r="M8" s="180">
        <v>239</v>
      </c>
      <c r="N8" s="180">
        <v>132</v>
      </c>
      <c r="P8" s="180" t="s">
        <v>831</v>
      </c>
      <c r="Q8" s="180" t="s">
        <v>832</v>
      </c>
    </row>
    <row r="9" spans="1:17">
      <c r="A9" s="180" t="s">
        <v>516</v>
      </c>
      <c r="B9" s="180" t="s">
        <v>515</v>
      </c>
      <c r="C9" s="180">
        <v>202</v>
      </c>
      <c r="D9" s="180">
        <v>32</v>
      </c>
      <c r="F9" s="180" t="s">
        <v>514</v>
      </c>
      <c r="G9" s="180" t="s">
        <v>513</v>
      </c>
      <c r="H9" s="180">
        <v>121</v>
      </c>
      <c r="I9" s="180">
        <v>38</v>
      </c>
      <c r="K9" s="180" t="s">
        <v>512</v>
      </c>
      <c r="L9" s="180" t="s">
        <v>511</v>
      </c>
      <c r="M9" s="180">
        <v>238</v>
      </c>
      <c r="N9" s="180">
        <v>60</v>
      </c>
    </row>
    <row r="10" spans="1:17">
      <c r="A10" s="180" t="s">
        <v>510</v>
      </c>
      <c r="B10" s="180" t="s">
        <v>509</v>
      </c>
      <c r="C10" s="180">
        <v>203</v>
      </c>
      <c r="D10" s="180">
        <v>32</v>
      </c>
      <c r="F10" s="180" t="s">
        <v>508</v>
      </c>
      <c r="G10" s="180" t="s">
        <v>507</v>
      </c>
      <c r="H10" s="180">
        <v>114</v>
      </c>
      <c r="I10" s="180">
        <v>38</v>
      </c>
      <c r="K10" s="180" t="s">
        <v>506</v>
      </c>
      <c r="L10" s="180" t="s">
        <v>505</v>
      </c>
      <c r="M10" s="180">
        <v>235</v>
      </c>
      <c r="N10" s="180">
        <v>60</v>
      </c>
    </row>
    <row r="11" spans="1:17">
      <c r="A11" s="180" t="s">
        <v>504</v>
      </c>
      <c r="B11" s="180" t="s">
        <v>503</v>
      </c>
      <c r="C11" s="180">
        <v>99</v>
      </c>
      <c r="D11" s="180">
        <v>32</v>
      </c>
      <c r="F11" s="180" t="s">
        <v>502</v>
      </c>
      <c r="G11" s="180" t="s">
        <v>501</v>
      </c>
      <c r="H11" s="180">
        <v>211</v>
      </c>
      <c r="I11" s="180">
        <v>38</v>
      </c>
      <c r="K11" s="180" t="s">
        <v>500</v>
      </c>
      <c r="L11" s="180" t="s">
        <v>499</v>
      </c>
      <c r="M11" s="180">
        <v>236</v>
      </c>
      <c r="N11" s="180">
        <v>60</v>
      </c>
    </row>
    <row r="12" spans="1:17">
      <c r="F12" s="180" t="s">
        <v>498</v>
      </c>
      <c r="G12" s="180" t="s">
        <v>497</v>
      </c>
      <c r="H12" s="180">
        <v>217</v>
      </c>
      <c r="I12" s="180">
        <v>38</v>
      </c>
      <c r="K12" s="180" t="s">
        <v>661</v>
      </c>
      <c r="L12" s="180" t="s">
        <v>496</v>
      </c>
      <c r="M12" s="180">
        <v>129</v>
      </c>
      <c r="N12" s="180">
        <v>60</v>
      </c>
    </row>
    <row r="13" spans="1:17">
      <c r="F13" s="180" t="s">
        <v>495</v>
      </c>
      <c r="G13" s="180" t="s">
        <v>494</v>
      </c>
      <c r="H13" s="180">
        <v>95</v>
      </c>
      <c r="I13" s="180">
        <v>38</v>
      </c>
      <c r="K13" s="180" t="s">
        <v>662</v>
      </c>
      <c r="L13" s="180" t="s">
        <v>493</v>
      </c>
      <c r="M13" s="180">
        <v>232</v>
      </c>
      <c r="N13" s="180">
        <v>60</v>
      </c>
    </row>
    <row r="14" spans="1:17">
      <c r="F14" s="180" t="s">
        <v>492</v>
      </c>
      <c r="G14" s="180" t="s">
        <v>491</v>
      </c>
      <c r="H14" s="180">
        <v>101</v>
      </c>
      <c r="I14" s="180">
        <v>38</v>
      </c>
      <c r="K14" s="180" t="s">
        <v>663</v>
      </c>
      <c r="L14" s="180" t="s">
        <v>490</v>
      </c>
      <c r="M14" s="180">
        <v>177</v>
      </c>
      <c r="N14" s="180">
        <v>60</v>
      </c>
    </row>
    <row r="15" spans="1:17">
      <c r="F15" s="180" t="s">
        <v>489</v>
      </c>
      <c r="G15" s="180" t="s">
        <v>488</v>
      </c>
      <c r="H15" s="180">
        <v>216</v>
      </c>
      <c r="I15" s="180">
        <v>38</v>
      </c>
    </row>
    <row r="16" spans="1:17">
      <c r="F16" s="180" t="s">
        <v>487</v>
      </c>
      <c r="G16" s="180" t="s">
        <v>486</v>
      </c>
      <c r="H16" s="180">
        <v>212</v>
      </c>
      <c r="I16" s="180">
        <v>38</v>
      </c>
    </row>
    <row r="22" spans="1:14">
      <c r="A22" s="180" t="s">
        <v>353</v>
      </c>
      <c r="B22" s="180" t="s">
        <v>196</v>
      </c>
      <c r="C22" s="180" t="s">
        <v>485</v>
      </c>
      <c r="D22" s="180" t="s">
        <v>484</v>
      </c>
      <c r="F22" s="180" t="s">
        <v>353</v>
      </c>
      <c r="G22" s="180" t="s">
        <v>196</v>
      </c>
      <c r="H22" s="180" t="s">
        <v>485</v>
      </c>
      <c r="I22" s="180" t="s">
        <v>484</v>
      </c>
      <c r="K22" s="180" t="s">
        <v>353</v>
      </c>
      <c r="L22" s="180" t="s">
        <v>196</v>
      </c>
      <c r="M22" s="180" t="s">
        <v>485</v>
      </c>
      <c r="N22" s="180" t="s">
        <v>484</v>
      </c>
    </row>
    <row r="23" spans="1:14">
      <c r="A23" s="180" t="s">
        <v>483</v>
      </c>
      <c r="B23" s="180" t="s">
        <v>482</v>
      </c>
      <c r="C23" s="180">
        <v>156</v>
      </c>
      <c r="D23" s="180">
        <v>26</v>
      </c>
      <c r="F23" s="180" t="s">
        <v>481</v>
      </c>
      <c r="G23" s="180" t="s">
        <v>480</v>
      </c>
      <c r="H23" s="180">
        <v>143</v>
      </c>
      <c r="I23" s="180">
        <v>19</v>
      </c>
      <c r="K23" s="180" t="s">
        <v>479</v>
      </c>
      <c r="L23" s="180" t="s">
        <v>478</v>
      </c>
      <c r="M23" s="180">
        <v>185</v>
      </c>
      <c r="N23" s="180">
        <v>125</v>
      </c>
    </row>
    <row r="24" spans="1:14">
      <c r="A24" s="180" t="s">
        <v>477</v>
      </c>
      <c r="B24" s="180" t="s">
        <v>476</v>
      </c>
      <c r="C24" s="180">
        <v>172</v>
      </c>
      <c r="D24" s="180">
        <v>67</v>
      </c>
      <c r="F24" s="180" t="s">
        <v>475</v>
      </c>
      <c r="G24" s="180" t="s">
        <v>474</v>
      </c>
      <c r="H24" s="180">
        <v>176</v>
      </c>
      <c r="I24" s="180">
        <v>19</v>
      </c>
      <c r="K24" s="180" t="s">
        <v>473</v>
      </c>
      <c r="L24" s="180" t="s">
        <v>472</v>
      </c>
      <c r="M24" s="180">
        <v>189</v>
      </c>
      <c r="N24" s="180">
        <v>125</v>
      </c>
    </row>
    <row r="25" spans="1:14">
      <c r="A25" s="180" t="s">
        <v>471</v>
      </c>
      <c r="B25" s="180" t="s">
        <v>470</v>
      </c>
      <c r="C25" s="180">
        <v>251</v>
      </c>
      <c r="D25" s="180">
        <v>67</v>
      </c>
      <c r="F25" s="180" t="s">
        <v>469</v>
      </c>
      <c r="G25" s="180" t="s">
        <v>468</v>
      </c>
      <c r="H25" s="180">
        <v>152</v>
      </c>
      <c r="I25" s="180">
        <v>30</v>
      </c>
      <c r="K25" s="180" t="s">
        <v>462</v>
      </c>
      <c r="L25" s="180" t="s">
        <v>467</v>
      </c>
      <c r="M25" s="180">
        <v>188</v>
      </c>
      <c r="N25" s="180">
        <v>125</v>
      </c>
    </row>
    <row r="26" spans="1:14">
      <c r="A26" s="180" t="s">
        <v>466</v>
      </c>
      <c r="B26" s="180" t="s">
        <v>465</v>
      </c>
      <c r="C26" s="180">
        <v>140</v>
      </c>
      <c r="D26" s="180">
        <v>67</v>
      </c>
      <c r="F26" s="180" t="s">
        <v>464</v>
      </c>
      <c r="G26" s="180" t="s">
        <v>463</v>
      </c>
      <c r="H26" s="180">
        <v>159</v>
      </c>
      <c r="I26" s="180">
        <v>17</v>
      </c>
      <c r="K26" s="180" t="s">
        <v>589</v>
      </c>
      <c r="L26" s="180" t="s">
        <v>461</v>
      </c>
      <c r="M26" s="180">
        <v>187</v>
      </c>
      <c r="N26" s="180">
        <v>125</v>
      </c>
    </row>
    <row r="27" spans="1:14">
      <c r="A27" s="180" t="s">
        <v>460</v>
      </c>
      <c r="B27" s="180" t="s">
        <v>459</v>
      </c>
      <c r="C27" s="180">
        <v>247</v>
      </c>
      <c r="D27" s="180">
        <v>67</v>
      </c>
      <c r="F27" s="180" t="s">
        <v>458</v>
      </c>
      <c r="G27" s="180" t="s">
        <v>457</v>
      </c>
      <c r="H27" s="180">
        <v>283</v>
      </c>
      <c r="I27" s="180">
        <v>95</v>
      </c>
      <c r="K27" s="180" t="s">
        <v>456</v>
      </c>
      <c r="L27" s="180" t="s">
        <v>455</v>
      </c>
      <c r="M27" s="180">
        <v>265</v>
      </c>
      <c r="N27" s="180">
        <v>125</v>
      </c>
    </row>
    <row r="28" spans="1:14">
      <c r="A28" s="180" t="s">
        <v>454</v>
      </c>
      <c r="B28" s="180" t="s">
        <v>453</v>
      </c>
      <c r="C28" s="180">
        <v>243</v>
      </c>
      <c r="D28" s="180">
        <v>67</v>
      </c>
      <c r="F28" s="180" t="s">
        <v>452</v>
      </c>
      <c r="G28" s="180" t="s">
        <v>451</v>
      </c>
      <c r="H28" s="180">
        <v>279</v>
      </c>
      <c r="I28" s="180">
        <v>95</v>
      </c>
      <c r="K28" s="180" t="s">
        <v>450</v>
      </c>
      <c r="L28" s="180" t="s">
        <v>449</v>
      </c>
      <c r="M28" s="180">
        <v>184</v>
      </c>
      <c r="N28" s="180">
        <v>125</v>
      </c>
    </row>
    <row r="29" spans="1:14">
      <c r="A29" s="180" t="s">
        <v>448</v>
      </c>
      <c r="B29" s="180" t="s">
        <v>447</v>
      </c>
      <c r="C29" s="180">
        <v>254</v>
      </c>
      <c r="D29" s="180">
        <v>67</v>
      </c>
      <c r="F29" s="180" t="s">
        <v>446</v>
      </c>
      <c r="G29" s="180" t="s">
        <v>445</v>
      </c>
      <c r="H29" s="180">
        <v>273</v>
      </c>
      <c r="I29" s="180">
        <v>95</v>
      </c>
    </row>
    <row r="30" spans="1:14">
      <c r="A30" s="180" t="s">
        <v>444</v>
      </c>
      <c r="B30" s="180" t="s">
        <v>443</v>
      </c>
      <c r="C30" s="180">
        <v>244</v>
      </c>
      <c r="D30" s="180">
        <v>67</v>
      </c>
      <c r="F30" s="180" t="s">
        <v>442</v>
      </c>
      <c r="G30" s="180" t="s">
        <v>441</v>
      </c>
      <c r="H30" s="180">
        <v>271</v>
      </c>
      <c r="I30" s="180">
        <v>95</v>
      </c>
    </row>
    <row r="31" spans="1:14">
      <c r="A31" s="180" t="s">
        <v>440</v>
      </c>
      <c r="B31" s="180" t="s">
        <v>439</v>
      </c>
      <c r="C31" s="180">
        <v>248</v>
      </c>
      <c r="D31" s="180">
        <v>67</v>
      </c>
      <c r="F31" s="180" t="s">
        <v>438</v>
      </c>
      <c r="G31" s="180" t="s">
        <v>437</v>
      </c>
      <c r="H31" s="180">
        <v>137</v>
      </c>
      <c r="I31" s="180">
        <v>95</v>
      </c>
      <c r="K31" s="180" t="s">
        <v>353</v>
      </c>
      <c r="L31" s="180" t="s">
        <v>196</v>
      </c>
      <c r="M31" s="180" t="s">
        <v>485</v>
      </c>
      <c r="N31" s="180" t="s">
        <v>484</v>
      </c>
    </row>
    <row r="32" spans="1:14">
      <c r="A32" s="180" t="s">
        <v>436</v>
      </c>
      <c r="B32" s="180" t="s">
        <v>435</v>
      </c>
      <c r="C32" s="180">
        <v>146</v>
      </c>
      <c r="D32" s="180">
        <v>67</v>
      </c>
      <c r="F32" s="180" t="s">
        <v>434</v>
      </c>
      <c r="G32" s="180" t="s">
        <v>433</v>
      </c>
      <c r="H32" s="180">
        <v>136</v>
      </c>
      <c r="I32" s="180">
        <v>95</v>
      </c>
      <c r="K32" s="180" t="s">
        <v>811</v>
      </c>
      <c r="L32" s="180" t="s">
        <v>812</v>
      </c>
      <c r="M32" s="180">
        <v>3</v>
      </c>
      <c r="N32" s="180">
        <v>2</v>
      </c>
    </row>
    <row r="33" spans="1:14">
      <c r="A33" s="180" t="s">
        <v>432</v>
      </c>
      <c r="B33" s="180" t="s">
        <v>431</v>
      </c>
      <c r="C33" s="180">
        <v>245</v>
      </c>
      <c r="D33" s="180">
        <v>67</v>
      </c>
      <c r="F33" s="180" t="s">
        <v>430</v>
      </c>
      <c r="G33" s="180" t="s">
        <v>429</v>
      </c>
      <c r="H33" s="180">
        <v>277</v>
      </c>
      <c r="I33" s="180">
        <v>95</v>
      </c>
      <c r="K33" s="180" t="s">
        <v>562</v>
      </c>
      <c r="L33" s="180" t="s">
        <v>813</v>
      </c>
      <c r="M33" s="180">
        <v>4</v>
      </c>
      <c r="N33" s="180">
        <v>2</v>
      </c>
    </row>
    <row r="34" spans="1:14">
      <c r="A34" s="180" t="s">
        <v>428</v>
      </c>
      <c r="B34" s="180" t="s">
        <v>427</v>
      </c>
      <c r="C34" s="180">
        <v>259</v>
      </c>
      <c r="D34" s="180">
        <v>78</v>
      </c>
      <c r="F34" s="180" t="s">
        <v>426</v>
      </c>
      <c r="G34" s="180" t="s">
        <v>425</v>
      </c>
      <c r="H34" s="180">
        <v>272</v>
      </c>
      <c r="I34" s="180">
        <v>95</v>
      </c>
      <c r="K34" s="180" t="s">
        <v>814</v>
      </c>
      <c r="L34" s="180" t="s">
        <v>815</v>
      </c>
      <c r="M34" s="180">
        <v>5</v>
      </c>
      <c r="N34" s="180">
        <v>2</v>
      </c>
    </row>
    <row r="35" spans="1:14">
      <c r="A35" s="180" t="s">
        <v>424</v>
      </c>
      <c r="B35" s="180" t="s">
        <v>423</v>
      </c>
      <c r="C35" s="180">
        <v>262</v>
      </c>
      <c r="D35" s="180">
        <v>78</v>
      </c>
      <c r="F35" s="180" t="s">
        <v>422</v>
      </c>
      <c r="G35" s="180" t="s">
        <v>421</v>
      </c>
      <c r="H35" s="180">
        <v>281</v>
      </c>
      <c r="I35" s="180">
        <v>95</v>
      </c>
      <c r="K35" s="180" t="s">
        <v>816</v>
      </c>
      <c r="L35" s="180" t="s">
        <v>817</v>
      </c>
      <c r="M35" s="180">
        <v>6</v>
      </c>
      <c r="N35" s="180">
        <v>2</v>
      </c>
    </row>
    <row r="36" spans="1:14">
      <c r="A36" s="180" t="s">
        <v>420</v>
      </c>
      <c r="B36" s="180" t="s">
        <v>419</v>
      </c>
      <c r="C36" s="180">
        <v>266</v>
      </c>
      <c r="D36" s="180">
        <v>78</v>
      </c>
      <c r="F36" s="180" t="s">
        <v>418</v>
      </c>
      <c r="G36" s="180" t="s">
        <v>417</v>
      </c>
      <c r="H36" s="180">
        <v>115</v>
      </c>
      <c r="I36" s="180">
        <v>95</v>
      </c>
      <c r="K36" s="180" t="s">
        <v>818</v>
      </c>
      <c r="L36" s="180" t="s">
        <v>819</v>
      </c>
      <c r="M36" s="180">
        <v>7</v>
      </c>
      <c r="N36" s="180">
        <v>2</v>
      </c>
    </row>
    <row r="37" spans="1:14">
      <c r="A37" s="180" t="s">
        <v>416</v>
      </c>
      <c r="B37" s="180" t="s">
        <v>415</v>
      </c>
      <c r="C37" s="180">
        <v>165</v>
      </c>
      <c r="D37" s="180">
        <v>78</v>
      </c>
      <c r="F37" s="180" t="s">
        <v>414</v>
      </c>
      <c r="G37" s="180" t="s">
        <v>413</v>
      </c>
      <c r="H37" s="180">
        <v>130</v>
      </c>
      <c r="I37" s="180">
        <v>95</v>
      </c>
      <c r="K37" s="180" t="s">
        <v>820</v>
      </c>
      <c r="L37" s="180" t="s">
        <v>821</v>
      </c>
      <c r="M37" s="180">
        <v>8</v>
      </c>
      <c r="N37" s="180">
        <v>2</v>
      </c>
    </row>
    <row r="38" spans="1:14">
      <c r="A38" s="180" t="s">
        <v>412</v>
      </c>
      <c r="B38" s="180" t="s">
        <v>411</v>
      </c>
      <c r="C38" s="180">
        <v>164</v>
      </c>
      <c r="D38" s="180">
        <v>78</v>
      </c>
      <c r="F38" s="180" t="s">
        <v>410</v>
      </c>
      <c r="G38" s="180" t="s">
        <v>409</v>
      </c>
      <c r="H38" s="180">
        <v>278</v>
      </c>
      <c r="I38" s="180">
        <v>95</v>
      </c>
      <c r="K38" s="180" t="s">
        <v>822</v>
      </c>
      <c r="L38" s="180" t="s">
        <v>823</v>
      </c>
      <c r="M38" s="180">
        <v>9</v>
      </c>
      <c r="N38" s="180">
        <v>2</v>
      </c>
    </row>
    <row r="39" spans="1:14">
      <c r="A39" s="180" t="s">
        <v>408</v>
      </c>
      <c r="B39" s="180" t="s">
        <v>407</v>
      </c>
      <c r="C39" s="180">
        <v>258</v>
      </c>
      <c r="D39" s="180">
        <v>78</v>
      </c>
      <c r="F39" s="180" t="s">
        <v>406</v>
      </c>
      <c r="G39" s="180" t="s">
        <v>405</v>
      </c>
      <c r="H39" s="180">
        <v>276</v>
      </c>
      <c r="I39" s="180">
        <v>95</v>
      </c>
      <c r="K39" s="180" t="s">
        <v>824</v>
      </c>
      <c r="L39" s="180" t="s">
        <v>825</v>
      </c>
      <c r="M39" s="180">
        <v>10</v>
      </c>
      <c r="N39" s="180">
        <v>2</v>
      </c>
    </row>
    <row r="40" spans="1:14">
      <c r="A40" s="180" t="s">
        <v>404</v>
      </c>
      <c r="B40" s="180" t="s">
        <v>403</v>
      </c>
      <c r="C40" s="180">
        <v>174</v>
      </c>
      <c r="D40" s="180">
        <v>78</v>
      </c>
      <c r="F40" s="180" t="s">
        <v>402</v>
      </c>
      <c r="G40" s="180" t="s">
        <v>401</v>
      </c>
      <c r="H40" s="180">
        <v>138</v>
      </c>
      <c r="I40" s="180">
        <v>95</v>
      </c>
      <c r="K40" s="180" t="s">
        <v>826</v>
      </c>
      <c r="L40" s="180" t="s">
        <v>827</v>
      </c>
      <c r="M40" s="180">
        <v>11</v>
      </c>
      <c r="N40" s="180">
        <v>2</v>
      </c>
    </row>
    <row r="41" spans="1:14">
      <c r="A41" s="180" t="s">
        <v>400</v>
      </c>
      <c r="B41" s="180" t="s">
        <v>399</v>
      </c>
      <c r="C41" s="180">
        <v>168</v>
      </c>
      <c r="D41" s="180">
        <v>78</v>
      </c>
      <c r="F41" s="180" t="s">
        <v>398</v>
      </c>
      <c r="G41" s="180" t="s">
        <v>397</v>
      </c>
      <c r="H41" s="180">
        <v>294</v>
      </c>
      <c r="I41" s="180">
        <v>110</v>
      </c>
      <c r="K41" s="180" t="s">
        <v>828</v>
      </c>
      <c r="L41" s="180" t="s">
        <v>829</v>
      </c>
      <c r="M41" s="180">
        <v>12</v>
      </c>
      <c r="N41" s="180">
        <v>2</v>
      </c>
    </row>
    <row r="42" spans="1:14">
      <c r="A42" s="180" t="s">
        <v>396</v>
      </c>
      <c r="B42" s="180" t="s">
        <v>395</v>
      </c>
      <c r="C42" s="180">
        <v>252</v>
      </c>
      <c r="D42" s="180">
        <v>78</v>
      </c>
      <c r="F42" s="180" t="s">
        <v>394</v>
      </c>
      <c r="G42" s="180" t="s">
        <v>393</v>
      </c>
      <c r="H42" s="180">
        <v>284</v>
      </c>
      <c r="I42" s="180">
        <v>110</v>
      </c>
      <c r="K42" s="180" t="s">
        <v>450</v>
      </c>
      <c r="L42" s="180" t="s">
        <v>830</v>
      </c>
      <c r="M42" s="180">
        <v>13</v>
      </c>
      <c r="N42" s="180">
        <v>2</v>
      </c>
    </row>
    <row r="43" spans="1:14">
      <c r="A43" s="180" t="s">
        <v>392</v>
      </c>
      <c r="B43" s="180" t="s">
        <v>391</v>
      </c>
      <c r="C43" s="180">
        <v>170</v>
      </c>
      <c r="D43" s="180">
        <v>78</v>
      </c>
      <c r="F43" s="180" t="s">
        <v>390</v>
      </c>
      <c r="G43" s="180" t="s">
        <v>389</v>
      </c>
      <c r="H43" s="180">
        <v>253</v>
      </c>
      <c r="I43" s="180">
        <v>110</v>
      </c>
    </row>
    <row r="44" spans="1:14">
      <c r="A44" s="180" t="s">
        <v>388</v>
      </c>
      <c r="B44" s="180" t="s">
        <v>387</v>
      </c>
      <c r="C44" s="180">
        <v>260</v>
      </c>
      <c r="D44" s="180">
        <v>78</v>
      </c>
      <c r="F44" s="180" t="s">
        <v>386</v>
      </c>
      <c r="G44" s="180" t="s">
        <v>385</v>
      </c>
      <c r="H44" s="180">
        <v>295</v>
      </c>
      <c r="I44" s="180">
        <v>110</v>
      </c>
    </row>
    <row r="45" spans="1:14">
      <c r="A45" s="180" t="s">
        <v>384</v>
      </c>
      <c r="B45" s="180" t="s">
        <v>383</v>
      </c>
      <c r="C45" s="180">
        <v>256</v>
      </c>
      <c r="D45" s="180">
        <v>78</v>
      </c>
      <c r="F45" s="180" t="s">
        <v>382</v>
      </c>
      <c r="G45" s="180" t="s">
        <v>381</v>
      </c>
      <c r="H45" s="180">
        <v>288</v>
      </c>
      <c r="I45" s="180">
        <v>110</v>
      </c>
    </row>
    <row r="46" spans="1:14">
      <c r="A46" s="180" t="s">
        <v>380</v>
      </c>
      <c r="B46" s="180" t="s">
        <v>379</v>
      </c>
      <c r="C46" s="180">
        <v>175</v>
      </c>
      <c r="D46" s="180">
        <v>78</v>
      </c>
      <c r="F46" s="180" t="s">
        <v>378</v>
      </c>
      <c r="G46" s="180" t="s">
        <v>377</v>
      </c>
      <c r="H46" s="180">
        <v>255</v>
      </c>
      <c r="I46" s="180">
        <v>110</v>
      </c>
    </row>
    <row r="47" spans="1:14">
      <c r="A47" s="180" t="s">
        <v>376</v>
      </c>
      <c r="B47" s="180" t="s">
        <v>375</v>
      </c>
      <c r="C47" s="180">
        <v>268</v>
      </c>
      <c r="D47" s="180">
        <v>78</v>
      </c>
      <c r="F47" s="180" t="s">
        <v>374</v>
      </c>
      <c r="G47" s="180" t="s">
        <v>373</v>
      </c>
      <c r="H47" s="180">
        <v>289</v>
      </c>
      <c r="I47" s="180">
        <v>110</v>
      </c>
    </row>
    <row r="48" spans="1:14">
      <c r="A48" s="180" t="s">
        <v>372</v>
      </c>
      <c r="B48" s="180" t="s">
        <v>371</v>
      </c>
      <c r="C48" s="180">
        <v>261</v>
      </c>
      <c r="D48" s="180">
        <v>78</v>
      </c>
      <c r="F48" s="180" t="s">
        <v>370</v>
      </c>
      <c r="G48" s="180" t="s">
        <v>369</v>
      </c>
      <c r="H48" s="180">
        <v>257</v>
      </c>
      <c r="I48" s="180">
        <v>110</v>
      </c>
    </row>
    <row r="49" spans="1:9">
      <c r="A49" s="180" t="s">
        <v>368</v>
      </c>
      <c r="B49" s="180" t="s">
        <v>367</v>
      </c>
      <c r="C49" s="180">
        <v>169</v>
      </c>
      <c r="D49" s="180">
        <v>78</v>
      </c>
      <c r="F49" s="180" t="s">
        <v>366</v>
      </c>
      <c r="G49" s="180" t="s">
        <v>365</v>
      </c>
      <c r="H49" s="180">
        <v>263</v>
      </c>
      <c r="I49" s="180">
        <v>110</v>
      </c>
    </row>
    <row r="50" spans="1:9">
      <c r="F50" s="180" t="s">
        <v>364</v>
      </c>
      <c r="G50" s="180" t="s">
        <v>363</v>
      </c>
      <c r="H50" s="180">
        <v>192</v>
      </c>
      <c r="I50" s="180">
        <v>110</v>
      </c>
    </row>
    <row r="51" spans="1:9">
      <c r="F51" s="180" t="s">
        <v>362</v>
      </c>
      <c r="G51" s="180" t="s">
        <v>361</v>
      </c>
      <c r="H51" s="180">
        <v>155</v>
      </c>
      <c r="I51" s="180">
        <v>110</v>
      </c>
    </row>
    <row r="52" spans="1:9">
      <c r="F52" s="180" t="s">
        <v>360</v>
      </c>
      <c r="G52" s="180" t="s">
        <v>359</v>
      </c>
      <c r="H52" s="180">
        <v>162</v>
      </c>
      <c r="I52" s="180">
        <v>110</v>
      </c>
    </row>
    <row r="53" spans="1:9">
      <c r="F53" s="180" t="s">
        <v>358</v>
      </c>
      <c r="G53" s="180" t="s">
        <v>357</v>
      </c>
      <c r="H53" s="180">
        <v>264</v>
      </c>
      <c r="I53" s="180">
        <v>110</v>
      </c>
    </row>
    <row r="54" spans="1:9">
      <c r="F54" s="180" t="s">
        <v>356</v>
      </c>
      <c r="G54" s="180" t="s">
        <v>355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10" sqref="T10"/>
    </sheetView>
  </sheetViews>
  <sheetFormatPr defaultRowHeight="16.5"/>
  <cols>
    <col min="1" max="1" width="8.88671875" style="438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835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834</v>
      </c>
      <c r="T2" s="440" t="s">
        <v>833</v>
      </c>
    </row>
    <row r="3" spans="2:23" ht="17.25" thickBot="1">
      <c r="I3" s="392"/>
      <c r="J3" s="392"/>
      <c r="K3" s="392"/>
    </row>
    <row r="4" spans="2:23" s="441" customFormat="1" ht="30.75" customHeight="1">
      <c r="B4" s="689" t="s">
        <v>41</v>
      </c>
      <c r="C4" s="690" t="s">
        <v>42</v>
      </c>
      <c r="D4" s="690" t="s">
        <v>573</v>
      </c>
      <c r="E4" s="690" t="s">
        <v>574</v>
      </c>
      <c r="F4" s="690" t="s">
        <v>575</v>
      </c>
      <c r="G4" s="690" t="s">
        <v>576</v>
      </c>
      <c r="H4" s="690" t="s">
        <v>577</v>
      </c>
      <c r="I4" s="690" t="s">
        <v>578</v>
      </c>
      <c r="J4" s="690" t="s">
        <v>579</v>
      </c>
      <c r="K4" s="690" t="s">
        <v>580</v>
      </c>
      <c r="L4" s="690" t="s">
        <v>581</v>
      </c>
      <c r="M4" s="690" t="s">
        <v>582</v>
      </c>
      <c r="N4" s="691" t="s">
        <v>583</v>
      </c>
      <c r="O4" s="692" t="s">
        <v>44</v>
      </c>
      <c r="P4" s="691" t="s">
        <v>45</v>
      </c>
      <c r="S4" s="697" t="s">
        <v>569</v>
      </c>
      <c r="T4" s="698" t="s">
        <v>570</v>
      </c>
    </row>
    <row r="5" spans="2:23" ht="22.5" customHeight="1">
      <c r="B5" s="318">
        <v>1995</v>
      </c>
      <c r="C5" s="449">
        <v>11.6</v>
      </c>
      <c r="D5" s="449">
        <v>5.2</v>
      </c>
      <c r="E5" s="449">
        <v>60.6</v>
      </c>
      <c r="F5" s="449">
        <v>44.4</v>
      </c>
      <c r="G5" s="449">
        <v>60.6</v>
      </c>
      <c r="H5" s="449">
        <v>70.7</v>
      </c>
      <c r="I5" s="449">
        <v>436.1</v>
      </c>
      <c r="J5" s="450">
        <v>786.6</v>
      </c>
      <c r="K5" s="449">
        <v>47.2</v>
      </c>
      <c r="L5" s="449">
        <v>39.299999999999997</v>
      </c>
      <c r="M5" s="449">
        <v>32.9</v>
      </c>
      <c r="N5" s="452">
        <v>3.4</v>
      </c>
      <c r="O5" s="456">
        <f>ROUND(SUM(C5:N5),1)</f>
        <v>1598.6</v>
      </c>
      <c r="P5" s="303">
        <f>ROUND(O5/12,1)</f>
        <v>133.19999999999999</v>
      </c>
      <c r="Q5" s="442"/>
      <c r="R5" s="443"/>
      <c r="S5" s="444" t="s">
        <v>688</v>
      </c>
      <c r="T5" s="445" t="s">
        <v>689</v>
      </c>
      <c r="V5" s="443"/>
      <c r="W5" s="446"/>
    </row>
    <row r="6" spans="2:23" ht="22.5" customHeight="1" thickBot="1">
      <c r="B6" s="318">
        <v>1996</v>
      </c>
      <c r="C6" s="449">
        <v>16.3</v>
      </c>
      <c r="D6" s="449">
        <v>1</v>
      </c>
      <c r="E6" s="449">
        <v>77.900000000000006</v>
      </c>
      <c r="F6" s="449">
        <v>62</v>
      </c>
      <c r="G6" s="449">
        <v>29.3</v>
      </c>
      <c r="H6" s="449">
        <v>249.7</v>
      </c>
      <c r="I6" s="449">
        <v>512.79999999999995</v>
      </c>
      <c r="J6" s="450">
        <v>132.4</v>
      </c>
      <c r="K6" s="449">
        <v>11</v>
      </c>
      <c r="L6" s="449">
        <v>90.3</v>
      </c>
      <c r="M6" s="449">
        <v>62.9</v>
      </c>
      <c r="N6" s="452">
        <v>11</v>
      </c>
      <c r="O6" s="456">
        <f t="shared" ref="O6:O34" si="0">ROUND(SUM(C6:N6),1)</f>
        <v>1256.5999999999999</v>
      </c>
      <c r="P6" s="303">
        <f t="shared" ref="P6:P34" si="1">ROUND(O6/12,1)</f>
        <v>104.7</v>
      </c>
      <c r="Q6" s="442"/>
      <c r="R6" s="443"/>
      <c r="S6" s="447" t="str">
        <f>VLOOKUP(S5, tblLocation[], 2, FALSE)</f>
        <v>Table1</v>
      </c>
      <c r="T6" s="448" t="str">
        <f ca="1">IFERROR(UPPER(VLOOKUP(T5, INDIRECT(S6), 2,0)), " 지역설정")</f>
        <v>SEOUL</v>
      </c>
      <c r="V6" s="443"/>
      <c r="W6" s="446"/>
    </row>
    <row r="7" spans="2:23" ht="22.5" customHeight="1">
      <c r="B7" s="318">
        <v>1997</v>
      </c>
      <c r="C7" s="449">
        <v>16.8</v>
      </c>
      <c r="D7" s="449">
        <v>39.6</v>
      </c>
      <c r="E7" s="449">
        <v>25.3</v>
      </c>
      <c r="F7" s="449">
        <v>56.1</v>
      </c>
      <c r="G7" s="449">
        <v>291.3</v>
      </c>
      <c r="H7" s="449">
        <v>110</v>
      </c>
      <c r="I7" s="449">
        <v>299.60000000000002</v>
      </c>
      <c r="J7" s="449">
        <v>117.2</v>
      </c>
      <c r="K7" s="449">
        <v>76.900000000000006</v>
      </c>
      <c r="L7" s="449">
        <v>45.5</v>
      </c>
      <c r="M7" s="449">
        <v>93.8</v>
      </c>
      <c r="N7" s="452">
        <v>38.1</v>
      </c>
      <c r="O7" s="456">
        <f t="shared" si="0"/>
        <v>1210.2</v>
      </c>
      <c r="P7" s="303">
        <f t="shared" si="1"/>
        <v>100.9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10.4</v>
      </c>
      <c r="D8" s="449">
        <v>32.299999999999997</v>
      </c>
      <c r="E8" s="449">
        <v>45.1</v>
      </c>
      <c r="F8" s="449">
        <v>120.2</v>
      </c>
      <c r="G8" s="449">
        <v>121.5</v>
      </c>
      <c r="H8" s="449">
        <v>234.1</v>
      </c>
      <c r="I8" s="449">
        <v>311.8</v>
      </c>
      <c r="J8" s="449">
        <v>1237.8</v>
      </c>
      <c r="K8" s="449">
        <v>177.9</v>
      </c>
      <c r="L8" s="449">
        <v>27.4</v>
      </c>
      <c r="M8" s="449">
        <v>26.9</v>
      </c>
      <c r="N8" s="452">
        <v>3.7</v>
      </c>
      <c r="O8" s="456">
        <f t="shared" si="0"/>
        <v>2349.1</v>
      </c>
      <c r="P8" s="303">
        <f t="shared" si="1"/>
        <v>195.8</v>
      </c>
      <c r="Q8" s="442"/>
      <c r="T8" s="276"/>
      <c r="V8" s="443"/>
      <c r="W8" s="446"/>
    </row>
    <row r="9" spans="2:23" ht="22.5" customHeight="1">
      <c r="B9" s="318">
        <v>1999</v>
      </c>
      <c r="C9" s="449">
        <v>10.199999999999999</v>
      </c>
      <c r="D9" s="449">
        <v>2.9</v>
      </c>
      <c r="E9" s="449">
        <v>55</v>
      </c>
      <c r="F9" s="449">
        <v>97.2</v>
      </c>
      <c r="G9" s="449">
        <v>109.7</v>
      </c>
      <c r="H9" s="449">
        <v>131.80000000000001</v>
      </c>
      <c r="I9" s="449">
        <v>230.4</v>
      </c>
      <c r="J9" s="449">
        <v>600.5</v>
      </c>
      <c r="K9" s="449">
        <v>377.3</v>
      </c>
      <c r="L9" s="449">
        <v>81.599999999999994</v>
      </c>
      <c r="M9" s="449">
        <v>19.5</v>
      </c>
      <c r="N9" s="452">
        <v>17</v>
      </c>
      <c r="O9" s="456">
        <f t="shared" si="0"/>
        <v>1733.1</v>
      </c>
      <c r="P9" s="303">
        <f t="shared" si="1"/>
        <v>144.4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42.8</v>
      </c>
      <c r="D10" s="449">
        <v>2.1</v>
      </c>
      <c r="E10" s="449">
        <v>3.1</v>
      </c>
      <c r="F10" s="449">
        <v>30.7</v>
      </c>
      <c r="G10" s="449">
        <v>75.2</v>
      </c>
      <c r="H10" s="449">
        <v>68.099999999999994</v>
      </c>
      <c r="I10" s="449">
        <v>114.7</v>
      </c>
      <c r="J10" s="449">
        <v>599.4</v>
      </c>
      <c r="K10" s="449">
        <v>178.5</v>
      </c>
      <c r="L10" s="449">
        <v>18.100000000000001</v>
      </c>
      <c r="M10" s="449">
        <v>27.1</v>
      </c>
      <c r="N10" s="452">
        <v>27</v>
      </c>
      <c r="O10" s="456">
        <f t="shared" si="0"/>
        <v>1186.8</v>
      </c>
      <c r="P10" s="303">
        <f t="shared" si="1"/>
        <v>98.9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39.4</v>
      </c>
      <c r="D11" s="449">
        <v>45.7</v>
      </c>
      <c r="E11" s="449">
        <v>18.100000000000001</v>
      </c>
      <c r="F11" s="449">
        <v>12.3</v>
      </c>
      <c r="G11" s="449">
        <v>16.5</v>
      </c>
      <c r="H11" s="449">
        <v>157.4</v>
      </c>
      <c r="I11" s="449">
        <v>698.4</v>
      </c>
      <c r="J11" s="449">
        <v>252</v>
      </c>
      <c r="K11" s="449">
        <v>49.3</v>
      </c>
      <c r="L11" s="449">
        <v>68.2</v>
      </c>
      <c r="M11" s="449">
        <v>13</v>
      </c>
      <c r="N11" s="452">
        <v>15.7</v>
      </c>
      <c r="O11" s="456">
        <f t="shared" si="0"/>
        <v>1386</v>
      </c>
      <c r="P11" s="303">
        <f t="shared" si="1"/>
        <v>115.5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37.4</v>
      </c>
      <c r="D12" s="449">
        <v>2.4</v>
      </c>
      <c r="E12" s="449">
        <v>31.5</v>
      </c>
      <c r="F12" s="449">
        <v>155.1</v>
      </c>
      <c r="G12" s="449">
        <v>58</v>
      </c>
      <c r="H12" s="449">
        <v>61.4</v>
      </c>
      <c r="I12" s="449">
        <v>220.6</v>
      </c>
      <c r="J12" s="449">
        <v>688</v>
      </c>
      <c r="K12" s="449">
        <v>61.1</v>
      </c>
      <c r="L12" s="449">
        <v>45</v>
      </c>
      <c r="M12" s="449">
        <v>12.5</v>
      </c>
      <c r="N12" s="452">
        <v>15</v>
      </c>
      <c r="O12" s="456">
        <f t="shared" si="0"/>
        <v>1388</v>
      </c>
      <c r="P12" s="303">
        <f t="shared" si="1"/>
        <v>115.7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14.1</v>
      </c>
      <c r="D13" s="449">
        <v>39.6</v>
      </c>
      <c r="E13" s="449">
        <v>26.8</v>
      </c>
      <c r="F13" s="449">
        <v>139.6</v>
      </c>
      <c r="G13" s="449">
        <v>106</v>
      </c>
      <c r="H13" s="449">
        <v>156</v>
      </c>
      <c r="I13" s="449">
        <v>469.8</v>
      </c>
      <c r="J13" s="449">
        <v>684.2</v>
      </c>
      <c r="K13" s="449">
        <v>258.2</v>
      </c>
      <c r="L13" s="449">
        <v>41.5</v>
      </c>
      <c r="M13" s="449">
        <v>69.3</v>
      </c>
      <c r="N13" s="452">
        <v>6.9</v>
      </c>
      <c r="O13" s="456">
        <f t="shared" si="0"/>
        <v>2012</v>
      </c>
      <c r="P13" s="303">
        <f t="shared" si="1"/>
        <v>167.7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19.8</v>
      </c>
      <c r="D14" s="449">
        <v>54.6</v>
      </c>
      <c r="E14" s="449">
        <v>27.6</v>
      </c>
      <c r="F14" s="449">
        <v>74.099999999999994</v>
      </c>
      <c r="G14" s="449">
        <v>168.5</v>
      </c>
      <c r="H14" s="449">
        <v>138.1</v>
      </c>
      <c r="I14" s="449">
        <v>510.7</v>
      </c>
      <c r="J14" s="449">
        <v>193.3</v>
      </c>
      <c r="K14" s="449">
        <v>198.7</v>
      </c>
      <c r="L14" s="449">
        <v>6.5</v>
      </c>
      <c r="M14" s="449">
        <v>80</v>
      </c>
      <c r="N14" s="452">
        <v>27.2</v>
      </c>
      <c r="O14" s="456">
        <f t="shared" si="0"/>
        <v>1499.1</v>
      </c>
      <c r="P14" s="303">
        <f t="shared" si="1"/>
        <v>124.9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4.5</v>
      </c>
      <c r="D15" s="449">
        <v>17.2</v>
      </c>
      <c r="E15" s="449">
        <v>12.5</v>
      </c>
      <c r="F15" s="449">
        <v>94.7</v>
      </c>
      <c r="G15" s="449">
        <v>85.8</v>
      </c>
      <c r="H15" s="449">
        <v>168.5</v>
      </c>
      <c r="I15" s="449">
        <v>269.39999999999998</v>
      </c>
      <c r="J15" s="449">
        <v>285</v>
      </c>
      <c r="K15" s="449">
        <v>313.3</v>
      </c>
      <c r="L15" s="449">
        <v>52.6</v>
      </c>
      <c r="M15" s="449">
        <v>44.6</v>
      </c>
      <c r="N15" s="452">
        <v>10.3</v>
      </c>
      <c r="O15" s="456">
        <f t="shared" si="0"/>
        <v>1358.4</v>
      </c>
      <c r="P15" s="303">
        <f t="shared" si="1"/>
        <v>113.2</v>
      </c>
      <c r="S15" s="276"/>
    </row>
    <row r="16" spans="2:23" ht="22.5" customHeight="1">
      <c r="B16" s="318">
        <v>2006</v>
      </c>
      <c r="C16" s="449">
        <v>34.299999999999997</v>
      </c>
      <c r="D16" s="449">
        <v>15.7</v>
      </c>
      <c r="E16" s="449">
        <v>14</v>
      </c>
      <c r="F16" s="449">
        <v>51.8</v>
      </c>
      <c r="G16" s="449">
        <v>156.19999999999999</v>
      </c>
      <c r="H16" s="449">
        <v>168.5</v>
      </c>
      <c r="I16" s="449">
        <v>1014</v>
      </c>
      <c r="J16" s="449">
        <v>121.2</v>
      </c>
      <c r="K16" s="449">
        <v>11.1</v>
      </c>
      <c r="L16" s="449">
        <v>30.2</v>
      </c>
      <c r="M16" s="449">
        <v>47.6</v>
      </c>
      <c r="N16" s="452">
        <v>17.3</v>
      </c>
      <c r="O16" s="456">
        <f t="shared" si="0"/>
        <v>1681.9</v>
      </c>
      <c r="P16" s="303">
        <f t="shared" si="1"/>
        <v>140.19999999999999</v>
      </c>
      <c r="S16" s="276"/>
    </row>
    <row r="17" spans="2:19" ht="22.5" customHeight="1">
      <c r="B17" s="318">
        <v>2007</v>
      </c>
      <c r="C17" s="449">
        <v>10.8</v>
      </c>
      <c r="D17" s="449">
        <v>12.6</v>
      </c>
      <c r="E17" s="449">
        <v>123.5</v>
      </c>
      <c r="F17" s="449">
        <v>41.1</v>
      </c>
      <c r="G17" s="449">
        <v>137.6</v>
      </c>
      <c r="H17" s="449">
        <v>54.5</v>
      </c>
      <c r="I17" s="449">
        <v>274.10000000000002</v>
      </c>
      <c r="J17" s="449">
        <v>237.6</v>
      </c>
      <c r="K17" s="449">
        <v>241.9</v>
      </c>
      <c r="L17" s="449">
        <v>39.5</v>
      </c>
      <c r="M17" s="449">
        <v>26.4</v>
      </c>
      <c r="N17" s="452">
        <v>12.7</v>
      </c>
      <c r="O17" s="456">
        <f t="shared" si="0"/>
        <v>1212.3</v>
      </c>
      <c r="P17" s="303">
        <f t="shared" si="1"/>
        <v>101</v>
      </c>
      <c r="S17" s="276"/>
    </row>
    <row r="18" spans="2:19" ht="22.5" customHeight="1">
      <c r="B18" s="318">
        <v>2008</v>
      </c>
      <c r="C18" s="449">
        <v>17.7</v>
      </c>
      <c r="D18" s="449">
        <v>15</v>
      </c>
      <c r="E18" s="449">
        <v>53.9</v>
      </c>
      <c r="F18" s="449">
        <v>38.5</v>
      </c>
      <c r="G18" s="449">
        <v>97.7</v>
      </c>
      <c r="H18" s="449">
        <v>165</v>
      </c>
      <c r="I18" s="449">
        <v>530.79999999999995</v>
      </c>
      <c r="J18" s="449">
        <v>251.2</v>
      </c>
      <c r="K18" s="449">
        <v>99.2</v>
      </c>
      <c r="L18" s="449">
        <v>41.8</v>
      </c>
      <c r="M18" s="449">
        <v>19.600000000000001</v>
      </c>
      <c r="N18" s="452">
        <v>25.9</v>
      </c>
      <c r="O18" s="456">
        <f t="shared" si="0"/>
        <v>1356.3</v>
      </c>
      <c r="P18" s="303">
        <f t="shared" si="1"/>
        <v>113</v>
      </c>
    </row>
    <row r="19" spans="2:19" ht="22.5" customHeight="1">
      <c r="B19" s="318">
        <v>2009</v>
      </c>
      <c r="C19" s="449">
        <v>5.7</v>
      </c>
      <c r="D19" s="449">
        <v>36.9</v>
      </c>
      <c r="E19" s="449">
        <v>63.9</v>
      </c>
      <c r="F19" s="449">
        <v>66.5</v>
      </c>
      <c r="G19" s="449">
        <v>109</v>
      </c>
      <c r="H19" s="449">
        <v>132</v>
      </c>
      <c r="I19" s="449">
        <v>659.4</v>
      </c>
      <c r="J19" s="449">
        <v>285.3</v>
      </c>
      <c r="K19" s="449">
        <v>64.5</v>
      </c>
      <c r="L19" s="449">
        <v>66.900000000000006</v>
      </c>
      <c r="M19" s="449">
        <v>52.4</v>
      </c>
      <c r="N19" s="452">
        <v>21.5</v>
      </c>
      <c r="O19" s="456">
        <f t="shared" si="0"/>
        <v>1564</v>
      </c>
      <c r="P19" s="303">
        <f t="shared" si="1"/>
        <v>130.30000000000001</v>
      </c>
    </row>
    <row r="20" spans="2:19" ht="22.5" customHeight="1">
      <c r="B20" s="318">
        <v>2010</v>
      </c>
      <c r="C20" s="449">
        <v>29.3</v>
      </c>
      <c r="D20" s="449">
        <v>55.3</v>
      </c>
      <c r="E20" s="449">
        <v>82.5</v>
      </c>
      <c r="F20" s="449">
        <v>62.8</v>
      </c>
      <c r="G20" s="449">
        <v>124</v>
      </c>
      <c r="H20" s="449">
        <v>127.6</v>
      </c>
      <c r="I20" s="449">
        <v>239.2</v>
      </c>
      <c r="J20" s="449">
        <v>598.70000000000005</v>
      </c>
      <c r="K20" s="449">
        <v>671.5</v>
      </c>
      <c r="L20" s="449">
        <v>25.6</v>
      </c>
      <c r="M20" s="449">
        <v>10.9</v>
      </c>
      <c r="N20" s="452">
        <v>16.100000000000001</v>
      </c>
      <c r="O20" s="456">
        <f t="shared" si="0"/>
        <v>2043.5</v>
      </c>
      <c r="P20" s="303">
        <f t="shared" si="1"/>
        <v>170.3</v>
      </c>
    </row>
    <row r="21" spans="2:19" ht="22.5" customHeight="1">
      <c r="B21" s="318">
        <v>2011</v>
      </c>
      <c r="C21" s="449">
        <v>8.9</v>
      </c>
      <c r="D21" s="449">
        <v>29.1</v>
      </c>
      <c r="E21" s="449">
        <v>14.6</v>
      </c>
      <c r="F21" s="449">
        <v>110.1</v>
      </c>
      <c r="G21" s="449">
        <v>53.4</v>
      </c>
      <c r="H21" s="449">
        <v>404.5</v>
      </c>
      <c r="I21" s="449">
        <v>1131</v>
      </c>
      <c r="J21" s="449">
        <v>166.8</v>
      </c>
      <c r="K21" s="449">
        <v>25.6</v>
      </c>
      <c r="L21" s="449">
        <v>32</v>
      </c>
      <c r="M21" s="449">
        <v>56.2</v>
      </c>
      <c r="N21" s="452">
        <v>7.1</v>
      </c>
      <c r="O21" s="456">
        <f t="shared" si="0"/>
        <v>2039.3</v>
      </c>
      <c r="P21" s="303">
        <f t="shared" si="1"/>
        <v>169.9</v>
      </c>
    </row>
    <row r="22" spans="2:19" ht="22.5" customHeight="1">
      <c r="B22" s="318">
        <v>2012</v>
      </c>
      <c r="C22" s="449">
        <v>6.7</v>
      </c>
      <c r="D22" s="449">
        <v>0.8</v>
      </c>
      <c r="E22" s="449">
        <v>47.4</v>
      </c>
      <c r="F22" s="449">
        <v>157</v>
      </c>
      <c r="G22" s="449">
        <v>8.1999999999999993</v>
      </c>
      <c r="H22" s="449">
        <v>91.9</v>
      </c>
      <c r="I22" s="449">
        <v>448.9</v>
      </c>
      <c r="J22" s="449">
        <v>464.9</v>
      </c>
      <c r="K22" s="449">
        <v>212</v>
      </c>
      <c r="L22" s="449">
        <v>99.3</v>
      </c>
      <c r="M22" s="449">
        <v>67.8</v>
      </c>
      <c r="N22" s="452">
        <v>41.4</v>
      </c>
      <c r="O22" s="456">
        <f t="shared" si="0"/>
        <v>1646.3</v>
      </c>
      <c r="P22" s="303">
        <f t="shared" si="1"/>
        <v>137.19999999999999</v>
      </c>
    </row>
    <row r="23" spans="2:19" ht="22.5" customHeight="1">
      <c r="B23" s="318">
        <v>2013</v>
      </c>
      <c r="C23" s="449">
        <v>22.1</v>
      </c>
      <c r="D23" s="449">
        <v>74.099999999999994</v>
      </c>
      <c r="E23" s="449">
        <v>27.3</v>
      </c>
      <c r="F23" s="449">
        <v>71.7</v>
      </c>
      <c r="G23" s="449">
        <v>132</v>
      </c>
      <c r="H23" s="449">
        <v>28.3</v>
      </c>
      <c r="I23" s="449">
        <v>676.2</v>
      </c>
      <c r="J23" s="449">
        <v>148.6</v>
      </c>
      <c r="K23" s="449">
        <v>138.5</v>
      </c>
      <c r="L23" s="449">
        <v>13.5</v>
      </c>
      <c r="M23" s="449">
        <v>46.8</v>
      </c>
      <c r="N23" s="452">
        <v>24.7</v>
      </c>
      <c r="O23" s="456">
        <f t="shared" si="0"/>
        <v>1403.8</v>
      </c>
      <c r="P23" s="303">
        <f t="shared" si="1"/>
        <v>117</v>
      </c>
    </row>
    <row r="24" spans="2:19" ht="22.5" customHeight="1">
      <c r="B24" s="318">
        <v>2014</v>
      </c>
      <c r="C24" s="449">
        <v>13</v>
      </c>
      <c r="D24" s="449">
        <v>16.2</v>
      </c>
      <c r="E24" s="449">
        <v>7.2</v>
      </c>
      <c r="F24" s="449">
        <v>31</v>
      </c>
      <c r="G24" s="449">
        <v>63</v>
      </c>
      <c r="H24" s="449">
        <v>98.1</v>
      </c>
      <c r="I24" s="449">
        <v>207.9</v>
      </c>
      <c r="J24" s="449">
        <v>172.8</v>
      </c>
      <c r="K24" s="449">
        <v>88.1</v>
      </c>
      <c r="L24" s="449">
        <v>52.2</v>
      </c>
      <c r="M24" s="449">
        <v>41.5</v>
      </c>
      <c r="N24" s="452">
        <v>17.899999999999999</v>
      </c>
      <c r="O24" s="456">
        <f t="shared" si="0"/>
        <v>808.9</v>
      </c>
      <c r="P24" s="303">
        <f t="shared" si="1"/>
        <v>67.400000000000006</v>
      </c>
    </row>
    <row r="25" spans="2:19" ht="22.5" customHeight="1">
      <c r="B25" s="318">
        <v>2015</v>
      </c>
      <c r="C25" s="449">
        <v>11.3</v>
      </c>
      <c r="D25" s="449">
        <v>22.7</v>
      </c>
      <c r="E25" s="449">
        <v>9.6</v>
      </c>
      <c r="F25" s="449">
        <v>80.5</v>
      </c>
      <c r="G25" s="449">
        <v>28.9</v>
      </c>
      <c r="H25" s="449">
        <v>99</v>
      </c>
      <c r="I25" s="449">
        <v>226</v>
      </c>
      <c r="J25" s="449">
        <v>72.900000000000006</v>
      </c>
      <c r="K25" s="449">
        <v>26</v>
      </c>
      <c r="L25" s="449">
        <v>81.5</v>
      </c>
      <c r="M25" s="449">
        <v>104.6</v>
      </c>
      <c r="N25" s="452">
        <v>29.1</v>
      </c>
      <c r="O25" s="456">
        <f t="shared" si="0"/>
        <v>792.1</v>
      </c>
      <c r="P25" s="303">
        <f t="shared" si="1"/>
        <v>66</v>
      </c>
    </row>
    <row r="26" spans="2:19" ht="22.5" customHeight="1">
      <c r="B26" s="318">
        <v>2016</v>
      </c>
      <c r="C26" s="449">
        <v>1</v>
      </c>
      <c r="D26" s="449">
        <v>47.6</v>
      </c>
      <c r="E26" s="449">
        <v>40.5</v>
      </c>
      <c r="F26" s="449">
        <v>76.8</v>
      </c>
      <c r="G26" s="449">
        <v>160.5</v>
      </c>
      <c r="H26" s="449">
        <v>54.4</v>
      </c>
      <c r="I26" s="449">
        <v>358.2</v>
      </c>
      <c r="J26" s="449">
        <v>67.099999999999994</v>
      </c>
      <c r="K26" s="449">
        <v>33</v>
      </c>
      <c r="L26" s="449">
        <v>74.8</v>
      </c>
      <c r="M26" s="449">
        <v>16.7</v>
      </c>
      <c r="N26" s="452">
        <v>61.1</v>
      </c>
      <c r="O26" s="456">
        <f t="shared" si="0"/>
        <v>991.7</v>
      </c>
      <c r="P26" s="303">
        <f t="shared" si="1"/>
        <v>82.6</v>
      </c>
    </row>
    <row r="27" spans="2:19" ht="22.5" customHeight="1">
      <c r="B27" s="318">
        <v>2017</v>
      </c>
      <c r="C27" s="449">
        <v>14.9</v>
      </c>
      <c r="D27" s="449">
        <v>11.1</v>
      </c>
      <c r="E27" s="449">
        <v>7.9</v>
      </c>
      <c r="F27" s="449">
        <v>61.6</v>
      </c>
      <c r="G27" s="449">
        <v>16.100000000000001</v>
      </c>
      <c r="H27" s="449">
        <v>66.599999999999994</v>
      </c>
      <c r="I27" s="449">
        <v>621</v>
      </c>
      <c r="J27" s="449">
        <v>297</v>
      </c>
      <c r="K27" s="449">
        <v>35</v>
      </c>
      <c r="L27" s="449">
        <v>26.5</v>
      </c>
      <c r="M27" s="449">
        <v>40.700000000000003</v>
      </c>
      <c r="N27" s="452">
        <v>34.799999999999997</v>
      </c>
      <c r="O27" s="456">
        <f t="shared" si="0"/>
        <v>1233.2</v>
      </c>
      <c r="P27" s="303">
        <f t="shared" si="1"/>
        <v>102.8</v>
      </c>
    </row>
    <row r="28" spans="2:19" ht="22.5" customHeight="1">
      <c r="B28" s="318">
        <v>2018</v>
      </c>
      <c r="C28" s="449">
        <v>8.5</v>
      </c>
      <c r="D28" s="449">
        <v>29.6</v>
      </c>
      <c r="E28" s="449">
        <v>49.5</v>
      </c>
      <c r="F28" s="449">
        <v>130.30000000000001</v>
      </c>
      <c r="G28" s="449">
        <v>222</v>
      </c>
      <c r="H28" s="449">
        <v>171.5</v>
      </c>
      <c r="I28" s="449">
        <v>185.6</v>
      </c>
      <c r="J28" s="449">
        <v>202.6</v>
      </c>
      <c r="K28" s="449">
        <v>68.5</v>
      </c>
      <c r="L28" s="449">
        <v>120.5</v>
      </c>
      <c r="M28" s="449">
        <v>79.099999999999994</v>
      </c>
      <c r="N28" s="452">
        <v>16.399999999999999</v>
      </c>
      <c r="O28" s="456">
        <f t="shared" si="0"/>
        <v>1284.0999999999999</v>
      </c>
      <c r="P28" s="303">
        <f t="shared" si="1"/>
        <v>107</v>
      </c>
    </row>
    <row r="29" spans="2:19" ht="22.5" customHeight="1">
      <c r="B29" s="318">
        <v>2019</v>
      </c>
      <c r="C29" s="449">
        <v>0</v>
      </c>
      <c r="D29" s="449">
        <v>23.8</v>
      </c>
      <c r="E29" s="449">
        <v>26.8</v>
      </c>
      <c r="F29" s="449">
        <v>47.3</v>
      </c>
      <c r="G29" s="449">
        <v>37.799999999999997</v>
      </c>
      <c r="H29" s="449">
        <v>74</v>
      </c>
      <c r="I29" s="449">
        <v>194.4</v>
      </c>
      <c r="J29" s="449">
        <v>190.5</v>
      </c>
      <c r="K29" s="449">
        <v>139.80000000000001</v>
      </c>
      <c r="L29" s="449">
        <v>55.5</v>
      </c>
      <c r="M29" s="449">
        <v>78.8</v>
      </c>
      <c r="N29" s="452">
        <v>22.6</v>
      </c>
      <c r="O29" s="456">
        <f t="shared" si="0"/>
        <v>891.3</v>
      </c>
      <c r="P29" s="303">
        <f t="shared" si="1"/>
        <v>74.3</v>
      </c>
    </row>
    <row r="30" spans="2:19" ht="22.5" customHeight="1">
      <c r="B30" s="318">
        <v>2020</v>
      </c>
      <c r="C30" s="449">
        <v>60.5</v>
      </c>
      <c r="D30" s="449">
        <v>53.1</v>
      </c>
      <c r="E30" s="449">
        <v>16.3</v>
      </c>
      <c r="F30" s="449">
        <v>16.899999999999999</v>
      </c>
      <c r="G30" s="449">
        <v>112.4</v>
      </c>
      <c r="H30" s="449">
        <v>139.6</v>
      </c>
      <c r="I30" s="449">
        <v>270.39999999999998</v>
      </c>
      <c r="J30" s="449">
        <v>675.7</v>
      </c>
      <c r="K30" s="449">
        <v>181.5</v>
      </c>
      <c r="L30" s="449">
        <v>0</v>
      </c>
      <c r="M30" s="449">
        <v>120.1</v>
      </c>
      <c r="N30" s="452">
        <v>4.5999999999999996</v>
      </c>
      <c r="O30" s="456">
        <f t="shared" si="0"/>
        <v>1651.1</v>
      </c>
      <c r="P30" s="303">
        <f t="shared" si="1"/>
        <v>137.6</v>
      </c>
    </row>
    <row r="31" spans="2:19" ht="22.5" customHeight="1">
      <c r="B31" s="318">
        <v>2021</v>
      </c>
      <c r="C31" s="449">
        <v>18.899999999999999</v>
      </c>
      <c r="D31" s="449">
        <v>7.1</v>
      </c>
      <c r="E31" s="449">
        <v>110.9</v>
      </c>
      <c r="F31" s="449">
        <v>124.1</v>
      </c>
      <c r="G31" s="449">
        <v>183.1</v>
      </c>
      <c r="H31" s="449">
        <v>104.6</v>
      </c>
      <c r="I31" s="449">
        <v>168.3</v>
      </c>
      <c r="J31" s="449">
        <v>211.2</v>
      </c>
      <c r="K31" s="449">
        <v>131</v>
      </c>
      <c r="L31" s="449">
        <v>57</v>
      </c>
      <c r="M31" s="449">
        <v>62.4</v>
      </c>
      <c r="N31" s="452">
        <v>7.9</v>
      </c>
      <c r="O31" s="456">
        <f t="shared" si="0"/>
        <v>1186.5</v>
      </c>
      <c r="P31" s="303">
        <f t="shared" si="1"/>
        <v>98.9</v>
      </c>
    </row>
    <row r="32" spans="2:19" ht="22.5" customHeight="1">
      <c r="B32" s="318">
        <v>2022</v>
      </c>
      <c r="C32" s="449">
        <v>5.5</v>
      </c>
      <c r="D32" s="449">
        <v>4.7</v>
      </c>
      <c r="E32" s="449">
        <v>102.6</v>
      </c>
      <c r="F32" s="449">
        <v>20.399999999999999</v>
      </c>
      <c r="G32" s="449">
        <v>7.5</v>
      </c>
      <c r="H32" s="449">
        <v>393.8</v>
      </c>
      <c r="I32" s="449">
        <v>252.3</v>
      </c>
      <c r="J32" s="449">
        <v>564.79999999999995</v>
      </c>
      <c r="K32" s="449">
        <v>201.5</v>
      </c>
      <c r="L32" s="449">
        <v>124.1</v>
      </c>
      <c r="M32" s="449">
        <v>84.5</v>
      </c>
      <c r="N32" s="452">
        <v>13.6</v>
      </c>
      <c r="O32" s="456">
        <f t="shared" si="0"/>
        <v>1775.3</v>
      </c>
      <c r="P32" s="303">
        <f t="shared" si="1"/>
        <v>147.9</v>
      </c>
    </row>
    <row r="33" spans="2:16" ht="22.5" customHeight="1">
      <c r="B33" s="318">
        <v>2023</v>
      </c>
      <c r="C33" s="449">
        <v>47.9</v>
      </c>
      <c r="D33" s="449">
        <v>1</v>
      </c>
      <c r="E33" s="449">
        <v>10.5</v>
      </c>
      <c r="F33" s="449">
        <v>96.9</v>
      </c>
      <c r="G33" s="449">
        <v>155.6</v>
      </c>
      <c r="H33" s="449">
        <v>195.6</v>
      </c>
      <c r="I33" s="449">
        <v>459.9</v>
      </c>
      <c r="J33" s="449">
        <v>298.10000000000002</v>
      </c>
      <c r="K33" s="449">
        <v>134.5</v>
      </c>
      <c r="L33" s="449">
        <v>31</v>
      </c>
      <c r="M33" s="449">
        <v>81.900000000000006</v>
      </c>
      <c r="N33" s="452">
        <v>85.9</v>
      </c>
      <c r="O33" s="456">
        <f t="shared" si="0"/>
        <v>1598.8</v>
      </c>
      <c r="P33" s="303">
        <f t="shared" si="1"/>
        <v>133.19999999999999</v>
      </c>
    </row>
    <row r="34" spans="2:16" ht="22.5" customHeight="1" thickBot="1">
      <c r="B34" s="459">
        <v>2024</v>
      </c>
      <c r="C34" s="460">
        <v>18.899999999999999</v>
      </c>
      <c r="D34" s="460">
        <v>74.7</v>
      </c>
      <c r="E34" s="460">
        <v>29.9</v>
      </c>
      <c r="F34" s="460">
        <v>33.200000000000003</v>
      </c>
      <c r="G34" s="460">
        <v>125.1</v>
      </c>
      <c r="H34" s="460">
        <v>115.9</v>
      </c>
      <c r="I34" s="460">
        <v>557.29999999999995</v>
      </c>
      <c r="J34" s="460">
        <v>72.8</v>
      </c>
      <c r="K34" s="460">
        <v>143.9</v>
      </c>
      <c r="L34" s="460">
        <v>74</v>
      </c>
      <c r="M34" s="460">
        <v>60</v>
      </c>
      <c r="N34" s="461">
        <v>5.7</v>
      </c>
      <c r="O34" s="462">
        <f t="shared" si="0"/>
        <v>1311.4</v>
      </c>
      <c r="P34" s="463">
        <f t="shared" si="1"/>
        <v>109.3</v>
      </c>
    </row>
    <row r="35" spans="2:16" ht="22.5" customHeight="1">
      <c r="B35" s="390" t="s">
        <v>36</v>
      </c>
      <c r="C35" s="464">
        <f>MAX(C5:C34)</f>
        <v>60.5</v>
      </c>
      <c r="D35" s="464">
        <f t="shared" ref="D35:N35" si="2">MAX(D5:D34)</f>
        <v>74.7</v>
      </c>
      <c r="E35" s="464">
        <f t="shared" si="2"/>
        <v>123.5</v>
      </c>
      <c r="F35" s="464">
        <f t="shared" si="2"/>
        <v>157</v>
      </c>
      <c r="G35" s="464">
        <f t="shared" si="2"/>
        <v>291.3</v>
      </c>
      <c r="H35" s="464">
        <f t="shared" si="2"/>
        <v>404.5</v>
      </c>
      <c r="I35" s="464">
        <f t="shared" si="2"/>
        <v>1131</v>
      </c>
      <c r="J35" s="464">
        <f t="shared" si="2"/>
        <v>1237.8</v>
      </c>
      <c r="K35" s="464">
        <f t="shared" si="2"/>
        <v>671.5</v>
      </c>
      <c r="L35" s="464">
        <f t="shared" si="2"/>
        <v>124.1</v>
      </c>
      <c r="M35" s="464">
        <f t="shared" si="2"/>
        <v>120.1</v>
      </c>
      <c r="N35" s="391">
        <f t="shared" si="2"/>
        <v>85.9</v>
      </c>
      <c r="O35" s="465">
        <f t="shared" ref="O35" si="3">MAX(O5:O34)</f>
        <v>2349.1</v>
      </c>
      <c r="P35" s="391">
        <f>MAX(P5:P34)</f>
        <v>195.8</v>
      </c>
    </row>
    <row r="36" spans="2:16" ht="22.5" customHeight="1">
      <c r="B36" s="318" t="s">
        <v>37</v>
      </c>
      <c r="C36" s="135">
        <f>ROUND(MIN(C5:C34),1)</f>
        <v>0</v>
      </c>
      <c r="D36" s="135">
        <f t="shared" ref="D36:N36" si="4">ROUND(MIN(D5:D34),1)</f>
        <v>0.8</v>
      </c>
      <c r="E36" s="135">
        <f t="shared" si="4"/>
        <v>3.1</v>
      </c>
      <c r="F36" s="135">
        <f t="shared" si="4"/>
        <v>12.3</v>
      </c>
      <c r="G36" s="135">
        <f t="shared" si="4"/>
        <v>7.5</v>
      </c>
      <c r="H36" s="135">
        <f t="shared" si="4"/>
        <v>28.3</v>
      </c>
      <c r="I36" s="135">
        <f t="shared" si="4"/>
        <v>114.7</v>
      </c>
      <c r="J36" s="135">
        <f t="shared" si="4"/>
        <v>67.099999999999994</v>
      </c>
      <c r="K36" s="135">
        <f t="shared" si="4"/>
        <v>11</v>
      </c>
      <c r="L36" s="135">
        <f t="shared" si="4"/>
        <v>0</v>
      </c>
      <c r="M36" s="135">
        <f t="shared" si="4"/>
        <v>10.9</v>
      </c>
      <c r="N36" s="303">
        <f t="shared" si="4"/>
        <v>3.4</v>
      </c>
      <c r="O36" s="457">
        <f>ROUND(MIN(O5:O34),1)</f>
        <v>792.1</v>
      </c>
      <c r="P36" s="452">
        <f>ROUND(MIN(P5:P34),1)</f>
        <v>66</v>
      </c>
    </row>
    <row r="37" spans="2:16" ht="22.5" customHeight="1" thickBot="1">
      <c r="B37" s="286" t="s">
        <v>45</v>
      </c>
      <c r="C37" s="284">
        <f>ROUND(AVERAGE(C5:C34),1)</f>
        <v>18.600000000000001</v>
      </c>
      <c r="D37" s="284">
        <f t="shared" ref="D37:N37" si="5">ROUND(AVERAGE(D5:D34),1)</f>
        <v>25.8</v>
      </c>
      <c r="E37" s="284">
        <f t="shared" si="5"/>
        <v>40.700000000000003</v>
      </c>
      <c r="F37" s="284">
        <f t="shared" si="5"/>
        <v>73.5</v>
      </c>
      <c r="G37" s="284">
        <f t="shared" si="5"/>
        <v>101.8</v>
      </c>
      <c r="H37" s="284">
        <f t="shared" si="5"/>
        <v>141</v>
      </c>
      <c r="I37" s="284">
        <f t="shared" si="5"/>
        <v>418.3</v>
      </c>
      <c r="J37" s="284">
        <f t="shared" si="5"/>
        <v>355.9</v>
      </c>
      <c r="K37" s="284">
        <f t="shared" si="5"/>
        <v>146.6</v>
      </c>
      <c r="L37" s="284">
        <f t="shared" si="5"/>
        <v>52.1</v>
      </c>
      <c r="M37" s="284">
        <f t="shared" si="5"/>
        <v>52.7</v>
      </c>
      <c r="N37" s="287">
        <f t="shared" si="5"/>
        <v>21.4</v>
      </c>
      <c r="O37" s="458">
        <f>ROUND(AVERAGE(O5:O34),1)</f>
        <v>1448.3</v>
      </c>
      <c r="P37" s="455">
        <f>ROUND(AVERAGE(P5:P34),1)</f>
        <v>120.7</v>
      </c>
    </row>
    <row r="38" spans="2:16" ht="21.95" customHeight="1"/>
    <row r="39" spans="2:16" ht="21.95" customHeight="1" thickBot="1"/>
    <row r="40" spans="2:16" ht="34.5" customHeight="1">
      <c r="B40" s="693" t="s">
        <v>40</v>
      </c>
      <c r="C40" s="694" t="s">
        <v>31</v>
      </c>
      <c r="D40" s="694" t="s">
        <v>32</v>
      </c>
      <c r="E40" s="694" t="s">
        <v>33</v>
      </c>
      <c r="F40" s="694" t="s">
        <v>34</v>
      </c>
      <c r="G40" s="694" t="s">
        <v>35</v>
      </c>
      <c r="H40" s="694" t="s">
        <v>12</v>
      </c>
      <c r="I40" s="694" t="s">
        <v>13</v>
      </c>
      <c r="J40" s="694" t="s">
        <v>14</v>
      </c>
      <c r="K40" s="694" t="s">
        <v>15</v>
      </c>
      <c r="L40" s="694" t="s">
        <v>16</v>
      </c>
      <c r="M40" s="694" t="s">
        <v>17</v>
      </c>
      <c r="N40" s="695" t="s">
        <v>18</v>
      </c>
      <c r="O40" s="693" t="s">
        <v>43</v>
      </c>
      <c r="P40" s="696" t="s">
        <v>30</v>
      </c>
    </row>
    <row r="41" spans="2:16" ht="22.5" customHeight="1">
      <c r="B41" s="451">
        <f>B25</f>
        <v>2015</v>
      </c>
      <c r="C41" s="449">
        <f t="shared" ref="C41:N41" si="6">C25</f>
        <v>11.3</v>
      </c>
      <c r="D41" s="449">
        <f t="shared" si="6"/>
        <v>22.7</v>
      </c>
      <c r="E41" s="449">
        <f t="shared" si="6"/>
        <v>9.6</v>
      </c>
      <c r="F41" s="449">
        <f t="shared" si="6"/>
        <v>80.5</v>
      </c>
      <c r="G41" s="449">
        <f t="shared" si="6"/>
        <v>28.9</v>
      </c>
      <c r="H41" s="449">
        <f t="shared" si="6"/>
        <v>99</v>
      </c>
      <c r="I41" s="449">
        <f t="shared" si="6"/>
        <v>226</v>
      </c>
      <c r="J41" s="449">
        <f t="shared" si="6"/>
        <v>72.900000000000006</v>
      </c>
      <c r="K41" s="449">
        <f t="shared" si="6"/>
        <v>26</v>
      </c>
      <c r="L41" s="449">
        <f t="shared" si="6"/>
        <v>81.5</v>
      </c>
      <c r="M41" s="449">
        <f t="shared" si="6"/>
        <v>104.6</v>
      </c>
      <c r="N41" s="466">
        <f t="shared" si="6"/>
        <v>29.1</v>
      </c>
      <c r="O41" s="451">
        <f>ROUND(SUM(C41:N41),1)</f>
        <v>792.1</v>
      </c>
      <c r="P41" s="452">
        <f>ROUND(O41/12,1)</f>
        <v>66</v>
      </c>
    </row>
    <row r="42" spans="2:16" ht="22.5" customHeight="1">
      <c r="B42" s="451">
        <f t="shared" ref="B42:N42" si="7">B26</f>
        <v>2016</v>
      </c>
      <c r="C42" s="449">
        <f t="shared" si="7"/>
        <v>1</v>
      </c>
      <c r="D42" s="449">
        <f t="shared" si="7"/>
        <v>47.6</v>
      </c>
      <c r="E42" s="449">
        <f t="shared" si="7"/>
        <v>40.5</v>
      </c>
      <c r="F42" s="449">
        <f t="shared" si="7"/>
        <v>76.8</v>
      </c>
      <c r="G42" s="449">
        <f t="shared" si="7"/>
        <v>160.5</v>
      </c>
      <c r="H42" s="449">
        <f t="shared" si="7"/>
        <v>54.4</v>
      </c>
      <c r="I42" s="449">
        <f t="shared" si="7"/>
        <v>358.2</v>
      </c>
      <c r="J42" s="449">
        <f t="shared" si="7"/>
        <v>67.099999999999994</v>
      </c>
      <c r="K42" s="449">
        <f t="shared" si="7"/>
        <v>33</v>
      </c>
      <c r="L42" s="449">
        <f t="shared" si="7"/>
        <v>74.8</v>
      </c>
      <c r="M42" s="449">
        <f t="shared" si="7"/>
        <v>16.7</v>
      </c>
      <c r="N42" s="466">
        <f t="shared" si="7"/>
        <v>61.1</v>
      </c>
      <c r="O42" s="451">
        <f t="shared" ref="O42:O50" si="8">ROUND(SUM(C42:N42),1)</f>
        <v>991.7</v>
      </c>
      <c r="P42" s="452">
        <f t="shared" ref="P42:P50" si="9">ROUND(O42/12,1)</f>
        <v>82.6</v>
      </c>
    </row>
    <row r="43" spans="2:16" ht="22.5" customHeight="1">
      <c r="B43" s="451">
        <f t="shared" ref="B43:N43" si="10">B27</f>
        <v>2017</v>
      </c>
      <c r="C43" s="449">
        <f t="shared" si="10"/>
        <v>14.9</v>
      </c>
      <c r="D43" s="449">
        <f t="shared" si="10"/>
        <v>11.1</v>
      </c>
      <c r="E43" s="449">
        <f t="shared" si="10"/>
        <v>7.9</v>
      </c>
      <c r="F43" s="449">
        <f t="shared" si="10"/>
        <v>61.6</v>
      </c>
      <c r="G43" s="449">
        <f t="shared" si="10"/>
        <v>16.100000000000001</v>
      </c>
      <c r="H43" s="449">
        <f t="shared" si="10"/>
        <v>66.599999999999994</v>
      </c>
      <c r="I43" s="449">
        <f t="shared" si="10"/>
        <v>621</v>
      </c>
      <c r="J43" s="449">
        <f t="shared" si="10"/>
        <v>297</v>
      </c>
      <c r="K43" s="449">
        <f t="shared" si="10"/>
        <v>35</v>
      </c>
      <c r="L43" s="449">
        <f t="shared" si="10"/>
        <v>26.5</v>
      </c>
      <c r="M43" s="449">
        <f t="shared" si="10"/>
        <v>40.700000000000003</v>
      </c>
      <c r="N43" s="466">
        <f t="shared" si="10"/>
        <v>34.799999999999997</v>
      </c>
      <c r="O43" s="451">
        <f t="shared" si="8"/>
        <v>1233.2</v>
      </c>
      <c r="P43" s="452">
        <f t="shared" si="9"/>
        <v>102.8</v>
      </c>
    </row>
    <row r="44" spans="2:16" ht="22.5" customHeight="1">
      <c r="B44" s="451">
        <f t="shared" ref="B44:N44" si="11">B28</f>
        <v>2018</v>
      </c>
      <c r="C44" s="449">
        <f t="shared" si="11"/>
        <v>8.5</v>
      </c>
      <c r="D44" s="449">
        <f t="shared" si="11"/>
        <v>29.6</v>
      </c>
      <c r="E44" s="449">
        <f t="shared" si="11"/>
        <v>49.5</v>
      </c>
      <c r="F44" s="449">
        <f t="shared" si="11"/>
        <v>130.30000000000001</v>
      </c>
      <c r="G44" s="449">
        <f t="shared" si="11"/>
        <v>222</v>
      </c>
      <c r="H44" s="449">
        <f t="shared" si="11"/>
        <v>171.5</v>
      </c>
      <c r="I44" s="449">
        <f t="shared" si="11"/>
        <v>185.6</v>
      </c>
      <c r="J44" s="449">
        <f t="shared" si="11"/>
        <v>202.6</v>
      </c>
      <c r="K44" s="449">
        <f t="shared" si="11"/>
        <v>68.5</v>
      </c>
      <c r="L44" s="449">
        <f t="shared" si="11"/>
        <v>120.5</v>
      </c>
      <c r="M44" s="449">
        <f t="shared" si="11"/>
        <v>79.099999999999994</v>
      </c>
      <c r="N44" s="466">
        <f t="shared" si="11"/>
        <v>16.399999999999999</v>
      </c>
      <c r="O44" s="451">
        <f t="shared" si="8"/>
        <v>1284.0999999999999</v>
      </c>
      <c r="P44" s="452">
        <f t="shared" si="9"/>
        <v>107</v>
      </c>
    </row>
    <row r="45" spans="2:16" ht="22.5" customHeight="1">
      <c r="B45" s="451">
        <f t="shared" ref="B45:N45" si="12">B29</f>
        <v>2019</v>
      </c>
      <c r="C45" s="449">
        <f t="shared" si="12"/>
        <v>0</v>
      </c>
      <c r="D45" s="449">
        <f t="shared" si="12"/>
        <v>23.8</v>
      </c>
      <c r="E45" s="449">
        <f t="shared" si="12"/>
        <v>26.8</v>
      </c>
      <c r="F45" s="449">
        <f t="shared" si="12"/>
        <v>47.3</v>
      </c>
      <c r="G45" s="449">
        <f t="shared" si="12"/>
        <v>37.799999999999997</v>
      </c>
      <c r="H45" s="449">
        <f t="shared" si="12"/>
        <v>74</v>
      </c>
      <c r="I45" s="449">
        <f t="shared" si="12"/>
        <v>194.4</v>
      </c>
      <c r="J45" s="449">
        <f t="shared" si="12"/>
        <v>190.5</v>
      </c>
      <c r="K45" s="449">
        <f t="shared" si="12"/>
        <v>139.80000000000001</v>
      </c>
      <c r="L45" s="449">
        <f t="shared" si="12"/>
        <v>55.5</v>
      </c>
      <c r="M45" s="449">
        <f t="shared" si="12"/>
        <v>78.8</v>
      </c>
      <c r="N45" s="466">
        <f t="shared" si="12"/>
        <v>22.6</v>
      </c>
      <c r="O45" s="451">
        <f t="shared" si="8"/>
        <v>891.3</v>
      </c>
      <c r="P45" s="452">
        <f t="shared" si="9"/>
        <v>74.3</v>
      </c>
    </row>
    <row r="46" spans="2:16" ht="22.5" customHeight="1">
      <c r="B46" s="451">
        <f t="shared" ref="B46:N46" si="13">B30</f>
        <v>2020</v>
      </c>
      <c r="C46" s="449">
        <f t="shared" si="13"/>
        <v>60.5</v>
      </c>
      <c r="D46" s="449">
        <f t="shared" si="13"/>
        <v>53.1</v>
      </c>
      <c r="E46" s="449">
        <f t="shared" si="13"/>
        <v>16.3</v>
      </c>
      <c r="F46" s="449">
        <f t="shared" si="13"/>
        <v>16.899999999999999</v>
      </c>
      <c r="G46" s="449">
        <f t="shared" si="13"/>
        <v>112.4</v>
      </c>
      <c r="H46" s="449">
        <f t="shared" si="13"/>
        <v>139.6</v>
      </c>
      <c r="I46" s="449">
        <f t="shared" si="13"/>
        <v>270.39999999999998</v>
      </c>
      <c r="J46" s="449">
        <f t="shared" si="13"/>
        <v>675.7</v>
      </c>
      <c r="K46" s="449">
        <f t="shared" si="13"/>
        <v>181.5</v>
      </c>
      <c r="L46" s="449">
        <f t="shared" si="13"/>
        <v>0</v>
      </c>
      <c r="M46" s="449">
        <f t="shared" si="13"/>
        <v>120.1</v>
      </c>
      <c r="N46" s="466">
        <f t="shared" si="13"/>
        <v>4.5999999999999996</v>
      </c>
      <c r="O46" s="451">
        <f t="shared" si="8"/>
        <v>1651.1</v>
      </c>
      <c r="P46" s="452">
        <f t="shared" si="9"/>
        <v>137.6</v>
      </c>
    </row>
    <row r="47" spans="2:16" ht="22.5" customHeight="1">
      <c r="B47" s="451">
        <f t="shared" ref="B47:N47" si="14">B31</f>
        <v>2021</v>
      </c>
      <c r="C47" s="449">
        <f t="shared" si="14"/>
        <v>18.899999999999999</v>
      </c>
      <c r="D47" s="449">
        <f t="shared" si="14"/>
        <v>7.1</v>
      </c>
      <c r="E47" s="449">
        <f t="shared" si="14"/>
        <v>110.9</v>
      </c>
      <c r="F47" s="449">
        <f t="shared" si="14"/>
        <v>124.1</v>
      </c>
      <c r="G47" s="449">
        <f t="shared" si="14"/>
        <v>183.1</v>
      </c>
      <c r="H47" s="449">
        <f t="shared" si="14"/>
        <v>104.6</v>
      </c>
      <c r="I47" s="449">
        <f t="shared" si="14"/>
        <v>168.3</v>
      </c>
      <c r="J47" s="449">
        <f t="shared" si="14"/>
        <v>211.2</v>
      </c>
      <c r="K47" s="449">
        <f t="shared" si="14"/>
        <v>131</v>
      </c>
      <c r="L47" s="449">
        <f t="shared" si="14"/>
        <v>57</v>
      </c>
      <c r="M47" s="449">
        <f t="shared" si="14"/>
        <v>62.4</v>
      </c>
      <c r="N47" s="466">
        <f t="shared" si="14"/>
        <v>7.9</v>
      </c>
      <c r="O47" s="451">
        <f t="shared" si="8"/>
        <v>1186.5</v>
      </c>
      <c r="P47" s="452">
        <f t="shared" si="9"/>
        <v>98.9</v>
      </c>
    </row>
    <row r="48" spans="2:16" ht="22.5" customHeight="1">
      <c r="B48" s="451">
        <f t="shared" ref="B48:N48" si="15">B32</f>
        <v>2022</v>
      </c>
      <c r="C48" s="449">
        <f t="shared" si="15"/>
        <v>5.5</v>
      </c>
      <c r="D48" s="449">
        <f t="shared" si="15"/>
        <v>4.7</v>
      </c>
      <c r="E48" s="449">
        <f t="shared" si="15"/>
        <v>102.6</v>
      </c>
      <c r="F48" s="449">
        <f t="shared" si="15"/>
        <v>20.399999999999999</v>
      </c>
      <c r="G48" s="449">
        <f t="shared" si="15"/>
        <v>7.5</v>
      </c>
      <c r="H48" s="449">
        <f t="shared" si="15"/>
        <v>393.8</v>
      </c>
      <c r="I48" s="449">
        <f t="shared" si="15"/>
        <v>252.3</v>
      </c>
      <c r="J48" s="449">
        <f t="shared" si="15"/>
        <v>564.79999999999995</v>
      </c>
      <c r="K48" s="449">
        <f t="shared" si="15"/>
        <v>201.5</v>
      </c>
      <c r="L48" s="449">
        <f t="shared" si="15"/>
        <v>124.1</v>
      </c>
      <c r="M48" s="449">
        <f t="shared" si="15"/>
        <v>84.5</v>
      </c>
      <c r="N48" s="466">
        <f t="shared" si="15"/>
        <v>13.6</v>
      </c>
      <c r="O48" s="451">
        <f t="shared" si="8"/>
        <v>1775.3</v>
      </c>
      <c r="P48" s="452">
        <f t="shared" si="9"/>
        <v>147.9</v>
      </c>
    </row>
    <row r="49" spans="2:16" ht="22.5" customHeight="1">
      <c r="B49" s="451">
        <f t="shared" ref="B49:N49" si="16">B33</f>
        <v>2023</v>
      </c>
      <c r="C49" s="449">
        <f t="shared" si="16"/>
        <v>47.9</v>
      </c>
      <c r="D49" s="449">
        <f t="shared" si="16"/>
        <v>1</v>
      </c>
      <c r="E49" s="449">
        <f t="shared" si="16"/>
        <v>10.5</v>
      </c>
      <c r="F49" s="449">
        <f t="shared" si="16"/>
        <v>96.9</v>
      </c>
      <c r="G49" s="449">
        <f t="shared" si="16"/>
        <v>155.6</v>
      </c>
      <c r="H49" s="449">
        <f t="shared" si="16"/>
        <v>195.6</v>
      </c>
      <c r="I49" s="449">
        <f t="shared" si="16"/>
        <v>459.9</v>
      </c>
      <c r="J49" s="449">
        <f t="shared" si="16"/>
        <v>298.10000000000002</v>
      </c>
      <c r="K49" s="449">
        <f t="shared" si="16"/>
        <v>134.5</v>
      </c>
      <c r="L49" s="449">
        <f t="shared" si="16"/>
        <v>31</v>
      </c>
      <c r="M49" s="449">
        <f t="shared" si="16"/>
        <v>81.900000000000006</v>
      </c>
      <c r="N49" s="466">
        <f t="shared" si="16"/>
        <v>85.9</v>
      </c>
      <c r="O49" s="451">
        <f t="shared" si="8"/>
        <v>1598.8</v>
      </c>
      <c r="P49" s="452">
        <f t="shared" si="9"/>
        <v>133.19999999999999</v>
      </c>
    </row>
    <row r="50" spans="2:16" ht="22.5" customHeight="1" thickBot="1">
      <c r="B50" s="469">
        <f t="shared" ref="B50:N50" si="17">B34</f>
        <v>2024</v>
      </c>
      <c r="C50" s="460">
        <f t="shared" si="17"/>
        <v>18.899999999999999</v>
      </c>
      <c r="D50" s="460">
        <f t="shared" si="17"/>
        <v>74.7</v>
      </c>
      <c r="E50" s="460">
        <f>E34</f>
        <v>29.9</v>
      </c>
      <c r="F50" s="460">
        <f t="shared" si="17"/>
        <v>33.200000000000003</v>
      </c>
      <c r="G50" s="460">
        <f t="shared" si="17"/>
        <v>125.1</v>
      </c>
      <c r="H50" s="460">
        <f t="shared" si="17"/>
        <v>115.9</v>
      </c>
      <c r="I50" s="460">
        <f t="shared" si="17"/>
        <v>557.29999999999995</v>
      </c>
      <c r="J50" s="460">
        <f t="shared" si="17"/>
        <v>72.8</v>
      </c>
      <c r="K50" s="460">
        <f t="shared" si="17"/>
        <v>143.9</v>
      </c>
      <c r="L50" s="460">
        <f t="shared" si="17"/>
        <v>74</v>
      </c>
      <c r="M50" s="460">
        <f t="shared" si="17"/>
        <v>60</v>
      </c>
      <c r="N50" s="470">
        <f t="shared" si="17"/>
        <v>5.7</v>
      </c>
      <c r="O50" s="469">
        <f t="shared" si="8"/>
        <v>1311.4</v>
      </c>
      <c r="P50" s="461">
        <f t="shared" si="9"/>
        <v>109.3</v>
      </c>
    </row>
    <row r="51" spans="2:16" ht="22.5" customHeight="1">
      <c r="B51" s="471" t="s">
        <v>46</v>
      </c>
      <c r="C51" s="472">
        <f>MAX(C41:C50)</f>
        <v>60.5</v>
      </c>
      <c r="D51" s="472">
        <f t="shared" ref="D51:P51" si="18">MAX(D41:D50)</f>
        <v>74.7</v>
      </c>
      <c r="E51" s="472">
        <f t="shared" si="18"/>
        <v>110.9</v>
      </c>
      <c r="F51" s="472">
        <f t="shared" si="18"/>
        <v>130.30000000000001</v>
      </c>
      <c r="G51" s="472">
        <f t="shared" si="18"/>
        <v>222</v>
      </c>
      <c r="H51" s="472">
        <f t="shared" si="18"/>
        <v>393.8</v>
      </c>
      <c r="I51" s="472">
        <f t="shared" si="18"/>
        <v>621</v>
      </c>
      <c r="J51" s="472">
        <f t="shared" si="18"/>
        <v>675.7</v>
      </c>
      <c r="K51" s="472">
        <f t="shared" si="18"/>
        <v>201.5</v>
      </c>
      <c r="L51" s="472">
        <f t="shared" si="18"/>
        <v>124.1</v>
      </c>
      <c r="M51" s="472">
        <f t="shared" si="18"/>
        <v>120.1</v>
      </c>
      <c r="N51" s="473">
        <f t="shared" si="18"/>
        <v>85.9</v>
      </c>
      <c r="O51" s="471">
        <f t="shared" si="18"/>
        <v>1775.3</v>
      </c>
      <c r="P51" s="474">
        <f t="shared" si="18"/>
        <v>147.9</v>
      </c>
    </row>
    <row r="52" spans="2:16" ht="22.5" customHeight="1">
      <c r="B52" s="451" t="s">
        <v>47</v>
      </c>
      <c r="C52" s="449">
        <f>MIN(C41:C50)</f>
        <v>0</v>
      </c>
      <c r="D52" s="449">
        <f t="shared" ref="D52:P52" si="19">MIN(D41:D50)</f>
        <v>1</v>
      </c>
      <c r="E52" s="449">
        <f t="shared" si="19"/>
        <v>7.9</v>
      </c>
      <c r="F52" s="449">
        <f t="shared" si="19"/>
        <v>16.899999999999999</v>
      </c>
      <c r="G52" s="449">
        <f t="shared" si="19"/>
        <v>7.5</v>
      </c>
      <c r="H52" s="449">
        <f t="shared" si="19"/>
        <v>54.4</v>
      </c>
      <c r="I52" s="449">
        <f t="shared" si="19"/>
        <v>168.3</v>
      </c>
      <c r="J52" s="449">
        <f t="shared" si="19"/>
        <v>67.099999999999994</v>
      </c>
      <c r="K52" s="449">
        <f t="shared" si="19"/>
        <v>26</v>
      </c>
      <c r="L52" s="449">
        <f t="shared" si="19"/>
        <v>0</v>
      </c>
      <c r="M52" s="449">
        <f t="shared" si="19"/>
        <v>16.7</v>
      </c>
      <c r="N52" s="466">
        <f t="shared" si="19"/>
        <v>4.5999999999999996</v>
      </c>
      <c r="O52" s="451">
        <f>MIN(O41:O50)</f>
        <v>792.1</v>
      </c>
      <c r="P52" s="452">
        <f t="shared" si="19"/>
        <v>66</v>
      </c>
    </row>
    <row r="53" spans="2:16" ht="22.5" customHeight="1" thickBot="1">
      <c r="B53" s="453" t="s">
        <v>30</v>
      </c>
      <c r="C53" s="454">
        <f>ROUND(AVERAGE(C41:C50),1)</f>
        <v>18.7</v>
      </c>
      <c r="D53" s="454">
        <f t="shared" ref="D53:N53" si="20">ROUND(AVERAGE(D41:D50),1)</f>
        <v>27.5</v>
      </c>
      <c r="E53" s="454">
        <f t="shared" si="20"/>
        <v>40.5</v>
      </c>
      <c r="F53" s="454">
        <f t="shared" si="20"/>
        <v>68.8</v>
      </c>
      <c r="G53" s="454">
        <f t="shared" si="20"/>
        <v>104.9</v>
      </c>
      <c r="H53" s="454">
        <f t="shared" si="20"/>
        <v>141.5</v>
      </c>
      <c r="I53" s="454">
        <f t="shared" si="20"/>
        <v>329.3</v>
      </c>
      <c r="J53" s="454">
        <f t="shared" si="20"/>
        <v>265.3</v>
      </c>
      <c r="K53" s="454">
        <f t="shared" si="20"/>
        <v>109.5</v>
      </c>
      <c r="L53" s="454">
        <f t="shared" si="20"/>
        <v>64.5</v>
      </c>
      <c r="M53" s="454">
        <f t="shared" si="20"/>
        <v>72.900000000000006</v>
      </c>
      <c r="N53" s="467">
        <f t="shared" si="20"/>
        <v>28.2</v>
      </c>
      <c r="O53" s="468">
        <f>ROUND(AVERAGE(O41:O50),1)</f>
        <v>1271.5999999999999</v>
      </c>
      <c r="P53" s="455">
        <f>ROUND(AVERAGE(P41:P50),1)</f>
        <v>106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U62" sqref="U62"/>
    </sheetView>
  </sheetViews>
  <sheetFormatPr defaultColWidth="8.88671875" defaultRowHeight="16.5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41"/>
      <c r="C2" s="642" t="s">
        <v>7</v>
      </c>
      <c r="D2" s="642" t="s">
        <v>8</v>
      </c>
      <c r="E2" s="642" t="s">
        <v>9</v>
      </c>
      <c r="F2" s="642" t="s">
        <v>10</v>
      </c>
      <c r="G2" s="642" t="s">
        <v>11</v>
      </c>
      <c r="H2" s="642" t="s">
        <v>12</v>
      </c>
      <c r="I2" s="642" t="s">
        <v>13</v>
      </c>
      <c r="J2" s="642" t="s">
        <v>14</v>
      </c>
      <c r="K2" s="642" t="s">
        <v>15</v>
      </c>
      <c r="L2" s="642" t="s">
        <v>16</v>
      </c>
      <c r="M2" s="642" t="s">
        <v>17</v>
      </c>
      <c r="N2" s="642" t="s">
        <v>18</v>
      </c>
      <c r="O2" s="642" t="s">
        <v>28</v>
      </c>
      <c r="P2" s="643" t="s">
        <v>20</v>
      </c>
    </row>
    <row r="3" spans="2:16">
      <c r="B3" s="422">
        <f>All!B5</f>
        <v>1995</v>
      </c>
      <c r="C3" s="421">
        <f>All!C5</f>
        <v>11.6</v>
      </c>
      <c r="D3" s="421">
        <f>All!D5</f>
        <v>5.2</v>
      </c>
      <c r="E3" s="421">
        <f>All!E5</f>
        <v>60.6</v>
      </c>
      <c r="F3" s="421">
        <f>All!F5</f>
        <v>44.4</v>
      </c>
      <c r="G3" s="421">
        <f>All!G5</f>
        <v>60.6</v>
      </c>
      <c r="H3" s="421">
        <f>All!H5</f>
        <v>70.7</v>
      </c>
      <c r="I3" s="421">
        <f>All!I5</f>
        <v>436.1</v>
      </c>
      <c r="J3" s="421">
        <f>All!J5</f>
        <v>786.6</v>
      </c>
      <c r="K3" s="421">
        <f>All!K5</f>
        <v>47.2</v>
      </c>
      <c r="L3" s="421">
        <f>All!L5</f>
        <v>39.299999999999997</v>
      </c>
      <c r="M3" s="421">
        <f>All!M5</f>
        <v>32.9</v>
      </c>
      <c r="N3" s="421">
        <f>All!N5</f>
        <v>3.4</v>
      </c>
      <c r="O3" s="421">
        <f>All!O5</f>
        <v>1598.6</v>
      </c>
      <c r="P3" s="423">
        <f>All!P5</f>
        <v>133.19999999999999</v>
      </c>
    </row>
    <row r="4" spans="2:16">
      <c r="B4" s="422">
        <f>All!B6</f>
        <v>1996</v>
      </c>
      <c r="C4" s="421">
        <f>All!C6</f>
        <v>16.3</v>
      </c>
      <c r="D4" s="421">
        <f>All!D6</f>
        <v>1</v>
      </c>
      <c r="E4" s="421">
        <f>All!E6</f>
        <v>77.900000000000006</v>
      </c>
      <c r="F4" s="421">
        <f>All!F6</f>
        <v>62</v>
      </c>
      <c r="G4" s="421">
        <f>All!G6</f>
        <v>29.3</v>
      </c>
      <c r="H4" s="421">
        <f>All!H6</f>
        <v>249.7</v>
      </c>
      <c r="I4" s="421">
        <f>All!I6</f>
        <v>512.79999999999995</v>
      </c>
      <c r="J4" s="421">
        <f>All!J6</f>
        <v>132.4</v>
      </c>
      <c r="K4" s="421">
        <f>All!K6</f>
        <v>11</v>
      </c>
      <c r="L4" s="421">
        <f>All!L6</f>
        <v>90.3</v>
      </c>
      <c r="M4" s="421">
        <f>All!M6</f>
        <v>62.9</v>
      </c>
      <c r="N4" s="421">
        <f>All!N6</f>
        <v>11</v>
      </c>
      <c r="O4" s="421">
        <f>All!O6</f>
        <v>1256.5999999999999</v>
      </c>
      <c r="P4" s="423">
        <f>All!P6</f>
        <v>104.7</v>
      </c>
    </row>
    <row r="5" spans="2:16">
      <c r="B5" s="422">
        <f>All!B7</f>
        <v>1997</v>
      </c>
      <c r="C5" s="421">
        <f>All!C7</f>
        <v>16.8</v>
      </c>
      <c r="D5" s="421">
        <f>All!D7</f>
        <v>39.6</v>
      </c>
      <c r="E5" s="421">
        <f>All!E7</f>
        <v>25.3</v>
      </c>
      <c r="F5" s="421">
        <f>All!F7</f>
        <v>56.1</v>
      </c>
      <c r="G5" s="421">
        <f>All!G7</f>
        <v>291.3</v>
      </c>
      <c r="H5" s="421">
        <f>All!H7</f>
        <v>110</v>
      </c>
      <c r="I5" s="421">
        <f>All!I7</f>
        <v>299.60000000000002</v>
      </c>
      <c r="J5" s="421">
        <f>All!J7</f>
        <v>117.2</v>
      </c>
      <c r="K5" s="421">
        <f>All!K7</f>
        <v>76.900000000000006</v>
      </c>
      <c r="L5" s="421">
        <f>All!L7</f>
        <v>45.5</v>
      </c>
      <c r="M5" s="421">
        <f>All!M7</f>
        <v>93.8</v>
      </c>
      <c r="N5" s="421">
        <f>All!N7</f>
        <v>38.1</v>
      </c>
      <c r="O5" s="421">
        <f>All!O7</f>
        <v>1210.2</v>
      </c>
      <c r="P5" s="423">
        <f>All!P7</f>
        <v>100.9</v>
      </c>
    </row>
    <row r="6" spans="2:16">
      <c r="B6" s="422">
        <f>All!B8</f>
        <v>1998</v>
      </c>
      <c r="C6" s="421">
        <f>All!C8</f>
        <v>10.4</v>
      </c>
      <c r="D6" s="421">
        <f>All!D8</f>
        <v>32.299999999999997</v>
      </c>
      <c r="E6" s="421">
        <f>All!E8</f>
        <v>45.1</v>
      </c>
      <c r="F6" s="421">
        <f>All!F8</f>
        <v>120.2</v>
      </c>
      <c r="G6" s="421">
        <f>All!G8</f>
        <v>121.5</v>
      </c>
      <c r="H6" s="421">
        <f>All!H8</f>
        <v>234.1</v>
      </c>
      <c r="I6" s="421">
        <f>All!I8</f>
        <v>311.8</v>
      </c>
      <c r="J6" s="421">
        <f>All!J8</f>
        <v>1237.8</v>
      </c>
      <c r="K6" s="421">
        <f>All!K8</f>
        <v>177.9</v>
      </c>
      <c r="L6" s="421">
        <f>All!L8</f>
        <v>27.4</v>
      </c>
      <c r="M6" s="421">
        <f>All!M8</f>
        <v>26.9</v>
      </c>
      <c r="N6" s="421">
        <f>All!N8</f>
        <v>3.7</v>
      </c>
      <c r="O6" s="421">
        <f>All!O8</f>
        <v>2349.1</v>
      </c>
      <c r="P6" s="423">
        <f>All!P8</f>
        <v>195.8</v>
      </c>
    </row>
    <row r="7" spans="2:16">
      <c r="B7" s="422">
        <f>All!B9</f>
        <v>1999</v>
      </c>
      <c r="C7" s="421">
        <f>All!C9</f>
        <v>10.199999999999999</v>
      </c>
      <c r="D7" s="421">
        <f>All!D9</f>
        <v>2.9</v>
      </c>
      <c r="E7" s="421">
        <f>All!E9</f>
        <v>55</v>
      </c>
      <c r="F7" s="421">
        <f>All!F9</f>
        <v>97.2</v>
      </c>
      <c r="G7" s="421">
        <f>All!G9</f>
        <v>109.7</v>
      </c>
      <c r="H7" s="421">
        <f>All!H9</f>
        <v>131.80000000000001</v>
      </c>
      <c r="I7" s="421">
        <f>All!I9</f>
        <v>230.4</v>
      </c>
      <c r="J7" s="421">
        <f>All!J9</f>
        <v>600.5</v>
      </c>
      <c r="K7" s="421">
        <f>All!K9</f>
        <v>377.3</v>
      </c>
      <c r="L7" s="421">
        <f>All!L9</f>
        <v>81.599999999999994</v>
      </c>
      <c r="M7" s="421">
        <f>All!M9</f>
        <v>19.5</v>
      </c>
      <c r="N7" s="421">
        <f>All!N9</f>
        <v>17</v>
      </c>
      <c r="O7" s="421">
        <f>All!O9</f>
        <v>1733.1</v>
      </c>
      <c r="P7" s="423">
        <f>All!P9</f>
        <v>144.4</v>
      </c>
    </row>
    <row r="8" spans="2:16">
      <c r="B8" s="422">
        <f>All!B10</f>
        <v>2000</v>
      </c>
      <c r="C8" s="421">
        <f>All!C10</f>
        <v>42.8</v>
      </c>
      <c r="D8" s="421">
        <f>All!D10</f>
        <v>2.1</v>
      </c>
      <c r="E8" s="421">
        <f>All!E10</f>
        <v>3.1</v>
      </c>
      <c r="F8" s="421">
        <f>All!F10</f>
        <v>30.7</v>
      </c>
      <c r="G8" s="421">
        <f>All!G10</f>
        <v>75.2</v>
      </c>
      <c r="H8" s="421">
        <f>All!H10</f>
        <v>68.099999999999994</v>
      </c>
      <c r="I8" s="421">
        <f>All!I10</f>
        <v>114.7</v>
      </c>
      <c r="J8" s="421">
        <f>All!J10</f>
        <v>599.4</v>
      </c>
      <c r="K8" s="421">
        <f>All!K10</f>
        <v>178.5</v>
      </c>
      <c r="L8" s="421">
        <f>All!L10</f>
        <v>18.100000000000001</v>
      </c>
      <c r="M8" s="421">
        <f>All!M10</f>
        <v>27.1</v>
      </c>
      <c r="N8" s="421">
        <f>All!N10</f>
        <v>27</v>
      </c>
      <c r="O8" s="421">
        <f>All!O10</f>
        <v>1186.8</v>
      </c>
      <c r="P8" s="423">
        <f>All!P10</f>
        <v>98.9</v>
      </c>
    </row>
    <row r="9" spans="2:16">
      <c r="B9" s="422">
        <f>All!B11</f>
        <v>2001</v>
      </c>
      <c r="C9" s="421">
        <f>All!C11</f>
        <v>39.4</v>
      </c>
      <c r="D9" s="421">
        <f>All!D11</f>
        <v>45.7</v>
      </c>
      <c r="E9" s="421">
        <f>All!E11</f>
        <v>18.100000000000001</v>
      </c>
      <c r="F9" s="421">
        <f>All!F11</f>
        <v>12.3</v>
      </c>
      <c r="G9" s="421">
        <f>All!G11</f>
        <v>16.5</v>
      </c>
      <c r="H9" s="421">
        <f>All!H11</f>
        <v>157.4</v>
      </c>
      <c r="I9" s="421">
        <f>All!I11</f>
        <v>698.4</v>
      </c>
      <c r="J9" s="421">
        <f>All!J11</f>
        <v>252</v>
      </c>
      <c r="K9" s="421">
        <f>All!K11</f>
        <v>49.3</v>
      </c>
      <c r="L9" s="421">
        <f>All!L11</f>
        <v>68.2</v>
      </c>
      <c r="M9" s="421">
        <f>All!M11</f>
        <v>13</v>
      </c>
      <c r="N9" s="421">
        <f>All!N11</f>
        <v>15.7</v>
      </c>
      <c r="O9" s="421">
        <f>All!O11</f>
        <v>1386</v>
      </c>
      <c r="P9" s="423">
        <f>All!P11</f>
        <v>115.5</v>
      </c>
    </row>
    <row r="10" spans="2:16">
      <c r="B10" s="422">
        <f>All!B12</f>
        <v>2002</v>
      </c>
      <c r="C10" s="421">
        <f>All!C12</f>
        <v>37.4</v>
      </c>
      <c r="D10" s="421">
        <f>All!D12</f>
        <v>2.4</v>
      </c>
      <c r="E10" s="421">
        <f>All!E12</f>
        <v>31.5</v>
      </c>
      <c r="F10" s="421">
        <f>All!F12</f>
        <v>155.1</v>
      </c>
      <c r="G10" s="421">
        <f>All!G12</f>
        <v>58</v>
      </c>
      <c r="H10" s="421">
        <f>All!H12</f>
        <v>61.4</v>
      </c>
      <c r="I10" s="421">
        <f>All!I12</f>
        <v>220.6</v>
      </c>
      <c r="J10" s="421">
        <f>All!J12</f>
        <v>688</v>
      </c>
      <c r="K10" s="421">
        <f>All!K12</f>
        <v>61.1</v>
      </c>
      <c r="L10" s="421">
        <f>All!L12</f>
        <v>45</v>
      </c>
      <c r="M10" s="421">
        <f>All!M12</f>
        <v>12.5</v>
      </c>
      <c r="N10" s="421">
        <f>All!N12</f>
        <v>15</v>
      </c>
      <c r="O10" s="421">
        <f>All!O12</f>
        <v>1388</v>
      </c>
      <c r="P10" s="423">
        <f>All!P12</f>
        <v>115.7</v>
      </c>
    </row>
    <row r="11" spans="2:16">
      <c r="B11" s="422">
        <f>All!B13</f>
        <v>2003</v>
      </c>
      <c r="C11" s="421">
        <f>All!C13</f>
        <v>14.1</v>
      </c>
      <c r="D11" s="421">
        <f>All!D13</f>
        <v>39.6</v>
      </c>
      <c r="E11" s="421">
        <f>All!E13</f>
        <v>26.8</v>
      </c>
      <c r="F11" s="421">
        <f>All!F13</f>
        <v>139.6</v>
      </c>
      <c r="G11" s="421">
        <f>All!G13</f>
        <v>106</v>
      </c>
      <c r="H11" s="421">
        <f>All!H13</f>
        <v>156</v>
      </c>
      <c r="I11" s="421">
        <f>All!I13</f>
        <v>469.8</v>
      </c>
      <c r="J11" s="421">
        <f>All!J13</f>
        <v>684.2</v>
      </c>
      <c r="K11" s="421">
        <f>All!K13</f>
        <v>258.2</v>
      </c>
      <c r="L11" s="421">
        <f>All!L13</f>
        <v>41.5</v>
      </c>
      <c r="M11" s="421">
        <f>All!M13</f>
        <v>69.3</v>
      </c>
      <c r="N11" s="421">
        <f>All!N13</f>
        <v>6.9</v>
      </c>
      <c r="O11" s="421">
        <f>All!O13</f>
        <v>2012</v>
      </c>
      <c r="P11" s="423">
        <f>All!P13</f>
        <v>167.7</v>
      </c>
    </row>
    <row r="12" spans="2:16">
      <c r="B12" s="422">
        <f>All!B14</f>
        <v>2004</v>
      </c>
      <c r="C12" s="421">
        <f>All!C14</f>
        <v>19.8</v>
      </c>
      <c r="D12" s="421">
        <f>All!D14</f>
        <v>54.6</v>
      </c>
      <c r="E12" s="421">
        <f>All!E14</f>
        <v>27.6</v>
      </c>
      <c r="F12" s="421">
        <f>All!F14</f>
        <v>74.099999999999994</v>
      </c>
      <c r="G12" s="421">
        <f>All!G14</f>
        <v>168.5</v>
      </c>
      <c r="H12" s="421">
        <f>All!H14</f>
        <v>138.1</v>
      </c>
      <c r="I12" s="421">
        <f>All!I14</f>
        <v>510.7</v>
      </c>
      <c r="J12" s="421">
        <f>All!J14</f>
        <v>193.3</v>
      </c>
      <c r="K12" s="421">
        <f>All!K14</f>
        <v>198.7</v>
      </c>
      <c r="L12" s="421">
        <f>All!L14</f>
        <v>6.5</v>
      </c>
      <c r="M12" s="421">
        <f>All!M14</f>
        <v>80</v>
      </c>
      <c r="N12" s="421">
        <f>All!N14</f>
        <v>27.2</v>
      </c>
      <c r="O12" s="421">
        <f>All!O14</f>
        <v>1499.1</v>
      </c>
      <c r="P12" s="423">
        <f>All!P14</f>
        <v>124.9</v>
      </c>
    </row>
    <row r="13" spans="2:16">
      <c r="B13" s="422">
        <f>All!B15</f>
        <v>2005</v>
      </c>
      <c r="C13" s="421">
        <f>All!C15</f>
        <v>4.5</v>
      </c>
      <c r="D13" s="421">
        <f>All!D15</f>
        <v>17.2</v>
      </c>
      <c r="E13" s="421">
        <f>All!E15</f>
        <v>12.5</v>
      </c>
      <c r="F13" s="421">
        <f>All!F15</f>
        <v>94.7</v>
      </c>
      <c r="G13" s="421">
        <f>All!G15</f>
        <v>85.8</v>
      </c>
      <c r="H13" s="421">
        <f>All!H15</f>
        <v>168.5</v>
      </c>
      <c r="I13" s="421">
        <f>All!I15</f>
        <v>269.39999999999998</v>
      </c>
      <c r="J13" s="421">
        <f>All!J15</f>
        <v>285</v>
      </c>
      <c r="K13" s="421">
        <f>All!K15</f>
        <v>313.3</v>
      </c>
      <c r="L13" s="421">
        <f>All!L15</f>
        <v>52.6</v>
      </c>
      <c r="M13" s="421">
        <f>All!M15</f>
        <v>44.6</v>
      </c>
      <c r="N13" s="421">
        <f>All!N15</f>
        <v>10.3</v>
      </c>
      <c r="O13" s="421">
        <f>All!O15</f>
        <v>1358.4</v>
      </c>
      <c r="P13" s="423">
        <f>All!P15</f>
        <v>113.2</v>
      </c>
    </row>
    <row r="14" spans="2:16">
      <c r="B14" s="422">
        <f>All!B16</f>
        <v>2006</v>
      </c>
      <c r="C14" s="421">
        <f>All!C16</f>
        <v>34.299999999999997</v>
      </c>
      <c r="D14" s="421">
        <f>All!D16</f>
        <v>15.7</v>
      </c>
      <c r="E14" s="421">
        <f>All!E16</f>
        <v>14</v>
      </c>
      <c r="F14" s="421">
        <f>All!F16</f>
        <v>51.8</v>
      </c>
      <c r="G14" s="421">
        <f>All!G16</f>
        <v>156.19999999999999</v>
      </c>
      <c r="H14" s="421">
        <f>All!H16</f>
        <v>168.5</v>
      </c>
      <c r="I14" s="421">
        <f>All!I16</f>
        <v>1014</v>
      </c>
      <c r="J14" s="421">
        <f>All!J16</f>
        <v>121.2</v>
      </c>
      <c r="K14" s="421">
        <f>All!K16</f>
        <v>11.1</v>
      </c>
      <c r="L14" s="421">
        <f>All!L16</f>
        <v>30.2</v>
      </c>
      <c r="M14" s="421">
        <f>All!M16</f>
        <v>47.6</v>
      </c>
      <c r="N14" s="421">
        <f>All!N16</f>
        <v>17.3</v>
      </c>
      <c r="O14" s="421">
        <f>All!O16</f>
        <v>1681.9</v>
      </c>
      <c r="P14" s="423">
        <f>All!P16</f>
        <v>140.19999999999999</v>
      </c>
    </row>
    <row r="15" spans="2:16">
      <c r="B15" s="422">
        <f>All!B17</f>
        <v>2007</v>
      </c>
      <c r="C15" s="421">
        <f>All!C17</f>
        <v>10.8</v>
      </c>
      <c r="D15" s="421">
        <f>All!D17</f>
        <v>12.6</v>
      </c>
      <c r="E15" s="421">
        <f>All!E17</f>
        <v>123.5</v>
      </c>
      <c r="F15" s="421">
        <f>All!F17</f>
        <v>41.1</v>
      </c>
      <c r="G15" s="421">
        <f>All!G17</f>
        <v>137.6</v>
      </c>
      <c r="H15" s="421">
        <f>All!H17</f>
        <v>54.5</v>
      </c>
      <c r="I15" s="421">
        <f>All!I17</f>
        <v>274.10000000000002</v>
      </c>
      <c r="J15" s="421">
        <f>All!J17</f>
        <v>237.6</v>
      </c>
      <c r="K15" s="421">
        <f>All!K17</f>
        <v>241.9</v>
      </c>
      <c r="L15" s="421">
        <f>All!L17</f>
        <v>39.5</v>
      </c>
      <c r="M15" s="421">
        <f>All!M17</f>
        <v>26.4</v>
      </c>
      <c r="N15" s="421">
        <f>All!N17</f>
        <v>12.7</v>
      </c>
      <c r="O15" s="421">
        <f>All!O17</f>
        <v>1212.3</v>
      </c>
      <c r="P15" s="423">
        <f>All!P17</f>
        <v>101</v>
      </c>
    </row>
    <row r="16" spans="2:16">
      <c r="B16" s="422">
        <f>All!B18</f>
        <v>2008</v>
      </c>
      <c r="C16" s="421">
        <f>All!C18</f>
        <v>17.7</v>
      </c>
      <c r="D16" s="421">
        <f>All!D18</f>
        <v>15</v>
      </c>
      <c r="E16" s="421">
        <f>All!E18</f>
        <v>53.9</v>
      </c>
      <c r="F16" s="421">
        <f>All!F18</f>
        <v>38.5</v>
      </c>
      <c r="G16" s="421">
        <f>All!G18</f>
        <v>97.7</v>
      </c>
      <c r="H16" s="421">
        <f>All!H18</f>
        <v>165</v>
      </c>
      <c r="I16" s="421">
        <f>All!I18</f>
        <v>530.79999999999995</v>
      </c>
      <c r="J16" s="421">
        <f>All!J18</f>
        <v>251.2</v>
      </c>
      <c r="K16" s="421">
        <f>All!K18</f>
        <v>99.2</v>
      </c>
      <c r="L16" s="421">
        <f>All!L18</f>
        <v>41.8</v>
      </c>
      <c r="M16" s="421">
        <f>All!M18</f>
        <v>19.600000000000001</v>
      </c>
      <c r="N16" s="421">
        <f>All!N18</f>
        <v>25.9</v>
      </c>
      <c r="O16" s="421">
        <f>All!O18</f>
        <v>1356.3</v>
      </c>
      <c r="P16" s="423">
        <f>All!P18</f>
        <v>113</v>
      </c>
    </row>
    <row r="17" spans="2:16">
      <c r="B17" s="422">
        <f>All!B19</f>
        <v>2009</v>
      </c>
      <c r="C17" s="421">
        <f>All!C19</f>
        <v>5.7</v>
      </c>
      <c r="D17" s="421">
        <f>All!D19</f>
        <v>36.9</v>
      </c>
      <c r="E17" s="421">
        <f>All!E19</f>
        <v>63.9</v>
      </c>
      <c r="F17" s="421">
        <f>All!F19</f>
        <v>66.5</v>
      </c>
      <c r="G17" s="421">
        <f>All!G19</f>
        <v>109</v>
      </c>
      <c r="H17" s="421">
        <f>All!H19</f>
        <v>132</v>
      </c>
      <c r="I17" s="421">
        <f>All!I19</f>
        <v>659.4</v>
      </c>
      <c r="J17" s="421">
        <f>All!J19</f>
        <v>285.3</v>
      </c>
      <c r="K17" s="421">
        <f>All!K19</f>
        <v>64.5</v>
      </c>
      <c r="L17" s="421">
        <f>All!L19</f>
        <v>66.900000000000006</v>
      </c>
      <c r="M17" s="421">
        <f>All!M19</f>
        <v>52.4</v>
      </c>
      <c r="N17" s="421">
        <f>All!N19</f>
        <v>21.5</v>
      </c>
      <c r="O17" s="421">
        <f>All!O19</f>
        <v>1564</v>
      </c>
      <c r="P17" s="423">
        <f>All!P19</f>
        <v>130.30000000000001</v>
      </c>
    </row>
    <row r="18" spans="2:16">
      <c r="B18" s="422">
        <f>All!B20</f>
        <v>2010</v>
      </c>
      <c r="C18" s="421">
        <f>All!C20</f>
        <v>29.3</v>
      </c>
      <c r="D18" s="421">
        <f>All!D20</f>
        <v>55.3</v>
      </c>
      <c r="E18" s="421">
        <f>All!E20</f>
        <v>82.5</v>
      </c>
      <c r="F18" s="421">
        <f>All!F20</f>
        <v>62.8</v>
      </c>
      <c r="G18" s="421">
        <f>All!G20</f>
        <v>124</v>
      </c>
      <c r="H18" s="421">
        <f>All!H20</f>
        <v>127.6</v>
      </c>
      <c r="I18" s="421">
        <f>All!I20</f>
        <v>239.2</v>
      </c>
      <c r="J18" s="421">
        <f>All!J20</f>
        <v>598.70000000000005</v>
      </c>
      <c r="K18" s="421">
        <f>All!K20</f>
        <v>671.5</v>
      </c>
      <c r="L18" s="421">
        <f>All!L20</f>
        <v>25.6</v>
      </c>
      <c r="M18" s="421">
        <f>All!M20</f>
        <v>10.9</v>
      </c>
      <c r="N18" s="421">
        <f>All!N20</f>
        <v>16.100000000000001</v>
      </c>
      <c r="O18" s="421">
        <f>All!O20</f>
        <v>2043.5</v>
      </c>
      <c r="P18" s="423">
        <f>All!P20</f>
        <v>170.3</v>
      </c>
    </row>
    <row r="19" spans="2:16">
      <c r="B19" s="422">
        <f>All!B21</f>
        <v>2011</v>
      </c>
      <c r="C19" s="421">
        <f>All!C21</f>
        <v>8.9</v>
      </c>
      <c r="D19" s="421">
        <f>All!D21</f>
        <v>29.1</v>
      </c>
      <c r="E19" s="421">
        <f>All!E21</f>
        <v>14.6</v>
      </c>
      <c r="F19" s="421">
        <f>All!F21</f>
        <v>110.1</v>
      </c>
      <c r="G19" s="421">
        <f>All!G21</f>
        <v>53.4</v>
      </c>
      <c r="H19" s="421">
        <f>All!H21</f>
        <v>404.5</v>
      </c>
      <c r="I19" s="421">
        <f>All!I21</f>
        <v>1131</v>
      </c>
      <c r="J19" s="421">
        <f>All!J21</f>
        <v>166.8</v>
      </c>
      <c r="K19" s="421">
        <f>All!K21</f>
        <v>25.6</v>
      </c>
      <c r="L19" s="421">
        <f>All!L21</f>
        <v>32</v>
      </c>
      <c r="M19" s="421">
        <f>All!M21</f>
        <v>56.2</v>
      </c>
      <c r="N19" s="421">
        <f>All!N21</f>
        <v>7.1</v>
      </c>
      <c r="O19" s="421">
        <f>All!O21</f>
        <v>2039.3</v>
      </c>
      <c r="P19" s="423">
        <f>All!P21</f>
        <v>169.9</v>
      </c>
    </row>
    <row r="20" spans="2:16">
      <c r="B20" s="422">
        <f>All!B22</f>
        <v>2012</v>
      </c>
      <c r="C20" s="421">
        <f>All!C22</f>
        <v>6.7</v>
      </c>
      <c r="D20" s="421">
        <f>All!D22</f>
        <v>0.8</v>
      </c>
      <c r="E20" s="421">
        <f>All!E22</f>
        <v>47.4</v>
      </c>
      <c r="F20" s="421">
        <f>All!F22</f>
        <v>157</v>
      </c>
      <c r="G20" s="421">
        <f>All!G22</f>
        <v>8.1999999999999993</v>
      </c>
      <c r="H20" s="421">
        <f>All!H22</f>
        <v>91.9</v>
      </c>
      <c r="I20" s="421">
        <f>All!I22</f>
        <v>448.9</v>
      </c>
      <c r="J20" s="421">
        <f>All!J22</f>
        <v>464.9</v>
      </c>
      <c r="K20" s="421">
        <f>All!K22</f>
        <v>212</v>
      </c>
      <c r="L20" s="421">
        <f>All!L22</f>
        <v>99.3</v>
      </c>
      <c r="M20" s="421">
        <f>All!M22</f>
        <v>67.8</v>
      </c>
      <c r="N20" s="421">
        <f>All!N22</f>
        <v>41.4</v>
      </c>
      <c r="O20" s="421">
        <f>All!O22</f>
        <v>1646.3</v>
      </c>
      <c r="P20" s="423">
        <f>All!P22</f>
        <v>137.19999999999999</v>
      </c>
    </row>
    <row r="21" spans="2:16">
      <c r="B21" s="422">
        <f>All!B23</f>
        <v>2013</v>
      </c>
      <c r="C21" s="421">
        <f>All!C23</f>
        <v>22.1</v>
      </c>
      <c r="D21" s="421">
        <f>All!D23</f>
        <v>74.099999999999994</v>
      </c>
      <c r="E21" s="421">
        <f>All!E23</f>
        <v>27.3</v>
      </c>
      <c r="F21" s="421">
        <f>All!F23</f>
        <v>71.7</v>
      </c>
      <c r="G21" s="421">
        <f>All!G23</f>
        <v>132</v>
      </c>
      <c r="H21" s="421">
        <f>All!H23</f>
        <v>28.3</v>
      </c>
      <c r="I21" s="421">
        <f>All!I23</f>
        <v>676.2</v>
      </c>
      <c r="J21" s="421">
        <f>All!J23</f>
        <v>148.6</v>
      </c>
      <c r="K21" s="421">
        <f>All!K23</f>
        <v>138.5</v>
      </c>
      <c r="L21" s="421">
        <f>All!L23</f>
        <v>13.5</v>
      </c>
      <c r="M21" s="421">
        <f>All!M23</f>
        <v>46.8</v>
      </c>
      <c r="N21" s="421">
        <f>All!N23</f>
        <v>24.7</v>
      </c>
      <c r="O21" s="421">
        <f>All!O23</f>
        <v>1403.8</v>
      </c>
      <c r="P21" s="423">
        <f>All!P23</f>
        <v>117</v>
      </c>
    </row>
    <row r="22" spans="2:16">
      <c r="B22" s="422">
        <f>All!B24</f>
        <v>2014</v>
      </c>
      <c r="C22" s="421">
        <f>All!C24</f>
        <v>13</v>
      </c>
      <c r="D22" s="421">
        <f>All!D24</f>
        <v>16.2</v>
      </c>
      <c r="E22" s="421">
        <f>All!E24</f>
        <v>7.2</v>
      </c>
      <c r="F22" s="421">
        <f>All!F24</f>
        <v>31</v>
      </c>
      <c r="G22" s="421">
        <f>All!G24</f>
        <v>63</v>
      </c>
      <c r="H22" s="421">
        <f>All!H24</f>
        <v>98.1</v>
      </c>
      <c r="I22" s="421">
        <f>All!I24</f>
        <v>207.9</v>
      </c>
      <c r="J22" s="421">
        <f>All!J24</f>
        <v>172.8</v>
      </c>
      <c r="K22" s="421">
        <f>All!K24</f>
        <v>88.1</v>
      </c>
      <c r="L22" s="421">
        <f>All!L24</f>
        <v>52.2</v>
      </c>
      <c r="M22" s="421">
        <f>All!M24</f>
        <v>41.5</v>
      </c>
      <c r="N22" s="421">
        <f>All!N24</f>
        <v>17.899999999999999</v>
      </c>
      <c r="O22" s="421">
        <f>All!O24</f>
        <v>808.9</v>
      </c>
      <c r="P22" s="423">
        <f>All!P24</f>
        <v>67.400000000000006</v>
      </c>
    </row>
    <row r="23" spans="2:16">
      <c r="B23" s="422">
        <f>All!B25</f>
        <v>2015</v>
      </c>
      <c r="C23" s="421">
        <f>All!C25</f>
        <v>11.3</v>
      </c>
      <c r="D23" s="421">
        <f>All!D25</f>
        <v>22.7</v>
      </c>
      <c r="E23" s="421">
        <f>All!E25</f>
        <v>9.6</v>
      </c>
      <c r="F23" s="421">
        <f>All!F25</f>
        <v>80.5</v>
      </c>
      <c r="G23" s="421">
        <f>All!G25</f>
        <v>28.9</v>
      </c>
      <c r="H23" s="421">
        <f>All!H25</f>
        <v>99</v>
      </c>
      <c r="I23" s="421">
        <f>All!I25</f>
        <v>226</v>
      </c>
      <c r="J23" s="421">
        <f>All!J25</f>
        <v>72.900000000000006</v>
      </c>
      <c r="K23" s="421">
        <f>All!K25</f>
        <v>26</v>
      </c>
      <c r="L23" s="421">
        <f>All!L25</f>
        <v>81.5</v>
      </c>
      <c r="M23" s="421">
        <f>All!M25</f>
        <v>104.6</v>
      </c>
      <c r="N23" s="421">
        <f>All!N25</f>
        <v>29.1</v>
      </c>
      <c r="O23" s="421">
        <f>All!O25</f>
        <v>792.1</v>
      </c>
      <c r="P23" s="423">
        <f>All!P25</f>
        <v>66</v>
      </c>
    </row>
    <row r="24" spans="2:16">
      <c r="B24" s="422">
        <f>All!B26</f>
        <v>2016</v>
      </c>
      <c r="C24" s="421">
        <f>All!C26</f>
        <v>1</v>
      </c>
      <c r="D24" s="421">
        <f>All!D26</f>
        <v>47.6</v>
      </c>
      <c r="E24" s="421">
        <f>All!E26</f>
        <v>40.5</v>
      </c>
      <c r="F24" s="421">
        <f>All!F26</f>
        <v>76.8</v>
      </c>
      <c r="G24" s="421">
        <f>All!G26</f>
        <v>160.5</v>
      </c>
      <c r="H24" s="421">
        <f>All!H26</f>
        <v>54.4</v>
      </c>
      <c r="I24" s="421">
        <f>All!I26</f>
        <v>358.2</v>
      </c>
      <c r="J24" s="421">
        <f>All!J26</f>
        <v>67.099999999999994</v>
      </c>
      <c r="K24" s="421">
        <f>All!K26</f>
        <v>33</v>
      </c>
      <c r="L24" s="421">
        <f>All!L26</f>
        <v>74.8</v>
      </c>
      <c r="M24" s="421">
        <f>All!M26</f>
        <v>16.7</v>
      </c>
      <c r="N24" s="421">
        <f>All!N26</f>
        <v>61.1</v>
      </c>
      <c r="O24" s="421">
        <f>All!O26</f>
        <v>991.7</v>
      </c>
      <c r="P24" s="423">
        <f>All!P26</f>
        <v>82.6</v>
      </c>
    </row>
    <row r="25" spans="2:16">
      <c r="B25" s="422">
        <f>All!B27</f>
        <v>2017</v>
      </c>
      <c r="C25" s="421">
        <f>All!C27</f>
        <v>14.9</v>
      </c>
      <c r="D25" s="421">
        <f>All!D27</f>
        <v>11.1</v>
      </c>
      <c r="E25" s="421">
        <f>All!E27</f>
        <v>7.9</v>
      </c>
      <c r="F25" s="421">
        <f>All!F27</f>
        <v>61.6</v>
      </c>
      <c r="G25" s="421">
        <f>All!G27</f>
        <v>16.100000000000001</v>
      </c>
      <c r="H25" s="421">
        <f>All!H27</f>
        <v>66.599999999999994</v>
      </c>
      <c r="I25" s="421">
        <f>All!I27</f>
        <v>621</v>
      </c>
      <c r="J25" s="421">
        <f>All!J27</f>
        <v>297</v>
      </c>
      <c r="K25" s="421">
        <f>All!K27</f>
        <v>35</v>
      </c>
      <c r="L25" s="421">
        <f>All!L27</f>
        <v>26.5</v>
      </c>
      <c r="M25" s="421">
        <f>All!M27</f>
        <v>40.700000000000003</v>
      </c>
      <c r="N25" s="421">
        <f>All!N27</f>
        <v>34.799999999999997</v>
      </c>
      <c r="O25" s="421">
        <f>All!O27</f>
        <v>1233.2</v>
      </c>
      <c r="P25" s="423">
        <f>All!P27</f>
        <v>102.8</v>
      </c>
    </row>
    <row r="26" spans="2:16">
      <c r="B26" s="422">
        <f>All!B28</f>
        <v>2018</v>
      </c>
      <c r="C26" s="421">
        <f>All!C28</f>
        <v>8.5</v>
      </c>
      <c r="D26" s="421">
        <f>All!D28</f>
        <v>29.6</v>
      </c>
      <c r="E26" s="421">
        <f>All!E28</f>
        <v>49.5</v>
      </c>
      <c r="F26" s="421">
        <f>All!F28</f>
        <v>130.30000000000001</v>
      </c>
      <c r="G26" s="421">
        <f>All!G28</f>
        <v>222</v>
      </c>
      <c r="H26" s="421">
        <f>All!H28</f>
        <v>171.5</v>
      </c>
      <c r="I26" s="421">
        <f>All!I28</f>
        <v>185.6</v>
      </c>
      <c r="J26" s="421">
        <f>All!J28</f>
        <v>202.6</v>
      </c>
      <c r="K26" s="421">
        <f>All!K28</f>
        <v>68.5</v>
      </c>
      <c r="L26" s="421">
        <f>All!L28</f>
        <v>120.5</v>
      </c>
      <c r="M26" s="421">
        <f>All!M28</f>
        <v>79.099999999999994</v>
      </c>
      <c r="N26" s="421">
        <f>All!N28</f>
        <v>16.399999999999999</v>
      </c>
      <c r="O26" s="421">
        <f>All!O28</f>
        <v>1284.0999999999999</v>
      </c>
      <c r="P26" s="423">
        <f>All!P28</f>
        <v>107</v>
      </c>
    </row>
    <row r="27" spans="2:16">
      <c r="B27" s="422">
        <f>All!B29</f>
        <v>2019</v>
      </c>
      <c r="C27" s="421">
        <f>All!C29</f>
        <v>0</v>
      </c>
      <c r="D27" s="421">
        <f>All!D29</f>
        <v>23.8</v>
      </c>
      <c r="E27" s="421">
        <f>All!E29</f>
        <v>26.8</v>
      </c>
      <c r="F27" s="421">
        <f>All!F29</f>
        <v>47.3</v>
      </c>
      <c r="G27" s="421">
        <f>All!G29</f>
        <v>37.799999999999997</v>
      </c>
      <c r="H27" s="421">
        <f>All!H29</f>
        <v>74</v>
      </c>
      <c r="I27" s="421">
        <f>All!I29</f>
        <v>194.4</v>
      </c>
      <c r="J27" s="421">
        <f>All!J29</f>
        <v>190.5</v>
      </c>
      <c r="K27" s="421">
        <f>All!K29</f>
        <v>139.80000000000001</v>
      </c>
      <c r="L27" s="421">
        <f>All!L29</f>
        <v>55.5</v>
      </c>
      <c r="M27" s="421">
        <f>All!M29</f>
        <v>78.8</v>
      </c>
      <c r="N27" s="421">
        <f>All!N29</f>
        <v>22.6</v>
      </c>
      <c r="O27" s="421">
        <f>All!O29</f>
        <v>891.3</v>
      </c>
      <c r="P27" s="423">
        <f>All!P29</f>
        <v>74.3</v>
      </c>
    </row>
    <row r="28" spans="2:16">
      <c r="B28" s="422">
        <f>All!B30</f>
        <v>2020</v>
      </c>
      <c r="C28" s="421">
        <f>All!C30</f>
        <v>60.5</v>
      </c>
      <c r="D28" s="421">
        <f>All!D30</f>
        <v>53.1</v>
      </c>
      <c r="E28" s="421">
        <f>All!E30</f>
        <v>16.3</v>
      </c>
      <c r="F28" s="421">
        <f>All!F30</f>
        <v>16.899999999999999</v>
      </c>
      <c r="G28" s="421">
        <f>All!G30</f>
        <v>112.4</v>
      </c>
      <c r="H28" s="421">
        <f>All!H30</f>
        <v>139.6</v>
      </c>
      <c r="I28" s="421">
        <f>All!I30</f>
        <v>270.39999999999998</v>
      </c>
      <c r="J28" s="421">
        <f>All!J30</f>
        <v>675.7</v>
      </c>
      <c r="K28" s="421">
        <f>All!K30</f>
        <v>181.5</v>
      </c>
      <c r="L28" s="421">
        <f>All!L30</f>
        <v>0</v>
      </c>
      <c r="M28" s="421">
        <f>All!M30</f>
        <v>120.1</v>
      </c>
      <c r="N28" s="421">
        <f>All!N30</f>
        <v>4.5999999999999996</v>
      </c>
      <c r="O28" s="421">
        <f>All!O30</f>
        <v>1651.1</v>
      </c>
      <c r="P28" s="423">
        <f>All!P30</f>
        <v>137.6</v>
      </c>
    </row>
    <row r="29" spans="2:16">
      <c r="B29" s="422">
        <f>All!B31</f>
        <v>2021</v>
      </c>
      <c r="C29" s="421">
        <f>All!C31</f>
        <v>18.899999999999999</v>
      </c>
      <c r="D29" s="421">
        <f>All!D31</f>
        <v>7.1</v>
      </c>
      <c r="E29" s="421">
        <f>All!E31</f>
        <v>110.9</v>
      </c>
      <c r="F29" s="421">
        <f>All!F31</f>
        <v>124.1</v>
      </c>
      <c r="G29" s="421">
        <f>All!G31</f>
        <v>183.1</v>
      </c>
      <c r="H29" s="421">
        <f>All!H31</f>
        <v>104.6</v>
      </c>
      <c r="I29" s="421">
        <f>All!I31</f>
        <v>168.3</v>
      </c>
      <c r="J29" s="421">
        <f>All!J31</f>
        <v>211.2</v>
      </c>
      <c r="K29" s="421">
        <f>All!K31</f>
        <v>131</v>
      </c>
      <c r="L29" s="421">
        <f>All!L31</f>
        <v>57</v>
      </c>
      <c r="M29" s="421">
        <f>All!M31</f>
        <v>62.4</v>
      </c>
      <c r="N29" s="421">
        <f>All!N31</f>
        <v>7.9</v>
      </c>
      <c r="O29" s="421">
        <f>All!O31</f>
        <v>1186.5</v>
      </c>
      <c r="P29" s="423">
        <f>All!P31</f>
        <v>98.9</v>
      </c>
    </row>
    <row r="30" spans="2:16">
      <c r="B30" s="422">
        <f>All!B32</f>
        <v>2022</v>
      </c>
      <c r="C30" s="421">
        <f>All!C32</f>
        <v>5.5</v>
      </c>
      <c r="D30" s="421">
        <f>All!D32</f>
        <v>4.7</v>
      </c>
      <c r="E30" s="421">
        <f>All!E32</f>
        <v>102.6</v>
      </c>
      <c r="F30" s="421">
        <f>All!F32</f>
        <v>20.399999999999999</v>
      </c>
      <c r="G30" s="421">
        <f>All!G32</f>
        <v>7.5</v>
      </c>
      <c r="H30" s="421">
        <f>All!H32</f>
        <v>393.8</v>
      </c>
      <c r="I30" s="421">
        <f>All!I32</f>
        <v>252.3</v>
      </c>
      <c r="J30" s="421">
        <f>All!J32</f>
        <v>564.79999999999995</v>
      </c>
      <c r="K30" s="421">
        <f>All!K32</f>
        <v>201.5</v>
      </c>
      <c r="L30" s="421">
        <f>All!L32</f>
        <v>124.1</v>
      </c>
      <c r="M30" s="421">
        <f>All!M32</f>
        <v>84.5</v>
      </c>
      <c r="N30" s="421">
        <f>All!N32</f>
        <v>13.6</v>
      </c>
      <c r="O30" s="421">
        <f>All!O32</f>
        <v>1775.3</v>
      </c>
      <c r="P30" s="423">
        <f>All!P32</f>
        <v>147.9</v>
      </c>
    </row>
    <row r="31" spans="2:16">
      <c r="B31" s="422">
        <f>All!B33</f>
        <v>2023</v>
      </c>
      <c r="C31" s="421">
        <f>All!C33</f>
        <v>47.9</v>
      </c>
      <c r="D31" s="421">
        <f>All!D33</f>
        <v>1</v>
      </c>
      <c r="E31" s="421">
        <f>All!E33</f>
        <v>10.5</v>
      </c>
      <c r="F31" s="421">
        <f>All!F33</f>
        <v>96.9</v>
      </c>
      <c r="G31" s="421">
        <f>All!G33</f>
        <v>155.6</v>
      </c>
      <c r="H31" s="421">
        <f>All!H33</f>
        <v>195.6</v>
      </c>
      <c r="I31" s="421">
        <f>All!I33</f>
        <v>459.9</v>
      </c>
      <c r="J31" s="421">
        <f>All!J33</f>
        <v>298.10000000000002</v>
      </c>
      <c r="K31" s="421">
        <f>All!K33</f>
        <v>134.5</v>
      </c>
      <c r="L31" s="421">
        <f>All!L33</f>
        <v>31</v>
      </c>
      <c r="M31" s="421">
        <f>All!M33</f>
        <v>81.900000000000006</v>
      </c>
      <c r="N31" s="421">
        <f>All!N33</f>
        <v>85.9</v>
      </c>
      <c r="O31" s="421">
        <f>All!O33</f>
        <v>1598.8</v>
      </c>
      <c r="P31" s="423">
        <f>All!P33</f>
        <v>133.19999999999999</v>
      </c>
    </row>
    <row r="32" spans="2:16">
      <c r="B32" s="422">
        <f>All!B34</f>
        <v>2024</v>
      </c>
      <c r="C32" s="421">
        <f>All!C34</f>
        <v>18.899999999999999</v>
      </c>
      <c r="D32" s="421">
        <f>All!D34</f>
        <v>74.7</v>
      </c>
      <c r="E32" s="421">
        <f>All!E34</f>
        <v>29.9</v>
      </c>
      <c r="F32" s="421">
        <f>All!F34</f>
        <v>33.200000000000003</v>
      </c>
      <c r="G32" s="421">
        <f>All!G34</f>
        <v>125.1</v>
      </c>
      <c r="H32" s="421">
        <f>All!H34</f>
        <v>115.9</v>
      </c>
      <c r="I32" s="421">
        <f>All!I34</f>
        <v>557.29999999999995</v>
      </c>
      <c r="J32" s="421">
        <f>All!J34</f>
        <v>72.8</v>
      </c>
      <c r="K32" s="421">
        <f>All!K34</f>
        <v>143.9</v>
      </c>
      <c r="L32" s="421">
        <f>All!L34</f>
        <v>74</v>
      </c>
      <c r="M32" s="421">
        <f>All!M34</f>
        <v>60</v>
      </c>
      <c r="N32" s="421">
        <f>All!N34</f>
        <v>5.7</v>
      </c>
      <c r="O32" s="421">
        <f>All!O34</f>
        <v>1311.4</v>
      </c>
      <c r="P32" s="423">
        <f>All!P34</f>
        <v>109.3</v>
      </c>
    </row>
    <row r="33" spans="2:17">
      <c r="B33" s="644" t="s">
        <v>171</v>
      </c>
      <c r="C33" s="645">
        <f>ROUND(SUM(C23:C32)/10,1)</f>
        <v>18.7</v>
      </c>
      <c r="D33" s="645">
        <f t="shared" ref="D33:P33" si="0">ROUND(SUM(D23:D32)/10,1)</f>
        <v>27.5</v>
      </c>
      <c r="E33" s="645">
        <f t="shared" si="0"/>
        <v>40.5</v>
      </c>
      <c r="F33" s="645">
        <f t="shared" si="0"/>
        <v>68.8</v>
      </c>
      <c r="G33" s="645">
        <f t="shared" si="0"/>
        <v>104.9</v>
      </c>
      <c r="H33" s="645">
        <f t="shared" si="0"/>
        <v>141.5</v>
      </c>
      <c r="I33" s="645">
        <f t="shared" si="0"/>
        <v>329.3</v>
      </c>
      <c r="J33" s="645">
        <f t="shared" si="0"/>
        <v>265.3</v>
      </c>
      <c r="K33" s="645">
        <f t="shared" si="0"/>
        <v>109.5</v>
      </c>
      <c r="L33" s="645">
        <f t="shared" si="0"/>
        <v>64.5</v>
      </c>
      <c r="M33" s="645">
        <f t="shared" si="0"/>
        <v>72.900000000000006</v>
      </c>
      <c r="N33" s="645">
        <f t="shared" si="0"/>
        <v>28.2</v>
      </c>
      <c r="O33" s="645">
        <f t="shared" si="0"/>
        <v>1271.5999999999999</v>
      </c>
      <c r="P33" s="646">
        <f t="shared" si="0"/>
        <v>106</v>
      </c>
    </row>
    <row r="34" spans="2:17" ht="17.25" thickBot="1">
      <c r="B34" s="647" t="s">
        <v>170</v>
      </c>
      <c r="C34" s="648">
        <f>All!C37</f>
        <v>18.600000000000001</v>
      </c>
      <c r="D34" s="648">
        <f>All!D37</f>
        <v>25.8</v>
      </c>
      <c r="E34" s="648">
        <f>All!E37</f>
        <v>40.700000000000003</v>
      </c>
      <c r="F34" s="648">
        <f>All!F37</f>
        <v>73.5</v>
      </c>
      <c r="G34" s="648">
        <f>All!G37</f>
        <v>101.8</v>
      </c>
      <c r="H34" s="648">
        <f>All!H37</f>
        <v>141</v>
      </c>
      <c r="I34" s="648">
        <f>All!I37</f>
        <v>418.3</v>
      </c>
      <c r="J34" s="648">
        <f>All!J37</f>
        <v>355.9</v>
      </c>
      <c r="K34" s="648">
        <f>All!K37</f>
        <v>146.6</v>
      </c>
      <c r="L34" s="648">
        <f>All!L37</f>
        <v>52.1</v>
      </c>
      <c r="M34" s="648">
        <f>All!M37</f>
        <v>52.7</v>
      </c>
      <c r="N34" s="648">
        <f>All!N37</f>
        <v>21.4</v>
      </c>
      <c r="O34" s="648">
        <f>All!O37</f>
        <v>1448.3</v>
      </c>
      <c r="P34" s="649">
        <f>All!P37</f>
        <v>120.7</v>
      </c>
    </row>
    <row r="36" spans="2:17" ht="17.25" thickBot="1"/>
    <row r="37" spans="2:17" ht="26.25" customHeight="1">
      <c r="B37" s="641" t="s">
        <v>29</v>
      </c>
      <c r="C37" s="643" t="s">
        <v>157</v>
      </c>
      <c r="D37" s="650"/>
      <c r="E37" s="651" t="s">
        <v>31</v>
      </c>
      <c r="F37" s="651" t="s">
        <v>32</v>
      </c>
      <c r="G37" s="651" t="s">
        <v>33</v>
      </c>
      <c r="H37" s="651" t="s">
        <v>34</v>
      </c>
      <c r="I37" s="651" t="s">
        <v>35</v>
      </c>
      <c r="J37" s="651" t="s">
        <v>12</v>
      </c>
      <c r="K37" s="642" t="s">
        <v>13</v>
      </c>
      <c r="L37" s="642" t="s">
        <v>14</v>
      </c>
      <c r="M37" s="642" t="s">
        <v>15</v>
      </c>
      <c r="N37" s="651" t="s">
        <v>16</v>
      </c>
      <c r="O37" s="651" t="s">
        <v>17</v>
      </c>
      <c r="P37" s="651" t="s">
        <v>18</v>
      </c>
      <c r="Q37" s="652" t="s">
        <v>30</v>
      </c>
    </row>
    <row r="38" spans="2:17" ht="17.25" thickBot="1">
      <c r="B38" s="422">
        <f>B23</f>
        <v>2015</v>
      </c>
      <c r="C38" s="423">
        <f>O23</f>
        <v>792.1</v>
      </c>
      <c r="D38" s="425" t="s">
        <v>30</v>
      </c>
      <c r="E38" s="426">
        <f>All!C53</f>
        <v>18.7</v>
      </c>
      <c r="F38" s="426">
        <f>All!D53</f>
        <v>27.5</v>
      </c>
      <c r="G38" s="426">
        <f>All!E53</f>
        <v>40.5</v>
      </c>
      <c r="H38" s="426">
        <f>All!F53</f>
        <v>68.8</v>
      </c>
      <c r="I38" s="426">
        <f>All!G53</f>
        <v>104.9</v>
      </c>
      <c r="J38" s="426">
        <f>All!H53</f>
        <v>141.5</v>
      </c>
      <c r="K38" s="426">
        <f>All!I53</f>
        <v>329.3</v>
      </c>
      <c r="L38" s="426">
        <f>All!J53</f>
        <v>265.3</v>
      </c>
      <c r="M38" s="426">
        <f>All!K53</f>
        <v>109.5</v>
      </c>
      <c r="N38" s="426">
        <f>All!L53</f>
        <v>64.5</v>
      </c>
      <c r="O38" s="426">
        <f>All!M53</f>
        <v>72.900000000000006</v>
      </c>
      <c r="P38" s="426">
        <f>All!N53</f>
        <v>28.2</v>
      </c>
      <c r="Q38" s="427">
        <f>All!P53</f>
        <v>106</v>
      </c>
    </row>
    <row r="39" spans="2:17">
      <c r="B39" s="422">
        <f t="shared" ref="B39:B48" si="1">B24</f>
        <v>2016</v>
      </c>
      <c r="C39" s="423">
        <f t="shared" ref="C39:C48" si="2">O24</f>
        <v>991.7</v>
      </c>
    </row>
    <row r="40" spans="2:17">
      <c r="B40" s="422">
        <f t="shared" si="1"/>
        <v>2017</v>
      </c>
      <c r="C40" s="423">
        <f t="shared" si="2"/>
        <v>1233.2</v>
      </c>
    </row>
    <row r="41" spans="2:17">
      <c r="B41" s="422">
        <f t="shared" si="1"/>
        <v>2018</v>
      </c>
      <c r="C41" s="423">
        <f t="shared" si="2"/>
        <v>1284.0999999999999</v>
      </c>
    </row>
    <row r="42" spans="2:17">
      <c r="B42" s="422">
        <f t="shared" si="1"/>
        <v>2019</v>
      </c>
      <c r="C42" s="423">
        <f t="shared" si="2"/>
        <v>891.3</v>
      </c>
    </row>
    <row r="43" spans="2:17">
      <c r="B43" s="422">
        <f t="shared" si="1"/>
        <v>2020</v>
      </c>
      <c r="C43" s="423">
        <f t="shared" si="2"/>
        <v>1651.1</v>
      </c>
    </row>
    <row r="44" spans="2:17">
      <c r="B44" s="422">
        <f t="shared" si="1"/>
        <v>2021</v>
      </c>
      <c r="C44" s="423">
        <f t="shared" si="2"/>
        <v>1186.5</v>
      </c>
    </row>
    <row r="45" spans="2:17">
      <c r="B45" s="422">
        <f t="shared" si="1"/>
        <v>2022</v>
      </c>
      <c r="C45" s="423">
        <f t="shared" si="2"/>
        <v>1775.3</v>
      </c>
    </row>
    <row r="46" spans="2:17">
      <c r="B46" s="422">
        <f t="shared" si="1"/>
        <v>2023</v>
      </c>
      <c r="C46" s="423">
        <f t="shared" si="2"/>
        <v>1598.8</v>
      </c>
    </row>
    <row r="47" spans="2:17">
      <c r="B47" s="422">
        <f t="shared" si="1"/>
        <v>2024</v>
      </c>
      <c r="C47" s="423">
        <f t="shared" si="2"/>
        <v>1311.4</v>
      </c>
    </row>
    <row r="48" spans="2:17" ht="17.25" thickBot="1">
      <c r="B48" s="428" t="str">
        <f t="shared" si="1"/>
        <v>10년평균</v>
      </c>
      <c r="C48" s="429">
        <f t="shared" si="2"/>
        <v>1271.5999999999999</v>
      </c>
    </row>
    <row r="50" spans="2:3" ht="17.25" thickBot="1"/>
    <row r="51" spans="2:3">
      <c r="B51" s="653" t="s">
        <v>172</v>
      </c>
      <c r="C51" s="654" t="s">
        <v>157</v>
      </c>
    </row>
    <row r="52" spans="2:3">
      <c r="B52" s="432">
        <f>B3</f>
        <v>1995</v>
      </c>
      <c r="C52" s="433">
        <f>O3</f>
        <v>1598.6</v>
      </c>
    </row>
    <row r="53" spans="2:3">
      <c r="B53" s="432">
        <f t="shared" ref="B53:B81" si="3">B4</f>
        <v>1996</v>
      </c>
      <c r="C53" s="433">
        <f t="shared" ref="C53:C81" si="4">O4</f>
        <v>1256.5999999999999</v>
      </c>
    </row>
    <row r="54" spans="2:3">
      <c r="B54" s="432">
        <f t="shared" si="3"/>
        <v>1997</v>
      </c>
      <c r="C54" s="433">
        <f t="shared" si="4"/>
        <v>1210.2</v>
      </c>
    </row>
    <row r="55" spans="2:3">
      <c r="B55" s="432">
        <f t="shared" si="3"/>
        <v>1998</v>
      </c>
      <c r="C55" s="433">
        <f t="shared" si="4"/>
        <v>2349.1</v>
      </c>
    </row>
    <row r="56" spans="2:3">
      <c r="B56" s="432">
        <f t="shared" si="3"/>
        <v>1999</v>
      </c>
      <c r="C56" s="433">
        <f t="shared" si="4"/>
        <v>1733.1</v>
      </c>
    </row>
    <row r="57" spans="2:3">
      <c r="B57" s="432">
        <f t="shared" si="3"/>
        <v>2000</v>
      </c>
      <c r="C57" s="433">
        <f t="shared" si="4"/>
        <v>1186.8</v>
      </c>
    </row>
    <row r="58" spans="2:3">
      <c r="B58" s="432">
        <f t="shared" si="3"/>
        <v>2001</v>
      </c>
      <c r="C58" s="433">
        <f t="shared" si="4"/>
        <v>1386</v>
      </c>
    </row>
    <row r="59" spans="2:3">
      <c r="B59" s="432">
        <f t="shared" si="3"/>
        <v>2002</v>
      </c>
      <c r="C59" s="433">
        <f t="shared" si="4"/>
        <v>1388</v>
      </c>
    </row>
    <row r="60" spans="2:3">
      <c r="B60" s="432">
        <f t="shared" si="3"/>
        <v>2003</v>
      </c>
      <c r="C60" s="433">
        <f t="shared" si="4"/>
        <v>2012</v>
      </c>
    </row>
    <row r="61" spans="2:3">
      <c r="B61" s="432">
        <f t="shared" si="3"/>
        <v>2004</v>
      </c>
      <c r="C61" s="433">
        <f t="shared" si="4"/>
        <v>1499.1</v>
      </c>
    </row>
    <row r="62" spans="2:3">
      <c r="B62" s="432">
        <f t="shared" si="3"/>
        <v>2005</v>
      </c>
      <c r="C62" s="433">
        <f t="shared" si="4"/>
        <v>1358.4</v>
      </c>
    </row>
    <row r="63" spans="2:3">
      <c r="B63" s="432">
        <f t="shared" si="3"/>
        <v>2006</v>
      </c>
      <c r="C63" s="433">
        <f t="shared" si="4"/>
        <v>1681.9</v>
      </c>
    </row>
    <row r="64" spans="2:3">
      <c r="B64" s="432">
        <f t="shared" si="3"/>
        <v>2007</v>
      </c>
      <c r="C64" s="433">
        <f t="shared" si="4"/>
        <v>1212.3</v>
      </c>
    </row>
    <row r="65" spans="2:3">
      <c r="B65" s="432">
        <f t="shared" si="3"/>
        <v>2008</v>
      </c>
      <c r="C65" s="433">
        <f t="shared" si="4"/>
        <v>1356.3</v>
      </c>
    </row>
    <row r="66" spans="2:3">
      <c r="B66" s="432">
        <f t="shared" si="3"/>
        <v>2009</v>
      </c>
      <c r="C66" s="433">
        <f t="shared" si="4"/>
        <v>1564</v>
      </c>
    </row>
    <row r="67" spans="2:3">
      <c r="B67" s="432">
        <f t="shared" si="3"/>
        <v>2010</v>
      </c>
      <c r="C67" s="433">
        <f t="shared" si="4"/>
        <v>2043.5</v>
      </c>
    </row>
    <row r="68" spans="2:3">
      <c r="B68" s="432">
        <f t="shared" si="3"/>
        <v>2011</v>
      </c>
      <c r="C68" s="433">
        <f t="shared" si="4"/>
        <v>2039.3</v>
      </c>
    </row>
    <row r="69" spans="2:3">
      <c r="B69" s="432">
        <f t="shared" si="3"/>
        <v>2012</v>
      </c>
      <c r="C69" s="433">
        <f t="shared" si="4"/>
        <v>1646.3</v>
      </c>
    </row>
    <row r="70" spans="2:3">
      <c r="B70" s="432">
        <f t="shared" si="3"/>
        <v>2013</v>
      </c>
      <c r="C70" s="433">
        <f t="shared" si="4"/>
        <v>1403.8</v>
      </c>
    </row>
    <row r="71" spans="2:3">
      <c r="B71" s="432">
        <f t="shared" si="3"/>
        <v>2014</v>
      </c>
      <c r="C71" s="433">
        <f t="shared" si="4"/>
        <v>808.9</v>
      </c>
    </row>
    <row r="72" spans="2:3">
      <c r="B72" s="432">
        <f t="shared" si="3"/>
        <v>2015</v>
      </c>
      <c r="C72" s="433">
        <f t="shared" si="4"/>
        <v>792.1</v>
      </c>
    </row>
    <row r="73" spans="2:3">
      <c r="B73" s="432">
        <f t="shared" si="3"/>
        <v>2016</v>
      </c>
      <c r="C73" s="433">
        <f t="shared" si="4"/>
        <v>991.7</v>
      </c>
    </row>
    <row r="74" spans="2:3">
      <c r="B74" s="432">
        <f t="shared" si="3"/>
        <v>2017</v>
      </c>
      <c r="C74" s="433">
        <f t="shared" si="4"/>
        <v>1233.2</v>
      </c>
    </row>
    <row r="75" spans="2:3">
      <c r="B75" s="432">
        <f t="shared" si="3"/>
        <v>2018</v>
      </c>
      <c r="C75" s="433">
        <f t="shared" si="4"/>
        <v>1284.0999999999999</v>
      </c>
    </row>
    <row r="76" spans="2:3">
      <c r="B76" s="432">
        <f t="shared" si="3"/>
        <v>2019</v>
      </c>
      <c r="C76" s="433">
        <f t="shared" si="4"/>
        <v>891.3</v>
      </c>
    </row>
    <row r="77" spans="2:3">
      <c r="B77" s="432">
        <f t="shared" si="3"/>
        <v>2020</v>
      </c>
      <c r="C77" s="433">
        <f t="shared" si="4"/>
        <v>1651.1</v>
      </c>
    </row>
    <row r="78" spans="2:3">
      <c r="B78" s="432">
        <f>B29</f>
        <v>2021</v>
      </c>
      <c r="C78" s="433">
        <f t="shared" si="4"/>
        <v>1186.5</v>
      </c>
    </row>
    <row r="79" spans="2:3">
      <c r="B79" s="432">
        <f t="shared" si="3"/>
        <v>2022</v>
      </c>
      <c r="C79" s="433">
        <f t="shared" si="4"/>
        <v>1775.3</v>
      </c>
    </row>
    <row r="80" spans="2:3">
      <c r="B80" s="432">
        <f t="shared" si="3"/>
        <v>2023</v>
      </c>
      <c r="C80" s="433">
        <f t="shared" si="4"/>
        <v>1598.8</v>
      </c>
    </row>
    <row r="81" spans="2:3">
      <c r="B81" s="432">
        <f t="shared" si="3"/>
        <v>2024</v>
      </c>
      <c r="C81" s="433">
        <f t="shared" si="4"/>
        <v>1311.4</v>
      </c>
    </row>
    <row r="82" spans="2:3" ht="17.25" thickBot="1">
      <c r="B82" s="425" t="str">
        <f>B34</f>
        <v>30년평균</v>
      </c>
      <c r="C82" s="434">
        <f>O34</f>
        <v>1448.3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P23" sqref="P23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서울기상청</v>
      </c>
      <c r="C2" s="475" t="s">
        <v>322</v>
      </c>
    </row>
    <row r="3" spans="2:16" ht="20.25" customHeight="1" thickBot="1">
      <c r="B3" s="540"/>
      <c r="C3" s="475"/>
    </row>
    <row r="4" spans="2:16" ht="29.25" customHeight="1">
      <c r="B4" s="655"/>
      <c r="C4" s="661" t="s">
        <v>7</v>
      </c>
      <c r="D4" s="642" t="s">
        <v>8</v>
      </c>
      <c r="E4" s="642" t="s">
        <v>9</v>
      </c>
      <c r="F4" s="642" t="s">
        <v>10</v>
      </c>
      <c r="G4" s="642">
        <v>200</v>
      </c>
      <c r="H4" s="642">
        <v>129</v>
      </c>
      <c r="I4" s="642">
        <v>120</v>
      </c>
      <c r="J4" s="642">
        <v>120</v>
      </c>
      <c r="K4" s="642" t="s">
        <v>15</v>
      </c>
      <c r="L4" s="642" t="s">
        <v>581</v>
      </c>
      <c r="M4" s="642" t="s">
        <v>17</v>
      </c>
      <c r="N4" s="643" t="s">
        <v>18</v>
      </c>
      <c r="O4" s="662" t="s">
        <v>19</v>
      </c>
      <c r="P4" s="643" t="s">
        <v>20</v>
      </c>
    </row>
    <row r="5" spans="2:16" ht="22.15" customHeight="1">
      <c r="B5" s="657">
        <f>All!B41</f>
        <v>2015</v>
      </c>
      <c r="C5" s="637">
        <f>All!C41</f>
        <v>11.3</v>
      </c>
      <c r="D5" s="637">
        <f>All!D41</f>
        <v>22.7</v>
      </c>
      <c r="E5" s="638">
        <f>All!E41</f>
        <v>9.6</v>
      </c>
      <c r="F5" s="638">
        <f>All!F41</f>
        <v>80.5</v>
      </c>
      <c r="G5" s="638">
        <v>200</v>
      </c>
      <c r="H5" s="638">
        <v>72</v>
      </c>
      <c r="I5" s="638">
        <v>120</v>
      </c>
      <c r="J5" s="638">
        <v>120</v>
      </c>
      <c r="K5" s="638">
        <f>All!K41</f>
        <v>26</v>
      </c>
      <c r="L5" s="638">
        <v>5</v>
      </c>
      <c r="M5" s="638">
        <f>All!M41</f>
        <v>104.6</v>
      </c>
      <c r="N5" s="639">
        <f>All!N41</f>
        <v>29.1</v>
      </c>
      <c r="O5" s="640">
        <f>All!O41</f>
        <v>792.1</v>
      </c>
      <c r="P5" s="639">
        <f>All!P41</f>
        <v>66</v>
      </c>
    </row>
    <row r="6" spans="2:16" ht="22.15" customHeight="1">
      <c r="B6" s="656">
        <f>All!B42</f>
        <v>2016</v>
      </c>
      <c r="C6" s="751">
        <f>All!C42</f>
        <v>1</v>
      </c>
      <c r="D6" s="752">
        <f>All!D42</f>
        <v>47.6</v>
      </c>
      <c r="E6" s="752">
        <f>All!E42</f>
        <v>40.5</v>
      </c>
      <c r="F6" s="752">
        <f>All!F42</f>
        <v>76.8</v>
      </c>
      <c r="G6" s="752">
        <f>All!G42</f>
        <v>160.5</v>
      </c>
      <c r="H6" s="752">
        <f>All!H42</f>
        <v>54.4</v>
      </c>
      <c r="I6" s="752">
        <f>All!I42</f>
        <v>358.2</v>
      </c>
      <c r="J6" s="752">
        <f>All!J42</f>
        <v>67.099999999999994</v>
      </c>
      <c r="K6" s="752">
        <f>All!K42</f>
        <v>33</v>
      </c>
      <c r="L6" s="752">
        <f>All!L42</f>
        <v>74.8</v>
      </c>
      <c r="M6" s="752">
        <f>All!M42</f>
        <v>16.7</v>
      </c>
      <c r="N6" s="753">
        <f>All!N42</f>
        <v>61.1</v>
      </c>
      <c r="O6" s="631">
        <f>All!O42</f>
        <v>991.7</v>
      </c>
      <c r="P6" s="753">
        <f>All!P42</f>
        <v>82.6</v>
      </c>
    </row>
    <row r="7" spans="2:16" ht="22.15" customHeight="1">
      <c r="B7" s="656">
        <f>All!B43</f>
        <v>2017</v>
      </c>
      <c r="C7" s="751">
        <f>All!C43</f>
        <v>14.9</v>
      </c>
      <c r="D7" s="752">
        <f>All!D43</f>
        <v>11.1</v>
      </c>
      <c r="E7" s="752">
        <f>All!E43</f>
        <v>7.9</v>
      </c>
      <c r="F7" s="752">
        <f>All!F43</f>
        <v>61.6</v>
      </c>
      <c r="G7" s="752">
        <f>All!G43</f>
        <v>16.100000000000001</v>
      </c>
      <c r="H7" s="752">
        <f>All!H43</f>
        <v>66.599999999999994</v>
      </c>
      <c r="I7" s="752">
        <f>All!I43</f>
        <v>621</v>
      </c>
      <c r="J7" s="752">
        <f>All!J43</f>
        <v>297</v>
      </c>
      <c r="K7" s="752">
        <f>All!K43</f>
        <v>35</v>
      </c>
      <c r="L7" s="752">
        <f>All!L43</f>
        <v>26.5</v>
      </c>
      <c r="M7" s="752">
        <f>All!M43</f>
        <v>40.700000000000003</v>
      </c>
      <c r="N7" s="753">
        <f>All!N43</f>
        <v>34.799999999999997</v>
      </c>
      <c r="O7" s="631">
        <f>All!O43</f>
        <v>1233.2</v>
      </c>
      <c r="P7" s="753">
        <f>All!P43</f>
        <v>102.8</v>
      </c>
    </row>
    <row r="8" spans="2:16" ht="22.15" customHeight="1">
      <c r="B8" s="656">
        <f>All!B44</f>
        <v>2018</v>
      </c>
      <c r="C8" s="751">
        <f>All!C44</f>
        <v>8.5</v>
      </c>
      <c r="D8" s="752">
        <f>All!D44</f>
        <v>29.6</v>
      </c>
      <c r="E8" s="752">
        <f>All!E44</f>
        <v>49.5</v>
      </c>
      <c r="F8" s="752">
        <f>All!F44</f>
        <v>130.30000000000001</v>
      </c>
      <c r="G8" s="752">
        <f>All!G44</f>
        <v>222</v>
      </c>
      <c r="H8" s="752">
        <f>All!H44</f>
        <v>171.5</v>
      </c>
      <c r="I8" s="752">
        <f>All!I44</f>
        <v>185.6</v>
      </c>
      <c r="J8" s="752">
        <f>All!J44</f>
        <v>202.6</v>
      </c>
      <c r="K8" s="752">
        <f>All!K44</f>
        <v>68.5</v>
      </c>
      <c r="L8" s="752">
        <f>All!L44</f>
        <v>120.5</v>
      </c>
      <c r="M8" s="752">
        <f>All!M44</f>
        <v>79.099999999999994</v>
      </c>
      <c r="N8" s="753">
        <f>All!N44</f>
        <v>16.399999999999999</v>
      </c>
      <c r="O8" s="631">
        <f>All!O44</f>
        <v>1284.0999999999999</v>
      </c>
      <c r="P8" s="753">
        <f>All!P44</f>
        <v>107</v>
      </c>
    </row>
    <row r="9" spans="2:16" ht="22.15" customHeight="1">
      <c r="B9" s="656">
        <f>All!B45</f>
        <v>2019</v>
      </c>
      <c r="C9" s="751">
        <f>All!C45</f>
        <v>0</v>
      </c>
      <c r="D9" s="752">
        <f>All!D45</f>
        <v>23.8</v>
      </c>
      <c r="E9" s="752">
        <f>All!E45</f>
        <v>26.8</v>
      </c>
      <c r="F9" s="752">
        <f>All!F45</f>
        <v>47.3</v>
      </c>
      <c r="G9" s="752">
        <f>All!G45</f>
        <v>37.799999999999997</v>
      </c>
      <c r="H9" s="752">
        <f>All!H45</f>
        <v>74</v>
      </c>
      <c r="I9" s="752">
        <f>All!I45</f>
        <v>194.4</v>
      </c>
      <c r="J9" s="752">
        <f>All!J45</f>
        <v>190.5</v>
      </c>
      <c r="K9" s="752">
        <f>All!K45</f>
        <v>139.80000000000001</v>
      </c>
      <c r="L9" s="752">
        <f>All!L45</f>
        <v>55.5</v>
      </c>
      <c r="M9" s="752">
        <f>All!M45</f>
        <v>78.8</v>
      </c>
      <c r="N9" s="753">
        <f>All!N45</f>
        <v>22.6</v>
      </c>
      <c r="O9" s="631">
        <f>All!O45</f>
        <v>891.3</v>
      </c>
      <c r="P9" s="753">
        <f>All!P45</f>
        <v>74.3</v>
      </c>
    </row>
    <row r="10" spans="2:16" ht="22.15" customHeight="1">
      <c r="B10" s="656">
        <f>All!B46</f>
        <v>2020</v>
      </c>
      <c r="C10" s="751">
        <f>All!C46</f>
        <v>60.5</v>
      </c>
      <c r="D10" s="752">
        <f>All!D46</f>
        <v>53.1</v>
      </c>
      <c r="E10" s="752">
        <f>All!E46</f>
        <v>16.3</v>
      </c>
      <c r="F10" s="752">
        <f>All!F46</f>
        <v>16.899999999999999</v>
      </c>
      <c r="G10" s="752">
        <f>All!G46</f>
        <v>112.4</v>
      </c>
      <c r="H10" s="752">
        <f>All!H46</f>
        <v>139.6</v>
      </c>
      <c r="I10" s="752">
        <f>All!I46</f>
        <v>270.39999999999998</v>
      </c>
      <c r="J10" s="752">
        <f>All!J46</f>
        <v>675.7</v>
      </c>
      <c r="K10" s="752">
        <f>All!K46</f>
        <v>181.5</v>
      </c>
      <c r="L10" s="752">
        <f>All!L46</f>
        <v>0</v>
      </c>
      <c r="M10" s="752">
        <f>All!M46</f>
        <v>120.1</v>
      </c>
      <c r="N10" s="753">
        <f>All!N46</f>
        <v>4.5999999999999996</v>
      </c>
      <c r="O10" s="631">
        <f>All!O46</f>
        <v>1651.1</v>
      </c>
      <c r="P10" s="753">
        <f>All!P46</f>
        <v>137.6</v>
      </c>
    </row>
    <row r="11" spans="2:16" ht="22.15" customHeight="1">
      <c r="B11" s="656">
        <f>All!B47</f>
        <v>2021</v>
      </c>
      <c r="C11" s="751">
        <f>All!C47</f>
        <v>18.899999999999999</v>
      </c>
      <c r="D11" s="752">
        <f>All!D47</f>
        <v>7.1</v>
      </c>
      <c r="E11" s="752">
        <f>All!E47</f>
        <v>110.9</v>
      </c>
      <c r="F11" s="752">
        <f>All!F47</f>
        <v>124.1</v>
      </c>
      <c r="G11" s="752">
        <f>All!G47</f>
        <v>183.1</v>
      </c>
      <c r="H11" s="752">
        <f>All!H47</f>
        <v>104.6</v>
      </c>
      <c r="I11" s="752">
        <f>All!I47</f>
        <v>168.3</v>
      </c>
      <c r="J11" s="752">
        <f>All!J47</f>
        <v>211.2</v>
      </c>
      <c r="K11" s="752">
        <f>All!K47</f>
        <v>131</v>
      </c>
      <c r="L11" s="752">
        <f>All!L47</f>
        <v>57</v>
      </c>
      <c r="M11" s="752">
        <f>All!M47</f>
        <v>62.4</v>
      </c>
      <c r="N11" s="753">
        <f>All!N47</f>
        <v>7.9</v>
      </c>
      <c r="O11" s="631">
        <f>All!O47</f>
        <v>1186.5</v>
      </c>
      <c r="P11" s="753">
        <f>All!P47</f>
        <v>98.9</v>
      </c>
    </row>
    <row r="12" spans="2:16" ht="22.15" customHeight="1">
      <c r="B12" s="657">
        <f>All!B48</f>
        <v>2022</v>
      </c>
      <c r="C12" s="637">
        <f>All!C48</f>
        <v>5.5</v>
      </c>
      <c r="D12" s="638">
        <f>All!D48</f>
        <v>4.7</v>
      </c>
      <c r="E12" s="638">
        <f>All!E48</f>
        <v>102.6</v>
      </c>
      <c r="F12" s="638">
        <f>All!F48</f>
        <v>20.399999999999999</v>
      </c>
      <c r="G12" s="638">
        <f>All!G48</f>
        <v>7.5</v>
      </c>
      <c r="H12" s="638">
        <f>All!H48</f>
        <v>393.8</v>
      </c>
      <c r="I12" s="638">
        <f>All!I48</f>
        <v>252.3</v>
      </c>
      <c r="J12" s="638">
        <f>All!J48</f>
        <v>564.79999999999995</v>
      </c>
      <c r="K12" s="638">
        <f>All!K48</f>
        <v>201.5</v>
      </c>
      <c r="L12" s="638">
        <f>All!L48</f>
        <v>124.1</v>
      </c>
      <c r="M12" s="638">
        <f>All!M48</f>
        <v>84.5</v>
      </c>
      <c r="N12" s="639">
        <f>All!N48</f>
        <v>13.6</v>
      </c>
      <c r="O12" s="640">
        <f>All!O48</f>
        <v>1775.3</v>
      </c>
      <c r="P12" s="639">
        <f>All!P48</f>
        <v>147.9</v>
      </c>
    </row>
    <row r="13" spans="2:16" ht="22.15" customHeight="1">
      <c r="B13" s="656">
        <f>All!B49</f>
        <v>2023</v>
      </c>
      <c r="C13" s="751">
        <f>All!C49</f>
        <v>47.9</v>
      </c>
      <c r="D13" s="752">
        <f>All!D49</f>
        <v>1</v>
      </c>
      <c r="E13" s="752">
        <f>All!E49</f>
        <v>10.5</v>
      </c>
      <c r="F13" s="752">
        <f>All!F49</f>
        <v>96.9</v>
      </c>
      <c r="G13" s="752">
        <f>All!G49</f>
        <v>155.6</v>
      </c>
      <c r="H13" s="752">
        <f>All!H49</f>
        <v>195.6</v>
      </c>
      <c r="I13" s="752">
        <f>All!I49</f>
        <v>459.9</v>
      </c>
      <c r="J13" s="752">
        <f>All!J49</f>
        <v>298.10000000000002</v>
      </c>
      <c r="K13" s="752">
        <f>All!K49</f>
        <v>134.5</v>
      </c>
      <c r="L13" s="752">
        <f>All!L49</f>
        <v>31</v>
      </c>
      <c r="M13" s="752">
        <f>All!M49</f>
        <v>81.900000000000006</v>
      </c>
      <c r="N13" s="753">
        <f>All!N49</f>
        <v>85.9</v>
      </c>
      <c r="O13" s="631">
        <f>All!O49</f>
        <v>1598.8</v>
      </c>
      <c r="P13" s="753">
        <f>All!P49</f>
        <v>133.19999999999999</v>
      </c>
    </row>
    <row r="14" spans="2:16" ht="22.15" customHeight="1" thickBot="1">
      <c r="B14" s="658">
        <f>All!B50</f>
        <v>2024</v>
      </c>
      <c r="C14" s="754">
        <f>All!C50</f>
        <v>18.899999999999999</v>
      </c>
      <c r="D14" s="755">
        <f>All!D50</f>
        <v>74.7</v>
      </c>
      <c r="E14" s="755">
        <f>All!E50</f>
        <v>29.9</v>
      </c>
      <c r="F14" s="755">
        <f>All!F50</f>
        <v>33.200000000000003</v>
      </c>
      <c r="G14" s="755">
        <f>All!G50</f>
        <v>125.1</v>
      </c>
      <c r="H14" s="755">
        <f>All!H50</f>
        <v>115.9</v>
      </c>
      <c r="I14" s="755">
        <f>All!I50</f>
        <v>557.29999999999995</v>
      </c>
      <c r="J14" s="755">
        <f>All!J50</f>
        <v>72.8</v>
      </c>
      <c r="K14" s="755">
        <f>All!K50</f>
        <v>143.9</v>
      </c>
      <c r="L14" s="755">
        <f>All!L50</f>
        <v>74</v>
      </c>
      <c r="M14" s="755">
        <f>All!M50</f>
        <v>60</v>
      </c>
      <c r="N14" s="756">
        <f>All!N50</f>
        <v>5.7</v>
      </c>
      <c r="O14" s="636">
        <f>All!O50</f>
        <v>1311.4</v>
      </c>
      <c r="P14" s="756">
        <f>All!P50</f>
        <v>109.3</v>
      </c>
    </row>
    <row r="15" spans="2:16" ht="22.15" customHeight="1">
      <c r="B15" s="659" t="s">
        <v>21</v>
      </c>
      <c r="C15" s="757">
        <f>All!C51</f>
        <v>60.5</v>
      </c>
      <c r="D15" s="758">
        <f>All!D51</f>
        <v>74.7</v>
      </c>
      <c r="E15" s="758">
        <f>All!E51</f>
        <v>110.9</v>
      </c>
      <c r="F15" s="758">
        <f>All!F51</f>
        <v>130.30000000000001</v>
      </c>
      <c r="G15" s="758">
        <f>All!G51</f>
        <v>222</v>
      </c>
      <c r="H15" s="758">
        <f>All!H51</f>
        <v>393.8</v>
      </c>
      <c r="I15" s="758">
        <f>All!I51</f>
        <v>621</v>
      </c>
      <c r="J15" s="758">
        <f>All!J51</f>
        <v>675.7</v>
      </c>
      <c r="K15" s="758">
        <f>All!K51</f>
        <v>201.5</v>
      </c>
      <c r="L15" s="758">
        <f>All!L51</f>
        <v>124.1</v>
      </c>
      <c r="M15" s="758">
        <f>All!M51</f>
        <v>120.1</v>
      </c>
      <c r="N15" s="759">
        <f>All!N51</f>
        <v>85.9</v>
      </c>
      <c r="O15" s="634">
        <f>All!O51</f>
        <v>1775.3</v>
      </c>
      <c r="P15" s="759">
        <f>All!P51</f>
        <v>147.9</v>
      </c>
    </row>
    <row r="16" spans="2:16" ht="22.15" customHeight="1">
      <c r="B16" s="656" t="s">
        <v>22</v>
      </c>
      <c r="C16" s="751">
        <f>All!C52</f>
        <v>0</v>
      </c>
      <c r="D16" s="752">
        <f>All!D52</f>
        <v>1</v>
      </c>
      <c r="E16" s="752">
        <f>All!E52</f>
        <v>7.9</v>
      </c>
      <c r="F16" s="752">
        <f>All!F52</f>
        <v>16.899999999999999</v>
      </c>
      <c r="G16" s="752">
        <f>All!G52</f>
        <v>7.5</v>
      </c>
      <c r="H16" s="752">
        <f>All!H52</f>
        <v>54.4</v>
      </c>
      <c r="I16" s="752">
        <f>All!I52</f>
        <v>168.3</v>
      </c>
      <c r="J16" s="752">
        <f>All!J52</f>
        <v>67.099999999999994</v>
      </c>
      <c r="K16" s="752">
        <f>All!K52</f>
        <v>26</v>
      </c>
      <c r="L16" s="752">
        <f>All!L52</f>
        <v>0</v>
      </c>
      <c r="M16" s="752">
        <f>All!M52</f>
        <v>16.7</v>
      </c>
      <c r="N16" s="753">
        <f>All!N52</f>
        <v>4.5999999999999996</v>
      </c>
      <c r="O16" s="632">
        <f>All!O52</f>
        <v>792.1</v>
      </c>
      <c r="P16" s="753">
        <f>All!P52</f>
        <v>66</v>
      </c>
    </row>
    <row r="17" spans="2:16" ht="22.15" customHeight="1" thickBot="1">
      <c r="B17" s="658" t="s">
        <v>20</v>
      </c>
      <c r="C17" s="754">
        <f>All!C53</f>
        <v>18.7</v>
      </c>
      <c r="D17" s="755">
        <f>All!D53</f>
        <v>27.5</v>
      </c>
      <c r="E17" s="760">
        <f>All!E53</f>
        <v>40.5</v>
      </c>
      <c r="F17" s="755">
        <f>All!F53</f>
        <v>68.8</v>
      </c>
      <c r="G17" s="635">
        <f>All!G53</f>
        <v>104.9</v>
      </c>
      <c r="H17" s="635">
        <f>All!H53</f>
        <v>141.5</v>
      </c>
      <c r="I17" s="635">
        <f>All!I53</f>
        <v>329.3</v>
      </c>
      <c r="J17" s="635">
        <f>All!J53</f>
        <v>265.3</v>
      </c>
      <c r="K17" s="635">
        <f>All!K53</f>
        <v>109.5</v>
      </c>
      <c r="L17" s="755">
        <f>All!L53</f>
        <v>64.5</v>
      </c>
      <c r="M17" s="755">
        <f>All!M53</f>
        <v>72.900000000000006</v>
      </c>
      <c r="N17" s="756">
        <f>All!N53</f>
        <v>28.2</v>
      </c>
      <c r="O17" s="633">
        <f>All!O53</f>
        <v>1271.5999999999999</v>
      </c>
      <c r="P17" s="761">
        <f>All!P53</f>
        <v>106</v>
      </c>
    </row>
    <row r="18" spans="2:16" ht="29.25" customHeight="1" thickBot="1">
      <c r="B18" s="660" t="s">
        <v>23</v>
      </c>
      <c r="C18" s="478">
        <f>All!C37</f>
        <v>18.600000000000001</v>
      </c>
      <c r="D18" s="479">
        <f>All!D37</f>
        <v>25.8</v>
      </c>
      <c r="E18" s="479">
        <f>All!E37</f>
        <v>40.700000000000003</v>
      </c>
      <c r="F18" s="479">
        <f>All!F37</f>
        <v>73.5</v>
      </c>
      <c r="G18" s="479">
        <f>All!G37</f>
        <v>101.8</v>
      </c>
      <c r="H18" s="479">
        <f>All!H37</f>
        <v>141</v>
      </c>
      <c r="I18" s="480">
        <f>All!I37</f>
        <v>418.3</v>
      </c>
      <c r="J18" s="480">
        <f>All!J37</f>
        <v>355.9</v>
      </c>
      <c r="K18" s="480">
        <f>All!K37</f>
        <v>146.6</v>
      </c>
      <c r="L18" s="480">
        <f>All!L37</f>
        <v>52.1</v>
      </c>
      <c r="M18" s="480">
        <f>All!M37</f>
        <v>52.7</v>
      </c>
      <c r="N18" s="481">
        <f>All!N37</f>
        <v>21.4</v>
      </c>
      <c r="O18" s="482">
        <f>All!O37</f>
        <v>1448.3</v>
      </c>
      <c r="P18" s="481">
        <f>All!P37</f>
        <v>120.7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950.5</v>
      </c>
      <c r="F20" s="486"/>
    </row>
    <row r="21" spans="2:16">
      <c r="B21" s="487" t="s">
        <v>163</v>
      </c>
      <c r="D21" s="488">
        <f>O17</f>
        <v>1271.5999999999999</v>
      </c>
    </row>
    <row r="22" spans="2:16" ht="17.25" thickBot="1">
      <c r="B22" s="489"/>
      <c r="C22" s="490"/>
      <c r="D22" s="491">
        <f>D20/D21</f>
        <v>0.74748348537275877</v>
      </c>
    </row>
    <row r="23" spans="2:16" ht="33.75" customHeight="1" thickBot="1">
      <c r="C23" s="492" t="s">
        <v>184</v>
      </c>
      <c r="D23" s="492" t="s">
        <v>185</v>
      </c>
      <c r="E23" s="492" t="s">
        <v>186</v>
      </c>
    </row>
    <row r="24" spans="2:16" ht="21.95" customHeight="1">
      <c r="B24" s="493" t="s">
        <v>93</v>
      </c>
      <c r="C24" s="148">
        <f>O16</f>
        <v>792.1</v>
      </c>
      <c r="D24" s="494"/>
      <c r="E24" s="431"/>
      <c r="H24" s="495" t="s">
        <v>181</v>
      </c>
      <c r="I24" s="699" t="s">
        <v>194</v>
      </c>
      <c r="J24" s="700"/>
      <c r="K24" s="663">
        <f>INDEX(Location[recharge], MATCH(I24,Location[name],0))</f>
        <v>0.155</v>
      </c>
      <c r="L24" s="66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1448.3</v>
      </c>
      <c r="D25" s="430"/>
      <c r="E25" s="433"/>
      <c r="H25" s="495" t="s">
        <v>182</v>
      </c>
      <c r="I25" s="701" t="s">
        <v>191</v>
      </c>
      <c r="J25" s="702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162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183</v>
      </c>
      <c r="I26" s="703" t="s">
        <v>242</v>
      </c>
      <c r="J26" s="704"/>
      <c r="K26" s="665">
        <f>INDEX(Location[recharge], MATCH(I26,Location[name],0))</f>
        <v>0.17100000000000001</v>
      </c>
      <c r="L26" s="66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164</v>
      </c>
      <c r="C30" s="508">
        <f>max*rf_1/10</f>
        <v>22.448649999999997</v>
      </c>
      <c r="D30" s="508">
        <f>max*rf_2/10</f>
        <v>22.014159999999997</v>
      </c>
      <c r="E30" s="509">
        <f>max*rf_3/10</f>
        <v>24.765930000000001</v>
      </c>
    </row>
    <row r="31" spans="2:16" ht="22.15" customHeight="1" thickBot="1">
      <c r="E31" s="506"/>
      <c r="I31" s="510" t="s">
        <v>332</v>
      </c>
    </row>
    <row r="32" spans="2:16" ht="25.5" customHeight="1" thickBot="1">
      <c r="B32" s="762" t="s">
        <v>803</v>
      </c>
      <c r="C32" s="477"/>
      <c r="D32" s="477"/>
    </row>
    <row r="33" spans="1:6" ht="17.25" customHeight="1"/>
    <row r="34" spans="1:6" ht="17.25" customHeight="1">
      <c r="A34" s="511" t="s">
        <v>165</v>
      </c>
      <c r="C34" s="477"/>
      <c r="D34" s="477"/>
    </row>
    <row r="35" spans="1:6" ht="17.25" customHeight="1">
      <c r="A35" s="511" t="s">
        <v>166</v>
      </c>
    </row>
    <row r="3149" spans="15:15" s="513" customFormat="1" ht="17.25">
      <c r="O3149" s="512"/>
    </row>
    <row r="3435" spans="2430:2430">
      <c r="COL3435" s="514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317</v>
      </c>
    </row>
    <row r="19" spans="1:7">
      <c r="A19" s="22" t="s">
        <v>353</v>
      </c>
      <c r="D19" s="22" t="s">
        <v>571</v>
      </c>
      <c r="G19" s="179" t="s">
        <v>334</v>
      </c>
    </row>
    <row r="20" spans="1:7">
      <c r="A20" s="22" t="s">
        <v>346</v>
      </c>
      <c r="D20" s="22">
        <v>150</v>
      </c>
      <c r="G20" s="179" t="s">
        <v>335</v>
      </c>
    </row>
    <row r="21" spans="1:7">
      <c r="A21" s="22" t="s">
        <v>347</v>
      </c>
      <c r="D21" s="22">
        <v>200</v>
      </c>
      <c r="G21" s="179" t="s">
        <v>336</v>
      </c>
    </row>
    <row r="22" spans="1:7">
      <c r="A22" s="22" t="s">
        <v>348</v>
      </c>
      <c r="D22" s="22">
        <v>250</v>
      </c>
      <c r="G22" s="179" t="s">
        <v>337</v>
      </c>
    </row>
    <row r="23" spans="1:7">
      <c r="A23" s="22" t="s">
        <v>349</v>
      </c>
      <c r="D23" s="22">
        <v>1700</v>
      </c>
      <c r="G23" s="179" t="s">
        <v>338</v>
      </c>
    </row>
    <row r="24" spans="1:7">
      <c r="A24" s="22" t="s">
        <v>350</v>
      </c>
      <c r="G24" s="179" t="s">
        <v>339</v>
      </c>
    </row>
    <row r="25" spans="1:7">
      <c r="A25" s="22" t="s">
        <v>351</v>
      </c>
      <c r="G25" s="179" t="s">
        <v>340</v>
      </c>
    </row>
    <row r="26" spans="1:7">
      <c r="A26" s="22" t="s">
        <v>352</v>
      </c>
      <c r="G26" s="179" t="s">
        <v>341</v>
      </c>
    </row>
    <row r="27" spans="1:7">
      <c r="G27" s="179" t="s">
        <v>342</v>
      </c>
    </row>
    <row r="28" spans="1:7">
      <c r="G28" s="179" t="s">
        <v>343</v>
      </c>
    </row>
    <row r="29" spans="1:7">
      <c r="G29" s="179" t="s">
        <v>344</v>
      </c>
    </row>
    <row r="30" spans="1:7">
      <c r="G30" s="179" t="s">
        <v>345</v>
      </c>
    </row>
    <row r="31" spans="1:7">
      <c r="G31" s="191" t="s">
        <v>590</v>
      </c>
    </row>
    <row r="32" spans="1:7">
      <c r="G32" s="179" t="s">
        <v>599</v>
      </c>
    </row>
    <row r="33" spans="7:7">
      <c r="G33" s="179" t="s">
        <v>600</v>
      </c>
    </row>
    <row r="34" spans="7:7">
      <c r="G34" s="179" t="s">
        <v>606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243</v>
      </c>
      <c r="B16" s="84">
        <v>0.153</v>
      </c>
      <c r="C16" s="84">
        <v>0.68100000000000005</v>
      </c>
    </row>
    <row r="17" spans="1:3" ht="18" customHeight="1">
      <c r="A17" s="81" t="s">
        <v>321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279</v>
      </c>
    </row>
    <row r="4" spans="3:11" ht="40.5" customHeight="1">
      <c r="C4" s="184" t="s">
        <v>272</v>
      </c>
      <c r="D4" s="185" t="s">
        <v>256</v>
      </c>
      <c r="E4" s="185" t="s">
        <v>273</v>
      </c>
      <c r="F4" s="186" t="s">
        <v>278</v>
      </c>
      <c r="G4" s="185" t="s">
        <v>269</v>
      </c>
      <c r="H4" s="185" t="s">
        <v>274</v>
      </c>
      <c r="I4" s="185" t="s">
        <v>275</v>
      </c>
      <c r="J4" s="185" t="s">
        <v>276</v>
      </c>
      <c r="K4" s="187" t="s">
        <v>277</v>
      </c>
    </row>
    <row r="5" spans="3:11" ht="97.5" customHeight="1">
      <c r="C5" s="94" t="s">
        <v>226</v>
      </c>
      <c r="D5" s="122" t="s">
        <v>280</v>
      </c>
      <c r="E5" s="122" t="s">
        <v>281</v>
      </c>
      <c r="F5" s="122" t="s">
        <v>282</v>
      </c>
      <c r="G5" s="122" t="s">
        <v>798</v>
      </c>
      <c r="H5" s="122" t="s">
        <v>799</v>
      </c>
      <c r="I5" s="122" t="s">
        <v>800</v>
      </c>
      <c r="J5" s="122" t="s">
        <v>801</v>
      </c>
      <c r="K5" s="123" t="s">
        <v>802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workbookViewId="0">
      <selection activeCell="A4" sqref="A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72" t="s">
        <v>260</v>
      </c>
      <c r="B4" s="673" t="s">
        <v>292</v>
      </c>
      <c r="C4" s="673" t="s">
        <v>293</v>
      </c>
      <c r="D4" s="673" t="s">
        <v>302</v>
      </c>
      <c r="E4" s="673" t="s">
        <v>310</v>
      </c>
      <c r="F4" s="673" t="s">
        <v>309</v>
      </c>
      <c r="G4" s="673" t="s">
        <v>294</v>
      </c>
      <c r="H4" s="674" t="s">
        <v>284</v>
      </c>
      <c r="I4" s="673" t="s">
        <v>295</v>
      </c>
      <c r="J4" s="673" t="s">
        <v>296</v>
      </c>
      <c r="K4" s="673" t="s">
        <v>300</v>
      </c>
      <c r="L4" s="673" t="s">
        <v>299</v>
      </c>
      <c r="M4" s="673" t="s">
        <v>297</v>
      </c>
      <c r="N4" s="673" t="s">
        <v>290</v>
      </c>
      <c r="O4" s="674" t="s">
        <v>285</v>
      </c>
      <c r="P4" s="674" t="s">
        <v>286</v>
      </c>
      <c r="Q4" s="673" t="s">
        <v>298</v>
      </c>
      <c r="R4" s="673" t="s">
        <v>303</v>
      </c>
      <c r="S4" s="673" t="s">
        <v>304</v>
      </c>
      <c r="T4" s="674" t="s">
        <v>289</v>
      </c>
      <c r="U4" s="675" t="s">
        <v>301</v>
      </c>
      <c r="V4" s="674" t="s">
        <v>287</v>
      </c>
      <c r="W4" s="674" t="s">
        <v>288</v>
      </c>
      <c r="X4" s="674" t="s">
        <v>291</v>
      </c>
      <c r="Y4" s="673" t="s">
        <v>307</v>
      </c>
      <c r="Z4" s="673" t="s">
        <v>308</v>
      </c>
      <c r="AA4" s="673" t="s">
        <v>315</v>
      </c>
      <c r="AB4" s="673" t="s">
        <v>316</v>
      </c>
      <c r="AC4" s="673" t="s">
        <v>311</v>
      </c>
      <c r="AD4" s="673" t="s">
        <v>305</v>
      </c>
      <c r="AE4" s="673" t="s">
        <v>306</v>
      </c>
      <c r="AF4" s="673" t="s">
        <v>312</v>
      </c>
      <c r="AG4" s="674" t="s">
        <v>313</v>
      </c>
      <c r="AH4" s="674" t="s">
        <v>314</v>
      </c>
      <c r="AI4" s="674" t="s">
        <v>585</v>
      </c>
      <c r="AJ4" s="674" t="s">
        <v>584</v>
      </c>
      <c r="AK4" s="674" t="s">
        <v>586</v>
      </c>
      <c r="AL4" s="674" t="s">
        <v>587</v>
      </c>
      <c r="AM4" s="674" t="s">
        <v>588</v>
      </c>
      <c r="AN4" s="674" t="s">
        <v>806</v>
      </c>
      <c r="AO4" s="674" t="s">
        <v>807</v>
      </c>
      <c r="AP4" s="674" t="s">
        <v>783</v>
      </c>
      <c r="AQ4" s="667" t="s">
        <v>784</v>
      </c>
      <c r="AR4" s="688" t="s">
        <v>804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76" t="s">
        <v>85</v>
      </c>
      <c r="B5" s="671">
        <v>11.02</v>
      </c>
      <c r="C5" s="671">
        <v>72.42</v>
      </c>
      <c r="D5" s="677">
        <v>13.298419422975943</v>
      </c>
      <c r="E5" s="677">
        <v>59.121580577024062</v>
      </c>
      <c r="F5" s="671">
        <v>61.400000000000006</v>
      </c>
      <c r="G5" s="671">
        <v>250</v>
      </c>
      <c r="H5" s="671">
        <v>0.125</v>
      </c>
      <c r="I5" s="671">
        <v>100</v>
      </c>
      <c r="J5" s="671">
        <v>14</v>
      </c>
      <c r="K5" s="671">
        <v>295</v>
      </c>
      <c r="L5" s="677">
        <v>5.3394962058322601</v>
      </c>
      <c r="M5" s="671">
        <v>10</v>
      </c>
      <c r="N5" s="671">
        <v>86</v>
      </c>
      <c r="O5" s="678">
        <v>3.41</v>
      </c>
      <c r="P5" s="678">
        <v>2.6520000000000001</v>
      </c>
      <c r="Q5" s="678">
        <v>3.0310000000000001</v>
      </c>
      <c r="R5" s="671">
        <v>6.3839999999999994E-2</v>
      </c>
      <c r="S5" s="679">
        <v>2.0479999999999999E-4</v>
      </c>
      <c r="T5" s="671">
        <v>3.524E-2</v>
      </c>
      <c r="U5" s="680">
        <v>0.375</v>
      </c>
      <c r="V5" s="677">
        <v>154.19999999999999</v>
      </c>
      <c r="W5" s="677">
        <v>188.8</v>
      </c>
      <c r="X5" s="677">
        <v>111.7</v>
      </c>
      <c r="Y5" s="678">
        <v>-2.8710478260785024</v>
      </c>
      <c r="Z5" s="678">
        <v>2.2069999999999999</v>
      </c>
      <c r="AA5" s="681">
        <v>339</v>
      </c>
      <c r="AB5" s="677">
        <v>307.53743590615801</v>
      </c>
      <c r="AC5" s="677">
        <v>186</v>
      </c>
      <c r="AD5" s="677">
        <v>25.7</v>
      </c>
      <c r="AE5" s="677">
        <v>54.64</v>
      </c>
      <c r="AF5" s="671">
        <v>1.505E-4</v>
      </c>
      <c r="AG5" s="671">
        <v>0.10956639999999999</v>
      </c>
      <c r="AH5" s="682">
        <v>0.9056047197640118</v>
      </c>
      <c r="AI5" s="678">
        <v>1.855</v>
      </c>
      <c r="AJ5" s="678">
        <v>5.0000000000000001E-4</v>
      </c>
      <c r="AK5" s="671" t="s">
        <v>261</v>
      </c>
      <c r="AL5" s="671">
        <v>7.3506999999999998</v>
      </c>
      <c r="AM5" s="671">
        <v>7.3550000000000004</v>
      </c>
      <c r="AN5" s="671">
        <v>1.4124000000000001</v>
      </c>
      <c r="AO5" s="671" t="s">
        <v>797</v>
      </c>
      <c r="AP5" s="671" t="s">
        <v>337</v>
      </c>
      <c r="AQ5" s="668">
        <v>52.53</v>
      </c>
      <c r="AR5" s="683" t="s">
        <v>805</v>
      </c>
    </row>
    <row r="6" spans="1:702" ht="23.1" customHeight="1">
      <c r="A6" s="676"/>
      <c r="B6" s="671"/>
      <c r="C6" s="671"/>
      <c r="D6" s="677"/>
      <c r="E6" s="677"/>
      <c r="F6" s="671"/>
      <c r="G6" s="671"/>
      <c r="H6" s="671"/>
      <c r="I6" s="671"/>
      <c r="J6" s="671"/>
      <c r="K6" s="671"/>
      <c r="L6" s="677"/>
      <c r="M6" s="671"/>
      <c r="N6" s="671"/>
      <c r="O6" s="678"/>
      <c r="P6" s="678"/>
      <c r="Q6" s="678"/>
      <c r="R6" s="671"/>
      <c r="S6" s="679"/>
      <c r="T6" s="671"/>
      <c r="U6" s="684"/>
      <c r="V6" s="677"/>
      <c r="W6" s="677"/>
      <c r="X6" s="677"/>
      <c r="Y6" s="678"/>
      <c r="Z6" s="678"/>
      <c r="AA6" s="681"/>
      <c r="AB6" s="677"/>
      <c r="AC6" s="677"/>
      <c r="AD6" s="677"/>
      <c r="AE6" s="677"/>
      <c r="AF6" s="671"/>
      <c r="AG6" s="671"/>
      <c r="AH6" s="682"/>
      <c r="AI6" s="678"/>
      <c r="AJ6" s="678"/>
      <c r="AK6" s="671"/>
      <c r="AL6" s="671"/>
      <c r="AM6" s="671"/>
      <c r="AN6" s="671"/>
      <c r="AO6" s="671"/>
      <c r="AP6" s="671"/>
      <c r="AQ6" s="668"/>
      <c r="AR6" s="683"/>
    </row>
    <row r="7" spans="1:702" ht="23.1" customHeight="1">
      <c r="A7" s="676"/>
      <c r="B7" s="671"/>
      <c r="C7" s="671"/>
      <c r="D7" s="677"/>
      <c r="E7" s="677"/>
      <c r="F7" s="671"/>
      <c r="G7" s="671"/>
      <c r="H7" s="671"/>
      <c r="I7" s="671"/>
      <c r="J7" s="671"/>
      <c r="K7" s="671"/>
      <c r="L7" s="677"/>
      <c r="M7" s="671"/>
      <c r="N7" s="671"/>
      <c r="O7" s="678"/>
      <c r="P7" s="678"/>
      <c r="Q7" s="678"/>
      <c r="R7" s="671"/>
      <c r="S7" s="679"/>
      <c r="T7" s="671"/>
      <c r="U7" s="684"/>
      <c r="V7" s="677"/>
      <c r="W7" s="677"/>
      <c r="X7" s="677"/>
      <c r="Y7" s="678"/>
      <c r="Z7" s="678"/>
      <c r="AA7" s="681"/>
      <c r="AB7" s="677"/>
      <c r="AC7" s="677"/>
      <c r="AD7" s="677"/>
      <c r="AE7" s="677"/>
      <c r="AF7" s="671"/>
      <c r="AG7" s="671"/>
      <c r="AH7" s="682"/>
      <c r="AI7" s="678"/>
      <c r="AJ7" s="678"/>
      <c r="AK7" s="671"/>
      <c r="AL7" s="671"/>
      <c r="AM7" s="671"/>
      <c r="AN7" s="671"/>
      <c r="AO7" s="671"/>
      <c r="AP7" s="671"/>
      <c r="AQ7" s="668"/>
      <c r="AR7" s="683"/>
    </row>
    <row r="8" spans="1:702" ht="23.1" customHeight="1">
      <c r="A8" s="676"/>
      <c r="B8" s="671"/>
      <c r="C8" s="671"/>
      <c r="D8" s="677"/>
      <c r="E8" s="677"/>
      <c r="F8" s="671"/>
      <c r="G8" s="671"/>
      <c r="H8" s="671"/>
      <c r="I8" s="671"/>
      <c r="J8" s="671"/>
      <c r="K8" s="671"/>
      <c r="L8" s="677"/>
      <c r="M8" s="671"/>
      <c r="N8" s="671"/>
      <c r="O8" s="678"/>
      <c r="P8" s="678"/>
      <c r="Q8" s="678"/>
      <c r="R8" s="671"/>
      <c r="S8" s="679"/>
      <c r="T8" s="671"/>
      <c r="U8" s="684"/>
      <c r="V8" s="677"/>
      <c r="W8" s="677"/>
      <c r="X8" s="677"/>
      <c r="Y8" s="678"/>
      <c r="Z8" s="678"/>
      <c r="AA8" s="681"/>
      <c r="AB8" s="677"/>
      <c r="AC8" s="677"/>
      <c r="AD8" s="677"/>
      <c r="AE8" s="677"/>
      <c r="AF8" s="671"/>
      <c r="AG8" s="671"/>
      <c r="AH8" s="682"/>
      <c r="AI8" s="678"/>
      <c r="AJ8" s="678"/>
      <c r="AK8" s="671"/>
      <c r="AL8" s="671"/>
      <c r="AM8" s="671"/>
      <c r="AN8" s="671"/>
      <c r="AO8" s="671"/>
      <c r="AP8" s="671"/>
      <c r="AQ8" s="668"/>
      <c r="AR8" s="683"/>
    </row>
    <row r="9" spans="1:702" ht="23.1" customHeight="1">
      <c r="A9" s="676"/>
      <c r="B9" s="671"/>
      <c r="C9" s="671"/>
      <c r="D9" s="677"/>
      <c r="E9" s="677"/>
      <c r="F9" s="671"/>
      <c r="G9" s="671"/>
      <c r="H9" s="671"/>
      <c r="I9" s="671"/>
      <c r="J9" s="671"/>
      <c r="K9" s="671"/>
      <c r="L9" s="677"/>
      <c r="M9" s="671"/>
      <c r="N9" s="671"/>
      <c r="O9" s="678"/>
      <c r="P9" s="678"/>
      <c r="Q9" s="678"/>
      <c r="R9" s="671"/>
      <c r="S9" s="679"/>
      <c r="T9" s="671"/>
      <c r="U9" s="684"/>
      <c r="V9" s="677"/>
      <c r="W9" s="677"/>
      <c r="X9" s="677"/>
      <c r="Y9" s="678"/>
      <c r="Z9" s="678"/>
      <c r="AA9" s="681"/>
      <c r="AB9" s="677"/>
      <c r="AC9" s="677"/>
      <c r="AD9" s="677"/>
      <c r="AE9" s="677"/>
      <c r="AF9" s="671"/>
      <c r="AG9" s="671"/>
      <c r="AH9" s="682"/>
      <c r="AI9" s="678"/>
      <c r="AJ9" s="678"/>
      <c r="AK9" s="671"/>
      <c r="AL9" s="671"/>
      <c r="AM9" s="671"/>
      <c r="AN9" s="671"/>
      <c r="AO9" s="671"/>
      <c r="AP9" s="671"/>
      <c r="AQ9" s="668"/>
      <c r="AR9" s="683"/>
    </row>
    <row r="10" spans="1:702" ht="23.1" customHeight="1">
      <c r="A10" s="676"/>
      <c r="B10" s="671"/>
      <c r="C10" s="671"/>
      <c r="D10" s="677"/>
      <c r="E10" s="677"/>
      <c r="F10" s="671"/>
      <c r="G10" s="671"/>
      <c r="H10" s="671"/>
      <c r="I10" s="671"/>
      <c r="J10" s="671"/>
      <c r="K10" s="671"/>
      <c r="L10" s="677"/>
      <c r="M10" s="671"/>
      <c r="N10" s="671"/>
      <c r="O10" s="678"/>
      <c r="P10" s="678"/>
      <c r="Q10" s="678"/>
      <c r="R10" s="671"/>
      <c r="S10" s="679"/>
      <c r="T10" s="671"/>
      <c r="U10" s="684"/>
      <c r="V10" s="677"/>
      <c r="W10" s="677"/>
      <c r="X10" s="677"/>
      <c r="Y10" s="678"/>
      <c r="Z10" s="678"/>
      <c r="AA10" s="681"/>
      <c r="AB10" s="677"/>
      <c r="AC10" s="677"/>
      <c r="AD10" s="677"/>
      <c r="AE10" s="677"/>
      <c r="AF10" s="671"/>
      <c r="AG10" s="671"/>
      <c r="AH10" s="682"/>
      <c r="AI10" s="678"/>
      <c r="AJ10" s="678"/>
      <c r="AK10" s="671"/>
      <c r="AL10" s="671"/>
      <c r="AM10" s="671"/>
      <c r="AN10" s="671"/>
      <c r="AO10" s="671"/>
      <c r="AP10" s="671"/>
      <c r="AQ10" s="668"/>
      <c r="AR10" s="683"/>
    </row>
    <row r="11" spans="1:702" ht="23.1" customHeight="1">
      <c r="A11" s="676"/>
      <c r="B11" s="671"/>
      <c r="C11" s="671"/>
      <c r="D11" s="677"/>
      <c r="E11" s="677"/>
      <c r="F11" s="671"/>
      <c r="G11" s="671"/>
      <c r="H11" s="671"/>
      <c r="I11" s="671"/>
      <c r="J11" s="671"/>
      <c r="K11" s="671"/>
      <c r="L11" s="677"/>
      <c r="M11" s="671"/>
      <c r="N11" s="671"/>
      <c r="O11" s="678"/>
      <c r="P11" s="678"/>
      <c r="Q11" s="678"/>
      <c r="R11" s="671"/>
      <c r="S11" s="679"/>
      <c r="T11" s="671"/>
      <c r="U11" s="684"/>
      <c r="V11" s="677"/>
      <c r="W11" s="677"/>
      <c r="X11" s="677"/>
      <c r="Y11" s="678"/>
      <c r="Z11" s="678"/>
      <c r="AA11" s="681"/>
      <c r="AB11" s="677"/>
      <c r="AC11" s="677"/>
      <c r="AD11" s="677"/>
      <c r="AE11" s="677"/>
      <c r="AF11" s="671"/>
      <c r="AG11" s="671"/>
      <c r="AH11" s="682"/>
      <c r="AI11" s="678"/>
      <c r="AJ11" s="678"/>
      <c r="AK11" s="671"/>
      <c r="AL11" s="671"/>
      <c r="AM11" s="671"/>
      <c r="AN11" s="671"/>
      <c r="AO11" s="671"/>
      <c r="AP11" s="671"/>
      <c r="AQ11" s="668"/>
      <c r="AR11" s="683"/>
    </row>
    <row r="12" spans="1:702" ht="23.1" customHeight="1">
      <c r="A12" s="676"/>
      <c r="B12" s="671"/>
      <c r="C12" s="671"/>
      <c r="D12" s="677"/>
      <c r="E12" s="677"/>
      <c r="F12" s="671"/>
      <c r="G12" s="671"/>
      <c r="H12" s="671"/>
      <c r="I12" s="671"/>
      <c r="J12" s="671"/>
      <c r="K12" s="671"/>
      <c r="L12" s="677"/>
      <c r="M12" s="671"/>
      <c r="N12" s="671"/>
      <c r="O12" s="678"/>
      <c r="P12" s="678"/>
      <c r="Q12" s="678"/>
      <c r="R12" s="671"/>
      <c r="S12" s="679"/>
      <c r="T12" s="671"/>
      <c r="U12" s="684"/>
      <c r="V12" s="677"/>
      <c r="W12" s="677"/>
      <c r="X12" s="677"/>
      <c r="Y12" s="678"/>
      <c r="Z12" s="678"/>
      <c r="AA12" s="681"/>
      <c r="AB12" s="677"/>
      <c r="AC12" s="677"/>
      <c r="AD12" s="677"/>
      <c r="AE12" s="677"/>
      <c r="AF12" s="671"/>
      <c r="AG12" s="671"/>
      <c r="AH12" s="682"/>
      <c r="AI12" s="678"/>
      <c r="AJ12" s="678"/>
      <c r="AK12" s="671"/>
      <c r="AL12" s="671"/>
      <c r="AM12" s="671"/>
      <c r="AN12" s="671"/>
      <c r="AO12" s="671"/>
      <c r="AP12" s="671"/>
      <c r="AQ12" s="668"/>
      <c r="AR12" s="683"/>
    </row>
    <row r="13" spans="1:702" ht="23.1" customHeight="1">
      <c r="A13" s="676"/>
      <c r="B13" s="671"/>
      <c r="C13" s="671"/>
      <c r="D13" s="677"/>
      <c r="E13" s="677"/>
      <c r="F13" s="671"/>
      <c r="G13" s="671"/>
      <c r="H13" s="671"/>
      <c r="I13" s="671"/>
      <c r="J13" s="671"/>
      <c r="K13" s="671"/>
      <c r="L13" s="677"/>
      <c r="M13" s="671"/>
      <c r="N13" s="671"/>
      <c r="O13" s="678"/>
      <c r="P13" s="678"/>
      <c r="Q13" s="678"/>
      <c r="R13" s="671"/>
      <c r="S13" s="679"/>
      <c r="T13" s="671"/>
      <c r="U13" s="684"/>
      <c r="V13" s="677"/>
      <c r="W13" s="677"/>
      <c r="X13" s="677"/>
      <c r="Y13" s="678"/>
      <c r="Z13" s="678"/>
      <c r="AA13" s="681"/>
      <c r="AB13" s="677"/>
      <c r="AC13" s="677"/>
      <c r="AD13" s="677"/>
      <c r="AE13" s="677"/>
      <c r="AF13" s="671"/>
      <c r="AG13" s="671"/>
      <c r="AH13" s="682"/>
      <c r="AI13" s="678"/>
      <c r="AJ13" s="678"/>
      <c r="AK13" s="671"/>
      <c r="AL13" s="671"/>
      <c r="AM13" s="671"/>
      <c r="AN13" s="671"/>
      <c r="AO13" s="671"/>
      <c r="AP13" s="671"/>
      <c r="AQ13" s="668"/>
      <c r="AR13" s="683"/>
    </row>
    <row r="14" spans="1:702" ht="23.1" customHeight="1">
      <c r="A14" s="676"/>
      <c r="B14" s="671"/>
      <c r="C14" s="671"/>
      <c r="D14" s="677"/>
      <c r="E14" s="677"/>
      <c r="F14" s="671"/>
      <c r="G14" s="671"/>
      <c r="H14" s="671"/>
      <c r="I14" s="671"/>
      <c r="J14" s="671"/>
      <c r="K14" s="671"/>
      <c r="L14" s="677"/>
      <c r="M14" s="671"/>
      <c r="N14" s="671"/>
      <c r="O14" s="678"/>
      <c r="P14" s="678"/>
      <c r="Q14" s="678"/>
      <c r="R14" s="671"/>
      <c r="S14" s="679"/>
      <c r="T14" s="671"/>
      <c r="U14" s="684"/>
      <c r="V14" s="677"/>
      <c r="W14" s="677"/>
      <c r="X14" s="677"/>
      <c r="Y14" s="678"/>
      <c r="Z14" s="678"/>
      <c r="AA14" s="681"/>
      <c r="AB14" s="677"/>
      <c r="AC14" s="677"/>
      <c r="AD14" s="677"/>
      <c r="AE14" s="677"/>
      <c r="AF14" s="671"/>
      <c r="AG14" s="671"/>
      <c r="AH14" s="682"/>
      <c r="AI14" s="678"/>
      <c r="AJ14" s="678"/>
      <c r="AK14" s="671"/>
      <c r="AL14" s="671"/>
      <c r="AM14" s="671"/>
      <c r="AN14" s="671"/>
      <c r="AO14" s="671"/>
      <c r="AP14" s="671"/>
      <c r="AQ14" s="668"/>
      <c r="AR14" s="683"/>
    </row>
    <row r="15" spans="1:702" ht="23.1" customHeight="1">
      <c r="A15" s="676"/>
      <c r="B15" s="671"/>
      <c r="C15" s="671"/>
      <c r="D15" s="677"/>
      <c r="E15" s="677"/>
      <c r="F15" s="671"/>
      <c r="G15" s="671"/>
      <c r="H15" s="671"/>
      <c r="I15" s="671"/>
      <c r="J15" s="671"/>
      <c r="K15" s="671"/>
      <c r="L15" s="677"/>
      <c r="M15" s="671"/>
      <c r="N15" s="671"/>
      <c r="O15" s="678"/>
      <c r="P15" s="678"/>
      <c r="Q15" s="678"/>
      <c r="R15" s="671"/>
      <c r="S15" s="679"/>
      <c r="T15" s="671"/>
      <c r="U15" s="684"/>
      <c r="V15" s="677"/>
      <c r="W15" s="677"/>
      <c r="X15" s="677"/>
      <c r="Y15" s="678"/>
      <c r="Z15" s="678"/>
      <c r="AA15" s="681"/>
      <c r="AB15" s="677"/>
      <c r="AC15" s="677"/>
      <c r="AD15" s="677"/>
      <c r="AE15" s="677"/>
      <c r="AF15" s="671"/>
      <c r="AG15" s="671"/>
      <c r="AH15" s="682"/>
      <c r="AI15" s="678"/>
      <c r="AJ15" s="678"/>
      <c r="AK15" s="671"/>
      <c r="AL15" s="671"/>
      <c r="AM15" s="671"/>
      <c r="AN15" s="671"/>
      <c r="AO15" s="671"/>
      <c r="AP15" s="671"/>
      <c r="AQ15" s="668"/>
      <c r="AR15" s="683"/>
    </row>
    <row r="16" spans="1:702" ht="23.1" customHeight="1">
      <c r="A16" s="676"/>
      <c r="B16" s="671"/>
      <c r="C16" s="671"/>
      <c r="D16" s="677"/>
      <c r="E16" s="677"/>
      <c r="F16" s="671"/>
      <c r="G16" s="671"/>
      <c r="H16" s="671"/>
      <c r="I16" s="671"/>
      <c r="J16" s="671"/>
      <c r="K16" s="671"/>
      <c r="L16" s="677"/>
      <c r="M16" s="671"/>
      <c r="N16" s="671"/>
      <c r="O16" s="678"/>
      <c r="P16" s="678"/>
      <c r="Q16" s="678"/>
      <c r="R16" s="671"/>
      <c r="S16" s="679"/>
      <c r="T16" s="671"/>
      <c r="U16" s="684"/>
      <c r="V16" s="677"/>
      <c r="W16" s="677"/>
      <c r="X16" s="677"/>
      <c r="Y16" s="678"/>
      <c r="Z16" s="678"/>
      <c r="AA16" s="681"/>
      <c r="AB16" s="677"/>
      <c r="AC16" s="677"/>
      <c r="AD16" s="677"/>
      <c r="AE16" s="677"/>
      <c r="AF16" s="671"/>
      <c r="AG16" s="671"/>
      <c r="AH16" s="682"/>
      <c r="AI16" s="678"/>
      <c r="AJ16" s="678"/>
      <c r="AK16" s="671"/>
      <c r="AL16" s="671"/>
      <c r="AM16" s="671"/>
      <c r="AN16" s="671"/>
      <c r="AO16" s="671"/>
      <c r="AP16" s="671"/>
      <c r="AQ16" s="668"/>
      <c r="AR16" s="683"/>
    </row>
    <row r="17" spans="1:44" ht="23.1" customHeight="1">
      <c r="A17" s="676"/>
      <c r="B17" s="671"/>
      <c r="C17" s="671"/>
      <c r="D17" s="677"/>
      <c r="E17" s="677"/>
      <c r="F17" s="671"/>
      <c r="G17" s="671"/>
      <c r="H17" s="671"/>
      <c r="I17" s="671"/>
      <c r="J17" s="671"/>
      <c r="K17" s="671"/>
      <c r="L17" s="677"/>
      <c r="M17" s="671"/>
      <c r="N17" s="671"/>
      <c r="O17" s="678"/>
      <c r="P17" s="678"/>
      <c r="Q17" s="678"/>
      <c r="R17" s="671"/>
      <c r="S17" s="679"/>
      <c r="T17" s="671"/>
      <c r="U17" s="684"/>
      <c r="V17" s="677"/>
      <c r="W17" s="677"/>
      <c r="X17" s="677"/>
      <c r="Y17" s="678"/>
      <c r="Z17" s="678"/>
      <c r="AA17" s="681"/>
      <c r="AB17" s="677"/>
      <c r="AC17" s="677"/>
      <c r="AD17" s="677"/>
      <c r="AE17" s="677"/>
      <c r="AF17" s="671"/>
      <c r="AG17" s="671"/>
      <c r="AH17" s="682"/>
      <c r="AI17" s="678"/>
      <c r="AJ17" s="678"/>
      <c r="AK17" s="671"/>
      <c r="AL17" s="671"/>
      <c r="AM17" s="671"/>
      <c r="AN17" s="671"/>
      <c r="AO17" s="671"/>
      <c r="AP17" s="671"/>
      <c r="AQ17" s="668"/>
      <c r="AR17" s="683"/>
    </row>
    <row r="18" spans="1:44" ht="23.1" customHeight="1">
      <c r="A18" s="676"/>
      <c r="B18" s="671"/>
      <c r="C18" s="671"/>
      <c r="D18" s="677"/>
      <c r="E18" s="677"/>
      <c r="F18" s="671"/>
      <c r="G18" s="671"/>
      <c r="H18" s="671"/>
      <c r="I18" s="671"/>
      <c r="J18" s="671"/>
      <c r="K18" s="671"/>
      <c r="L18" s="677"/>
      <c r="M18" s="671"/>
      <c r="N18" s="671"/>
      <c r="O18" s="678"/>
      <c r="P18" s="678"/>
      <c r="Q18" s="678"/>
      <c r="R18" s="671"/>
      <c r="S18" s="679"/>
      <c r="T18" s="671"/>
      <c r="U18" s="684"/>
      <c r="V18" s="677"/>
      <c r="W18" s="677"/>
      <c r="X18" s="677"/>
      <c r="Y18" s="678"/>
      <c r="Z18" s="678"/>
      <c r="AA18" s="681"/>
      <c r="AB18" s="677"/>
      <c r="AC18" s="677"/>
      <c r="AD18" s="677"/>
      <c r="AE18" s="677"/>
      <c r="AF18" s="671"/>
      <c r="AG18" s="671"/>
      <c r="AH18" s="682"/>
      <c r="AI18" s="678"/>
      <c r="AJ18" s="678"/>
      <c r="AK18" s="671"/>
      <c r="AL18" s="671"/>
      <c r="AM18" s="671"/>
      <c r="AN18" s="671"/>
      <c r="AO18" s="671"/>
      <c r="AP18" s="671"/>
      <c r="AQ18" s="668"/>
      <c r="AR18" s="683"/>
    </row>
    <row r="19" spans="1:44" ht="23.1" customHeight="1">
      <c r="A19" s="676"/>
      <c r="B19" s="671"/>
      <c r="C19" s="671"/>
      <c r="D19" s="671"/>
      <c r="E19" s="671"/>
      <c r="F19" s="671"/>
      <c r="G19" s="671"/>
      <c r="H19" s="671"/>
      <c r="I19" s="671"/>
      <c r="J19" s="671"/>
      <c r="K19" s="671"/>
      <c r="L19" s="671"/>
      <c r="M19" s="671"/>
      <c r="N19" s="671"/>
      <c r="O19" s="671"/>
      <c r="P19" s="671"/>
      <c r="Q19" s="671"/>
      <c r="R19" s="671"/>
      <c r="S19" s="671"/>
      <c r="T19" s="671"/>
      <c r="U19" s="671"/>
      <c r="V19" s="671"/>
      <c r="W19" s="671"/>
      <c r="X19" s="671"/>
      <c r="Y19" s="671"/>
      <c r="Z19" s="671"/>
      <c r="AA19" s="671"/>
      <c r="AB19" s="671"/>
      <c r="AC19" s="671"/>
      <c r="AD19" s="671"/>
      <c r="AE19" s="671"/>
      <c r="AF19" s="671"/>
      <c r="AG19" s="671"/>
      <c r="AH19" s="671"/>
      <c r="AI19" s="671"/>
      <c r="AJ19" s="671"/>
      <c r="AK19" s="671"/>
      <c r="AL19" s="671"/>
      <c r="AM19" s="671"/>
      <c r="AN19" s="671"/>
      <c r="AO19" s="671"/>
      <c r="AP19" s="671"/>
      <c r="AQ19" s="669"/>
      <c r="AR19" s="683"/>
    </row>
    <row r="20" spans="1:44" ht="23.1" customHeight="1">
      <c r="A20" s="676"/>
      <c r="B20" s="671"/>
      <c r="C20" s="671"/>
      <c r="D20" s="671"/>
      <c r="E20" s="671"/>
      <c r="F20" s="671"/>
      <c r="G20" s="671"/>
      <c r="H20" s="671"/>
      <c r="I20" s="671"/>
      <c r="J20" s="671"/>
      <c r="K20" s="671"/>
      <c r="L20" s="671"/>
      <c r="M20" s="671"/>
      <c r="N20" s="671"/>
      <c r="O20" s="671"/>
      <c r="P20" s="671"/>
      <c r="Q20" s="671"/>
      <c r="R20" s="671"/>
      <c r="S20" s="671"/>
      <c r="T20" s="671"/>
      <c r="U20" s="671"/>
      <c r="V20" s="671"/>
      <c r="W20" s="671"/>
      <c r="X20" s="671"/>
      <c r="Y20" s="671"/>
      <c r="Z20" s="671"/>
      <c r="AA20" s="671"/>
      <c r="AB20" s="671"/>
      <c r="AC20" s="671"/>
      <c r="AD20" s="671"/>
      <c r="AE20" s="671"/>
      <c r="AF20" s="671"/>
      <c r="AG20" s="671"/>
      <c r="AH20" s="671"/>
      <c r="AI20" s="671"/>
      <c r="AJ20" s="671"/>
      <c r="AK20" s="671"/>
      <c r="AL20" s="671"/>
      <c r="AM20" s="671"/>
      <c r="AN20" s="671"/>
      <c r="AO20" s="671"/>
      <c r="AP20" s="671"/>
      <c r="AQ20" s="669"/>
      <c r="AR20" s="683"/>
    </row>
    <row r="21" spans="1:44" ht="23.1" customHeight="1">
      <c r="A21" s="676"/>
      <c r="B21" s="671"/>
      <c r="C21" s="671"/>
      <c r="D21" s="671"/>
      <c r="E21" s="671"/>
      <c r="F21" s="671"/>
      <c r="G21" s="671"/>
      <c r="H21" s="671"/>
      <c r="I21" s="671"/>
      <c r="J21" s="671"/>
      <c r="K21" s="671"/>
      <c r="L21" s="671"/>
      <c r="M21" s="671"/>
      <c r="N21" s="671"/>
      <c r="O21" s="671"/>
      <c r="P21" s="671"/>
      <c r="Q21" s="671"/>
      <c r="R21" s="671"/>
      <c r="S21" s="671"/>
      <c r="T21" s="671"/>
      <c r="U21" s="671"/>
      <c r="V21" s="671"/>
      <c r="W21" s="671"/>
      <c r="X21" s="671"/>
      <c r="Y21" s="671"/>
      <c r="Z21" s="671"/>
      <c r="AA21" s="671"/>
      <c r="AB21" s="671"/>
      <c r="AC21" s="671"/>
      <c r="AD21" s="671"/>
      <c r="AE21" s="671"/>
      <c r="AF21" s="671"/>
      <c r="AG21" s="671"/>
      <c r="AH21" s="671"/>
      <c r="AI21" s="671"/>
      <c r="AJ21" s="671"/>
      <c r="AK21" s="671"/>
      <c r="AL21" s="671"/>
      <c r="AM21" s="671"/>
      <c r="AN21" s="671"/>
      <c r="AO21" s="671"/>
      <c r="AP21" s="671"/>
      <c r="AQ21" s="669"/>
      <c r="AR21" s="683"/>
    </row>
    <row r="22" spans="1:44" ht="23.1" customHeight="1">
      <c r="A22" s="676"/>
      <c r="B22" s="671"/>
      <c r="C22" s="671"/>
      <c r="D22" s="671"/>
      <c r="E22" s="671"/>
      <c r="F22" s="671"/>
      <c r="G22" s="671"/>
      <c r="H22" s="671"/>
      <c r="I22" s="671"/>
      <c r="J22" s="671"/>
      <c r="K22" s="671"/>
      <c r="L22" s="671"/>
      <c r="M22" s="671"/>
      <c r="N22" s="671"/>
      <c r="O22" s="671"/>
      <c r="P22" s="671"/>
      <c r="Q22" s="671"/>
      <c r="R22" s="671"/>
      <c r="S22" s="671"/>
      <c r="T22" s="671"/>
      <c r="U22" s="671"/>
      <c r="V22" s="671"/>
      <c r="W22" s="671"/>
      <c r="X22" s="671"/>
      <c r="Y22" s="671"/>
      <c r="Z22" s="671"/>
      <c r="AA22" s="671"/>
      <c r="AB22" s="671"/>
      <c r="AC22" s="671"/>
      <c r="AD22" s="671"/>
      <c r="AE22" s="671"/>
      <c r="AF22" s="671"/>
      <c r="AG22" s="671"/>
      <c r="AH22" s="671"/>
      <c r="AI22" s="671"/>
      <c r="AJ22" s="671"/>
      <c r="AK22" s="671"/>
      <c r="AL22" s="671"/>
      <c r="AM22" s="671"/>
      <c r="AN22" s="671"/>
      <c r="AO22" s="671"/>
      <c r="AP22" s="671"/>
      <c r="AQ22" s="669"/>
      <c r="AR22" s="683"/>
    </row>
    <row r="23" spans="1:44" ht="23.1" customHeight="1">
      <c r="A23" s="676"/>
      <c r="B23" s="671"/>
      <c r="C23" s="671"/>
      <c r="D23" s="671"/>
      <c r="E23" s="671"/>
      <c r="F23" s="671"/>
      <c r="G23" s="671"/>
      <c r="H23" s="671"/>
      <c r="I23" s="671"/>
      <c r="J23" s="671"/>
      <c r="K23" s="671"/>
      <c r="L23" s="671"/>
      <c r="M23" s="671"/>
      <c r="N23" s="671"/>
      <c r="O23" s="671"/>
      <c r="P23" s="671"/>
      <c r="Q23" s="671"/>
      <c r="R23" s="671"/>
      <c r="S23" s="671"/>
      <c r="T23" s="671"/>
      <c r="U23" s="671"/>
      <c r="V23" s="671"/>
      <c r="W23" s="671"/>
      <c r="X23" s="671"/>
      <c r="Y23" s="671"/>
      <c r="Z23" s="671"/>
      <c r="AA23" s="671"/>
      <c r="AB23" s="671"/>
      <c r="AC23" s="671"/>
      <c r="AD23" s="671"/>
      <c r="AE23" s="671"/>
      <c r="AF23" s="671"/>
      <c r="AG23" s="671"/>
      <c r="AH23" s="671"/>
      <c r="AI23" s="671"/>
      <c r="AJ23" s="671"/>
      <c r="AK23" s="671"/>
      <c r="AL23" s="671"/>
      <c r="AM23" s="671"/>
      <c r="AN23" s="671"/>
      <c r="AO23" s="671"/>
      <c r="AP23" s="671"/>
      <c r="AQ23" s="669"/>
      <c r="AR23" s="683"/>
    </row>
    <row r="24" spans="1:44" ht="23.1" customHeight="1">
      <c r="A24" s="676"/>
      <c r="B24" s="671"/>
      <c r="C24" s="671"/>
      <c r="D24" s="671"/>
      <c r="E24" s="671"/>
      <c r="F24" s="671"/>
      <c r="G24" s="671"/>
      <c r="H24" s="671"/>
      <c r="I24" s="671"/>
      <c r="J24" s="671"/>
      <c r="K24" s="671"/>
      <c r="L24" s="671"/>
      <c r="M24" s="671"/>
      <c r="N24" s="671"/>
      <c r="O24" s="671"/>
      <c r="P24" s="671"/>
      <c r="Q24" s="671"/>
      <c r="R24" s="671"/>
      <c r="S24" s="671"/>
      <c r="T24" s="671"/>
      <c r="U24" s="671"/>
      <c r="V24" s="671"/>
      <c r="W24" s="671"/>
      <c r="X24" s="671"/>
      <c r="Y24" s="671"/>
      <c r="Z24" s="671"/>
      <c r="AA24" s="671"/>
      <c r="AB24" s="671"/>
      <c r="AC24" s="671"/>
      <c r="AD24" s="671"/>
      <c r="AE24" s="671"/>
      <c r="AF24" s="671"/>
      <c r="AG24" s="671"/>
      <c r="AH24" s="671"/>
      <c r="AI24" s="671"/>
      <c r="AJ24" s="671"/>
      <c r="AK24" s="671"/>
      <c r="AL24" s="671"/>
      <c r="AM24" s="671"/>
      <c r="AN24" s="671"/>
      <c r="AO24" s="671"/>
      <c r="AP24" s="671"/>
      <c r="AQ24" s="669"/>
      <c r="AR24" s="683"/>
    </row>
    <row r="25" spans="1:44" ht="23.1" customHeight="1">
      <c r="A25" s="676"/>
      <c r="B25" s="671"/>
      <c r="C25" s="671"/>
      <c r="D25" s="671"/>
      <c r="E25" s="671"/>
      <c r="F25" s="671"/>
      <c r="G25" s="671"/>
      <c r="H25" s="671"/>
      <c r="I25" s="671"/>
      <c r="J25" s="671"/>
      <c r="K25" s="671"/>
      <c r="L25" s="671"/>
      <c r="M25" s="671"/>
      <c r="N25" s="671"/>
      <c r="O25" s="671"/>
      <c r="P25" s="671"/>
      <c r="Q25" s="671"/>
      <c r="R25" s="671"/>
      <c r="S25" s="671"/>
      <c r="T25" s="671"/>
      <c r="U25" s="671"/>
      <c r="V25" s="671"/>
      <c r="W25" s="671"/>
      <c r="X25" s="671"/>
      <c r="Y25" s="671"/>
      <c r="Z25" s="671"/>
      <c r="AA25" s="671"/>
      <c r="AB25" s="671"/>
      <c r="AC25" s="671"/>
      <c r="AD25" s="671"/>
      <c r="AE25" s="671"/>
      <c r="AF25" s="671"/>
      <c r="AG25" s="671"/>
      <c r="AH25" s="671"/>
      <c r="AI25" s="671"/>
      <c r="AJ25" s="671"/>
      <c r="AK25" s="671"/>
      <c r="AL25" s="671"/>
      <c r="AM25" s="671"/>
      <c r="AN25" s="671"/>
      <c r="AO25" s="671"/>
      <c r="AP25" s="671"/>
      <c r="AQ25" s="669"/>
      <c r="AR25" s="683"/>
    </row>
    <row r="26" spans="1:44" ht="23.1" customHeight="1">
      <c r="A26" s="676"/>
      <c r="B26" s="671"/>
      <c r="C26" s="671"/>
      <c r="D26" s="671"/>
      <c r="E26" s="671"/>
      <c r="F26" s="671"/>
      <c r="G26" s="671"/>
      <c r="H26" s="671"/>
      <c r="I26" s="671"/>
      <c r="J26" s="671"/>
      <c r="K26" s="671"/>
      <c r="L26" s="671"/>
      <c r="M26" s="671"/>
      <c r="N26" s="671"/>
      <c r="O26" s="671"/>
      <c r="P26" s="671"/>
      <c r="Q26" s="671"/>
      <c r="R26" s="671"/>
      <c r="S26" s="671"/>
      <c r="T26" s="671"/>
      <c r="U26" s="671"/>
      <c r="V26" s="671"/>
      <c r="W26" s="671"/>
      <c r="X26" s="671"/>
      <c r="Y26" s="671"/>
      <c r="Z26" s="671"/>
      <c r="AA26" s="671"/>
      <c r="AB26" s="671"/>
      <c r="AC26" s="671"/>
      <c r="AD26" s="671"/>
      <c r="AE26" s="671"/>
      <c r="AF26" s="671"/>
      <c r="AG26" s="671"/>
      <c r="AH26" s="671"/>
      <c r="AI26" s="671"/>
      <c r="AJ26" s="671"/>
      <c r="AK26" s="671"/>
      <c r="AL26" s="671"/>
      <c r="AM26" s="671"/>
      <c r="AN26" s="671"/>
      <c r="AO26" s="671"/>
      <c r="AP26" s="671"/>
      <c r="AQ26" s="669"/>
      <c r="AR26" s="683"/>
    </row>
    <row r="27" spans="1:44" ht="23.1" customHeight="1">
      <c r="A27" s="676"/>
      <c r="B27" s="671"/>
      <c r="C27" s="671"/>
      <c r="D27" s="671"/>
      <c r="E27" s="671"/>
      <c r="F27" s="671"/>
      <c r="G27" s="671"/>
      <c r="H27" s="671"/>
      <c r="I27" s="671"/>
      <c r="J27" s="671"/>
      <c r="K27" s="671"/>
      <c r="L27" s="671"/>
      <c r="M27" s="671"/>
      <c r="N27" s="671"/>
      <c r="O27" s="671"/>
      <c r="P27" s="671"/>
      <c r="Q27" s="671"/>
      <c r="R27" s="671"/>
      <c r="S27" s="671"/>
      <c r="T27" s="671"/>
      <c r="U27" s="671"/>
      <c r="V27" s="671"/>
      <c r="W27" s="671"/>
      <c r="X27" s="671"/>
      <c r="Y27" s="671"/>
      <c r="Z27" s="671"/>
      <c r="AA27" s="671"/>
      <c r="AB27" s="671"/>
      <c r="AC27" s="671"/>
      <c r="AD27" s="671"/>
      <c r="AE27" s="671"/>
      <c r="AF27" s="671"/>
      <c r="AG27" s="671"/>
      <c r="AH27" s="671"/>
      <c r="AI27" s="671"/>
      <c r="AJ27" s="671"/>
      <c r="AK27" s="671"/>
      <c r="AL27" s="671"/>
      <c r="AM27" s="671"/>
      <c r="AN27" s="671"/>
      <c r="AO27" s="671"/>
      <c r="AP27" s="671"/>
      <c r="AQ27" s="669"/>
      <c r="AR27" s="683"/>
    </row>
    <row r="28" spans="1:44" ht="23.1" customHeight="1">
      <c r="A28" s="676"/>
      <c r="B28" s="671"/>
      <c r="C28" s="671"/>
      <c r="D28" s="671"/>
      <c r="E28" s="671"/>
      <c r="F28" s="671"/>
      <c r="G28" s="671"/>
      <c r="H28" s="671"/>
      <c r="I28" s="671"/>
      <c r="J28" s="671"/>
      <c r="K28" s="671"/>
      <c r="L28" s="671"/>
      <c r="M28" s="671"/>
      <c r="N28" s="671"/>
      <c r="O28" s="671"/>
      <c r="P28" s="671"/>
      <c r="Q28" s="671"/>
      <c r="R28" s="671"/>
      <c r="S28" s="671"/>
      <c r="T28" s="671"/>
      <c r="U28" s="671"/>
      <c r="V28" s="671"/>
      <c r="W28" s="671"/>
      <c r="X28" s="671"/>
      <c r="Y28" s="671"/>
      <c r="Z28" s="671"/>
      <c r="AA28" s="671"/>
      <c r="AB28" s="671"/>
      <c r="AC28" s="671"/>
      <c r="AD28" s="671"/>
      <c r="AE28" s="671"/>
      <c r="AF28" s="671"/>
      <c r="AG28" s="671"/>
      <c r="AH28" s="671"/>
      <c r="AI28" s="671"/>
      <c r="AJ28" s="671"/>
      <c r="AK28" s="671"/>
      <c r="AL28" s="671"/>
      <c r="AM28" s="671"/>
      <c r="AN28" s="671"/>
      <c r="AO28" s="671"/>
      <c r="AP28" s="671"/>
      <c r="AQ28" s="669"/>
      <c r="AR28" s="683"/>
    </row>
    <row r="29" spans="1:44" ht="23.1" customHeight="1">
      <c r="A29" s="676"/>
      <c r="B29" s="671"/>
      <c r="C29" s="671"/>
      <c r="D29" s="671"/>
      <c r="E29" s="671"/>
      <c r="F29" s="671"/>
      <c r="G29" s="671"/>
      <c r="H29" s="671"/>
      <c r="I29" s="671"/>
      <c r="J29" s="671"/>
      <c r="K29" s="671"/>
      <c r="L29" s="671"/>
      <c r="M29" s="671"/>
      <c r="N29" s="671"/>
      <c r="O29" s="671"/>
      <c r="P29" s="671"/>
      <c r="Q29" s="671"/>
      <c r="R29" s="671"/>
      <c r="S29" s="671"/>
      <c r="T29" s="671"/>
      <c r="U29" s="671"/>
      <c r="V29" s="671"/>
      <c r="W29" s="671"/>
      <c r="X29" s="671"/>
      <c r="Y29" s="671"/>
      <c r="Z29" s="671"/>
      <c r="AA29" s="671"/>
      <c r="AB29" s="671"/>
      <c r="AC29" s="671"/>
      <c r="AD29" s="671"/>
      <c r="AE29" s="671"/>
      <c r="AF29" s="671"/>
      <c r="AG29" s="671"/>
      <c r="AH29" s="671"/>
      <c r="AI29" s="671"/>
      <c r="AJ29" s="671"/>
      <c r="AK29" s="671"/>
      <c r="AL29" s="671"/>
      <c r="AM29" s="671"/>
      <c r="AN29" s="671"/>
      <c r="AO29" s="671"/>
      <c r="AP29" s="671"/>
      <c r="AQ29" s="669"/>
      <c r="AR29" s="683"/>
    </row>
    <row r="30" spans="1:44" ht="23.1" customHeight="1">
      <c r="A30" s="676"/>
      <c r="B30" s="671"/>
      <c r="C30" s="671"/>
      <c r="D30" s="671"/>
      <c r="E30" s="671"/>
      <c r="F30" s="671"/>
      <c r="G30" s="671"/>
      <c r="H30" s="671"/>
      <c r="I30" s="671"/>
      <c r="J30" s="671"/>
      <c r="K30" s="671"/>
      <c r="L30" s="671"/>
      <c r="M30" s="671"/>
      <c r="N30" s="671"/>
      <c r="O30" s="671"/>
      <c r="P30" s="671"/>
      <c r="Q30" s="671"/>
      <c r="R30" s="671"/>
      <c r="S30" s="671"/>
      <c r="T30" s="671"/>
      <c r="U30" s="671"/>
      <c r="V30" s="671"/>
      <c r="W30" s="671"/>
      <c r="X30" s="671"/>
      <c r="Y30" s="671"/>
      <c r="Z30" s="671"/>
      <c r="AA30" s="671"/>
      <c r="AB30" s="671"/>
      <c r="AC30" s="671"/>
      <c r="AD30" s="671"/>
      <c r="AE30" s="671"/>
      <c r="AF30" s="671"/>
      <c r="AG30" s="671"/>
      <c r="AH30" s="671"/>
      <c r="AI30" s="671"/>
      <c r="AJ30" s="671"/>
      <c r="AK30" s="671"/>
      <c r="AL30" s="671"/>
      <c r="AM30" s="671"/>
      <c r="AN30" s="671"/>
      <c r="AO30" s="671"/>
      <c r="AP30" s="671"/>
      <c r="AQ30" s="669"/>
      <c r="AR30" s="683"/>
    </row>
    <row r="31" spans="1:44" ht="23.1" customHeight="1">
      <c r="A31" s="676"/>
      <c r="B31" s="671"/>
      <c r="C31" s="671"/>
      <c r="D31" s="671"/>
      <c r="E31" s="671"/>
      <c r="F31" s="671"/>
      <c r="G31" s="671"/>
      <c r="H31" s="671"/>
      <c r="I31" s="671"/>
      <c r="J31" s="671"/>
      <c r="K31" s="671"/>
      <c r="L31" s="671"/>
      <c r="M31" s="671"/>
      <c r="N31" s="671"/>
      <c r="O31" s="671"/>
      <c r="P31" s="671"/>
      <c r="Q31" s="671"/>
      <c r="R31" s="671"/>
      <c r="S31" s="671"/>
      <c r="T31" s="671"/>
      <c r="U31" s="671"/>
      <c r="V31" s="671"/>
      <c r="W31" s="671"/>
      <c r="X31" s="671"/>
      <c r="Y31" s="671"/>
      <c r="Z31" s="671"/>
      <c r="AA31" s="671"/>
      <c r="AB31" s="671"/>
      <c r="AC31" s="671"/>
      <c r="AD31" s="671"/>
      <c r="AE31" s="671"/>
      <c r="AF31" s="671"/>
      <c r="AG31" s="671"/>
      <c r="AH31" s="671"/>
      <c r="AI31" s="671"/>
      <c r="AJ31" s="671"/>
      <c r="AK31" s="671"/>
      <c r="AL31" s="671"/>
      <c r="AM31" s="671"/>
      <c r="AN31" s="671"/>
      <c r="AO31" s="671"/>
      <c r="AP31" s="671"/>
      <c r="AQ31" s="669"/>
      <c r="AR31" s="683"/>
    </row>
    <row r="32" spans="1:44" ht="23.1" customHeight="1">
      <c r="A32" s="676"/>
      <c r="B32" s="671"/>
      <c r="C32" s="671"/>
      <c r="D32" s="671"/>
      <c r="E32" s="671"/>
      <c r="F32" s="671"/>
      <c r="G32" s="671"/>
      <c r="H32" s="671"/>
      <c r="I32" s="671"/>
      <c r="J32" s="671"/>
      <c r="K32" s="671"/>
      <c r="L32" s="671"/>
      <c r="M32" s="671"/>
      <c r="N32" s="671"/>
      <c r="O32" s="671"/>
      <c r="P32" s="671"/>
      <c r="Q32" s="671"/>
      <c r="R32" s="671"/>
      <c r="S32" s="671"/>
      <c r="T32" s="671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  <c r="AE32" s="671"/>
      <c r="AF32" s="671"/>
      <c r="AG32" s="671"/>
      <c r="AH32" s="671"/>
      <c r="AI32" s="671"/>
      <c r="AJ32" s="671"/>
      <c r="AK32" s="671"/>
      <c r="AL32" s="671"/>
      <c r="AM32" s="671"/>
      <c r="AN32" s="671"/>
      <c r="AO32" s="671"/>
      <c r="AP32" s="671"/>
      <c r="AQ32" s="669"/>
      <c r="AR32" s="683"/>
    </row>
    <row r="33" spans="1:44" ht="23.1" customHeight="1">
      <c r="A33" s="676"/>
      <c r="B33" s="671"/>
      <c r="C33" s="671"/>
      <c r="D33" s="671"/>
      <c r="E33" s="671"/>
      <c r="F33" s="671"/>
      <c r="G33" s="671"/>
      <c r="H33" s="671"/>
      <c r="I33" s="671"/>
      <c r="J33" s="671"/>
      <c r="K33" s="671"/>
      <c r="L33" s="671"/>
      <c r="M33" s="671"/>
      <c r="N33" s="671"/>
      <c r="O33" s="671"/>
      <c r="P33" s="671"/>
      <c r="Q33" s="671"/>
      <c r="R33" s="671"/>
      <c r="S33" s="671"/>
      <c r="T33" s="671"/>
      <c r="U33" s="671"/>
      <c r="V33" s="671"/>
      <c r="W33" s="671"/>
      <c r="X33" s="671"/>
      <c r="Y33" s="671"/>
      <c r="Z33" s="671"/>
      <c r="AA33" s="671"/>
      <c r="AB33" s="671"/>
      <c r="AC33" s="671"/>
      <c r="AD33" s="671"/>
      <c r="AE33" s="671"/>
      <c r="AF33" s="671"/>
      <c r="AG33" s="671"/>
      <c r="AH33" s="671"/>
      <c r="AI33" s="671"/>
      <c r="AJ33" s="671"/>
      <c r="AK33" s="671"/>
      <c r="AL33" s="671"/>
      <c r="AM33" s="671"/>
      <c r="AN33" s="671"/>
      <c r="AO33" s="671"/>
      <c r="AP33" s="671"/>
      <c r="AQ33" s="669"/>
      <c r="AR33" s="683"/>
    </row>
    <row r="34" spans="1:44" ht="23.1" customHeight="1">
      <c r="A34" s="676"/>
      <c r="B34" s="671"/>
      <c r="C34" s="671"/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1"/>
      <c r="R34" s="671"/>
      <c r="S34" s="671"/>
      <c r="T34" s="671"/>
      <c r="U34" s="671"/>
      <c r="V34" s="671"/>
      <c r="W34" s="671"/>
      <c r="X34" s="671"/>
      <c r="Y34" s="671"/>
      <c r="Z34" s="671"/>
      <c r="AA34" s="671"/>
      <c r="AB34" s="671"/>
      <c r="AC34" s="671"/>
      <c r="AD34" s="671"/>
      <c r="AE34" s="671"/>
      <c r="AF34" s="671"/>
      <c r="AG34" s="671"/>
      <c r="AH34" s="671"/>
      <c r="AI34" s="671"/>
      <c r="AJ34" s="671"/>
      <c r="AK34" s="671"/>
      <c r="AL34" s="671"/>
      <c r="AM34" s="671"/>
      <c r="AN34" s="671"/>
      <c r="AO34" s="671"/>
      <c r="AP34" s="671"/>
      <c r="AQ34" s="669"/>
      <c r="AR34" s="683"/>
    </row>
    <row r="35" spans="1:44" ht="23.1" customHeight="1">
      <c r="A35" s="676"/>
      <c r="B35" s="671"/>
      <c r="C35" s="671"/>
      <c r="D35" s="671"/>
      <c r="E35" s="671"/>
      <c r="F35" s="671"/>
      <c r="G35" s="671"/>
      <c r="H35" s="671"/>
      <c r="I35" s="671"/>
      <c r="J35" s="671"/>
      <c r="K35" s="671"/>
      <c r="L35" s="671"/>
      <c r="M35" s="671"/>
      <c r="N35" s="671"/>
      <c r="O35" s="671"/>
      <c r="P35" s="671"/>
      <c r="Q35" s="671"/>
      <c r="R35" s="671"/>
      <c r="S35" s="671"/>
      <c r="T35" s="671"/>
      <c r="U35" s="671"/>
      <c r="V35" s="671"/>
      <c r="W35" s="671"/>
      <c r="X35" s="671"/>
      <c r="Y35" s="671"/>
      <c r="Z35" s="671"/>
      <c r="AA35" s="671"/>
      <c r="AB35" s="671"/>
      <c r="AC35" s="671"/>
      <c r="AD35" s="671"/>
      <c r="AE35" s="671"/>
      <c r="AF35" s="671"/>
      <c r="AG35" s="671"/>
      <c r="AH35" s="671"/>
      <c r="AI35" s="671"/>
      <c r="AJ35" s="671"/>
      <c r="AK35" s="671"/>
      <c r="AL35" s="671"/>
      <c r="AM35" s="671"/>
      <c r="AN35" s="671"/>
      <c r="AO35" s="671"/>
      <c r="AP35" s="671"/>
      <c r="AQ35" s="669"/>
      <c r="AR35" s="683"/>
    </row>
    <row r="36" spans="1:44" ht="23.1" customHeight="1">
      <c r="A36" s="676"/>
      <c r="B36" s="671"/>
      <c r="C36" s="671"/>
      <c r="D36" s="671"/>
      <c r="E36" s="671"/>
      <c r="F36" s="671"/>
      <c r="G36" s="671"/>
      <c r="H36" s="671"/>
      <c r="I36" s="671"/>
      <c r="J36" s="671"/>
      <c r="K36" s="671"/>
      <c r="L36" s="671"/>
      <c r="M36" s="671"/>
      <c r="N36" s="671"/>
      <c r="O36" s="671"/>
      <c r="P36" s="671"/>
      <c r="Q36" s="671"/>
      <c r="R36" s="671"/>
      <c r="S36" s="671"/>
      <c r="T36" s="671"/>
      <c r="U36" s="671"/>
      <c r="V36" s="671"/>
      <c r="W36" s="671"/>
      <c r="X36" s="671"/>
      <c r="Y36" s="671"/>
      <c r="Z36" s="671"/>
      <c r="AA36" s="671"/>
      <c r="AB36" s="671"/>
      <c r="AC36" s="671"/>
      <c r="AD36" s="671"/>
      <c r="AE36" s="671"/>
      <c r="AF36" s="671"/>
      <c r="AG36" s="671"/>
      <c r="AH36" s="671"/>
      <c r="AI36" s="671"/>
      <c r="AJ36" s="671"/>
      <c r="AK36" s="671"/>
      <c r="AL36" s="671"/>
      <c r="AM36" s="671"/>
      <c r="AN36" s="671"/>
      <c r="AO36" s="671"/>
      <c r="AP36" s="671"/>
      <c r="AQ36" s="669"/>
      <c r="AR36" s="683"/>
    </row>
    <row r="37" spans="1:44" ht="23.1" customHeight="1" thickBot="1">
      <c r="A37" s="685"/>
      <c r="B37" s="686"/>
      <c r="C37" s="686"/>
      <c r="D37" s="686"/>
      <c r="E37" s="686"/>
      <c r="F37" s="686"/>
      <c r="G37" s="686"/>
      <c r="H37" s="686"/>
      <c r="I37" s="686"/>
      <c r="J37" s="686"/>
      <c r="K37" s="686"/>
      <c r="L37" s="686"/>
      <c r="M37" s="686"/>
      <c r="N37" s="686"/>
      <c r="O37" s="686"/>
      <c r="P37" s="686"/>
      <c r="Q37" s="686"/>
      <c r="R37" s="686"/>
      <c r="S37" s="686"/>
      <c r="T37" s="686"/>
      <c r="U37" s="686"/>
      <c r="V37" s="686"/>
      <c r="W37" s="686"/>
      <c r="X37" s="686"/>
      <c r="Y37" s="686"/>
      <c r="Z37" s="686"/>
      <c r="AA37" s="686"/>
      <c r="AB37" s="686"/>
      <c r="AC37" s="686"/>
      <c r="AD37" s="686"/>
      <c r="AE37" s="686"/>
      <c r="AF37" s="686"/>
      <c r="AG37" s="686"/>
      <c r="AH37" s="686"/>
      <c r="AI37" s="686"/>
      <c r="AJ37" s="686"/>
      <c r="AK37" s="686"/>
      <c r="AL37" s="686"/>
      <c r="AM37" s="686"/>
      <c r="AN37" s="686"/>
      <c r="AO37" s="686"/>
      <c r="AP37" s="686"/>
      <c r="AQ37" s="670"/>
      <c r="AR37" s="68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256</v>
      </c>
      <c r="E6" s="165" t="s">
        <v>326</v>
      </c>
      <c r="F6" s="165"/>
      <c r="G6" s="165" t="s">
        <v>327</v>
      </c>
      <c r="H6" s="165"/>
      <c r="I6" s="165" t="s">
        <v>328</v>
      </c>
      <c r="J6" s="165"/>
      <c r="K6" s="165" t="s">
        <v>329</v>
      </c>
      <c r="L6" s="166"/>
    </row>
    <row r="7" spans="1:12" ht="20.100000000000001" customHeight="1">
      <c r="D7" s="167" t="s">
        <v>330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331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3" sqref="C3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228</v>
      </c>
      <c r="J1" s="327" t="s">
        <v>614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613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235</v>
      </c>
      <c r="H42" s="344"/>
      <c r="I42" s="345"/>
    </row>
    <row r="43" spans="6:25" ht="15.95" customHeight="1">
      <c r="F43" s="709" t="s">
        <v>226</v>
      </c>
      <c r="G43" s="705">
        <v>186</v>
      </c>
      <c r="H43" s="320">
        <v>54.64</v>
      </c>
      <c r="I43" s="707">
        <v>307.53743590615801</v>
      </c>
    </row>
    <row r="44" spans="6:25" ht="15.95" customHeight="1">
      <c r="F44" s="710"/>
      <c r="G44" s="706"/>
      <c r="H44" s="235">
        <v>25.7</v>
      </c>
      <c r="I44" s="708"/>
      <c r="K44" s="277"/>
    </row>
    <row r="45" spans="6:25" ht="15.95" customHeight="1">
      <c r="F45" s="711"/>
      <c r="G45" s="712"/>
      <c r="H45" s="196"/>
      <c r="I45" s="713"/>
      <c r="K45" s="277"/>
    </row>
    <row r="46" spans="6:25" ht="15.95" customHeight="1">
      <c r="F46" s="711"/>
      <c r="G46" s="712"/>
      <c r="H46" s="196"/>
      <c r="I46" s="713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10"/>
      <c r="G47" s="706"/>
      <c r="H47" s="235"/>
      <c r="I47" s="708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10"/>
      <c r="G48" s="706"/>
      <c r="H48" s="235"/>
      <c r="I48" s="70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11"/>
      <c r="G49" s="712"/>
      <c r="H49" s="196"/>
      <c r="I49" s="713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11"/>
      <c r="G50" s="712"/>
      <c r="H50" s="196"/>
      <c r="I50" s="713"/>
      <c r="K50" s="277"/>
    </row>
    <row r="51" spans="6:25" ht="15.95" customHeight="1">
      <c r="F51" s="710"/>
      <c r="G51" s="706"/>
      <c r="H51" s="235"/>
      <c r="I51" s="708"/>
      <c r="K51" s="277"/>
    </row>
    <row r="52" spans="6:25" ht="15.95" customHeight="1">
      <c r="F52" s="710"/>
      <c r="G52" s="706"/>
      <c r="H52" s="235"/>
      <c r="I52" s="708"/>
      <c r="K52" s="277"/>
    </row>
    <row r="53" spans="6:25" ht="15.95" customHeight="1">
      <c r="F53" s="711"/>
      <c r="G53" s="712"/>
      <c r="H53" s="196"/>
      <c r="I53" s="713"/>
      <c r="K53" s="277"/>
    </row>
    <row r="54" spans="6:25" ht="15.95" customHeight="1">
      <c r="F54" s="711"/>
      <c r="G54" s="712"/>
      <c r="H54" s="196"/>
      <c r="I54" s="713"/>
      <c r="K54" s="277"/>
    </row>
    <row r="55" spans="6:25" ht="15.95" customHeight="1">
      <c r="F55" s="710"/>
      <c r="G55" s="706"/>
      <c r="H55" s="235"/>
      <c r="I55" s="708"/>
      <c r="K55" s="277"/>
    </row>
    <row r="56" spans="6:25" ht="15.95" customHeight="1">
      <c r="F56" s="710"/>
      <c r="G56" s="706"/>
      <c r="H56" s="235"/>
      <c r="I56" s="708"/>
      <c r="K56" s="277"/>
    </row>
    <row r="57" spans="6:25" ht="15.95" hidden="1" customHeight="1" outlineLevel="1">
      <c r="F57" s="711"/>
      <c r="G57" s="712"/>
      <c r="H57" s="196"/>
      <c r="I57" s="713"/>
      <c r="K57" s="277"/>
    </row>
    <row r="58" spans="6:25" ht="15.95" hidden="1" customHeight="1" outlineLevel="1">
      <c r="F58" s="711"/>
      <c r="G58" s="712"/>
      <c r="H58" s="196"/>
      <c r="I58" s="713"/>
      <c r="K58" s="277"/>
    </row>
    <row r="59" spans="6:25" ht="15.95" hidden="1" customHeight="1" outlineLevel="1">
      <c r="F59" s="710"/>
      <c r="G59" s="706"/>
      <c r="H59" s="235"/>
      <c r="I59" s="708"/>
      <c r="K59" s="277"/>
    </row>
    <row r="60" spans="6:25" ht="15.95" hidden="1" customHeight="1" outlineLevel="1">
      <c r="F60" s="710"/>
      <c r="G60" s="706"/>
      <c r="H60" s="235"/>
      <c r="I60" s="708"/>
      <c r="K60" s="277"/>
    </row>
    <row r="61" spans="6:25" ht="15.95" hidden="1" customHeight="1" outlineLevel="1">
      <c r="F61" s="711"/>
      <c r="G61" s="712"/>
      <c r="H61" s="196"/>
      <c r="I61" s="713"/>
      <c r="K61" s="277"/>
    </row>
    <row r="62" spans="6:25" ht="15.95" hidden="1" customHeight="1" outlineLevel="1">
      <c r="F62" s="711"/>
      <c r="G62" s="712"/>
      <c r="H62" s="196"/>
      <c r="I62" s="713"/>
      <c r="K62" s="277"/>
    </row>
    <row r="63" spans="6:25" ht="15.95" hidden="1" customHeight="1" outlineLevel="1">
      <c r="F63" s="710"/>
      <c r="G63" s="706"/>
      <c r="H63" s="235"/>
      <c r="I63" s="708"/>
      <c r="K63" s="277"/>
    </row>
    <row r="64" spans="6:25" ht="15.95" hidden="1" customHeight="1" outlineLevel="1">
      <c r="F64" s="710"/>
      <c r="G64" s="706"/>
      <c r="H64" s="235"/>
      <c r="I64" s="708"/>
      <c r="K64" s="277"/>
    </row>
    <row r="65" spans="6:11" ht="15.95" hidden="1" customHeight="1" outlineLevel="1">
      <c r="F65" s="711"/>
      <c r="G65" s="712"/>
      <c r="H65" s="196"/>
      <c r="I65" s="713"/>
      <c r="K65" s="277"/>
    </row>
    <row r="66" spans="6:11" ht="15.95" hidden="1" customHeight="1" outlineLevel="1">
      <c r="F66" s="711"/>
      <c r="G66" s="712"/>
      <c r="H66" s="196"/>
      <c r="I66" s="713"/>
      <c r="K66" s="277"/>
    </row>
    <row r="67" spans="6:11" ht="15.95" hidden="1" customHeight="1" outlineLevel="1">
      <c r="F67" s="710"/>
      <c r="G67" s="706"/>
      <c r="H67" s="235"/>
      <c r="I67" s="708"/>
      <c r="K67" s="277"/>
    </row>
    <row r="68" spans="6:11" ht="15.95" hidden="1" customHeight="1" outlineLevel="1">
      <c r="F68" s="710"/>
      <c r="G68" s="706"/>
      <c r="H68" s="235"/>
      <c r="I68" s="708"/>
      <c r="K68" s="277"/>
    </row>
    <row r="69" spans="6:11" ht="15.95" hidden="1" customHeight="1" outlineLevel="1">
      <c r="F69" s="711"/>
      <c r="G69" s="712"/>
      <c r="H69" s="196"/>
      <c r="I69" s="713"/>
      <c r="K69" s="277"/>
    </row>
    <row r="70" spans="6:11" ht="15.95" hidden="1" customHeight="1" outlineLevel="1">
      <c r="F70" s="711"/>
      <c r="G70" s="712"/>
      <c r="H70" s="196"/>
      <c r="I70" s="713"/>
      <c r="K70" s="277"/>
    </row>
    <row r="71" spans="6:11" ht="15.95" hidden="1" customHeight="1" outlineLevel="1">
      <c r="F71" s="710"/>
      <c r="G71" s="706"/>
      <c r="H71" s="235"/>
      <c r="I71" s="708"/>
      <c r="K71" s="277"/>
    </row>
    <row r="72" spans="6:11" ht="15.95" hidden="1" customHeight="1" outlineLevel="1">
      <c r="F72" s="710"/>
      <c r="G72" s="706"/>
      <c r="H72" s="235"/>
      <c r="I72" s="708"/>
      <c r="K72" s="277"/>
    </row>
    <row r="73" spans="6:11" ht="15.95" hidden="1" customHeight="1" outlineLevel="1">
      <c r="F73" s="711"/>
      <c r="G73" s="712"/>
      <c r="H73" s="196"/>
      <c r="I73" s="713"/>
    </row>
    <row r="74" spans="6:11" ht="15.95" hidden="1" customHeight="1" outlineLevel="1">
      <c r="F74" s="711"/>
      <c r="G74" s="712"/>
      <c r="H74" s="196"/>
      <c r="I74" s="713"/>
    </row>
    <row r="75" spans="6:11" ht="15.95" hidden="1" customHeight="1" outlineLevel="1">
      <c r="F75" s="710"/>
      <c r="G75" s="706"/>
      <c r="H75" s="235"/>
      <c r="I75" s="708"/>
    </row>
    <row r="76" spans="6:11" ht="15.95" hidden="1" customHeight="1" outlineLevel="1">
      <c r="F76" s="710"/>
      <c r="G76" s="706"/>
      <c r="H76" s="235"/>
      <c r="I76" s="708"/>
    </row>
    <row r="77" spans="6:11" ht="15.95" hidden="1" customHeight="1" outlineLevel="1">
      <c r="F77" s="711"/>
      <c r="G77" s="712"/>
      <c r="H77" s="196"/>
      <c r="I77" s="713"/>
    </row>
    <row r="78" spans="6:11" ht="15.95" hidden="1" customHeight="1" outlineLevel="1">
      <c r="F78" s="711"/>
      <c r="G78" s="712"/>
      <c r="H78" s="196"/>
      <c r="I78" s="713"/>
    </row>
    <row r="79" spans="6:11" ht="15.95" hidden="1" customHeight="1" outlineLevel="1">
      <c r="F79" s="710"/>
      <c r="G79" s="706"/>
      <c r="H79" s="235"/>
      <c r="I79" s="708"/>
    </row>
    <row r="80" spans="6:11" ht="15.95" hidden="1" customHeight="1" outlineLevel="1">
      <c r="F80" s="710"/>
      <c r="G80" s="706"/>
      <c r="H80" s="235"/>
      <c r="I80" s="708"/>
    </row>
    <row r="81" spans="6:9" ht="15.95" hidden="1" customHeight="1" outlineLevel="1">
      <c r="F81" s="711"/>
      <c r="G81" s="712"/>
      <c r="H81" s="196"/>
      <c r="I81" s="713"/>
    </row>
    <row r="82" spans="6:9" ht="15.95" hidden="1" customHeight="1" outlineLevel="1">
      <c r="F82" s="711"/>
      <c r="G82" s="712"/>
      <c r="H82" s="196"/>
      <c r="I82" s="713"/>
    </row>
    <row r="83" spans="6:9" ht="15.95" hidden="1" customHeight="1" outlineLevel="1">
      <c r="F83" s="710"/>
      <c r="G83" s="706"/>
      <c r="H83" s="235"/>
      <c r="I83" s="708"/>
    </row>
    <row r="84" spans="6:9" ht="15.95" hidden="1" customHeight="1" outlineLevel="1">
      <c r="F84" s="710"/>
      <c r="G84" s="706"/>
      <c r="H84" s="235"/>
      <c r="I84" s="708"/>
    </row>
    <row r="85" spans="6:9" ht="15.95" hidden="1" customHeight="1" outlineLevel="1">
      <c r="F85" s="711"/>
      <c r="G85" s="712"/>
      <c r="H85" s="196"/>
      <c r="I85" s="713"/>
    </row>
    <row r="86" spans="6:9" ht="15.95" hidden="1" customHeight="1" outlineLevel="1">
      <c r="F86" s="711"/>
      <c r="G86" s="712"/>
      <c r="H86" s="196"/>
      <c r="I86" s="713"/>
    </row>
    <row r="87" spans="6:9" ht="15.95" hidden="1" customHeight="1" outlineLevel="1">
      <c r="F87" s="710"/>
      <c r="G87" s="706"/>
      <c r="H87" s="235"/>
      <c r="I87" s="708"/>
    </row>
    <row r="88" spans="6:9" ht="15.95" hidden="1" customHeight="1" outlineLevel="1">
      <c r="F88" s="710"/>
      <c r="G88" s="706"/>
      <c r="H88" s="235"/>
      <c r="I88" s="708"/>
    </row>
    <row r="89" spans="6:9" ht="15.95" hidden="1" customHeight="1" outlineLevel="1">
      <c r="F89" s="711"/>
      <c r="G89" s="712"/>
      <c r="H89" s="196"/>
      <c r="I89" s="713"/>
    </row>
    <row r="90" spans="6:9" ht="15.95" hidden="1" customHeight="1" outlineLevel="1">
      <c r="F90" s="711"/>
      <c r="G90" s="712"/>
      <c r="H90" s="196"/>
      <c r="I90" s="713"/>
    </row>
    <row r="91" spans="6:9" ht="15.95" hidden="1" customHeight="1" outlineLevel="1">
      <c r="F91" s="710"/>
      <c r="G91" s="706"/>
      <c r="H91" s="235"/>
      <c r="I91" s="708"/>
    </row>
    <row r="92" spans="6:9" ht="15.95" hidden="1" customHeight="1" outlineLevel="1">
      <c r="F92" s="710"/>
      <c r="G92" s="706"/>
      <c r="H92" s="235"/>
      <c r="I92" s="708"/>
    </row>
    <row r="93" spans="6:9" ht="15.95" hidden="1" customHeight="1" outlineLevel="1">
      <c r="F93" s="711"/>
      <c r="G93" s="712"/>
      <c r="H93" s="196"/>
      <c r="I93" s="713"/>
    </row>
    <row r="94" spans="6:9" ht="15.95" hidden="1" customHeight="1" outlineLevel="1">
      <c r="F94" s="711"/>
      <c r="G94" s="712"/>
      <c r="H94" s="196"/>
      <c r="I94" s="713"/>
    </row>
    <row r="95" spans="6:9" ht="15.95" hidden="1" customHeight="1" outlineLevel="1">
      <c r="F95" s="716"/>
      <c r="G95" s="714"/>
      <c r="H95" s="135"/>
      <c r="I95" s="715"/>
    </row>
    <row r="96" spans="6:9" ht="15.95" hidden="1" customHeight="1" outlineLevel="1">
      <c r="F96" s="716"/>
      <c r="G96" s="714"/>
      <c r="H96" s="135"/>
      <c r="I96" s="715"/>
    </row>
    <row r="97" spans="6:9" ht="15.95" hidden="1" customHeight="1" outlineLevel="1">
      <c r="F97" s="717"/>
      <c r="G97" s="719"/>
      <c r="H97" s="207"/>
      <c r="I97" s="721"/>
    </row>
    <row r="98" spans="6:9" ht="15.95" hidden="1" customHeight="1" outlineLevel="1">
      <c r="F98" s="717"/>
      <c r="G98" s="719"/>
      <c r="H98" s="207"/>
      <c r="I98" s="721"/>
    </row>
    <row r="99" spans="6:9" ht="15.95" hidden="1" customHeight="1" outlineLevel="1">
      <c r="F99" s="716"/>
      <c r="G99" s="714"/>
      <c r="H99" s="135"/>
      <c r="I99" s="715"/>
    </row>
    <row r="100" spans="6:9" ht="15.95" hidden="1" customHeight="1" outlineLevel="1">
      <c r="F100" s="716"/>
      <c r="G100" s="714"/>
      <c r="H100" s="135"/>
      <c r="I100" s="715"/>
    </row>
    <row r="101" spans="6:9" ht="15.95" hidden="1" customHeight="1" outlineLevel="1">
      <c r="F101" s="717"/>
      <c r="G101" s="719"/>
      <c r="H101" s="207"/>
      <c r="I101" s="721"/>
    </row>
    <row r="102" spans="6:9" ht="15.95" hidden="1" customHeight="1" outlineLevel="1" thickBot="1">
      <c r="F102" s="718"/>
      <c r="G102" s="720"/>
      <c r="H102" s="311"/>
      <c r="I102" s="72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283</v>
      </c>
      <c r="G1" s="325" t="s">
        <v>612</v>
      </c>
      <c r="L1" s="325" t="s">
        <v>231</v>
      </c>
      <c r="S1" s="325" t="s">
        <v>232</v>
      </c>
    </row>
    <row r="2" spans="1:21" ht="36.75" customHeight="1">
      <c r="C2" s="356" t="s">
        <v>216</v>
      </c>
      <c r="D2" s="357" t="s">
        <v>603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233</v>
      </c>
      <c r="Q2" s="358" t="s">
        <v>234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793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794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238</v>
      </c>
      <c r="F36" s="325" t="s">
        <v>611</v>
      </c>
      <c r="H36" s="328"/>
      <c r="T36" s="347"/>
      <c r="U36" s="347"/>
    </row>
    <row r="37" spans="3:36" s="350" customFormat="1" ht="36" customHeight="1">
      <c r="D37" s="359" t="s">
        <v>258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241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229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230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604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240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239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605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272</v>
      </c>
      <c r="D47" s="363" t="s">
        <v>633</v>
      </c>
      <c r="E47" s="363" t="s">
        <v>647</v>
      </c>
      <c r="F47" s="364" t="s">
        <v>648</v>
      </c>
      <c r="H47" s="362" t="s">
        <v>206</v>
      </c>
      <c r="I47" s="363" t="s">
        <v>649</v>
      </c>
      <c r="J47" s="365" t="s">
        <v>107</v>
      </c>
      <c r="K47" s="363" t="s">
        <v>653</v>
      </c>
      <c r="L47" s="363" t="s">
        <v>650</v>
      </c>
      <c r="M47" s="363" t="s">
        <v>211</v>
      </c>
      <c r="N47" s="364" t="s">
        <v>210</v>
      </c>
      <c r="P47" s="362" t="s">
        <v>206</v>
      </c>
      <c r="Q47" s="363" t="s">
        <v>651</v>
      </c>
      <c r="R47" s="364" t="s">
        <v>652</v>
      </c>
    </row>
    <row r="48" spans="3:36" ht="20.100000000000001" customHeight="1">
      <c r="C48" s="723" t="s">
        <v>85</v>
      </c>
      <c r="D48" s="135" t="s">
        <v>634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24"/>
      <c r="D49" s="135" t="s">
        <v>635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25"/>
      <c r="D50" s="135" t="s">
        <v>636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17" t="s">
        <v>154</v>
      </c>
      <c r="D51" s="207" t="s">
        <v>634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17"/>
      <c r="D52" s="207" t="s">
        <v>635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17"/>
      <c r="D53" s="207" t="s">
        <v>636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16" t="s">
        <v>155</v>
      </c>
      <c r="D54" s="135" t="s">
        <v>634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16"/>
      <c r="D55" s="135" t="s">
        <v>635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16"/>
      <c r="D56" s="135" t="s">
        <v>636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17" t="s">
        <v>615</v>
      </c>
      <c r="D57" s="207" t="s">
        <v>634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17"/>
      <c r="D58" s="207" t="s">
        <v>635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17"/>
      <c r="D59" s="207" t="s">
        <v>636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16" t="s">
        <v>616</v>
      </c>
      <c r="D60" s="135" t="s">
        <v>634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16"/>
      <c r="D61" s="135" t="s">
        <v>635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16"/>
      <c r="D62" s="135" t="s">
        <v>636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17" t="s">
        <v>655</v>
      </c>
      <c r="D63" s="207" t="s">
        <v>634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17"/>
      <c r="D64" s="207" t="s">
        <v>635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17"/>
      <c r="D65" s="207" t="s">
        <v>636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16" t="s">
        <v>656</v>
      </c>
      <c r="D66" s="135" t="s">
        <v>634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16"/>
      <c r="D67" s="135" t="s">
        <v>635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16"/>
      <c r="D68" s="135" t="s">
        <v>636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17" t="s">
        <v>785</v>
      </c>
      <c r="D69" s="207" t="s">
        <v>634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17"/>
      <c r="D70" s="207" t="s">
        <v>635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17"/>
      <c r="D71" s="207" t="s">
        <v>636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16" t="s">
        <v>786</v>
      </c>
      <c r="D72" s="135" t="s">
        <v>634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16"/>
      <c r="D73" s="135" t="s">
        <v>635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16"/>
      <c r="D74" s="135" t="s">
        <v>636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17" t="s">
        <v>787</v>
      </c>
      <c r="D75" s="207" t="s">
        <v>634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17"/>
      <c r="D76" s="207" t="s">
        <v>635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17"/>
      <c r="D77" s="207" t="s">
        <v>636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16" t="s">
        <v>788</v>
      </c>
      <c r="D78" s="135" t="s">
        <v>634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16"/>
      <c r="D79" s="135" t="s">
        <v>635</v>
      </c>
      <c r="E79" s="232"/>
      <c r="F79" s="233"/>
      <c r="H79" s="384" t="s">
        <v>206</v>
      </c>
      <c r="I79" s="385" t="s">
        <v>654</v>
      </c>
      <c r="J79" s="386" t="s">
        <v>648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16"/>
      <c r="D80" s="135" t="s">
        <v>636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28" t="s">
        <v>795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17" t="s">
        <v>789</v>
      </c>
      <c r="D81" s="207" t="s">
        <v>634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17"/>
      <c r="D82" s="207" t="s">
        <v>635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17"/>
      <c r="D83" s="207" t="s">
        <v>636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16" t="s">
        <v>790</v>
      </c>
      <c r="D84" s="135" t="s">
        <v>634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16"/>
      <c r="D85" s="135" t="s">
        <v>635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16"/>
      <c r="D86" s="135" t="s">
        <v>636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17" t="s">
        <v>791</v>
      </c>
      <c r="D87" s="207" t="s">
        <v>634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17"/>
      <c r="D88" s="207" t="s">
        <v>635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17"/>
      <c r="D89" s="207" t="s">
        <v>636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16" t="s">
        <v>617</v>
      </c>
      <c r="D90" s="135" t="s">
        <v>244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16"/>
      <c r="D91" s="135" t="s">
        <v>245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16"/>
      <c r="D92" s="135" t="s">
        <v>246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17" t="s">
        <v>618</v>
      </c>
      <c r="D93" s="207" t="s">
        <v>244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17"/>
      <c r="D94" s="207" t="s">
        <v>245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17"/>
      <c r="D95" s="207" t="s">
        <v>246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16" t="s">
        <v>619</v>
      </c>
      <c r="D96" s="135" t="s">
        <v>244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16"/>
      <c r="D97" s="135" t="s">
        <v>245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16"/>
      <c r="D98" s="135" t="s">
        <v>246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17" t="s">
        <v>620</v>
      </c>
      <c r="D99" s="207" t="s">
        <v>244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17"/>
      <c r="D100" s="207" t="s">
        <v>245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17"/>
      <c r="D101" s="207" t="s">
        <v>246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16" t="s">
        <v>621</v>
      </c>
      <c r="D102" s="135" t="s">
        <v>244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16"/>
      <c r="D103" s="135" t="s">
        <v>245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16"/>
      <c r="D104" s="135" t="s">
        <v>246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17" t="s">
        <v>622</v>
      </c>
      <c r="D105" s="207" t="s">
        <v>244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17"/>
      <c r="D106" s="207" t="s">
        <v>245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17"/>
      <c r="D107" s="207" t="s">
        <v>246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16" t="s">
        <v>623</v>
      </c>
      <c r="D108" s="135" t="s">
        <v>244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16"/>
      <c r="D109" s="135" t="s">
        <v>245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16"/>
      <c r="D110" s="135" t="s">
        <v>246</v>
      </c>
      <c r="E110" s="232"/>
      <c r="F110" s="233"/>
      <c r="H110" s="276"/>
    </row>
    <row r="111" spans="3:18" ht="20.100000000000001" hidden="1" customHeight="1" outlineLevel="1">
      <c r="C111" s="717" t="s">
        <v>624</v>
      </c>
      <c r="D111" s="207" t="s">
        <v>244</v>
      </c>
      <c r="E111" s="209"/>
      <c r="F111" s="210"/>
      <c r="H111" s="276"/>
    </row>
    <row r="112" spans="3:18" ht="20.100000000000001" hidden="1" customHeight="1" outlineLevel="1">
      <c r="C112" s="717"/>
      <c r="D112" s="207" t="s">
        <v>245</v>
      </c>
      <c r="E112" s="209"/>
      <c r="F112" s="210"/>
      <c r="H112" s="276"/>
    </row>
    <row r="113" spans="3:8" ht="20.100000000000001" hidden="1" customHeight="1" outlineLevel="1">
      <c r="C113" s="717"/>
      <c r="D113" s="207" t="s">
        <v>246</v>
      </c>
      <c r="E113" s="209"/>
      <c r="F113" s="210"/>
      <c r="H113" s="276"/>
    </row>
    <row r="114" spans="3:8" ht="20.100000000000001" hidden="1" customHeight="1" outlineLevel="1">
      <c r="C114" s="716" t="s">
        <v>625</v>
      </c>
      <c r="D114" s="135" t="s">
        <v>244</v>
      </c>
      <c r="E114" s="232"/>
      <c r="F114" s="233"/>
      <c r="H114" s="276"/>
    </row>
    <row r="115" spans="3:8" ht="20.100000000000001" hidden="1" customHeight="1" outlineLevel="1">
      <c r="C115" s="716"/>
      <c r="D115" s="135" t="s">
        <v>245</v>
      </c>
      <c r="E115" s="232"/>
      <c r="F115" s="233"/>
      <c r="H115" s="276"/>
    </row>
    <row r="116" spans="3:8" ht="20.100000000000001" hidden="1" customHeight="1" outlineLevel="1">
      <c r="C116" s="716"/>
      <c r="D116" s="135" t="s">
        <v>246</v>
      </c>
      <c r="E116" s="232"/>
      <c r="F116" s="233"/>
      <c r="H116" s="276"/>
    </row>
    <row r="117" spans="3:8" ht="20.100000000000001" hidden="1" customHeight="1" outlineLevel="1">
      <c r="C117" s="717" t="s">
        <v>626</v>
      </c>
      <c r="D117" s="207" t="s">
        <v>244</v>
      </c>
      <c r="E117" s="209"/>
      <c r="F117" s="210"/>
      <c r="H117" s="276"/>
    </row>
    <row r="118" spans="3:8" ht="20.100000000000001" hidden="1" customHeight="1" outlineLevel="1">
      <c r="C118" s="717"/>
      <c r="D118" s="207" t="s">
        <v>245</v>
      </c>
      <c r="E118" s="209"/>
      <c r="F118" s="210"/>
      <c r="H118" s="276"/>
    </row>
    <row r="119" spans="3:8" ht="20.100000000000001" hidden="1" customHeight="1" outlineLevel="1">
      <c r="C119" s="717"/>
      <c r="D119" s="207" t="s">
        <v>246</v>
      </c>
      <c r="E119" s="209"/>
      <c r="F119" s="210"/>
      <c r="H119" s="276"/>
    </row>
    <row r="120" spans="3:8" ht="20.100000000000001" hidden="1" customHeight="1" outlineLevel="1">
      <c r="C120" s="716" t="s">
        <v>627</v>
      </c>
      <c r="D120" s="135" t="s">
        <v>244</v>
      </c>
      <c r="E120" s="232"/>
      <c r="F120" s="233"/>
      <c r="H120" s="276"/>
    </row>
    <row r="121" spans="3:8" ht="20.100000000000001" hidden="1" customHeight="1" outlineLevel="1">
      <c r="C121" s="716"/>
      <c r="D121" s="135" t="s">
        <v>245</v>
      </c>
      <c r="E121" s="232"/>
      <c r="F121" s="233"/>
      <c r="H121" s="276"/>
    </row>
    <row r="122" spans="3:8" ht="20.100000000000001" hidden="1" customHeight="1" outlineLevel="1">
      <c r="C122" s="716"/>
      <c r="D122" s="135" t="s">
        <v>246</v>
      </c>
      <c r="E122" s="232"/>
      <c r="F122" s="233"/>
      <c r="H122" s="276"/>
    </row>
    <row r="123" spans="3:8" ht="20.100000000000001" hidden="1" customHeight="1" outlineLevel="1">
      <c r="C123" s="717" t="s">
        <v>628</v>
      </c>
      <c r="D123" s="207" t="s">
        <v>244</v>
      </c>
      <c r="E123" s="209"/>
      <c r="F123" s="210"/>
      <c r="H123" s="276"/>
    </row>
    <row r="124" spans="3:8" ht="20.100000000000001" hidden="1" customHeight="1" outlineLevel="1">
      <c r="C124" s="717"/>
      <c r="D124" s="207" t="s">
        <v>245</v>
      </c>
      <c r="E124" s="209"/>
      <c r="F124" s="210"/>
      <c r="H124" s="276"/>
    </row>
    <row r="125" spans="3:8" ht="20.100000000000001" hidden="1" customHeight="1" outlineLevel="1">
      <c r="C125" s="717"/>
      <c r="D125" s="207" t="s">
        <v>246</v>
      </c>
      <c r="E125" s="209"/>
      <c r="F125" s="210"/>
      <c r="H125" s="276"/>
    </row>
    <row r="126" spans="3:8" ht="20.25" hidden="1" customHeight="1" outlineLevel="1">
      <c r="C126" s="716" t="s">
        <v>629</v>
      </c>
      <c r="D126" s="135" t="s">
        <v>244</v>
      </c>
      <c r="E126" s="232"/>
      <c r="F126" s="233"/>
      <c r="H126" s="276"/>
    </row>
    <row r="127" spans="3:8" ht="20.100000000000001" hidden="1" customHeight="1" outlineLevel="1">
      <c r="C127" s="716"/>
      <c r="D127" s="135" t="s">
        <v>245</v>
      </c>
      <c r="E127" s="232"/>
      <c r="F127" s="233"/>
      <c r="H127" s="276"/>
    </row>
    <row r="128" spans="3:8" ht="20.100000000000001" hidden="1" customHeight="1" outlineLevel="1">
      <c r="C128" s="716"/>
      <c r="D128" s="135" t="s">
        <v>246</v>
      </c>
      <c r="E128" s="232"/>
      <c r="F128" s="233"/>
      <c r="H128" s="276"/>
    </row>
    <row r="129" spans="3:12" ht="20.100000000000001" hidden="1" customHeight="1" outlineLevel="1">
      <c r="C129" s="717" t="s">
        <v>630</v>
      </c>
      <c r="D129" s="207" t="s">
        <v>244</v>
      </c>
      <c r="E129" s="306"/>
      <c r="F129" s="307"/>
      <c r="H129" s="276"/>
    </row>
    <row r="130" spans="3:12" ht="20.100000000000001" hidden="1" customHeight="1" outlineLevel="1">
      <c r="C130" s="717"/>
      <c r="D130" s="207" t="s">
        <v>245</v>
      </c>
      <c r="E130" s="306"/>
      <c r="F130" s="308"/>
    </row>
    <row r="131" spans="3:12" ht="20.100000000000001" hidden="1" customHeight="1" outlineLevel="1">
      <c r="C131" s="717"/>
      <c r="D131" s="207" t="s">
        <v>246</v>
      </c>
      <c r="E131" s="309"/>
      <c r="F131" s="310"/>
    </row>
    <row r="132" spans="3:12" ht="20.100000000000001" hidden="1" customHeight="1" outlineLevel="1">
      <c r="C132" s="716" t="s">
        <v>631</v>
      </c>
      <c r="D132" s="135" t="s">
        <v>244</v>
      </c>
      <c r="E132" s="301"/>
      <c r="F132" s="302"/>
    </row>
    <row r="133" spans="3:12" ht="20.100000000000001" hidden="1" customHeight="1" outlineLevel="1">
      <c r="C133" s="716"/>
      <c r="D133" s="135" t="s">
        <v>245</v>
      </c>
      <c r="E133" s="301"/>
      <c r="F133" s="303"/>
    </row>
    <row r="134" spans="3:12" ht="20.100000000000001" hidden="1" customHeight="1" outlineLevel="1">
      <c r="C134" s="716"/>
      <c r="D134" s="135" t="s">
        <v>246</v>
      </c>
      <c r="E134" s="304"/>
      <c r="F134" s="305"/>
    </row>
    <row r="135" spans="3:12" ht="20.100000000000001" hidden="1" customHeight="1" outlineLevel="1">
      <c r="C135" s="717" t="s">
        <v>632</v>
      </c>
      <c r="D135" s="207" t="s">
        <v>244</v>
      </c>
      <c r="E135" s="306"/>
      <c r="F135" s="307"/>
    </row>
    <row r="136" spans="3:12" ht="20.100000000000001" hidden="1" customHeight="1" outlineLevel="1">
      <c r="C136" s="717"/>
      <c r="D136" s="207" t="s">
        <v>245</v>
      </c>
      <c r="E136" s="306"/>
      <c r="F136" s="308"/>
    </row>
    <row r="137" spans="3:12" ht="20.100000000000001" hidden="1" customHeight="1" outlineLevel="1" thickBot="1">
      <c r="C137" s="718"/>
      <c r="D137" s="311" t="s">
        <v>246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J12" sqref="J1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237</v>
      </c>
    </row>
    <row r="3" spans="1:15" s="36" customFormat="1" ht="28.5" customHeight="1">
      <c r="C3" s="188" t="s">
        <v>272</v>
      </c>
      <c r="D3" s="189" t="s">
        <v>637</v>
      </c>
      <c r="E3" s="189" t="s">
        <v>269</v>
      </c>
      <c r="F3" s="189" t="s">
        <v>270</v>
      </c>
      <c r="G3" s="189" t="s">
        <v>638</v>
      </c>
      <c r="H3" s="189" t="s">
        <v>639</v>
      </c>
      <c r="I3" s="189" t="s">
        <v>640</v>
      </c>
      <c r="J3" s="189" t="s">
        <v>641</v>
      </c>
      <c r="K3" s="189" t="s">
        <v>642</v>
      </c>
      <c r="L3" s="189" t="s">
        <v>643</v>
      </c>
      <c r="M3" s="189" t="s">
        <v>644</v>
      </c>
      <c r="N3" s="189" t="s">
        <v>645</v>
      </c>
      <c r="O3" s="190" t="s">
        <v>646</v>
      </c>
    </row>
    <row r="4" spans="1:15" ht="20.100000000000001" customHeight="1">
      <c r="C4" s="619" t="s">
        <v>226</v>
      </c>
      <c r="D4" s="620" t="s">
        <v>796</v>
      </c>
      <c r="E4" s="620">
        <v>295</v>
      </c>
      <c r="F4" s="620">
        <v>3.0310000000000001</v>
      </c>
      <c r="G4" s="621">
        <v>3.0310000000000001</v>
      </c>
      <c r="H4" s="620">
        <v>0.03</v>
      </c>
      <c r="I4" s="620">
        <v>86</v>
      </c>
      <c r="J4" s="622">
        <v>86</v>
      </c>
      <c r="K4" s="620">
        <v>154</v>
      </c>
      <c r="L4" s="622">
        <v>154</v>
      </c>
      <c r="M4" s="620">
        <v>3.85E-2</v>
      </c>
      <c r="N4" s="621">
        <v>3.85E-2</v>
      </c>
      <c r="O4" s="623" t="s">
        <v>236</v>
      </c>
    </row>
    <row r="5" spans="1:15" ht="20.100000000000001" customHeight="1">
      <c r="C5" s="619"/>
      <c r="D5" s="620"/>
      <c r="E5" s="620"/>
      <c r="F5" s="620"/>
      <c r="G5" s="621"/>
      <c r="H5" s="620"/>
      <c r="I5" s="620"/>
      <c r="J5" s="622"/>
      <c r="K5" s="620"/>
      <c r="L5" s="622"/>
      <c r="M5" s="620"/>
      <c r="N5" s="621"/>
      <c r="O5" s="623"/>
    </row>
    <row r="6" spans="1:15" ht="20.100000000000001" customHeight="1">
      <c r="C6" s="619"/>
      <c r="D6" s="620"/>
      <c r="E6" s="620"/>
      <c r="F6" s="620"/>
      <c r="G6" s="621"/>
      <c r="H6" s="620"/>
      <c r="I6" s="620"/>
      <c r="J6" s="622"/>
      <c r="K6" s="620"/>
      <c r="L6" s="622"/>
      <c r="M6" s="620"/>
      <c r="N6" s="621"/>
      <c r="O6" s="623"/>
    </row>
    <row r="7" spans="1:15" ht="20.100000000000001" customHeight="1">
      <c r="A7" s="346" t="s">
        <v>793</v>
      </c>
      <c r="C7" s="619"/>
      <c r="D7" s="620"/>
      <c r="E7" s="620"/>
      <c r="F7" s="620"/>
      <c r="G7" s="621"/>
      <c r="H7" s="620"/>
      <c r="I7" s="620"/>
      <c r="J7" s="622"/>
      <c r="K7" s="620"/>
      <c r="L7" s="622"/>
      <c r="M7" s="620"/>
      <c r="N7" s="621"/>
      <c r="O7" s="623"/>
    </row>
    <row r="8" spans="1:15" ht="20.100000000000001" customHeight="1">
      <c r="A8" s="346" t="s">
        <v>794</v>
      </c>
      <c r="C8" s="619"/>
      <c r="D8" s="620"/>
      <c r="E8" s="620"/>
      <c r="F8" s="620"/>
      <c r="G8" s="621"/>
      <c r="H8" s="620"/>
      <c r="I8" s="620"/>
      <c r="J8" s="622"/>
      <c r="K8" s="620"/>
      <c r="L8" s="622"/>
      <c r="M8" s="620"/>
      <c r="N8" s="621"/>
      <c r="O8" s="623"/>
    </row>
    <row r="9" spans="1:15" ht="20.100000000000001" customHeight="1">
      <c r="C9" s="619"/>
      <c r="D9" s="620"/>
      <c r="E9" s="620"/>
      <c r="F9" s="620"/>
      <c r="G9" s="621"/>
      <c r="H9" s="620"/>
      <c r="I9" s="620"/>
      <c r="J9" s="622"/>
      <c r="K9" s="620"/>
      <c r="L9" s="622"/>
      <c r="M9" s="620"/>
      <c r="N9" s="621"/>
      <c r="O9" s="623"/>
    </row>
    <row r="10" spans="1:15" ht="20.100000000000001" customHeight="1">
      <c r="C10" s="619"/>
      <c r="D10" s="620"/>
      <c r="E10" s="620"/>
      <c r="F10" s="620"/>
      <c r="G10" s="621"/>
      <c r="H10" s="620"/>
      <c r="I10" s="620"/>
      <c r="J10" s="622"/>
      <c r="K10" s="620"/>
      <c r="L10" s="622"/>
      <c r="M10" s="620"/>
      <c r="N10" s="621"/>
      <c r="O10" s="623"/>
    </row>
    <row r="11" spans="1:15" ht="20.100000000000001" customHeight="1">
      <c r="C11" s="619"/>
      <c r="D11" s="620"/>
      <c r="E11" s="620"/>
      <c r="F11" s="620"/>
      <c r="G11" s="621"/>
      <c r="H11" s="620"/>
      <c r="I11" s="620"/>
      <c r="J11" s="622"/>
      <c r="K11" s="620"/>
      <c r="L11" s="622"/>
      <c r="M11" s="620"/>
      <c r="N11" s="621"/>
      <c r="O11" s="623"/>
    </row>
    <row r="12" spans="1:15" ht="20.100000000000001" customHeight="1">
      <c r="C12" s="619"/>
      <c r="D12" s="620"/>
      <c r="E12" s="620"/>
      <c r="F12" s="620"/>
      <c r="G12" s="621"/>
      <c r="H12" s="620"/>
      <c r="I12" s="620"/>
      <c r="J12" s="622"/>
      <c r="K12" s="620"/>
      <c r="L12" s="622"/>
      <c r="M12" s="620"/>
      <c r="N12" s="621"/>
      <c r="O12" s="623"/>
    </row>
    <row r="13" spans="1:15" ht="20.100000000000001" customHeight="1">
      <c r="C13" s="619"/>
      <c r="D13" s="620"/>
      <c r="E13" s="620"/>
      <c r="F13" s="620"/>
      <c r="G13" s="621"/>
      <c r="H13" s="620"/>
      <c r="I13" s="620"/>
      <c r="J13" s="622"/>
      <c r="K13" s="620"/>
      <c r="L13" s="622"/>
      <c r="M13" s="620"/>
      <c r="N13" s="621"/>
      <c r="O13" s="623"/>
    </row>
    <row r="14" spans="1:15" ht="20.100000000000001" customHeight="1">
      <c r="B14" s="22">
        <v>1001032</v>
      </c>
      <c r="C14" s="619"/>
      <c r="D14" s="620"/>
      <c r="E14" s="620"/>
      <c r="F14" s="620"/>
      <c r="G14" s="621"/>
      <c r="H14" s="620"/>
      <c r="I14" s="620"/>
      <c r="J14" s="622"/>
      <c r="K14" s="620"/>
      <c r="L14" s="622"/>
      <c r="M14" s="620"/>
      <c r="N14" s="621"/>
      <c r="O14" s="623"/>
    </row>
    <row r="15" spans="1:15" ht="20.100000000000001" customHeight="1">
      <c r="C15" s="619"/>
      <c r="D15" s="620"/>
      <c r="E15" s="620"/>
      <c r="F15" s="620"/>
      <c r="G15" s="621"/>
      <c r="H15" s="620"/>
      <c r="I15" s="620"/>
      <c r="J15" s="622"/>
      <c r="K15" s="620"/>
      <c r="L15" s="622"/>
      <c r="M15" s="620"/>
      <c r="N15" s="621"/>
      <c r="O15" s="623"/>
    </row>
    <row r="16" spans="1:15" ht="20.100000000000001" customHeight="1">
      <c r="C16" s="619"/>
      <c r="D16" s="620"/>
      <c r="E16" s="620"/>
      <c r="F16" s="620"/>
      <c r="G16" s="621"/>
      <c r="H16" s="620"/>
      <c r="I16" s="620"/>
      <c r="J16" s="622"/>
      <c r="K16" s="620"/>
      <c r="L16" s="622"/>
      <c r="M16" s="620"/>
      <c r="N16" s="621"/>
      <c r="O16" s="623"/>
    </row>
    <row r="17" spans="3:15" ht="20.100000000000001" customHeight="1">
      <c r="C17" s="619"/>
      <c r="D17" s="620"/>
      <c r="E17" s="620"/>
      <c r="F17" s="620"/>
      <c r="G17" s="621"/>
      <c r="H17" s="620"/>
      <c r="I17" s="620"/>
      <c r="J17" s="622"/>
      <c r="K17" s="620"/>
      <c r="L17" s="622"/>
      <c r="M17" s="620"/>
      <c r="N17" s="621"/>
      <c r="O17" s="623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19"/>
      <c r="D19" s="620"/>
      <c r="E19" s="620"/>
      <c r="F19" s="620"/>
      <c r="G19" s="621"/>
      <c r="H19" s="620"/>
      <c r="I19" s="620"/>
      <c r="J19" s="622"/>
      <c r="K19" s="620"/>
      <c r="L19" s="622"/>
      <c r="M19" s="620"/>
      <c r="N19" s="621"/>
      <c r="O19" s="623"/>
    </row>
    <row r="20" spans="3:15" ht="20.100000000000001" customHeight="1">
      <c r="C20" s="619"/>
      <c r="D20" s="620"/>
      <c r="E20" s="620"/>
      <c r="F20" s="620"/>
      <c r="G20" s="621"/>
      <c r="H20" s="620"/>
      <c r="I20" s="620"/>
      <c r="J20" s="622"/>
      <c r="K20" s="620"/>
      <c r="L20" s="622"/>
      <c r="M20" s="620"/>
      <c r="N20" s="621"/>
      <c r="O20" s="623"/>
    </row>
    <row r="21" spans="3:15" ht="20.100000000000001" customHeight="1">
      <c r="C21" s="619"/>
      <c r="D21" s="620"/>
      <c r="E21" s="620"/>
      <c r="F21" s="620"/>
      <c r="G21" s="621"/>
      <c r="H21" s="620"/>
      <c r="I21" s="620"/>
      <c r="J21" s="622"/>
      <c r="K21" s="620"/>
      <c r="L21" s="622"/>
      <c r="M21" s="620"/>
      <c r="N21" s="621"/>
      <c r="O21" s="623"/>
    </row>
    <row r="22" spans="3:15" ht="20.100000000000001" customHeight="1">
      <c r="C22" s="619"/>
      <c r="D22" s="620"/>
      <c r="E22" s="620"/>
      <c r="F22" s="620"/>
      <c r="G22" s="621"/>
      <c r="H22" s="620"/>
      <c r="I22" s="620"/>
      <c r="J22" s="622"/>
      <c r="K22" s="620"/>
      <c r="L22" s="622"/>
      <c r="M22" s="620"/>
      <c r="N22" s="621"/>
      <c r="O22" s="623"/>
    </row>
    <row r="23" spans="3:15" ht="20.100000000000001" customHeight="1">
      <c r="C23" s="619"/>
      <c r="D23" s="620"/>
      <c r="E23" s="620"/>
      <c r="F23" s="620"/>
      <c r="G23" s="621"/>
      <c r="H23" s="620"/>
      <c r="I23" s="620"/>
      <c r="J23" s="622"/>
      <c r="K23" s="620"/>
      <c r="L23" s="622"/>
      <c r="M23" s="620"/>
      <c r="N23" s="621"/>
      <c r="O23" s="623"/>
    </row>
    <row r="24" spans="3:15" ht="20.100000000000001" customHeight="1">
      <c r="C24" s="619"/>
      <c r="D24" s="620"/>
      <c r="E24" s="620"/>
      <c r="F24" s="620"/>
      <c r="G24" s="621"/>
      <c r="H24" s="620"/>
      <c r="I24" s="620"/>
      <c r="J24" s="622"/>
      <c r="K24" s="620"/>
      <c r="L24" s="622"/>
      <c r="M24" s="620"/>
      <c r="N24" s="621"/>
      <c r="O24" s="623"/>
    </row>
    <row r="25" spans="3:15" ht="20.100000000000001" customHeight="1">
      <c r="C25" s="619"/>
      <c r="D25" s="620"/>
      <c r="E25" s="620"/>
      <c r="F25" s="620"/>
      <c r="G25" s="621"/>
      <c r="H25" s="620"/>
      <c r="I25" s="620"/>
      <c r="J25" s="622"/>
      <c r="K25" s="620"/>
      <c r="L25" s="622"/>
      <c r="M25" s="620"/>
      <c r="N25" s="621"/>
      <c r="O25" s="623"/>
    </row>
    <row r="26" spans="3:15" ht="20.100000000000001" customHeight="1">
      <c r="C26" s="619"/>
      <c r="D26" s="620"/>
      <c r="E26" s="620"/>
      <c r="F26" s="620"/>
      <c r="G26" s="621"/>
      <c r="H26" s="620"/>
      <c r="I26" s="620"/>
      <c r="J26" s="622"/>
      <c r="K26" s="620"/>
      <c r="L26" s="622"/>
      <c r="M26" s="620"/>
      <c r="N26" s="621"/>
      <c r="O26" s="623"/>
    </row>
    <row r="27" spans="3:15" ht="20.100000000000001" customHeight="1">
      <c r="C27" s="619"/>
      <c r="D27" s="620"/>
      <c r="E27" s="620"/>
      <c r="F27" s="620"/>
      <c r="G27" s="621"/>
      <c r="H27" s="620"/>
      <c r="I27" s="620"/>
      <c r="J27" s="622"/>
      <c r="K27" s="620"/>
      <c r="L27" s="622"/>
      <c r="M27" s="620"/>
      <c r="N27" s="621"/>
      <c r="O27" s="623"/>
    </row>
    <row r="28" spans="3:15" ht="20.100000000000001" customHeight="1">
      <c r="C28" s="619"/>
      <c r="D28" s="620"/>
      <c r="E28" s="620"/>
      <c r="F28" s="620"/>
      <c r="G28" s="621"/>
      <c r="H28" s="620"/>
      <c r="I28" s="620"/>
      <c r="J28" s="622"/>
      <c r="K28" s="620"/>
      <c r="L28" s="622"/>
      <c r="M28" s="620"/>
      <c r="N28" s="621"/>
      <c r="O28" s="623"/>
    </row>
    <row r="29" spans="3:15" ht="20.100000000000001" customHeight="1">
      <c r="C29" s="619"/>
      <c r="D29" s="620"/>
      <c r="E29" s="620"/>
      <c r="F29" s="620"/>
      <c r="G29" s="621"/>
      <c r="H29" s="620"/>
      <c r="I29" s="620"/>
      <c r="J29" s="622"/>
      <c r="K29" s="620"/>
      <c r="L29" s="622"/>
      <c r="M29" s="620"/>
      <c r="N29" s="621"/>
      <c r="O29" s="623"/>
    </row>
    <row r="30" spans="3:15" ht="20.100000000000001" customHeight="1">
      <c r="C30" s="619"/>
      <c r="D30" s="620"/>
      <c r="E30" s="620"/>
      <c r="F30" s="620"/>
      <c r="G30" s="621"/>
      <c r="H30" s="620"/>
      <c r="I30" s="620"/>
      <c r="J30" s="622"/>
      <c r="K30" s="620"/>
      <c r="L30" s="622"/>
      <c r="M30" s="620"/>
      <c r="N30" s="621"/>
      <c r="O30" s="623"/>
    </row>
    <row r="31" spans="3:15" ht="20.100000000000001" customHeight="1">
      <c r="C31" s="619"/>
      <c r="D31" s="620"/>
      <c r="E31" s="620"/>
      <c r="F31" s="620"/>
      <c r="G31" s="621"/>
      <c r="H31" s="620"/>
      <c r="I31" s="620"/>
      <c r="J31" s="622"/>
      <c r="K31" s="620"/>
      <c r="L31" s="622"/>
      <c r="M31" s="620"/>
      <c r="N31" s="621"/>
      <c r="O31" s="623"/>
    </row>
    <row r="32" spans="3:15" ht="20.100000000000001" customHeight="1">
      <c r="C32" s="619"/>
      <c r="D32" s="620"/>
      <c r="E32" s="620"/>
      <c r="F32" s="620"/>
      <c r="G32" s="621"/>
      <c r="H32" s="620"/>
      <c r="I32" s="620"/>
      <c r="J32" s="622"/>
      <c r="K32" s="620"/>
      <c r="L32" s="622"/>
      <c r="M32" s="620"/>
      <c r="N32" s="621"/>
      <c r="O32" s="623"/>
    </row>
    <row r="33" spans="3:15" ht="20.100000000000001" customHeight="1">
      <c r="C33" s="619"/>
      <c r="D33" s="620"/>
      <c r="E33" s="620"/>
      <c r="F33" s="620"/>
      <c r="G33" s="621"/>
      <c r="H33" s="620"/>
      <c r="I33" s="620"/>
      <c r="J33" s="622"/>
      <c r="K33" s="620"/>
      <c r="L33" s="622"/>
      <c r="M33" s="620"/>
      <c r="N33" s="621"/>
      <c r="O33" s="623"/>
    </row>
    <row r="34" spans="3:15" ht="20.100000000000001" customHeight="1" thickBot="1">
      <c r="C34" s="624"/>
      <c r="D34" s="625"/>
      <c r="E34" s="626"/>
      <c r="F34" s="626"/>
      <c r="G34" s="625"/>
      <c r="H34" s="625"/>
      <c r="I34" s="626"/>
      <c r="J34" s="625"/>
      <c r="K34" s="626"/>
      <c r="L34" s="625"/>
      <c r="M34" s="626"/>
      <c r="N34" s="625"/>
      <c r="O34" s="6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P116" sqref="P1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248</v>
      </c>
      <c r="M2" s="325" t="s">
        <v>602</v>
      </c>
    </row>
    <row r="3" spans="1:88" s="36" customFormat="1" ht="42.75" customHeight="1">
      <c r="A3" s="353"/>
      <c r="B3" s="353"/>
      <c r="C3" s="353"/>
      <c r="D3" s="362" t="s">
        <v>262</v>
      </c>
      <c r="E3" s="366" t="s">
        <v>263</v>
      </c>
      <c r="F3" s="366" t="s">
        <v>264</v>
      </c>
      <c r="G3" s="366" t="s">
        <v>265</v>
      </c>
      <c r="H3" s="366" t="s">
        <v>266</v>
      </c>
      <c r="I3" s="366" t="s">
        <v>267</v>
      </c>
      <c r="J3" s="366" t="s">
        <v>254</v>
      </c>
      <c r="K3" s="367" t="s">
        <v>255</v>
      </c>
      <c r="L3" s="353"/>
      <c r="M3" s="362" t="s">
        <v>262</v>
      </c>
      <c r="N3" s="366" t="s">
        <v>263</v>
      </c>
      <c r="O3" s="366" t="s">
        <v>264</v>
      </c>
      <c r="P3" s="366" t="s">
        <v>266</v>
      </c>
      <c r="Q3" s="366" t="s">
        <v>267</v>
      </c>
      <c r="R3" s="366" t="s">
        <v>254</v>
      </c>
      <c r="S3" s="367" t="s">
        <v>255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262</v>
      </c>
      <c r="E7" s="366" t="s">
        <v>263</v>
      </c>
      <c r="F7" s="366" t="s">
        <v>264</v>
      </c>
      <c r="G7" s="366" t="s">
        <v>265</v>
      </c>
      <c r="H7" s="366" t="s">
        <v>266</v>
      </c>
      <c r="I7" s="366" t="s">
        <v>267</v>
      </c>
      <c r="J7" s="366" t="s">
        <v>268</v>
      </c>
      <c r="K7" s="367" t="s">
        <v>254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271</v>
      </c>
      <c r="G10" s="275" t="s">
        <v>609</v>
      </c>
      <c r="M10" s="275" t="s">
        <v>610</v>
      </c>
    </row>
    <row r="11" spans="1:88" s="36" customFormat="1" ht="39" customHeight="1">
      <c r="A11" s="353"/>
      <c r="B11" s="353"/>
      <c r="C11" s="353"/>
      <c r="D11" s="566" t="s">
        <v>665</v>
      </c>
      <c r="E11" s="567" t="s">
        <v>666</v>
      </c>
      <c r="F11" s="567" t="s">
        <v>269</v>
      </c>
      <c r="G11" s="567" t="s">
        <v>667</v>
      </c>
      <c r="H11" s="567" t="s">
        <v>668</v>
      </c>
      <c r="I11" s="567" t="s">
        <v>161</v>
      </c>
      <c r="J11" s="567" t="s">
        <v>270</v>
      </c>
      <c r="K11" s="568" t="s">
        <v>669</v>
      </c>
      <c r="M11" s="563" t="s">
        <v>665</v>
      </c>
      <c r="N11" s="564" t="s">
        <v>666</v>
      </c>
      <c r="O11" s="564" t="s">
        <v>269</v>
      </c>
      <c r="P11" s="564" t="s">
        <v>667</v>
      </c>
      <c r="Q11" s="564" t="s">
        <v>668</v>
      </c>
      <c r="R11" s="564" t="s">
        <v>270</v>
      </c>
      <c r="S11" s="565" t="s">
        <v>669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226</v>
      </c>
      <c r="E12" s="570">
        <v>100</v>
      </c>
      <c r="F12" s="570">
        <v>295</v>
      </c>
      <c r="G12" s="571">
        <v>11.02</v>
      </c>
      <c r="H12" s="571">
        <v>72.42</v>
      </c>
      <c r="I12" s="571">
        <v>61.400000000000006</v>
      </c>
      <c r="J12" s="572">
        <v>3.0310000000000001</v>
      </c>
      <c r="K12" s="590">
        <v>2.0479999999999999E-4</v>
      </c>
      <c r="L12" s="277"/>
      <c r="M12" s="548" t="s">
        <v>226</v>
      </c>
      <c r="N12" s="549">
        <v>100</v>
      </c>
      <c r="O12" s="549">
        <v>295</v>
      </c>
      <c r="P12" s="550">
        <v>11.02</v>
      </c>
      <c r="Q12" s="550">
        <v>72.42</v>
      </c>
      <c r="R12" s="587">
        <v>3.0310000000000001</v>
      </c>
      <c r="S12" s="552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/>
      <c r="E13" s="576"/>
      <c r="F13" s="576"/>
      <c r="G13" s="577"/>
      <c r="H13" s="577"/>
      <c r="I13" s="577"/>
      <c r="J13" s="578"/>
      <c r="K13" s="591"/>
      <c r="L13" s="588"/>
      <c r="M13" s="553"/>
      <c r="N13" s="554"/>
      <c r="O13" s="554"/>
      <c r="P13" s="555"/>
      <c r="Q13" s="555"/>
      <c r="R13" s="589"/>
      <c r="S13" s="556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/>
      <c r="E14" s="570"/>
      <c r="F14" s="570"/>
      <c r="G14" s="571"/>
      <c r="H14" s="571"/>
      <c r="I14" s="571"/>
      <c r="J14" s="572"/>
      <c r="K14" s="590"/>
      <c r="L14" s="277"/>
      <c r="M14" s="548"/>
      <c r="N14" s="549"/>
      <c r="O14" s="549"/>
      <c r="P14" s="550"/>
      <c r="Q14" s="550"/>
      <c r="R14" s="587"/>
      <c r="S14" s="552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607</v>
      </c>
      <c r="I43" s="275" t="s">
        <v>608</v>
      </c>
      <c r="M43" s="278" t="s">
        <v>601</v>
      </c>
    </row>
    <row r="44" spans="1:88" ht="31.5" customHeight="1" thickBot="1">
      <c r="D44" s="115" t="s">
        <v>256</v>
      </c>
      <c r="E44" s="116" t="s">
        <v>670</v>
      </c>
      <c r="F44" s="116" t="s">
        <v>671</v>
      </c>
      <c r="G44" s="117" t="s">
        <v>324</v>
      </c>
      <c r="H44" s="276"/>
      <c r="I44" s="115" t="s">
        <v>256</v>
      </c>
      <c r="J44" s="116" t="s">
        <v>672</v>
      </c>
      <c r="K44" s="117" t="s">
        <v>673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333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188.8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594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792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595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596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597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598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247</v>
      </c>
    </row>
    <row r="78" spans="1:88" s="22" customFormat="1" ht="30" customHeight="1">
      <c r="A78" s="277"/>
      <c r="B78" s="277"/>
      <c r="C78" s="277"/>
      <c r="D78" s="362" t="s">
        <v>226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257</v>
      </c>
    </row>
    <row r="83" spans="1:88" s="22" customFormat="1" ht="30" customHeight="1">
      <c r="A83" s="277"/>
      <c r="B83" s="277"/>
      <c r="C83" s="277"/>
      <c r="D83" s="362" t="s">
        <v>226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657</v>
      </c>
    </row>
    <row r="88" spans="1:88" ht="30" customHeight="1">
      <c r="D88" s="362" t="s">
        <v>226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220</v>
      </c>
      <c r="E92" s="398">
        <f>MIN(D94:AG94)</f>
        <v>11.02</v>
      </c>
      <c r="F92" s="398">
        <f>MAX(D94:AG94)</f>
        <v>11.02</v>
      </c>
    </row>
    <row r="93" spans="1:88" ht="30" customHeight="1">
      <c r="D93" s="362" t="s">
        <v>226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221</v>
      </c>
      <c r="E97" s="398">
        <f>MIN(D99:AG99)</f>
        <v>72.42</v>
      </c>
      <c r="F97" s="398">
        <f>MAX(D99:AG99)</f>
        <v>72.42</v>
      </c>
      <c r="G97" s="399" t="s">
        <v>593</v>
      </c>
    </row>
    <row r="98" spans="1:88" ht="30" customHeight="1">
      <c r="D98" s="362" t="s">
        <v>226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658</v>
      </c>
    </row>
    <row r="103" spans="1:88" ht="30" customHeight="1">
      <c r="D103" s="362" t="s">
        <v>226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259</v>
      </c>
    </row>
    <row r="108" spans="1:88" s="22" customFormat="1" ht="30" customHeight="1">
      <c r="A108" s="277"/>
      <c r="B108" s="277"/>
      <c r="C108" s="277"/>
      <c r="D108" s="362" t="s">
        <v>226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592</v>
      </c>
    </row>
    <row r="113" spans="4:33" ht="30" customHeight="1">
      <c r="D113" s="362" t="s">
        <v>226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591</v>
      </c>
    </row>
    <row r="118" spans="4:33" ht="30" customHeight="1">
      <c r="D118" s="362" t="s">
        <v>226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M24" sqref="M2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810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36" t="s">
        <v>0</v>
      </c>
      <c r="B2" s="726" t="s">
        <v>39</v>
      </c>
      <c r="C2" s="726" t="s">
        <v>6</v>
      </c>
      <c r="D2" s="726" t="s">
        <v>38</v>
      </c>
      <c r="E2" s="726" t="s">
        <v>201</v>
      </c>
      <c r="F2" s="726" t="s">
        <v>200</v>
      </c>
      <c r="G2" s="730" t="s">
        <v>1</v>
      </c>
      <c r="H2" s="730" t="s">
        <v>2</v>
      </c>
      <c r="I2" s="730" t="s">
        <v>169</v>
      </c>
      <c r="J2" s="734" t="s">
        <v>252</v>
      </c>
      <c r="K2" s="730" t="s">
        <v>251</v>
      </c>
      <c r="L2" s="730" t="s">
        <v>3</v>
      </c>
      <c r="M2" s="730" t="s">
        <v>4</v>
      </c>
      <c r="N2" s="730" t="s">
        <v>5</v>
      </c>
      <c r="O2" s="730" t="s">
        <v>250</v>
      </c>
      <c r="P2" s="732" t="s">
        <v>249</v>
      </c>
      <c r="Q2" s="726" t="s">
        <v>156</v>
      </c>
      <c r="R2" s="728" t="s">
        <v>91</v>
      </c>
    </row>
    <row r="3" spans="1:18" s="53" customFormat="1" ht="27" customHeight="1">
      <c r="A3" s="737"/>
      <c r="B3" s="727"/>
      <c r="C3" s="727"/>
      <c r="D3" s="727"/>
      <c r="E3" s="727"/>
      <c r="F3" s="727"/>
      <c r="G3" s="731"/>
      <c r="H3" s="731"/>
      <c r="I3" s="731"/>
      <c r="J3" s="735"/>
      <c r="K3" s="731"/>
      <c r="L3" s="731"/>
      <c r="M3" s="731"/>
      <c r="N3" s="731"/>
      <c r="O3" s="731"/>
      <c r="P3" s="733"/>
      <c r="Q3" s="727"/>
      <c r="R3" s="729"/>
    </row>
    <row r="4" spans="1:18" ht="23.1" customHeight="1" thickBot="1">
      <c r="A4" s="607" t="s">
        <v>808</v>
      </c>
      <c r="B4" s="608" t="str">
        <f>Recharge!$B$32</f>
        <v>(주)현윤이앤씨</v>
      </c>
      <c r="C4" s="609"/>
      <c r="D4" s="610" t="s">
        <v>809</v>
      </c>
      <c r="E4" s="610" t="str">
        <f>Recharge!$I$24</f>
        <v>금강서해/금강서해</v>
      </c>
      <c r="F4" s="610" t="str">
        <f>All!$B$2</f>
        <v>서울기상청</v>
      </c>
      <c r="G4" s="610">
        <v>150</v>
      </c>
      <c r="H4" s="610">
        <v>100</v>
      </c>
      <c r="I4" s="610">
        <v>150</v>
      </c>
      <c r="J4" s="610">
        <v>150</v>
      </c>
      <c r="K4" s="610">
        <v>163</v>
      </c>
      <c r="L4" s="610">
        <v>3</v>
      </c>
      <c r="M4" s="610">
        <v>80</v>
      </c>
      <c r="N4" s="611">
        <v>32</v>
      </c>
      <c r="O4" s="612">
        <f>ROUND(water!$F$7, 1)</f>
        <v>115.4</v>
      </c>
      <c r="P4" s="613">
        <v>2198275.963</v>
      </c>
      <c r="Q4" s="610"/>
      <c r="R4" s="614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1" sqref="I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153</v>
      </c>
      <c r="C2" s="523" t="str">
        <f>Well!D4</f>
        <v>보령시 주교면 관창리 1224-9</v>
      </c>
      <c r="D2" s="524"/>
      <c r="E2" s="630">
        <f>K7</f>
        <v>123</v>
      </c>
      <c r="F2" s="630">
        <f>(G7*E2^2)/E7</f>
        <v>1.0222432200593863</v>
      </c>
      <c r="G2" s="524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595">
        <f>Well!C4</f>
        <v>0</v>
      </c>
      <c r="D3" s="528" t="s">
        <v>49</v>
      </c>
      <c r="E3" s="529" t="s">
        <v>115</v>
      </c>
      <c r="F3" s="530" t="s">
        <v>105</v>
      </c>
      <c r="G3" s="68" t="s">
        <v>659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596">
        <f>Well!R4</f>
        <v>0</v>
      </c>
      <c r="D4" s="531" t="s">
        <v>51</v>
      </c>
      <c r="E4" s="4">
        <v>0</v>
      </c>
      <c r="F4" s="5"/>
      <c r="G4" s="547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596">
        <f>Well!Q4</f>
        <v>0</v>
      </c>
      <c r="D5" s="531" t="s">
        <v>53</v>
      </c>
      <c r="E5" s="193">
        <v>3.41</v>
      </c>
      <c r="F5" s="20">
        <f>$E$5/$C$14</f>
        <v>3.9651162790697678E-2</v>
      </c>
      <c r="G5" s="525">
        <v>2.0479999999999999E-4</v>
      </c>
      <c r="H5" s="526">
        <v>-2.8710478260785024</v>
      </c>
      <c r="I5"/>
      <c r="J5" s="161" t="s">
        <v>325</v>
      </c>
      <c r="K5"/>
      <c r="L5"/>
      <c r="M5"/>
    </row>
    <row r="6" spans="1:13" ht="20.100000000000001" customHeight="1" thickBot="1">
      <c r="B6" s="3" t="s">
        <v>54</v>
      </c>
      <c r="C6" s="597" t="str">
        <f>Well!D4</f>
        <v>보령시 주교면 관창리 1224-9</v>
      </c>
      <c r="D6" s="531" t="s">
        <v>56</v>
      </c>
      <c r="E6" s="194">
        <v>2.6520000000000001</v>
      </c>
      <c r="F6" s="20">
        <f>$E$6/$C$14</f>
        <v>3.0837209302325582E-2</v>
      </c>
      <c r="G6" s="543">
        <v>52.53</v>
      </c>
      <c r="H6" s="527">
        <v>2.2069999999999999</v>
      </c>
      <c r="I6"/>
      <c r="J6" s="162" t="s">
        <v>323</v>
      </c>
      <c r="K6" s="159">
        <v>253</v>
      </c>
      <c r="L6"/>
      <c r="M6"/>
    </row>
    <row r="7" spans="1:13" ht="20.100000000000001" customHeight="1" thickBot="1">
      <c r="B7" s="532" t="s">
        <v>55</v>
      </c>
      <c r="C7" s="598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324</v>
      </c>
      <c r="K7" s="160">
        <v>123</v>
      </c>
      <c r="L7"/>
      <c r="M7"/>
    </row>
    <row r="8" spans="1:13" ht="20.100000000000001" customHeight="1" thickBot="1">
      <c r="B8" s="532" t="s">
        <v>57</v>
      </c>
      <c r="C8" s="599">
        <f>Well!G4</f>
        <v>150</v>
      </c>
      <c r="D8" s="629">
        <f>C8/2000</f>
        <v>7.4999999999999997E-2</v>
      </c>
    </row>
    <row r="9" spans="1:13" ht="25.5" customHeight="1" thickBot="1">
      <c r="B9" s="532" t="s">
        <v>59</v>
      </c>
      <c r="C9" s="600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16">
        <v>5</v>
      </c>
      <c r="D10" s="146" t="s">
        <v>61</v>
      </c>
      <c r="E10" s="544">
        <v>154.19999999999999</v>
      </c>
      <c r="F10" s="545">
        <v>188.8</v>
      </c>
      <c r="G10" s="546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16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5" t="s">
        <v>114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01">
        <f>C7-C9</f>
        <v>86</v>
      </c>
      <c r="H12" s="9"/>
      <c r="J12" s="151" t="s">
        <v>116</v>
      </c>
      <c r="K12" s="617">
        <v>153</v>
      </c>
      <c r="L12" s="618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601"/>
      <c r="D13" s="74" t="str">
        <f>All!B2</f>
        <v>서울기상청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109</v>
      </c>
      <c r="K13" s="157">
        <v>656</v>
      </c>
      <c r="L13" s="154"/>
    </row>
    <row r="14" spans="1:13" ht="20.100000000000001" customHeight="1">
      <c r="B14" s="532" t="s">
        <v>66</v>
      </c>
      <c r="C14" s="602">
        <f>C7-IF(C20&gt;C9,C20,C9)</f>
        <v>86</v>
      </c>
      <c r="F14" s="537"/>
      <c r="G14" s="536">
        <f>max</f>
        <v>1448.3</v>
      </c>
      <c r="H14" s="10"/>
      <c r="J14" s="151" t="s">
        <v>110</v>
      </c>
      <c r="K14" s="157">
        <v>44</v>
      </c>
      <c r="L14" s="154"/>
    </row>
    <row r="15" spans="1:13" ht="20.100000000000001" customHeight="1" thickBot="1">
      <c r="B15" s="532" t="s">
        <v>67</v>
      </c>
      <c r="C15" s="599">
        <f>Well!I4</f>
        <v>150</v>
      </c>
      <c r="E15" s="25">
        <v>1</v>
      </c>
      <c r="J15" s="151" t="s">
        <v>111</v>
      </c>
      <c r="K15" s="157">
        <v>4</v>
      </c>
      <c r="L15" s="154"/>
    </row>
    <row r="16" spans="1:13" ht="20.100000000000001" customHeight="1">
      <c r="B16" s="3" t="s">
        <v>68</v>
      </c>
      <c r="C16" s="603">
        <f>Well!J4</f>
        <v>150</v>
      </c>
      <c r="E16" s="68" t="s">
        <v>253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604">
        <f>Well!L4</f>
        <v>3</v>
      </c>
      <c r="E17" s="126">
        <f>Well!P4</f>
        <v>2198275.963</v>
      </c>
      <c r="F17" s="78">
        <f>(max*rf_1*E17/1000)</f>
        <v>493483.27696799947</v>
      </c>
      <c r="G17" s="77">
        <f>F17*allow_ratio</f>
        <v>343464.36076972762</v>
      </c>
      <c r="J17" s="151" t="s">
        <v>112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604">
        <f>Well!M4</f>
        <v>80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74</v>
      </c>
      <c r="C19" s="605">
        <f>Well!N4</f>
        <v>32</v>
      </c>
      <c r="E19" s="126">
        <f>E17</f>
        <v>2198275.963</v>
      </c>
      <c r="F19" s="75">
        <f>(max*rf_1*E19/1000)/365</f>
        <v>1352.008977994519</v>
      </c>
      <c r="G19" s="76">
        <f>F19*allow_ratio</f>
        <v>940.99824868418511</v>
      </c>
      <c r="H19" s="72">
        <f>G19-F21</f>
        <v>825.59824868418514</v>
      </c>
    </row>
    <row r="20" spans="2:12" ht="20.100000000000001" customHeight="1">
      <c r="B20" s="534" t="s">
        <v>75</v>
      </c>
      <c r="C20" s="615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33" t="s">
        <v>78</v>
      </c>
      <c r="C21" s="542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675.59824868418514</v>
      </c>
    </row>
    <row r="22" spans="2:12" ht="20.100000000000001" customHeight="1" thickBot="1">
      <c r="B22" s="535" t="s">
        <v>161</v>
      </c>
      <c r="C22" s="606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227</v>
      </c>
      <c r="C23" s="542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572</v>
      </c>
      <c r="C25" s="518"/>
      <c r="D25" s="519" t="s">
        <v>103</v>
      </c>
      <c r="E25" s="519" t="s">
        <v>104</v>
      </c>
      <c r="F25" s="519" t="s">
        <v>96</v>
      </c>
      <c r="G25" s="519" t="s">
        <v>97</v>
      </c>
      <c r="H25" s="519" t="s">
        <v>118</v>
      </c>
      <c r="I25" s="519" t="s">
        <v>98</v>
      </c>
      <c r="J25" s="520" t="s">
        <v>99</v>
      </c>
      <c r="K25" s="521" t="s">
        <v>100</v>
      </c>
    </row>
    <row r="26" spans="2:12" ht="25.5" customHeight="1">
      <c r="B26" s="738" t="s">
        <v>49</v>
      </c>
      <c r="C26" s="174" t="s">
        <v>101</v>
      </c>
      <c r="D26" s="138">
        <f>C20</f>
        <v>11.02</v>
      </c>
      <c r="E26" s="139">
        <f>Recharge!C30</f>
        <v>22.448649999999997</v>
      </c>
      <c r="F26" s="140" t="s">
        <v>180</v>
      </c>
      <c r="G26" s="138" t="s">
        <v>354</v>
      </c>
      <c r="H26" s="141">
        <f>L18</f>
        <v>4.4176829268292686</v>
      </c>
      <c r="I26" s="138" t="s">
        <v>180</v>
      </c>
      <c r="J26" s="142">
        <f>((E7/C14)/86400)</f>
        <v>4.0791881998277349E-7</v>
      </c>
      <c r="K26" s="401" t="s">
        <v>664</v>
      </c>
    </row>
    <row r="27" spans="2:12" ht="25.5" customHeight="1">
      <c r="B27" s="739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594</v>
      </c>
    </row>
    <row r="28" spans="2:12" ht="25.5" customHeight="1">
      <c r="B28" s="739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39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39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40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318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3" t="s">
        <v>84</v>
      </c>
      <c r="C12" s="744"/>
      <c r="D12" s="744" t="s">
        <v>85</v>
      </c>
      <c r="E12" s="744"/>
      <c r="F12" s="745"/>
      <c r="H12" s="743" t="s">
        <v>85</v>
      </c>
      <c r="I12" s="744"/>
      <c r="J12" s="745"/>
      <c r="L12"/>
      <c r="M12"/>
      <c r="N12"/>
    </row>
    <row r="13" spans="2:14" s="22" customFormat="1" ht="26.1" customHeight="1" thickBot="1">
      <c r="B13" s="410" t="s">
        <v>80</v>
      </c>
      <c r="C13" s="402" t="s">
        <v>86</v>
      </c>
      <c r="D13" s="402" t="s">
        <v>87</v>
      </c>
      <c r="E13" s="402" t="s">
        <v>88</v>
      </c>
      <c r="F13" s="411" t="s">
        <v>89</v>
      </c>
      <c r="H13" s="231" t="s">
        <v>87</v>
      </c>
      <c r="I13" s="311" t="s">
        <v>88</v>
      </c>
      <c r="J13" s="420" t="s">
        <v>89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46" t="s">
        <v>36</v>
      </c>
      <c r="C24" s="74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746" t="s">
        <v>37</v>
      </c>
      <c r="C25" s="74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741" t="s">
        <v>90</v>
      </c>
      <c r="C26" s="74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43" t="s">
        <v>84</v>
      </c>
      <c r="C12" s="744"/>
      <c r="D12" s="744" t="s">
        <v>85</v>
      </c>
      <c r="E12" s="744"/>
      <c r="F12" s="744"/>
      <c r="G12" s="744" t="s">
        <v>154</v>
      </c>
      <c r="H12" s="744"/>
      <c r="I12" s="745"/>
    </row>
    <row r="13" spans="2:9" s="22" customFormat="1" ht="26.1" customHeight="1">
      <c r="B13" s="410" t="s">
        <v>80</v>
      </c>
      <c r="C13" s="402" t="s">
        <v>86</v>
      </c>
      <c r="D13" s="402" t="s">
        <v>87</v>
      </c>
      <c r="E13" s="402" t="s">
        <v>88</v>
      </c>
      <c r="F13" s="402" t="s">
        <v>89</v>
      </c>
      <c r="G13" s="402" t="s">
        <v>87</v>
      </c>
      <c r="H13" s="402" t="s">
        <v>88</v>
      </c>
      <c r="I13" s="411" t="s">
        <v>89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746" t="s">
        <v>36</v>
      </c>
      <c r="C24" s="747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746" t="s">
        <v>37</v>
      </c>
      <c r="C25" s="747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741" t="s">
        <v>90</v>
      </c>
      <c r="C26" s="742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48" t="s">
        <v>85</v>
      </c>
      <c r="E29" s="749"/>
      <c r="F29" s="750"/>
      <c r="H29" s="748" t="s">
        <v>154</v>
      </c>
      <c r="I29" s="749"/>
      <c r="J29" s="750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43" t="s">
        <v>84</v>
      </c>
      <c r="C12" s="744"/>
      <c r="D12" s="744" t="s">
        <v>85</v>
      </c>
      <c r="E12" s="744"/>
      <c r="F12" s="744"/>
      <c r="G12" s="744" t="s">
        <v>154</v>
      </c>
      <c r="H12" s="744"/>
      <c r="I12" s="744"/>
      <c r="J12" s="744" t="s">
        <v>155</v>
      </c>
      <c r="K12" s="744"/>
      <c r="L12" s="745"/>
    </row>
    <row r="13" spans="2:12" s="22" customFormat="1" ht="26.1" customHeight="1">
      <c r="B13" s="410" t="s">
        <v>80</v>
      </c>
      <c r="C13" s="402" t="s">
        <v>86</v>
      </c>
      <c r="D13" s="402" t="s">
        <v>158</v>
      </c>
      <c r="E13" s="402" t="s">
        <v>167</v>
      </c>
      <c r="F13" s="402" t="s">
        <v>89</v>
      </c>
      <c r="G13" s="402" t="s">
        <v>158</v>
      </c>
      <c r="H13" s="402" t="s">
        <v>167</v>
      </c>
      <c r="I13" s="402" t="s">
        <v>89</v>
      </c>
      <c r="J13" s="402" t="s">
        <v>158</v>
      </c>
      <c r="K13" s="402" t="s">
        <v>167</v>
      </c>
      <c r="L13" s="411" t="s">
        <v>89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746" t="s">
        <v>36</v>
      </c>
      <c r="C24" s="747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746" t="s">
        <v>37</v>
      </c>
      <c r="C25" s="747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741" t="s">
        <v>90</v>
      </c>
      <c r="C26" s="742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48" t="s">
        <v>85</v>
      </c>
      <c r="E29" s="749"/>
      <c r="F29" s="750"/>
      <c r="H29" s="748" t="s">
        <v>154</v>
      </c>
      <c r="I29" s="749"/>
      <c r="J29" s="750"/>
      <c r="L29" s="748" t="s">
        <v>155</v>
      </c>
      <c r="M29" s="749"/>
      <c r="N29" s="750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2025-01-01T00:13:23Z</dcterms:modified>
</cp:coreProperties>
</file>