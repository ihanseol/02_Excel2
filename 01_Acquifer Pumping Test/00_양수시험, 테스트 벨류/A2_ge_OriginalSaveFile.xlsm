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0_양수시험, 테스트 벨류\"/>
    </mc:Choice>
  </mc:AlternateContent>
  <xr:revisionPtr revIDLastSave="0" documentId="13_ncr:1_{FC9715F6-928E-4729-AC53-64794BFDA32E}" xr6:coauthVersionLast="47" xr6:coauthVersionMax="47" xr10:uidLastSave="{00000000-0000-0000-0000-000000000000}"/>
  <bookViews>
    <workbookView xWindow="-120" yWindow="-120" windowWidth="29040" windowHeight="175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2" i="6" l="1"/>
  <c r="W43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AC34" i="7" s="1"/>
  <c r="W77" i="7"/>
  <c r="W66" i="7"/>
  <c r="W50" i="7"/>
  <c r="W45" i="7"/>
  <c r="W29" i="7"/>
  <c r="AC29" i="7" s="1"/>
  <c r="W26" i="7"/>
  <c r="W73" i="7"/>
  <c r="W55" i="7"/>
  <c r="W41" i="7"/>
  <c r="W60" i="7"/>
  <c r="W49" i="7"/>
  <c r="W37" i="7"/>
  <c r="W33" i="7"/>
  <c r="AC33" i="7" s="1"/>
  <c r="W81" i="7"/>
  <c r="W78" i="7"/>
  <c r="W65" i="7"/>
  <c r="W54" i="7"/>
  <c r="W40" i="7"/>
  <c r="W36" i="7"/>
  <c r="W32" i="7"/>
  <c r="AC32" i="7" s="1"/>
  <c r="W27" i="7"/>
  <c r="AC27" i="7" s="1"/>
  <c r="W5" i="7"/>
  <c r="W64" i="7"/>
  <c r="W72" i="7"/>
  <c r="W57" i="7"/>
  <c r="W44" i="7"/>
  <c r="W28" i="7"/>
  <c r="AC28" i="7" s="1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AC30" i="7" s="1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AC31" i="7" s="1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<sst xmlns="http://schemas.openxmlformats.org/spreadsheetml/2006/main" count="1149" uniqueCount="303">
  <si>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</si>
  <si>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</si>
  <si>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</si>
  <si>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</si>
  <si>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</si>
  <si>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</si>
  <si>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</si>
  <si>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</si>
  <si>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</si>
  <si>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</si>
  <si>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</si>
  <si>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</si>
  <si>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</si>
  <si>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</si>
  <si>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</si>
  <si>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</si>
  <si>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</si>
  <si>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</si>
  <si>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</si>
  <si>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</si>
  <si>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</si>
  <si>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</si>
  <si>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</si>
  <si>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</si>
  <si>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</si>
  <si>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</si>
  <si>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</si>
  <si>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</si>
  <si>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</si>
  <si>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</si>
  <si>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</si>
  <si>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</si>
  <si>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</si>
  <si>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</si>
  <si>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</si>
  <si>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</si>
  <si>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</si>
  <si>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</si>
  <si>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</si>
  <si>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</si>
  <si>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</si>
  <si>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</si>
  <si>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</si>
  <si>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</si>
  <si>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</si>
  <si>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</si>
  <si>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</si>
  <si>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</si>
  <si>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</si>
  <si>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</si>
  <si>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</si>
  <si>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</si>
  <si>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</si>
  <si>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</si>
  <si>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</si>
  <si>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</si>
  <si>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</si>
  <si>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</si>
  <si>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</si>
  <si>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</si>
  <si>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</si>
  <si>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</si>
  <si>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</si>
  <si>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</si>
  <si>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</si>
  <si>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</si>
  <si>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</si>
  <si>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</si>
  <si>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</si>
  <si>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</si>
  <si>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</si>
  <si>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</si>
  <si>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</si>
  <si>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</si>
  <si>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</si>
  <si>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</si>
  <si>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</si>
  <si>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</si>
  <si>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</si>
  <si>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</si>
  <si>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</si>
  <si>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</si>
  <si>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</si>
  <si>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</si>
  <si>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</si>
  <si>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</si>
  <si>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</si>
  <si>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</si>
  <si>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</si>
  <si>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</si>
  <si>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</si>
  <si>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</si>
  <si>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</si>
  <si>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</si>
  <si>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</si>
  <si>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</si>
  <si>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</si>
  <si>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</si>
  <si>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</si>
  <si>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</si>
  <si>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</si>
  <si>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</si>
  <si>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</si>
  <si>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</si>
  <si>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</si>
  <si>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</si>
  <si>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</si>
  <si>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</si>
  <si>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</si>
  <si>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</si>
  <si>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</si>
  <si>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</si>
  <si>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</si>
  <si>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</si>
  <si>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</si>
  <si>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</si>
  <si>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</si>
  <si>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</si>
  <si>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</si>
  <si>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</si>
  <si>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</si>
  <si>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</si>
  <si>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</si>
  <si>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</si>
  <si>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</si>
  <si>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</si>
  <si>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</si>
  <si>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</si>
  <si>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</si>
  <si>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</si>
  <si>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</si>
  <si>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</si>
  <si>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</si>
  <si>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</si>
  <si>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</si>
  <si>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</si>
  <si>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</si>
  <si>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</si>
  <si>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</si>
  <si>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</si>
  <si>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</si>
  <si>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</si>
  <si>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</si>
  <si>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</si>
  <si>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</si>
  <si>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</si>
  <si>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</si>
  <si>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</si>
  <si>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</si>
  <si>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</si>
  <si>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</si>
  <si>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</si>
  <si>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</si>
  <si>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</si>
  <si>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</si>
  <si>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</si>
  <si>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</si>
  <si>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</si>
  <si>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</si>
  <si>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</si>
  <si>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</si>
  <si>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</si>
  <si>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</si>
  <si>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</si>
  <si>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</si>
  <si>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</si>
  <si>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</si>
  <si>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</si>
  <si>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</si>
  <si>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</si>
  <si>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</si>
  <si>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</si>
  <si>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</si>
  <si>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</si>
  <si>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</si>
  <si>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</si>
  <si>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</si>
  <si>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</si>
  <si>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</si>
  <si>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</si>
  <si>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</si>
  <si>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</si>
  <si>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</si>
  <si>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</si>
  <si>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</si>
  <si>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</si>
  <si>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</si>
  <si>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</si>
  <si>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</si>
  <si>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</si>
  <si>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</si>
  <si>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</si>
  <si>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</si>
  <si>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</si>
  <si>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</si>
  <si>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</si>
  <si>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</si>
  <si>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</si>
  <si>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</si>
  <si>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</si>
  <si>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</si>
  <si>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</si>
  <si>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</si>
  <si>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</si>
  <si>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</si>
  <si>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</si>
  <si>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</si>
  <si>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</si>
  <si>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</si>
  <si>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</si>
  <si>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</si>
  <si>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</si>
  <si>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</si>
  <si>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</si>
  <si>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</si>
  <si>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</si>
  <si>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</si>
  <si>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</si>
  <si>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</si>
  <si>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</si>
  <si>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</si>
  <si>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</si>
  <si>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</si>
  <si>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</si>
  <si>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</si>
  <si>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</si>
  <si>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</si>
  <si>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</si>
  <si>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</si>
  <si>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</si>
  <si>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</si>
  <si>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</si>
  <si>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</si>
  <si>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</si>
  <si>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</si>
  <si>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</si>
  <si>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</si>
  <si>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</si>
  <si>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</si>
  <si>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</si>
  <si>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</si>
  <si>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</si>
  <si>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</si>
  <si>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</si>
  <si>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</si>
  <si>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</si>
  <si>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</si>
  <si>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</si>
  <si>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</si>
  <si>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</si>
  <si>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</si>
  <si>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</si>
  <si>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</si>
  <si>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</si>
  <si>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(주)우경엔지니어링</t>
    <phoneticPr fontId="5" type="noConversion"/>
  </si>
  <si>
    <t>(합)청대개발</t>
    <phoneticPr fontId="5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</si>
  <si>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</si>
  <si>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</si>
  <si>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</si>
  <si>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</si>
  <si>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</si>
  <si>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</si>
  <si>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</si>
  <si>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</si>
  <si>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</si>
  <si>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</si>
  <si>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</si>
  <si>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</si>
  <si>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</si>
  <si>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</si>
  <si>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</si>
  <si>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</si>
  <si>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</si>
  <si>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</si>
  <si>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</si>
  <si>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</si>
  <si>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</si>
  <si>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</si>
  <si>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</si>
  <si>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</si>
  <si>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</si>
  <si>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</si>
  <si>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</si>
  <si>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</si>
  <si>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</si>
  <si>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</si>
  <si>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</si>
  <si>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</si>
  <si>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</si>
  <si>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</si>
  <si>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</si>
  <si>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</si>
  <si>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5" type="noConversion"/>
  </si>
  <si>
    <t>이랜드 R&amp;D센터 지열시스템공사</t>
    <phoneticPr fontId="8" type="noConversion"/>
  </si>
  <si>
    <t>이랜드 R&amp;D센터</t>
    <phoneticPr fontId="8" type="noConversion"/>
  </si>
  <si>
    <t>서울특별시 강서구 마곡동 780번지</t>
    <phoneticPr fontId="8" type="noConversion"/>
  </si>
  <si>
    <t>공  번 : W - 2</t>
  </si>
  <si>
    <t>W-2</t>
    <phoneticPr fontId="8" type="noConversion"/>
  </si>
  <si>
    <t>145
184
224
264
304</t>
  </si>
  <si>
    <t>9.07
10.65
12.42
14.39
17.39</t>
  </si>
  <si>
    <t>4.71
6.29
8.06
10.03
13.03</t>
  </si>
  <si>
    <t>30.786
29.253
27.841
26.321
23.300</t>
  </si>
  <si>
    <t>0.032483
0.034185
0.035918
0.037992
0.042918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</si>
</sst>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1.53</c:v>
                </c:pt>
                <c:pt idx="2">
                  <c:v>1.85</c:v>
                </c:pt>
                <c:pt idx="3">
                  <c:v>2.0699999999999998</c:v>
                </c:pt>
                <c:pt idx="4">
                  <c:v>2.2400000000000002</c:v>
                </c:pt>
                <c:pt idx="5">
                  <c:v>2.78</c:v>
                </c:pt>
                <c:pt idx="6">
                  <c:v>3.09</c:v>
                </c:pt>
                <c:pt idx="7">
                  <c:v>3.32</c:v>
                </c:pt>
                <c:pt idx="8">
                  <c:v>3.49</c:v>
                </c:pt>
                <c:pt idx="9">
                  <c:v>3.63</c:v>
                </c:pt>
                <c:pt idx="10">
                  <c:v>3.75</c:v>
                </c:pt>
                <c:pt idx="11">
                  <c:v>3.85</c:v>
                </c:pt>
                <c:pt idx="12">
                  <c:v>3.95</c:v>
                </c:pt>
                <c:pt idx="13">
                  <c:v>4.03</c:v>
                </c:pt>
                <c:pt idx="14">
                  <c:v>4.0999999999999996</c:v>
                </c:pt>
                <c:pt idx="15">
                  <c:v>4.17</c:v>
                </c:pt>
                <c:pt idx="16">
                  <c:v>4.34</c:v>
                </c:pt>
                <c:pt idx="17">
                  <c:v>4.4800000000000004</c:v>
                </c:pt>
                <c:pt idx="18">
                  <c:v>4.5999999999999996</c:v>
                </c:pt>
                <c:pt idx="19">
                  <c:v>4.71</c:v>
                </c:pt>
                <c:pt idx="20" formatCode="\ 0.00\ ">
                  <c:v>4.87</c:v>
                </c:pt>
                <c:pt idx="21" formatCode="\ 0.00\ ">
                  <c:v>5.0200000000000005</c:v>
                </c:pt>
                <c:pt idx="22" formatCode="\ 0.00\ ">
                  <c:v>5.16</c:v>
                </c:pt>
                <c:pt idx="23" formatCode="\ 0.00\ ">
                  <c:v>5.29</c:v>
                </c:pt>
                <c:pt idx="24" formatCode="\ 0.00\ ">
                  <c:v>5.42</c:v>
                </c:pt>
                <c:pt idx="25">
                  <c:v>5.65</c:v>
                </c:pt>
                <c:pt idx="26" formatCode="\ 0.00\ ">
                  <c:v>5.7600000000000007</c:v>
                </c:pt>
                <c:pt idx="27">
                  <c:v>5.81</c:v>
                </c:pt>
                <c:pt idx="28" formatCode="\ 0.00\ ">
                  <c:v>5.9099999999999993</c:v>
                </c:pt>
                <c:pt idx="29">
                  <c:v>5.97</c:v>
                </c:pt>
                <c:pt idx="30" formatCode="\ 0.00\ ">
                  <c:v>6.0299999999999994</c:v>
                </c:pt>
                <c:pt idx="31" formatCode="\ 0.00\ ">
                  <c:v>6.0799999999999992</c:v>
                </c:pt>
                <c:pt idx="32" formatCode="\ 0.00\ ">
                  <c:v>6.1199999999999992</c:v>
                </c:pt>
                <c:pt idx="33" formatCode="\ 0.00\ ">
                  <c:v>6.1499999999999995</c:v>
                </c:pt>
                <c:pt idx="34" formatCode="\ 0.00\ ">
                  <c:v>6.169999999999999</c:v>
                </c:pt>
                <c:pt idx="35">
                  <c:v>6.13</c:v>
                </c:pt>
                <c:pt idx="36" formatCode="\ 0.00\ ">
                  <c:v>6.2</c:v>
                </c:pt>
                <c:pt idx="37" formatCode="\ 0.00\ ">
                  <c:v>6.26</c:v>
                </c:pt>
                <c:pt idx="38" formatCode="\ 0.00\ ">
                  <c:v>6.31</c:v>
                </c:pt>
                <c:pt idx="39">
                  <c:v>6.29</c:v>
                </c:pt>
                <c:pt idx="40" formatCode="\ 0.00\ ">
                  <c:v>6.47</c:v>
                </c:pt>
                <c:pt idx="41" formatCode="\ 0.00\ ">
                  <c:v>6.63</c:v>
                </c:pt>
                <c:pt idx="42" formatCode="\ 0.00\ ">
                  <c:v>6.78</c:v>
                </c:pt>
                <c:pt idx="43" formatCode="\ 0.00\ ">
                  <c:v>6.92</c:v>
                </c:pt>
                <c:pt idx="44" formatCode="\ 0.00\ ">
                  <c:v>7.05</c:v>
                </c:pt>
                <c:pt idx="45">
                  <c:v>7.35</c:v>
                </c:pt>
                <c:pt idx="46" formatCode="\ 0.00\ ">
                  <c:v>7.46</c:v>
                </c:pt>
                <c:pt idx="47">
                  <c:v>7.52</c:v>
                </c:pt>
                <c:pt idx="48" formatCode="\ 0.00\ ">
                  <c:v>7.63</c:v>
                </c:pt>
                <c:pt idx="49">
                  <c:v>7.7</c:v>
                </c:pt>
                <c:pt idx="50" formatCode="\ 0.00\ ">
                  <c:v>7.7700000000000005</c:v>
                </c:pt>
                <c:pt idx="51" formatCode="\ 0.00\ ">
                  <c:v>7.82</c:v>
                </c:pt>
                <c:pt idx="52" formatCode="\ 0.00\ ">
                  <c:v>7.86</c:v>
                </c:pt>
                <c:pt idx="53" formatCode="\ 0.00\ ">
                  <c:v>7.8900000000000006</c:v>
                </c:pt>
                <c:pt idx="54" formatCode="\ 0.00\ ">
                  <c:v>7.91</c:v>
                </c:pt>
                <c:pt idx="55">
                  <c:v>7.88</c:v>
                </c:pt>
                <c:pt idx="56" formatCode="\ 0.00\ ">
                  <c:v>7.96</c:v>
                </c:pt>
                <c:pt idx="57" formatCode="\ 0.00\ ">
                  <c:v>8.02</c:v>
                </c:pt>
                <c:pt idx="58" formatCode="\ 0.00\ ">
                  <c:v>8.07</c:v>
                </c:pt>
                <c:pt idx="59">
                  <c:v>8.06</c:v>
                </c:pt>
                <c:pt idx="60" formatCode="\ 0.00\ ">
                  <c:v>8.25</c:v>
                </c:pt>
                <c:pt idx="61" formatCode="\ 0.00\ ">
                  <c:v>8.42</c:v>
                </c:pt>
                <c:pt idx="62" formatCode="\ 0.00\ ">
                  <c:v>8.58</c:v>
                </c:pt>
                <c:pt idx="63" formatCode="\ 0.00\ ">
                  <c:v>8.73</c:v>
                </c:pt>
                <c:pt idx="64" formatCode="\ 0.00\ ">
                  <c:v>8.870000000000001</c:v>
                </c:pt>
                <c:pt idx="65">
                  <c:v>9.24</c:v>
                </c:pt>
                <c:pt idx="66" formatCode="\ 0.00\ ">
                  <c:v>9.36</c:v>
                </c:pt>
                <c:pt idx="67" formatCode="\ 0.00\ ">
                  <c:v>9.43</c:v>
                </c:pt>
                <c:pt idx="68" formatCode="\ 0.00\ ">
                  <c:v>9.5499999999999989</c:v>
                </c:pt>
                <c:pt idx="69" formatCode="\ 0.00\ ">
                  <c:v>9.6300000000000008</c:v>
                </c:pt>
                <c:pt idx="70" formatCode="\ 0.00\ ">
                  <c:v>9.7000000000000011</c:v>
                </c:pt>
                <c:pt idx="71" formatCode="\ 0.00\ ">
                  <c:v>9.7500000000000018</c:v>
                </c:pt>
                <c:pt idx="72" formatCode="\ 0.00\ ">
                  <c:v>9.7900000000000009</c:v>
                </c:pt>
                <c:pt idx="73" formatCode="\ 0.00\ ">
                  <c:v>9.82</c:v>
                </c:pt>
                <c:pt idx="74" formatCode="\ 0.00\ ">
                  <c:v>9.85</c:v>
                </c:pt>
                <c:pt idx="75" formatCode="\ 0.00\ ">
                  <c:v>9.83</c:v>
                </c:pt>
                <c:pt idx="76" formatCode="\ 0.00\ ">
                  <c:v>9.92</c:v>
                </c:pt>
                <c:pt idx="77" formatCode="\ 0.00\ ">
                  <c:v>9.99</c:v>
                </c:pt>
                <c:pt idx="78" formatCode="\ 0.00\ ">
                  <c:v>10.040000000000001</c:v>
                </c:pt>
                <c:pt idx="79" formatCode="\ 0.00\ ">
                  <c:v>10.029999999999999</c:v>
                </c:pt>
                <c:pt idx="80" formatCode="\ 0.00\ ">
                  <c:v>10.24</c:v>
                </c:pt>
                <c:pt idx="81" formatCode="\ 0.00\ ">
                  <c:v>10.43</c:v>
                </c:pt>
                <c:pt idx="82" formatCode="\ 0.00\ ">
                  <c:v>10.6</c:v>
                </c:pt>
                <c:pt idx="83" formatCode="\ 0.00\ ">
                  <c:v>10.76</c:v>
                </c:pt>
                <c:pt idx="84" formatCode="\ 0.00\ ">
                  <c:v>10.9</c:v>
                </c:pt>
                <c:pt idx="85" formatCode="\ 0.00\ ">
                  <c:v>11.23</c:v>
                </c:pt>
                <c:pt idx="86" formatCode="\ 0.00\ ">
                  <c:v>11.540000000000001</c:v>
                </c:pt>
                <c:pt idx="87" formatCode="\ 0.00\ ">
                  <c:v>11.68</c:v>
                </c:pt>
                <c:pt idx="88" formatCode="\ 0.00\ ">
                  <c:v>11.98</c:v>
                </c:pt>
                <c:pt idx="89" formatCode="\ 0.00\ ">
                  <c:v>12.13</c:v>
                </c:pt>
                <c:pt idx="90" formatCode="\ 0.00\ ">
                  <c:v>12.280000000000001</c:v>
                </c:pt>
                <c:pt idx="91" formatCode="\ 0.00\ ">
                  <c:v>12.410000000000002</c:v>
                </c:pt>
                <c:pt idx="92" formatCode="\ 0.00\ ">
                  <c:v>12.520000000000001</c:v>
                </c:pt>
                <c:pt idx="93" formatCode="\ 0.00\ ">
                  <c:v>12.600000000000001</c:v>
                </c:pt>
                <c:pt idx="94" formatCode="\ 0.00\ ">
                  <c:v>12.670000000000002</c:v>
                </c:pt>
                <c:pt idx="95" formatCode="\ 0.00\ ">
                  <c:v>12.58</c:v>
                </c:pt>
                <c:pt idx="96" formatCode="\ 0.00\ ">
                  <c:v>12.77</c:v>
                </c:pt>
                <c:pt idx="97" formatCode="\ 0.00\ ">
                  <c:v>12.93</c:v>
                </c:pt>
                <c:pt idx="98" formatCode="\ 0.00\ ">
                  <c:v>13.07</c:v>
                </c:pt>
                <c:pt idx="99" formatCode="\ 0.00\ ">
                  <c:v>13.03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6149476364959334"/>
          <c:h val="0.7246999282040416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145</c:v>
                </c:pt>
                <c:pt idx="1">
                  <c:v>184</c:v>
                </c:pt>
                <c:pt idx="2">
                  <c:v>224.4</c:v>
                </c:pt>
                <c:pt idx="3">
                  <c:v>264</c:v>
                </c:pt>
                <c:pt idx="4">
                  <c:v>303.59999999999997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3.2482758620689653E-2</c:v>
                </c:pt>
                <c:pt idx="1">
                  <c:v>3.4184782608695653E-2</c:v>
                </c:pt>
                <c:pt idx="2">
                  <c:v>3.591800356506239E-2</c:v>
                </c:pt>
                <c:pt idx="3">
                  <c:v>3.7992424242424237E-2</c:v>
                </c:pt>
                <c:pt idx="4">
                  <c:v>4.2918313570487483E-2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56.46666666666664"/>
          <c:min val="92.13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(㎥/day)(W-2)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818949611496584"/>
              <c:y val="0.891412026411496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6.43333333333333"/>
      </c:valAx>
      <c:valAx>
        <c:axId val="1"/>
        <c:scaling>
          <c:orientation val="minMax"/>
          <c:max val="4.6396831887086758E-2"/>
          <c:min val="2.9004240304090375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3313843195343159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4.3481478957490957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7003104940505198"/>
                  <c:y val="-0.27568077427821525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130</c:v>
                </c:pt>
                <c:pt idx="1">
                  <c:v>145</c:v>
                </c:pt>
                <c:pt idx="2">
                  <c:v>184</c:v>
                </c:pt>
                <c:pt idx="3">
                  <c:v>224.4</c:v>
                </c:pt>
                <c:pt idx="4">
                  <c:v>264</c:v>
                </c:pt>
                <c:pt idx="5">
                  <c:v>303.59999999999997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79.428564379032565</c:v>
                </c:pt>
                <c:pt idx="2">
                  <c:v>75.264191527167313</c:v>
                </c:pt>
                <c:pt idx="3">
                  <c:v>71.387071737443179</c:v>
                </c:pt>
                <c:pt idx="4">
                  <c:v>67.955754454107918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56.46666666666664"/>
          <c:min val="92.13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6.43333333333333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5398075240594"/>
          <c:y val="0.10389655838474737"/>
          <c:w val="0.79257029908298504"/>
          <c:h val="0.6955294224585563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145</c:v>
                </c:pt>
                <c:pt idx="1">
                  <c:v>184</c:v>
                </c:pt>
                <c:pt idx="2">
                  <c:v>224.4</c:v>
                </c:pt>
                <c:pt idx="3">
                  <c:v>264</c:v>
                </c:pt>
                <c:pt idx="4">
                  <c:v>303.59999999999997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4.71</c:v>
                </c:pt>
                <c:pt idx="1">
                  <c:v>6.29</c:v>
                </c:pt>
                <c:pt idx="2">
                  <c:v>8.06</c:v>
                </c:pt>
                <c:pt idx="3">
                  <c:v>10.029999999999999</c:v>
                </c:pt>
                <c:pt idx="4">
                  <c:v>13.03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(Q)(W-2)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17530216130399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6783318751822686E-3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16921100246260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130</c:v>
                </c:pt>
                <c:pt idx="1">
                  <c:v>145</c:v>
                </c:pt>
                <c:pt idx="2">
                  <c:v>184</c:v>
                </c:pt>
                <c:pt idx="3">
                  <c:v>224.4</c:v>
                </c:pt>
                <c:pt idx="4">
                  <c:v>264</c:v>
                </c:pt>
                <c:pt idx="5">
                  <c:v>303.59999999999997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3.2482758620689653E-2</c:v>
                </c:pt>
                <c:pt idx="2">
                  <c:v>3.4184782608695653E-2</c:v>
                </c:pt>
                <c:pt idx="3">
                  <c:v>3.591800356506239E-2</c:v>
                </c:pt>
                <c:pt idx="4">
                  <c:v>3.7992424242424237E-2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56.46666666666664"/>
          <c:min val="92.13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(㎥/day)(W-2)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7705039783694294"/>
              <c:y val="0.88260629196612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6.43333333333333"/>
      </c:valAx>
      <c:valAx>
        <c:axId val="1"/>
        <c:scaling>
          <c:orientation val="minMax"/>
          <c:max val="4.6396831887086758E-2"/>
          <c:min val="2.9004240304090375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540043849438861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4.3481478957490957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1.53</c:v>
                </c:pt>
                <c:pt idx="2">
                  <c:v>1.85</c:v>
                </c:pt>
                <c:pt idx="3">
                  <c:v>2.0699999999999998</c:v>
                </c:pt>
                <c:pt idx="4">
                  <c:v>2.2400000000000002</c:v>
                </c:pt>
                <c:pt idx="5">
                  <c:v>2.78</c:v>
                </c:pt>
                <c:pt idx="6">
                  <c:v>3.09</c:v>
                </c:pt>
                <c:pt idx="7">
                  <c:v>3.32</c:v>
                </c:pt>
                <c:pt idx="8">
                  <c:v>3.49</c:v>
                </c:pt>
                <c:pt idx="9">
                  <c:v>3.63</c:v>
                </c:pt>
                <c:pt idx="10">
                  <c:v>3.75</c:v>
                </c:pt>
                <c:pt idx="11">
                  <c:v>3.85</c:v>
                </c:pt>
                <c:pt idx="12">
                  <c:v>3.95</c:v>
                </c:pt>
                <c:pt idx="13">
                  <c:v>4.03</c:v>
                </c:pt>
                <c:pt idx="14">
                  <c:v>4.0999999999999996</c:v>
                </c:pt>
                <c:pt idx="15">
                  <c:v>4.17</c:v>
                </c:pt>
                <c:pt idx="16">
                  <c:v>4.34</c:v>
                </c:pt>
                <c:pt idx="17">
                  <c:v>4.4800000000000004</c:v>
                </c:pt>
                <c:pt idx="18">
                  <c:v>4.5999999999999996</c:v>
                </c:pt>
                <c:pt idx="19">
                  <c:v>4.71</c:v>
                </c:pt>
                <c:pt idx="20">
                  <c:v>5.65</c:v>
                </c:pt>
                <c:pt idx="21">
                  <c:v>5.81</c:v>
                </c:pt>
                <c:pt idx="22">
                  <c:v>5.97</c:v>
                </c:pt>
                <c:pt idx="23">
                  <c:v>6.13</c:v>
                </c:pt>
                <c:pt idx="24">
                  <c:v>6.29</c:v>
                </c:pt>
                <c:pt idx="25">
                  <c:v>7.35</c:v>
                </c:pt>
                <c:pt idx="26">
                  <c:v>7.52</c:v>
                </c:pt>
                <c:pt idx="27">
                  <c:v>7.7</c:v>
                </c:pt>
                <c:pt idx="28">
                  <c:v>7.88</c:v>
                </c:pt>
                <c:pt idx="29">
                  <c:v>8.06</c:v>
                </c:pt>
                <c:pt idx="30">
                  <c:v>9.24</c:v>
                </c:pt>
                <c:pt idx="31">
                  <c:v>9.43</c:v>
                </c:pt>
                <c:pt idx="32">
                  <c:v>9.6300000000000008</c:v>
                </c:pt>
                <c:pt idx="33">
                  <c:v>9.83</c:v>
                </c:pt>
                <c:pt idx="34">
                  <c:v>10.029999999999999</c:v>
                </c:pt>
                <c:pt idx="35">
                  <c:v>11.23</c:v>
                </c:pt>
                <c:pt idx="36">
                  <c:v>11.68</c:v>
                </c:pt>
                <c:pt idx="37">
                  <c:v>12.13</c:v>
                </c:pt>
                <c:pt idx="38">
                  <c:v>12.58</c:v>
                </c:pt>
                <c:pt idx="39">
                  <c:v>13.03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1.0026897642797081</c:v>
                </c:pt>
                <c:pt idx="1">
                  <c:v>1.5394450790486207</c:v>
                </c:pt>
                <c:pt idx="2">
                  <c:v>1.8534268102512144</c:v>
                </c:pt>
                <c:pt idx="3">
                  <c:v>2.0762003938175324</c:v>
                </c:pt>
                <c:pt idx="4">
                  <c:v>2.248997009721756</c:v>
                </c:pt>
                <c:pt idx="5">
                  <c:v>2.7857523244906668</c:v>
                </c:pt>
                <c:pt idx="6">
                  <c:v>3.0997340556932622</c:v>
                </c:pt>
                <c:pt idx="7">
                  <c:v>3.3225076392595794</c:v>
                </c:pt>
                <c:pt idx="8">
                  <c:v>3.4953042551638029</c:v>
                </c:pt>
                <c:pt idx="9">
                  <c:v>3.6364893704621748</c:v>
                </c:pt>
                <c:pt idx="10">
                  <c:v>3.7558596845788399</c:v>
                </c:pt>
                <c:pt idx="11">
                  <c:v>3.859262954028492</c:v>
                </c:pt>
                <c:pt idx="12">
                  <c:v>3.9504711016647684</c:v>
                </c:pt>
                <c:pt idx="13">
                  <c:v>4.0320595699327155</c:v>
                </c:pt>
                <c:pt idx="14">
                  <c:v>4.1058653171049455</c:v>
                </c:pt>
                <c:pt idx="15">
                  <c:v>4.1732446852310874</c:v>
                </c:pt>
                <c:pt idx="16">
                  <c:v>4.3460413011353092</c:v>
                </c:pt>
                <c:pt idx="17">
                  <c:v>4.487226416433681</c:v>
                </c:pt>
                <c:pt idx="18">
                  <c:v>4.6065967305503479</c:v>
                </c:pt>
                <c:pt idx="19">
                  <c:v>4.71</c:v>
                </c:pt>
                <c:pt idx="20">
                  <c:v>5.6875303169416354</c:v>
                </c:pt>
                <c:pt idx="21">
                  <c:v>5.7603528267585284</c:v>
                </c:pt>
                <c:pt idx="22">
                  <c:v>5.828148961440669</c:v>
                </c:pt>
                <c:pt idx="23">
                  <c:v>6.0073080043020513</c:v>
                </c:pt>
                <c:pt idx="24">
                  <c:v>6.29</c:v>
                </c:pt>
                <c:pt idx="25">
                  <c:v>7.6230077258902842</c:v>
                </c:pt>
                <c:pt idx="26">
                  <c:v>7.6700102551974094</c:v>
                </c:pt>
                <c:pt idx="27">
                  <c:v>7.715238674811852</c:v>
                </c:pt>
                <c:pt idx="28">
                  <c:v>7.8415038629451406</c:v>
                </c:pt>
                <c:pt idx="29">
                  <c:v>8.06</c:v>
                </c:pt>
                <c:pt idx="30">
                  <c:v>9.6630281218115481</c:v>
                </c:pt>
                <c:pt idx="31">
                  <c:v>9.7006275540644307</c:v>
                </c:pt>
                <c:pt idx="32">
                  <c:v>9.7372502663951668</c:v>
                </c:pt>
                <c:pt idx="33">
                  <c:v>9.8417347370020085</c:v>
                </c:pt>
                <c:pt idx="34">
                  <c:v>10.029999999999999</c:v>
                </c:pt>
                <c:pt idx="35">
                  <c:v>12.701631325326778</c:v>
                </c:pt>
                <c:pt idx="36">
                  <c:v>12.734387579278716</c:v>
                </c:pt>
                <c:pt idx="37">
                  <c:v>12.766495151716137</c:v>
                </c:pt>
                <c:pt idx="38">
                  <c:v>12.859170627819664</c:v>
                </c:pt>
                <c:pt idx="39">
                  <c:v>13.03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1.53</c:v>
                </c:pt>
                <c:pt idx="2">
                  <c:v>1.85</c:v>
                </c:pt>
                <c:pt idx="3">
                  <c:v>2.0699999999999998</c:v>
                </c:pt>
                <c:pt idx="4">
                  <c:v>2.2400000000000002</c:v>
                </c:pt>
                <c:pt idx="5">
                  <c:v>2.78</c:v>
                </c:pt>
                <c:pt idx="6">
                  <c:v>3.09</c:v>
                </c:pt>
                <c:pt idx="7">
                  <c:v>3.32</c:v>
                </c:pt>
                <c:pt idx="8">
                  <c:v>3.49</c:v>
                </c:pt>
                <c:pt idx="9">
                  <c:v>3.63</c:v>
                </c:pt>
                <c:pt idx="10">
                  <c:v>3.75</c:v>
                </c:pt>
                <c:pt idx="11">
                  <c:v>3.85</c:v>
                </c:pt>
                <c:pt idx="12">
                  <c:v>3.95</c:v>
                </c:pt>
                <c:pt idx="13">
                  <c:v>4.03</c:v>
                </c:pt>
                <c:pt idx="14">
                  <c:v>4.0999999999999996</c:v>
                </c:pt>
                <c:pt idx="15">
                  <c:v>4.17</c:v>
                </c:pt>
                <c:pt idx="16">
                  <c:v>4.34</c:v>
                </c:pt>
                <c:pt idx="17">
                  <c:v>4.4800000000000004</c:v>
                </c:pt>
                <c:pt idx="18">
                  <c:v>4.5999999999999996</c:v>
                </c:pt>
                <c:pt idx="19">
                  <c:v>4.71</c:v>
                </c:pt>
                <c:pt idx="20">
                  <c:v>5.65</c:v>
                </c:pt>
                <c:pt idx="21">
                  <c:v>5.81</c:v>
                </c:pt>
                <c:pt idx="22">
                  <c:v>5.97</c:v>
                </c:pt>
                <c:pt idx="23">
                  <c:v>6.13</c:v>
                </c:pt>
                <c:pt idx="24">
                  <c:v>6.29</c:v>
                </c:pt>
                <c:pt idx="25">
                  <c:v>7.35</c:v>
                </c:pt>
                <c:pt idx="26">
                  <c:v>7.52</c:v>
                </c:pt>
                <c:pt idx="27">
                  <c:v>7.7</c:v>
                </c:pt>
                <c:pt idx="28">
                  <c:v>7.88</c:v>
                </c:pt>
                <c:pt idx="29">
                  <c:v>8.06</c:v>
                </c:pt>
                <c:pt idx="30">
                  <c:v>9.24</c:v>
                </c:pt>
                <c:pt idx="31">
                  <c:v>9.43</c:v>
                </c:pt>
                <c:pt idx="32">
                  <c:v>9.6300000000000008</c:v>
                </c:pt>
                <c:pt idx="33">
                  <c:v>9.83</c:v>
                </c:pt>
                <c:pt idx="34">
                  <c:v>10.029999999999999</c:v>
                </c:pt>
                <c:pt idx="35">
                  <c:v>11.23</c:v>
                </c:pt>
                <c:pt idx="36">
                  <c:v>11.68</c:v>
                </c:pt>
                <c:pt idx="37">
                  <c:v>12.13</c:v>
                </c:pt>
                <c:pt idx="38">
                  <c:v>12.58</c:v>
                </c:pt>
                <c:pt idx="39">
                  <c:v>13.03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5.0854691908599845</c:v>
                </c:pt>
                <c:pt idx="1">
                  <c:v>5.7291996141065944</c:v>
                </c:pt>
                <c:pt idx="2">
                  <c:v>6.1057577722792207</c:v>
                </c:pt>
                <c:pt idx="3">
                  <c:v>6.3729300373532034</c:v>
                </c:pt>
                <c:pt idx="4">
                  <c:v>6.5801649461300205</c:v>
                </c:pt>
                <c:pt idx="5">
                  <c:v>7.2238953693766295</c:v>
                </c:pt>
                <c:pt idx="6">
                  <c:v>7.600453527549254</c:v>
                </c:pt>
                <c:pt idx="7">
                  <c:v>7.8676257926232385</c:v>
                </c:pt>
                <c:pt idx="8">
                  <c:v>8.0748607014000555</c:v>
                </c:pt>
                <c:pt idx="9">
                  <c:v>8.2441839507958612</c:v>
                </c:pt>
                <c:pt idx="10">
                  <c:v>8.3873447183096133</c:v>
                </c:pt>
                <c:pt idx="11">
                  <c:v>8.5113562158698475</c:v>
                </c:pt>
                <c:pt idx="12">
                  <c:v>8.6207421089684875</c:v>
                </c:pt>
                <c:pt idx="13">
                  <c:v>8.7185911246466645</c:v>
                </c:pt>
                <c:pt idx="14">
                  <c:v>8.8071063261881086</c:v>
                </c:pt>
                <c:pt idx="15">
                  <c:v>8.887914374042472</c:v>
                </c:pt>
                <c:pt idx="16">
                  <c:v>9.095149282819289</c:v>
                </c:pt>
                <c:pt idx="17">
                  <c:v>9.2644725322150965</c:v>
                </c:pt>
                <c:pt idx="18">
                  <c:v>9.4076332997288485</c:v>
                </c:pt>
                <c:pt idx="19">
                  <c:v>9.531644797289081</c:v>
                </c:pt>
                <c:pt idx="20">
                  <c:v>9.6748055648028295</c:v>
                </c:pt>
                <c:pt idx="21">
                  <c:v>9.7988170623630655</c:v>
                </c:pt>
                <c:pt idx="22">
                  <c:v>9.9082029554617055</c:v>
                </c:pt>
                <c:pt idx="23">
                  <c:v>10.17537522053569</c:v>
                </c:pt>
                <c:pt idx="24">
                  <c:v>10.382610129312509</c:v>
                </c:pt>
                <c:pt idx="25">
                  <c:v>10.551933378708314</c:v>
                </c:pt>
                <c:pt idx="26">
                  <c:v>10.695094146222065</c:v>
                </c:pt>
                <c:pt idx="27">
                  <c:v>10.819105643782299</c:v>
                </c:pt>
                <c:pt idx="28">
                  <c:v>10.928491536880941</c:v>
                </c:pt>
                <c:pt idx="29">
                  <c:v>11.026340552559116</c:v>
                </c:pt>
                <c:pt idx="30">
                  <c:v>11.114855754100562</c:v>
                </c:pt>
                <c:pt idx="31">
                  <c:v>11.195663801954925</c:v>
                </c:pt>
                <c:pt idx="32">
                  <c:v>11.27</c:v>
                </c:pt>
                <c:pt idx="33">
                  <c:v>11.27</c:v>
                </c:pt>
                <c:pt idx="34">
                  <c:v>11.27</c:v>
                </c:pt>
                <c:pt idx="35">
                  <c:v>11.27</c:v>
                </c:pt>
                <c:pt idx="36">
                  <c:v>11.27</c:v>
                </c:pt>
                <c:pt idx="37">
                  <c:v>11.27</c:v>
                </c:pt>
                <c:pt idx="38">
                  <c:v>11.27</c:v>
                </c:pt>
                <c:pt idx="39">
                  <c:v>11.27</c:v>
                </c:pt>
                <c:pt idx="40">
                  <c:v>11.27</c:v>
                </c:pt>
                <c:pt idx="41">
                  <c:v>11.27</c:v>
                </c:pt>
                <c:pt idx="42">
                  <c:v>11.27</c:v>
                </c:pt>
                <c:pt idx="43">
                  <c:v>11.27</c:v>
                </c:pt>
                <c:pt idx="44">
                  <c:v>11.27</c:v>
                </c:pt>
                <c:pt idx="45">
                  <c:v>11.27</c:v>
                </c:pt>
                <c:pt idx="46">
                  <c:v>11.27</c:v>
                </c:pt>
                <c:pt idx="47">
                  <c:v>11.27</c:v>
                </c:pt>
                <c:pt idx="48">
                  <c:v>11.27</c:v>
                </c:pt>
                <c:pt idx="49">
                  <c:v>11.27</c:v>
                </c:pt>
                <c:pt idx="50">
                  <c:v>11.27</c:v>
                </c:pt>
                <c:pt idx="51">
                  <c:v>11.27</c:v>
                </c:pt>
                <c:pt idx="52">
                  <c:v>11.27</c:v>
                </c:pt>
                <c:pt idx="53">
                  <c:v>11.27</c:v>
                </c:pt>
                <c:pt idx="54">
                  <c:v>11.27</c:v>
                </c:pt>
                <c:pt idx="55">
                  <c:v>11.27</c:v>
                </c:pt>
                <c:pt idx="56">
                  <c:v>11.27</c:v>
                </c:pt>
                <c:pt idx="57">
                  <c:v>11.27</c:v>
                </c:pt>
                <c:pt idx="58">
                  <c:v>11.27</c:v>
                </c:pt>
                <c:pt idx="59">
                  <c:v>11.27</c:v>
                </c:pt>
                <c:pt idx="60">
                  <c:v>11.27</c:v>
                </c:pt>
                <c:pt idx="61">
                  <c:v>11.27</c:v>
                </c:pt>
                <c:pt idx="62">
                  <c:v>11.27</c:v>
                </c:pt>
                <c:pt idx="63">
                  <c:v>11.27</c:v>
                </c:pt>
                <c:pt idx="64">
                  <c:v>11.27</c:v>
                </c:pt>
                <c:pt idx="65">
                  <c:v>11.27</c:v>
                </c:pt>
                <c:pt idx="66">
                  <c:v>11.27</c:v>
                </c:pt>
                <c:pt idx="67">
                  <c:v>11.27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5.0854691908599845</c:v>
                </c:pt>
                <c:pt idx="1">
                  <c:v>5.7291996141065944</c:v>
                </c:pt>
                <c:pt idx="2">
                  <c:v>6.1057577722792207</c:v>
                </c:pt>
                <c:pt idx="3">
                  <c:v>6.3729300373532034</c:v>
                </c:pt>
                <c:pt idx="4">
                  <c:v>6.5801649461300205</c:v>
                </c:pt>
                <c:pt idx="5">
                  <c:v>7.2238953693766295</c:v>
                </c:pt>
                <c:pt idx="6">
                  <c:v>7.600453527549254</c:v>
                </c:pt>
                <c:pt idx="7">
                  <c:v>7.8676257926232385</c:v>
                </c:pt>
                <c:pt idx="8">
                  <c:v>8.0748607014000555</c:v>
                </c:pt>
                <c:pt idx="9">
                  <c:v>8.2441839507958612</c:v>
                </c:pt>
                <c:pt idx="10">
                  <c:v>8.3873447183096133</c:v>
                </c:pt>
                <c:pt idx="11">
                  <c:v>8.5113562158698475</c:v>
                </c:pt>
                <c:pt idx="12">
                  <c:v>8.6207421089684875</c:v>
                </c:pt>
                <c:pt idx="13">
                  <c:v>8.7185911246466645</c:v>
                </c:pt>
                <c:pt idx="14">
                  <c:v>8.8071063261881086</c:v>
                </c:pt>
                <c:pt idx="15">
                  <c:v>8.887914374042472</c:v>
                </c:pt>
                <c:pt idx="16">
                  <c:v>9.095149282819289</c:v>
                </c:pt>
                <c:pt idx="17">
                  <c:v>9.2644725322150965</c:v>
                </c:pt>
                <c:pt idx="18">
                  <c:v>9.4076332997288485</c:v>
                </c:pt>
                <c:pt idx="19">
                  <c:v>9.531644797289081</c:v>
                </c:pt>
                <c:pt idx="20">
                  <c:v>9.6748055648028295</c:v>
                </c:pt>
                <c:pt idx="21">
                  <c:v>9.7988170623630655</c:v>
                </c:pt>
                <c:pt idx="22">
                  <c:v>9.9082029554617055</c:v>
                </c:pt>
                <c:pt idx="23">
                  <c:v>10.17537522053569</c:v>
                </c:pt>
                <c:pt idx="24">
                  <c:v>10.382610129312509</c:v>
                </c:pt>
                <c:pt idx="25">
                  <c:v>10.551933378708314</c:v>
                </c:pt>
                <c:pt idx="26">
                  <c:v>10.695094146222065</c:v>
                </c:pt>
                <c:pt idx="27">
                  <c:v>10.819105643782299</c:v>
                </c:pt>
                <c:pt idx="28">
                  <c:v>10.928491536880941</c:v>
                </c:pt>
                <c:pt idx="29">
                  <c:v>11.026340552559116</c:v>
                </c:pt>
                <c:pt idx="30">
                  <c:v>11.114855754100562</c:v>
                </c:pt>
                <c:pt idx="31">
                  <c:v>11.195663801954925</c:v>
                </c:pt>
                <c:pt idx="32">
                  <c:v>11.27</c:v>
                </c:pt>
                <c:pt idx="33">
                  <c:v>11.27</c:v>
                </c:pt>
                <c:pt idx="34">
                  <c:v>11.27</c:v>
                </c:pt>
                <c:pt idx="35">
                  <c:v>11.27</c:v>
                </c:pt>
                <c:pt idx="36">
                  <c:v>11.27</c:v>
                </c:pt>
                <c:pt idx="37">
                  <c:v>11.27</c:v>
                </c:pt>
                <c:pt idx="38">
                  <c:v>11.27</c:v>
                </c:pt>
                <c:pt idx="39">
                  <c:v>11.27</c:v>
                </c:pt>
                <c:pt idx="40">
                  <c:v>11.27</c:v>
                </c:pt>
                <c:pt idx="41">
                  <c:v>11.27</c:v>
                </c:pt>
                <c:pt idx="42">
                  <c:v>11.27</c:v>
                </c:pt>
                <c:pt idx="43">
                  <c:v>11.27</c:v>
                </c:pt>
                <c:pt idx="44">
                  <c:v>11.27</c:v>
                </c:pt>
                <c:pt idx="45">
                  <c:v>11.27</c:v>
                </c:pt>
                <c:pt idx="46">
                  <c:v>11.27</c:v>
                </c:pt>
                <c:pt idx="47">
                  <c:v>11.27</c:v>
                </c:pt>
                <c:pt idx="48">
                  <c:v>11.27</c:v>
                </c:pt>
                <c:pt idx="49">
                  <c:v>11.27</c:v>
                </c:pt>
                <c:pt idx="50">
                  <c:v>11.27</c:v>
                </c:pt>
                <c:pt idx="51">
                  <c:v>11.27</c:v>
                </c:pt>
                <c:pt idx="52">
                  <c:v>11.27</c:v>
                </c:pt>
                <c:pt idx="53">
                  <c:v>11.27</c:v>
                </c:pt>
                <c:pt idx="54">
                  <c:v>11.27</c:v>
                </c:pt>
                <c:pt idx="55">
                  <c:v>11.27</c:v>
                </c:pt>
                <c:pt idx="56">
                  <c:v>11.27</c:v>
                </c:pt>
                <c:pt idx="57">
                  <c:v>11.27</c:v>
                </c:pt>
                <c:pt idx="58">
                  <c:v>11.27</c:v>
                </c:pt>
                <c:pt idx="59">
                  <c:v>11.27</c:v>
                </c:pt>
                <c:pt idx="60">
                  <c:v>11.27</c:v>
                </c:pt>
                <c:pt idx="61">
                  <c:v>11.27</c:v>
                </c:pt>
                <c:pt idx="62">
                  <c:v>11.27</c:v>
                </c:pt>
                <c:pt idx="63">
                  <c:v>11.27</c:v>
                </c:pt>
                <c:pt idx="64">
                  <c:v>11.27</c:v>
                </c:pt>
                <c:pt idx="65">
                  <c:v>11.27</c:v>
                </c:pt>
                <c:pt idx="66">
                  <c:v>11.27</c:v>
                </c:pt>
                <c:pt idx="67">
                  <c:v>11.27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8.0288726202983973</c:v>
                </c:pt>
                <c:pt idx="1">
                  <c:v>7.4661523959832516</c:v>
                </c:pt>
                <c:pt idx="2">
                  <c:v>6.9428715881127934</c:v>
                </c:pt>
                <c:pt idx="3">
                  <c:v>6.4562660032170038</c:v>
                </c:pt>
                <c:pt idx="4">
                  <c:v>6.0037651820701496</c:v>
                </c:pt>
                <c:pt idx="5">
                  <c:v>4.827814173848088</c:v>
                </c:pt>
                <c:pt idx="6">
                  <c:v>4.5995152921554912</c:v>
                </c:pt>
                <c:pt idx="7">
                  <c:v>3.9773758472967051</c:v>
                </c:pt>
                <c:pt idx="8">
                  <c:v>3.698613194702367</c:v>
                </c:pt>
                <c:pt idx="9">
                  <c:v>3.4393882019784781</c:v>
                </c:pt>
                <c:pt idx="10">
                  <c:v>3.3570820663189038</c:v>
                </c:pt>
                <c:pt idx="11">
                  <c:v>3.276745554199735</c:v>
                </c:pt>
                <c:pt idx="12">
                  <c:v>3.1983315316271348</c:v>
                </c:pt>
                <c:pt idx="13">
                  <c:v>3.1217939925453382</c:v>
                </c:pt>
                <c:pt idx="14">
                  <c:v>3.0470880318445723</c:v>
                </c:pt>
                <c:pt idx="15">
                  <c:v>2.9741698190149184</c:v>
                </c:pt>
                <c:pt idx="16">
                  <c:v>2.9029965724306446</c:v>
                </c:pt>
                <c:pt idx="17">
                  <c:v>2.8335265342499261</c:v>
                </c:pt>
                <c:pt idx="18">
                  <c:v>2.7657189459152267</c:v>
                </c:pt>
                <c:pt idx="19">
                  <c:v>2.5718777854883688</c:v>
                </c:pt>
                <c:pt idx="20">
                  <c:v>2.5103315716034444</c:v>
                </c:pt>
                <c:pt idx="21">
                  <c:v>2.1707792076766479</c:v>
                </c:pt>
                <c:pt idx="22">
                  <c:v>1.87715536138174</c:v>
                </c:pt>
                <c:pt idx="23">
                  <c:v>1.6232476514898937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590550</xdr:colOff>
      <xdr:row>14</xdr:row>
      <xdr:rowOff>9525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595897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628650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733425</xdr:colOff>
      <xdr:row>14</xdr:row>
      <xdr:rowOff>9525</xdr:rowOff>
    </xdr:from>
    <xdr:to>
      <xdr:col>11</xdr:col>
      <xdr:colOff>601245</xdr:colOff>
      <xdr:row>27</xdr:row>
      <xdr:rowOff>142874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6</xdr:row>
          <xdr:rowOff>28575</xdr:rowOff>
        </xdr:from>
        <xdr:to>
          <xdr:col>13</xdr:col>
          <xdr:colOff>561975</xdr:colOff>
          <xdr:row>7</xdr:row>
          <xdr:rowOff>104775</xdr:rowOff>
        </xdr:to>
        <xdr:sp macro="" textlink="">
          <xdr:nvSpPr>
            <xdr:cNvPr id="10244" name="CommandButton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A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254</v>
      </c>
    </row>
    <row r="18" spans="4:10" ht="18" customHeight="1">
      <c r="D18" s="13" t="s">
        <v>114</v>
      </c>
      <c r="E18" s="11" t="s">
        <v>115</v>
      </c>
      <c r="J18" s="11" t="s">
        <v>255</v>
      </c>
    </row>
    <row r="19" spans="4:10" ht="18" customHeight="1">
      <c r="D19" s="13" t="s">
        <v>256</v>
      </c>
      <c r="E19" s="11" t="s">
        <v>274</v>
      </c>
      <c r="J19" s="11" t="s">
        <v>292</v>
      </c>
    </row>
    <row r="20" spans="4:10" ht="18" customHeight="1">
      <c r="D20" s="11" t="s">
        <v>257</v>
      </c>
      <c r="E20" s="11" t="s">
        <v>275</v>
      </c>
    </row>
    <row r="21" spans="4:10" ht="18" customHeight="1">
      <c r="D21" s="11" t="s">
        <v>258</v>
      </c>
      <c r="E21" s="11" t="s">
        <v>276</v>
      </c>
    </row>
    <row r="22" spans="4:10" ht="18" customHeight="1">
      <c r="D22" s="11" t="s">
        <v>259</v>
      </c>
      <c r="E22" s="11" t="s">
        <v>277</v>
      </c>
    </row>
    <row r="23" spans="4:10" ht="18" customHeight="1">
      <c r="D23" s="11" t="s">
        <v>260</v>
      </c>
      <c r="E23" s="11" t="s">
        <v>278</v>
      </c>
    </row>
    <row r="24" spans="4:10" ht="18" customHeight="1">
      <c r="D24" s="11" t="s">
        <v>261</v>
      </c>
      <c r="E24" s="11" t="s">
        <v>279</v>
      </c>
    </row>
    <row r="25" spans="4:10" ht="18" customHeight="1">
      <c r="D25" s="11" t="s">
        <v>262</v>
      </c>
      <c r="E25" s="11" t="s">
        <v>280</v>
      </c>
    </row>
    <row r="26" spans="4:10" ht="18" customHeight="1">
      <c r="D26" s="11" t="s">
        <v>263</v>
      </c>
      <c r="E26" s="11" t="s">
        <v>281</v>
      </c>
    </row>
    <row r="27" spans="4:10" ht="18" customHeight="1">
      <c r="D27" s="11" t="s">
        <v>264</v>
      </c>
      <c r="E27" s="11" t="s">
        <v>282</v>
      </c>
    </row>
    <row r="28" spans="4:10" ht="18" customHeight="1">
      <c r="D28" s="11" t="s">
        <v>265</v>
      </c>
      <c r="E28" s="11" t="s">
        <v>283</v>
      </c>
    </row>
    <row r="29" spans="4:10" ht="18" customHeight="1">
      <c r="D29" s="11" t="s">
        <v>266</v>
      </c>
      <c r="E29" s="11" t="s">
        <v>284</v>
      </c>
    </row>
    <row r="30" spans="4:10" ht="18" customHeight="1">
      <c r="D30" s="11" t="s">
        <v>267</v>
      </c>
      <c r="E30" s="11" t="s">
        <v>285</v>
      </c>
    </row>
    <row r="31" spans="4:10" ht="18" customHeight="1">
      <c r="D31" s="11" t="s">
        <v>268</v>
      </c>
      <c r="E31" s="11" t="s">
        <v>286</v>
      </c>
    </row>
    <row r="32" spans="4:10" ht="18" customHeight="1">
      <c r="D32" s="11" t="s">
        <v>269</v>
      </c>
      <c r="E32" s="11" t="s">
        <v>287</v>
      </c>
    </row>
    <row r="33" spans="4:5" ht="18" customHeight="1">
      <c r="D33" s="11" t="s">
        <v>270</v>
      </c>
      <c r="E33" s="11" t="s">
        <v>288</v>
      </c>
    </row>
    <row r="34" spans="4:5" ht="18" customHeight="1">
      <c r="D34" s="11" t="s">
        <v>271</v>
      </c>
      <c r="E34" s="11" t="s">
        <v>289</v>
      </c>
    </row>
    <row r="35" spans="4:5" ht="18" customHeight="1">
      <c r="D35" s="11" t="s">
        <v>272</v>
      </c>
      <c r="E35" s="11" t="s">
        <v>290</v>
      </c>
    </row>
    <row r="36" spans="4:5" ht="18" customHeight="1">
      <c r="D36" s="11" t="s">
        <v>273</v>
      </c>
      <c r="E36" s="11" t="s">
        <v>291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1.53</v>
      </c>
      <c r="E2" s="6">
        <v>2</v>
      </c>
      <c r="F2" s="6">
        <f>StepTest!G13</f>
        <v>1.53</v>
      </c>
    </row>
    <row r="3" spans="1:6">
      <c r="A3" s="124">
        <v>3</v>
      </c>
      <c r="B3" s="6">
        <f t="shared" si="0"/>
        <v>1.85</v>
      </c>
      <c r="E3" s="6">
        <v>3</v>
      </c>
      <c r="F3" s="6">
        <f>StepTest!G14</f>
        <v>1.85</v>
      </c>
    </row>
    <row r="4" spans="1:6">
      <c r="A4" s="124">
        <v>4</v>
      </c>
      <c r="B4" s="6">
        <f t="shared" si="0"/>
        <v>2.0699999999999998</v>
      </c>
      <c r="E4" s="6">
        <v>4</v>
      </c>
      <c r="F4" s="6">
        <f>StepTest!G15</f>
        <v>2.0699999999999998</v>
      </c>
    </row>
    <row r="5" spans="1:6">
      <c r="A5" s="124">
        <v>5</v>
      </c>
      <c r="B5" s="6">
        <f t="shared" si="0"/>
        <v>2.2400000000000002</v>
      </c>
      <c r="E5" s="6">
        <v>5</v>
      </c>
      <c r="F5" s="6">
        <f>StepTest!G16</f>
        <v>2.2400000000000002</v>
      </c>
    </row>
    <row r="6" spans="1:6">
      <c r="A6" s="124">
        <v>10</v>
      </c>
      <c r="B6" s="6">
        <f t="shared" si="0"/>
        <v>2.78</v>
      </c>
      <c r="E6" s="6">
        <v>10</v>
      </c>
      <c r="F6" s="6">
        <f>StepTest!G17</f>
        <v>2.78</v>
      </c>
    </row>
    <row r="7" spans="1:6">
      <c r="A7" s="124">
        <v>15</v>
      </c>
      <c r="B7" s="6">
        <f t="shared" si="0"/>
        <v>3.09</v>
      </c>
      <c r="E7" s="6">
        <v>15</v>
      </c>
      <c r="F7" s="6">
        <f>StepTest!G18</f>
        <v>3.09</v>
      </c>
    </row>
    <row r="8" spans="1:6">
      <c r="A8" s="124">
        <v>20</v>
      </c>
      <c r="B8" s="6">
        <f t="shared" si="0"/>
        <v>3.32</v>
      </c>
      <c r="E8" s="6">
        <v>20</v>
      </c>
      <c r="F8" s="6">
        <f>StepTest!G19</f>
        <v>3.32</v>
      </c>
    </row>
    <row r="9" spans="1:6">
      <c r="A9" s="124">
        <v>25</v>
      </c>
      <c r="B9" s="6">
        <f t="shared" si="0"/>
        <v>3.49</v>
      </c>
      <c r="E9" s="6">
        <v>25</v>
      </c>
      <c r="F9" s="6">
        <f>StepTest!G20</f>
        <v>3.49</v>
      </c>
    </row>
    <row r="10" spans="1:6">
      <c r="A10" s="124">
        <v>30</v>
      </c>
      <c r="B10" s="6">
        <f t="shared" si="0"/>
        <v>3.63</v>
      </c>
      <c r="E10" s="6">
        <v>30</v>
      </c>
      <c r="F10" s="6">
        <f>StepTest!G21</f>
        <v>3.63</v>
      </c>
    </row>
    <row r="11" spans="1:6">
      <c r="A11" s="124">
        <v>35</v>
      </c>
      <c r="B11" s="6">
        <f t="shared" si="0"/>
        <v>3.75</v>
      </c>
      <c r="E11" s="6">
        <v>35</v>
      </c>
      <c r="F11" s="6">
        <f>StepTest!G22</f>
        <v>3.75</v>
      </c>
    </row>
    <row r="12" spans="1:6">
      <c r="A12" s="124">
        <v>40</v>
      </c>
      <c r="B12" s="6">
        <f t="shared" si="0"/>
        <v>3.85</v>
      </c>
      <c r="E12" s="6">
        <v>40</v>
      </c>
      <c r="F12" s="6">
        <f>StepTest!G23</f>
        <v>3.85</v>
      </c>
    </row>
    <row r="13" spans="1:6">
      <c r="A13" s="124">
        <v>45</v>
      </c>
      <c r="B13" s="6">
        <f t="shared" si="0"/>
        <v>3.95</v>
      </c>
      <c r="E13" s="6">
        <v>45</v>
      </c>
      <c r="F13" s="6">
        <f>StepTest!G24</f>
        <v>3.95</v>
      </c>
    </row>
    <row r="14" spans="1:6">
      <c r="A14" s="124">
        <v>50</v>
      </c>
      <c r="B14" s="6">
        <f t="shared" si="0"/>
        <v>4.03</v>
      </c>
      <c r="E14" s="6">
        <v>50</v>
      </c>
      <c r="F14" s="6">
        <f>StepTest!G25</f>
        <v>4.03</v>
      </c>
    </row>
    <row r="15" spans="1:6">
      <c r="A15" s="124">
        <v>55</v>
      </c>
      <c r="B15" s="6">
        <f t="shared" si="0"/>
        <v>4.0999999999999996</v>
      </c>
      <c r="E15" s="6">
        <v>55</v>
      </c>
      <c r="F15" s="6">
        <f>StepTest!G26</f>
        <v>4.0999999999999996</v>
      </c>
    </row>
    <row r="16" spans="1:6">
      <c r="A16" s="124">
        <v>60</v>
      </c>
      <c r="B16" s="6">
        <f t="shared" si="0"/>
        <v>4.17</v>
      </c>
      <c r="E16" s="6">
        <v>60</v>
      </c>
      <c r="F16" s="6">
        <f>StepTest!G27</f>
        <v>4.17</v>
      </c>
    </row>
    <row r="17" spans="1:6">
      <c r="A17" s="124">
        <v>75</v>
      </c>
      <c r="B17" s="6">
        <f t="shared" si="0"/>
        <v>4.34</v>
      </c>
      <c r="E17" s="6">
        <v>75</v>
      </c>
      <c r="F17" s="6">
        <f>StepTest!G28</f>
        <v>4.34</v>
      </c>
    </row>
    <row r="18" spans="1:6">
      <c r="A18" s="124">
        <v>90</v>
      </c>
      <c r="B18" s="6">
        <f t="shared" si="0"/>
        <v>4.4800000000000004</v>
      </c>
      <c r="E18" s="6">
        <v>90</v>
      </c>
      <c r="F18" s="6">
        <f>StepTest!G29</f>
        <v>4.4800000000000004</v>
      </c>
    </row>
    <row r="19" spans="1:6">
      <c r="A19" s="124">
        <v>105</v>
      </c>
      <c r="B19" s="6">
        <f t="shared" si="0"/>
        <v>4.5999999999999996</v>
      </c>
      <c r="E19" s="6">
        <v>105</v>
      </c>
      <c r="F19" s="6">
        <f>StepTest!G30</f>
        <v>4.5999999999999996</v>
      </c>
    </row>
    <row r="20" spans="1:6">
      <c r="A20" s="125">
        <v>120</v>
      </c>
      <c r="B20" s="126">
        <f t="shared" si="0"/>
        <v>4.71</v>
      </c>
      <c r="C20" s="126">
        <f>B26-B20</f>
        <v>0.94000000000000039</v>
      </c>
      <c r="D20" s="127">
        <f>C20/10</f>
        <v>9.4000000000000042E-2</v>
      </c>
      <c r="E20" s="6">
        <v>120</v>
      </c>
      <c r="F20" s="6">
        <f>StepTest!G31</f>
        <v>4.71</v>
      </c>
    </row>
    <row r="21" spans="1:6">
      <c r="A21" s="124">
        <v>121</v>
      </c>
      <c r="B21" s="128">
        <f>B20+D21</f>
        <v>4.87</v>
      </c>
      <c r="D21" s="6">
        <v>0.16</v>
      </c>
      <c r="E21" s="6">
        <v>130</v>
      </c>
      <c r="F21" s="6">
        <f>StepTest!G32</f>
        <v>5.65</v>
      </c>
    </row>
    <row r="22" spans="1:6">
      <c r="A22" s="124">
        <v>122</v>
      </c>
      <c r="B22" s="128">
        <f>B21+D22</f>
        <v>5.0200000000000005</v>
      </c>
      <c r="D22" s="6">
        <v>0.15</v>
      </c>
      <c r="E22" s="6">
        <v>140</v>
      </c>
      <c r="F22" s="6">
        <f>StepTest!G33</f>
        <v>5.81</v>
      </c>
    </row>
    <row r="23" spans="1:6">
      <c r="A23" s="124">
        <v>123</v>
      </c>
      <c r="B23" s="128">
        <f>B22+D23</f>
        <v>5.16</v>
      </c>
      <c r="D23" s="6">
        <v>0.14000000000000001</v>
      </c>
      <c r="E23" s="6">
        <v>150</v>
      </c>
      <c r="F23" s="6">
        <f>StepTest!G34</f>
        <v>5.97</v>
      </c>
    </row>
    <row r="24" spans="1:6">
      <c r="A24" s="124">
        <v>124</v>
      </c>
      <c r="B24" s="128">
        <f>B23+D24</f>
        <v>5.29</v>
      </c>
      <c r="D24" s="6">
        <v>0.13</v>
      </c>
      <c r="E24" s="6">
        <v>180</v>
      </c>
      <c r="F24" s="6">
        <f>StepTest!G35</f>
        <v>6.13</v>
      </c>
    </row>
    <row r="25" spans="1:6">
      <c r="A25" s="124">
        <v>125</v>
      </c>
      <c r="B25" s="128">
        <f>B24+D25</f>
        <v>5.42</v>
      </c>
      <c r="D25" s="6">
        <v>0.13</v>
      </c>
      <c r="E25" s="6">
        <v>240</v>
      </c>
      <c r="F25" s="6">
        <f>StepTest!G36</f>
        <v>6.29</v>
      </c>
    </row>
    <row r="26" spans="1:6">
      <c r="A26" s="124">
        <v>130</v>
      </c>
      <c r="B26" s="126">
        <f>F21</f>
        <v>5.65</v>
      </c>
      <c r="C26" s="126">
        <f>B28-B26</f>
        <v>0.15999999999999925</v>
      </c>
      <c r="D26" s="126">
        <f>C26/2</f>
        <v>7.9999999999999627E-2</v>
      </c>
      <c r="E26" s="6">
        <v>250</v>
      </c>
      <c r="F26" s="6">
        <f>StepTest!G37</f>
        <v>7.35</v>
      </c>
    </row>
    <row r="27" spans="1:6">
      <c r="A27" s="124">
        <v>135</v>
      </c>
      <c r="B27" s="128">
        <f>B26+D27</f>
        <v>5.7600000000000007</v>
      </c>
      <c r="D27" s="6">
        <v>0.11</v>
      </c>
      <c r="E27" s="6">
        <v>260</v>
      </c>
      <c r="F27" s="6">
        <f>StepTest!G38</f>
        <v>7.52</v>
      </c>
    </row>
    <row r="28" spans="1:6">
      <c r="A28" s="124">
        <v>140</v>
      </c>
      <c r="B28" s="126">
        <f>F22</f>
        <v>5.81</v>
      </c>
      <c r="C28" s="126">
        <f>B30-B28</f>
        <v>0.16000000000000014</v>
      </c>
      <c r="D28" s="126">
        <f>C28/2</f>
        <v>8.0000000000000071E-2</v>
      </c>
      <c r="E28" s="6">
        <v>270</v>
      </c>
      <c r="F28" s="6">
        <f>StepTest!G39</f>
        <v>7.7</v>
      </c>
    </row>
    <row r="29" spans="1:6">
      <c r="A29" s="124">
        <v>145</v>
      </c>
      <c r="B29" s="128">
        <f>B28+D29</f>
        <v>5.9099999999999993</v>
      </c>
      <c r="D29" s="6">
        <v>0.1</v>
      </c>
      <c r="E29" s="6">
        <v>300</v>
      </c>
      <c r="F29" s="6">
        <f>StepTest!G40</f>
        <v>7.88</v>
      </c>
    </row>
    <row r="30" spans="1:6">
      <c r="A30" s="124">
        <v>150</v>
      </c>
      <c r="B30" s="126">
        <f>F23</f>
        <v>5.97</v>
      </c>
      <c r="C30" s="126">
        <f>B36-B30</f>
        <v>0.16000000000000014</v>
      </c>
      <c r="D30" s="129">
        <f>C30/6</f>
        <v>2.6666666666666689E-2</v>
      </c>
      <c r="E30" s="6">
        <v>360</v>
      </c>
      <c r="F30" s="6">
        <f>StepTest!G41</f>
        <v>8.06</v>
      </c>
    </row>
    <row r="31" spans="1:6">
      <c r="A31" s="124">
        <v>155</v>
      </c>
      <c r="B31" s="128">
        <f>B30+D31</f>
        <v>6.0299999999999994</v>
      </c>
      <c r="D31" s="6">
        <v>0.06</v>
      </c>
    </row>
    <row r="32" spans="1:6">
      <c r="A32" s="124">
        <v>160</v>
      </c>
      <c r="B32" s="128">
        <f t="shared" ref="B32:B39" si="1">B31+D32</f>
        <v>6.0799999999999992</v>
      </c>
      <c r="D32" s="6">
        <v>0.05</v>
      </c>
    </row>
    <row r="33" spans="1:4">
      <c r="A33" s="124">
        <v>165</v>
      </c>
      <c r="B33" s="128">
        <f t="shared" si="1"/>
        <v>6.1199999999999992</v>
      </c>
      <c r="D33" s="6">
        <v>0.04</v>
      </c>
    </row>
    <row r="34" spans="1:4">
      <c r="A34" s="124">
        <v>170</v>
      </c>
      <c r="B34" s="128">
        <f t="shared" si="1"/>
        <v>6.1499999999999995</v>
      </c>
      <c r="D34" s="6">
        <v>0.03</v>
      </c>
    </row>
    <row r="35" spans="1:4">
      <c r="A35" s="124">
        <v>175</v>
      </c>
      <c r="B35" s="128">
        <f t="shared" si="1"/>
        <v>6.169999999999999</v>
      </c>
      <c r="D35" s="6">
        <v>0.02</v>
      </c>
    </row>
    <row r="36" spans="1:4">
      <c r="A36" s="124">
        <v>180</v>
      </c>
      <c r="B36" s="126">
        <f>F24</f>
        <v>6.13</v>
      </c>
      <c r="C36" s="126">
        <f>B40-B36</f>
        <v>0.16000000000000014</v>
      </c>
      <c r="D36" s="126">
        <f>C36/4</f>
        <v>4.0000000000000036E-2</v>
      </c>
    </row>
    <row r="37" spans="1:4">
      <c r="A37" s="124">
        <v>195</v>
      </c>
      <c r="B37" s="128">
        <f t="shared" si="1"/>
        <v>6.2</v>
      </c>
      <c r="D37" s="6">
        <v>7.0000000000000007E-2</v>
      </c>
    </row>
    <row r="38" spans="1:4">
      <c r="A38" s="124">
        <v>210</v>
      </c>
      <c r="B38" s="128">
        <f t="shared" si="1"/>
        <v>6.26</v>
      </c>
      <c r="D38" s="6">
        <v>0.06</v>
      </c>
    </row>
    <row r="39" spans="1:4">
      <c r="A39" s="124">
        <v>225</v>
      </c>
      <c r="B39" s="128">
        <f t="shared" si="1"/>
        <v>6.31</v>
      </c>
      <c r="D39" s="6">
        <v>0.05</v>
      </c>
    </row>
    <row r="40" spans="1:4">
      <c r="A40" s="125">
        <v>240</v>
      </c>
      <c r="B40" s="126">
        <f>F25</f>
        <v>6.29</v>
      </c>
      <c r="C40" s="126">
        <f>B46-B40</f>
        <v>1.0599999999999996</v>
      </c>
      <c r="D40" s="127">
        <f>C40/10</f>
        <v>0.10599999999999996</v>
      </c>
    </row>
    <row r="41" spans="1:4">
      <c r="A41" s="124">
        <v>241</v>
      </c>
      <c r="B41" s="128">
        <f>B40+D41</f>
        <v>6.47</v>
      </c>
      <c r="D41" s="6">
        <v>0.18</v>
      </c>
    </row>
    <row r="42" spans="1:4">
      <c r="A42" s="124">
        <v>242</v>
      </c>
      <c r="B42" s="128">
        <f>B41+D42</f>
        <v>6.63</v>
      </c>
      <c r="D42" s="6">
        <v>0.16</v>
      </c>
    </row>
    <row r="43" spans="1:4">
      <c r="A43" s="124">
        <v>243</v>
      </c>
      <c r="B43" s="128">
        <f>B42+D43</f>
        <v>6.78</v>
      </c>
      <c r="D43" s="6">
        <v>0.15</v>
      </c>
    </row>
    <row r="44" spans="1:4">
      <c r="A44" s="124">
        <v>244</v>
      </c>
      <c r="B44" s="128">
        <f>B43+D44</f>
        <v>6.92</v>
      </c>
      <c r="D44" s="6">
        <v>0.14000000000000001</v>
      </c>
    </row>
    <row r="45" spans="1:4">
      <c r="A45" s="124">
        <v>245</v>
      </c>
      <c r="B45" s="128">
        <f>B44+D45</f>
        <v>7.05</v>
      </c>
      <c r="D45" s="6">
        <v>0.13</v>
      </c>
    </row>
    <row r="46" spans="1:4">
      <c r="A46" s="124">
        <v>250</v>
      </c>
      <c r="B46" s="126">
        <f>F26</f>
        <v>7.35</v>
      </c>
      <c r="C46" s="126">
        <f>B48-B46</f>
        <v>0.16999999999999993</v>
      </c>
      <c r="D46" s="126">
        <f>C46/2</f>
        <v>8.4999999999999964E-2</v>
      </c>
    </row>
    <row r="47" spans="1:4">
      <c r="A47" s="124">
        <v>255</v>
      </c>
      <c r="B47" s="128">
        <f>B46+D47</f>
        <v>7.46</v>
      </c>
      <c r="D47" s="6">
        <v>0.11</v>
      </c>
    </row>
    <row r="48" spans="1:4">
      <c r="A48" s="124">
        <v>260</v>
      </c>
      <c r="B48" s="126">
        <f>F27</f>
        <v>7.52</v>
      </c>
      <c r="C48" s="126">
        <f>B50-B48</f>
        <v>0.1800000000000006</v>
      </c>
      <c r="D48" s="126">
        <f>C48/2</f>
        <v>9.0000000000000302E-2</v>
      </c>
    </row>
    <row r="49" spans="1:6">
      <c r="A49" s="124">
        <v>265</v>
      </c>
      <c r="B49" s="128">
        <f>B48+D49</f>
        <v>7.63</v>
      </c>
      <c r="D49" s="6">
        <v>0.11</v>
      </c>
    </row>
    <row r="50" spans="1:6">
      <c r="A50" s="124">
        <v>270</v>
      </c>
      <c r="B50" s="126">
        <f>F28</f>
        <v>7.7</v>
      </c>
      <c r="C50" s="126">
        <f>B56-B50</f>
        <v>0.17999999999999972</v>
      </c>
      <c r="D50" s="129">
        <f>C50/6</f>
        <v>2.9999999999999954E-2</v>
      </c>
    </row>
    <row r="51" spans="1:6">
      <c r="A51" s="124">
        <v>275</v>
      </c>
      <c r="B51" s="128">
        <f>B50+D51</f>
        <v>7.7700000000000005</v>
      </c>
      <c r="D51" s="6">
        <v>7.0000000000000007E-2</v>
      </c>
    </row>
    <row r="52" spans="1:6">
      <c r="A52" s="124">
        <v>280</v>
      </c>
      <c r="B52" s="128">
        <f>B51+D52</f>
        <v>7.82</v>
      </c>
      <c r="D52" s="6">
        <v>0.05</v>
      </c>
    </row>
    <row r="53" spans="1:6">
      <c r="A53" s="124">
        <v>285</v>
      </c>
      <c r="B53" s="128">
        <f>B52+D53</f>
        <v>7.86</v>
      </c>
      <c r="D53" s="6">
        <v>0.04</v>
      </c>
    </row>
    <row r="54" spans="1:6">
      <c r="A54" s="124">
        <v>290</v>
      </c>
      <c r="B54" s="128">
        <f>B53+D54</f>
        <v>7.8900000000000006</v>
      </c>
      <c r="D54" s="6">
        <v>0.03</v>
      </c>
    </row>
    <row r="55" spans="1:6">
      <c r="A55" s="124">
        <v>295</v>
      </c>
      <c r="B55" s="128">
        <f>B54+D55</f>
        <v>7.91</v>
      </c>
      <c r="D55" s="6">
        <v>0.02</v>
      </c>
    </row>
    <row r="56" spans="1:6">
      <c r="A56" s="124">
        <v>300</v>
      </c>
      <c r="B56" s="126">
        <f>F29</f>
        <v>7.88</v>
      </c>
      <c r="C56" s="126">
        <f>B60-B56</f>
        <v>0.1800000000000006</v>
      </c>
      <c r="D56" s="126">
        <f>C56/4</f>
        <v>4.5000000000000151E-2</v>
      </c>
    </row>
    <row r="57" spans="1:6">
      <c r="A57" s="124">
        <v>315</v>
      </c>
      <c r="B57" s="128">
        <f>B56+D57</f>
        <v>7.96</v>
      </c>
      <c r="D57" s="6">
        <v>0.08</v>
      </c>
    </row>
    <row r="58" spans="1:6">
      <c r="A58" s="124">
        <v>330</v>
      </c>
      <c r="B58" s="128">
        <f>B57+D58</f>
        <v>8.02</v>
      </c>
      <c r="D58" s="6">
        <v>0.06</v>
      </c>
    </row>
    <row r="59" spans="1:6">
      <c r="A59" s="124">
        <v>345</v>
      </c>
      <c r="B59" s="128">
        <f>B58+D59</f>
        <v>8.07</v>
      </c>
      <c r="D59" s="6">
        <v>0.05</v>
      </c>
    </row>
    <row r="60" spans="1:6">
      <c r="A60" s="125">
        <v>360</v>
      </c>
      <c r="B60" s="126">
        <f>F30</f>
        <v>8.06</v>
      </c>
      <c r="C60" s="126">
        <f>B66-B60</f>
        <v>1.1799999999999997</v>
      </c>
      <c r="D60" s="127">
        <f>C60/10</f>
        <v>0.11799999999999997</v>
      </c>
    </row>
    <row r="61" spans="1:6">
      <c r="A61" s="124">
        <v>361</v>
      </c>
      <c r="B61" s="128">
        <f>B60+D61</f>
        <v>8.25</v>
      </c>
      <c r="D61" s="6">
        <v>0.19</v>
      </c>
    </row>
    <row r="62" spans="1:6">
      <c r="A62" s="124">
        <v>362</v>
      </c>
      <c r="B62" s="128">
        <f>B61+D62</f>
        <v>8.42</v>
      </c>
      <c r="D62" s="6">
        <v>0.17</v>
      </c>
    </row>
    <row r="63" spans="1:6">
      <c r="A63" s="124">
        <v>363</v>
      </c>
      <c r="B63" s="128">
        <f>B62+D63</f>
        <v>8.58</v>
      </c>
      <c r="D63" s="6">
        <v>0.16</v>
      </c>
      <c r="E63" s="6">
        <v>370</v>
      </c>
      <c r="F63" s="6">
        <f>StepTest!G42</f>
        <v>9.24</v>
      </c>
    </row>
    <row r="64" spans="1:6">
      <c r="A64" s="124">
        <v>364</v>
      </c>
      <c r="B64" s="128">
        <f>B63+D64</f>
        <v>8.73</v>
      </c>
      <c r="D64" s="6">
        <v>0.15</v>
      </c>
      <c r="E64" s="6">
        <v>380</v>
      </c>
      <c r="F64" s="6">
        <f>StepTest!G43</f>
        <v>9.43</v>
      </c>
    </row>
    <row r="65" spans="1:6">
      <c r="A65" s="124">
        <v>365</v>
      </c>
      <c r="B65" s="128">
        <f>B64+D65</f>
        <v>8.870000000000001</v>
      </c>
      <c r="D65" s="6">
        <v>0.14000000000000001</v>
      </c>
      <c r="E65" s="6">
        <v>390</v>
      </c>
      <c r="F65" s="6">
        <f>StepTest!G44</f>
        <v>9.6300000000000008</v>
      </c>
    </row>
    <row r="66" spans="1:6">
      <c r="A66" s="124">
        <v>370</v>
      </c>
      <c r="B66" s="126">
        <f>F63</f>
        <v>9.24</v>
      </c>
      <c r="C66" s="130">
        <f>B68-B66</f>
        <v>0.1899999999999995</v>
      </c>
      <c r="D66" s="126">
        <f>C66/2</f>
        <v>9.4999999999999751E-2</v>
      </c>
      <c r="E66" s="6">
        <v>420</v>
      </c>
      <c r="F66" s="6">
        <f>StepTest!G45</f>
        <v>9.83</v>
      </c>
    </row>
    <row r="67" spans="1:6">
      <c r="A67" s="124">
        <v>375</v>
      </c>
      <c r="B67" s="128">
        <f>B66+D67</f>
        <v>9.36</v>
      </c>
      <c r="D67" s="6">
        <v>0.12</v>
      </c>
      <c r="E67" s="6">
        <v>480</v>
      </c>
      <c r="F67" s="6">
        <f>StepTest!G46</f>
        <v>10.029999999999999</v>
      </c>
    </row>
    <row r="68" spans="1:6">
      <c r="A68" s="124">
        <v>380</v>
      </c>
      <c r="B68" s="131">
        <f>F64</f>
        <v>9.43</v>
      </c>
      <c r="C68" s="126">
        <f>B70-B68</f>
        <v>0.20000000000000107</v>
      </c>
      <c r="D68" s="126">
        <f>C68/2</f>
        <v>0.10000000000000053</v>
      </c>
      <c r="E68" s="6">
        <v>490</v>
      </c>
      <c r="F68" s="6">
        <f>StepTest!G47</f>
        <v>11.23</v>
      </c>
    </row>
    <row r="69" spans="1:6">
      <c r="A69" s="124">
        <v>385</v>
      </c>
      <c r="B69" s="128">
        <f>B68+D69</f>
        <v>9.5499999999999989</v>
      </c>
      <c r="D69" s="6">
        <v>0.12</v>
      </c>
      <c r="E69" s="6">
        <v>500</v>
      </c>
      <c r="F69" s="6">
        <f>StepTest!G48</f>
        <v>11.68</v>
      </c>
    </row>
    <row r="70" spans="1:6">
      <c r="A70" s="124">
        <v>390</v>
      </c>
      <c r="B70" s="131">
        <f>F65</f>
        <v>9.6300000000000008</v>
      </c>
      <c r="C70" s="126">
        <f>B76-B70</f>
        <v>0.19999999999999929</v>
      </c>
      <c r="D70" s="129">
        <f>C70/6</f>
        <v>3.3333333333333215E-2</v>
      </c>
      <c r="E70" s="6">
        <v>510</v>
      </c>
      <c r="F70" s="6">
        <f>StepTest!G49</f>
        <v>12.13</v>
      </c>
    </row>
    <row r="71" spans="1:6">
      <c r="A71" s="124">
        <v>395</v>
      </c>
      <c r="B71" s="128">
        <f>B70+D71</f>
        <v>9.7000000000000011</v>
      </c>
      <c r="D71" s="6">
        <v>7.0000000000000007E-2</v>
      </c>
      <c r="E71" s="6">
        <v>540</v>
      </c>
      <c r="F71" s="6">
        <f>StepTest!G50</f>
        <v>12.58</v>
      </c>
    </row>
    <row r="72" spans="1:6">
      <c r="A72" s="124">
        <v>400</v>
      </c>
      <c r="B72" s="128">
        <f>B71+D72</f>
        <v>9.7500000000000018</v>
      </c>
      <c r="D72" s="6">
        <v>0.05</v>
      </c>
      <c r="E72" s="6">
        <v>600</v>
      </c>
      <c r="F72" s="6">
        <f>StepTest!G51</f>
        <v>13.03</v>
      </c>
    </row>
    <row r="73" spans="1:6">
      <c r="A73" s="124">
        <v>405</v>
      </c>
      <c r="B73" s="128">
        <f>B72+D73</f>
        <v>9.7900000000000009</v>
      </c>
      <c r="D73" s="6">
        <v>0.04</v>
      </c>
    </row>
    <row r="74" spans="1:6">
      <c r="A74" s="124">
        <v>410</v>
      </c>
      <c r="B74" s="128">
        <f>B73+D74</f>
        <v>9.82</v>
      </c>
      <c r="D74" s="6">
        <v>0.03</v>
      </c>
    </row>
    <row r="75" spans="1:6">
      <c r="A75" s="124">
        <v>415</v>
      </c>
      <c r="B75" s="128">
        <f>B74+D75</f>
        <v>9.85</v>
      </c>
      <c r="D75" s="6">
        <v>0.03</v>
      </c>
    </row>
    <row r="76" spans="1:6">
      <c r="A76" s="124">
        <v>420</v>
      </c>
      <c r="B76" s="131">
        <f>F66</f>
        <v>9.83</v>
      </c>
      <c r="C76" s="126">
        <f>B80-B76</f>
        <v>0.19999999999999929</v>
      </c>
      <c r="D76" s="126">
        <f>C76/4</f>
        <v>4.9999999999999822E-2</v>
      </c>
    </row>
    <row r="77" spans="1:6">
      <c r="A77" s="124">
        <v>435</v>
      </c>
      <c r="B77" s="128">
        <f>B76+D77</f>
        <v>9.92</v>
      </c>
      <c r="D77" s="6">
        <v>0.09</v>
      </c>
    </row>
    <row r="78" spans="1:6">
      <c r="A78" s="124">
        <v>450</v>
      </c>
      <c r="B78" s="128">
        <f>B77+D78</f>
        <v>9.99</v>
      </c>
      <c r="D78" s="6">
        <v>7.0000000000000007E-2</v>
      </c>
    </row>
    <row r="79" spans="1:6">
      <c r="A79" s="124">
        <v>465</v>
      </c>
      <c r="B79" s="128">
        <f>B78+D79</f>
        <v>10.040000000000001</v>
      </c>
      <c r="D79" s="6">
        <v>0.05</v>
      </c>
    </row>
    <row r="80" spans="1:6">
      <c r="A80" s="125">
        <v>480</v>
      </c>
      <c r="B80" s="131">
        <f>F67</f>
        <v>10.029999999999999</v>
      </c>
      <c r="C80" s="126">
        <f>B86-B80</f>
        <v>1.2000000000000011</v>
      </c>
      <c r="D80" s="127">
        <f>C80/10</f>
        <v>0.12000000000000011</v>
      </c>
    </row>
    <row r="81" spans="1:4">
      <c r="A81" s="124">
        <v>481</v>
      </c>
      <c r="B81" s="128">
        <f>B80+D81</f>
        <v>10.24</v>
      </c>
      <c r="D81" s="6">
        <v>0.21</v>
      </c>
    </row>
    <row r="82" spans="1:4">
      <c r="A82" s="124">
        <v>482</v>
      </c>
      <c r="B82" s="128">
        <f>B81+D82</f>
        <v>10.43</v>
      </c>
      <c r="D82" s="6">
        <v>0.19</v>
      </c>
    </row>
    <row r="83" spans="1:4">
      <c r="A83" s="124">
        <v>483</v>
      </c>
      <c r="B83" s="128">
        <f>B82+D83</f>
        <v>10.6</v>
      </c>
      <c r="D83" s="6">
        <v>0.17</v>
      </c>
    </row>
    <row r="84" spans="1:4">
      <c r="A84" s="124">
        <v>484</v>
      </c>
      <c r="B84" s="128">
        <f>B83+D84</f>
        <v>10.76</v>
      </c>
      <c r="D84" s="6">
        <v>0.16</v>
      </c>
    </row>
    <row r="85" spans="1:4">
      <c r="A85" s="124">
        <v>485</v>
      </c>
      <c r="B85" s="128">
        <f>B84+D85</f>
        <v>10.9</v>
      </c>
      <c r="D85" s="6">
        <v>0.14000000000000001</v>
      </c>
    </row>
    <row r="86" spans="1:4">
      <c r="A86" s="124">
        <v>490</v>
      </c>
      <c r="B86" s="131">
        <f>F68</f>
        <v>11.23</v>
      </c>
      <c r="C86" s="126">
        <f>B88-B86</f>
        <v>0.44999999999999929</v>
      </c>
      <c r="D86" s="126">
        <f>C86/2</f>
        <v>0.22499999999999964</v>
      </c>
    </row>
    <row r="87" spans="1:4">
      <c r="A87" s="124">
        <v>495</v>
      </c>
      <c r="B87" s="128">
        <f>B86+D87</f>
        <v>11.540000000000001</v>
      </c>
      <c r="D87" s="6">
        <v>0.31</v>
      </c>
    </row>
    <row r="88" spans="1:4">
      <c r="A88" s="124">
        <v>500</v>
      </c>
      <c r="B88" s="131">
        <f>F69</f>
        <v>11.68</v>
      </c>
      <c r="C88" s="126">
        <f>B90-B88</f>
        <v>0.45000000000000107</v>
      </c>
      <c r="D88" s="126">
        <f>C88/2</f>
        <v>0.22500000000000053</v>
      </c>
    </row>
    <row r="89" spans="1:4">
      <c r="A89" s="124">
        <v>505</v>
      </c>
      <c r="B89" s="128">
        <f>B88+D89</f>
        <v>11.98</v>
      </c>
      <c r="D89" s="6">
        <v>0.3</v>
      </c>
    </row>
    <row r="90" spans="1:4">
      <c r="A90" s="124">
        <v>510</v>
      </c>
      <c r="B90" s="131">
        <f>F70</f>
        <v>12.13</v>
      </c>
      <c r="C90" s="126">
        <f>B96-B90</f>
        <v>0.44999999999999929</v>
      </c>
      <c r="D90" s="129">
        <f>C90/6</f>
        <v>7.4999999999999886E-2</v>
      </c>
    </row>
    <row r="91" spans="1:4">
      <c r="A91" s="124">
        <v>515</v>
      </c>
      <c r="B91" s="128">
        <f>B90+D91</f>
        <v>12.280000000000001</v>
      </c>
      <c r="D91" s="6">
        <v>0.15</v>
      </c>
    </row>
    <row r="92" spans="1:4">
      <c r="A92" s="124">
        <v>520</v>
      </c>
      <c r="B92" s="128">
        <f>B91+D92</f>
        <v>12.410000000000002</v>
      </c>
      <c r="D92" s="6">
        <v>0.13</v>
      </c>
    </row>
    <row r="93" spans="1:4">
      <c r="A93" s="124">
        <v>525</v>
      </c>
      <c r="B93" s="128">
        <f>B92+D93</f>
        <v>12.520000000000001</v>
      </c>
      <c r="D93" s="6">
        <v>0.11</v>
      </c>
    </row>
    <row r="94" spans="1:4">
      <c r="A94" s="124">
        <v>530</v>
      </c>
      <c r="B94" s="128">
        <f>B93+D94</f>
        <v>12.600000000000001</v>
      </c>
      <c r="D94" s="6">
        <v>0.08</v>
      </c>
    </row>
    <row r="95" spans="1:4">
      <c r="A95" s="124">
        <v>535</v>
      </c>
      <c r="B95" s="128">
        <f>B94+D95</f>
        <v>12.670000000000002</v>
      </c>
      <c r="D95" s="6">
        <v>7.0000000000000007E-2</v>
      </c>
    </row>
    <row r="96" spans="1:4">
      <c r="A96" s="124">
        <v>540</v>
      </c>
      <c r="B96" s="131">
        <f>F71</f>
        <v>12.58</v>
      </c>
      <c r="C96" s="126">
        <f>B100-B96</f>
        <v>0.44999999999999929</v>
      </c>
      <c r="D96" s="126">
        <f>C96/4</f>
        <v>0.11249999999999982</v>
      </c>
    </row>
    <row r="97" spans="1:4">
      <c r="A97" s="124">
        <v>555</v>
      </c>
      <c r="B97" s="128">
        <f>B96+D97</f>
        <v>12.77</v>
      </c>
      <c r="D97" s="6">
        <v>0.19</v>
      </c>
    </row>
    <row r="98" spans="1:4">
      <c r="A98" s="124">
        <v>570</v>
      </c>
      <c r="B98" s="128">
        <f>B97+D98</f>
        <v>12.93</v>
      </c>
      <c r="D98" s="6">
        <v>0.16</v>
      </c>
    </row>
    <row r="99" spans="1:4">
      <c r="A99" s="124">
        <v>585</v>
      </c>
      <c r="B99" s="128">
        <f>B98+D99</f>
        <v>13.07</v>
      </c>
      <c r="D99" s="6">
        <v>0.14000000000000001</v>
      </c>
    </row>
    <row r="100" spans="1:4">
      <c r="A100" s="125">
        <v>600</v>
      </c>
      <c r="B100" s="66">
        <f>F72</f>
        <v>13.03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45" zoomScaleNormal="100" workbookViewId="0">
      <selection activeCell="Q63" sqref="Q63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hidden="1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68.116666666666674</v>
      </c>
      <c r="F1" s="3"/>
      <c r="G1" s="3">
        <f>E1/E2</f>
        <v>0.88847826086956527</v>
      </c>
    </row>
    <row r="2" spans="1:15" s="210" customFormat="1">
      <c r="A2" s="278" t="s">
        <v>0</v>
      </c>
      <c r="B2" s="278" t="s">
        <v>238</v>
      </c>
      <c r="C2" s="4"/>
      <c r="D2" s="214">
        <f>D19</f>
        <v>130</v>
      </c>
      <c r="E2" s="3">
        <f>M51/3</f>
        <v>76.666666666666671</v>
      </c>
      <c r="F2" s="279" t="s">
        <v>2</v>
      </c>
      <c r="G2" s="3" t="s">
        <v>3</v>
      </c>
    </row>
    <row r="3" spans="1:15" s="210" customFormat="1">
      <c r="A3" s="215">
        <f>B3+$M$48</f>
        <v>9.07</v>
      </c>
      <c r="B3" s="299">
        <f>B20</f>
        <v>4.71</v>
      </c>
      <c r="C3" s="216"/>
      <c r="D3" s="300">
        <f t="shared" ref="D3:D7" si="0">D20</f>
        <v>145</v>
      </c>
      <c r="E3" s="4">
        <f>D3/12</f>
        <v>12.083333333333334</v>
      </c>
      <c r="F3" s="217">
        <f>B3/D3</f>
        <v>3.2482758620689653E-2</v>
      </c>
      <c r="G3" s="217">
        <f>1/F3</f>
        <v>30.785562632696394</v>
      </c>
    </row>
    <row r="4" spans="1:15" s="210" customFormat="1">
      <c r="A4" s="215">
        <f>B4+$M$48</f>
        <v>10.65</v>
      </c>
      <c r="B4" s="216">
        <f>B21</f>
        <v>6.29</v>
      </c>
      <c r="C4" s="216"/>
      <c r="D4" s="214">
        <f t="shared" si="0"/>
        <v>184</v>
      </c>
      <c r="E4" s="4">
        <f>D4/12</f>
        <v>15.333333333333334</v>
      </c>
      <c r="F4" s="217">
        <f t="shared" ref="F4:F7" si="1">B4/D4</f>
        <v>3.4184782608695653E-2</v>
      </c>
      <c r="G4" s="217">
        <f t="shared" ref="G4:G7" si="2">1/F4</f>
        <v>29.252782193958662</v>
      </c>
    </row>
    <row r="5" spans="1:15" s="210" customFormat="1">
      <c r="A5" s="215">
        <f>B5+$M$48</f>
        <v>12.420000000000002</v>
      </c>
      <c r="B5" s="216">
        <f>B22</f>
        <v>8.06</v>
      </c>
      <c r="C5" s="216"/>
      <c r="D5" s="214">
        <f t="shared" si="0"/>
        <v>224.4</v>
      </c>
      <c r="E5" s="4">
        <f>D5/12</f>
        <v>18.7</v>
      </c>
      <c r="F5" s="217">
        <f t="shared" si="1"/>
        <v>3.591800356506239E-2</v>
      </c>
      <c r="G5" s="217">
        <f t="shared" si="2"/>
        <v>27.841191066997517</v>
      </c>
    </row>
    <row r="6" spans="1:15" s="210" customFormat="1">
      <c r="A6" s="215">
        <f>B6+$M$48</f>
        <v>14.39</v>
      </c>
      <c r="B6" s="299">
        <f>B23</f>
        <v>10.029999999999999</v>
      </c>
      <c r="C6" s="216"/>
      <c r="D6" s="214">
        <f>D23</f>
        <v>264</v>
      </c>
      <c r="E6" s="4">
        <f>D6/12</f>
        <v>22</v>
      </c>
      <c r="F6" s="217">
        <f t="shared" si="1"/>
        <v>3.7992424242424237E-2</v>
      </c>
      <c r="G6" s="217">
        <f t="shared" si="2"/>
        <v>26.321036889332007</v>
      </c>
    </row>
    <row r="7" spans="1:15" s="210" customFormat="1">
      <c r="A7" s="215">
        <f>B7+$M$48</f>
        <v>17.39</v>
      </c>
      <c r="B7" s="216">
        <f>B24</f>
        <v>13.03</v>
      </c>
      <c r="C7" s="216"/>
      <c r="D7" s="214">
        <f t="shared" si="0"/>
        <v>303.59999999999997</v>
      </c>
      <c r="E7" s="4">
        <f>D7/12</f>
        <v>25.299999999999997</v>
      </c>
      <c r="F7" s="217">
        <f t="shared" si="1"/>
        <v>4.2918313570487483E-2</v>
      </c>
      <c r="G7" s="217">
        <f t="shared" si="2"/>
        <v>23.300076745970838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30.78556263269639</v>
      </c>
      <c r="B10" s="219">
        <f>B20/D20</f>
        <v>3.2482758620689653E-2</v>
      </c>
      <c r="C10" s="4"/>
      <c r="D10" s="4"/>
      <c r="E10" s="277">
        <v>0.98</v>
      </c>
      <c r="F10" s="433" t="s">
        <v>8</v>
      </c>
      <c r="G10" s="433"/>
    </row>
    <row r="11" spans="1:15" s="210" customFormat="1">
      <c r="A11" s="219">
        <f t="shared" ref="A11:A14" si="3">D21/B21</f>
        <v>29.252782193958666</v>
      </c>
      <c r="B11" s="219">
        <f t="shared" ref="B11:B14" si="4">B21/D21</f>
        <v>3.4184782608695653E-2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3"/>
        <v>27.841191066997517</v>
      </c>
      <c r="B12" s="219">
        <f t="shared" si="4"/>
        <v>3.591800356506239E-2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3"/>
        <v>26.321036889332007</v>
      </c>
      <c r="B13" s="219">
        <f t="shared" si="4"/>
        <v>3.7992424242424237E-2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3"/>
        <v>23.300076745970834</v>
      </c>
      <c r="B14" s="219">
        <f t="shared" si="4"/>
        <v>4.2918313570487483E-2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10.029999999999999</v>
      </c>
      <c r="C17" s="4"/>
      <c r="D17" s="284">
        <f>M47</f>
        <v>264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130</v>
      </c>
      <c r="E19" s="4"/>
      <c r="F19" s="216"/>
      <c r="G19" s="216"/>
    </row>
    <row r="20" spans="1:21" s="210" customFormat="1">
      <c r="A20" s="278" t="s">
        <v>244</v>
      </c>
      <c r="B20" s="223">
        <f>INT(B$17*C20*100)/100</f>
        <v>4.71</v>
      </c>
      <c r="C20" s="4">
        <f>0.48*E9</f>
        <v>0.47039999999999998</v>
      </c>
      <c r="D20" s="241">
        <f>INT(D$17*E20)</f>
        <v>145</v>
      </c>
      <c r="E20" s="285">
        <f>0.55*E14</f>
        <v>0.55000000000000004</v>
      </c>
      <c r="F20" s="217">
        <f>B20/D20</f>
        <v>3.2482758620689653E-2</v>
      </c>
      <c r="G20" s="4">
        <f>F20-F19</f>
        <v>3.2482758620689653E-2</v>
      </c>
    </row>
    <row r="21" spans="1:21" s="210" customFormat="1" ht="16.5">
      <c r="A21" s="216">
        <f>B21-B20</f>
        <v>1.58</v>
      </c>
      <c r="B21" s="223">
        <f>INT(B$17*C21*100)/100</f>
        <v>6.29</v>
      </c>
      <c r="C21" s="4">
        <f>0.64*E10</f>
        <v>0.62719999999999998</v>
      </c>
      <c r="D21" s="241">
        <f>INT(D$17*E21)</f>
        <v>184</v>
      </c>
      <c r="E21" s="285">
        <f>0.7*E15</f>
        <v>0.7</v>
      </c>
      <c r="F21" s="217">
        <f>B21/D21</f>
        <v>3.4184782608695653E-2</v>
      </c>
      <c r="G21" s="4">
        <f>F21-F20</f>
        <v>1.7020239880060004E-3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1.7700000000000005</v>
      </c>
      <c r="B22" s="223">
        <f>INT(B$17*C22*100)/100</f>
        <v>8.06</v>
      </c>
      <c r="C22" s="4">
        <f>0.82*E11</f>
        <v>0.80359999999999998</v>
      </c>
      <c r="D22" s="242">
        <f>(D$17*E22)</f>
        <v>224.4</v>
      </c>
      <c r="E22" s="285">
        <f>0.85*E16</f>
        <v>0.85</v>
      </c>
      <c r="F22" s="217">
        <f>B22/D22</f>
        <v>3.591800356506239E-2</v>
      </c>
      <c r="G22" s="4">
        <f>F22-F21</f>
        <v>1.7332209563667364E-3</v>
      </c>
    </row>
    <row r="23" spans="1:21" s="210" customFormat="1">
      <c r="A23" s="216">
        <f>B23-B22</f>
        <v>1.9699999999999989</v>
      </c>
      <c r="B23" s="223">
        <f>INT(B$17*C23*100)/100</f>
        <v>10.029999999999999</v>
      </c>
      <c r="C23" s="4">
        <v>1</v>
      </c>
      <c r="D23" s="241">
        <f>D$17*E23</f>
        <v>264</v>
      </c>
      <c r="E23" s="283">
        <v>1</v>
      </c>
      <c r="F23" s="217">
        <f>B23/D23</f>
        <v>3.7992424242424237E-2</v>
      </c>
      <c r="G23" s="4">
        <f>F23-F22</f>
        <v>2.0744206773618476E-3</v>
      </c>
      <c r="O23" s="225"/>
      <c r="Q23" s="225"/>
      <c r="S23" s="225"/>
      <c r="U23" s="225"/>
    </row>
    <row r="24" spans="1:21" s="210" customFormat="1">
      <c r="A24" s="216">
        <f>B24-B23</f>
        <v>3</v>
      </c>
      <c r="B24" s="223">
        <f>INT(B$17*C24*100)/100</f>
        <v>13.03</v>
      </c>
      <c r="C24" s="4">
        <f>1.3*E12</f>
        <v>1.3</v>
      </c>
      <c r="D24" s="241">
        <f>D$17*E24</f>
        <v>303.59999999999997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4.2918313570487483E-2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230</v>
      </c>
      <c r="D26" s="4"/>
      <c r="E26" s="4"/>
      <c r="F26" s="228">
        <f>M50/M51</f>
        <v>4.8999999999999995E-2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240.00558767518783</v>
      </c>
      <c r="D27" s="216">
        <f>(C27/D6)*100</f>
        <v>90.911207452722664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4.6E-5</v>
      </c>
      <c r="B31" s="277">
        <v>2.5753600000000001E-2</v>
      </c>
      <c r="C31" s="4"/>
      <c r="D31" s="214">
        <f t="shared" ref="D31:D36" si="5">D19</f>
        <v>130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4.6E-5</v>
      </c>
      <c r="B32" s="4">
        <f t="shared" si="6"/>
        <v>2.5753600000000001E-2</v>
      </c>
      <c r="C32" s="4"/>
      <c r="D32" s="214">
        <f t="shared" si="5"/>
        <v>145</v>
      </c>
      <c r="E32" s="4"/>
      <c r="F32" s="230">
        <f>B32*D32/(B32*D32+A32*D32*D32)*100</f>
        <v>79.428564379032565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4.6E-5</v>
      </c>
      <c r="B33" s="4">
        <f t="shared" si="6"/>
        <v>2.5753600000000001E-2</v>
      </c>
      <c r="C33" s="4"/>
      <c r="D33" s="214">
        <f t="shared" si="5"/>
        <v>184</v>
      </c>
      <c r="E33" s="4"/>
      <c r="F33" s="230">
        <f>B33*D33/(B33*D33+A33*D33*D33)*100</f>
        <v>75.264191527167313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4.6E-5</v>
      </c>
      <c r="B34" s="4">
        <f t="shared" si="6"/>
        <v>2.5753600000000001E-2</v>
      </c>
      <c r="C34" s="4"/>
      <c r="D34" s="214">
        <f t="shared" si="5"/>
        <v>224.4</v>
      </c>
      <c r="E34" s="4"/>
      <c r="F34" s="230">
        <f>B34*D34/(B34*D34+A34*D34*D34)*100</f>
        <v>71.387071737443179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4.6E-5</v>
      </c>
      <c r="B35" s="4">
        <f>B34</f>
        <v>2.5753600000000001E-2</v>
      </c>
      <c r="C35" s="4"/>
      <c r="D35" s="214">
        <f t="shared" si="5"/>
        <v>264</v>
      </c>
      <c r="E35" s="4"/>
      <c r="F35" s="230">
        <f>B35*D35/(B35*D35+A35*D35*D35)*100</f>
        <v>67.955754454107918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303.59999999999997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73.508895524437747</v>
      </c>
      <c r="G37" s="4"/>
      <c r="P37" s="263">
        <v>4.6E-5</v>
      </c>
      <c r="Q37" s="263">
        <v>9.6000000000000002E-2</v>
      </c>
    </row>
    <row r="38" spans="1:21" s="210" customFormat="1" ht="13.5" customHeight="1">
      <c r="A38" s="286">
        <v>71.117999999999995</v>
      </c>
      <c r="B38" s="277">
        <v>9.6000000000000002E-2</v>
      </c>
      <c r="C38" s="277">
        <v>93.197999999999993</v>
      </c>
      <c r="D38" s="4"/>
      <c r="E38" s="4" t="s">
        <v>21</v>
      </c>
      <c r="F38" s="4"/>
      <c r="G38" s="4"/>
      <c r="P38" s="263">
        <v>2.5753600000000001E-2</v>
      </c>
      <c r="Q38" s="263">
        <v>93.197999999999993</v>
      </c>
    </row>
    <row r="39" spans="1:21" s="210" customFormat="1" ht="13.5" customHeight="1">
      <c r="A39" s="211"/>
      <c r="B39" s="4" t="s">
        <v>22</v>
      </c>
      <c r="C39" s="216">
        <f>(C38-A38)/B38</f>
        <v>229.99999999999997</v>
      </c>
      <c r="D39" s="4">
        <f>C38-B38*M51</f>
        <v>71.117999999999995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230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0.182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293</v>
      </c>
      <c r="J44" s="438"/>
      <c r="K44" s="439"/>
      <c r="L44" s="267" t="s">
        <v>30</v>
      </c>
      <c r="M44" s="271">
        <v>200</v>
      </c>
      <c r="N44" s="267" t="s">
        <v>31</v>
      </c>
      <c r="Q44" s="413">
        <v>145</v>
      </c>
      <c r="R44" s="243">
        <v>9.07</v>
      </c>
      <c r="S44" s="243">
        <v>4.71</v>
      </c>
      <c r="T44" s="244">
        <v>30.786000000000001</v>
      </c>
      <c r="U44" s="294">
        <v>3.2482758620689653E-2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294</v>
      </c>
      <c r="J45" s="447"/>
      <c r="K45" s="448"/>
      <c r="L45" s="267" t="s">
        <v>34</v>
      </c>
      <c r="M45" s="272">
        <v>300</v>
      </c>
      <c r="N45" s="272">
        <f>M44</f>
        <v>200</v>
      </c>
      <c r="Q45" s="413">
        <v>184</v>
      </c>
      <c r="R45" s="243">
        <v>10.65</v>
      </c>
      <c r="S45" s="243">
        <v>6.29</v>
      </c>
      <c r="T45" s="244">
        <v>29.253</v>
      </c>
      <c r="U45" s="294">
        <v>3.4184782608695653E-2</v>
      </c>
    </row>
    <row r="46" spans="1:21" s="210" customFormat="1" ht="16.5">
      <c r="A46" s="4">
        <f>B34</f>
        <v>2.5753600000000001E-2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295</v>
      </c>
      <c r="J46" s="438"/>
      <c r="K46" s="439"/>
      <c r="L46" s="267" t="s">
        <v>38</v>
      </c>
      <c r="M46" s="235">
        <f>IF(I52&gt;M48, M45-I52,M45-M48)</f>
        <v>280</v>
      </c>
      <c r="N46" s="12"/>
      <c r="Q46" s="413">
        <v>224</v>
      </c>
      <c r="R46" s="243">
        <v>12.420000000000002</v>
      </c>
      <c r="S46" s="243">
        <v>8.06</v>
      </c>
      <c r="T46" s="244">
        <v>27.841000000000001</v>
      </c>
      <c r="U46" s="294">
        <v>3.591800356506239E-2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223</v>
      </c>
      <c r="J47" s="450"/>
      <c r="K47" s="451"/>
      <c r="L47" s="267" t="s">
        <v>42</v>
      </c>
      <c r="M47" s="236">
        <f>INT((M51*100)/M53)</f>
        <v>264</v>
      </c>
      <c r="N47" s="12"/>
      <c r="Q47" s="413">
        <v>264</v>
      </c>
      <c r="R47" s="243">
        <v>14.39</v>
      </c>
      <c r="S47" s="243">
        <v>10.029999999999999</v>
      </c>
      <c r="T47" s="244">
        <v>26.321000000000002</v>
      </c>
      <c r="U47" s="294">
        <v>3.7992424242424237E-2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5</v>
      </c>
      <c r="J48" s="441" t="s">
        <v>296</v>
      </c>
      <c r="K48" s="441"/>
      <c r="L48" s="267" t="s">
        <v>44</v>
      </c>
      <c r="M48" s="273">
        <v>4.3600000000000003</v>
      </c>
      <c r="N48" s="12"/>
      <c r="Q48" s="414">
        <v>304</v>
      </c>
      <c r="R48" s="295">
        <v>17.39</v>
      </c>
      <c r="S48" s="295">
        <v>13.03</v>
      </c>
      <c r="T48" s="296">
        <v>23.3</v>
      </c>
      <c r="U48" s="297">
        <v>4.2918313570487483E-2</v>
      </c>
    </row>
    <row r="49" spans="1:24" s="210" customFormat="1" ht="16.5">
      <c r="A49" s="4" t="s">
        <v>45</v>
      </c>
      <c r="B49" s="410">
        <f>INT(SQRT(B54)*1000)/1000</f>
        <v>0.18099999999999999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>이랜드 R&amp;D센터</v>
      </c>
      <c r="J49" s="442"/>
      <c r="K49" s="442"/>
      <c r="L49" s="267" t="s">
        <v>48</v>
      </c>
      <c r="M49" s="273">
        <v>15.63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11.27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/>
      <c r="J51" s="444"/>
      <c r="K51" s="445"/>
      <c r="L51" s="212" t="s">
        <v>52</v>
      </c>
      <c r="M51" s="238">
        <v>230</v>
      </c>
      <c r="N51" s="12"/>
      <c r="O51" s="210">
        <f>M51</f>
        <v>230</v>
      </c>
      <c r="P51" s="208">
        <f>ROUND((O51/O52)*100,1)</f>
        <v>264.39999999999998</v>
      </c>
    </row>
    <row r="52" spans="1:24" s="210" customFormat="1" ht="16.5">
      <c r="A52" s="211" t="s">
        <v>53</v>
      </c>
      <c r="B52" s="408">
        <f>INT(10^((INT(5.46*A44*A46*1000))/1000)*1000)/1000</f>
        <v>450816.70400000003</v>
      </c>
      <c r="C52" s="408">
        <f>INT(B52*B51*1000)/1000</f>
        <v>225.40799999999999</v>
      </c>
      <c r="D52" s="409"/>
      <c r="E52" s="4"/>
      <c r="F52" s="4"/>
      <c r="G52" s="4"/>
      <c r="H52" s="268" t="s">
        <v>54</v>
      </c>
      <c r="I52" s="290">
        <v>20</v>
      </c>
      <c r="J52" s="265" t="s">
        <v>55</v>
      </c>
      <c r="K52" s="213">
        <v>0</v>
      </c>
      <c r="L52" s="264" t="s">
        <v>56</v>
      </c>
      <c r="M52" s="235">
        <f>INT(M50*0.89*100)/100</f>
        <v>10.029999999999999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243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3.3000000000000002E-2</v>
      </c>
      <c r="H54" s="269" t="s">
        <v>58</v>
      </c>
      <c r="I54" s="270" t="s">
        <v>297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52" t="s">
        <v>62</v>
      </c>
      <c r="E57" s="468"/>
      <c r="F57" s="452" t="s">
        <v>61</v>
      </c>
      <c r="G57" s="468"/>
      <c r="H57" s="393" t="s">
        <v>63</v>
      </c>
      <c r="I57" s="394">
        <f>M50</f>
        <v>11.27</v>
      </c>
      <c r="J57" s="393" t="s">
        <v>64</v>
      </c>
      <c r="K57" s="393" t="s">
        <v>65</v>
      </c>
      <c r="L57" s="452" t="s">
        <v>66</v>
      </c>
      <c r="M57" s="453"/>
    </row>
    <row r="58" spans="1:24" s="210" customFormat="1" ht="18" customHeight="1">
      <c r="A58" s="274" t="s">
        <v>67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68</v>
      </c>
      <c r="I58" s="396">
        <f>C62/M46</f>
        <v>0.16221428571428573</v>
      </c>
      <c r="J58" s="265" t="s">
        <v>69</v>
      </c>
      <c r="K58" s="397">
        <f>INT((6*I57*I58*I60/I59)^0.5)</f>
        <v>6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7</v>
      </c>
      <c r="L59" s="397"/>
      <c r="M59" s="399"/>
    </row>
    <row r="60" spans="1:24" s="210" customFormat="1" ht="18" customHeight="1">
      <c r="A60" s="274" t="s">
        <v>74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77</v>
      </c>
      <c r="K61" s="397">
        <f>((K58+K59+K60)/3)</f>
        <v>10.446970837196092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298</v>
      </c>
      <c r="R64" s="288" t="s">
        <v>299</v>
      </c>
      <c r="S64" s="288" t="s">
        <v>300</v>
      </c>
      <c r="T64" s="288" t="s">
        <v>301</v>
      </c>
      <c r="U64" s="288" t="s">
        <v>302</v>
      </c>
      <c r="V64" s="288" t="s">
        <v>219</v>
      </c>
      <c r="W64" s="288" t="s">
        <v>220</v>
      </c>
      <c r="X64" s="289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이랜드 R&amp;D센터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- 2</v>
      </c>
      <c r="C2" s="18" t="str">
        <f>Input!I46</f>
        <v>서울특별시 강서구 마곡동 780번지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5.0854691908599845</v>
      </c>
      <c r="C4" s="320">
        <f>LongTest!B10</f>
        <v>230</v>
      </c>
      <c r="D4" s="321">
        <v>1.855</v>
      </c>
      <c r="E4" s="322">
        <f>Input!M44/2000</f>
        <v>0.1</v>
      </c>
      <c r="F4" s="20">
        <v>5.0000000000000001E-4</v>
      </c>
      <c r="G4" s="20">
        <f>PI()</f>
        <v>3.1415926535897931</v>
      </c>
      <c r="H4" s="132">
        <f>Input!$A$46</f>
        <v>2.5753600000000001E-2</v>
      </c>
      <c r="I4" s="315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13.6944</v>
      </c>
      <c r="E5" s="318" t="s">
        <v>237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1.9025061483393233</v>
      </c>
      <c r="D6" s="246"/>
      <c r="E6" s="245">
        <f>1.15*LOG((2.25*D5*(1/1440))/(F4*E4^2))</f>
        <v>4.1761019853196704</v>
      </c>
      <c r="F6" s="247" t="s">
        <v>121</v>
      </c>
      <c r="G6" s="428">
        <f>C6-E6</f>
        <v>-2.2735958369803471</v>
      </c>
      <c r="H6" s="36"/>
      <c r="I6" s="315">
        <f>Input!M49</f>
        <v>15.63</v>
      </c>
      <c r="J6" s="308">
        <f>MAX(C13,C18,C23)</f>
        <v>167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9.1161233130966732E-4</v>
      </c>
      <c r="G7" s="248" t="s">
        <v>124</v>
      </c>
      <c r="H7" s="36">
        <f>F4*EXP(4*G4*D4*H4)</f>
        <v>9.1136221247470881E-4</v>
      </c>
      <c r="I7" s="323" t="s">
        <v>125</v>
      </c>
      <c r="J7" s="309">
        <f>ROUND((C13+C18+C23)/3,1)</f>
        <v>96.2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0.97099999999999997</v>
      </c>
      <c r="D8" s="252"/>
      <c r="E8" s="252"/>
      <c r="F8" s="253"/>
      <c r="G8" s="252"/>
      <c r="H8" s="254"/>
      <c r="I8" s="324">
        <f>Input!M45</f>
        <v>300</v>
      </c>
      <c r="J8" s="304" t="s">
        <v>240</v>
      </c>
      <c r="K8" s="310">
        <f>ROUND(SQRT(C7/F7),4)</f>
        <v>19.532900000000001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241</v>
      </c>
      <c r="K9" s="311">
        <f>ROUND(SQRT(C7/H7),4)</f>
        <v>19.535599999999999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5.9832476514898936</v>
      </c>
      <c r="D10" s="25" t="s">
        <v>236</v>
      </c>
      <c r="E10" s="301">
        <v>0.32969999999999999</v>
      </c>
      <c r="H10" s="255" t="s">
        <v>214</v>
      </c>
      <c r="I10" s="261">
        <f>Input!I52</f>
        <v>20</v>
      </c>
      <c r="J10" s="305" t="s">
        <v>242</v>
      </c>
      <c r="K10" s="312">
        <f>ROUND(E4*SQRT(E10/F4),4)</f>
        <v>2.5678999999999998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9.6467523485101072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54.7</v>
      </c>
      <c r="D13" s="26"/>
      <c r="E13" s="430" t="s">
        <v>251</v>
      </c>
      <c r="F13" s="331">
        <f>D5</f>
        <v>13.6944</v>
      </c>
      <c r="G13" s="430" t="s">
        <v>250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11.27</v>
      </c>
      <c r="C16" s="256">
        <f>I8-IF(I4&gt;I10,I4,I10)</f>
        <v>280</v>
      </c>
      <c r="D16" s="258">
        <f>(F13+H13)/2</f>
        <v>13.962199999999999</v>
      </c>
      <c r="E16" s="31">
        <f>INT(D16/C16*100000)/100000</f>
        <v>4.9860000000000002E-2</v>
      </c>
      <c r="F16" s="32">
        <v>1440</v>
      </c>
      <c r="G16" s="260">
        <v>780</v>
      </c>
      <c r="H16" s="258">
        <f>INT(G16/F16*10000)/10000</f>
        <v>0.54159999999999997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67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239</v>
      </c>
      <c r="O20" s="15"/>
    </row>
    <row r="21" spans="1:15" ht="22.7" customHeight="1" thickBot="1">
      <c r="A21" s="15"/>
      <c r="B21" s="37">
        <f t="shared" ref="B21:I21" si="0">B16</f>
        <v>11.27</v>
      </c>
      <c r="C21" s="257">
        <f t="shared" si="0"/>
        <v>280</v>
      </c>
      <c r="D21" s="32">
        <f t="shared" si="0"/>
        <v>13.962199999999999</v>
      </c>
      <c r="E21" s="258">
        <f t="shared" si="0"/>
        <v>4.9860000000000002E-2</v>
      </c>
      <c r="F21" s="32">
        <f t="shared" si="0"/>
        <v>1440</v>
      </c>
      <c r="G21" s="32">
        <f>G16</f>
        <v>780</v>
      </c>
      <c r="H21" s="32">
        <f t="shared" si="0"/>
        <v>0.54159999999999997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167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11.27</v>
      </c>
      <c r="C26" s="32">
        <f t="shared" si="1"/>
        <v>280</v>
      </c>
      <c r="D26" s="32">
        <f t="shared" si="1"/>
        <v>13.962199999999999</v>
      </c>
      <c r="E26" s="31">
        <f t="shared" si="1"/>
        <v>4.9860000000000002E-2</v>
      </c>
      <c r="F26" s="32">
        <f t="shared" si="1"/>
        <v>1440</v>
      </c>
      <c r="G26" s="32">
        <f t="shared" si="1"/>
        <v>780</v>
      </c>
      <c r="H26" s="258">
        <f>INT(G16/F16*10000)/10000</f>
        <v>0.54159999999999997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13.962199999999999</v>
      </c>
      <c r="D28" s="426">
        <f>(C28/C16)*(100/86400)</f>
        <v>5.7714120370370365E-5</v>
      </c>
      <c r="E28" s="205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5.7714120370370372E-5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96.233333333333334</v>
      </c>
      <c r="D30" s="15"/>
      <c r="E30" s="420">
        <f>(C13+C18)/2</f>
        <v>60.85</v>
      </c>
      <c r="F30" s="421">
        <f>MAX(C13,C18)</f>
        <v>67</v>
      </c>
      <c r="G30" s="422">
        <f>ROUND(C4/(G4*F30^2*I16),3)</f>
        <v>26.741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145</v>
      </c>
    </row>
    <row r="3" spans="1:2" ht="20.100000000000001" customHeight="1">
      <c r="A3" s="43" t="s">
        <v>146</v>
      </c>
      <c r="B3" s="199">
        <f>StepTest!G31</f>
        <v>4.71</v>
      </c>
    </row>
    <row r="4" spans="1:2" ht="20.100000000000001" customHeight="1">
      <c r="A4" s="43" t="s">
        <v>147</v>
      </c>
      <c r="B4" s="200">
        <f>StepTest!G46</f>
        <v>10.029999999999999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240.00558767518783</v>
      </c>
    </row>
    <row r="8" spans="1:2" ht="20.100000000000001" customHeight="1">
      <c r="A8" s="43" t="s">
        <v>150</v>
      </c>
      <c r="B8" s="200">
        <f>INT(B7)</f>
        <v>240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0.90909090909090906</v>
      </c>
    </row>
    <row r="12" spans="1:2" ht="17.25" thickBot="1"/>
    <row r="13" spans="1:2" ht="24.95" customHeight="1">
      <c r="A13" s="45" t="s">
        <v>151</v>
      </c>
      <c r="B13" s="202">
        <f>Input!$D$6</f>
        <v>264</v>
      </c>
    </row>
    <row r="14" spans="1:2" ht="24.95" customHeight="1">
      <c r="A14" s="46" t="s">
        <v>52</v>
      </c>
      <c r="B14" s="203">
        <f>B8</f>
        <v>240</v>
      </c>
    </row>
    <row r="15" spans="1:2" ht="24.95" customHeight="1" thickBot="1">
      <c r="A15" s="47" t="s">
        <v>152</v>
      </c>
      <c r="B15" s="204">
        <f>Input!$M$51</f>
        <v>230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이랜드 R&amp;D센터 지열시스템공사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145</v>
      </c>
      <c r="S4" s="52">
        <f>$R$4</f>
        <v>145</v>
      </c>
      <c r="T4" s="344">
        <v>14.883990810414202</v>
      </c>
      <c r="U4" s="343">
        <f>Input!M44/2/1000</f>
        <v>0.1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6.5395057106654191</v>
      </c>
      <c r="Z4" s="59">
        <f>Z22</f>
        <v>5.536815946385711</v>
      </c>
      <c r="AA4" s="58">
        <f>$Z$4</f>
        <v>5.536815946385711</v>
      </c>
      <c r="AB4" s="58">
        <f>X4</f>
        <v>1</v>
      </c>
      <c r="AC4" s="58">
        <f>Y4-AA4</f>
        <v>1.0026897642797081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이랜드 R&amp;D센터</v>
      </c>
      <c r="D5" s="347"/>
      <c r="E5" s="347"/>
      <c r="F5" s="351"/>
      <c r="G5" s="347"/>
      <c r="H5" s="352" t="str">
        <f>Input!J48</f>
        <v>공  번 : W - 2</v>
      </c>
      <c r="I5" s="353"/>
      <c r="P5" s="52">
        <v>2</v>
      </c>
      <c r="Q5" s="416"/>
      <c r="S5" s="52">
        <f t="shared" ref="S5:S23" si="3">$R$4</f>
        <v>145</v>
      </c>
      <c r="T5" s="52">
        <f>$T4</f>
        <v>14.883990810414202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7.0762610254343317</v>
      </c>
      <c r="AA5" s="58">
        <f t="shared" ref="AA5:AA23" si="5">$Z$4</f>
        <v>5.536815946385711</v>
      </c>
      <c r="AB5" s="58">
        <f t="shared" ref="AB5:AB43" si="6">X5</f>
        <v>2</v>
      </c>
      <c r="AC5" s="58">
        <f t="shared" ref="AC5:AC43" si="7">Y5-AA5</f>
        <v>1.5394450790486207</v>
      </c>
      <c r="AD5" s="60">
        <f t="shared" ref="AD5:AD16" si="8">INT((AC5-AE5)*100)/100</f>
        <v>1.53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서울특별시 강서구 마곡동 780번지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145</v>
      </c>
      <c r="T6" s="52">
        <f t="shared" ref="T6:T51" si="10">$T5</f>
        <v>14.883990810414202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7.3902427566369253</v>
      </c>
      <c r="AA6" s="58">
        <f t="shared" si="5"/>
        <v>5.536815946385711</v>
      </c>
      <c r="AB6" s="58">
        <f t="shared" si="6"/>
        <v>3</v>
      </c>
      <c r="AC6" s="58">
        <f t="shared" si="7"/>
        <v>1.8534268102512144</v>
      </c>
      <c r="AD6" s="60">
        <f t="shared" si="8"/>
        <v>1.85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주식회사 한일지하수</v>
      </c>
      <c r="D7" s="356"/>
      <c r="E7" s="347"/>
      <c r="F7" s="357"/>
      <c r="G7" s="358" t="str">
        <f>Input!I49</f>
        <v>이랜드 R&amp;D센터</v>
      </c>
      <c r="H7" s="359"/>
      <c r="I7" s="360"/>
      <c r="P7" s="52">
        <v>4</v>
      </c>
      <c r="Q7" s="416"/>
      <c r="S7" s="52">
        <f t="shared" si="3"/>
        <v>145</v>
      </c>
      <c r="T7" s="52">
        <f t="shared" si="10"/>
        <v>14.883990810414202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7.6130163402032434</v>
      </c>
      <c r="AA7" s="58">
        <f t="shared" si="5"/>
        <v>5.536815946385711</v>
      </c>
      <c r="AB7" s="58">
        <f t="shared" si="6"/>
        <v>4</v>
      </c>
      <c r="AC7" s="58">
        <f t="shared" si="7"/>
        <v>2.0762003938175324</v>
      </c>
      <c r="AD7" s="60">
        <f t="shared" si="8"/>
        <v>2.0699999999999998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5</v>
      </c>
      <c r="D8" s="473"/>
      <c r="E8" s="474"/>
      <c r="F8" s="362" t="s">
        <v>165</v>
      </c>
      <c r="G8" s="358" t="str">
        <f>G7</f>
        <v>이랜드 R&amp;D센터</v>
      </c>
      <c r="H8" s="359"/>
      <c r="I8" s="363"/>
      <c r="K8" s="63"/>
      <c r="P8" s="52">
        <v>5</v>
      </c>
      <c r="Q8" s="416"/>
      <c r="S8" s="52">
        <f t="shared" si="3"/>
        <v>145</v>
      </c>
      <c r="T8" s="52">
        <f t="shared" si="10"/>
        <v>14.883990810414202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7.7858129561074669</v>
      </c>
      <c r="AA8" s="58">
        <f t="shared" si="5"/>
        <v>5.536815946385711</v>
      </c>
      <c r="AB8" s="58">
        <f t="shared" si="6"/>
        <v>5</v>
      </c>
      <c r="AC8" s="58">
        <f t="shared" si="7"/>
        <v>2.248997009721756</v>
      </c>
      <c r="AD8" s="60">
        <f t="shared" si="8"/>
        <v>2.2400000000000002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200</v>
      </c>
      <c r="E9" s="475"/>
      <c r="F9" s="345" t="s">
        <v>168</v>
      </c>
      <c r="G9" s="476">
        <f>Input!M45</f>
        <v>300</v>
      </c>
      <c r="H9" s="476"/>
      <c r="I9" s="345"/>
      <c r="P9" s="52">
        <v>10</v>
      </c>
      <c r="Q9" s="416"/>
      <c r="S9" s="52">
        <f t="shared" si="3"/>
        <v>145</v>
      </c>
      <c r="T9" s="52">
        <f t="shared" si="10"/>
        <v>14.883990810414202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8.3225682708763777</v>
      </c>
      <c r="AA9" s="58">
        <f t="shared" si="5"/>
        <v>5.536815946385711</v>
      </c>
      <c r="AB9" s="58">
        <f t="shared" si="6"/>
        <v>10</v>
      </c>
      <c r="AC9" s="58">
        <f t="shared" si="7"/>
        <v>2.7857523244906668</v>
      </c>
      <c r="AD9" s="60">
        <f t="shared" si="8"/>
        <v>2.78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4.3600000000000003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145</v>
      </c>
      <c r="T10" s="52">
        <f t="shared" si="10"/>
        <v>14.883990810414202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8.6365500020789732</v>
      </c>
      <c r="AA10" s="58">
        <f t="shared" si="5"/>
        <v>5.536815946385711</v>
      </c>
      <c r="AB10" s="58">
        <f t="shared" si="6"/>
        <v>15</v>
      </c>
      <c r="AC10" s="58">
        <f t="shared" si="7"/>
        <v>3.0997340556932622</v>
      </c>
      <c r="AD10" s="60">
        <f t="shared" si="8"/>
        <v>3.09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0.47</v>
      </c>
      <c r="P11" s="52">
        <v>20</v>
      </c>
      <c r="Q11" s="416"/>
      <c r="S11" s="52">
        <f t="shared" si="3"/>
        <v>145</v>
      </c>
      <c r="T11" s="52">
        <f t="shared" si="10"/>
        <v>14.883990810414202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8.8593235856452903</v>
      </c>
      <c r="AA11" s="58">
        <f t="shared" si="5"/>
        <v>5.536815946385711</v>
      </c>
      <c r="AB11" s="58">
        <f t="shared" si="6"/>
        <v>20</v>
      </c>
      <c r="AC11" s="58">
        <f t="shared" si="7"/>
        <v>3.3225076392595794</v>
      </c>
      <c r="AD11" s="60">
        <f t="shared" si="8"/>
        <v>3.32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145</v>
      </c>
      <c r="C12" s="369">
        <v>44992.479166666664</v>
      </c>
      <c r="D12" s="469">
        <v>1</v>
      </c>
      <c r="E12" s="469"/>
      <c r="F12" s="370">
        <f>G12+$D$10</f>
        <v>5.36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145</v>
      </c>
      <c r="T12" s="52">
        <f t="shared" si="10"/>
        <v>14.883990810414202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9.0321202015495139</v>
      </c>
      <c r="AA12" s="58">
        <f t="shared" si="5"/>
        <v>5.536815946385711</v>
      </c>
      <c r="AB12" s="58">
        <f t="shared" si="6"/>
        <v>25</v>
      </c>
      <c r="AC12" s="58">
        <f t="shared" si="7"/>
        <v>3.4953042551638029</v>
      </c>
      <c r="AD12" s="60">
        <f t="shared" si="8"/>
        <v>3.49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5.8900000000000006</v>
      </c>
      <c r="G13" s="470">
        <f t="shared" ref="G13:G51" si="14">AD5</f>
        <v>1.53</v>
      </c>
      <c r="H13" s="470"/>
      <c r="I13" s="371"/>
      <c r="J13" s="372">
        <f>G13-G12</f>
        <v>0.53</v>
      </c>
      <c r="P13" s="52">
        <v>30</v>
      </c>
      <c r="Q13" s="416"/>
      <c r="S13" s="52">
        <f t="shared" si="3"/>
        <v>145</v>
      </c>
      <c r="T13" s="52">
        <f t="shared" si="10"/>
        <v>14.883990810414202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9.1733053168478857</v>
      </c>
      <c r="AA13" s="58">
        <f t="shared" si="5"/>
        <v>5.536815946385711</v>
      </c>
      <c r="AB13" s="58">
        <f t="shared" si="6"/>
        <v>30</v>
      </c>
      <c r="AC13" s="58">
        <f t="shared" si="7"/>
        <v>3.6364893704621748</v>
      </c>
      <c r="AD13" s="60">
        <f t="shared" si="8"/>
        <v>3.63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6.2100000000000009</v>
      </c>
      <c r="G14" s="470">
        <f t="shared" si="14"/>
        <v>1.85</v>
      </c>
      <c r="H14" s="470"/>
      <c r="I14" s="371"/>
      <c r="J14" s="372">
        <f t="shared" ref="J14:J51" si="15">G14-G13</f>
        <v>0.32000000000000006</v>
      </c>
      <c r="Q14" s="416"/>
      <c r="S14" s="52">
        <f t="shared" si="3"/>
        <v>145</v>
      </c>
      <c r="T14" s="52">
        <f t="shared" si="10"/>
        <v>14.883990810414202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9.2926756309645508</v>
      </c>
      <c r="AA14" s="58">
        <f t="shared" si="5"/>
        <v>5.536815946385711</v>
      </c>
      <c r="AB14" s="58">
        <f t="shared" si="6"/>
        <v>35</v>
      </c>
      <c r="AC14" s="58">
        <f t="shared" si="7"/>
        <v>3.7558596845788399</v>
      </c>
      <c r="AD14" s="60">
        <f t="shared" si="8"/>
        <v>3.75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6.43</v>
      </c>
      <c r="G15" s="470">
        <f t="shared" si="14"/>
        <v>2.0699999999999998</v>
      </c>
      <c r="H15" s="470"/>
      <c r="I15" s="371"/>
      <c r="J15" s="372">
        <f t="shared" si="15"/>
        <v>0.21999999999999975</v>
      </c>
      <c r="Q15" s="416"/>
      <c r="S15" s="52">
        <f t="shared" si="3"/>
        <v>145</v>
      </c>
      <c r="T15" s="52">
        <f t="shared" si="10"/>
        <v>14.883990810414202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9.3960789004142029</v>
      </c>
      <c r="AA15" s="58">
        <f t="shared" si="5"/>
        <v>5.536815946385711</v>
      </c>
      <c r="AB15" s="58">
        <f t="shared" si="6"/>
        <v>40</v>
      </c>
      <c r="AC15" s="58">
        <f t="shared" si="7"/>
        <v>3.859262954028492</v>
      </c>
      <c r="AD15" s="60">
        <f t="shared" si="8"/>
        <v>3.85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6.6000000000000005</v>
      </c>
      <c r="G16" s="470">
        <f t="shared" si="14"/>
        <v>2.2400000000000002</v>
      </c>
      <c r="H16" s="470"/>
      <c r="I16" s="371"/>
      <c r="J16" s="372">
        <f t="shared" si="15"/>
        <v>0.17000000000000037</v>
      </c>
      <c r="K16" s="431" t="s">
        <v>247</v>
      </c>
      <c r="L16" s="432" t="s">
        <v>178</v>
      </c>
      <c r="M16" s="432" t="s">
        <v>179</v>
      </c>
      <c r="N16" s="432" t="s">
        <v>245</v>
      </c>
      <c r="O16" s="432" t="s">
        <v>246</v>
      </c>
      <c r="P16" s="432" t="s">
        <v>248</v>
      </c>
      <c r="S16" s="52">
        <f t="shared" si="3"/>
        <v>145</v>
      </c>
      <c r="T16" s="52">
        <f t="shared" si="10"/>
        <v>14.883990810414202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9.4872870480504794</v>
      </c>
      <c r="AA16" s="58">
        <f t="shared" si="5"/>
        <v>5.536815946385711</v>
      </c>
      <c r="AB16" s="58">
        <f t="shared" si="6"/>
        <v>45</v>
      </c>
      <c r="AC16" s="58">
        <f t="shared" si="7"/>
        <v>3.9504711016647684</v>
      </c>
      <c r="AD16" s="60">
        <f t="shared" si="8"/>
        <v>3.95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7.1400000000000006</v>
      </c>
      <c r="G17" s="470">
        <f t="shared" si="14"/>
        <v>2.78</v>
      </c>
      <c r="H17" s="470"/>
      <c r="I17" s="371"/>
      <c r="J17" s="372">
        <f t="shared" si="15"/>
        <v>0.53999999999999959</v>
      </c>
      <c r="K17" s="417">
        <f>D12</f>
        <v>1</v>
      </c>
      <c r="L17" s="418">
        <f>INT(B12/1440*10000)/10000</f>
        <v>0.10059999999999999</v>
      </c>
      <c r="M17" s="418">
        <f>K17*L17</f>
        <v>0.10059999999999999</v>
      </c>
      <c r="N17" s="418">
        <f>INT((D9/2000)^2*3.14159*100000)/100000</f>
        <v>3.141E-2</v>
      </c>
      <c r="O17" s="418">
        <f>INT(M17/N17*100)/100</f>
        <v>3.2</v>
      </c>
      <c r="P17" s="419">
        <f>INT((G12-O17)*100)/100</f>
        <v>-2.2000000000000002</v>
      </c>
      <c r="S17" s="52">
        <f t="shared" si="3"/>
        <v>145</v>
      </c>
      <c r="T17" s="52">
        <f t="shared" si="10"/>
        <v>14.883990810414202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9.5688755163184265</v>
      </c>
      <c r="AA17" s="58">
        <f t="shared" si="5"/>
        <v>5.536815946385711</v>
      </c>
      <c r="AB17" s="58">
        <f t="shared" si="6"/>
        <v>50</v>
      </c>
      <c r="AC17" s="58">
        <f t="shared" si="7"/>
        <v>4.0320595699327155</v>
      </c>
      <c r="AD17" s="60">
        <f t="shared" ref="AD17:AD22" si="16">INT(AC17*100)/100</f>
        <v>4.03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7.45</v>
      </c>
      <c r="G18" s="470">
        <f t="shared" si="14"/>
        <v>3.09</v>
      </c>
      <c r="H18" s="470"/>
      <c r="I18" s="371"/>
      <c r="J18" s="372">
        <f t="shared" si="15"/>
        <v>0.31000000000000005</v>
      </c>
      <c r="K18" s="417">
        <f>D13</f>
        <v>2</v>
      </c>
      <c r="L18" s="418">
        <f>L17</f>
        <v>0.10059999999999999</v>
      </c>
      <c r="M18" s="418">
        <f t="shared" ref="M18:M32" si="17">K18*L18</f>
        <v>0.20119999999999999</v>
      </c>
      <c r="N18" s="418">
        <f>N17</f>
        <v>3.141E-2</v>
      </c>
      <c r="O18" s="418">
        <f>INT(M18/N18*100)/100</f>
        <v>6.4</v>
      </c>
      <c r="P18" s="419">
        <f>INT((G13-O18)*100*0.98)/100</f>
        <v>-4.78</v>
      </c>
      <c r="S18" s="52">
        <f t="shared" si="3"/>
        <v>145</v>
      </c>
      <c r="T18" s="52">
        <f t="shared" si="10"/>
        <v>14.883990810414202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9.6426812634906565</v>
      </c>
      <c r="AA18" s="58">
        <f t="shared" si="5"/>
        <v>5.536815946385711</v>
      </c>
      <c r="AB18" s="58">
        <f t="shared" si="6"/>
        <v>55</v>
      </c>
      <c r="AC18" s="58">
        <f t="shared" si="7"/>
        <v>4.1058653171049455</v>
      </c>
      <c r="AD18" s="60">
        <f t="shared" si="16"/>
        <v>4.0999999999999996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7.68</v>
      </c>
      <c r="G19" s="470">
        <f t="shared" si="14"/>
        <v>3.32</v>
      </c>
      <c r="H19" s="470"/>
      <c r="I19" s="371"/>
      <c r="J19" s="372">
        <f t="shared" si="15"/>
        <v>0.22999999999999998</v>
      </c>
      <c r="K19" s="417">
        <f t="shared" ref="K19:K32" si="18">D14</f>
        <v>3</v>
      </c>
      <c r="L19" s="418">
        <f>L18</f>
        <v>0.10059999999999999</v>
      </c>
      <c r="M19" s="418">
        <f t="shared" si="17"/>
        <v>0.30179999999999996</v>
      </c>
      <c r="N19" s="418">
        <f t="shared" ref="N19:N32" si="19">N18</f>
        <v>3.141E-2</v>
      </c>
      <c r="O19" s="418">
        <f>INT(M19/N19*100)/100</f>
        <v>9.6</v>
      </c>
      <c r="P19" s="419">
        <f>INT((G14-O19)*100*0.95)/100</f>
        <v>-7.37</v>
      </c>
      <c r="S19" s="52">
        <f t="shared" si="3"/>
        <v>145</v>
      </c>
      <c r="T19" s="52">
        <f t="shared" si="10"/>
        <v>14.883990810414202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9.7100606316167983</v>
      </c>
      <c r="AA19" s="58">
        <f t="shared" si="5"/>
        <v>5.536815946385711</v>
      </c>
      <c r="AB19" s="58">
        <f t="shared" si="6"/>
        <v>60</v>
      </c>
      <c r="AC19" s="58">
        <f t="shared" si="7"/>
        <v>4.1732446852310874</v>
      </c>
      <c r="AD19" s="60">
        <f t="shared" si="16"/>
        <v>4.17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7.8500000000000005</v>
      </c>
      <c r="G20" s="470">
        <f t="shared" si="14"/>
        <v>3.49</v>
      </c>
      <c r="H20" s="470"/>
      <c r="I20" s="371"/>
      <c r="J20" s="372">
        <f t="shared" si="15"/>
        <v>0.17000000000000037</v>
      </c>
      <c r="K20" s="417">
        <f t="shared" si="18"/>
        <v>4</v>
      </c>
      <c r="L20" s="418">
        <f>L19</f>
        <v>0.10059999999999999</v>
      </c>
      <c r="M20" s="418">
        <f t="shared" si="17"/>
        <v>0.40239999999999998</v>
      </c>
      <c r="N20" s="418">
        <f t="shared" si="19"/>
        <v>3.141E-2</v>
      </c>
      <c r="O20" s="418">
        <f>INT(M20/N20*100)/100</f>
        <v>12.81</v>
      </c>
      <c r="P20" s="419">
        <f>INT((G15-O20)*100*0.91)/100</f>
        <v>-9.7799999999999994</v>
      </c>
      <c r="S20" s="52">
        <f t="shared" si="3"/>
        <v>145</v>
      </c>
      <c r="T20" s="52">
        <f t="shared" si="10"/>
        <v>14.883990810414202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9.8828572475210201</v>
      </c>
      <c r="AA20" s="58">
        <f t="shared" si="5"/>
        <v>5.536815946385711</v>
      </c>
      <c r="AB20" s="58">
        <f t="shared" si="6"/>
        <v>75</v>
      </c>
      <c r="AC20" s="58">
        <f t="shared" si="7"/>
        <v>4.3460413011353092</v>
      </c>
      <c r="AD20" s="60">
        <f t="shared" si="16"/>
        <v>4.34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7.99</v>
      </c>
      <c r="G21" s="470">
        <f t="shared" si="14"/>
        <v>3.63</v>
      </c>
      <c r="H21" s="470"/>
      <c r="I21" s="371"/>
      <c r="J21" s="372">
        <f t="shared" si="15"/>
        <v>0.13999999999999968</v>
      </c>
      <c r="K21" s="417">
        <f t="shared" si="18"/>
        <v>5</v>
      </c>
      <c r="L21" s="417">
        <f>L20</f>
        <v>0.10059999999999999</v>
      </c>
      <c r="M21" s="418">
        <f t="shared" si="17"/>
        <v>0.503</v>
      </c>
      <c r="N21" s="418">
        <f t="shared" si="19"/>
        <v>3.141E-2</v>
      </c>
      <c r="O21" s="417">
        <f>INT(M21/N21*100)/100</f>
        <v>16.010000000000002</v>
      </c>
      <c r="P21" s="419">
        <f>INT((G16-O21)*100*0.86)/100</f>
        <v>-11.85</v>
      </c>
      <c r="S21" s="52">
        <f t="shared" si="3"/>
        <v>145</v>
      </c>
      <c r="T21" s="52">
        <f t="shared" si="10"/>
        <v>14.883990810414202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10.024042362819392</v>
      </c>
      <c r="AA21" s="58">
        <f t="shared" si="5"/>
        <v>5.536815946385711</v>
      </c>
      <c r="AB21" s="58">
        <f t="shared" si="6"/>
        <v>90</v>
      </c>
      <c r="AC21" s="58">
        <f t="shared" si="7"/>
        <v>4.487226416433681</v>
      </c>
      <c r="AD21" s="60">
        <f t="shared" si="16"/>
        <v>4.4800000000000004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8.11</v>
      </c>
      <c r="G22" s="470">
        <f t="shared" si="14"/>
        <v>3.75</v>
      </c>
      <c r="H22" s="470"/>
      <c r="I22" s="345"/>
      <c r="J22" s="372">
        <f t="shared" si="15"/>
        <v>0.12000000000000011</v>
      </c>
      <c r="K22" s="417">
        <f t="shared" si="18"/>
        <v>10</v>
      </c>
      <c r="L22" s="417">
        <f t="shared" ref="L22:L32" si="20">L21</f>
        <v>0.10059999999999999</v>
      </c>
      <c r="M22" s="418">
        <f t="shared" si="17"/>
        <v>1.006</v>
      </c>
      <c r="N22" s="418">
        <f t="shared" si="19"/>
        <v>3.141E-2</v>
      </c>
      <c r="O22" s="417">
        <f t="shared" ref="O22:O30" si="21">INT(M22/N22*100)/100</f>
        <v>32.020000000000003</v>
      </c>
      <c r="P22" s="419">
        <f>INT((G17-O22)*100*0.8)/100</f>
        <v>-23.4</v>
      </c>
      <c r="S22" s="52">
        <f t="shared" si="3"/>
        <v>145</v>
      </c>
      <c r="T22" s="52">
        <f t="shared" si="10"/>
        <v>14.883990810414202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10.143412676936059</v>
      </c>
      <c r="Z22" s="58">
        <f>Y23-Z23</f>
        <v>5.536815946385711</v>
      </c>
      <c r="AA22" s="58">
        <f t="shared" si="5"/>
        <v>5.536815946385711</v>
      </c>
      <c r="AB22" s="58">
        <f t="shared" si="6"/>
        <v>105</v>
      </c>
      <c r="AC22" s="58">
        <f t="shared" si="7"/>
        <v>4.6065967305503479</v>
      </c>
      <c r="AD22" s="60">
        <f t="shared" si="16"/>
        <v>4.5999999999999996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8.2100000000000009</v>
      </c>
      <c r="G23" s="470">
        <f t="shared" si="14"/>
        <v>3.85</v>
      </c>
      <c r="H23" s="470"/>
      <c r="I23" s="345"/>
      <c r="J23" s="372">
        <f t="shared" si="15"/>
        <v>0.10000000000000009</v>
      </c>
      <c r="K23" s="417">
        <f t="shared" si="18"/>
        <v>15</v>
      </c>
      <c r="L23" s="417">
        <f t="shared" si="20"/>
        <v>0.10059999999999999</v>
      </c>
      <c r="M23" s="418">
        <f t="shared" si="17"/>
        <v>1.5089999999999999</v>
      </c>
      <c r="N23" s="418">
        <f t="shared" si="19"/>
        <v>3.141E-2</v>
      </c>
      <c r="O23" s="417">
        <f t="shared" si="21"/>
        <v>48.04</v>
      </c>
      <c r="P23" s="419">
        <f t="shared" ref="P23:P32" si="22">INT((G18-O23)*100)/100</f>
        <v>-44.95</v>
      </c>
      <c r="S23" s="52">
        <f t="shared" si="3"/>
        <v>145</v>
      </c>
      <c r="T23" s="52">
        <f t="shared" si="10"/>
        <v>14.883990810414202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10.246815946385711</v>
      </c>
      <c r="Z23" s="58">
        <f>Input!B20</f>
        <v>4.71</v>
      </c>
      <c r="AA23" s="58">
        <f t="shared" si="5"/>
        <v>5.536815946385711</v>
      </c>
      <c r="AB23" s="58">
        <f t="shared" si="6"/>
        <v>120</v>
      </c>
      <c r="AC23" s="58">
        <f t="shared" si="7"/>
        <v>4.71</v>
      </c>
      <c r="AD23" s="60">
        <f>INT((AC$3+AE23)*100)/100</f>
        <v>4.71</v>
      </c>
      <c r="AE23" s="58">
        <f>AG$23*AF23</f>
        <v>4.71</v>
      </c>
      <c r="AF23" s="58">
        <v>1</v>
      </c>
      <c r="AG23" s="58">
        <f>AC23-AC3</f>
        <v>4.71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8.31</v>
      </c>
      <c r="G24" s="470">
        <f t="shared" si="14"/>
        <v>3.95</v>
      </c>
      <c r="H24" s="470"/>
      <c r="I24" s="345"/>
      <c r="J24" s="372">
        <f t="shared" si="15"/>
        <v>0.10000000000000009</v>
      </c>
      <c r="K24" s="417">
        <f t="shared" si="18"/>
        <v>20</v>
      </c>
      <c r="L24" s="417">
        <f t="shared" si="20"/>
        <v>0.10059999999999999</v>
      </c>
      <c r="M24" s="418">
        <f t="shared" si="17"/>
        <v>2.012</v>
      </c>
      <c r="N24" s="418">
        <f t="shared" si="19"/>
        <v>3.141E-2</v>
      </c>
      <c r="O24" s="417">
        <f t="shared" si="21"/>
        <v>64.05</v>
      </c>
      <c r="P24" s="419">
        <f t="shared" si="22"/>
        <v>-60.73</v>
      </c>
      <c r="R24" s="56">
        <f>B32</f>
        <v>184</v>
      </c>
      <c r="S24" s="52">
        <f>$R$24</f>
        <v>184</v>
      </c>
      <c r="T24" s="52">
        <f t="shared" si="10"/>
        <v>14.883990810414202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13.081510400061983</v>
      </c>
      <c r="Z24" s="58">
        <f>Z27</f>
        <v>7.3939800831203479</v>
      </c>
      <c r="AA24" s="58">
        <f>$Z$24</f>
        <v>7.3939800831203479</v>
      </c>
      <c r="AB24" s="58">
        <f t="shared" si="6"/>
        <v>130</v>
      </c>
      <c r="AC24" s="58">
        <f t="shared" si="7"/>
        <v>5.6875303169416354</v>
      </c>
      <c r="AD24" s="60">
        <f>INT((AC$23+AE24)*100)/100</f>
        <v>5.65</v>
      </c>
      <c r="AE24" s="58">
        <f>AF24*AG$28</f>
        <v>0.94799999999999995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8.39</v>
      </c>
      <c r="G25" s="470">
        <f t="shared" si="14"/>
        <v>4.03</v>
      </c>
      <c r="H25" s="470"/>
      <c r="I25" s="345"/>
      <c r="J25" s="372">
        <f t="shared" si="15"/>
        <v>8.0000000000000071E-2</v>
      </c>
      <c r="K25" s="417">
        <f t="shared" si="18"/>
        <v>25</v>
      </c>
      <c r="L25" s="417">
        <f t="shared" si="20"/>
        <v>0.10059999999999999</v>
      </c>
      <c r="M25" s="418">
        <f t="shared" si="17"/>
        <v>2.5149999999999997</v>
      </c>
      <c r="N25" s="418">
        <f t="shared" si="19"/>
        <v>3.141E-2</v>
      </c>
      <c r="O25" s="417">
        <f t="shared" si="21"/>
        <v>80.069999999999993</v>
      </c>
      <c r="P25" s="419">
        <f t="shared" si="22"/>
        <v>-76.58</v>
      </c>
      <c r="S25" s="52">
        <f>$R$24</f>
        <v>184</v>
      </c>
      <c r="T25" s="52">
        <f t="shared" si="10"/>
        <v>14.883990810414202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13.154332909878876</v>
      </c>
      <c r="AA25" s="58">
        <f>$Z$24</f>
        <v>7.3939800831203479</v>
      </c>
      <c r="AB25" s="58">
        <f t="shared" si="6"/>
        <v>140</v>
      </c>
      <c r="AC25" s="58">
        <f t="shared" si="7"/>
        <v>5.7603528267585284</v>
      </c>
      <c r="AD25" s="60">
        <f>INT((AC$23+AE25)*100)/100</f>
        <v>5.81</v>
      </c>
      <c r="AE25" s="58">
        <f>AF25*AG$28</f>
        <v>1.1059999999999999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8.4600000000000009</v>
      </c>
      <c r="G26" s="470">
        <f t="shared" si="14"/>
        <v>4.0999999999999996</v>
      </c>
      <c r="H26" s="470"/>
      <c r="I26" s="345"/>
      <c r="J26" s="372">
        <f t="shared" si="15"/>
        <v>6.9999999999999396E-2</v>
      </c>
      <c r="K26" s="417">
        <f t="shared" si="18"/>
        <v>30</v>
      </c>
      <c r="L26" s="417">
        <f t="shared" si="20"/>
        <v>0.10059999999999999</v>
      </c>
      <c r="M26" s="418">
        <f t="shared" si="17"/>
        <v>3.0179999999999998</v>
      </c>
      <c r="N26" s="418">
        <f t="shared" si="19"/>
        <v>3.141E-2</v>
      </c>
      <c r="O26" s="418">
        <f t="shared" si="21"/>
        <v>96.08</v>
      </c>
      <c r="P26" s="419">
        <f t="shared" si="22"/>
        <v>-92.45</v>
      </c>
      <c r="S26" s="52">
        <f>$R$24</f>
        <v>184</v>
      </c>
      <c r="T26" s="52">
        <f t="shared" si="10"/>
        <v>14.883990810414202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13.222129044561017</v>
      </c>
      <c r="AA26" s="58">
        <f>$Z$24</f>
        <v>7.3939800831203479</v>
      </c>
      <c r="AB26" s="58">
        <f t="shared" si="6"/>
        <v>150</v>
      </c>
      <c r="AC26" s="58">
        <f t="shared" si="7"/>
        <v>5.828148961440669</v>
      </c>
      <c r="AD26" s="60">
        <f>INT((AC$23+AE26)*100)/100</f>
        <v>5.97</v>
      </c>
      <c r="AE26" s="58">
        <f>AF26*AG$28</f>
        <v>1.2640000000000002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8.5300000000000011</v>
      </c>
      <c r="G27" s="470">
        <f t="shared" si="14"/>
        <v>4.17</v>
      </c>
      <c r="H27" s="470"/>
      <c r="I27" s="345"/>
      <c r="J27" s="372">
        <f t="shared" si="15"/>
        <v>7.0000000000000284E-2</v>
      </c>
      <c r="K27" s="417">
        <f t="shared" si="18"/>
        <v>35</v>
      </c>
      <c r="L27" s="417">
        <f t="shared" si="20"/>
        <v>0.10059999999999999</v>
      </c>
      <c r="M27" s="418">
        <f t="shared" si="17"/>
        <v>3.5209999999999999</v>
      </c>
      <c r="N27" s="418">
        <f t="shared" si="19"/>
        <v>3.141E-2</v>
      </c>
      <c r="O27" s="418">
        <f t="shared" si="21"/>
        <v>112.09</v>
      </c>
      <c r="P27" s="419">
        <f t="shared" si="22"/>
        <v>-108.34</v>
      </c>
      <c r="S27" s="52">
        <f>$R$24</f>
        <v>184</v>
      </c>
      <c r="T27" s="52">
        <f t="shared" si="10"/>
        <v>14.883990810414202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13.401288087422399</v>
      </c>
      <c r="Z27" s="58">
        <f>Y28-Z28</f>
        <v>7.3939800831203479</v>
      </c>
      <c r="AA27" s="58">
        <f>$Z$24</f>
        <v>7.3939800831203479</v>
      </c>
      <c r="AB27" s="58">
        <f t="shared" si="6"/>
        <v>180</v>
      </c>
      <c r="AC27" s="58">
        <f t="shared" si="7"/>
        <v>6.0073080043020513</v>
      </c>
      <c r="AD27" s="60">
        <f>INT((AC$23+AE27)*100)/100</f>
        <v>6.13</v>
      </c>
      <c r="AE27" s="58">
        <f>AF27*AG$28</f>
        <v>1.4220000000000002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8.6999999999999993</v>
      </c>
      <c r="G28" s="470">
        <f t="shared" si="14"/>
        <v>4.34</v>
      </c>
      <c r="H28" s="470"/>
      <c r="I28" s="345"/>
      <c r="J28" s="372">
        <f t="shared" si="15"/>
        <v>0.16999999999999993</v>
      </c>
      <c r="K28" s="417">
        <f t="shared" si="18"/>
        <v>40</v>
      </c>
      <c r="L28" s="417">
        <f t="shared" si="20"/>
        <v>0.10059999999999999</v>
      </c>
      <c r="M28" s="418">
        <f t="shared" si="17"/>
        <v>4.024</v>
      </c>
      <c r="N28" s="418">
        <f t="shared" si="19"/>
        <v>3.141E-2</v>
      </c>
      <c r="O28" s="418">
        <f t="shared" si="21"/>
        <v>128.11000000000001</v>
      </c>
      <c r="P28" s="419">
        <f t="shared" si="22"/>
        <v>-124.26</v>
      </c>
      <c r="S28" s="52">
        <f>$R$24</f>
        <v>184</v>
      </c>
      <c r="T28" s="52">
        <f t="shared" si="10"/>
        <v>14.883990810414202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13.683980083120348</v>
      </c>
      <c r="Z28" s="58">
        <f>Input!B21</f>
        <v>6.29</v>
      </c>
      <c r="AA28" s="58">
        <f>$Z$24</f>
        <v>7.3939800831203479</v>
      </c>
      <c r="AB28" s="58">
        <f t="shared" si="6"/>
        <v>240</v>
      </c>
      <c r="AC28" s="58">
        <f t="shared" si="7"/>
        <v>6.29</v>
      </c>
      <c r="AD28" s="60">
        <f>INT((AC$23+AE28)*100)/100</f>
        <v>6.29</v>
      </c>
      <c r="AE28" s="58">
        <f>AF28*AG$28</f>
        <v>1.58</v>
      </c>
      <c r="AF28" s="58">
        <v>1</v>
      </c>
      <c r="AG28" s="58">
        <f>AC28-AC23</f>
        <v>1.58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8.84</v>
      </c>
      <c r="G29" s="470">
        <f t="shared" si="14"/>
        <v>4.4800000000000004</v>
      </c>
      <c r="H29" s="470"/>
      <c r="I29" s="345"/>
      <c r="J29" s="372">
        <f t="shared" si="15"/>
        <v>0.14000000000000057</v>
      </c>
      <c r="K29" s="417">
        <f t="shared" si="18"/>
        <v>45</v>
      </c>
      <c r="L29" s="417">
        <f t="shared" si="20"/>
        <v>0.10059999999999999</v>
      </c>
      <c r="M29" s="418">
        <f t="shared" si="17"/>
        <v>4.5270000000000001</v>
      </c>
      <c r="N29" s="418">
        <f t="shared" si="19"/>
        <v>3.141E-2</v>
      </c>
      <c r="O29" s="418">
        <f t="shared" si="21"/>
        <v>144.12</v>
      </c>
      <c r="P29" s="419">
        <f t="shared" si="22"/>
        <v>-140.16999999999999</v>
      </c>
      <c r="R29" s="56">
        <f>B37</f>
        <v>224.4</v>
      </c>
      <c r="S29" s="52">
        <f>$R$29</f>
        <v>224.4</v>
      </c>
      <c r="T29" s="52">
        <f t="shared" si="10"/>
        <v>14.883990810414202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16.737427667165864</v>
      </c>
      <c r="Z29" s="58">
        <f>Z32</f>
        <v>9.11441994127558</v>
      </c>
      <c r="AA29" s="58">
        <f>$Z$29</f>
        <v>9.11441994127558</v>
      </c>
      <c r="AB29" s="58">
        <f t="shared" si="6"/>
        <v>250</v>
      </c>
      <c r="AC29" s="58">
        <f t="shared" si="7"/>
        <v>7.6230077258902842</v>
      </c>
      <c r="AD29" s="60">
        <f>INT((AC$28+AE29)*100)/100</f>
        <v>7.35</v>
      </c>
      <c r="AE29" s="58">
        <f>AF29*AG$33</f>
        <v>1.0620000000000003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8.9600000000000009</v>
      </c>
      <c r="G30" s="470">
        <f t="shared" si="14"/>
        <v>4.5999999999999996</v>
      </c>
      <c r="H30" s="470"/>
      <c r="I30" s="345"/>
      <c r="J30" s="372">
        <f t="shared" si="15"/>
        <v>0.11999999999999922</v>
      </c>
      <c r="K30" s="417">
        <f t="shared" si="18"/>
        <v>50</v>
      </c>
      <c r="L30" s="417">
        <f t="shared" si="20"/>
        <v>0.10059999999999999</v>
      </c>
      <c r="M30" s="418">
        <f t="shared" si="17"/>
        <v>5.0299999999999994</v>
      </c>
      <c r="N30" s="418">
        <f t="shared" si="19"/>
        <v>3.141E-2</v>
      </c>
      <c r="O30" s="418">
        <f t="shared" si="21"/>
        <v>160.13999999999999</v>
      </c>
      <c r="P30" s="419">
        <f t="shared" si="22"/>
        <v>-156.11000000000001</v>
      </c>
      <c r="R30" s="52" t="s">
        <v>21</v>
      </c>
      <c r="S30" s="52">
        <f>$R$29</f>
        <v>224.4</v>
      </c>
      <c r="T30" s="52">
        <f t="shared" si="10"/>
        <v>14.883990810414202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16.784430196472989</v>
      </c>
      <c r="AA30" s="58">
        <f>$Z$29</f>
        <v>9.11441994127558</v>
      </c>
      <c r="AB30" s="58">
        <f t="shared" si="6"/>
        <v>260</v>
      </c>
      <c r="AC30" s="58">
        <f t="shared" si="7"/>
        <v>7.6700102551974094</v>
      </c>
      <c r="AD30" s="60">
        <f>INT((AC$28+AE30)*100)/100</f>
        <v>7.52</v>
      </c>
      <c r="AE30" s="58">
        <f>AF30*AG$33</f>
        <v>1.2390000000000003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9.07</v>
      </c>
      <c r="G31" s="470">
        <f t="shared" si="14"/>
        <v>4.71</v>
      </c>
      <c r="H31" s="470"/>
      <c r="I31" s="345"/>
      <c r="J31" s="372">
        <f t="shared" si="15"/>
        <v>0.11000000000000032</v>
      </c>
      <c r="K31" s="417">
        <f t="shared" si="18"/>
        <v>55</v>
      </c>
      <c r="L31" s="417">
        <f t="shared" si="20"/>
        <v>0.10059999999999999</v>
      </c>
      <c r="M31" s="418">
        <f t="shared" si="17"/>
        <v>5.5329999999999995</v>
      </c>
      <c r="N31" s="418">
        <f t="shared" si="19"/>
        <v>3.141E-2</v>
      </c>
      <c r="O31" s="418">
        <f>INT(M31/N31*100)/100</f>
        <v>176.15</v>
      </c>
      <c r="P31" s="419">
        <f t="shared" si="22"/>
        <v>-172.05</v>
      </c>
      <c r="S31" s="52">
        <f>$R$29</f>
        <v>224.4</v>
      </c>
      <c r="T31" s="52">
        <f t="shared" si="10"/>
        <v>14.883990810414202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16.829658616087432</v>
      </c>
      <c r="AA31" s="58">
        <f>$Z$29</f>
        <v>9.11441994127558</v>
      </c>
      <c r="AB31" s="58">
        <f t="shared" si="6"/>
        <v>270</v>
      </c>
      <c r="AC31" s="58">
        <f t="shared" si="7"/>
        <v>7.715238674811852</v>
      </c>
      <c r="AD31" s="60">
        <f>INT((AC$28+AE31)*100)/100</f>
        <v>7.7</v>
      </c>
      <c r="AE31" s="58">
        <f>AF31*AG$33</f>
        <v>1.4160000000000004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184</v>
      </c>
      <c r="C32" s="369">
        <f>$C$12+D32/1440</f>
        <v>44992.569444444445</v>
      </c>
      <c r="D32" s="469">
        <v>130</v>
      </c>
      <c r="E32" s="469"/>
      <c r="F32" s="370">
        <f t="shared" si="13"/>
        <v>10.010000000000002</v>
      </c>
      <c r="G32" s="470">
        <f t="shared" si="14"/>
        <v>5.65</v>
      </c>
      <c r="H32" s="470"/>
      <c r="I32" s="345"/>
      <c r="J32" s="372">
        <f t="shared" si="15"/>
        <v>0.94000000000000039</v>
      </c>
      <c r="K32" s="417">
        <f t="shared" si="18"/>
        <v>60</v>
      </c>
      <c r="L32" s="417">
        <f t="shared" si="20"/>
        <v>0.10059999999999999</v>
      </c>
      <c r="M32" s="418">
        <f t="shared" si="17"/>
        <v>6.0359999999999996</v>
      </c>
      <c r="N32" s="418">
        <f t="shared" si="19"/>
        <v>3.141E-2</v>
      </c>
      <c r="O32" s="418">
        <f>INT(M32/N32*100)/100</f>
        <v>192.16</v>
      </c>
      <c r="P32" s="419">
        <f t="shared" si="22"/>
        <v>-187.99</v>
      </c>
      <c r="S32" s="52">
        <f>$R$29</f>
        <v>224.4</v>
      </c>
      <c r="T32" s="52">
        <f t="shared" si="10"/>
        <v>14.883990810414202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16.955923804220721</v>
      </c>
      <c r="Z32" s="58">
        <f>Y33-Z33</f>
        <v>9.11441994127558</v>
      </c>
      <c r="AA32" s="58">
        <f>$Z$29</f>
        <v>9.11441994127558</v>
      </c>
      <c r="AB32" s="58">
        <f t="shared" si="6"/>
        <v>300</v>
      </c>
      <c r="AC32" s="58">
        <f t="shared" si="7"/>
        <v>7.8415038629451406</v>
      </c>
      <c r="AD32" s="60">
        <f>INT((AC$28+AE32)*100)/100</f>
        <v>7.88</v>
      </c>
      <c r="AE32" s="58">
        <f>AF32*AG$33</f>
        <v>1.5930000000000004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10.17</v>
      </c>
      <c r="G33" s="470">
        <f t="shared" si="14"/>
        <v>5.81</v>
      </c>
      <c r="H33" s="470"/>
      <c r="I33" s="345"/>
      <c r="J33" s="372">
        <f t="shared" si="15"/>
        <v>0.15999999999999925</v>
      </c>
      <c r="L33" s="67" t="s">
        <v>21</v>
      </c>
      <c r="P33" s="59"/>
      <c r="S33" s="52">
        <f>$R$29</f>
        <v>224.4</v>
      </c>
      <c r="T33" s="52">
        <f t="shared" si="10"/>
        <v>14.883990810414202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17.17441994127558</v>
      </c>
      <c r="Z33" s="58">
        <f>Input!B22</f>
        <v>8.06</v>
      </c>
      <c r="AA33" s="58">
        <f>$Z$29</f>
        <v>9.11441994127558</v>
      </c>
      <c r="AB33" s="58">
        <f t="shared" si="6"/>
        <v>360</v>
      </c>
      <c r="AC33" s="58">
        <f t="shared" si="7"/>
        <v>8.06</v>
      </c>
      <c r="AD33" s="60">
        <f>INT((AC$28+AE33)*100)/100</f>
        <v>8.06</v>
      </c>
      <c r="AE33" s="58">
        <f>AF33*AG$33</f>
        <v>1.7700000000000005</v>
      </c>
      <c r="AF33" s="58">
        <v>1</v>
      </c>
      <c r="AG33" s="58">
        <f>AC33-AC28</f>
        <v>1.7700000000000005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10.33</v>
      </c>
      <c r="G34" s="470">
        <f t="shared" si="14"/>
        <v>5.97</v>
      </c>
      <c r="H34" s="470"/>
      <c r="I34" s="345"/>
      <c r="J34" s="372">
        <f t="shared" si="15"/>
        <v>0.16000000000000014</v>
      </c>
      <c r="L34" s="67" t="s">
        <v>21</v>
      </c>
      <c r="R34" s="52">
        <f>B42</f>
        <v>264</v>
      </c>
      <c r="S34" s="52">
        <f>$R$34</f>
        <v>264</v>
      </c>
      <c r="T34" s="52">
        <f t="shared" si="10"/>
        <v>14.883990810414202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20.243829611768881</v>
      </c>
      <c r="Z34" s="58">
        <f>Z37</f>
        <v>10.580801489957333</v>
      </c>
      <c r="AA34" s="58">
        <f>$Z$34</f>
        <v>10.580801489957333</v>
      </c>
      <c r="AB34" s="58">
        <f t="shared" si="6"/>
        <v>370</v>
      </c>
      <c r="AC34" s="58">
        <f t="shared" si="7"/>
        <v>9.6630281218115481</v>
      </c>
      <c r="AD34" s="60">
        <f>INT((AC$33+AE34)*100)/100</f>
        <v>9.24</v>
      </c>
      <c r="AE34" s="58">
        <f>AG$38*AF34</f>
        <v>1.1819999999999993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10.49</v>
      </c>
      <c r="G35" s="470">
        <f t="shared" si="14"/>
        <v>6.13</v>
      </c>
      <c r="H35" s="470"/>
      <c r="I35" s="345"/>
      <c r="J35" s="372">
        <f t="shared" si="15"/>
        <v>0.16000000000000014</v>
      </c>
      <c r="L35" s="67" t="s">
        <v>21</v>
      </c>
      <c r="S35" s="52">
        <f>$R$34</f>
        <v>264</v>
      </c>
      <c r="T35" s="52">
        <f t="shared" si="10"/>
        <v>14.883990810414202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20.281429044021763</v>
      </c>
      <c r="AA35" s="58">
        <f>$Z$34</f>
        <v>10.580801489957333</v>
      </c>
      <c r="AB35" s="58">
        <f t="shared" si="6"/>
        <v>380</v>
      </c>
      <c r="AC35" s="58">
        <f t="shared" si="7"/>
        <v>9.7006275540644307</v>
      </c>
      <c r="AD35" s="60">
        <f>INT((AC$33+AE35)*100)/100</f>
        <v>9.43</v>
      </c>
      <c r="AE35" s="58">
        <f>AG$38*AF35</f>
        <v>1.3789999999999991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10.65</v>
      </c>
      <c r="G36" s="470">
        <f t="shared" si="14"/>
        <v>6.29</v>
      </c>
      <c r="H36" s="470"/>
      <c r="I36" s="345"/>
      <c r="J36" s="372">
        <f t="shared" si="15"/>
        <v>0.16000000000000014</v>
      </c>
      <c r="L36" s="67" t="s">
        <v>21</v>
      </c>
      <c r="S36" s="52">
        <f>$R$34</f>
        <v>264</v>
      </c>
      <c r="T36" s="52">
        <f t="shared" si="10"/>
        <v>14.883990810414202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20.318051756352499</v>
      </c>
      <c r="AA36" s="58">
        <f>$Z$34</f>
        <v>10.580801489957333</v>
      </c>
      <c r="AB36" s="58">
        <f t="shared" si="6"/>
        <v>390</v>
      </c>
      <c r="AC36" s="58">
        <f t="shared" si="7"/>
        <v>9.7372502663951668</v>
      </c>
      <c r="AD36" s="60">
        <f>INT((AC$33+AE36)*100)/100</f>
        <v>9.6300000000000008</v>
      </c>
      <c r="AE36" s="58">
        <f>AG$38*AF36</f>
        <v>1.5759999999999992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224.4</v>
      </c>
      <c r="C37" s="369">
        <f>$C$12+D37/1440</f>
        <v>44992.652777777774</v>
      </c>
      <c r="D37" s="469">
        <v>250</v>
      </c>
      <c r="E37" s="469"/>
      <c r="F37" s="370">
        <f t="shared" si="13"/>
        <v>11.71</v>
      </c>
      <c r="G37" s="470">
        <f t="shared" si="14"/>
        <v>7.35</v>
      </c>
      <c r="H37" s="470"/>
      <c r="I37" s="345"/>
      <c r="J37" s="372">
        <f t="shared" si="15"/>
        <v>1.0599999999999996</v>
      </c>
      <c r="L37" s="67" t="s">
        <v>21</v>
      </c>
      <c r="S37" s="52">
        <f>$R$34</f>
        <v>264</v>
      </c>
      <c r="T37" s="52">
        <f t="shared" si="10"/>
        <v>14.883990810414202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20.422536226959341</v>
      </c>
      <c r="Z37" s="58">
        <f>Y38-Z38</f>
        <v>10.580801489957333</v>
      </c>
      <c r="AA37" s="58">
        <f>$Z$34</f>
        <v>10.580801489957333</v>
      </c>
      <c r="AB37" s="58">
        <f t="shared" si="6"/>
        <v>420</v>
      </c>
      <c r="AC37" s="58">
        <f t="shared" si="7"/>
        <v>9.8417347370020085</v>
      </c>
      <c r="AD37" s="60">
        <f>INT((AC$33+AE37)*100)/100</f>
        <v>9.83</v>
      </c>
      <c r="AE37" s="58">
        <f>AG$38*AF37</f>
        <v>1.772999999999999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11.879999999999999</v>
      </c>
      <c r="G38" s="470">
        <f t="shared" si="14"/>
        <v>7.52</v>
      </c>
      <c r="H38" s="470"/>
      <c r="I38" s="345"/>
      <c r="J38" s="372">
        <f t="shared" si="15"/>
        <v>0.16999999999999993</v>
      </c>
      <c r="L38" s="67" t="s">
        <v>21</v>
      </c>
      <c r="S38" s="52">
        <f>$R$34</f>
        <v>264</v>
      </c>
      <c r="T38" s="52">
        <f t="shared" si="10"/>
        <v>14.883990810414202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20.610801489957332</v>
      </c>
      <c r="Z38" s="58">
        <f>Input!B23</f>
        <v>10.029999999999999</v>
      </c>
      <c r="AA38" s="58">
        <f>$Z$34</f>
        <v>10.580801489957333</v>
      </c>
      <c r="AB38" s="58">
        <f t="shared" si="6"/>
        <v>480</v>
      </c>
      <c r="AC38" s="58">
        <f t="shared" si="7"/>
        <v>10.029999999999999</v>
      </c>
      <c r="AD38" s="60">
        <f>INT((AC$33+AE38)*100)/100</f>
        <v>10.029999999999999</v>
      </c>
      <c r="AE38" s="58">
        <f>AG$38*AF38</f>
        <v>1.9699999999999989</v>
      </c>
      <c r="AF38" s="58">
        <v>1</v>
      </c>
      <c r="AG38" s="58">
        <f>AC38-AC33</f>
        <v>1.9699999999999989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12.06</v>
      </c>
      <c r="G39" s="470">
        <f t="shared" si="14"/>
        <v>7.7</v>
      </c>
      <c r="H39" s="470"/>
      <c r="I39" s="345"/>
      <c r="J39" s="372">
        <f t="shared" si="15"/>
        <v>0.1800000000000006</v>
      </c>
      <c r="K39" s="61" t="s">
        <v>21</v>
      </c>
      <c r="L39" s="67" t="s">
        <v>21</v>
      </c>
      <c r="R39" s="56">
        <f>B47</f>
        <v>303.59999999999997</v>
      </c>
      <c r="S39" s="52">
        <f>$R$39</f>
        <v>303.59999999999997</v>
      </c>
      <c r="T39" s="52">
        <f t="shared" si="10"/>
        <v>14.883990810414202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23.73585340145717</v>
      </c>
      <c r="Z39" s="58">
        <f>Z42</f>
        <v>11.034222076130392</v>
      </c>
      <c r="AA39" s="58">
        <f>$Z$39</f>
        <v>11.034222076130392</v>
      </c>
      <c r="AB39" s="58">
        <f t="shared" si="6"/>
        <v>490</v>
      </c>
      <c r="AC39" s="58">
        <f t="shared" si="7"/>
        <v>12.701631325326778</v>
      </c>
      <c r="AD39" s="60">
        <f>INT((AC$38+AE39)*100)/100</f>
        <v>11.23</v>
      </c>
      <c r="AE39" s="58">
        <f>AG$43*AF39</f>
        <v>1.2000000000000002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12.24</v>
      </c>
      <c r="G40" s="470">
        <f t="shared" si="14"/>
        <v>7.88</v>
      </c>
      <c r="H40" s="470"/>
      <c r="I40" s="345"/>
      <c r="J40" s="372">
        <f t="shared" si="15"/>
        <v>0.17999999999999972</v>
      </c>
      <c r="K40" s="61" t="s">
        <v>21</v>
      </c>
      <c r="L40" s="67" t="s">
        <v>21</v>
      </c>
      <c r="S40" s="52">
        <f>$R$39</f>
        <v>303.59999999999997</v>
      </c>
      <c r="T40" s="52">
        <f t="shared" si="10"/>
        <v>14.883990810414202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23.768609655409108</v>
      </c>
      <c r="AA40" s="58">
        <f>$Z$39</f>
        <v>11.034222076130392</v>
      </c>
      <c r="AB40" s="58">
        <f t="shared" si="6"/>
        <v>500</v>
      </c>
      <c r="AC40" s="58">
        <f t="shared" si="7"/>
        <v>12.734387579278716</v>
      </c>
      <c r="AD40" s="60">
        <f>INT((AC$38+AE40)*100)/100</f>
        <v>11.68</v>
      </c>
      <c r="AE40" s="58">
        <f>AG$43*AF40</f>
        <v>1.6500000000000001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12.420000000000002</v>
      </c>
      <c r="G41" s="470">
        <f t="shared" si="14"/>
        <v>8.06</v>
      </c>
      <c r="H41" s="470"/>
      <c r="I41" s="345"/>
      <c r="J41" s="372">
        <f t="shared" si="15"/>
        <v>0.1800000000000006</v>
      </c>
      <c r="K41" s="61" t="s">
        <v>21</v>
      </c>
      <c r="L41" s="67" t="s">
        <v>21</v>
      </c>
      <c r="S41" s="52">
        <f>$R$39</f>
        <v>303.59999999999997</v>
      </c>
      <c r="T41" s="52">
        <f t="shared" si="10"/>
        <v>14.883990810414202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23.80071722784653</v>
      </c>
      <c r="AA41" s="58">
        <f>$Z$39</f>
        <v>11.034222076130392</v>
      </c>
      <c r="AB41" s="58">
        <f t="shared" si="6"/>
        <v>510</v>
      </c>
      <c r="AC41" s="58">
        <f t="shared" si="7"/>
        <v>12.766495151716137</v>
      </c>
      <c r="AD41" s="60">
        <f>INT((AC$38+AE41)*100)/100</f>
        <v>12.13</v>
      </c>
      <c r="AE41" s="58">
        <f>AG$43*AF41</f>
        <v>2.0999999999999996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264</v>
      </c>
      <c r="C42" s="369">
        <f>$C$12+D42/1440</f>
        <v>44992.736111111109</v>
      </c>
      <c r="D42" s="469">
        <v>370</v>
      </c>
      <c r="E42" s="469"/>
      <c r="F42" s="370">
        <f t="shared" si="13"/>
        <v>13.600000000000001</v>
      </c>
      <c r="G42" s="470">
        <f t="shared" si="14"/>
        <v>9.24</v>
      </c>
      <c r="H42" s="470"/>
      <c r="I42" s="345"/>
      <c r="J42" s="372">
        <f t="shared" si="15"/>
        <v>1.1799999999999997</v>
      </c>
      <c r="K42" s="61" t="s">
        <v>21</v>
      </c>
      <c r="L42" s="67" t="s">
        <v>21</v>
      </c>
      <c r="S42" s="52">
        <f>$R$39</f>
        <v>303.59999999999997</v>
      </c>
      <c r="T42" s="52">
        <f t="shared" si="10"/>
        <v>14.883990810414202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23.893392703950056</v>
      </c>
      <c r="Z42" s="58">
        <f>Y43-Z43</f>
        <v>11.034222076130392</v>
      </c>
      <c r="AA42" s="58">
        <f>$Z$39</f>
        <v>11.034222076130392</v>
      </c>
      <c r="AB42" s="58">
        <f t="shared" si="6"/>
        <v>540</v>
      </c>
      <c r="AC42" s="58">
        <f t="shared" si="7"/>
        <v>12.859170627819664</v>
      </c>
      <c r="AD42" s="60">
        <f>INT((AC$38+AE42)*100)/100</f>
        <v>12.58</v>
      </c>
      <c r="AE42" s="58">
        <f>AG$43*AF42</f>
        <v>2.5499999999999998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13.79</v>
      </c>
      <c r="G43" s="470">
        <f t="shared" si="14"/>
        <v>9.43</v>
      </c>
      <c r="H43" s="470"/>
      <c r="I43" s="345"/>
      <c r="J43" s="372">
        <f t="shared" si="15"/>
        <v>0.1899999999999995</v>
      </c>
      <c r="K43" s="61" t="s">
        <v>21</v>
      </c>
      <c r="L43" s="67" t="s">
        <v>21</v>
      </c>
      <c r="S43" s="52">
        <f>$R$39</f>
        <v>303.59999999999997</v>
      </c>
      <c r="T43" s="52">
        <f t="shared" si="10"/>
        <v>14.883990810414202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24.064222076130392</v>
      </c>
      <c r="Z43" s="58">
        <f>Input!B24</f>
        <v>13.03</v>
      </c>
      <c r="AA43" s="58">
        <f>$Z$39</f>
        <v>11.034222076130392</v>
      </c>
      <c r="AB43" s="58">
        <f t="shared" si="6"/>
        <v>600</v>
      </c>
      <c r="AC43" s="58">
        <f t="shared" si="7"/>
        <v>13.03</v>
      </c>
      <c r="AD43" s="60">
        <f>INT((AC$38+AE43)*100)/100</f>
        <v>13.03</v>
      </c>
      <c r="AE43" s="58">
        <f>AG$43*AF43</f>
        <v>3</v>
      </c>
      <c r="AF43" s="58">
        <v>1</v>
      </c>
      <c r="AG43" s="58">
        <f>AC43-AC38</f>
        <v>3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13.990000000000002</v>
      </c>
      <c r="G44" s="470">
        <f t="shared" si="14"/>
        <v>9.6300000000000008</v>
      </c>
      <c r="H44" s="470"/>
      <c r="I44" s="345"/>
      <c r="J44" s="372">
        <f t="shared" si="15"/>
        <v>0.20000000000000107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14.190000000000001</v>
      </c>
      <c r="G45" s="470">
        <f t="shared" si="14"/>
        <v>9.83</v>
      </c>
      <c r="H45" s="470"/>
      <c r="I45" s="345"/>
      <c r="J45" s="372">
        <f t="shared" si="15"/>
        <v>0.19999999999999929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14.39</v>
      </c>
      <c r="G46" s="470">
        <f t="shared" si="14"/>
        <v>10.029999999999999</v>
      </c>
      <c r="H46" s="470"/>
      <c r="I46" s="345"/>
      <c r="J46" s="372">
        <f t="shared" si="15"/>
        <v>0.19999999999999929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303.59999999999997</v>
      </c>
      <c r="C47" s="369">
        <f>$C$12+D47/1440</f>
        <v>44992.819444444445</v>
      </c>
      <c r="D47" s="469">
        <v>490</v>
      </c>
      <c r="E47" s="469"/>
      <c r="F47" s="370">
        <f t="shared" si="13"/>
        <v>15.59</v>
      </c>
      <c r="G47" s="470">
        <f t="shared" si="14"/>
        <v>11.23</v>
      </c>
      <c r="H47" s="470"/>
      <c r="I47" s="345"/>
      <c r="J47" s="372">
        <f t="shared" si="15"/>
        <v>1.2000000000000011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16.04</v>
      </c>
      <c r="G48" s="470">
        <f t="shared" si="14"/>
        <v>11.68</v>
      </c>
      <c r="H48" s="470"/>
      <c r="I48" s="345"/>
      <c r="J48" s="372">
        <f t="shared" si="15"/>
        <v>0.44999999999999929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16.490000000000002</v>
      </c>
      <c r="G49" s="470">
        <f t="shared" si="14"/>
        <v>12.13</v>
      </c>
      <c r="H49" s="470"/>
      <c r="I49" s="345"/>
      <c r="J49" s="372">
        <f t="shared" si="15"/>
        <v>0.45000000000000107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16.940000000000001</v>
      </c>
      <c r="G50" s="470">
        <f t="shared" si="14"/>
        <v>12.58</v>
      </c>
      <c r="H50" s="470"/>
      <c r="I50" s="345"/>
      <c r="J50" s="372">
        <f t="shared" si="15"/>
        <v>0.44999999999999929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17.39</v>
      </c>
      <c r="G51" s="470">
        <f t="shared" si="14"/>
        <v>13.03</v>
      </c>
      <c r="H51" s="470"/>
      <c r="I51" s="345" t="s">
        <v>180</v>
      </c>
      <c r="J51" s="372">
        <f t="shared" si="15"/>
        <v>0.44999999999999929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8" sqref="L8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-2.491933378708314</v>
      </c>
      <c r="N1" s="483" t="s">
        <v>183</v>
      </c>
      <c r="O1" s="483"/>
      <c r="P1" s="70">
        <f>StepTest!G41</f>
        <v>8.06</v>
      </c>
      <c r="Q1" s="71" t="s">
        <v>184</v>
      </c>
      <c r="R1" s="72">
        <f>G35</f>
        <v>10.551933378708314</v>
      </c>
      <c r="S1" s="73">
        <f>D7/2000</f>
        <v>0.1</v>
      </c>
      <c r="T1" s="74">
        <v>13.694421543802108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이랜드 R&amp;D센터 지열시스템공사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15.629999999999999</v>
      </c>
      <c r="T2" s="52">
        <v>44</v>
      </c>
      <c r="U2" s="56">
        <f>B10</f>
        <v>230</v>
      </c>
      <c r="V2" s="56">
        <f>U2</f>
        <v>230</v>
      </c>
      <c r="W2" s="52">
        <f>T1</f>
        <v>13.694421543802108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7.7654673823838101</v>
      </c>
      <c r="AC2" s="58">
        <f>1.6*V2/(4*PI()*W2)*LOG10((2.25*W2*Z2)/(X2*X2*Y2))</f>
        <v>7.7654673823838101</v>
      </c>
      <c r="AD2" s="75">
        <v>0</v>
      </c>
      <c r="AE2" s="57">
        <f>AA2</f>
        <v>1</v>
      </c>
      <c r="AF2" s="58">
        <f t="shared" ref="AF2:AF14" si="1">AC2-$P$3-O3</f>
        <v>5.0854691908599845</v>
      </c>
      <c r="AG2" s="58">
        <f>AC2</f>
        <v>7.7654673823838101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이랜드 R&amp;D센터</v>
      </c>
      <c r="D3" s="165"/>
      <c r="E3" s="165"/>
      <c r="F3" s="167"/>
      <c r="G3" s="165"/>
      <c r="H3" s="168" t="str">
        <f>StepTest!H5</f>
        <v>공  번 : W - 2</v>
      </c>
      <c r="I3" s="168"/>
      <c r="J3" s="169"/>
      <c r="L3" s="78" t="s">
        <v>48</v>
      </c>
      <c r="M3" s="59">
        <f t="shared" ref="M3:M10" si="2">Q17</f>
        <v>0</v>
      </c>
      <c r="N3" s="79"/>
      <c r="O3" s="334"/>
      <c r="P3" s="336">
        <v>2.6799981915238256</v>
      </c>
      <c r="V3" s="56">
        <f>V2</f>
        <v>230</v>
      </c>
      <c r="W3" s="52">
        <f>W$2</f>
        <v>13.694421543802108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8.40919780563042</v>
      </c>
      <c r="AC3" s="58">
        <f t="shared" ref="AC3:AC34" si="5">1.6*V3/(4*PI()*W3)*LOG10((2.25*W3*Z3)/(X3*X3*Y3))</f>
        <v>8.40919780563042</v>
      </c>
      <c r="AD3" s="58">
        <f>AB69</f>
        <v>13.949998191523825</v>
      </c>
      <c r="AE3" s="57">
        <f t="shared" ref="AE3:AE66" si="6">AA3</f>
        <v>2</v>
      </c>
      <c r="AF3" s="58">
        <f t="shared" si="1"/>
        <v>5.7291996141065944</v>
      </c>
      <c r="AG3" s="58">
        <f t="shared" ref="AG3:AG16" si="7">AC3</f>
        <v>8.40919780563042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서울특별시 강서구 마곡동 780번지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-4.4400000000000004</v>
      </c>
      <c r="N4" s="79"/>
      <c r="O4" s="335"/>
      <c r="P4" s="335"/>
      <c r="V4" s="56">
        <f t="shared" ref="V4:V67" si="8">V3</f>
        <v>230</v>
      </c>
      <c r="W4" s="52">
        <f t="shared" ref="W4:W67" si="9">W$2</f>
        <v>13.694421543802108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8.7857559638030462</v>
      </c>
      <c r="AC4" s="58">
        <f>1.6*V4/(4*PI()*W4)*LOG10((2.25*W4*Z4)/(X4*X4*Y4))</f>
        <v>8.7857559638030462</v>
      </c>
      <c r="AD4" s="58">
        <f>AC69</f>
        <v>13.949998191523825</v>
      </c>
      <c r="AE4" s="57">
        <f t="shared" si="6"/>
        <v>3</v>
      </c>
      <c r="AF4" s="58">
        <f t="shared" si="1"/>
        <v>6.1057577722792207</v>
      </c>
      <c r="AG4" s="58">
        <f t="shared" si="7"/>
        <v>8.7857559638030462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주식회사 한일지하수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-9.15</v>
      </c>
      <c r="N5" s="79"/>
      <c r="O5" s="335"/>
      <c r="P5" s="335"/>
      <c r="V5" s="56">
        <f t="shared" si="8"/>
        <v>230</v>
      </c>
      <c r="W5" s="52">
        <f t="shared" si="9"/>
        <v>13.694421543802108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9.052928228877029</v>
      </c>
      <c r="AC5" s="58">
        <f t="shared" si="5"/>
        <v>9.052928228877029</v>
      </c>
      <c r="AD5" s="58">
        <f>AF69</f>
        <v>11.27</v>
      </c>
      <c r="AE5" s="57">
        <f t="shared" si="6"/>
        <v>4</v>
      </c>
      <c r="AF5" s="58">
        <f t="shared" si="1"/>
        <v>6.3729300373532034</v>
      </c>
      <c r="AG5" s="58">
        <f t="shared" si="7"/>
        <v>9.052928228877029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-13.96</v>
      </c>
      <c r="N6" s="79"/>
      <c r="O6" s="335"/>
      <c r="P6" s="335"/>
      <c r="V6" s="56">
        <f t="shared" si="8"/>
        <v>230</v>
      </c>
      <c r="W6" s="52">
        <f t="shared" si="9"/>
        <v>13.694421543802108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9.260163137653846</v>
      </c>
      <c r="AC6" s="58">
        <f t="shared" si="5"/>
        <v>9.260163137653846</v>
      </c>
      <c r="AE6" s="57">
        <f t="shared" si="6"/>
        <v>5</v>
      </c>
      <c r="AF6" s="58">
        <f t="shared" si="1"/>
        <v>6.5801649461300205</v>
      </c>
      <c r="AG6" s="58">
        <f t="shared" si="7"/>
        <v>9.260163137653846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200</v>
      </c>
      <c r="E7" s="176"/>
      <c r="F7" s="177" t="s">
        <v>168</v>
      </c>
      <c r="G7" s="178">
        <f>StepTest!G9</f>
        <v>300</v>
      </c>
      <c r="H7" s="165"/>
      <c r="I7" s="165"/>
      <c r="J7" s="166"/>
      <c r="M7" s="59">
        <f t="shared" si="2"/>
        <v>-18.84</v>
      </c>
      <c r="N7" s="79"/>
      <c r="O7" s="335"/>
      <c r="P7" s="335"/>
      <c r="V7" s="56">
        <f t="shared" si="8"/>
        <v>230</v>
      </c>
      <c r="W7" s="52">
        <f t="shared" si="9"/>
        <v>13.694421543802108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9.903893560900455</v>
      </c>
      <c r="AC7" s="58">
        <f t="shared" si="5"/>
        <v>9.903893560900455</v>
      </c>
      <c r="AE7" s="57">
        <f t="shared" si="6"/>
        <v>10</v>
      </c>
      <c r="AF7" s="58">
        <f t="shared" si="1"/>
        <v>7.2238953693766295</v>
      </c>
      <c r="AG7" s="58">
        <f t="shared" si="7"/>
        <v>9.903893560900455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4.3600000000000003</v>
      </c>
      <c r="E8" s="176"/>
      <c r="F8" s="177" t="s">
        <v>189</v>
      </c>
      <c r="G8" s="181">
        <f>F77</f>
        <v>15.629999999999999</v>
      </c>
      <c r="H8" s="173">
        <f>Input!C40</f>
        <v>230</v>
      </c>
      <c r="I8" s="173"/>
      <c r="J8" s="163"/>
      <c r="K8" s="374">
        <f>Input!M50</f>
        <v>11.27</v>
      </c>
      <c r="L8" s="415">
        <f>G10-K11</f>
        <v>4.4417387676133746</v>
      </c>
      <c r="M8" s="59">
        <f t="shared" si="2"/>
        <v>-43.62</v>
      </c>
      <c r="N8" s="79"/>
      <c r="O8" s="335"/>
      <c r="P8" s="335"/>
      <c r="V8" s="56">
        <f t="shared" si="8"/>
        <v>230</v>
      </c>
      <c r="W8" s="52">
        <f t="shared" si="9"/>
        <v>13.694421543802108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10.28045171907308</v>
      </c>
      <c r="AC8" s="58">
        <f t="shared" si="5"/>
        <v>10.28045171907308</v>
      </c>
      <c r="AE8" s="57">
        <f t="shared" si="6"/>
        <v>15</v>
      </c>
      <c r="AF8" s="58">
        <f t="shared" si="1"/>
        <v>7.600453527549254</v>
      </c>
      <c r="AG8" s="58">
        <f t="shared" si="7"/>
        <v>10.28045171907308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11.27</v>
      </c>
      <c r="M9" s="59">
        <f t="shared" si="2"/>
        <v>-68.66</v>
      </c>
      <c r="N9" s="79"/>
      <c r="O9" s="335"/>
      <c r="P9" s="335"/>
      <c r="V9" s="56">
        <f t="shared" si="8"/>
        <v>230</v>
      </c>
      <c r="W9" s="52">
        <f t="shared" si="9"/>
        <v>13.694421543802108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10.547623984147064</v>
      </c>
      <c r="AC9" s="58">
        <f t="shared" si="5"/>
        <v>10.547623984147064</v>
      </c>
      <c r="AE9" s="57">
        <f t="shared" si="6"/>
        <v>20</v>
      </c>
      <c r="AF9" s="58">
        <f t="shared" si="1"/>
        <v>7.8676257926232385</v>
      </c>
      <c r="AG9" s="58">
        <f t="shared" si="7"/>
        <v>10.547623984147064</v>
      </c>
    </row>
    <row r="10" spans="1:38" s="52" customFormat="1" ht="21" customHeight="1">
      <c r="A10" s="183">
        <v>1</v>
      </c>
      <c r="B10" s="184">
        <f>Input!C26</f>
        <v>230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9.4454691908599848</v>
      </c>
      <c r="G10" s="188">
        <f>AF2</f>
        <v>5.0854691908599845</v>
      </c>
      <c r="H10" s="189"/>
      <c r="I10" s="189"/>
      <c r="J10" s="189"/>
      <c r="K10" s="80">
        <f>K8-K9</f>
        <v>0</v>
      </c>
      <c r="L10" s="76">
        <f>K10+Q17</f>
        <v>0</v>
      </c>
      <c r="M10" s="59">
        <f t="shared" si="2"/>
        <v>-93.82</v>
      </c>
      <c r="N10" s="79"/>
      <c r="O10" s="335"/>
      <c r="P10" s="335"/>
      <c r="V10" s="56">
        <f t="shared" si="8"/>
        <v>230</v>
      </c>
      <c r="W10" s="52">
        <f t="shared" si="9"/>
        <v>13.694421543802108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10.754858892923881</v>
      </c>
      <c r="AC10" s="58">
        <f t="shared" si="5"/>
        <v>10.754858892923881</v>
      </c>
      <c r="AE10" s="57">
        <f t="shared" si="6"/>
        <v>25</v>
      </c>
      <c r="AF10" s="58">
        <f t="shared" si="1"/>
        <v>8.0748607014000555</v>
      </c>
      <c r="AG10" s="58">
        <f t="shared" si="7"/>
        <v>10.754858892923881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10.089199614106594</v>
      </c>
      <c r="G11" s="187">
        <f>AF3</f>
        <v>5.7291996141065944</v>
      </c>
      <c r="H11" s="189"/>
      <c r="I11" s="189"/>
      <c r="J11" s="189"/>
      <c r="K11" s="81">
        <f>G11-G10</f>
        <v>0.6437304232466099</v>
      </c>
      <c r="L11" s="76" t="s">
        <v>21</v>
      </c>
      <c r="N11" s="79"/>
      <c r="O11" s="335"/>
      <c r="V11" s="56">
        <f t="shared" si="8"/>
        <v>230</v>
      </c>
      <c r="W11" s="52">
        <f t="shared" si="9"/>
        <v>13.694421543802108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10.924182142319687</v>
      </c>
      <c r="AC11" s="58">
        <f t="shared" si="5"/>
        <v>10.924182142319687</v>
      </c>
      <c r="AE11" s="57">
        <f t="shared" si="6"/>
        <v>30</v>
      </c>
      <c r="AF11" s="58">
        <f t="shared" si="1"/>
        <v>8.2441839507958612</v>
      </c>
      <c r="AG11" s="58">
        <f t="shared" si="7"/>
        <v>10.924182142319687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10.465757772279222</v>
      </c>
      <c r="G12" s="187">
        <f t="shared" ref="G12:G74" si="14">AF4</f>
        <v>6.1057577722792207</v>
      </c>
      <c r="H12" s="189"/>
      <c r="I12" s="189"/>
      <c r="J12" s="189"/>
      <c r="K12" s="81">
        <f t="shared" ref="K12:K47" si="15">G12-G11</f>
        <v>0.37655815817262628</v>
      </c>
      <c r="L12" s="76" t="s">
        <v>21</v>
      </c>
      <c r="N12" s="79"/>
      <c r="O12" s="335"/>
      <c r="V12" s="56">
        <f t="shared" si="8"/>
        <v>230</v>
      </c>
      <c r="W12" s="52">
        <f t="shared" si="9"/>
        <v>13.694421543802108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11.067342909833439</v>
      </c>
      <c r="AC12" s="58">
        <f t="shared" si="5"/>
        <v>11.067342909833439</v>
      </c>
      <c r="AE12" s="57">
        <f t="shared" si="6"/>
        <v>35</v>
      </c>
      <c r="AF12" s="58">
        <f t="shared" si="1"/>
        <v>8.3873447183096133</v>
      </c>
      <c r="AG12" s="58">
        <f t="shared" si="7"/>
        <v>11.067342909833439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10.732930037353203</v>
      </c>
      <c r="G13" s="187">
        <f t="shared" si="14"/>
        <v>6.3729300373532034</v>
      </c>
      <c r="H13" s="189"/>
      <c r="I13" s="189"/>
      <c r="J13" s="189"/>
      <c r="K13" s="81">
        <f t="shared" si="15"/>
        <v>0.26717226507398273</v>
      </c>
      <c r="L13" s="76" t="s">
        <v>21</v>
      </c>
      <c r="M13" s="337">
        <v>0</v>
      </c>
      <c r="N13" s="79"/>
      <c r="O13" s="335"/>
      <c r="V13" s="56">
        <f t="shared" si="8"/>
        <v>230</v>
      </c>
      <c r="W13" s="52">
        <f t="shared" si="9"/>
        <v>13.694421543802108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11.191354407393673</v>
      </c>
      <c r="AC13" s="58">
        <f t="shared" si="5"/>
        <v>11.191354407393673</v>
      </c>
      <c r="AE13" s="57">
        <f t="shared" si="6"/>
        <v>40</v>
      </c>
      <c r="AF13" s="58">
        <f t="shared" si="1"/>
        <v>8.5113562158698475</v>
      </c>
      <c r="AG13" s="58">
        <f t="shared" si="7"/>
        <v>11.191354407393673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10.940164946130022</v>
      </c>
      <c r="G14" s="187">
        <f t="shared" si="14"/>
        <v>6.5801649461300205</v>
      </c>
      <c r="H14" s="189"/>
      <c r="I14" s="189"/>
      <c r="J14" s="189"/>
      <c r="K14" s="81">
        <f t="shared" si="15"/>
        <v>0.20723490877681705</v>
      </c>
      <c r="L14" s="76" t="s">
        <v>21</v>
      </c>
      <c r="N14" s="79"/>
      <c r="O14" s="335"/>
      <c r="V14" s="56">
        <f t="shared" si="8"/>
        <v>230</v>
      </c>
      <c r="W14" s="52">
        <f t="shared" si="9"/>
        <v>13.694421543802108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11.300740300492313</v>
      </c>
      <c r="AC14" s="58">
        <f t="shared" si="5"/>
        <v>11.300740300492313</v>
      </c>
      <c r="AE14" s="57">
        <f t="shared" si="6"/>
        <v>45</v>
      </c>
      <c r="AF14" s="58">
        <f t="shared" si="1"/>
        <v>8.6207421089684875</v>
      </c>
      <c r="AG14" s="58">
        <f t="shared" si="7"/>
        <v>11.300740300492313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11.583895369376631</v>
      </c>
      <c r="G15" s="187">
        <f t="shared" si="14"/>
        <v>7.2238953693766295</v>
      </c>
      <c r="H15" s="189"/>
      <c r="I15" s="189"/>
      <c r="J15" s="189"/>
      <c r="K15" s="81">
        <f t="shared" si="15"/>
        <v>0.64373042324660901</v>
      </c>
      <c r="L15" s="76" t="s">
        <v>21</v>
      </c>
      <c r="N15" s="82"/>
      <c r="O15" s="54"/>
      <c r="V15" s="56">
        <f t="shared" si="8"/>
        <v>230</v>
      </c>
      <c r="W15" s="52">
        <f t="shared" si="9"/>
        <v>13.694421543802108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11.39858931617049</v>
      </c>
      <c r="AC15" s="58">
        <f t="shared" si="5"/>
        <v>11.39858931617049</v>
      </c>
      <c r="AE15" s="57">
        <f t="shared" si="6"/>
        <v>50</v>
      </c>
      <c r="AF15" s="58">
        <f>AC15-$P$3</f>
        <v>8.7185911246466645</v>
      </c>
      <c r="AG15" s="58">
        <f t="shared" si="7"/>
        <v>11.39858931617049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11.960453527549255</v>
      </c>
      <c r="G16" s="187">
        <f t="shared" si="14"/>
        <v>7.600453527549254</v>
      </c>
      <c r="H16" s="189"/>
      <c r="I16" s="189"/>
      <c r="J16" s="189"/>
      <c r="K16" s="81">
        <f t="shared" si="15"/>
        <v>0.3765581581726245</v>
      </c>
      <c r="L16" s="431" t="s">
        <v>247</v>
      </c>
      <c r="M16" s="432" t="s">
        <v>178</v>
      </c>
      <c r="N16" s="432" t="s">
        <v>179</v>
      </c>
      <c r="O16" s="432" t="s">
        <v>245</v>
      </c>
      <c r="P16" s="432" t="s">
        <v>246</v>
      </c>
      <c r="Q16" s="432" t="s">
        <v>248</v>
      </c>
      <c r="V16" s="56">
        <f t="shared" si="8"/>
        <v>230</v>
      </c>
      <c r="W16" s="52">
        <f t="shared" si="9"/>
        <v>13.694421543802108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11.487104517711934</v>
      </c>
      <c r="AC16" s="58">
        <f t="shared" si="5"/>
        <v>11.487104517711934</v>
      </c>
      <c r="AE16" s="57">
        <f t="shared" si="6"/>
        <v>55</v>
      </c>
      <c r="AF16" s="58">
        <f>AC16-$P$3</f>
        <v>8.8071063261881086</v>
      </c>
      <c r="AG16" s="58">
        <f t="shared" si="7"/>
        <v>11.487104517711934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12.22762579262324</v>
      </c>
      <c r="G17" s="187">
        <f t="shared" si="14"/>
        <v>7.8676257926232385</v>
      </c>
      <c r="H17" s="189"/>
      <c r="I17" s="189"/>
      <c r="J17" s="189"/>
      <c r="K17" s="81">
        <f t="shared" si="15"/>
        <v>0.26717226507398451</v>
      </c>
      <c r="L17" s="417">
        <f>D10</f>
        <v>1</v>
      </c>
      <c r="M17" s="418">
        <f>INT(B10/1440*10000)/10000</f>
        <v>0.15970000000000001</v>
      </c>
      <c r="N17" s="418">
        <f>L17*M17</f>
        <v>0.15970000000000001</v>
      </c>
      <c r="O17" s="418">
        <f>INT((D7/2/1000)^2*PI()*100000)/100000</f>
        <v>3.141E-2</v>
      </c>
      <c r="P17" s="418">
        <f>INT(N17/O17*100)/100</f>
        <v>5.08</v>
      </c>
      <c r="Q17" s="419">
        <f>INT((G10-P17)*100)/100</f>
        <v>0</v>
      </c>
      <c r="V17" s="56">
        <f t="shared" si="8"/>
        <v>230</v>
      </c>
      <c r="W17" s="52">
        <f t="shared" si="9"/>
        <v>13.694421543802108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11.567912565566298</v>
      </c>
      <c r="AC17" s="58">
        <f t="shared" si="5"/>
        <v>11.567912565566298</v>
      </c>
      <c r="AE17" s="57">
        <f t="shared" si="6"/>
        <v>60</v>
      </c>
      <c r="AF17" s="58">
        <f>AC17-$P$3</f>
        <v>8.887914374042472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12.434860701400055</v>
      </c>
      <c r="G18" s="187">
        <f t="shared" si="14"/>
        <v>8.0748607014000555</v>
      </c>
      <c r="H18" s="189"/>
      <c r="I18" s="189"/>
      <c r="J18" s="189"/>
      <c r="K18" s="81">
        <f t="shared" si="15"/>
        <v>0.20723490877681705</v>
      </c>
      <c r="L18" s="417">
        <f t="shared" ref="L18:L31" si="16">D11</f>
        <v>2</v>
      </c>
      <c r="M18" s="418">
        <f>M17</f>
        <v>0.15970000000000001</v>
      </c>
      <c r="N18" s="418">
        <f>L18*M18</f>
        <v>0.31940000000000002</v>
      </c>
      <c r="O18" s="418">
        <f>O17</f>
        <v>3.141E-2</v>
      </c>
      <c r="P18" s="418">
        <f>INT(N18/O18*100)/100</f>
        <v>10.16</v>
      </c>
      <c r="Q18" s="419">
        <f t="shared" ref="Q18:Q27" si="17">INT((G11-P18)*100)/100</f>
        <v>-4.4400000000000004</v>
      </c>
      <c r="V18" s="56">
        <f t="shared" si="8"/>
        <v>230</v>
      </c>
      <c r="W18" s="52">
        <f t="shared" si="9"/>
        <v>13.694421543802108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11.775147474343115</v>
      </c>
      <c r="AC18" s="58">
        <f t="shared" si="5"/>
        <v>11.775147474343115</v>
      </c>
      <c r="AE18" s="57">
        <f t="shared" si="6"/>
        <v>75</v>
      </c>
      <c r="AF18" s="58">
        <f>AC18-$P$3</f>
        <v>9.095149282819289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12.604183950795861</v>
      </c>
      <c r="G19" s="187">
        <f t="shared" si="14"/>
        <v>8.2441839507958612</v>
      </c>
      <c r="H19" s="189"/>
      <c r="I19" s="189"/>
      <c r="J19" s="189"/>
      <c r="K19" s="81">
        <f t="shared" si="15"/>
        <v>0.16932324939580568</v>
      </c>
      <c r="L19" s="417">
        <f t="shared" si="16"/>
        <v>3</v>
      </c>
      <c r="M19" s="418">
        <f>M18</f>
        <v>0.15970000000000001</v>
      </c>
      <c r="N19" s="418">
        <f t="shared" ref="N19:N27" si="18">L19*M19</f>
        <v>0.47910000000000003</v>
      </c>
      <c r="O19" s="418">
        <f t="shared" ref="O19:O31" si="19">O18</f>
        <v>3.141E-2</v>
      </c>
      <c r="P19" s="418">
        <f>INT(N19/O19*100)/100</f>
        <v>15.25</v>
      </c>
      <c r="Q19" s="419">
        <f t="shared" si="17"/>
        <v>-9.15</v>
      </c>
      <c r="V19" s="56">
        <f t="shared" si="8"/>
        <v>230</v>
      </c>
      <c r="W19" s="52">
        <f t="shared" si="9"/>
        <v>13.694421543802108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11.944470723738922</v>
      </c>
      <c r="AC19" s="58">
        <f t="shared" si="5"/>
        <v>11.944470723738922</v>
      </c>
      <c r="AE19" s="57">
        <f t="shared" si="6"/>
        <v>90</v>
      </c>
      <c r="AF19" s="58">
        <f>AC19-$P$3</f>
        <v>9.2644725322150965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12.747344718309613</v>
      </c>
      <c r="G20" s="187">
        <f t="shared" si="14"/>
        <v>8.3873447183096133</v>
      </c>
      <c r="H20" s="189"/>
      <c r="I20" s="189"/>
      <c r="J20" s="189"/>
      <c r="K20" s="81">
        <f t="shared" si="15"/>
        <v>0.14316076751375206</v>
      </c>
      <c r="L20" s="417">
        <f t="shared" si="16"/>
        <v>4</v>
      </c>
      <c r="M20" s="418">
        <f>M19</f>
        <v>0.15970000000000001</v>
      </c>
      <c r="N20" s="418">
        <f>L20*M20</f>
        <v>0.63880000000000003</v>
      </c>
      <c r="O20" s="418">
        <f>O19</f>
        <v>3.141E-2</v>
      </c>
      <c r="P20" s="418">
        <f>INT(N20/O20*100)/100</f>
        <v>20.329999999999998</v>
      </c>
      <c r="Q20" s="419">
        <f t="shared" si="17"/>
        <v>-13.96</v>
      </c>
      <c r="V20" s="56">
        <f t="shared" si="8"/>
        <v>230</v>
      </c>
      <c r="W20" s="52">
        <f t="shared" si="9"/>
        <v>13.694421543802108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12.087631491252674</v>
      </c>
      <c r="AC20" s="58">
        <f t="shared" si="5"/>
        <v>12.087631491252674</v>
      </c>
      <c r="AE20" s="57">
        <f t="shared" si="6"/>
        <v>105</v>
      </c>
      <c r="AF20" s="58">
        <f t="shared" ref="AF20:AF69" si="20">AC20-$P$3</f>
        <v>9.4076332997288485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12.871356215869849</v>
      </c>
      <c r="G21" s="187">
        <f t="shared" si="14"/>
        <v>8.5113562158698475</v>
      </c>
      <c r="H21" s="189"/>
      <c r="I21" s="189"/>
      <c r="J21" s="189"/>
      <c r="K21" s="81">
        <f t="shared" si="15"/>
        <v>0.12401149756023422</v>
      </c>
      <c r="L21" s="417">
        <f t="shared" si="16"/>
        <v>5</v>
      </c>
      <c r="M21" s="418">
        <f>M20</f>
        <v>0.15970000000000001</v>
      </c>
      <c r="N21" s="418">
        <f t="shared" si="18"/>
        <v>0.79849999999999999</v>
      </c>
      <c r="O21" s="418">
        <f t="shared" si="19"/>
        <v>3.141E-2</v>
      </c>
      <c r="P21" s="418">
        <f>INT(N21/O21*100)/100</f>
        <v>25.42</v>
      </c>
      <c r="Q21" s="419">
        <f t="shared" si="17"/>
        <v>-18.84</v>
      </c>
      <c r="V21" s="56">
        <f t="shared" si="8"/>
        <v>230</v>
      </c>
      <c r="W21" s="52">
        <f t="shared" si="9"/>
        <v>13.694421543802108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12.211642988812907</v>
      </c>
      <c r="AC21" s="58">
        <f t="shared" si="5"/>
        <v>12.211642988812907</v>
      </c>
      <c r="AE21" s="57">
        <f t="shared" si="6"/>
        <v>120</v>
      </c>
      <c r="AF21" s="58">
        <f t="shared" si="20"/>
        <v>9.531644797289081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12.980742108968489</v>
      </c>
      <c r="G22" s="187">
        <f t="shared" si="14"/>
        <v>8.6207421089684875</v>
      </c>
      <c r="H22" s="189"/>
      <c r="I22" s="189"/>
      <c r="J22" s="189"/>
      <c r="K22" s="81">
        <f t="shared" si="15"/>
        <v>0.10938589309864</v>
      </c>
      <c r="L22" s="417">
        <f t="shared" si="16"/>
        <v>10</v>
      </c>
      <c r="M22" s="418">
        <f t="shared" ref="M22:M31" si="21">M21</f>
        <v>0.15970000000000001</v>
      </c>
      <c r="N22" s="418">
        <f>L22*M22</f>
        <v>1.597</v>
      </c>
      <c r="O22" s="418">
        <f>O21</f>
        <v>3.141E-2</v>
      </c>
      <c r="P22" s="418">
        <f t="shared" ref="P22:P27" si="22">INT(N22/O22*100)/100</f>
        <v>50.84</v>
      </c>
      <c r="Q22" s="419">
        <f t="shared" si="17"/>
        <v>-43.62</v>
      </c>
      <c r="V22" s="56">
        <f t="shared" si="8"/>
        <v>230</v>
      </c>
      <c r="W22" s="52">
        <f t="shared" si="9"/>
        <v>13.694421543802108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12.354803756326655</v>
      </c>
      <c r="AC22" s="58">
        <f t="shared" si="5"/>
        <v>12.354803756326655</v>
      </c>
      <c r="AE22" s="57">
        <f t="shared" si="6"/>
        <v>140</v>
      </c>
      <c r="AF22" s="58">
        <f t="shared" si="20"/>
        <v>9.6748055648028295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13.078591124646664</v>
      </c>
      <c r="G23" s="187">
        <f t="shared" si="14"/>
        <v>8.7185911246466645</v>
      </c>
      <c r="H23" s="189"/>
      <c r="I23" s="189"/>
      <c r="J23" s="189"/>
      <c r="K23" s="81">
        <f t="shared" si="15"/>
        <v>9.7849015678177054E-2</v>
      </c>
      <c r="L23" s="417">
        <f t="shared" si="16"/>
        <v>15</v>
      </c>
      <c r="M23" s="418">
        <f t="shared" si="21"/>
        <v>0.15970000000000001</v>
      </c>
      <c r="N23" s="418">
        <f t="shared" si="18"/>
        <v>2.3955000000000002</v>
      </c>
      <c r="O23" s="418">
        <f t="shared" si="19"/>
        <v>3.141E-2</v>
      </c>
      <c r="P23" s="418">
        <f t="shared" si="22"/>
        <v>76.260000000000005</v>
      </c>
      <c r="Q23" s="419">
        <f t="shared" si="17"/>
        <v>-68.66</v>
      </c>
      <c r="V23" s="56">
        <f t="shared" si="8"/>
        <v>230</v>
      </c>
      <c r="W23" s="52">
        <f t="shared" si="9"/>
        <v>13.694421543802108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12.478815253886891</v>
      </c>
      <c r="AC23" s="58">
        <f t="shared" si="5"/>
        <v>12.478815253886891</v>
      </c>
      <c r="AE23" s="57">
        <f t="shared" si="6"/>
        <v>160</v>
      </c>
      <c r="AF23" s="58">
        <f t="shared" si="20"/>
        <v>9.7988170623630655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13.167106326188108</v>
      </c>
      <c r="G24" s="187">
        <f t="shared" si="14"/>
        <v>8.8071063261881086</v>
      </c>
      <c r="H24" s="189"/>
      <c r="I24" s="189"/>
      <c r="J24" s="189"/>
      <c r="K24" s="81">
        <f t="shared" si="15"/>
        <v>8.85152015414441E-2</v>
      </c>
      <c r="L24" s="417">
        <f t="shared" si="16"/>
        <v>20</v>
      </c>
      <c r="M24" s="418">
        <f t="shared" si="21"/>
        <v>0.15970000000000001</v>
      </c>
      <c r="N24" s="418">
        <f t="shared" si="18"/>
        <v>3.194</v>
      </c>
      <c r="O24" s="418">
        <f t="shared" si="19"/>
        <v>3.141E-2</v>
      </c>
      <c r="P24" s="418">
        <f t="shared" si="22"/>
        <v>101.68</v>
      </c>
      <c r="Q24" s="419">
        <f t="shared" si="17"/>
        <v>-93.82</v>
      </c>
      <c r="V24" s="56">
        <f t="shared" si="8"/>
        <v>230</v>
      </c>
      <c r="W24" s="52">
        <f t="shared" si="9"/>
        <v>13.694421543802108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12.588201146985531</v>
      </c>
      <c r="AC24" s="58">
        <f t="shared" si="5"/>
        <v>12.588201146985531</v>
      </c>
      <c r="AE24" s="57">
        <f t="shared" si="6"/>
        <v>180</v>
      </c>
      <c r="AF24" s="58">
        <f t="shared" si="20"/>
        <v>9.9082029554617055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13.247914374042473</v>
      </c>
      <c r="G25" s="187">
        <f t="shared" si="14"/>
        <v>8.887914374042472</v>
      </c>
      <c r="H25" s="189"/>
      <c r="I25" s="189"/>
      <c r="J25" s="189"/>
      <c r="K25" s="81">
        <f t="shared" si="15"/>
        <v>8.0808047854363352E-2</v>
      </c>
      <c r="L25" s="417">
        <f t="shared" si="16"/>
        <v>25</v>
      </c>
      <c r="M25" s="418">
        <f t="shared" si="21"/>
        <v>0.15970000000000001</v>
      </c>
      <c r="N25" s="418">
        <f t="shared" si="18"/>
        <v>3.9925000000000002</v>
      </c>
      <c r="O25" s="418">
        <f t="shared" si="19"/>
        <v>3.141E-2</v>
      </c>
      <c r="P25" s="418">
        <f t="shared" si="22"/>
        <v>127.1</v>
      </c>
      <c r="Q25" s="419">
        <f t="shared" si="17"/>
        <v>-119.03</v>
      </c>
      <c r="V25" s="56">
        <f t="shared" si="8"/>
        <v>230</v>
      </c>
      <c r="W25" s="52">
        <f t="shared" si="9"/>
        <v>13.694421543802108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12.855373412059516</v>
      </c>
      <c r="AC25" s="58">
        <f t="shared" si="5"/>
        <v>12.855373412059516</v>
      </c>
      <c r="AE25" s="57">
        <f t="shared" si="6"/>
        <v>240</v>
      </c>
      <c r="AF25" s="58">
        <f t="shared" si="20"/>
        <v>10.17537522053569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13.455149282819288</v>
      </c>
      <c r="G26" s="187">
        <f t="shared" si="14"/>
        <v>9.095149282819289</v>
      </c>
      <c r="H26" s="189"/>
      <c r="I26" s="189"/>
      <c r="J26" s="189"/>
      <c r="K26" s="81">
        <f t="shared" si="15"/>
        <v>0.20723490877681705</v>
      </c>
      <c r="L26" s="417">
        <f t="shared" si="16"/>
        <v>30</v>
      </c>
      <c r="M26" s="418">
        <f t="shared" si="21"/>
        <v>0.15970000000000001</v>
      </c>
      <c r="N26" s="418">
        <f t="shared" si="18"/>
        <v>4.7910000000000004</v>
      </c>
      <c r="O26" s="418">
        <f t="shared" si="19"/>
        <v>3.141E-2</v>
      </c>
      <c r="P26" s="418">
        <f t="shared" si="22"/>
        <v>152.53</v>
      </c>
      <c r="Q26" s="419">
        <f t="shared" si="17"/>
        <v>-144.29</v>
      </c>
      <c r="V26" s="56">
        <f t="shared" si="8"/>
        <v>230</v>
      </c>
      <c r="W26" s="52">
        <f t="shared" si="9"/>
        <v>13.694421543802108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13.062608320836334</v>
      </c>
      <c r="AC26" s="58">
        <f t="shared" si="5"/>
        <v>13.062608320836334</v>
      </c>
      <c r="AE26" s="57">
        <f t="shared" si="6"/>
        <v>300</v>
      </c>
      <c r="AF26" s="58">
        <f t="shared" si="20"/>
        <v>10.382610129312509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13.624472532215098</v>
      </c>
      <c r="G27" s="187">
        <f t="shared" si="14"/>
        <v>9.2644725322150965</v>
      </c>
      <c r="H27" s="189"/>
      <c r="I27" s="189"/>
      <c r="J27" s="189"/>
      <c r="K27" s="81">
        <f t="shared" si="15"/>
        <v>0.16932324939580745</v>
      </c>
      <c r="L27" s="417">
        <f t="shared" si="16"/>
        <v>35</v>
      </c>
      <c r="M27" s="418">
        <f t="shared" si="21"/>
        <v>0.15970000000000001</v>
      </c>
      <c r="N27" s="418">
        <f t="shared" si="18"/>
        <v>5.5895000000000001</v>
      </c>
      <c r="O27" s="418">
        <f t="shared" si="19"/>
        <v>3.141E-2</v>
      </c>
      <c r="P27" s="418">
        <f t="shared" si="22"/>
        <v>177.95</v>
      </c>
      <c r="Q27" s="419">
        <f t="shared" si="17"/>
        <v>-169.57</v>
      </c>
      <c r="V27" s="56">
        <f t="shared" si="8"/>
        <v>230</v>
      </c>
      <c r="W27" s="52">
        <f t="shared" si="9"/>
        <v>13.694421543802108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13.23193157023214</v>
      </c>
      <c r="AC27" s="58">
        <f t="shared" si="5"/>
        <v>13.23193157023214</v>
      </c>
      <c r="AE27" s="57">
        <f t="shared" si="6"/>
        <v>360</v>
      </c>
      <c r="AF27" s="58">
        <f t="shared" si="20"/>
        <v>10.551933378708314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13.76763329972885</v>
      </c>
      <c r="G28" s="187">
        <f t="shared" si="14"/>
        <v>9.4076332997288485</v>
      </c>
      <c r="H28" s="189"/>
      <c r="I28" s="189"/>
      <c r="J28" s="189"/>
      <c r="K28" s="81">
        <f t="shared" si="15"/>
        <v>0.14316076751375206</v>
      </c>
      <c r="L28" s="417">
        <f t="shared" si="16"/>
        <v>40</v>
      </c>
      <c r="M28" s="418">
        <f t="shared" si="21"/>
        <v>0.15970000000000001</v>
      </c>
      <c r="N28" s="418">
        <f>L28*M28</f>
        <v>6.3879999999999999</v>
      </c>
      <c r="O28" s="418">
        <f t="shared" si="19"/>
        <v>3.141E-2</v>
      </c>
      <c r="P28" s="418">
        <f>INT(N28/O28*100)/100</f>
        <v>203.37</v>
      </c>
      <c r="Q28" s="419">
        <f>INT((G21-P28)*100)/100</f>
        <v>-194.86</v>
      </c>
      <c r="S28"/>
      <c r="V28" s="56">
        <f t="shared" si="8"/>
        <v>230</v>
      </c>
      <c r="W28" s="52">
        <f t="shared" si="9"/>
        <v>13.694421543802108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13.37509233774589</v>
      </c>
      <c r="AC28" s="58">
        <f t="shared" si="5"/>
        <v>13.37509233774589</v>
      </c>
      <c r="AE28" s="57">
        <f t="shared" si="6"/>
        <v>420</v>
      </c>
      <c r="AF28" s="58">
        <f t="shared" si="20"/>
        <v>10.695094146222065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13.891644797289082</v>
      </c>
      <c r="G29" s="187">
        <f t="shared" si="14"/>
        <v>9.531644797289081</v>
      </c>
      <c r="H29" s="189"/>
      <c r="I29" s="189"/>
      <c r="J29" s="189"/>
      <c r="K29" s="81">
        <f t="shared" si="15"/>
        <v>0.12401149756023244</v>
      </c>
      <c r="L29" s="417">
        <f t="shared" si="16"/>
        <v>45</v>
      </c>
      <c r="M29" s="418">
        <f t="shared" si="21"/>
        <v>0.15970000000000001</v>
      </c>
      <c r="N29" s="418">
        <f>L29*M29</f>
        <v>7.1865000000000006</v>
      </c>
      <c r="O29" s="418">
        <f t="shared" si="19"/>
        <v>3.141E-2</v>
      </c>
      <c r="P29" s="418">
        <f>INT(N29/O29*100)/100</f>
        <v>228.79</v>
      </c>
      <c r="Q29" s="419">
        <f>INT((G22-P29)*100)/100</f>
        <v>-220.17</v>
      </c>
      <c r="V29" s="56">
        <f t="shared" si="8"/>
        <v>230</v>
      </c>
      <c r="W29" s="52">
        <f t="shared" si="9"/>
        <v>13.694421543802108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13.499103835306125</v>
      </c>
      <c r="AC29" s="58">
        <f t="shared" si="5"/>
        <v>13.499103835306125</v>
      </c>
      <c r="AE29" s="57">
        <f t="shared" si="6"/>
        <v>480</v>
      </c>
      <c r="AF29" s="58">
        <f t="shared" si="20"/>
        <v>10.819105643782299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14.034805564802831</v>
      </c>
      <c r="G30" s="187">
        <f t="shared" si="14"/>
        <v>9.6748055648028295</v>
      </c>
      <c r="H30" s="189"/>
      <c r="I30" s="189"/>
      <c r="J30" s="189"/>
      <c r="K30" s="81">
        <f t="shared" si="15"/>
        <v>0.14316076751374851</v>
      </c>
      <c r="L30" s="417">
        <f t="shared" si="16"/>
        <v>50</v>
      </c>
      <c r="M30" s="418">
        <f t="shared" si="21"/>
        <v>0.15970000000000001</v>
      </c>
      <c r="N30" s="418">
        <f>L30*M30</f>
        <v>7.9850000000000003</v>
      </c>
      <c r="O30" s="418">
        <f t="shared" si="19"/>
        <v>3.141E-2</v>
      </c>
      <c r="P30" s="418">
        <f>INT(N30/O30*100)/100</f>
        <v>254.21</v>
      </c>
      <c r="Q30" s="419">
        <f>INT((G23-P30)*100)/100</f>
        <v>-245.5</v>
      </c>
      <c r="V30" s="56">
        <f t="shared" si="8"/>
        <v>230</v>
      </c>
      <c r="W30" s="52">
        <f t="shared" si="9"/>
        <v>13.694421543802108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13.608489728404766</v>
      </c>
      <c r="AC30" s="58">
        <f t="shared" si="5"/>
        <v>13.608489728404766</v>
      </c>
      <c r="AE30" s="57">
        <f t="shared" si="6"/>
        <v>540</v>
      </c>
      <c r="AF30" s="58">
        <f t="shared" si="20"/>
        <v>10.928491536880941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14.158817062363067</v>
      </c>
      <c r="G31" s="187">
        <f t="shared" si="14"/>
        <v>9.7988170623630655</v>
      </c>
      <c r="H31" s="189"/>
      <c r="I31" s="189"/>
      <c r="J31" s="189"/>
      <c r="K31" s="81">
        <f t="shared" si="15"/>
        <v>0.12401149756023599</v>
      </c>
      <c r="L31" s="417">
        <f t="shared" si="16"/>
        <v>55</v>
      </c>
      <c r="M31" s="418">
        <f t="shared" si="21"/>
        <v>0.15970000000000001</v>
      </c>
      <c r="N31" s="418">
        <f>L31*M31</f>
        <v>8.7835000000000001</v>
      </c>
      <c r="O31" s="418">
        <f t="shared" si="19"/>
        <v>3.141E-2</v>
      </c>
      <c r="P31" s="418">
        <f>INT(N31/O31*100)/100</f>
        <v>279.64</v>
      </c>
      <c r="Q31" s="419">
        <f>INT((G24-P31)*100)/100</f>
        <v>-270.83999999999997</v>
      </c>
      <c r="V31" s="56">
        <f t="shared" si="8"/>
        <v>230</v>
      </c>
      <c r="W31" s="52">
        <f t="shared" si="9"/>
        <v>13.694421543802108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13.706338744082942</v>
      </c>
      <c r="AC31" s="58">
        <f t="shared" si="5"/>
        <v>13.706338744082942</v>
      </c>
      <c r="AE31" s="57">
        <f t="shared" si="6"/>
        <v>600</v>
      </c>
      <c r="AF31" s="58">
        <f t="shared" si="20"/>
        <v>11.026340552559116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14.268202955461707</v>
      </c>
      <c r="G32" s="187">
        <f t="shared" si="14"/>
        <v>9.9082029554617055</v>
      </c>
      <c r="H32" s="189"/>
      <c r="I32" s="189"/>
      <c r="J32" s="189"/>
      <c r="K32" s="81">
        <f t="shared" si="15"/>
        <v>0.10938589309864</v>
      </c>
      <c r="L32" s="83" t="s">
        <v>21</v>
      </c>
      <c r="O32" s="85"/>
      <c r="V32" s="56">
        <f t="shared" si="8"/>
        <v>230</v>
      </c>
      <c r="W32" s="52">
        <f t="shared" si="9"/>
        <v>13.694421543802108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13.794853945624387</v>
      </c>
      <c r="AC32" s="58">
        <f t="shared" si="5"/>
        <v>13.794853945624387</v>
      </c>
      <c r="AE32" s="57">
        <f t="shared" si="6"/>
        <v>660</v>
      </c>
      <c r="AF32" s="58">
        <f t="shared" si="20"/>
        <v>11.114855754100562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3">D32+60</f>
        <v>240</v>
      </c>
      <c r="E33" s="176">
        <f t="shared" si="12"/>
        <v>0.16666666666666666</v>
      </c>
      <c r="F33" s="187">
        <f t="shared" si="13"/>
        <v>14.535375220535691</v>
      </c>
      <c r="G33" s="187">
        <f t="shared" si="14"/>
        <v>10.17537522053569</v>
      </c>
      <c r="H33" s="189"/>
      <c r="I33" s="189"/>
      <c r="J33" s="189"/>
      <c r="K33" s="81">
        <f t="shared" si="15"/>
        <v>0.26717226507398451</v>
      </c>
      <c r="L33" s="76" t="s">
        <v>21</v>
      </c>
      <c r="O33" s="85"/>
      <c r="V33" s="56">
        <f t="shared" si="8"/>
        <v>230</v>
      </c>
      <c r="W33" s="52">
        <f t="shared" si="9"/>
        <v>13.694421543802108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13.875661993478751</v>
      </c>
      <c r="AC33" s="58">
        <f t="shared" si="5"/>
        <v>13.875661993478751</v>
      </c>
      <c r="AE33" s="57">
        <f t="shared" si="6"/>
        <v>720</v>
      </c>
      <c r="AF33" s="58">
        <f t="shared" si="20"/>
        <v>11.195663801954925</v>
      </c>
    </row>
    <row r="34" spans="1:32" s="52" customFormat="1" ht="21" customHeight="1">
      <c r="A34" s="183"/>
      <c r="B34" s="183"/>
      <c r="C34" s="185"/>
      <c r="D34" s="186">
        <f t="shared" si="23"/>
        <v>300</v>
      </c>
      <c r="E34" s="176">
        <f t="shared" si="12"/>
        <v>0.20833333333333334</v>
      </c>
      <c r="F34" s="187">
        <f t="shared" si="13"/>
        <v>14.74261012931251</v>
      </c>
      <c r="G34" s="187">
        <f t="shared" si="14"/>
        <v>10.382610129312509</v>
      </c>
      <c r="H34" s="189"/>
      <c r="I34" s="189"/>
      <c r="J34" s="189"/>
      <c r="K34" s="81">
        <f t="shared" si="15"/>
        <v>0.20723490877681883</v>
      </c>
      <c r="L34" s="76" t="s">
        <v>21</v>
      </c>
      <c r="P34" s="85"/>
      <c r="V34" s="56">
        <f t="shared" si="8"/>
        <v>230</v>
      </c>
      <c r="W34" s="52">
        <f t="shared" si="9"/>
        <v>13.694421543802108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13.949998191523825</v>
      </c>
      <c r="AC34" s="58">
        <f t="shared" si="5"/>
        <v>13.949998191523825</v>
      </c>
      <c r="AE34" s="57">
        <f t="shared" si="6"/>
        <v>780</v>
      </c>
      <c r="AF34" s="58">
        <f t="shared" si="20"/>
        <v>11.27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3"/>
        <v>360</v>
      </c>
      <c r="E35" s="176">
        <f t="shared" si="12"/>
        <v>0.25</v>
      </c>
      <c r="F35" s="187">
        <f t="shared" si="13"/>
        <v>14.911933378708316</v>
      </c>
      <c r="G35" s="187">
        <f t="shared" si="14"/>
        <v>10.551933378708314</v>
      </c>
      <c r="H35" s="189"/>
      <c r="I35" s="189"/>
      <c r="J35" s="189"/>
      <c r="K35" s="81">
        <f t="shared" si="15"/>
        <v>0.16932324939580568</v>
      </c>
      <c r="L35" s="76" t="s">
        <v>21</v>
      </c>
      <c r="O35" s="85"/>
      <c r="V35" s="56">
        <f t="shared" si="8"/>
        <v>230</v>
      </c>
      <c r="W35" s="52">
        <f t="shared" si="9"/>
        <v>13.694421543802108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13.949998191523825</v>
      </c>
      <c r="AC35" s="58">
        <f t="shared" ref="AC35:AC38" si="24">AC34</f>
        <v>13.949998191523825</v>
      </c>
      <c r="AE35" s="57">
        <f t="shared" si="6"/>
        <v>840</v>
      </c>
      <c r="AF35" s="58">
        <f t="shared" si="20"/>
        <v>11.27</v>
      </c>
    </row>
    <row r="36" spans="1:32" s="52" customFormat="1" ht="21" customHeight="1">
      <c r="A36" s="183"/>
      <c r="B36" s="183"/>
      <c r="C36" s="185"/>
      <c r="D36" s="186">
        <f t="shared" si="23"/>
        <v>420</v>
      </c>
      <c r="E36" s="176">
        <f t="shared" si="12"/>
        <v>0.29166666666666669</v>
      </c>
      <c r="F36" s="187">
        <f t="shared" si="13"/>
        <v>15.055094146222064</v>
      </c>
      <c r="G36" s="187">
        <f t="shared" si="14"/>
        <v>10.695094146222065</v>
      </c>
      <c r="H36" s="189"/>
      <c r="I36" s="189"/>
      <c r="J36" s="189"/>
      <c r="K36" s="81">
        <f t="shared" si="15"/>
        <v>0.14316076751375029</v>
      </c>
      <c r="L36" s="76" t="s">
        <v>21</v>
      </c>
      <c r="V36" s="56">
        <f t="shared" si="8"/>
        <v>230</v>
      </c>
      <c r="W36" s="52">
        <f t="shared" si="9"/>
        <v>13.694421543802108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13.949998191523825</v>
      </c>
      <c r="AC36" s="58">
        <f t="shared" si="24"/>
        <v>13.949998191523825</v>
      </c>
      <c r="AE36" s="57">
        <f t="shared" si="6"/>
        <v>900</v>
      </c>
      <c r="AF36" s="58">
        <f t="shared" si="20"/>
        <v>11.27</v>
      </c>
    </row>
    <row r="37" spans="1:32" s="52" customFormat="1" ht="21" customHeight="1">
      <c r="A37" s="183"/>
      <c r="B37" s="183"/>
      <c r="C37" s="185"/>
      <c r="D37" s="186">
        <f t="shared" si="23"/>
        <v>480</v>
      </c>
      <c r="E37" s="176">
        <f t="shared" si="12"/>
        <v>0.33333333333333331</v>
      </c>
      <c r="F37" s="187">
        <f t="shared" si="13"/>
        <v>15.1791056437823</v>
      </c>
      <c r="G37" s="187">
        <f t="shared" si="14"/>
        <v>10.819105643782299</v>
      </c>
      <c r="H37" s="189"/>
      <c r="I37" s="189"/>
      <c r="J37" s="189"/>
      <c r="K37" s="81">
        <f t="shared" si="15"/>
        <v>0.12401149756023422</v>
      </c>
      <c r="L37" s="76" t="s">
        <v>21</v>
      </c>
      <c r="V37" s="56">
        <f t="shared" si="8"/>
        <v>230</v>
      </c>
      <c r="W37" s="52">
        <f t="shared" si="9"/>
        <v>13.694421543802108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13.949998191523825</v>
      </c>
      <c r="AC37" s="58">
        <f t="shared" si="24"/>
        <v>13.949998191523825</v>
      </c>
      <c r="AD37" s="52">
        <v>37</v>
      </c>
      <c r="AE37" s="57">
        <f t="shared" si="6"/>
        <v>960</v>
      </c>
      <c r="AF37" s="58">
        <f t="shared" si="20"/>
        <v>11.27</v>
      </c>
    </row>
    <row r="38" spans="1:32" s="52" customFormat="1" ht="21" customHeight="1">
      <c r="A38" s="183"/>
      <c r="B38" s="183"/>
      <c r="C38" s="185"/>
      <c r="D38" s="186">
        <f t="shared" si="23"/>
        <v>540</v>
      </c>
      <c r="E38" s="176">
        <f t="shared" si="12"/>
        <v>0.375</v>
      </c>
      <c r="F38" s="187">
        <f t="shared" si="13"/>
        <v>15.28849153688094</v>
      </c>
      <c r="G38" s="187">
        <f t="shared" si="14"/>
        <v>10.928491536880941</v>
      </c>
      <c r="H38" s="189"/>
      <c r="I38" s="189"/>
      <c r="J38" s="189"/>
      <c r="K38" s="81">
        <f t="shared" si="15"/>
        <v>0.10938589309864177</v>
      </c>
      <c r="L38" s="76" t="s">
        <v>21</v>
      </c>
      <c r="V38" s="56">
        <f t="shared" si="8"/>
        <v>230</v>
      </c>
      <c r="W38" s="52">
        <f t="shared" si="9"/>
        <v>13.694421543802108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13.949998191523825</v>
      </c>
      <c r="AC38" s="58">
        <f t="shared" si="24"/>
        <v>13.949998191523825</v>
      </c>
      <c r="AD38" s="53" t="s">
        <v>40</v>
      </c>
      <c r="AE38" s="57">
        <f t="shared" si="6"/>
        <v>1020</v>
      </c>
      <c r="AF38" s="58">
        <f t="shared" si="20"/>
        <v>11.27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3"/>
        <v>600</v>
      </c>
      <c r="E39" s="176">
        <f t="shared" si="12"/>
        <v>0.41666666666666669</v>
      </c>
      <c r="F39" s="187">
        <f t="shared" si="13"/>
        <v>15.386340552559115</v>
      </c>
      <c r="G39" s="187">
        <f t="shared" si="14"/>
        <v>11.026340552559116</v>
      </c>
      <c r="H39" s="189"/>
      <c r="I39" s="189"/>
      <c r="J39" s="189"/>
      <c r="K39" s="81">
        <f t="shared" si="15"/>
        <v>9.7849015678175277E-2</v>
      </c>
      <c r="L39" s="76" t="s">
        <v>21</v>
      </c>
      <c r="V39" s="56">
        <f t="shared" si="8"/>
        <v>230</v>
      </c>
      <c r="W39" s="52">
        <f t="shared" si="9"/>
        <v>13.694421543802108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13.949998191523825</v>
      </c>
      <c r="AC39" s="58">
        <f t="shared" ref="AC39:AC40" si="25">AC38</f>
        <v>13.949998191523825</v>
      </c>
      <c r="AD39" s="86">
        <v>39</v>
      </c>
      <c r="AE39" s="57">
        <f t="shared" si="6"/>
        <v>1080</v>
      </c>
      <c r="AF39" s="58">
        <f t="shared" si="20"/>
        <v>11.27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3"/>
        <v>660</v>
      </c>
      <c r="E40" s="176">
        <f t="shared" si="12"/>
        <v>0.45833333333333331</v>
      </c>
      <c r="F40" s="187">
        <f t="shared" si="13"/>
        <v>15.474855754100563</v>
      </c>
      <c r="G40" s="187">
        <f t="shared" si="14"/>
        <v>11.114855754100562</v>
      </c>
      <c r="H40" s="189"/>
      <c r="I40" s="189"/>
      <c r="J40" s="189"/>
      <c r="K40" s="81">
        <f t="shared" si="15"/>
        <v>8.8515201541445876E-2</v>
      </c>
      <c r="L40" s="76" t="s">
        <v>21</v>
      </c>
      <c r="V40" s="56">
        <f t="shared" si="8"/>
        <v>230</v>
      </c>
      <c r="W40" s="52">
        <f t="shared" si="9"/>
        <v>13.694421543802108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13.949998191523825</v>
      </c>
      <c r="AC40" s="58">
        <f t="shared" si="25"/>
        <v>13.949998191523825</v>
      </c>
      <c r="AD40" s="86">
        <v>40</v>
      </c>
      <c r="AE40" s="57">
        <f t="shared" si="6"/>
        <v>1140</v>
      </c>
      <c r="AF40" s="58">
        <f t="shared" si="20"/>
        <v>11.27</v>
      </c>
    </row>
    <row r="41" spans="1:32" s="52" customFormat="1" ht="21" customHeight="1">
      <c r="A41" s="183"/>
      <c r="B41" s="183"/>
      <c r="C41" s="185"/>
      <c r="D41" s="186">
        <f t="shared" si="23"/>
        <v>720</v>
      </c>
      <c r="E41" s="176">
        <f t="shared" si="12"/>
        <v>0.5</v>
      </c>
      <c r="F41" s="187">
        <f t="shared" si="13"/>
        <v>15.555663801954925</v>
      </c>
      <c r="G41" s="187">
        <f t="shared" si="14"/>
        <v>11.195663801954925</v>
      </c>
      <c r="H41" s="189"/>
      <c r="I41" s="189"/>
      <c r="J41" s="189"/>
      <c r="K41" s="81">
        <f t="shared" si="15"/>
        <v>8.0808047854363352E-2</v>
      </c>
      <c r="L41" s="76" t="s">
        <v>21</v>
      </c>
      <c r="V41" s="87">
        <f t="shared" si="8"/>
        <v>230</v>
      </c>
      <c r="W41" s="88">
        <f t="shared" si="9"/>
        <v>13.694421543802108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13.949998191523825</v>
      </c>
      <c r="AC41" s="58">
        <f t="shared" ref="AC41:AC46" si="26">AC40</f>
        <v>13.949998191523825</v>
      </c>
      <c r="AD41" s="91">
        <v>41</v>
      </c>
      <c r="AE41" s="57">
        <f t="shared" si="6"/>
        <v>1200</v>
      </c>
      <c r="AF41" s="58">
        <f t="shared" si="20"/>
        <v>11.27</v>
      </c>
    </row>
    <row r="42" spans="1:32" s="52" customFormat="1" ht="21" customHeight="1">
      <c r="A42" s="183"/>
      <c r="B42" s="183"/>
      <c r="C42" s="185"/>
      <c r="D42" s="186">
        <f t="shared" si="23"/>
        <v>780</v>
      </c>
      <c r="E42" s="176">
        <f t="shared" si="12"/>
        <v>0.54166666666666663</v>
      </c>
      <c r="F42" s="187">
        <f t="shared" si="13"/>
        <v>15.629999999999999</v>
      </c>
      <c r="G42" s="187">
        <f t="shared" si="14"/>
        <v>11.27</v>
      </c>
      <c r="H42" s="189"/>
      <c r="I42" s="189"/>
      <c r="J42" s="189"/>
      <c r="K42" s="81">
        <f t="shared" si="15"/>
        <v>7.4336198045074298E-2</v>
      </c>
      <c r="L42" s="76" t="s">
        <v>21</v>
      </c>
      <c r="V42" s="56">
        <f t="shared" si="8"/>
        <v>230</v>
      </c>
      <c r="W42" s="52">
        <f t="shared" si="9"/>
        <v>13.694421543802108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13.949998191523825</v>
      </c>
      <c r="AC42" s="58">
        <f t="shared" si="26"/>
        <v>13.949998191523825</v>
      </c>
      <c r="AD42" s="86">
        <v>42</v>
      </c>
      <c r="AE42" s="57">
        <f t="shared" si="6"/>
        <v>1260</v>
      </c>
      <c r="AF42" s="58">
        <f t="shared" si="20"/>
        <v>11.27</v>
      </c>
    </row>
    <row r="43" spans="1:32" s="52" customFormat="1" ht="21" customHeight="1">
      <c r="A43" s="183"/>
      <c r="B43" s="183"/>
      <c r="C43" s="185"/>
      <c r="D43" s="186">
        <f t="shared" si="23"/>
        <v>840</v>
      </c>
      <c r="E43" s="176">
        <f t="shared" si="12"/>
        <v>0.58333333333333337</v>
      </c>
      <c r="F43" s="187">
        <f t="shared" si="13"/>
        <v>15.629999999999999</v>
      </c>
      <c r="G43" s="187">
        <f t="shared" si="14"/>
        <v>11.27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230</v>
      </c>
      <c r="W43" s="88">
        <f t="shared" si="9"/>
        <v>13.694421543802108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13.949998191523825</v>
      </c>
      <c r="AC43" s="58">
        <f t="shared" si="26"/>
        <v>13.949998191523825</v>
      </c>
      <c r="AD43" s="91">
        <v>43</v>
      </c>
      <c r="AE43" s="57">
        <f t="shared" si="6"/>
        <v>1320</v>
      </c>
      <c r="AF43" s="58">
        <f t="shared" si="20"/>
        <v>11.27</v>
      </c>
    </row>
    <row r="44" spans="1:32" s="52" customFormat="1" ht="21" customHeight="1">
      <c r="A44" s="183"/>
      <c r="B44" s="183"/>
      <c r="C44" s="185"/>
      <c r="D44" s="186">
        <f t="shared" si="23"/>
        <v>900</v>
      </c>
      <c r="E44" s="176">
        <f t="shared" si="12"/>
        <v>0.625</v>
      </c>
      <c r="F44" s="187">
        <f t="shared" si="13"/>
        <v>15.629999999999999</v>
      </c>
      <c r="G44" s="187">
        <f t="shared" si="14"/>
        <v>11.27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230</v>
      </c>
      <c r="W44" s="52">
        <f t="shared" si="9"/>
        <v>13.694421543802108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13.949998191523825</v>
      </c>
      <c r="AC44" s="58">
        <f t="shared" si="26"/>
        <v>13.949998191523825</v>
      </c>
      <c r="AD44" s="86">
        <v>44</v>
      </c>
      <c r="AE44" s="57">
        <f t="shared" si="6"/>
        <v>1380</v>
      </c>
      <c r="AF44" s="58">
        <f t="shared" si="20"/>
        <v>11.27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3"/>
        <v>960</v>
      </c>
      <c r="E45" s="176">
        <f t="shared" si="12"/>
        <v>0.66666666666666663</v>
      </c>
      <c r="F45" s="187">
        <f t="shared" si="13"/>
        <v>15.629999999999999</v>
      </c>
      <c r="G45" s="187">
        <f t="shared" si="14"/>
        <v>11.27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230</v>
      </c>
      <c r="W45" s="88">
        <f t="shared" si="9"/>
        <v>13.694421543802108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13.949998191523825</v>
      </c>
      <c r="AC45" s="58">
        <f t="shared" si="26"/>
        <v>13.949998191523825</v>
      </c>
      <c r="AD45" s="91">
        <v>45</v>
      </c>
      <c r="AE45" s="57">
        <f t="shared" si="6"/>
        <v>1440</v>
      </c>
      <c r="AF45" s="58">
        <f t="shared" si="20"/>
        <v>11.27</v>
      </c>
    </row>
    <row r="46" spans="1:32" s="52" customFormat="1" ht="21" customHeight="1">
      <c r="A46" s="183"/>
      <c r="B46" s="183"/>
      <c r="C46" s="183"/>
      <c r="D46" s="190">
        <f t="shared" si="23"/>
        <v>1020</v>
      </c>
      <c r="E46" s="176">
        <f t="shared" si="12"/>
        <v>0.70833333333333337</v>
      </c>
      <c r="F46" s="187">
        <f t="shared" si="13"/>
        <v>15.629999999999999</v>
      </c>
      <c r="G46" s="187">
        <f t="shared" si="14"/>
        <v>11.27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230</v>
      </c>
      <c r="W46" s="52">
        <f t="shared" si="9"/>
        <v>13.694421543802108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13.949998191523825</v>
      </c>
      <c r="AC46" s="58">
        <f t="shared" si="26"/>
        <v>13.949998191523825</v>
      </c>
      <c r="AD46" s="86">
        <v>46</v>
      </c>
      <c r="AE46" s="92">
        <f t="shared" si="6"/>
        <v>1500</v>
      </c>
      <c r="AF46" s="94">
        <f t="shared" si="20"/>
        <v>11.27</v>
      </c>
    </row>
    <row r="47" spans="1:32" s="52" customFormat="1" ht="21" customHeight="1">
      <c r="A47" s="183"/>
      <c r="B47" s="183"/>
      <c r="C47" s="185"/>
      <c r="D47" s="186">
        <f t="shared" si="23"/>
        <v>1080</v>
      </c>
      <c r="E47" s="176">
        <f t="shared" si="12"/>
        <v>0.75</v>
      </c>
      <c r="F47" s="187">
        <f t="shared" si="13"/>
        <v>15.629999999999999</v>
      </c>
      <c r="G47" s="187">
        <f t="shared" si="14"/>
        <v>11.27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230</v>
      </c>
      <c r="W47" s="52">
        <f t="shared" si="9"/>
        <v>13.694421543802108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13.949998191523825</v>
      </c>
      <c r="AC47" s="58">
        <f t="shared" ref="AC47:AC69" si="27">AC46</f>
        <v>13.949998191523825</v>
      </c>
      <c r="AE47" s="57">
        <f t="shared" si="6"/>
        <v>1560</v>
      </c>
      <c r="AF47" s="58">
        <f t="shared" si="20"/>
        <v>11.27</v>
      </c>
    </row>
    <row r="48" spans="1:32" s="52" customFormat="1" ht="21" customHeight="1">
      <c r="A48" s="183"/>
      <c r="B48" s="183"/>
      <c r="C48" s="185"/>
      <c r="D48" s="186">
        <f t="shared" si="23"/>
        <v>1140</v>
      </c>
      <c r="E48" s="176">
        <f t="shared" si="12"/>
        <v>0.79166666666666663</v>
      </c>
      <c r="F48" s="187">
        <f t="shared" si="13"/>
        <v>15.629999999999999</v>
      </c>
      <c r="G48" s="187">
        <f t="shared" si="14"/>
        <v>11.27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230</v>
      </c>
      <c r="W48" s="52">
        <f t="shared" si="9"/>
        <v>13.694421543802108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13.949998191523825</v>
      </c>
      <c r="AC48" s="58">
        <f t="shared" si="27"/>
        <v>13.949998191523825</v>
      </c>
      <c r="AE48" s="57">
        <f t="shared" si="6"/>
        <v>1620</v>
      </c>
      <c r="AF48" s="58">
        <f t="shared" si="20"/>
        <v>11.27</v>
      </c>
    </row>
    <row r="49" spans="1:32" s="52" customFormat="1" ht="21" customHeight="1">
      <c r="A49" s="183"/>
      <c r="B49" s="183"/>
      <c r="C49" s="185"/>
      <c r="D49" s="186">
        <f t="shared" si="23"/>
        <v>1200</v>
      </c>
      <c r="E49" s="176">
        <f t="shared" si="12"/>
        <v>0.83333333333333337</v>
      </c>
      <c r="F49" s="187">
        <f t="shared" si="13"/>
        <v>15.629999999999999</v>
      </c>
      <c r="G49" s="187">
        <f t="shared" si="14"/>
        <v>11.27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230</v>
      </c>
      <c r="W49" s="52">
        <f t="shared" si="9"/>
        <v>13.694421543802108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13.949998191523825</v>
      </c>
      <c r="AC49" s="58">
        <f t="shared" si="27"/>
        <v>13.949998191523825</v>
      </c>
      <c r="AE49" s="57">
        <f t="shared" si="6"/>
        <v>1680</v>
      </c>
      <c r="AF49" s="58">
        <f t="shared" si="20"/>
        <v>11.27</v>
      </c>
    </row>
    <row r="50" spans="1:32" s="52" customFormat="1" ht="21" customHeight="1">
      <c r="A50" s="183"/>
      <c r="B50" s="183"/>
      <c r="C50" s="185"/>
      <c r="D50" s="186">
        <f t="shared" si="23"/>
        <v>1260</v>
      </c>
      <c r="E50" s="176">
        <f t="shared" si="12"/>
        <v>0.875</v>
      </c>
      <c r="F50" s="187">
        <f t="shared" si="13"/>
        <v>15.629999999999999</v>
      </c>
      <c r="G50" s="187">
        <f t="shared" si="14"/>
        <v>11.27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230</v>
      </c>
      <c r="W50" s="52">
        <f t="shared" si="9"/>
        <v>13.694421543802108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13.949998191523825</v>
      </c>
      <c r="AC50" s="58">
        <f t="shared" si="27"/>
        <v>13.949998191523825</v>
      </c>
      <c r="AE50" s="57">
        <f t="shared" si="6"/>
        <v>1740</v>
      </c>
      <c r="AF50" s="58">
        <f t="shared" si="20"/>
        <v>11.27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3"/>
        <v>1320</v>
      </c>
      <c r="E51" s="176">
        <f t="shared" si="12"/>
        <v>0.91666666666666663</v>
      </c>
      <c r="F51" s="187">
        <f t="shared" si="13"/>
        <v>15.629999999999999</v>
      </c>
      <c r="G51" s="187">
        <f t="shared" si="14"/>
        <v>11.27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230</v>
      </c>
      <c r="W51" s="52">
        <f t="shared" si="9"/>
        <v>13.694421543802108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13.949998191523825</v>
      </c>
      <c r="AC51" s="58">
        <f t="shared" si="27"/>
        <v>13.949998191523825</v>
      </c>
      <c r="AE51" s="57">
        <f t="shared" si="6"/>
        <v>1800</v>
      </c>
      <c r="AF51" s="58">
        <f t="shared" si="20"/>
        <v>11.27</v>
      </c>
    </row>
    <row r="52" spans="1:32" s="52" customFormat="1" ht="21" customHeight="1">
      <c r="A52" s="183"/>
      <c r="B52" s="183"/>
      <c r="C52" s="185"/>
      <c r="D52" s="186">
        <f t="shared" si="23"/>
        <v>1380</v>
      </c>
      <c r="E52" s="176">
        <f t="shared" si="12"/>
        <v>0.95833333333333337</v>
      </c>
      <c r="F52" s="187">
        <f t="shared" si="13"/>
        <v>15.629999999999999</v>
      </c>
      <c r="G52" s="187">
        <f t="shared" si="14"/>
        <v>11.27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230</v>
      </c>
      <c r="W52" s="52">
        <f t="shared" si="9"/>
        <v>13.694421543802108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13.949998191523825</v>
      </c>
      <c r="AC52" s="58">
        <f t="shared" si="27"/>
        <v>13.949998191523825</v>
      </c>
      <c r="AE52" s="57">
        <f t="shared" si="6"/>
        <v>1860</v>
      </c>
      <c r="AF52" s="58">
        <f t="shared" si="20"/>
        <v>11.27</v>
      </c>
    </row>
    <row r="53" spans="1:32" s="52" customFormat="1" ht="21" customHeight="1">
      <c r="A53" s="183"/>
      <c r="B53" s="183"/>
      <c r="C53" s="185"/>
      <c r="D53" s="186">
        <f t="shared" si="23"/>
        <v>1440</v>
      </c>
      <c r="E53" s="176">
        <f t="shared" si="12"/>
        <v>1</v>
      </c>
      <c r="F53" s="187">
        <f t="shared" si="13"/>
        <v>15.629999999999999</v>
      </c>
      <c r="G53" s="187">
        <f t="shared" si="14"/>
        <v>11.27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230</v>
      </c>
      <c r="W53" s="52">
        <f t="shared" si="9"/>
        <v>13.694421543802108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13.949998191523825</v>
      </c>
      <c r="AC53" s="58">
        <f t="shared" si="27"/>
        <v>13.949998191523825</v>
      </c>
      <c r="AE53" s="57">
        <f t="shared" si="6"/>
        <v>1920</v>
      </c>
      <c r="AF53" s="58">
        <f t="shared" si="20"/>
        <v>11.27</v>
      </c>
    </row>
    <row r="54" spans="1:32" s="52" customFormat="1" ht="21" customHeight="1">
      <c r="A54" s="183"/>
      <c r="B54" s="183"/>
      <c r="C54" s="185"/>
      <c r="D54" s="186">
        <f t="shared" si="23"/>
        <v>1500</v>
      </c>
      <c r="E54" s="176">
        <f t="shared" si="12"/>
        <v>1.0416666666666667</v>
      </c>
      <c r="F54" s="187">
        <f t="shared" si="13"/>
        <v>15.629999999999999</v>
      </c>
      <c r="G54" s="187">
        <f t="shared" si="14"/>
        <v>11.27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230</v>
      </c>
      <c r="W54" s="52">
        <f t="shared" si="9"/>
        <v>13.694421543802108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13.949998191523825</v>
      </c>
      <c r="AC54" s="58">
        <f t="shared" si="27"/>
        <v>13.949998191523825</v>
      </c>
      <c r="AE54" s="57">
        <f t="shared" si="6"/>
        <v>1980</v>
      </c>
      <c r="AF54" s="58">
        <f t="shared" si="20"/>
        <v>11.27</v>
      </c>
    </row>
    <row r="55" spans="1:32" s="52" customFormat="1" ht="21" customHeight="1">
      <c r="A55" s="183"/>
      <c r="B55" s="183"/>
      <c r="C55" s="185" t="s">
        <v>4</v>
      </c>
      <c r="D55" s="186">
        <f t="shared" si="23"/>
        <v>1560</v>
      </c>
      <c r="E55" s="176">
        <f t="shared" si="12"/>
        <v>1.0833333333333333</v>
      </c>
      <c r="F55" s="187">
        <f t="shared" si="13"/>
        <v>15.629999999999999</v>
      </c>
      <c r="G55" s="187">
        <f t="shared" si="14"/>
        <v>11.27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230</v>
      </c>
      <c r="W55" s="52">
        <f t="shared" si="9"/>
        <v>13.694421543802108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13.949998191523825</v>
      </c>
      <c r="AC55" s="58">
        <f t="shared" si="27"/>
        <v>13.949998191523825</v>
      </c>
      <c r="AE55" s="57">
        <f t="shared" si="6"/>
        <v>2040</v>
      </c>
      <c r="AF55" s="58">
        <f t="shared" si="20"/>
        <v>11.27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3"/>
        <v>1620</v>
      </c>
      <c r="E56" s="176">
        <f t="shared" si="12"/>
        <v>1.125</v>
      </c>
      <c r="F56" s="187">
        <f t="shared" si="13"/>
        <v>15.629999999999999</v>
      </c>
      <c r="G56" s="187">
        <f t="shared" si="14"/>
        <v>11.27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230</v>
      </c>
      <c r="W56" s="52">
        <f t="shared" si="9"/>
        <v>13.694421543802108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13.949998191523825</v>
      </c>
      <c r="AC56" s="58">
        <f t="shared" si="27"/>
        <v>13.949998191523825</v>
      </c>
      <c r="AE56" s="57">
        <f t="shared" si="6"/>
        <v>2100</v>
      </c>
      <c r="AF56" s="58">
        <f t="shared" si="20"/>
        <v>11.27</v>
      </c>
    </row>
    <row r="57" spans="1:32" s="52" customFormat="1" ht="21.6" customHeight="1">
      <c r="A57" s="183"/>
      <c r="B57" s="183"/>
      <c r="C57" s="185"/>
      <c r="D57" s="186">
        <f t="shared" si="23"/>
        <v>1680</v>
      </c>
      <c r="E57" s="176">
        <f t="shared" si="12"/>
        <v>1.1666666666666667</v>
      </c>
      <c r="F57" s="187">
        <f t="shared" si="13"/>
        <v>15.629999999999999</v>
      </c>
      <c r="G57" s="187">
        <f t="shared" si="14"/>
        <v>11.27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230</v>
      </c>
      <c r="W57" s="52">
        <f t="shared" si="9"/>
        <v>13.694421543802108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13.949998191523825</v>
      </c>
      <c r="AC57" s="58">
        <f t="shared" si="27"/>
        <v>13.949998191523825</v>
      </c>
      <c r="AE57" s="57">
        <f t="shared" si="6"/>
        <v>2160</v>
      </c>
      <c r="AF57" s="58">
        <f t="shared" si="20"/>
        <v>11.27</v>
      </c>
    </row>
    <row r="58" spans="1:32" s="52" customFormat="1" ht="21.6" customHeight="1">
      <c r="A58" s="183"/>
      <c r="B58" s="183"/>
      <c r="C58" s="185"/>
      <c r="D58" s="186">
        <f t="shared" si="23"/>
        <v>1740</v>
      </c>
      <c r="E58" s="176">
        <f t="shared" si="12"/>
        <v>1.2083333333333333</v>
      </c>
      <c r="F58" s="187">
        <f t="shared" si="13"/>
        <v>15.629999999999999</v>
      </c>
      <c r="G58" s="187">
        <f t="shared" si="14"/>
        <v>11.27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230</v>
      </c>
      <c r="W58" s="52">
        <f t="shared" si="9"/>
        <v>13.694421543802108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13.949998191523825</v>
      </c>
      <c r="AC58" s="58">
        <f t="shared" si="27"/>
        <v>13.949998191523825</v>
      </c>
      <c r="AE58" s="57">
        <f t="shared" si="6"/>
        <v>2220</v>
      </c>
      <c r="AF58" s="58">
        <f t="shared" si="20"/>
        <v>11.27</v>
      </c>
    </row>
    <row r="59" spans="1:32" s="52" customFormat="1" ht="21.6" customHeight="1">
      <c r="A59" s="183"/>
      <c r="B59" s="183"/>
      <c r="C59" s="185"/>
      <c r="D59" s="186">
        <f t="shared" si="23"/>
        <v>1800</v>
      </c>
      <c r="E59" s="176">
        <f t="shared" si="12"/>
        <v>1.25</v>
      </c>
      <c r="F59" s="187">
        <f t="shared" si="13"/>
        <v>15.629999999999999</v>
      </c>
      <c r="G59" s="187">
        <f t="shared" si="14"/>
        <v>11.27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230</v>
      </c>
      <c r="W59" s="52">
        <f t="shared" si="9"/>
        <v>13.694421543802108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13.949998191523825</v>
      </c>
      <c r="AC59" s="58">
        <f t="shared" si="27"/>
        <v>13.949998191523825</v>
      </c>
      <c r="AE59" s="57">
        <f t="shared" si="6"/>
        <v>2280</v>
      </c>
      <c r="AF59" s="58">
        <f t="shared" si="20"/>
        <v>11.27</v>
      </c>
    </row>
    <row r="60" spans="1:32" s="52" customFormat="1" ht="21.6" customHeight="1">
      <c r="A60" s="183"/>
      <c r="B60" s="183"/>
      <c r="C60" s="185"/>
      <c r="D60" s="186">
        <f t="shared" si="23"/>
        <v>1860</v>
      </c>
      <c r="E60" s="176">
        <f t="shared" si="12"/>
        <v>1.2916666666666667</v>
      </c>
      <c r="F60" s="187">
        <f t="shared" si="13"/>
        <v>15.629999999999999</v>
      </c>
      <c r="G60" s="187">
        <f t="shared" si="14"/>
        <v>11.27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230</v>
      </c>
      <c r="W60" s="52">
        <f t="shared" si="9"/>
        <v>13.694421543802108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13.949998191523825</v>
      </c>
      <c r="AC60" s="58">
        <f t="shared" si="27"/>
        <v>13.949998191523825</v>
      </c>
      <c r="AE60" s="57">
        <f t="shared" si="6"/>
        <v>2340</v>
      </c>
      <c r="AF60" s="58">
        <f t="shared" si="20"/>
        <v>11.27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3"/>
        <v>1920</v>
      </c>
      <c r="E61" s="176">
        <f t="shared" si="12"/>
        <v>1.3333333333333333</v>
      </c>
      <c r="F61" s="187">
        <f t="shared" si="13"/>
        <v>15.629999999999999</v>
      </c>
      <c r="G61" s="187">
        <f t="shared" si="14"/>
        <v>11.27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230</v>
      </c>
      <c r="W61" s="52">
        <f t="shared" si="9"/>
        <v>13.694421543802108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13.949998191523825</v>
      </c>
      <c r="AC61" s="58">
        <f t="shared" si="27"/>
        <v>13.949998191523825</v>
      </c>
      <c r="AE61" s="57">
        <f t="shared" si="6"/>
        <v>2400</v>
      </c>
      <c r="AF61" s="58">
        <f t="shared" si="20"/>
        <v>11.27</v>
      </c>
    </row>
    <row r="62" spans="1:32" s="52" customFormat="1" ht="21.6" customHeight="1">
      <c r="A62" s="183"/>
      <c r="B62" s="183"/>
      <c r="C62" s="185"/>
      <c r="D62" s="186">
        <f t="shared" si="23"/>
        <v>1980</v>
      </c>
      <c r="E62" s="176">
        <f t="shared" si="12"/>
        <v>1.375</v>
      </c>
      <c r="F62" s="187">
        <f t="shared" si="13"/>
        <v>15.629999999999999</v>
      </c>
      <c r="G62" s="187">
        <f t="shared" si="14"/>
        <v>11.27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230</v>
      </c>
      <c r="W62" s="52">
        <f t="shared" si="9"/>
        <v>13.694421543802108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13.949998191523825</v>
      </c>
      <c r="AC62" s="58">
        <f t="shared" si="27"/>
        <v>13.949998191523825</v>
      </c>
      <c r="AE62" s="57">
        <f t="shared" si="6"/>
        <v>2460</v>
      </c>
      <c r="AF62" s="58">
        <f t="shared" si="20"/>
        <v>11.27</v>
      </c>
    </row>
    <row r="63" spans="1:32" s="52" customFormat="1" ht="21.6" customHeight="1">
      <c r="A63" s="183"/>
      <c r="B63" s="183"/>
      <c r="C63" s="185"/>
      <c r="D63" s="186">
        <f t="shared" si="23"/>
        <v>2040</v>
      </c>
      <c r="E63" s="176">
        <f t="shared" si="12"/>
        <v>1.4166666666666667</v>
      </c>
      <c r="F63" s="187">
        <f>F62</f>
        <v>15.629999999999999</v>
      </c>
      <c r="G63" s="187">
        <f t="shared" si="14"/>
        <v>11.27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230</v>
      </c>
      <c r="W63" s="52">
        <f t="shared" si="9"/>
        <v>13.694421543802108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13.949998191523825</v>
      </c>
      <c r="AC63" s="58">
        <f t="shared" si="27"/>
        <v>13.949998191523825</v>
      </c>
      <c r="AE63" s="57">
        <f t="shared" si="6"/>
        <v>2520</v>
      </c>
      <c r="AF63" s="58">
        <f t="shared" si="20"/>
        <v>11.27</v>
      </c>
    </row>
    <row r="64" spans="1:32" s="52" customFormat="1" ht="21.6" customHeight="1">
      <c r="A64" s="183"/>
      <c r="B64" s="183"/>
      <c r="C64" s="185"/>
      <c r="D64" s="186">
        <f t="shared" si="23"/>
        <v>2100</v>
      </c>
      <c r="E64" s="176">
        <f t="shared" si="12"/>
        <v>1.4583333333333333</v>
      </c>
      <c r="F64" s="187">
        <f t="shared" ref="F64:F77" si="28">F63</f>
        <v>15.629999999999999</v>
      </c>
      <c r="G64" s="187">
        <f t="shared" si="14"/>
        <v>11.27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230</v>
      </c>
      <c r="W64" s="52">
        <f t="shared" si="9"/>
        <v>13.694421543802108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13.949998191523825</v>
      </c>
      <c r="AC64" s="58">
        <f t="shared" si="27"/>
        <v>13.949998191523825</v>
      </c>
      <c r="AE64" s="57">
        <f t="shared" si="6"/>
        <v>2580</v>
      </c>
      <c r="AF64" s="58">
        <f t="shared" si="20"/>
        <v>11.27</v>
      </c>
    </row>
    <row r="65" spans="1:32" s="52" customFormat="1" ht="21.6" customHeight="1">
      <c r="A65" s="183"/>
      <c r="B65" s="183"/>
      <c r="C65" s="185"/>
      <c r="D65" s="186">
        <f t="shared" si="23"/>
        <v>2160</v>
      </c>
      <c r="E65" s="176">
        <f t="shared" si="12"/>
        <v>1.5</v>
      </c>
      <c r="F65" s="187">
        <f t="shared" si="28"/>
        <v>15.629999999999999</v>
      </c>
      <c r="G65" s="187">
        <f t="shared" si="14"/>
        <v>11.27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230</v>
      </c>
      <c r="W65" s="52">
        <f t="shared" si="9"/>
        <v>13.694421543802108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13.949998191523825</v>
      </c>
      <c r="AC65" s="58">
        <f t="shared" si="27"/>
        <v>13.949998191523825</v>
      </c>
      <c r="AE65" s="57">
        <f t="shared" si="6"/>
        <v>2640</v>
      </c>
      <c r="AF65" s="58">
        <f t="shared" si="20"/>
        <v>11.27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3"/>
        <v>2220</v>
      </c>
      <c r="E66" s="176">
        <f t="shared" si="12"/>
        <v>1.5416666666666667</v>
      </c>
      <c r="F66" s="187">
        <f t="shared" si="28"/>
        <v>15.629999999999999</v>
      </c>
      <c r="G66" s="187">
        <f t="shared" si="14"/>
        <v>11.27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230</v>
      </c>
      <c r="W66" s="52">
        <f t="shared" si="9"/>
        <v>13.694421543802108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13.949998191523825</v>
      </c>
      <c r="AC66" s="58">
        <f t="shared" si="27"/>
        <v>13.949998191523825</v>
      </c>
      <c r="AE66" s="57">
        <f t="shared" si="6"/>
        <v>2700</v>
      </c>
      <c r="AF66" s="58">
        <f t="shared" si="20"/>
        <v>11.27</v>
      </c>
    </row>
    <row r="67" spans="1:32" s="52" customFormat="1" ht="21.6" customHeight="1">
      <c r="A67" s="183"/>
      <c r="B67" s="183"/>
      <c r="C67" s="185"/>
      <c r="D67" s="186">
        <f t="shared" si="23"/>
        <v>2280</v>
      </c>
      <c r="E67" s="176">
        <f t="shared" si="12"/>
        <v>1.5833333333333333</v>
      </c>
      <c r="F67" s="187">
        <f t="shared" si="28"/>
        <v>15.629999999999999</v>
      </c>
      <c r="G67" s="187">
        <f t="shared" si="14"/>
        <v>11.27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230</v>
      </c>
      <c r="W67" s="52">
        <f t="shared" si="9"/>
        <v>13.694421543802108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13.949998191523825</v>
      </c>
      <c r="AC67" s="58">
        <f t="shared" si="27"/>
        <v>13.949998191523825</v>
      </c>
      <c r="AE67" s="57">
        <f>AA67</f>
        <v>2760</v>
      </c>
      <c r="AF67" s="58">
        <f t="shared" si="20"/>
        <v>11.27</v>
      </c>
    </row>
    <row r="68" spans="1:32" s="52" customFormat="1" ht="21.6" customHeight="1">
      <c r="A68" s="183"/>
      <c r="B68" s="183"/>
      <c r="C68" s="185" t="s">
        <v>4</v>
      </c>
      <c r="D68" s="186">
        <f t="shared" si="23"/>
        <v>2340</v>
      </c>
      <c r="E68" s="176">
        <f t="shared" si="12"/>
        <v>1.625</v>
      </c>
      <c r="F68" s="187">
        <f t="shared" si="28"/>
        <v>15.629999999999999</v>
      </c>
      <c r="G68" s="187">
        <f t="shared" si="14"/>
        <v>11.27</v>
      </c>
      <c r="H68" s="189"/>
      <c r="I68" s="189"/>
      <c r="J68" s="189"/>
      <c r="K68" s="52" t="s">
        <v>21</v>
      </c>
      <c r="L68" s="76" t="s">
        <v>21</v>
      </c>
      <c r="V68" s="56">
        <f>V67</f>
        <v>230</v>
      </c>
      <c r="W68" s="52">
        <f t="shared" ref="W68:W83" si="31">W$2</f>
        <v>13.694421543802108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13.949998191523825</v>
      </c>
      <c r="AC68" s="58">
        <f t="shared" si="27"/>
        <v>13.949998191523825</v>
      </c>
      <c r="AE68" s="57">
        <f>AA68</f>
        <v>2820</v>
      </c>
      <c r="AF68" s="58">
        <f t="shared" si="20"/>
        <v>11.27</v>
      </c>
    </row>
    <row r="69" spans="1:32" s="52" customFormat="1" ht="21.6" customHeight="1">
      <c r="A69" s="183"/>
      <c r="B69" s="183"/>
      <c r="C69" s="185"/>
      <c r="D69" s="186">
        <f t="shared" si="23"/>
        <v>2400</v>
      </c>
      <c r="E69" s="176">
        <f t="shared" si="12"/>
        <v>1.6666666666666667</v>
      </c>
      <c r="F69" s="187">
        <f t="shared" si="28"/>
        <v>15.629999999999999</v>
      </c>
      <c r="G69" s="187">
        <f t="shared" si="14"/>
        <v>11.27</v>
      </c>
      <c r="H69" s="189"/>
      <c r="I69" s="189"/>
      <c r="J69" s="189"/>
      <c r="K69" s="52" t="s">
        <v>21</v>
      </c>
      <c r="L69" s="76" t="s">
        <v>21</v>
      </c>
      <c r="V69" s="56">
        <f>V68</f>
        <v>230</v>
      </c>
      <c r="W69" s="52">
        <f t="shared" si="31"/>
        <v>13.694421543802108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13.949998191523825</v>
      </c>
      <c r="AC69" s="58">
        <f t="shared" si="27"/>
        <v>13.949998191523825</v>
      </c>
      <c r="AE69" s="57">
        <f>AA69</f>
        <v>2880</v>
      </c>
      <c r="AF69" s="58">
        <f t="shared" si="20"/>
        <v>11.27</v>
      </c>
    </row>
    <row r="70" spans="1:32" s="52" customFormat="1" ht="21.6" customHeight="1">
      <c r="A70" s="183"/>
      <c r="B70" s="183"/>
      <c r="C70" s="185"/>
      <c r="D70" s="186">
        <f t="shared" si="23"/>
        <v>2460</v>
      </c>
      <c r="E70" s="176">
        <f t="shared" si="12"/>
        <v>1.7083333333333333</v>
      </c>
      <c r="F70" s="187">
        <f t="shared" si="28"/>
        <v>15.629999999999999</v>
      </c>
      <c r="G70" s="187">
        <f t="shared" si="14"/>
        <v>11.27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13.694421543802108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3"/>
        <v>2520</v>
      </c>
      <c r="E71" s="176">
        <f t="shared" si="12"/>
        <v>1.75</v>
      </c>
      <c r="F71" s="187">
        <f t="shared" si="28"/>
        <v>15.629999999999999</v>
      </c>
      <c r="G71" s="187">
        <f t="shared" si="14"/>
        <v>11.27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13.694421543802108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3"/>
        <v>2580</v>
      </c>
      <c r="E72" s="176">
        <f t="shared" si="12"/>
        <v>1.7916666666666667</v>
      </c>
      <c r="F72" s="187">
        <f t="shared" si="28"/>
        <v>15.629999999999999</v>
      </c>
      <c r="G72" s="187">
        <f t="shared" si="14"/>
        <v>11.27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13.694421543802108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3"/>
        <v>2640</v>
      </c>
      <c r="E73" s="176">
        <f t="shared" si="12"/>
        <v>1.8333333333333333</v>
      </c>
      <c r="F73" s="187">
        <f t="shared" si="28"/>
        <v>15.629999999999999</v>
      </c>
      <c r="G73" s="187">
        <f t="shared" si="14"/>
        <v>11.27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13.694421543802108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3"/>
        <v>2700</v>
      </c>
      <c r="E74" s="176">
        <f t="shared" si="12"/>
        <v>1.875</v>
      </c>
      <c r="F74" s="187">
        <f t="shared" si="28"/>
        <v>15.629999999999999</v>
      </c>
      <c r="G74" s="187">
        <f t="shared" si="14"/>
        <v>11.27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13.694421543802108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3"/>
        <v>2760</v>
      </c>
      <c r="E75" s="176">
        <f>D75/1440</f>
        <v>1.9166666666666667</v>
      </c>
      <c r="F75" s="187">
        <f t="shared" si="28"/>
        <v>15.629999999999999</v>
      </c>
      <c r="G75" s="187">
        <f>AF67</f>
        <v>11.27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13.694421543802108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3"/>
        <v>2820</v>
      </c>
      <c r="E76" s="176">
        <f>D76/1440</f>
        <v>1.9583333333333333</v>
      </c>
      <c r="F76" s="187">
        <f t="shared" si="28"/>
        <v>15.629999999999999</v>
      </c>
      <c r="G76" s="187">
        <f>AF68</f>
        <v>11.27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13.694421543802108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15.629999999999999</v>
      </c>
      <c r="G77" s="187">
        <f>AF69</f>
        <v>11.27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13.694421543802108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12.388872620298397</v>
      </c>
      <c r="G78" s="187">
        <f>H114</f>
        <v>8.0288726202983973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13.694421543802108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11.826152395983252</v>
      </c>
      <c r="G79" s="187">
        <f>H115</f>
        <v>7.4661523959832516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13.694421543802108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11.302871588112794</v>
      </c>
      <c r="G80" s="187">
        <f>H116</f>
        <v>6.9428715881127934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13.694421543802108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10.816266003217004</v>
      </c>
      <c r="G81" s="187">
        <f>H117</f>
        <v>6.4562660032170038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13.694421543802108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10.36376518207015</v>
      </c>
      <c r="G82" s="187">
        <f>H118</f>
        <v>6.0037651820701496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13.694421543802108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9.1878141738480892</v>
      </c>
      <c r="G83" s="187">
        <f>H121</f>
        <v>4.827814173848088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13.694421543802108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8.9595152921554906</v>
      </c>
      <c r="G84" s="187">
        <f>H124</f>
        <v>4.5995152921554912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8.3373758472967054</v>
      </c>
      <c r="G85" s="187">
        <f>H126</f>
        <v>3.9773758472967051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8.0586131947023674</v>
      </c>
      <c r="G86" s="187">
        <f t="shared" ref="G86:G92" si="36">H127</f>
        <v>3.698613194702367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7.7993882019784788</v>
      </c>
      <c r="G87" s="187">
        <f t="shared" si="36"/>
        <v>3.4393882019784781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7.7170820663189037</v>
      </c>
      <c r="G88" s="187">
        <f t="shared" si="36"/>
        <v>3.3570820663189038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7.6367455541997353</v>
      </c>
      <c r="G89" s="187">
        <f t="shared" si="36"/>
        <v>3.276745554199735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7.5583315316271351</v>
      </c>
      <c r="G90" s="187">
        <f t="shared" si="36"/>
        <v>3.1983315316271348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7.4817939925453381</v>
      </c>
      <c r="G91" s="187">
        <f t="shared" si="36"/>
        <v>3.1217939925453382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7.4070880318445731</v>
      </c>
      <c r="G92" s="187">
        <f t="shared" si="36"/>
        <v>3.0470880318445723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7.3341698190149192</v>
      </c>
      <c r="G93" s="187">
        <f>H134</f>
        <v>2.9741698190149184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7.2629965724306444</v>
      </c>
      <c r="G94" s="187">
        <f>H135</f>
        <v>2.9029965724306446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7.1935265342499264</v>
      </c>
      <c r="G95" s="187">
        <f>H136</f>
        <v>2.8335265342499261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7.125718945915227</v>
      </c>
      <c r="G96" s="187">
        <f>H137</f>
        <v>2.7657189459152267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6.9318777854883695</v>
      </c>
      <c r="G97" s="187">
        <f>H138</f>
        <v>2.5718777854883688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6.8703315716034448</v>
      </c>
      <c r="G98" s="187">
        <f>H140</f>
        <v>2.5103315716034444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6.5307792076766482</v>
      </c>
      <c r="G99" s="187">
        <f>H142</f>
        <v>2.1707792076766479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6.2371553613817401</v>
      </c>
      <c r="G100" s="187">
        <f>H144</f>
        <v>1.87715536138174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5.9832476514898936</v>
      </c>
      <c r="G101" s="191">
        <f>H146</f>
        <v>1.6232476514898937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11.27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11.27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9.9845321616019227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11.27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9.2847454738104283</v>
      </c>
      <c r="I112" s="385"/>
      <c r="J112" s="387">
        <f>H111-H112</f>
        <v>0.69978668779149444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11.27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8.6340047904269799</v>
      </c>
      <c r="I113" s="385"/>
      <c r="J113" s="387">
        <f t="shared" ref="J113:J146" si="42">H112-H113</f>
        <v>0.65074068338344837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11.27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8.0288726202983973</v>
      </c>
      <c r="I114" s="390"/>
      <c r="J114" s="387">
        <f t="shared" si="42"/>
        <v>0.60513217012858256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11.27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7.4661523959832516</v>
      </c>
      <c r="I115" s="390"/>
      <c r="J115" s="387">
        <f t="shared" si="42"/>
        <v>0.56272022431514568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11.27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6.9428715881127934</v>
      </c>
      <c r="I116" s="390"/>
      <c r="J116" s="387">
        <f t="shared" si="42"/>
        <v>0.52328080787045828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11.27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6.4562660032170038</v>
      </c>
      <c r="I117" s="390"/>
      <c r="J117" s="387">
        <f t="shared" si="42"/>
        <v>0.48660558489578953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11.27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6.0037651820701496</v>
      </c>
      <c r="I118" s="390"/>
      <c r="J118" s="387">
        <f t="shared" si="42"/>
        <v>0.45250082114685419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11.27</v>
      </c>
      <c r="E119" s="382">
        <f t="shared" si="40"/>
        <v>0.71</v>
      </c>
      <c r="F119" s="383"/>
      <c r="G119" s="375">
        <v>9</v>
      </c>
      <c r="H119" s="391">
        <f t="shared" si="38"/>
        <v>5.5829788214236125</v>
      </c>
      <c r="I119" s="392"/>
      <c r="J119" s="387">
        <f t="shared" si="42"/>
        <v>0.42078636064653718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11.27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5.1916841473998225</v>
      </c>
      <c r="I120" s="385"/>
      <c r="J120" s="387">
        <f t="shared" si="42"/>
        <v>0.39129467402378992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11.27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4.827814173848088</v>
      </c>
      <c r="I121" s="390"/>
      <c r="J121" s="387">
        <f t="shared" si="42"/>
        <v>0.36386997355173456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11.27</v>
      </c>
      <c r="E122" s="382">
        <f t="shared" si="40"/>
        <v>0.62</v>
      </c>
      <c r="F122" s="383"/>
      <c r="G122" s="375">
        <v>14</v>
      </c>
      <c r="H122" s="384">
        <f t="shared" si="38"/>
        <v>4.4894467836379954</v>
      </c>
      <c r="I122" s="385"/>
      <c r="J122" s="387">
        <f t="shared" si="42"/>
        <v>0.33836739021009254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11.27</v>
      </c>
      <c r="E123" s="382">
        <f t="shared" si="40"/>
        <v>0.37</v>
      </c>
      <c r="F123" s="383"/>
      <c r="G123" s="375">
        <v>15</v>
      </c>
      <c r="H123" s="384">
        <f t="shared" si="38"/>
        <v>2.4502581868183095</v>
      </c>
      <c r="I123" s="385"/>
      <c r="J123" s="387">
        <f t="shared" si="42"/>
        <v>2.0391885968196859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11.27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4.5995152921554912</v>
      </c>
      <c r="I124" s="390"/>
      <c r="J124" s="387">
        <f t="shared" si="42"/>
        <v>-2.1492571053371816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11.27</v>
      </c>
      <c r="E125" s="382">
        <f t="shared" si="40"/>
        <v>0.6</v>
      </c>
      <c r="F125" s="383"/>
      <c r="G125" s="375">
        <v>18</v>
      </c>
      <c r="H125" s="384">
        <f t="shared" si="38"/>
        <v>4.2771487035513625</v>
      </c>
      <c r="I125" s="385"/>
      <c r="J125" s="387">
        <f t="shared" si="42"/>
        <v>0.3223665886041287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11.27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3.9773758472967051</v>
      </c>
      <c r="I126" s="390"/>
      <c r="J126" s="387">
        <f t="shared" si="42"/>
        <v>0.29977285625465733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11.27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3.698613194702367</v>
      </c>
      <c r="I127" s="390"/>
      <c r="J127" s="387">
        <f t="shared" si="42"/>
        <v>0.27876265259433808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11.27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3.4393882019784781</v>
      </c>
      <c r="I128" s="390"/>
      <c r="J128" s="387">
        <f t="shared" si="42"/>
        <v>0.25922499272388899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11.27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3.3570820663189038</v>
      </c>
      <c r="I129" s="390"/>
      <c r="J129" s="387">
        <f t="shared" si="42"/>
        <v>8.2306135659574231E-2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11.27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3.276745554199735</v>
      </c>
      <c r="I130" s="390"/>
      <c r="J130" s="387">
        <f t="shared" si="42"/>
        <v>8.0336512119168813E-2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11.27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3.1983315316271348</v>
      </c>
      <c r="I131" s="390"/>
      <c r="J131" s="387">
        <f t="shared" si="42"/>
        <v>7.8414022572600217E-2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11.27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3.1217939925453382</v>
      </c>
      <c r="I132" s="390"/>
      <c r="J132" s="387">
        <f t="shared" si="42"/>
        <v>7.6537539081796613E-2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11.27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3.0470880318445723</v>
      </c>
      <c r="I133" s="390"/>
      <c r="J133" s="387">
        <f t="shared" si="42"/>
        <v>7.470596070076585E-2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11.27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2.9741698190149184</v>
      </c>
      <c r="I134" s="390"/>
      <c r="J134" s="387">
        <f t="shared" si="42"/>
        <v>7.2918212829653939E-2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11.27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2.9029965724306446</v>
      </c>
      <c r="I135" s="390"/>
      <c r="J135" s="387">
        <f t="shared" si="42"/>
        <v>7.1173246584273819E-2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11.27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2.8335265342499261</v>
      </c>
      <c r="I136" s="390"/>
      <c r="J136" s="387">
        <f t="shared" si="42"/>
        <v>6.9470038180718507E-2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11.27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2.7657189459152267</v>
      </c>
      <c r="I137" s="390"/>
      <c r="J137" s="387">
        <f t="shared" si="42"/>
        <v>6.7807588334699354E-2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11.27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2.5718777854883688</v>
      </c>
      <c r="I138" s="390"/>
      <c r="J138" s="387">
        <f t="shared" si="42"/>
        <v>0.19384116042685795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11.27</v>
      </c>
      <c r="E139" s="382">
        <f t="shared" si="40"/>
        <v>0.36</v>
      </c>
      <c r="F139" s="383"/>
      <c r="G139" s="375">
        <v>150</v>
      </c>
      <c r="H139" s="384">
        <f t="shared" si="38"/>
        <v>2.3916223856577301</v>
      </c>
      <c r="I139" s="385"/>
      <c r="J139" s="387">
        <f t="shared" si="42"/>
        <v>0.18025539983063865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11.27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2.5103315716034444</v>
      </c>
      <c r="I140" s="390"/>
      <c r="J140" s="387">
        <f t="shared" si="42"/>
        <v>-0.11870918594571434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11.27</v>
      </c>
      <c r="E141" s="382">
        <f t="shared" si="40"/>
        <v>0.35</v>
      </c>
      <c r="F141" s="383"/>
      <c r="G141" s="375">
        <v>210</v>
      </c>
      <c r="H141" s="384">
        <f t="shared" si="38"/>
        <v>2.3343897660868458</v>
      </c>
      <c r="I141" s="385"/>
      <c r="J141" s="387">
        <f t="shared" si="42"/>
        <v>0.17594180551659866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11.27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2.1707792076766479</v>
      </c>
      <c r="I142" s="390"/>
      <c r="J142" s="387">
        <f t="shared" si="42"/>
        <v>0.16361055841019789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11.27</v>
      </c>
      <c r="E143" s="382">
        <f>C143/100</f>
        <v>0.28999999999999998</v>
      </c>
      <c r="F143" s="383"/>
      <c r="G143" s="375">
        <v>270</v>
      </c>
      <c r="H143" s="384">
        <f t="shared" si="38"/>
        <v>2.0186356352908827</v>
      </c>
      <c r="I143" s="385"/>
      <c r="J143" s="387">
        <f t="shared" si="42"/>
        <v>0.15214357238576515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11.27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1.87715536138174</v>
      </c>
      <c r="I144" s="390"/>
      <c r="J144" s="387">
        <f t="shared" si="42"/>
        <v>0.14148027390914275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11.27</v>
      </c>
      <c r="E145" s="382">
        <f>C145/100</f>
        <v>0.23</v>
      </c>
      <c r="F145" s="383"/>
      <c r="G145" s="375">
        <v>330</v>
      </c>
      <c r="H145" s="384">
        <f t="shared" si="38"/>
        <v>1.7455910265135337</v>
      </c>
      <c r="I145" s="385"/>
      <c r="J145" s="387">
        <f t="shared" si="42"/>
        <v>0.13156433486820629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11.27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1.6232476514898937</v>
      </c>
      <c r="I146" s="390"/>
      <c r="J146" s="387">
        <f t="shared" si="42"/>
        <v>0.12234337502364001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J18" sqref="J18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280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W-2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</v>
      </c>
      <c r="B18" s="156"/>
      <c r="C18" s="157"/>
    </row>
    <row r="19" spans="1:3">
      <c r="A19" s="156">
        <f>Input!M44/2/1000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145</v>
      </c>
      <c r="C24" s="157"/>
    </row>
    <row r="25" spans="1:3">
      <c r="A25" s="158">
        <f>StepTest!D31</f>
        <v>120</v>
      </c>
      <c r="B25" s="158">
        <f>Input!D4</f>
        <v>184</v>
      </c>
      <c r="C25" s="157"/>
    </row>
    <row r="26" spans="1:3">
      <c r="A26" s="158">
        <f>StepTest!D36</f>
        <v>240</v>
      </c>
      <c r="B26" s="158">
        <f>Input!D5</f>
        <v>224.4</v>
      </c>
      <c r="C26" s="157"/>
    </row>
    <row r="27" spans="1:3">
      <c r="A27" s="158">
        <f>StepTest!D41</f>
        <v>360</v>
      </c>
      <c r="B27" s="158">
        <f>Input!D6</f>
        <v>264</v>
      </c>
      <c r="C27" s="157"/>
    </row>
    <row r="28" spans="1:3">
      <c r="A28" s="158">
        <f>StepTest!D46</f>
        <v>480</v>
      </c>
      <c r="B28" s="158">
        <f>Input!D7</f>
        <v>303.59999999999997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W-2</v>
      </c>
      <c r="B30" s="156"/>
      <c r="C30" s="157"/>
    </row>
    <row r="31" spans="1:3">
      <c r="A31" s="159">
        <v>0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1.53</v>
      </c>
      <c r="C36" s="158">
        <v>1</v>
      </c>
    </row>
    <row r="37" spans="1:3">
      <c r="A37" s="156">
        <f>Sheet1!A3</f>
        <v>3</v>
      </c>
      <c r="B37" s="157">
        <f>Sheet1!B3</f>
        <v>1.85</v>
      </c>
      <c r="C37" s="158">
        <v>1</v>
      </c>
    </row>
    <row r="38" spans="1:3">
      <c r="A38" s="156">
        <f>Sheet1!A4</f>
        <v>4</v>
      </c>
      <c r="B38" s="157">
        <f>Sheet1!B4</f>
        <v>2.0699999999999998</v>
      </c>
      <c r="C38" s="158">
        <v>1</v>
      </c>
    </row>
    <row r="39" spans="1:3">
      <c r="A39" s="156">
        <f>Sheet1!A5</f>
        <v>5</v>
      </c>
      <c r="B39" s="157">
        <f>Sheet1!B5</f>
        <v>2.2400000000000002</v>
      </c>
      <c r="C39" s="158">
        <v>1</v>
      </c>
    </row>
    <row r="40" spans="1:3">
      <c r="A40" s="156">
        <f>Sheet1!A6</f>
        <v>10</v>
      </c>
      <c r="B40" s="157">
        <f>Sheet1!B6</f>
        <v>2.78</v>
      </c>
      <c r="C40" s="158">
        <v>1</v>
      </c>
    </row>
    <row r="41" spans="1:3">
      <c r="A41" s="156">
        <f>Sheet1!A7</f>
        <v>15</v>
      </c>
      <c r="B41" s="157">
        <f>Sheet1!B7</f>
        <v>3.09</v>
      </c>
      <c r="C41" s="158">
        <v>1</v>
      </c>
    </row>
    <row r="42" spans="1:3">
      <c r="A42" s="156">
        <f>Sheet1!A8</f>
        <v>20</v>
      </c>
      <c r="B42" s="157">
        <f>Sheet1!B8</f>
        <v>3.32</v>
      </c>
      <c r="C42" s="158">
        <v>1</v>
      </c>
    </row>
    <row r="43" spans="1:3">
      <c r="A43" s="156">
        <f>Sheet1!A9</f>
        <v>25</v>
      </c>
      <c r="B43" s="157">
        <f>Sheet1!B9</f>
        <v>3.49</v>
      </c>
      <c r="C43" s="158">
        <v>1</v>
      </c>
    </row>
    <row r="44" spans="1:3">
      <c r="A44" s="156">
        <f>Sheet1!A10</f>
        <v>30</v>
      </c>
      <c r="B44" s="157">
        <f>Sheet1!B10</f>
        <v>3.63</v>
      </c>
      <c r="C44" s="158">
        <v>1</v>
      </c>
    </row>
    <row r="45" spans="1:3">
      <c r="A45" s="156">
        <f>Sheet1!A11</f>
        <v>35</v>
      </c>
      <c r="B45" s="157">
        <f>Sheet1!B11</f>
        <v>3.75</v>
      </c>
      <c r="C45" s="158">
        <v>1</v>
      </c>
    </row>
    <row r="46" spans="1:3">
      <c r="A46" s="156">
        <f>Sheet1!A12</f>
        <v>40</v>
      </c>
      <c r="B46" s="157">
        <f>Sheet1!B12</f>
        <v>3.85</v>
      </c>
      <c r="C46" s="158">
        <v>1</v>
      </c>
    </row>
    <row r="47" spans="1:3">
      <c r="A47" s="156">
        <f>Sheet1!A13</f>
        <v>45</v>
      </c>
      <c r="B47" s="157">
        <f>Sheet1!B13</f>
        <v>3.95</v>
      </c>
      <c r="C47" s="158">
        <v>1</v>
      </c>
    </row>
    <row r="48" spans="1:3">
      <c r="A48" s="156">
        <f>Sheet1!A14</f>
        <v>50</v>
      </c>
      <c r="B48" s="157">
        <f>Sheet1!B14</f>
        <v>4.03</v>
      </c>
      <c r="C48" s="158">
        <v>1</v>
      </c>
    </row>
    <row r="49" spans="1:3">
      <c r="A49" s="156">
        <f>Sheet1!A15</f>
        <v>55</v>
      </c>
      <c r="B49" s="157">
        <f>Sheet1!B15</f>
        <v>4.0999999999999996</v>
      </c>
      <c r="C49" s="158">
        <v>1</v>
      </c>
    </row>
    <row r="50" spans="1:3">
      <c r="A50" s="156">
        <f>Sheet1!A16</f>
        <v>60</v>
      </c>
      <c r="B50" s="157">
        <f>Sheet1!B16</f>
        <v>4.17</v>
      </c>
      <c r="C50" s="158">
        <v>1</v>
      </c>
    </row>
    <row r="51" spans="1:3">
      <c r="A51" s="156">
        <f>Sheet1!A17</f>
        <v>75</v>
      </c>
      <c r="B51" s="157">
        <f>Sheet1!B17</f>
        <v>4.34</v>
      </c>
      <c r="C51" s="158">
        <v>1</v>
      </c>
    </row>
    <row r="52" spans="1:3">
      <c r="A52" s="156">
        <f>Sheet1!A18</f>
        <v>90</v>
      </c>
      <c r="B52" s="157">
        <f>Sheet1!B18</f>
        <v>4.4800000000000004</v>
      </c>
      <c r="C52" s="158">
        <v>1</v>
      </c>
    </row>
    <row r="53" spans="1:3">
      <c r="A53" s="156">
        <f>Sheet1!A19</f>
        <v>105</v>
      </c>
      <c r="B53" s="157">
        <f>Sheet1!B19</f>
        <v>4.5999999999999996</v>
      </c>
      <c r="C53" s="158">
        <v>1</v>
      </c>
    </row>
    <row r="54" spans="1:3">
      <c r="A54" s="156">
        <f>Sheet1!A20</f>
        <v>120</v>
      </c>
      <c r="B54" s="157">
        <f>Sheet1!B20</f>
        <v>4.71</v>
      </c>
      <c r="C54" s="158">
        <v>1</v>
      </c>
    </row>
    <row r="55" spans="1:3">
      <c r="A55" s="156">
        <f>Sheet1!A21</f>
        <v>121</v>
      </c>
      <c r="B55" s="157">
        <f>Sheet1!B21</f>
        <v>4.87</v>
      </c>
      <c r="C55" s="158">
        <v>1</v>
      </c>
    </row>
    <row r="56" spans="1:3">
      <c r="A56" s="156">
        <f>Sheet1!A22</f>
        <v>122</v>
      </c>
      <c r="B56" s="157">
        <f>Sheet1!B22</f>
        <v>5.0200000000000005</v>
      </c>
      <c r="C56" s="158">
        <v>1</v>
      </c>
    </row>
    <row r="57" spans="1:3">
      <c r="A57" s="156">
        <f>Sheet1!A23</f>
        <v>123</v>
      </c>
      <c r="B57" s="157">
        <f>Sheet1!B23</f>
        <v>5.16</v>
      </c>
      <c r="C57" s="158">
        <v>1</v>
      </c>
    </row>
    <row r="58" spans="1:3">
      <c r="A58" s="156">
        <f>Sheet1!A24</f>
        <v>124</v>
      </c>
      <c r="B58" s="157">
        <f>Sheet1!B24</f>
        <v>5.29</v>
      </c>
      <c r="C58" s="158">
        <v>1</v>
      </c>
    </row>
    <row r="59" spans="1:3">
      <c r="A59" s="156">
        <f>Sheet1!A25</f>
        <v>125</v>
      </c>
      <c r="B59" s="157">
        <f>Sheet1!B25</f>
        <v>5.42</v>
      </c>
      <c r="C59" s="158">
        <v>1</v>
      </c>
    </row>
    <row r="60" spans="1:3">
      <c r="A60" s="156">
        <f>Sheet1!A26</f>
        <v>130</v>
      </c>
      <c r="B60" s="157">
        <f>Sheet1!B26</f>
        <v>5.65</v>
      </c>
      <c r="C60" s="158">
        <v>1</v>
      </c>
    </row>
    <row r="61" spans="1:3">
      <c r="A61" s="156">
        <f>Sheet1!A27</f>
        <v>135</v>
      </c>
      <c r="B61" s="157">
        <f>Sheet1!B27</f>
        <v>5.7600000000000007</v>
      </c>
      <c r="C61" s="158">
        <v>1</v>
      </c>
    </row>
    <row r="62" spans="1:3">
      <c r="A62" s="156">
        <f>Sheet1!A28</f>
        <v>140</v>
      </c>
      <c r="B62" s="157">
        <f>Sheet1!B28</f>
        <v>5.81</v>
      </c>
      <c r="C62" s="158">
        <v>1</v>
      </c>
    </row>
    <row r="63" spans="1:3">
      <c r="A63" s="156">
        <f>Sheet1!A29</f>
        <v>145</v>
      </c>
      <c r="B63" s="157">
        <f>Sheet1!B29</f>
        <v>5.9099999999999993</v>
      </c>
      <c r="C63" s="158">
        <v>1</v>
      </c>
    </row>
    <row r="64" spans="1:3">
      <c r="A64" s="156">
        <f>Sheet1!A30</f>
        <v>150</v>
      </c>
      <c r="B64" s="157">
        <f>Sheet1!B30</f>
        <v>5.97</v>
      </c>
      <c r="C64" s="158">
        <v>1</v>
      </c>
    </row>
    <row r="65" spans="1:3">
      <c r="A65" s="156">
        <f>Sheet1!A31</f>
        <v>155</v>
      </c>
      <c r="B65" s="157">
        <f>Sheet1!B31</f>
        <v>6.0299999999999994</v>
      </c>
      <c r="C65" s="158">
        <v>1</v>
      </c>
    </row>
    <row r="66" spans="1:3">
      <c r="A66" s="156">
        <f>Sheet1!A32</f>
        <v>160</v>
      </c>
      <c r="B66" s="157">
        <f>Sheet1!B32</f>
        <v>6.0799999999999992</v>
      </c>
      <c r="C66" s="158">
        <v>1</v>
      </c>
    </row>
    <row r="67" spans="1:3">
      <c r="A67" s="156">
        <f>Sheet1!A33</f>
        <v>165</v>
      </c>
      <c r="B67" s="157">
        <f>Sheet1!B33</f>
        <v>6.1199999999999992</v>
      </c>
      <c r="C67" s="158">
        <v>1</v>
      </c>
    </row>
    <row r="68" spans="1:3">
      <c r="A68" s="156">
        <f>Sheet1!A34</f>
        <v>170</v>
      </c>
      <c r="B68" s="157">
        <f>Sheet1!B34</f>
        <v>6.1499999999999995</v>
      </c>
      <c r="C68" s="158">
        <v>1</v>
      </c>
    </row>
    <row r="69" spans="1:3">
      <c r="A69" s="156">
        <f>Sheet1!A35</f>
        <v>175</v>
      </c>
      <c r="B69" s="157">
        <f>Sheet1!B35</f>
        <v>6.169999999999999</v>
      </c>
      <c r="C69" s="158">
        <v>1</v>
      </c>
    </row>
    <row r="70" spans="1:3">
      <c r="A70" s="156">
        <f>Sheet1!A36</f>
        <v>180</v>
      </c>
      <c r="B70" s="157">
        <f>Sheet1!B36</f>
        <v>6.13</v>
      </c>
      <c r="C70" s="158">
        <v>1</v>
      </c>
    </row>
    <row r="71" spans="1:3">
      <c r="A71" s="156">
        <f>Sheet1!A37</f>
        <v>195</v>
      </c>
      <c r="B71" s="157">
        <f>Sheet1!B37</f>
        <v>6.2</v>
      </c>
      <c r="C71" s="158">
        <v>1</v>
      </c>
    </row>
    <row r="72" spans="1:3">
      <c r="A72" s="156">
        <f>Sheet1!A38</f>
        <v>210</v>
      </c>
      <c r="B72" s="157">
        <f>Sheet1!B38</f>
        <v>6.26</v>
      </c>
      <c r="C72" s="158">
        <v>1</v>
      </c>
    </row>
    <row r="73" spans="1:3">
      <c r="A73" s="156">
        <f>Sheet1!A39</f>
        <v>225</v>
      </c>
      <c r="B73" s="157">
        <f>Sheet1!B39</f>
        <v>6.31</v>
      </c>
      <c r="C73" s="158">
        <v>1</v>
      </c>
    </row>
    <row r="74" spans="1:3">
      <c r="A74" s="156">
        <f>Sheet1!A40</f>
        <v>240</v>
      </c>
      <c r="B74" s="157">
        <f>Sheet1!B40</f>
        <v>6.29</v>
      </c>
      <c r="C74" s="158">
        <v>1</v>
      </c>
    </row>
    <row r="75" spans="1:3">
      <c r="A75" s="156">
        <f>Sheet1!A41</f>
        <v>241</v>
      </c>
      <c r="B75" s="157">
        <f>Sheet1!B41</f>
        <v>6.47</v>
      </c>
      <c r="C75" s="158">
        <v>1</v>
      </c>
    </row>
    <row r="76" spans="1:3">
      <c r="A76" s="156">
        <f>Sheet1!A42</f>
        <v>242</v>
      </c>
      <c r="B76" s="157">
        <f>Sheet1!B42</f>
        <v>6.63</v>
      </c>
      <c r="C76" s="158">
        <v>1</v>
      </c>
    </row>
    <row r="77" spans="1:3">
      <c r="A77" s="156">
        <f>Sheet1!A43</f>
        <v>243</v>
      </c>
      <c r="B77" s="157">
        <f>Sheet1!B43</f>
        <v>6.78</v>
      </c>
      <c r="C77" s="158">
        <v>1</v>
      </c>
    </row>
    <row r="78" spans="1:3">
      <c r="A78" s="156">
        <f>Sheet1!A44</f>
        <v>244</v>
      </c>
      <c r="B78" s="157">
        <f>Sheet1!B44</f>
        <v>6.92</v>
      </c>
      <c r="C78" s="158">
        <v>1</v>
      </c>
    </row>
    <row r="79" spans="1:3">
      <c r="A79" s="156">
        <f>Sheet1!A45</f>
        <v>245</v>
      </c>
      <c r="B79" s="157">
        <f>Sheet1!B45</f>
        <v>7.05</v>
      </c>
      <c r="C79" s="158">
        <v>1</v>
      </c>
    </row>
    <row r="80" spans="1:3">
      <c r="A80" s="156">
        <f>Sheet1!A46</f>
        <v>250</v>
      </c>
      <c r="B80" s="157">
        <f>Sheet1!B46</f>
        <v>7.35</v>
      </c>
      <c r="C80" s="158">
        <v>1</v>
      </c>
    </row>
    <row r="81" spans="1:3">
      <c r="A81" s="156">
        <f>Sheet1!A47</f>
        <v>255</v>
      </c>
      <c r="B81" s="157">
        <f>Sheet1!B47</f>
        <v>7.46</v>
      </c>
      <c r="C81" s="158">
        <v>1</v>
      </c>
    </row>
    <row r="82" spans="1:3">
      <c r="A82" s="156">
        <f>Sheet1!A48</f>
        <v>260</v>
      </c>
      <c r="B82" s="157">
        <f>Sheet1!B48</f>
        <v>7.52</v>
      </c>
      <c r="C82" s="158">
        <v>1</v>
      </c>
    </row>
    <row r="83" spans="1:3">
      <c r="A83" s="156">
        <f>Sheet1!A49</f>
        <v>265</v>
      </c>
      <c r="B83" s="157">
        <f>Sheet1!B49</f>
        <v>7.63</v>
      </c>
      <c r="C83" s="158">
        <v>1</v>
      </c>
    </row>
    <row r="84" spans="1:3">
      <c r="A84" s="156">
        <f>Sheet1!A50</f>
        <v>270</v>
      </c>
      <c r="B84" s="157">
        <f>Sheet1!B50</f>
        <v>7.7</v>
      </c>
      <c r="C84" s="158">
        <v>1</v>
      </c>
    </row>
    <row r="85" spans="1:3">
      <c r="A85" s="156">
        <f>Sheet1!A51</f>
        <v>275</v>
      </c>
      <c r="B85" s="157">
        <f>Sheet1!B51</f>
        <v>7.7700000000000005</v>
      </c>
      <c r="C85" s="158">
        <v>1</v>
      </c>
    </row>
    <row r="86" spans="1:3">
      <c r="A86" s="156">
        <f>Sheet1!A52</f>
        <v>280</v>
      </c>
      <c r="B86" s="157">
        <f>Sheet1!B52</f>
        <v>7.82</v>
      </c>
      <c r="C86" s="158">
        <v>1</v>
      </c>
    </row>
    <row r="87" spans="1:3">
      <c r="A87" s="156">
        <f>Sheet1!A53</f>
        <v>285</v>
      </c>
      <c r="B87" s="157">
        <f>Sheet1!B53</f>
        <v>7.86</v>
      </c>
      <c r="C87" s="158">
        <v>1</v>
      </c>
    </row>
    <row r="88" spans="1:3">
      <c r="A88" s="156">
        <f>Sheet1!A54</f>
        <v>290</v>
      </c>
      <c r="B88" s="157">
        <f>Sheet1!B54</f>
        <v>7.8900000000000006</v>
      </c>
      <c r="C88" s="158">
        <v>1</v>
      </c>
    </row>
    <row r="89" spans="1:3">
      <c r="A89" s="156">
        <f>Sheet1!A55</f>
        <v>295</v>
      </c>
      <c r="B89" s="157">
        <f>Sheet1!B55</f>
        <v>7.91</v>
      </c>
      <c r="C89" s="158">
        <v>1</v>
      </c>
    </row>
    <row r="90" spans="1:3">
      <c r="A90" s="156">
        <f>Sheet1!A56</f>
        <v>300</v>
      </c>
      <c r="B90" s="157">
        <f>Sheet1!B56</f>
        <v>7.88</v>
      </c>
      <c r="C90" s="158">
        <v>1</v>
      </c>
    </row>
    <row r="91" spans="1:3">
      <c r="A91" s="156">
        <f>Sheet1!A57</f>
        <v>315</v>
      </c>
      <c r="B91" s="157">
        <f>Sheet1!B57</f>
        <v>7.96</v>
      </c>
      <c r="C91" s="158">
        <v>1</v>
      </c>
    </row>
    <row r="92" spans="1:3">
      <c r="A92" s="156">
        <f>Sheet1!A58</f>
        <v>330</v>
      </c>
      <c r="B92" s="157">
        <f>Sheet1!B58</f>
        <v>8.02</v>
      </c>
      <c r="C92" s="158">
        <v>1</v>
      </c>
    </row>
    <row r="93" spans="1:3">
      <c r="A93" s="156">
        <f>Sheet1!A59</f>
        <v>345</v>
      </c>
      <c r="B93" s="157">
        <f>Sheet1!B59</f>
        <v>8.07</v>
      </c>
      <c r="C93" s="158">
        <v>1</v>
      </c>
    </row>
    <row r="94" spans="1:3">
      <c r="A94" s="156">
        <f>Sheet1!A60</f>
        <v>360</v>
      </c>
      <c r="B94" s="157">
        <f>Sheet1!B60</f>
        <v>8.06</v>
      </c>
      <c r="C94" s="158">
        <v>1</v>
      </c>
    </row>
    <row r="95" spans="1:3">
      <c r="A95" s="156">
        <f>Sheet1!A61</f>
        <v>361</v>
      </c>
      <c r="B95" s="157">
        <f>Sheet1!B61</f>
        <v>8.25</v>
      </c>
      <c r="C95" s="158">
        <v>1</v>
      </c>
    </row>
    <row r="96" spans="1:3">
      <c r="A96" s="156">
        <f>Sheet1!A62</f>
        <v>362</v>
      </c>
      <c r="B96" s="157">
        <f>Sheet1!B62</f>
        <v>8.42</v>
      </c>
      <c r="C96" s="158">
        <v>1</v>
      </c>
    </row>
    <row r="97" spans="1:3">
      <c r="A97" s="156">
        <f>Sheet1!A63</f>
        <v>363</v>
      </c>
      <c r="B97" s="157">
        <f>Sheet1!B63</f>
        <v>8.58</v>
      </c>
      <c r="C97" s="158">
        <v>1</v>
      </c>
    </row>
    <row r="98" spans="1:3">
      <c r="A98" s="156">
        <f>Sheet1!A64</f>
        <v>364</v>
      </c>
      <c r="B98" s="157">
        <f>Sheet1!B64</f>
        <v>8.73</v>
      </c>
      <c r="C98" s="158">
        <v>1</v>
      </c>
    </row>
    <row r="99" spans="1:3">
      <c r="A99" s="156">
        <f>Sheet1!A65</f>
        <v>365</v>
      </c>
      <c r="B99" s="157">
        <f>Sheet1!B65</f>
        <v>8.870000000000001</v>
      </c>
      <c r="C99" s="158">
        <v>1</v>
      </c>
    </row>
    <row r="100" spans="1:3">
      <c r="A100" s="156">
        <f>Sheet1!A66</f>
        <v>370</v>
      </c>
      <c r="B100" s="157">
        <f>Sheet1!B66</f>
        <v>9.24</v>
      </c>
      <c r="C100" s="158">
        <v>1</v>
      </c>
    </row>
    <row r="101" spans="1:3">
      <c r="A101" s="156">
        <f>Sheet1!A67</f>
        <v>375</v>
      </c>
      <c r="B101" s="157">
        <f>Sheet1!B67</f>
        <v>9.36</v>
      </c>
      <c r="C101" s="158">
        <v>1</v>
      </c>
    </row>
    <row r="102" spans="1:3">
      <c r="A102" s="156">
        <f>Sheet1!A68</f>
        <v>380</v>
      </c>
      <c r="B102" s="157">
        <f>Sheet1!B68</f>
        <v>9.43</v>
      </c>
      <c r="C102" s="158">
        <v>1</v>
      </c>
    </row>
    <row r="103" spans="1:3">
      <c r="A103" s="156">
        <f>Sheet1!A69</f>
        <v>385</v>
      </c>
      <c r="B103" s="157">
        <f>Sheet1!B69</f>
        <v>9.5499999999999989</v>
      </c>
      <c r="C103" s="158">
        <v>1</v>
      </c>
    </row>
    <row r="104" spans="1:3">
      <c r="A104" s="156">
        <f>Sheet1!A70</f>
        <v>390</v>
      </c>
      <c r="B104" s="157">
        <f>Sheet1!B70</f>
        <v>9.6300000000000008</v>
      </c>
      <c r="C104" s="158">
        <v>1</v>
      </c>
    </row>
    <row r="105" spans="1:3">
      <c r="A105" s="156">
        <f>Sheet1!A71</f>
        <v>395</v>
      </c>
      <c r="B105" s="157">
        <f>Sheet1!B71</f>
        <v>9.7000000000000011</v>
      </c>
      <c r="C105" s="158">
        <v>1</v>
      </c>
    </row>
    <row r="106" spans="1:3">
      <c r="A106" s="156">
        <f>Sheet1!A72</f>
        <v>400</v>
      </c>
      <c r="B106" s="157">
        <f>Sheet1!B72</f>
        <v>9.7500000000000018</v>
      </c>
      <c r="C106" s="158">
        <v>1</v>
      </c>
    </row>
    <row r="107" spans="1:3">
      <c r="A107" s="156">
        <f>Sheet1!A73</f>
        <v>405</v>
      </c>
      <c r="B107" s="157">
        <f>Sheet1!B73</f>
        <v>9.7900000000000009</v>
      </c>
      <c r="C107" s="158">
        <v>1</v>
      </c>
    </row>
    <row r="108" spans="1:3">
      <c r="A108" s="156">
        <f>Sheet1!A74</f>
        <v>410</v>
      </c>
      <c r="B108" s="157">
        <f>Sheet1!B74</f>
        <v>9.82</v>
      </c>
      <c r="C108" s="158">
        <v>1</v>
      </c>
    </row>
    <row r="109" spans="1:3">
      <c r="A109" s="156">
        <f>Sheet1!A75</f>
        <v>415</v>
      </c>
      <c r="B109" s="157">
        <f>Sheet1!B75</f>
        <v>9.85</v>
      </c>
      <c r="C109" s="158">
        <v>1</v>
      </c>
    </row>
    <row r="110" spans="1:3">
      <c r="A110" s="156">
        <f>Sheet1!A76</f>
        <v>420</v>
      </c>
      <c r="B110" s="157">
        <f>Sheet1!B76</f>
        <v>9.83</v>
      </c>
      <c r="C110" s="158">
        <v>1</v>
      </c>
    </row>
    <row r="111" spans="1:3">
      <c r="A111" s="156">
        <f>Sheet1!A77</f>
        <v>435</v>
      </c>
      <c r="B111" s="157">
        <f>Sheet1!B77</f>
        <v>9.92</v>
      </c>
      <c r="C111" s="158">
        <v>1</v>
      </c>
    </row>
    <row r="112" spans="1:3">
      <c r="A112" s="156">
        <f>Sheet1!A78</f>
        <v>450</v>
      </c>
      <c r="B112" s="157">
        <f>Sheet1!B78</f>
        <v>9.99</v>
      </c>
      <c r="C112" s="158">
        <v>1</v>
      </c>
    </row>
    <row r="113" spans="1:3">
      <c r="A113" s="156">
        <f>Sheet1!A79</f>
        <v>465</v>
      </c>
      <c r="B113" s="157">
        <f>Sheet1!B79</f>
        <v>10.040000000000001</v>
      </c>
      <c r="C113" s="158">
        <v>1</v>
      </c>
    </row>
    <row r="114" spans="1:3">
      <c r="A114" s="156">
        <f>Sheet1!A80</f>
        <v>480</v>
      </c>
      <c r="B114" s="157">
        <f>Sheet1!B80</f>
        <v>10.029999999999999</v>
      </c>
      <c r="C114" s="158">
        <v>1</v>
      </c>
    </row>
    <row r="115" spans="1:3">
      <c r="A115" s="156">
        <f>Sheet1!A81</f>
        <v>481</v>
      </c>
      <c r="B115" s="157">
        <f>Sheet1!B81</f>
        <v>10.24</v>
      </c>
      <c r="C115" s="158">
        <v>1</v>
      </c>
    </row>
    <row r="116" spans="1:3">
      <c r="A116" s="156">
        <f>Sheet1!A82</f>
        <v>482</v>
      </c>
      <c r="B116" s="157">
        <f>Sheet1!B82</f>
        <v>10.43</v>
      </c>
      <c r="C116" s="158">
        <v>1</v>
      </c>
    </row>
    <row r="117" spans="1:3">
      <c r="A117" s="156">
        <f>Sheet1!A83</f>
        <v>483</v>
      </c>
      <c r="B117" s="157">
        <f>Sheet1!B83</f>
        <v>10.6</v>
      </c>
      <c r="C117" s="158">
        <v>1</v>
      </c>
    </row>
    <row r="118" spans="1:3">
      <c r="A118" s="156">
        <f>Sheet1!A84</f>
        <v>484</v>
      </c>
      <c r="B118" s="157">
        <f>Sheet1!B84</f>
        <v>10.76</v>
      </c>
      <c r="C118" s="158">
        <v>1</v>
      </c>
    </row>
    <row r="119" spans="1:3">
      <c r="A119" s="156">
        <f>Sheet1!A85</f>
        <v>485</v>
      </c>
      <c r="B119" s="157">
        <f>Sheet1!B85</f>
        <v>10.9</v>
      </c>
      <c r="C119" s="158">
        <v>1</v>
      </c>
    </row>
    <row r="120" spans="1:3">
      <c r="A120" s="156">
        <f>Sheet1!A86</f>
        <v>490</v>
      </c>
      <c r="B120" s="157">
        <f>Sheet1!B86</f>
        <v>11.23</v>
      </c>
      <c r="C120" s="158">
        <v>1</v>
      </c>
    </row>
    <row r="121" spans="1:3">
      <c r="A121" s="156">
        <f>Sheet1!A87</f>
        <v>495</v>
      </c>
      <c r="B121" s="157">
        <f>Sheet1!B87</f>
        <v>11.540000000000001</v>
      </c>
      <c r="C121" s="158">
        <v>1</v>
      </c>
    </row>
    <row r="122" spans="1:3">
      <c r="A122" s="156">
        <f>Sheet1!A88</f>
        <v>500</v>
      </c>
      <c r="B122" s="157">
        <f>Sheet1!B88</f>
        <v>11.68</v>
      </c>
      <c r="C122" s="158">
        <v>1</v>
      </c>
    </row>
    <row r="123" spans="1:3">
      <c r="A123" s="156">
        <f>Sheet1!A89</f>
        <v>505</v>
      </c>
      <c r="B123" s="157">
        <f>Sheet1!B89</f>
        <v>11.98</v>
      </c>
      <c r="C123" s="158">
        <v>1</v>
      </c>
    </row>
    <row r="124" spans="1:3">
      <c r="A124" s="156">
        <f>Sheet1!A90</f>
        <v>510</v>
      </c>
      <c r="B124" s="157">
        <f>Sheet1!B90</f>
        <v>12.13</v>
      </c>
      <c r="C124" s="158">
        <v>1</v>
      </c>
    </row>
    <row r="125" spans="1:3">
      <c r="A125" s="156">
        <f>Sheet1!A91</f>
        <v>515</v>
      </c>
      <c r="B125" s="157">
        <f>Sheet1!B91</f>
        <v>12.280000000000001</v>
      </c>
      <c r="C125" s="158">
        <v>1</v>
      </c>
    </row>
    <row r="126" spans="1:3">
      <c r="A126" s="156">
        <f>Sheet1!A92</f>
        <v>520</v>
      </c>
      <c r="B126" s="157">
        <f>Sheet1!B92</f>
        <v>12.410000000000002</v>
      </c>
      <c r="C126" s="158">
        <v>1</v>
      </c>
    </row>
    <row r="127" spans="1:3">
      <c r="A127" s="156">
        <f>Sheet1!A93</f>
        <v>525</v>
      </c>
      <c r="B127" s="157">
        <f>Sheet1!B93</f>
        <v>12.520000000000001</v>
      </c>
      <c r="C127" s="158">
        <v>1</v>
      </c>
    </row>
    <row r="128" spans="1:3">
      <c r="A128" s="156">
        <f>Sheet1!A94</f>
        <v>530</v>
      </c>
      <c r="B128" s="157">
        <f>Sheet1!B94</f>
        <v>12.600000000000001</v>
      </c>
      <c r="C128" s="158">
        <v>1</v>
      </c>
    </row>
    <row r="129" spans="1:3">
      <c r="A129" s="156">
        <f>Sheet1!A95</f>
        <v>535</v>
      </c>
      <c r="B129" s="157">
        <f>Sheet1!B95</f>
        <v>12.670000000000002</v>
      </c>
      <c r="C129" s="158">
        <v>1</v>
      </c>
    </row>
    <row r="130" spans="1:3">
      <c r="A130" s="156">
        <f>Sheet1!A96</f>
        <v>540</v>
      </c>
      <c r="B130" s="157">
        <f>Sheet1!B96</f>
        <v>12.58</v>
      </c>
      <c r="C130" s="158">
        <v>1</v>
      </c>
    </row>
    <row r="131" spans="1:3">
      <c r="A131" s="156">
        <f>Sheet1!A97</f>
        <v>555</v>
      </c>
      <c r="B131" s="157">
        <f>Sheet1!B97</f>
        <v>12.77</v>
      </c>
      <c r="C131" s="158">
        <v>1</v>
      </c>
    </row>
    <row r="132" spans="1:3">
      <c r="A132" s="156">
        <f>Sheet1!A98</f>
        <v>570</v>
      </c>
      <c r="B132" s="157">
        <f>Sheet1!B98</f>
        <v>12.93</v>
      </c>
      <c r="C132" s="158">
        <v>1</v>
      </c>
    </row>
    <row r="133" spans="1:3">
      <c r="A133" s="156">
        <f>Sheet1!A99</f>
        <v>585</v>
      </c>
      <c r="B133" s="157">
        <f>Sheet1!B99</f>
        <v>13.07</v>
      </c>
      <c r="C133" s="158">
        <v>1</v>
      </c>
    </row>
    <row r="134" spans="1:3">
      <c r="A134" s="156">
        <f>Sheet1!A100</f>
        <v>600</v>
      </c>
      <c r="B134" s="157">
        <f>Sheet1!B100</f>
        <v>13.03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280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W-2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230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W-2</v>
      </c>
      <c r="B26" s="156"/>
      <c r="C26" s="157"/>
    </row>
    <row r="27" spans="1:3">
      <c r="A27" s="159">
        <f>SkinFactor!C8</f>
        <v>0.97099999999999997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5.0854691908599845</v>
      </c>
      <c r="C31" s="158">
        <v>1</v>
      </c>
    </row>
    <row r="32" spans="1:3">
      <c r="A32" s="156">
        <f>LongTest!D11</f>
        <v>2</v>
      </c>
      <c r="B32" s="160">
        <f>LongTest!G11</f>
        <v>5.7291996141065944</v>
      </c>
      <c r="C32" s="158">
        <v>1</v>
      </c>
    </row>
    <row r="33" spans="1:3">
      <c r="A33" s="156">
        <f>LongTest!D12</f>
        <v>3</v>
      </c>
      <c r="B33" s="160">
        <f>LongTest!G12</f>
        <v>6.1057577722792207</v>
      </c>
      <c r="C33" s="158">
        <v>1</v>
      </c>
    </row>
    <row r="34" spans="1:3">
      <c r="A34" s="156">
        <f>LongTest!D13</f>
        <v>4</v>
      </c>
      <c r="B34" s="160">
        <f>LongTest!G13</f>
        <v>6.3729300373532034</v>
      </c>
      <c r="C34" s="158">
        <v>1</v>
      </c>
    </row>
    <row r="35" spans="1:3">
      <c r="A35" s="156">
        <f>LongTest!D14</f>
        <v>5</v>
      </c>
      <c r="B35" s="160">
        <f>LongTest!G14</f>
        <v>6.5801649461300205</v>
      </c>
      <c r="C35" s="158">
        <v>1</v>
      </c>
    </row>
    <row r="36" spans="1:3">
      <c r="A36" s="156">
        <f>LongTest!D15</f>
        <v>10</v>
      </c>
      <c r="B36" s="160">
        <f>LongTest!G15</f>
        <v>7.2238953693766295</v>
      </c>
      <c r="C36" s="158">
        <v>1</v>
      </c>
    </row>
    <row r="37" spans="1:3">
      <c r="A37" s="156">
        <f>LongTest!D16</f>
        <v>15</v>
      </c>
      <c r="B37" s="160">
        <f>LongTest!G16</f>
        <v>7.600453527549254</v>
      </c>
      <c r="C37" s="158">
        <v>1</v>
      </c>
    </row>
    <row r="38" spans="1:3">
      <c r="A38" s="156">
        <f>LongTest!D17</f>
        <v>20</v>
      </c>
      <c r="B38" s="160">
        <f>LongTest!G17</f>
        <v>7.8676257926232385</v>
      </c>
      <c r="C38" s="158">
        <v>1</v>
      </c>
    </row>
    <row r="39" spans="1:3">
      <c r="A39" s="156">
        <f>LongTest!D18</f>
        <v>25</v>
      </c>
      <c r="B39" s="160">
        <f>LongTest!G18</f>
        <v>8.0748607014000555</v>
      </c>
      <c r="C39" s="158">
        <v>1</v>
      </c>
    </row>
    <row r="40" spans="1:3">
      <c r="A40" s="156">
        <f>LongTest!D19</f>
        <v>30</v>
      </c>
      <c r="B40" s="160">
        <f>LongTest!G19</f>
        <v>8.2441839507958612</v>
      </c>
      <c r="C40" s="158">
        <v>1</v>
      </c>
    </row>
    <row r="41" spans="1:3">
      <c r="A41" s="156">
        <f>LongTest!D20</f>
        <v>35</v>
      </c>
      <c r="B41" s="160">
        <f>LongTest!G20</f>
        <v>8.3873447183096133</v>
      </c>
      <c r="C41" s="158">
        <v>1</v>
      </c>
    </row>
    <row r="42" spans="1:3">
      <c r="A42" s="156">
        <f>LongTest!D21</f>
        <v>40</v>
      </c>
      <c r="B42" s="160">
        <f>LongTest!G21</f>
        <v>8.5113562158698475</v>
      </c>
      <c r="C42" s="158">
        <v>1</v>
      </c>
    </row>
    <row r="43" spans="1:3">
      <c r="A43" s="156">
        <f>LongTest!D22</f>
        <v>45</v>
      </c>
      <c r="B43" s="160">
        <f>LongTest!G22</f>
        <v>8.6207421089684875</v>
      </c>
      <c r="C43" s="158">
        <v>1</v>
      </c>
    </row>
    <row r="44" spans="1:3">
      <c r="A44" s="156">
        <f>LongTest!D23</f>
        <v>50</v>
      </c>
      <c r="B44" s="160">
        <f>LongTest!G23</f>
        <v>8.7185911246466645</v>
      </c>
      <c r="C44" s="158">
        <v>1</v>
      </c>
    </row>
    <row r="45" spans="1:3">
      <c r="A45" s="156">
        <f>LongTest!D24</f>
        <v>55</v>
      </c>
      <c r="B45" s="160">
        <f>LongTest!G24</f>
        <v>8.8071063261881086</v>
      </c>
      <c r="C45" s="158">
        <v>1</v>
      </c>
    </row>
    <row r="46" spans="1:3">
      <c r="A46" s="156">
        <f>LongTest!D25</f>
        <v>60</v>
      </c>
      <c r="B46" s="160">
        <f>LongTest!G25</f>
        <v>8.887914374042472</v>
      </c>
      <c r="C46" s="158">
        <v>1</v>
      </c>
    </row>
    <row r="47" spans="1:3">
      <c r="A47" s="156">
        <f>LongTest!D26</f>
        <v>75</v>
      </c>
      <c r="B47" s="160">
        <f>LongTest!G26</f>
        <v>9.095149282819289</v>
      </c>
      <c r="C47" s="158">
        <v>1</v>
      </c>
    </row>
    <row r="48" spans="1:3">
      <c r="A48" s="156">
        <f>LongTest!D27</f>
        <v>90</v>
      </c>
      <c r="B48" s="160">
        <f>LongTest!G27</f>
        <v>9.2644725322150965</v>
      </c>
      <c r="C48" s="158">
        <v>1</v>
      </c>
    </row>
    <row r="49" spans="1:3">
      <c r="A49" s="156">
        <f>LongTest!D28</f>
        <v>105</v>
      </c>
      <c r="B49" s="160">
        <f>LongTest!G28</f>
        <v>9.4076332997288485</v>
      </c>
      <c r="C49" s="158">
        <v>1</v>
      </c>
    </row>
    <row r="50" spans="1:3">
      <c r="A50" s="156">
        <f>LongTest!D29</f>
        <v>120</v>
      </c>
      <c r="B50" s="160">
        <f>LongTest!G29</f>
        <v>9.531644797289081</v>
      </c>
      <c r="C50" s="158">
        <v>1</v>
      </c>
    </row>
    <row r="51" spans="1:3">
      <c r="A51" s="156">
        <f>LongTest!D30</f>
        <v>140</v>
      </c>
      <c r="B51" s="160">
        <f>LongTest!G30</f>
        <v>9.6748055648028295</v>
      </c>
      <c r="C51" s="158">
        <v>1</v>
      </c>
    </row>
    <row r="52" spans="1:3">
      <c r="A52" s="156">
        <f>LongTest!D31</f>
        <v>160</v>
      </c>
      <c r="B52" s="160">
        <f>LongTest!G31</f>
        <v>9.7988170623630655</v>
      </c>
      <c r="C52" s="158">
        <v>1</v>
      </c>
    </row>
    <row r="53" spans="1:3">
      <c r="A53" s="156">
        <f>LongTest!D32</f>
        <v>180</v>
      </c>
      <c r="B53" s="160">
        <f>LongTest!G32</f>
        <v>9.9082029554617055</v>
      </c>
      <c r="C53" s="158">
        <v>1</v>
      </c>
    </row>
    <row r="54" spans="1:3">
      <c r="A54" s="156">
        <f>LongTest!D33</f>
        <v>240</v>
      </c>
      <c r="B54" s="160">
        <f>LongTest!G33</f>
        <v>10.17537522053569</v>
      </c>
      <c r="C54" s="158">
        <v>1</v>
      </c>
    </row>
    <row r="55" spans="1:3">
      <c r="A55" s="156">
        <f>LongTest!D34</f>
        <v>300</v>
      </c>
      <c r="B55" s="160">
        <f>LongTest!G34</f>
        <v>10.382610129312509</v>
      </c>
      <c r="C55" s="158">
        <v>1</v>
      </c>
    </row>
    <row r="56" spans="1:3">
      <c r="A56" s="156">
        <f>LongTest!D35</f>
        <v>360</v>
      </c>
      <c r="B56" s="160">
        <f>LongTest!G35</f>
        <v>10.551933378708314</v>
      </c>
      <c r="C56" s="158">
        <v>1</v>
      </c>
    </row>
    <row r="57" spans="1:3">
      <c r="A57" s="156">
        <f>LongTest!D36</f>
        <v>420</v>
      </c>
      <c r="B57" s="160">
        <f>LongTest!G36</f>
        <v>10.695094146222065</v>
      </c>
      <c r="C57" s="158">
        <v>1</v>
      </c>
    </row>
    <row r="58" spans="1:3">
      <c r="A58" s="156">
        <f>LongTest!D37</f>
        <v>480</v>
      </c>
      <c r="B58" s="160">
        <f>LongTest!G37</f>
        <v>10.819105643782299</v>
      </c>
      <c r="C58" s="158">
        <v>1</v>
      </c>
    </row>
    <row r="59" spans="1:3">
      <c r="A59" s="156">
        <f>LongTest!D38</f>
        <v>540</v>
      </c>
      <c r="B59" s="160">
        <f>LongTest!G38</f>
        <v>10.928491536880941</v>
      </c>
      <c r="C59" s="158">
        <v>1</v>
      </c>
    </row>
    <row r="60" spans="1:3">
      <c r="A60" s="156">
        <f>LongTest!D39</f>
        <v>600</v>
      </c>
      <c r="B60" s="160">
        <f>LongTest!G39</f>
        <v>11.026340552559116</v>
      </c>
      <c r="C60" s="158">
        <v>1</v>
      </c>
    </row>
    <row r="61" spans="1:3">
      <c r="A61" s="156">
        <f>LongTest!D40</f>
        <v>660</v>
      </c>
      <c r="B61" s="160">
        <f>LongTest!G40</f>
        <v>11.114855754100562</v>
      </c>
      <c r="C61" s="158">
        <v>1</v>
      </c>
    </row>
    <row r="62" spans="1:3">
      <c r="A62" s="156">
        <f>LongTest!D41</f>
        <v>720</v>
      </c>
      <c r="B62" s="160">
        <f>LongTest!G41</f>
        <v>11.195663801954925</v>
      </c>
      <c r="C62" s="158">
        <v>1</v>
      </c>
    </row>
    <row r="63" spans="1:3">
      <c r="A63" s="156">
        <f>LongTest!D42</f>
        <v>780</v>
      </c>
      <c r="B63" s="160">
        <f>LongTest!G42</f>
        <v>11.27</v>
      </c>
      <c r="C63" s="158">
        <v>1</v>
      </c>
    </row>
    <row r="64" spans="1:3">
      <c r="A64" s="156">
        <f>LongTest!D43</f>
        <v>840</v>
      </c>
      <c r="B64" s="160">
        <f>LongTest!G43</f>
        <v>11.27</v>
      </c>
      <c r="C64" s="158">
        <v>1</v>
      </c>
    </row>
    <row r="65" spans="1:3">
      <c r="A65" s="156">
        <f>LongTest!D44</f>
        <v>900</v>
      </c>
      <c r="B65" s="160">
        <f>LongTest!G44</f>
        <v>11.27</v>
      </c>
      <c r="C65" s="158">
        <v>1</v>
      </c>
    </row>
    <row r="66" spans="1:3">
      <c r="A66" s="156">
        <f>LongTest!D45</f>
        <v>960</v>
      </c>
      <c r="B66" s="160">
        <f>LongTest!G45</f>
        <v>11.27</v>
      </c>
      <c r="C66" s="158">
        <v>1</v>
      </c>
    </row>
    <row r="67" spans="1:3">
      <c r="A67" s="156">
        <f>LongTest!D46</f>
        <v>1020</v>
      </c>
      <c r="B67" s="160">
        <f>LongTest!G46</f>
        <v>11.27</v>
      </c>
      <c r="C67" s="158">
        <v>1</v>
      </c>
    </row>
    <row r="68" spans="1:3">
      <c r="A68" s="156">
        <f>LongTest!D47</f>
        <v>1080</v>
      </c>
      <c r="B68" s="160">
        <f>LongTest!G47</f>
        <v>11.27</v>
      </c>
      <c r="C68" s="158">
        <v>1</v>
      </c>
    </row>
    <row r="69" spans="1:3">
      <c r="A69" s="156">
        <f>LongTest!D48</f>
        <v>1140</v>
      </c>
      <c r="B69" s="160">
        <f>LongTest!G48</f>
        <v>11.27</v>
      </c>
      <c r="C69" s="158">
        <v>1</v>
      </c>
    </row>
    <row r="70" spans="1:3">
      <c r="A70" s="156">
        <f>LongTest!D49</f>
        <v>1200</v>
      </c>
      <c r="B70" s="160">
        <f>LongTest!G49</f>
        <v>11.27</v>
      </c>
      <c r="C70" s="158">
        <v>1</v>
      </c>
    </row>
    <row r="71" spans="1:3">
      <c r="A71" s="156">
        <f>LongTest!D50</f>
        <v>1260</v>
      </c>
      <c r="B71" s="160">
        <f>LongTest!G50</f>
        <v>11.27</v>
      </c>
      <c r="C71" s="158">
        <v>1</v>
      </c>
    </row>
    <row r="72" spans="1:3">
      <c r="A72" s="156">
        <f>LongTest!D51</f>
        <v>1320</v>
      </c>
      <c r="B72" s="160">
        <f>LongTest!G51</f>
        <v>11.27</v>
      </c>
      <c r="C72" s="158">
        <v>1</v>
      </c>
    </row>
    <row r="73" spans="1:3">
      <c r="A73" s="156">
        <f>LongTest!D52</f>
        <v>1380</v>
      </c>
      <c r="B73" s="160">
        <f>LongTest!G52</f>
        <v>11.27</v>
      </c>
      <c r="C73" s="158">
        <v>1</v>
      </c>
    </row>
    <row r="74" spans="1:3">
      <c r="A74" s="156">
        <f>LongTest!D53</f>
        <v>1440</v>
      </c>
      <c r="B74" s="160">
        <f>LongTest!G53</f>
        <v>11.27</v>
      </c>
      <c r="C74" s="158">
        <v>1</v>
      </c>
    </row>
    <row r="75" spans="1:3">
      <c r="A75" s="156">
        <f>LongTest!D54</f>
        <v>1500</v>
      </c>
      <c r="B75" s="160">
        <f>LongTest!G54</f>
        <v>11.27</v>
      </c>
      <c r="C75" s="158">
        <v>1</v>
      </c>
    </row>
    <row r="76" spans="1:3">
      <c r="A76" s="156">
        <f>LongTest!D55</f>
        <v>1560</v>
      </c>
      <c r="B76" s="160">
        <f>LongTest!G55</f>
        <v>11.27</v>
      </c>
      <c r="C76" s="158">
        <v>1</v>
      </c>
    </row>
    <row r="77" spans="1:3">
      <c r="A77" s="156">
        <f>LongTest!D56</f>
        <v>1620</v>
      </c>
      <c r="B77" s="160">
        <f>LongTest!G56</f>
        <v>11.27</v>
      </c>
      <c r="C77" s="158">
        <v>1</v>
      </c>
    </row>
    <row r="78" spans="1:3">
      <c r="A78" s="156">
        <f>LongTest!D57</f>
        <v>1680</v>
      </c>
      <c r="B78" s="160">
        <f>LongTest!G57</f>
        <v>11.27</v>
      </c>
      <c r="C78" s="158">
        <v>1</v>
      </c>
    </row>
    <row r="79" spans="1:3">
      <c r="A79" s="156">
        <f>LongTest!D58</f>
        <v>1740</v>
      </c>
      <c r="B79" s="160">
        <f>LongTest!G58</f>
        <v>11.27</v>
      </c>
      <c r="C79" s="158">
        <v>1</v>
      </c>
    </row>
    <row r="80" spans="1:3">
      <c r="A80" s="156">
        <f>LongTest!D59</f>
        <v>1800</v>
      </c>
      <c r="B80" s="160">
        <f>LongTest!G59</f>
        <v>11.27</v>
      </c>
      <c r="C80" s="158">
        <v>1</v>
      </c>
    </row>
    <row r="81" spans="1:3">
      <c r="A81" s="156">
        <f>LongTest!D60</f>
        <v>1860</v>
      </c>
      <c r="B81" s="160">
        <f>LongTest!G60</f>
        <v>11.27</v>
      </c>
      <c r="C81" s="158">
        <v>1</v>
      </c>
    </row>
    <row r="82" spans="1:3">
      <c r="A82" s="156">
        <f>LongTest!D61</f>
        <v>1920</v>
      </c>
      <c r="B82" s="160">
        <f>LongTest!G61</f>
        <v>11.27</v>
      </c>
      <c r="C82" s="158">
        <v>1</v>
      </c>
    </row>
    <row r="83" spans="1:3">
      <c r="A83" s="156">
        <f>LongTest!D62</f>
        <v>1980</v>
      </c>
      <c r="B83" s="160">
        <f>LongTest!G62</f>
        <v>11.27</v>
      </c>
      <c r="C83" s="158">
        <v>1</v>
      </c>
    </row>
    <row r="84" spans="1:3">
      <c r="A84" s="156">
        <f>LongTest!D63</f>
        <v>2040</v>
      </c>
      <c r="B84" s="160">
        <f>LongTest!G63</f>
        <v>11.27</v>
      </c>
      <c r="C84" s="158">
        <v>1</v>
      </c>
    </row>
    <row r="85" spans="1:3">
      <c r="A85" s="156">
        <f>LongTest!D64</f>
        <v>2100</v>
      </c>
      <c r="B85" s="160">
        <f>LongTest!G64</f>
        <v>11.27</v>
      </c>
      <c r="C85" s="158">
        <v>1</v>
      </c>
    </row>
    <row r="86" spans="1:3">
      <c r="A86" s="156">
        <f>LongTest!D65</f>
        <v>2160</v>
      </c>
      <c r="B86" s="160">
        <f>LongTest!G65</f>
        <v>11.27</v>
      </c>
      <c r="C86" s="158">
        <v>1</v>
      </c>
    </row>
    <row r="87" spans="1:3">
      <c r="A87" s="156">
        <f>LongTest!D66</f>
        <v>2220</v>
      </c>
      <c r="B87" s="160">
        <f>LongTest!G66</f>
        <v>11.27</v>
      </c>
      <c r="C87" s="158">
        <v>1</v>
      </c>
    </row>
    <row r="88" spans="1:3">
      <c r="A88" s="156">
        <f>LongTest!D67</f>
        <v>2280</v>
      </c>
      <c r="B88" s="160">
        <f>LongTest!G67</f>
        <v>11.27</v>
      </c>
      <c r="C88" s="158">
        <v>1</v>
      </c>
    </row>
    <row r="89" spans="1:3">
      <c r="A89" s="156">
        <f>LongTest!D68</f>
        <v>2340</v>
      </c>
      <c r="B89" s="160">
        <f>LongTest!G68</f>
        <v>11.27</v>
      </c>
      <c r="C89" s="158">
        <v>1</v>
      </c>
    </row>
    <row r="90" spans="1:3">
      <c r="A90" s="156">
        <f>LongTest!D69</f>
        <v>2400</v>
      </c>
      <c r="B90" s="160">
        <f>LongTest!G69</f>
        <v>11.27</v>
      </c>
      <c r="C90" s="158">
        <v>1</v>
      </c>
    </row>
    <row r="91" spans="1:3">
      <c r="A91" s="156">
        <f>LongTest!D70</f>
        <v>2460</v>
      </c>
      <c r="B91" s="160">
        <f>LongTest!G70</f>
        <v>11.27</v>
      </c>
      <c r="C91" s="158">
        <v>1</v>
      </c>
    </row>
    <row r="92" spans="1:3">
      <c r="A92" s="156">
        <f>LongTest!D71</f>
        <v>2520</v>
      </c>
      <c r="B92" s="160">
        <f>LongTest!G71</f>
        <v>11.27</v>
      </c>
      <c r="C92" s="158">
        <v>1</v>
      </c>
    </row>
    <row r="93" spans="1:3">
      <c r="A93" s="156">
        <f>LongTest!D72</f>
        <v>2580</v>
      </c>
      <c r="B93" s="160">
        <f>LongTest!G72</f>
        <v>11.27</v>
      </c>
      <c r="C93" s="158">
        <v>1</v>
      </c>
    </row>
    <row r="94" spans="1:3">
      <c r="A94" s="156">
        <f>LongTest!D73</f>
        <v>2640</v>
      </c>
      <c r="B94" s="160">
        <f>LongTest!G73</f>
        <v>11.27</v>
      </c>
      <c r="C94" s="158">
        <v>1</v>
      </c>
    </row>
    <row r="95" spans="1:3">
      <c r="A95" s="156">
        <f>LongTest!D74</f>
        <v>2700</v>
      </c>
      <c r="B95" s="160">
        <f>LongTest!G74</f>
        <v>11.27</v>
      </c>
      <c r="C95" s="158">
        <v>1</v>
      </c>
    </row>
    <row r="96" spans="1:3">
      <c r="A96" s="156">
        <f>LongTest!D75</f>
        <v>2760</v>
      </c>
      <c r="B96" s="160">
        <f>LongTest!G75</f>
        <v>11.27</v>
      </c>
      <c r="C96" s="158">
        <v>1</v>
      </c>
    </row>
    <row r="97" spans="1:3">
      <c r="A97" s="156">
        <f>LongTest!D76</f>
        <v>2820</v>
      </c>
      <c r="B97" s="160">
        <f>LongTest!G76</f>
        <v>11.27</v>
      </c>
      <c r="C97" s="158">
        <v>1</v>
      </c>
    </row>
    <row r="98" spans="1:3">
      <c r="A98" s="156">
        <f>LongTest!D77</f>
        <v>2880</v>
      </c>
      <c r="B98" s="160">
        <f>LongTest!G77</f>
        <v>11.27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280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W-2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230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W-2</v>
      </c>
      <c r="B27" s="156"/>
      <c r="C27" s="157"/>
    </row>
    <row r="28" spans="1:3">
      <c r="A28" s="159">
        <f>SkinFactor!C8</f>
        <v>0.97099999999999997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11.27</v>
      </c>
      <c r="C32" s="158">
        <v>1</v>
      </c>
    </row>
    <row r="33" spans="1:3">
      <c r="A33" s="156">
        <f>$A$32+LongTest!D78</f>
        <v>2881</v>
      </c>
      <c r="B33" s="157">
        <f>LongTest!G78</f>
        <v>8.0288726202983973</v>
      </c>
      <c r="C33" s="158">
        <v>1</v>
      </c>
    </row>
    <row r="34" spans="1:3">
      <c r="A34" s="156">
        <f>$A$32+LongTest!D79</f>
        <v>2882</v>
      </c>
      <c r="B34" s="157">
        <f>LongTest!G79</f>
        <v>7.4661523959832516</v>
      </c>
      <c r="C34" s="158">
        <v>1</v>
      </c>
    </row>
    <row r="35" spans="1:3">
      <c r="A35" s="156">
        <f>$A$32+LongTest!D80</f>
        <v>2883</v>
      </c>
      <c r="B35" s="157">
        <f>LongTest!G80</f>
        <v>6.9428715881127934</v>
      </c>
      <c r="C35" s="158">
        <v>1</v>
      </c>
    </row>
    <row r="36" spans="1:3">
      <c r="A36" s="156">
        <f>$A$32+LongTest!D81</f>
        <v>2884</v>
      </c>
      <c r="B36" s="157">
        <f>LongTest!G81</f>
        <v>6.4562660032170038</v>
      </c>
      <c r="C36" s="158">
        <v>1</v>
      </c>
    </row>
    <row r="37" spans="1:3">
      <c r="A37" s="156">
        <f>$A$32+LongTest!D82</f>
        <v>2885</v>
      </c>
      <c r="B37" s="157">
        <f>LongTest!G82</f>
        <v>6.0037651820701496</v>
      </c>
      <c r="C37" s="158">
        <v>1</v>
      </c>
    </row>
    <row r="38" spans="1:3">
      <c r="A38" s="156">
        <f>$A$32+LongTest!D83</f>
        <v>2890</v>
      </c>
      <c r="B38" s="157">
        <f>LongTest!G83</f>
        <v>4.827814173848088</v>
      </c>
      <c r="C38" s="158">
        <v>1</v>
      </c>
    </row>
    <row r="39" spans="1:3">
      <c r="A39" s="156">
        <f>$A$32+LongTest!D84</f>
        <v>2895</v>
      </c>
      <c r="B39" s="157">
        <f>LongTest!G84</f>
        <v>4.5995152921554912</v>
      </c>
      <c r="C39" s="158">
        <v>1</v>
      </c>
    </row>
    <row r="40" spans="1:3">
      <c r="A40" s="156">
        <f>$A$32+LongTest!D85</f>
        <v>2900</v>
      </c>
      <c r="B40" s="157">
        <f>LongTest!G85</f>
        <v>3.9773758472967051</v>
      </c>
      <c r="C40" s="158">
        <v>1</v>
      </c>
    </row>
    <row r="41" spans="1:3">
      <c r="A41" s="156">
        <f>$A$32+LongTest!D86</f>
        <v>2905</v>
      </c>
      <c r="B41" s="157">
        <f>LongTest!G86</f>
        <v>3.698613194702367</v>
      </c>
      <c r="C41" s="158">
        <v>1</v>
      </c>
    </row>
    <row r="42" spans="1:3">
      <c r="A42" s="156">
        <f>$A$32+LongTest!D87</f>
        <v>2910</v>
      </c>
      <c r="B42" s="157">
        <f>LongTest!G87</f>
        <v>3.4393882019784781</v>
      </c>
      <c r="C42" s="158">
        <v>1</v>
      </c>
    </row>
    <row r="43" spans="1:3">
      <c r="A43" s="156">
        <f>$A$32+LongTest!D88</f>
        <v>2915</v>
      </c>
      <c r="B43" s="157">
        <f>LongTest!G88</f>
        <v>3.3570820663189038</v>
      </c>
      <c r="C43" s="158">
        <v>1</v>
      </c>
    </row>
    <row r="44" spans="1:3">
      <c r="A44" s="156">
        <f>$A$32+LongTest!D89</f>
        <v>2920</v>
      </c>
      <c r="B44" s="157">
        <f>LongTest!G89</f>
        <v>3.276745554199735</v>
      </c>
      <c r="C44" s="158">
        <v>1</v>
      </c>
    </row>
    <row r="45" spans="1:3">
      <c r="A45" s="156">
        <f>$A$32+LongTest!D90</f>
        <v>2925</v>
      </c>
      <c r="B45" s="157">
        <f>LongTest!G90</f>
        <v>3.1983315316271348</v>
      </c>
      <c r="C45" s="158">
        <v>1</v>
      </c>
    </row>
    <row r="46" spans="1:3">
      <c r="A46" s="156">
        <f>$A$32+LongTest!D91</f>
        <v>2930</v>
      </c>
      <c r="B46" s="157">
        <f>LongTest!G91</f>
        <v>3.1217939925453382</v>
      </c>
      <c r="C46" s="158">
        <v>1</v>
      </c>
    </row>
    <row r="47" spans="1:3">
      <c r="A47" s="156">
        <f>$A$32+LongTest!D92</f>
        <v>2935</v>
      </c>
      <c r="B47" s="157">
        <f>LongTest!G92</f>
        <v>3.0470880318445723</v>
      </c>
      <c r="C47" s="158">
        <v>1</v>
      </c>
    </row>
    <row r="48" spans="1:3">
      <c r="A48" s="156">
        <f>$A$32+LongTest!D93</f>
        <v>2940</v>
      </c>
      <c r="B48" s="157">
        <f>LongTest!G93</f>
        <v>2.9741698190149184</v>
      </c>
      <c r="C48" s="158">
        <v>1</v>
      </c>
    </row>
    <row r="49" spans="1:3">
      <c r="A49" s="156">
        <f>$A$32+LongTest!D94</f>
        <v>2955</v>
      </c>
      <c r="B49" s="157">
        <f>LongTest!G94</f>
        <v>2.9029965724306446</v>
      </c>
      <c r="C49" s="158">
        <v>1</v>
      </c>
    </row>
    <row r="50" spans="1:3">
      <c r="A50" s="156">
        <f>$A$32+LongTest!D95</f>
        <v>2970</v>
      </c>
      <c r="B50" s="157">
        <f>LongTest!G95</f>
        <v>2.8335265342499261</v>
      </c>
      <c r="C50" s="158">
        <v>1</v>
      </c>
    </row>
    <row r="51" spans="1:3">
      <c r="A51" s="156">
        <f>$A$32+LongTest!D96</f>
        <v>2985</v>
      </c>
      <c r="B51" s="157">
        <f>LongTest!G96</f>
        <v>2.7657189459152267</v>
      </c>
      <c r="C51" s="158">
        <v>1</v>
      </c>
    </row>
    <row r="52" spans="1:3">
      <c r="A52" s="156">
        <f>$A$32+LongTest!D97</f>
        <v>3000</v>
      </c>
      <c r="B52" s="157">
        <f>LongTest!G97</f>
        <v>2.5718777854883688</v>
      </c>
      <c r="C52" s="158">
        <v>1</v>
      </c>
    </row>
    <row r="53" spans="1:3">
      <c r="A53" s="156">
        <f>$A$32+LongTest!D98</f>
        <v>3060</v>
      </c>
      <c r="B53" s="157">
        <f>LongTest!G98</f>
        <v>2.5103315716034444</v>
      </c>
      <c r="C53" s="158">
        <v>1</v>
      </c>
    </row>
    <row r="54" spans="1:3">
      <c r="A54" s="156">
        <f>$A$32+LongTest!D99</f>
        <v>3120</v>
      </c>
      <c r="B54" s="157">
        <f>LongTest!G99</f>
        <v>2.1707792076766479</v>
      </c>
      <c r="C54" s="158">
        <v>1</v>
      </c>
    </row>
    <row r="55" spans="1:3">
      <c r="A55" s="156">
        <f>$A$32+LongTest!D100</f>
        <v>3180</v>
      </c>
      <c r="B55" s="157">
        <f>LongTest!G100</f>
        <v>1.87715536138174</v>
      </c>
      <c r="C55" s="158">
        <v>1</v>
      </c>
    </row>
    <row r="56" spans="1:3">
      <c r="A56" s="156">
        <f>$A$32+LongTest!D101</f>
        <v>3240</v>
      </c>
      <c r="B56" s="157">
        <f>LongTest!G101</f>
        <v>1.6232476514898937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opLeftCell="A4" workbookViewId="0">
      <selection activeCell="N8" sqref="N8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234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233</v>
      </c>
      <c r="C4" s="102" t="str">
        <f>Input!$I$54</f>
        <v>W-2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W-2</v>
      </c>
      <c r="E12" s="492"/>
      <c r="F12" s="490"/>
      <c r="H12" s="489" t="str">
        <f>C4</f>
        <v>W-2</v>
      </c>
      <c r="I12" s="492"/>
      <c r="J12" s="490"/>
      <c r="L12" s="493" t="str">
        <f>C4</f>
        <v>W-2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1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</v>
      </c>
      <c r="E14" s="110">
        <f>$C$8+I14</f>
        <v>181</v>
      </c>
      <c r="F14" s="111">
        <f>$C$9+J14</f>
        <v>7.63</v>
      </c>
      <c r="H14" s="112">
        <v>-0.3</v>
      </c>
      <c r="I14" s="113">
        <v>-1</v>
      </c>
      <c r="J14" s="114">
        <v>0.13</v>
      </c>
      <c r="L14" s="104">
        <v>0.3</v>
      </c>
      <c r="M14" s="105">
        <v>5</v>
      </c>
      <c r="N14" s="106">
        <v>0.08</v>
      </c>
      <c r="O14" s="6"/>
      <c r="P14" s="6">
        <f t="shared" ref="P14:P23" ca="1" si="1">RANDBETWEEN(1,3)</f>
        <v>3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15.4</v>
      </c>
      <c r="E15" s="117">
        <f t="shared" ref="E15:E20" si="3">$C$8+I15</f>
        <v>185</v>
      </c>
      <c r="F15" s="118">
        <f t="shared" ref="F15:F20" si="4">$C$9+J15</f>
        <v>7.43</v>
      </c>
      <c r="H15" s="112">
        <v>0.1</v>
      </c>
      <c r="I15" s="113">
        <v>3</v>
      </c>
      <c r="J15" s="114">
        <v>-7.0000000000000007E-2</v>
      </c>
      <c r="L15" s="104">
        <v>0.1</v>
      </c>
      <c r="M15" s="105">
        <v>-4</v>
      </c>
      <c r="N15" s="106">
        <v>0.08</v>
      </c>
      <c r="O15" s="6"/>
      <c r="P15" s="6">
        <f t="shared" ca="1" si="1"/>
        <v>1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15.600000000000001</v>
      </c>
      <c r="E16" s="117">
        <f t="shared" si="3"/>
        <v>183</v>
      </c>
      <c r="F16" s="118">
        <f t="shared" si="4"/>
        <v>7.39</v>
      </c>
      <c r="H16" s="112">
        <v>0.3</v>
      </c>
      <c r="I16" s="113">
        <v>1</v>
      </c>
      <c r="J16" s="114">
        <v>-0.11</v>
      </c>
      <c r="L16" s="104">
        <v>-0.3</v>
      </c>
      <c r="M16" s="105">
        <v>11</v>
      </c>
      <c r="N16" s="106">
        <v>-0.08</v>
      </c>
      <c r="O16" s="6"/>
      <c r="P16" s="6">
        <f t="shared" ca="1" si="1"/>
        <v>1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15.600000000000001</v>
      </c>
      <c r="E17" s="117">
        <f t="shared" si="3"/>
        <v>183</v>
      </c>
      <c r="F17" s="118">
        <f t="shared" si="4"/>
        <v>7.42</v>
      </c>
      <c r="H17" s="112">
        <v>0.3</v>
      </c>
      <c r="I17" s="113">
        <v>1</v>
      </c>
      <c r="J17" s="114">
        <v>-0.08</v>
      </c>
      <c r="L17" s="104">
        <v>0.3</v>
      </c>
      <c r="M17" s="105">
        <v>18</v>
      </c>
      <c r="N17" s="106">
        <v>-0.11</v>
      </c>
      <c r="O17" s="6"/>
      <c r="P17" s="6">
        <f t="shared" ca="1" si="1"/>
        <v>2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15.5</v>
      </c>
      <c r="E18" s="117">
        <f t="shared" si="3"/>
        <v>185</v>
      </c>
      <c r="F18" s="118">
        <f t="shared" si="4"/>
        <v>7.58</v>
      </c>
      <c r="H18" s="112">
        <v>0.2</v>
      </c>
      <c r="I18" s="113">
        <v>3</v>
      </c>
      <c r="J18" s="114">
        <v>0.08</v>
      </c>
      <c r="L18" s="104">
        <v>0.3</v>
      </c>
      <c r="M18" s="105">
        <v>-12</v>
      </c>
      <c r="N18" s="106">
        <v>0.12</v>
      </c>
      <c r="O18" s="6"/>
      <c r="P18" s="6">
        <f t="shared" ca="1" si="1"/>
        <v>2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15.100000000000001</v>
      </c>
      <c r="E19" s="117">
        <f t="shared" si="3"/>
        <v>184</v>
      </c>
      <c r="F19" s="118">
        <f t="shared" si="4"/>
        <v>7.62</v>
      </c>
      <c r="H19" s="112">
        <v>-0.2</v>
      </c>
      <c r="I19" s="113">
        <v>2</v>
      </c>
      <c r="J19" s="114">
        <v>0.12</v>
      </c>
      <c r="L19" s="104">
        <v>-0.1</v>
      </c>
      <c r="M19" s="105">
        <v>-8</v>
      </c>
      <c r="N19" s="106">
        <v>0.09</v>
      </c>
      <c r="O19" s="6"/>
      <c r="P19" s="6">
        <f t="shared" ca="1" si="1"/>
        <v>1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15.200000000000001</v>
      </c>
      <c r="E20" s="117">
        <f t="shared" si="3"/>
        <v>185</v>
      </c>
      <c r="F20" s="118">
        <f t="shared" si="4"/>
        <v>7.58</v>
      </c>
      <c r="H20" s="112">
        <v>-0.1</v>
      </c>
      <c r="I20" s="113">
        <v>3</v>
      </c>
      <c r="J20" s="114">
        <v>0.08</v>
      </c>
      <c r="L20" s="104">
        <v>0.2</v>
      </c>
      <c r="M20" s="105">
        <v>16</v>
      </c>
      <c r="N20" s="106">
        <v>-0.11</v>
      </c>
      <c r="O20" s="6"/>
      <c r="P20" s="6">
        <f t="shared" ca="1" si="1"/>
        <v>2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15.200000000000001</v>
      </c>
      <c r="E21" s="117">
        <f>$E$20</f>
        <v>185</v>
      </c>
      <c r="F21" s="118">
        <f>$F$20</f>
        <v>7.58</v>
      </c>
      <c r="H21" s="112">
        <v>0.1</v>
      </c>
      <c r="I21" s="113">
        <v>-2</v>
      </c>
      <c r="J21" s="114">
        <v>-0.12</v>
      </c>
      <c r="L21" s="104">
        <v>-0.2</v>
      </c>
      <c r="M21" s="105">
        <v>-18</v>
      </c>
      <c r="N21" s="106">
        <v>0.08</v>
      </c>
      <c r="O21" s="6"/>
      <c r="P21" s="6">
        <f t="shared" ca="1" si="1"/>
        <v>1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5">$D$20</f>
        <v>15.200000000000001</v>
      </c>
      <c r="E22" s="117">
        <f t="shared" ref="E22:E23" si="6">$E$20</f>
        <v>185</v>
      </c>
      <c r="F22" s="118">
        <f t="shared" ref="F22:F23" si="7">$F$20</f>
        <v>7.58</v>
      </c>
      <c r="H22" s="112">
        <v>0.1</v>
      </c>
      <c r="I22" s="113">
        <v>-3</v>
      </c>
      <c r="J22" s="114">
        <v>-0.12</v>
      </c>
      <c r="L22" s="104">
        <v>0.3</v>
      </c>
      <c r="M22" s="105">
        <v>3</v>
      </c>
      <c r="N22" s="106">
        <v>0.1</v>
      </c>
      <c r="O22" s="6"/>
      <c r="P22" s="6">
        <f t="shared" ca="1" si="1"/>
        <v>3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5"/>
        <v>15.200000000000001</v>
      </c>
      <c r="E23" s="117">
        <f t="shared" si="6"/>
        <v>185</v>
      </c>
      <c r="F23" s="118">
        <f t="shared" si="7"/>
        <v>7.58</v>
      </c>
      <c r="H23" s="119">
        <v>-0.1</v>
      </c>
      <c r="I23" s="120">
        <v>3</v>
      </c>
      <c r="J23" s="121">
        <v>7.0000000000000007E-2</v>
      </c>
      <c r="L23" s="144">
        <v>0.1</v>
      </c>
      <c r="M23" s="145">
        <v>12</v>
      </c>
      <c r="N23" s="122">
        <v>0.11</v>
      </c>
      <c r="O23" s="6"/>
      <c r="P23" s="6">
        <f t="shared" ca="1" si="1"/>
        <v>3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8">MAX(E14:E23)</f>
        <v>185</v>
      </c>
      <c r="F24" s="134">
        <f t="shared" si="8"/>
        <v>7.63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9">MIN(E14:E23)</f>
        <v>181</v>
      </c>
      <c r="F25" s="134">
        <f t="shared" si="9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0">E24-E25</f>
        <v>4</v>
      </c>
      <c r="F26" s="139">
        <f t="shared" si="10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4" r:id="rId4" name="CommandButton4">
          <controlPr defaultSize="0" autoLine="0" r:id="rId5">
            <anchor moveWithCells="1">
              <from>
                <xdr:col>11</xdr:col>
                <xdr:colOff>104775</xdr:colOff>
                <xdr:row>6</xdr:row>
                <xdr:rowOff>28575</xdr:rowOff>
              </from>
              <to>
                <xdr:col>13</xdr:col>
                <xdr:colOff>561975</xdr:colOff>
                <xdr:row>7</xdr:row>
                <xdr:rowOff>104775</xdr:rowOff>
              </to>
            </anchor>
          </controlPr>
        </control>
      </mc:Choice>
      <mc:Fallback>
        <control shapeId="10244" r:id="rId4" name="CommandButton4"/>
      </mc:Fallback>
    </mc:AlternateContent>
    <mc:AlternateContent xmlns:mc="http://schemas.openxmlformats.org/markup-compatibility/2006">
      <mc:Choice Requires="x14">
        <control shapeId="10243" r:id="rId6" name="CommandButton3">
          <controlPr defaultSize="0" autoLine="0" autoPict="0" r:id="rId7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6" name="CommandButton3"/>
      </mc:Fallback>
    </mc:AlternateContent>
    <mc:AlternateContent xmlns:mc="http://schemas.openxmlformats.org/markup-compatibility/2006">
      <mc:Choice Requires="x14">
        <control shapeId="10242" r:id="rId8" name="CommandButton2">
          <controlPr defaultSize="0" autoLine="0" autoPict="0" r:id="rId9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8" name="CommandButton2"/>
      </mc:Fallback>
    </mc:AlternateContent>
    <mc:AlternateContent xmlns:mc="http://schemas.openxmlformats.org/markup-compatibility/2006">
      <mc:Choice Requires="x14">
        <control shapeId="10241" r:id="rId10" name="CommandButton1">
          <controlPr defaultSize="0" autoLine="0" autoPict="0" r:id="rId11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10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2024-06-13T01:54:06Z</dcterms:modified>
</cp:coreProperties>
</file>