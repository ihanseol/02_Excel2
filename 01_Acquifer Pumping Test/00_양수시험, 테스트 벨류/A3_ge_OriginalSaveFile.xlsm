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0_양수시험, 테스트 벨류\"/>
    </mc:Choice>
  </mc:AlternateContent>
  <xr:revisionPtr revIDLastSave="0" documentId="13_ncr:1_{C4A83397-B055-448F-869B-B11684F9BBC7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<sst xmlns="http://schemas.openxmlformats.org/spreadsheetml/2006/main" count="1149" uniqueCount="302">
  <si>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</si>
  <si>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</si>
  <si>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</si>
  <si>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</si>
  <si>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</si>
  <si>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</si>
  <si>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</si>
  <si>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</si>
  <si>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</si>
  <si>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</si>
  <si>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</si>
  <si>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</si>
  <si>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</si>
  <si>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</si>
  <si>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</si>
  <si>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</si>
  <si>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</si>
  <si>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</si>
  <si>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</si>
  <si>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</si>
  <si>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</si>
  <si>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</si>
  <si>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</si>
  <si>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</si>
  <si>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</si>
  <si>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</si>
  <si>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</si>
  <si>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</si>
  <si>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</si>
  <si>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</si>
  <si>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</si>
  <si>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</si>
  <si>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</si>
  <si>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</si>
  <si>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</si>
  <si>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</si>
  <si>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</si>
  <si>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</si>
  <si>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</si>
  <si>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</si>
  <si>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</si>
  <si>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</si>
  <si>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</si>
  <si>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</si>
  <si>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</si>
  <si>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</si>
  <si>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</si>
  <si>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</si>
  <si>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</si>
  <si>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</si>
  <si>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</si>
  <si>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</si>
  <si>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</si>
  <si>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</si>
  <si>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</si>
  <si>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</si>
  <si>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</si>
  <si>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</si>
  <si>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</si>
  <si>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</si>
  <si>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</si>
  <si>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</si>
  <si>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</si>
  <si>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</si>
  <si>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</si>
  <si>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</si>
  <si>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</si>
  <si>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</si>
  <si>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</si>
  <si>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</si>
  <si>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</si>
  <si>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</si>
  <si>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</si>
  <si>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</si>
  <si>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</si>
  <si>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</si>
  <si>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</si>
  <si>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</si>
  <si>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</si>
  <si>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</si>
  <si>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</si>
  <si>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</si>
  <si>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</si>
  <si>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</si>
  <si>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</si>
  <si>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</si>
  <si>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</si>
  <si>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</si>
  <si>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</si>
  <si>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</si>
  <si>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</si>
  <si>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</si>
  <si>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</si>
  <si>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</si>
  <si>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</si>
  <si>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</si>
  <si>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</si>
  <si>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</si>
  <si>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</si>
  <si>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</si>
  <si>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</si>
  <si>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</si>
  <si>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</si>
  <si>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</si>
  <si>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</si>
  <si>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</si>
  <si>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</si>
  <si>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</si>
  <si>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</si>
  <si>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</si>
  <si>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</si>
  <si>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</si>
  <si>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</si>
  <si>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</si>
  <si>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</si>
  <si>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</si>
  <si>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</si>
  <si>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</si>
  <si>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</si>
  <si>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</si>
  <si>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</si>
  <si>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</si>
  <si>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</si>
  <si>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</si>
  <si>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</si>
  <si>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</si>
  <si>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</si>
  <si>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</si>
  <si>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</si>
  <si>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</si>
  <si>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</si>
  <si>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</si>
  <si>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</si>
  <si>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</si>
  <si>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</si>
  <si>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</si>
  <si>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</si>
  <si>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</si>
  <si>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</si>
  <si>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</si>
  <si>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</si>
  <si>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</si>
  <si>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</si>
  <si>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</si>
  <si>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</si>
  <si>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</si>
  <si>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</si>
  <si>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</si>
  <si>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</si>
  <si>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</si>
  <si>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</si>
  <si>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</si>
  <si>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</si>
  <si>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</si>
  <si>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</si>
  <si>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</si>
  <si>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</si>
  <si>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</si>
  <si>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</si>
  <si>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</si>
  <si>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</si>
  <si>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</si>
  <si>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</si>
  <si>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</si>
  <si>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</si>
  <si>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</si>
  <si>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</si>
  <si>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</si>
  <si>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</si>
  <si>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</si>
  <si>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</si>
  <si>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</si>
  <si>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</si>
  <si>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</si>
  <si>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</si>
  <si>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</si>
  <si>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</si>
  <si>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</si>
  <si>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</si>
  <si>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</si>
  <si>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</si>
  <si>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</si>
  <si>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</si>
  <si>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</si>
  <si>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</si>
  <si>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</si>
  <si>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</si>
  <si>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</si>
  <si>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</si>
  <si>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</si>
  <si>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</si>
  <si>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</si>
  <si>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</si>
  <si>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</si>
  <si>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</si>
  <si>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</si>
  <si>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</si>
  <si>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</si>
  <si>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</si>
  <si>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</si>
  <si>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</si>
  <si>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</si>
  <si>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</si>
  <si>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</si>
  <si>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</si>
  <si>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</si>
  <si>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</si>
  <si>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</si>
  <si>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</si>
  <si>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</si>
  <si>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</si>
  <si>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</si>
  <si>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</si>
  <si>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</si>
  <si>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</si>
  <si>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</si>
  <si>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</si>
  <si>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</si>
  <si>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</si>
  <si>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</si>
  <si>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</si>
  <si>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</si>
  <si>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</si>
  <si>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</si>
  <si>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</si>
  <si>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</si>
  <si>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</si>
  <si>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</si>
  <si>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</si>
  <si>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</si>
  <si>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</si>
  <si>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</si>
  <si>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</si>
  <si>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</si>
  <si>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</si>
  <si>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</si>
  <si>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</si>
  <si>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</si>
  <si>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</si>
  <si>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</si>
  <si>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</si>
  <si>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</si>
  <si>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</si>
  <si>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</si>
  <si>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</si>
  <si>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</si>
  <si>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</si>
  <si>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</si>
  <si>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</si>
  <si>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</si>
  <si>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</si>
  <si>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</si>
  <si>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</si>
  <si>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</si>
  <si>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</si>
  <si>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</si>
  <si>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</si>
  <si>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</si>
  <si>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</si>
  <si>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</si>
  <si>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</si>
  <si>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</si>
  <si>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</si>
  <si>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</si>
  <si>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</si>
  <si>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</si>
  <si>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</si>
  <si>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</si>
  <si>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</si>
  <si>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</si>
  <si>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</si>
  <si>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</si>
  <si>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</si>
  <si>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</si>
  <si>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</si>
  <si>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</si>
  <si>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</si>
  <si>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</si>
  <si>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</si>
  <si>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</si>
  <si>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</si>
  <si>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</si>
  <si>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</si>
  <si>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</si>
  <si>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</si>
  <si>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</si>
  <si>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</si>
  <si>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</si>
  <si>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</si>
  <si>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</si>
  <si>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</si>
  <si>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</si>
  <si>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</si>
  <si>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</si>
  <si>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</si>
  <si>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</si>
  <si>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</si>
  <si>
    <t>145
184
224
264
304</t>
  </si>
  <si>
    <t>13.11
15.61
18.42
21.56
26.34</t>
  </si>
  <si>
    <t>7.49
9.99
12.80
15.94
20.72</t>
  </si>
  <si>
    <t>19.359
18.418
17.531
16.562
14.653</t>
  </si>
  <si>
    <t>0.051655
0.054293
0.057041
0.060379
0.068248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</si>
</sst>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 formatCode="\ 0.00\ ">
                  <c:v>7.65</c:v>
                </c:pt>
                <c:pt idx="21" formatCode="\ 0.00\ ">
                  <c:v>7.8000000000000007</c:v>
                </c:pt>
                <c:pt idx="22" formatCode="\ 0.00\ ">
                  <c:v>7.94</c:v>
                </c:pt>
                <c:pt idx="23" formatCode="\ 0.00\ ">
                  <c:v>8.07</c:v>
                </c:pt>
                <c:pt idx="24" formatCode="\ 0.00\ ">
                  <c:v>8.2000000000000011</c:v>
                </c:pt>
                <c:pt idx="25">
                  <c:v>8.99</c:v>
                </c:pt>
                <c:pt idx="26" formatCode="\ 0.00\ ">
                  <c:v>9.1</c:v>
                </c:pt>
                <c:pt idx="27">
                  <c:v>9.24</c:v>
                </c:pt>
                <c:pt idx="28" formatCode="\ 0.00\ ">
                  <c:v>9.34</c:v>
                </c:pt>
                <c:pt idx="29">
                  <c:v>9.49</c:v>
                </c:pt>
                <c:pt idx="30" formatCode="\ 0.00\ ">
                  <c:v>9.5500000000000007</c:v>
                </c:pt>
                <c:pt idx="31" formatCode="\ 0.00\ ">
                  <c:v>9.6000000000000014</c:v>
                </c:pt>
                <c:pt idx="32" formatCode="\ 0.00\ ">
                  <c:v>9.64</c:v>
                </c:pt>
                <c:pt idx="33" formatCode="\ 0.00\ ">
                  <c:v>9.67</c:v>
                </c:pt>
                <c:pt idx="34" formatCode="\ 0.00\ ">
                  <c:v>9.69</c:v>
                </c:pt>
                <c:pt idx="35">
                  <c:v>9.74</c:v>
                </c:pt>
                <c:pt idx="36" formatCode="\ 0.00\ ">
                  <c:v>9.81</c:v>
                </c:pt>
                <c:pt idx="37" formatCode="\ 0.00\ ">
                  <c:v>9.870000000000001</c:v>
                </c:pt>
                <c:pt idx="38" formatCode="\ 0.00\ ">
                  <c:v>9.9200000000000017</c:v>
                </c:pt>
                <c:pt idx="39">
                  <c:v>9.99</c:v>
                </c:pt>
                <c:pt idx="40" formatCode="\ 0.00\ ">
                  <c:v>10.17</c:v>
                </c:pt>
                <c:pt idx="41" formatCode="\ 0.00\ ">
                  <c:v>10.33</c:v>
                </c:pt>
                <c:pt idx="42" formatCode="\ 0.00\ ">
                  <c:v>10.48</c:v>
                </c:pt>
                <c:pt idx="43" formatCode="\ 0.00\ ">
                  <c:v>10.620000000000001</c:v>
                </c:pt>
                <c:pt idx="44" formatCode="\ 0.00\ ">
                  <c:v>10.750000000000002</c:v>
                </c:pt>
                <c:pt idx="45">
                  <c:v>11.67</c:v>
                </c:pt>
                <c:pt idx="46" formatCode="\ 0.00\ ">
                  <c:v>11.78</c:v>
                </c:pt>
                <c:pt idx="47">
                  <c:v>11.95</c:v>
                </c:pt>
                <c:pt idx="48" formatCode="\ 0.00\ ">
                  <c:v>12.059999999999999</c:v>
                </c:pt>
                <c:pt idx="49">
                  <c:v>12.23</c:v>
                </c:pt>
                <c:pt idx="50" formatCode="\ 0.00\ ">
                  <c:v>12.3</c:v>
                </c:pt>
                <c:pt idx="51" formatCode="\ 0.00\ ">
                  <c:v>12.350000000000001</c:v>
                </c:pt>
                <c:pt idx="52" formatCode="\ 0.00\ ">
                  <c:v>12.39</c:v>
                </c:pt>
                <c:pt idx="53" formatCode="\ 0.00\ ">
                  <c:v>12.42</c:v>
                </c:pt>
                <c:pt idx="54" formatCode="\ 0.00\ ">
                  <c:v>12.44</c:v>
                </c:pt>
                <c:pt idx="55">
                  <c:v>12.51</c:v>
                </c:pt>
                <c:pt idx="56" formatCode="\ 0.00\ ">
                  <c:v>12.59</c:v>
                </c:pt>
                <c:pt idx="57" formatCode="\ 0.00\ ">
                  <c:v>12.65</c:v>
                </c:pt>
                <c:pt idx="58" formatCode="\ 0.00\ ">
                  <c:v>12.700000000000001</c:v>
                </c:pt>
                <c:pt idx="59">
                  <c:v>12.8</c:v>
                </c:pt>
                <c:pt idx="60" formatCode="\ 0.00\ ">
                  <c:v>12.99</c:v>
                </c:pt>
                <c:pt idx="61" formatCode="\ 0.00\ ">
                  <c:v>13.16</c:v>
                </c:pt>
                <c:pt idx="62" formatCode="\ 0.00\ ">
                  <c:v>13.32</c:v>
                </c:pt>
                <c:pt idx="63" formatCode="\ 0.00\ ">
                  <c:v>13.47</c:v>
                </c:pt>
                <c:pt idx="64" formatCode="\ 0.00\ ">
                  <c:v>13.610000000000001</c:v>
                </c:pt>
                <c:pt idx="65">
                  <c:v>14.68</c:v>
                </c:pt>
                <c:pt idx="66" formatCode="\ 0.00\ ">
                  <c:v>14.799999999999999</c:v>
                </c:pt>
                <c:pt idx="67" formatCode="\ 0.00\ ">
                  <c:v>14.99</c:v>
                </c:pt>
                <c:pt idx="68" formatCode="\ 0.00\ ">
                  <c:v>15.11</c:v>
                </c:pt>
                <c:pt idx="69" formatCode="\ 0.00\ ">
                  <c:v>15.31</c:v>
                </c:pt>
                <c:pt idx="70" formatCode="\ 0.00\ ">
                  <c:v>15.38</c:v>
                </c:pt>
                <c:pt idx="71" formatCode="\ 0.00\ ">
                  <c:v>15.430000000000001</c:v>
                </c:pt>
                <c:pt idx="72" formatCode="\ 0.00\ ">
                  <c:v>15.47</c:v>
                </c:pt>
                <c:pt idx="73" formatCode="\ 0.00\ ">
                  <c:v>15.5</c:v>
                </c:pt>
                <c:pt idx="74" formatCode="\ 0.00\ ">
                  <c:v>15.53</c:v>
                </c:pt>
                <c:pt idx="75" formatCode="\ 0.00\ ">
                  <c:v>15.62</c:v>
                </c:pt>
                <c:pt idx="76" formatCode="\ 0.00\ ">
                  <c:v>15.709999999999999</c:v>
                </c:pt>
                <c:pt idx="77" formatCode="\ 0.00\ ">
                  <c:v>15.78</c:v>
                </c:pt>
                <c:pt idx="78" formatCode="\ 0.00\ ">
                  <c:v>15.83</c:v>
                </c:pt>
                <c:pt idx="79" formatCode="\ 0.00\ ">
                  <c:v>15.94</c:v>
                </c:pt>
                <c:pt idx="80" formatCode="\ 0.00\ ">
                  <c:v>16.149999999999999</c:v>
                </c:pt>
                <c:pt idx="81" formatCode="\ 0.00\ ">
                  <c:v>16.34</c:v>
                </c:pt>
                <c:pt idx="82" formatCode="\ 0.00\ ">
                  <c:v>16.510000000000002</c:v>
                </c:pt>
                <c:pt idx="83" formatCode="\ 0.00\ ">
                  <c:v>16.670000000000002</c:v>
                </c:pt>
                <c:pt idx="84" formatCode="\ 0.00\ ">
                  <c:v>16.810000000000002</c:v>
                </c:pt>
                <c:pt idx="85" formatCode="\ 0.00\ ">
                  <c:v>17.850000000000001</c:v>
                </c:pt>
                <c:pt idx="86" formatCode="\ 0.00\ ">
                  <c:v>18.16</c:v>
                </c:pt>
                <c:pt idx="87" formatCode="\ 0.00\ ">
                  <c:v>18.559999999999999</c:v>
                </c:pt>
                <c:pt idx="88" formatCode="\ 0.00\ ">
                  <c:v>18.86</c:v>
                </c:pt>
                <c:pt idx="89" formatCode="\ 0.00\ ">
                  <c:v>19.28</c:v>
                </c:pt>
                <c:pt idx="90" formatCode="\ 0.00\ ">
                  <c:v>19.43</c:v>
                </c:pt>
                <c:pt idx="91" formatCode="\ 0.00\ ">
                  <c:v>19.559999999999999</c:v>
                </c:pt>
                <c:pt idx="92" formatCode="\ 0.00\ ">
                  <c:v>19.669999999999998</c:v>
                </c:pt>
                <c:pt idx="93" formatCode="\ 0.00\ ">
                  <c:v>19.749999999999996</c:v>
                </c:pt>
                <c:pt idx="94" formatCode="\ 0.00\ ">
                  <c:v>19.819999999999997</c:v>
                </c:pt>
                <c:pt idx="95" formatCode="\ 0.00\ ">
                  <c:v>20</c:v>
                </c:pt>
                <c:pt idx="96" formatCode="\ 0.00\ ">
                  <c:v>20.190000000000001</c:v>
                </c:pt>
                <c:pt idx="97" formatCode="\ 0.00\ ">
                  <c:v>20.350000000000001</c:v>
                </c:pt>
                <c:pt idx="98" formatCode="\ 0.00\ ">
                  <c:v>20.490000000000002</c:v>
                </c:pt>
                <c:pt idx="99" formatCode="\ 0.00\ ">
                  <c:v>20.72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5.1655172413793103E-2</c:v>
                </c:pt>
                <c:pt idx="1">
                  <c:v>5.4293478260869568E-2</c:v>
                </c:pt>
                <c:pt idx="2">
                  <c:v>5.7040998217468809E-2</c:v>
                </c:pt>
                <c:pt idx="3">
                  <c:v>6.0378787878787879E-2</c:v>
                </c:pt>
                <c:pt idx="4">
                  <c:v>6.824769433465086E-2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7.3778534974936777E-2"/>
          <c:min val="4.61243317735071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6.9135508003573976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79.513692794665332</c:v>
                </c:pt>
                <c:pt idx="2">
                  <c:v>75.361207218442317</c:v>
                </c:pt>
                <c:pt idx="3">
                  <c:v>71.493534345116231</c:v>
                </c:pt>
                <c:pt idx="4">
                  <c:v>68.069273620500311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7.49</c:v>
                </c:pt>
                <c:pt idx="1">
                  <c:v>9.99</c:v>
                </c:pt>
                <c:pt idx="2">
                  <c:v>12.8</c:v>
                </c:pt>
                <c:pt idx="3">
                  <c:v>15.94</c:v>
                </c:pt>
                <c:pt idx="4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5.1655172413793103E-2</c:v>
                </c:pt>
                <c:pt idx="2">
                  <c:v>5.4293478260869568E-2</c:v>
                </c:pt>
                <c:pt idx="3">
                  <c:v>5.7040998217468809E-2</c:v>
                </c:pt>
                <c:pt idx="4">
                  <c:v>6.0378787878787879E-2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7.3778534974936777E-2"/>
          <c:min val="4.61243317735071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6.9135508003573976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>
                  <c:v>8.99</c:v>
                </c:pt>
                <c:pt idx="21">
                  <c:v>9.24</c:v>
                </c:pt>
                <c:pt idx="22">
                  <c:v>9.49</c:v>
                </c:pt>
                <c:pt idx="23">
                  <c:v>9.74</c:v>
                </c:pt>
                <c:pt idx="24">
                  <c:v>9.99</c:v>
                </c:pt>
                <c:pt idx="25">
                  <c:v>11.67</c:v>
                </c:pt>
                <c:pt idx="26">
                  <c:v>11.95</c:v>
                </c:pt>
                <c:pt idx="27">
                  <c:v>12.23</c:v>
                </c:pt>
                <c:pt idx="28">
                  <c:v>12.51</c:v>
                </c:pt>
                <c:pt idx="29">
                  <c:v>12.8</c:v>
                </c:pt>
                <c:pt idx="30">
                  <c:v>14.68</c:v>
                </c:pt>
                <c:pt idx="31">
                  <c:v>14.99</c:v>
                </c:pt>
                <c:pt idx="32">
                  <c:v>15.31</c:v>
                </c:pt>
                <c:pt idx="33">
                  <c:v>15.62</c:v>
                </c:pt>
                <c:pt idx="34">
                  <c:v>15.94</c:v>
                </c:pt>
                <c:pt idx="35">
                  <c:v>17.850000000000001</c:v>
                </c:pt>
                <c:pt idx="36">
                  <c:v>18.559999999999999</c:v>
                </c:pt>
                <c:pt idx="37">
                  <c:v>19.28</c:v>
                </c:pt>
                <c:pt idx="38">
                  <c:v>20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1.0076022440114922</c:v>
                </c:pt>
                <c:pt idx="1">
                  <c:v>1.9461429181768093</c:v>
                </c:pt>
                <c:pt idx="2">
                  <c:v>2.4951540179650742</c:v>
                </c:pt>
                <c:pt idx="3">
                  <c:v>2.8846835923421281</c:v>
                </c:pt>
                <c:pt idx="4">
                  <c:v>3.1868262035504706</c:v>
                </c:pt>
                <c:pt idx="5">
                  <c:v>4.1253668777157877</c:v>
                </c:pt>
                <c:pt idx="6">
                  <c:v>4.674377977504049</c:v>
                </c:pt>
                <c:pt idx="7">
                  <c:v>5.0639075518811048</c:v>
                </c:pt>
                <c:pt idx="8">
                  <c:v>5.3660501630894455</c:v>
                </c:pt>
                <c:pt idx="9">
                  <c:v>5.6129186516693661</c:v>
                </c:pt>
                <c:pt idx="10">
                  <c:v>5.8216429847197357</c:v>
                </c:pt>
                <c:pt idx="11">
                  <c:v>6.00244822604642</c:v>
                </c:pt>
                <c:pt idx="12">
                  <c:v>6.161929751457631</c:v>
                </c:pt>
                <c:pt idx="13">
                  <c:v>6.3045908372547625</c:v>
                </c:pt>
                <c:pt idx="14">
                  <c:v>6.4336434871351305</c:v>
                </c:pt>
                <c:pt idx="15">
                  <c:v>6.5514593258346832</c:v>
                </c:pt>
                <c:pt idx="16">
                  <c:v>6.8536019370430257</c:v>
                </c:pt>
                <c:pt idx="17">
                  <c:v>7.1004704256229463</c:v>
                </c:pt>
                <c:pt idx="18">
                  <c:v>7.3091947586733159</c:v>
                </c:pt>
                <c:pt idx="19">
                  <c:v>7.49</c:v>
                </c:pt>
                <c:pt idx="20">
                  <c:v>8.9365548138164197</c:v>
                </c:pt>
                <c:pt idx="21">
                  <c:v>9.0638882292058529</c:v>
                </c:pt>
                <c:pt idx="22">
                  <c:v>9.182432802868389</c:v>
                </c:pt>
                <c:pt idx="23">
                  <c:v>9.4957004021698079</c:v>
                </c:pt>
                <c:pt idx="24">
                  <c:v>9.99</c:v>
                </c:pt>
                <c:pt idx="25">
                  <c:v>12.035899464312628</c:v>
                </c:pt>
                <c:pt idx="26">
                  <c:v>12.118085488986413</c:v>
                </c:pt>
                <c:pt idx="27">
                  <c:v>12.197169403515787</c:v>
                </c:pt>
                <c:pt idx="28">
                  <c:v>12.417949732156313</c:v>
                </c:pt>
                <c:pt idx="29">
                  <c:v>12.8</c:v>
                </c:pt>
                <c:pt idx="30">
                  <c:v>15.298333258231487</c:v>
                </c:pt>
                <c:pt idx="31">
                  <c:v>15.364077547153975</c:v>
                </c:pt>
                <c:pt idx="32">
                  <c:v>15.428113997608968</c:v>
                </c:pt>
                <c:pt idx="33">
                  <c:v>15.610809767515548</c:v>
                </c:pt>
                <c:pt idx="34">
                  <c:v>15.939999999999998</c:v>
                </c:pt>
                <c:pt idx="35">
                  <c:v>20.145832686099702</c:v>
                </c:pt>
                <c:pt idx="36">
                  <c:v>20.203108461152659</c:v>
                </c:pt>
                <c:pt idx="37">
                  <c:v>20.259249987565305</c:v>
                </c:pt>
                <c:pt idx="38">
                  <c:v>20.421297202427525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1.94</c:v>
                </c:pt>
                <c:pt idx="2">
                  <c:v>2.4900000000000002</c:v>
                </c:pt>
                <c:pt idx="3">
                  <c:v>2.88</c:v>
                </c:pt>
                <c:pt idx="4">
                  <c:v>3.18</c:v>
                </c:pt>
                <c:pt idx="5">
                  <c:v>4.12</c:v>
                </c:pt>
                <c:pt idx="6">
                  <c:v>4.67</c:v>
                </c:pt>
                <c:pt idx="7">
                  <c:v>5.0599999999999996</c:v>
                </c:pt>
                <c:pt idx="8">
                  <c:v>5.36</c:v>
                </c:pt>
                <c:pt idx="9">
                  <c:v>5.61</c:v>
                </c:pt>
                <c:pt idx="10">
                  <c:v>5.82</c:v>
                </c:pt>
                <c:pt idx="11">
                  <c:v>6</c:v>
                </c:pt>
                <c:pt idx="12">
                  <c:v>6.16</c:v>
                </c:pt>
                <c:pt idx="13">
                  <c:v>6.3</c:v>
                </c:pt>
                <c:pt idx="14">
                  <c:v>6.43</c:v>
                </c:pt>
                <c:pt idx="15">
                  <c:v>6.55</c:v>
                </c:pt>
                <c:pt idx="16">
                  <c:v>6.85</c:v>
                </c:pt>
                <c:pt idx="17">
                  <c:v>7.1</c:v>
                </c:pt>
                <c:pt idx="18">
                  <c:v>7.3</c:v>
                </c:pt>
                <c:pt idx="19">
                  <c:v>7.49</c:v>
                </c:pt>
                <c:pt idx="20">
                  <c:v>8.99</c:v>
                </c:pt>
                <c:pt idx="21">
                  <c:v>9.24</c:v>
                </c:pt>
                <c:pt idx="22">
                  <c:v>9.49</c:v>
                </c:pt>
                <c:pt idx="23">
                  <c:v>9.74</c:v>
                </c:pt>
                <c:pt idx="24">
                  <c:v>9.99</c:v>
                </c:pt>
                <c:pt idx="25">
                  <c:v>11.67</c:v>
                </c:pt>
                <c:pt idx="26">
                  <c:v>11.95</c:v>
                </c:pt>
                <c:pt idx="27">
                  <c:v>12.23</c:v>
                </c:pt>
                <c:pt idx="28">
                  <c:v>12.51</c:v>
                </c:pt>
                <c:pt idx="29">
                  <c:v>12.8</c:v>
                </c:pt>
                <c:pt idx="30">
                  <c:v>14.68</c:v>
                </c:pt>
                <c:pt idx="31">
                  <c:v>14.99</c:v>
                </c:pt>
                <c:pt idx="32">
                  <c:v>15.31</c:v>
                </c:pt>
                <c:pt idx="33">
                  <c:v>15.62</c:v>
                </c:pt>
                <c:pt idx="34">
                  <c:v>15.94</c:v>
                </c:pt>
                <c:pt idx="35">
                  <c:v>17.850000000000001</c:v>
                </c:pt>
                <c:pt idx="36">
                  <c:v>18.559999999999999</c:v>
                </c:pt>
                <c:pt idx="37">
                  <c:v>19.28</c:v>
                </c:pt>
                <c:pt idx="38">
                  <c:v>20</c:v>
                </c:pt>
                <c:pt idx="3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5.082119965730536</c:v>
                </c:pt>
                <c:pt idx="1">
                  <c:v>6.4183788029952886</c:v>
                </c:pt>
                <c:pt idx="2">
                  <c:v>7.2000401140524239</c:v>
                </c:pt>
                <c:pt idx="3">
                  <c:v>7.754637640260043</c:v>
                </c:pt>
                <c:pt idx="4">
                  <c:v>8.1848169020170829</c:v>
                </c:pt>
                <c:pt idx="5">
                  <c:v>9.5210757392818373</c:v>
                </c:pt>
                <c:pt idx="6">
                  <c:v>10.302737050338969</c:v>
                </c:pt>
                <c:pt idx="7">
                  <c:v>10.857334576546588</c:v>
                </c:pt>
                <c:pt idx="8">
                  <c:v>11.287513838303635</c:v>
                </c:pt>
                <c:pt idx="9">
                  <c:v>11.638995887603723</c:v>
                </c:pt>
                <c:pt idx="10">
                  <c:v>11.936169725955256</c:v>
                </c:pt>
                <c:pt idx="11">
                  <c:v>12.193593413811342</c:v>
                </c:pt>
                <c:pt idx="12">
                  <c:v>12.420657198660859</c:v>
                </c:pt>
                <c:pt idx="13">
                  <c:v>12.623772675568389</c:v>
                </c:pt>
                <c:pt idx="14">
                  <c:v>12.80751297433428</c:v>
                </c:pt>
                <c:pt idx="15">
                  <c:v>12.975254724868474</c:v>
                </c:pt>
                <c:pt idx="16">
                  <c:v>13.405433986625518</c:v>
                </c:pt>
                <c:pt idx="17">
                  <c:v>13.75691603592561</c:v>
                </c:pt>
                <c:pt idx="18">
                  <c:v>14.054089874277146</c:v>
                </c:pt>
                <c:pt idx="19">
                  <c:v>14.311513562133229</c:v>
                </c:pt>
                <c:pt idx="20">
                  <c:v>14.608687400484762</c:v>
                </c:pt>
                <c:pt idx="21">
                  <c:v>14.866111088340848</c:v>
                </c:pt>
                <c:pt idx="22">
                  <c:v>15.093174873190364</c:v>
                </c:pt>
                <c:pt idx="23">
                  <c:v>15.647772399397983</c:v>
                </c:pt>
                <c:pt idx="24">
                  <c:v>16.077951661155023</c:v>
                </c:pt>
                <c:pt idx="25">
                  <c:v>16.429433710455115</c:v>
                </c:pt>
                <c:pt idx="26">
                  <c:v>16.726607548806651</c:v>
                </c:pt>
                <c:pt idx="27">
                  <c:v>16.984031236662734</c:v>
                </c:pt>
                <c:pt idx="28">
                  <c:v>17.21109502151225</c:v>
                </c:pt>
                <c:pt idx="29">
                  <c:v>17.414210498419777</c:v>
                </c:pt>
                <c:pt idx="30">
                  <c:v>17.597950797185671</c:v>
                </c:pt>
                <c:pt idx="31">
                  <c:v>17.765692547719869</c:v>
                </c:pt>
                <c:pt idx="32">
                  <c:v>17.920000000000002</c:v>
                </c:pt>
                <c:pt idx="33">
                  <c:v>17.920000000000002</c:v>
                </c:pt>
                <c:pt idx="34">
                  <c:v>17.920000000000002</c:v>
                </c:pt>
                <c:pt idx="35">
                  <c:v>17.920000000000002</c:v>
                </c:pt>
                <c:pt idx="36">
                  <c:v>17.920000000000002</c:v>
                </c:pt>
                <c:pt idx="37">
                  <c:v>17.920000000000002</c:v>
                </c:pt>
                <c:pt idx="38">
                  <c:v>17.920000000000002</c:v>
                </c:pt>
                <c:pt idx="39">
                  <c:v>17.920000000000002</c:v>
                </c:pt>
                <c:pt idx="40">
                  <c:v>17.920000000000002</c:v>
                </c:pt>
                <c:pt idx="41">
                  <c:v>17.920000000000002</c:v>
                </c:pt>
                <c:pt idx="42">
                  <c:v>17.920000000000002</c:v>
                </c:pt>
                <c:pt idx="43">
                  <c:v>17.920000000000002</c:v>
                </c:pt>
                <c:pt idx="44">
                  <c:v>17.920000000000002</c:v>
                </c:pt>
                <c:pt idx="45">
                  <c:v>17.920000000000002</c:v>
                </c:pt>
                <c:pt idx="46">
                  <c:v>17.920000000000002</c:v>
                </c:pt>
                <c:pt idx="47">
                  <c:v>17.920000000000002</c:v>
                </c:pt>
                <c:pt idx="48">
                  <c:v>17.920000000000002</c:v>
                </c:pt>
                <c:pt idx="49">
                  <c:v>17.920000000000002</c:v>
                </c:pt>
                <c:pt idx="50">
                  <c:v>17.920000000000002</c:v>
                </c:pt>
                <c:pt idx="51">
                  <c:v>17.920000000000002</c:v>
                </c:pt>
                <c:pt idx="52">
                  <c:v>17.920000000000002</c:v>
                </c:pt>
                <c:pt idx="53">
                  <c:v>17.920000000000002</c:v>
                </c:pt>
                <c:pt idx="54">
                  <c:v>17.920000000000002</c:v>
                </c:pt>
                <c:pt idx="55">
                  <c:v>17.920000000000002</c:v>
                </c:pt>
                <c:pt idx="56">
                  <c:v>17.920000000000002</c:v>
                </c:pt>
                <c:pt idx="57">
                  <c:v>17.920000000000002</c:v>
                </c:pt>
                <c:pt idx="58">
                  <c:v>17.920000000000002</c:v>
                </c:pt>
                <c:pt idx="59">
                  <c:v>17.920000000000002</c:v>
                </c:pt>
                <c:pt idx="60">
                  <c:v>17.920000000000002</c:v>
                </c:pt>
                <c:pt idx="61">
                  <c:v>17.920000000000002</c:v>
                </c:pt>
                <c:pt idx="62">
                  <c:v>17.920000000000002</c:v>
                </c:pt>
                <c:pt idx="63">
                  <c:v>17.920000000000002</c:v>
                </c:pt>
                <c:pt idx="64">
                  <c:v>17.920000000000002</c:v>
                </c:pt>
                <c:pt idx="65">
                  <c:v>17.920000000000002</c:v>
                </c:pt>
                <c:pt idx="66">
                  <c:v>17.920000000000002</c:v>
                </c:pt>
                <c:pt idx="67">
                  <c:v>17.920000000000002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5.082119965730536</c:v>
                </c:pt>
                <c:pt idx="1">
                  <c:v>6.4183788029952886</c:v>
                </c:pt>
                <c:pt idx="2">
                  <c:v>7.2000401140524239</c:v>
                </c:pt>
                <c:pt idx="3">
                  <c:v>7.754637640260043</c:v>
                </c:pt>
                <c:pt idx="4">
                  <c:v>8.1848169020170829</c:v>
                </c:pt>
                <c:pt idx="5">
                  <c:v>9.5210757392818373</c:v>
                </c:pt>
                <c:pt idx="6">
                  <c:v>10.302737050338969</c:v>
                </c:pt>
                <c:pt idx="7">
                  <c:v>10.857334576546588</c:v>
                </c:pt>
                <c:pt idx="8">
                  <c:v>11.287513838303635</c:v>
                </c:pt>
                <c:pt idx="9">
                  <c:v>11.638995887603723</c:v>
                </c:pt>
                <c:pt idx="10">
                  <c:v>11.936169725955256</c:v>
                </c:pt>
                <c:pt idx="11">
                  <c:v>12.193593413811342</c:v>
                </c:pt>
                <c:pt idx="12">
                  <c:v>12.420657198660859</c:v>
                </c:pt>
                <c:pt idx="13">
                  <c:v>12.623772675568389</c:v>
                </c:pt>
                <c:pt idx="14">
                  <c:v>12.80751297433428</c:v>
                </c:pt>
                <c:pt idx="15">
                  <c:v>12.975254724868474</c:v>
                </c:pt>
                <c:pt idx="16">
                  <c:v>13.405433986625518</c:v>
                </c:pt>
                <c:pt idx="17">
                  <c:v>13.75691603592561</c:v>
                </c:pt>
                <c:pt idx="18">
                  <c:v>14.054089874277146</c:v>
                </c:pt>
                <c:pt idx="19">
                  <c:v>14.311513562133229</c:v>
                </c:pt>
                <c:pt idx="20">
                  <c:v>14.608687400484762</c:v>
                </c:pt>
                <c:pt idx="21">
                  <c:v>14.866111088340848</c:v>
                </c:pt>
                <c:pt idx="22">
                  <c:v>15.093174873190364</c:v>
                </c:pt>
                <c:pt idx="23">
                  <c:v>15.647772399397983</c:v>
                </c:pt>
                <c:pt idx="24">
                  <c:v>16.077951661155023</c:v>
                </c:pt>
                <c:pt idx="25">
                  <c:v>16.429433710455115</c:v>
                </c:pt>
                <c:pt idx="26">
                  <c:v>16.726607548806651</c:v>
                </c:pt>
                <c:pt idx="27">
                  <c:v>16.984031236662734</c:v>
                </c:pt>
                <c:pt idx="28">
                  <c:v>17.21109502151225</c:v>
                </c:pt>
                <c:pt idx="29">
                  <c:v>17.414210498419777</c:v>
                </c:pt>
                <c:pt idx="30">
                  <c:v>17.597950797185671</c:v>
                </c:pt>
                <c:pt idx="31">
                  <c:v>17.765692547719869</c:v>
                </c:pt>
                <c:pt idx="32">
                  <c:v>17.920000000000002</c:v>
                </c:pt>
                <c:pt idx="33">
                  <c:v>17.920000000000002</c:v>
                </c:pt>
                <c:pt idx="34">
                  <c:v>17.920000000000002</c:v>
                </c:pt>
                <c:pt idx="35">
                  <c:v>17.920000000000002</c:v>
                </c:pt>
                <c:pt idx="36">
                  <c:v>17.920000000000002</c:v>
                </c:pt>
                <c:pt idx="37">
                  <c:v>17.920000000000002</c:v>
                </c:pt>
                <c:pt idx="38">
                  <c:v>17.920000000000002</c:v>
                </c:pt>
                <c:pt idx="39">
                  <c:v>17.920000000000002</c:v>
                </c:pt>
                <c:pt idx="40">
                  <c:v>17.920000000000002</c:v>
                </c:pt>
                <c:pt idx="41">
                  <c:v>17.920000000000002</c:v>
                </c:pt>
                <c:pt idx="42">
                  <c:v>17.920000000000002</c:v>
                </c:pt>
                <c:pt idx="43">
                  <c:v>17.920000000000002</c:v>
                </c:pt>
                <c:pt idx="44">
                  <c:v>17.920000000000002</c:v>
                </c:pt>
                <c:pt idx="45">
                  <c:v>17.920000000000002</c:v>
                </c:pt>
                <c:pt idx="46">
                  <c:v>17.920000000000002</c:v>
                </c:pt>
                <c:pt idx="47">
                  <c:v>17.920000000000002</c:v>
                </c:pt>
                <c:pt idx="48">
                  <c:v>17.920000000000002</c:v>
                </c:pt>
                <c:pt idx="49">
                  <c:v>17.920000000000002</c:v>
                </c:pt>
                <c:pt idx="50">
                  <c:v>17.920000000000002</c:v>
                </c:pt>
                <c:pt idx="51">
                  <c:v>17.920000000000002</c:v>
                </c:pt>
                <c:pt idx="52">
                  <c:v>17.920000000000002</c:v>
                </c:pt>
                <c:pt idx="53">
                  <c:v>17.920000000000002</c:v>
                </c:pt>
                <c:pt idx="54">
                  <c:v>17.920000000000002</c:v>
                </c:pt>
                <c:pt idx="55">
                  <c:v>17.920000000000002</c:v>
                </c:pt>
                <c:pt idx="56">
                  <c:v>17.920000000000002</c:v>
                </c:pt>
                <c:pt idx="57">
                  <c:v>17.920000000000002</c:v>
                </c:pt>
                <c:pt idx="58">
                  <c:v>17.920000000000002</c:v>
                </c:pt>
                <c:pt idx="59">
                  <c:v>17.920000000000002</c:v>
                </c:pt>
                <c:pt idx="60">
                  <c:v>17.920000000000002</c:v>
                </c:pt>
                <c:pt idx="61">
                  <c:v>17.920000000000002</c:v>
                </c:pt>
                <c:pt idx="62">
                  <c:v>17.920000000000002</c:v>
                </c:pt>
                <c:pt idx="63">
                  <c:v>17.920000000000002</c:v>
                </c:pt>
                <c:pt idx="64">
                  <c:v>17.920000000000002</c:v>
                </c:pt>
                <c:pt idx="65">
                  <c:v>17.920000000000002</c:v>
                </c:pt>
                <c:pt idx="66">
                  <c:v>17.920000000000002</c:v>
                </c:pt>
                <c:pt idx="67">
                  <c:v>17.920000000000002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11.963842431837994</c:v>
                </c:pt>
                <c:pt idx="1">
                  <c:v>10.971614617336224</c:v>
                </c:pt>
                <c:pt idx="2">
                  <c:v>10.061677759229118</c:v>
                </c:pt>
                <c:pt idx="3">
                  <c:v>9.2272070120473355</c:v>
                </c:pt>
                <c:pt idx="4">
                  <c:v>8.4619435526127074</c:v>
                </c:pt>
                <c:pt idx="5">
                  <c:v>6.5263401226708826</c:v>
                </c:pt>
                <c:pt idx="6">
                  <c:v>6.1603153335984908</c:v>
                </c:pt>
                <c:pt idx="7">
                  <c:v>5.1808696190245307</c:v>
                </c:pt>
                <c:pt idx="8">
                  <c:v>4.7511913640164902</c:v>
                </c:pt>
                <c:pt idx="9">
                  <c:v>4.3571487100567348</c:v>
                </c:pt>
                <c:pt idx="10">
                  <c:v>4.2332020977033453</c:v>
                </c:pt>
                <c:pt idx="11">
                  <c:v>4.1127813605807964</c:v>
                </c:pt>
                <c:pt idx="12">
                  <c:v>3.9957861990850301</c:v>
                </c:pt>
                <c:pt idx="13">
                  <c:v>3.882119166807271</c:v>
                </c:pt>
                <c:pt idx="14">
                  <c:v>3.771685589369961</c:v>
                </c:pt>
                <c:pt idx="15">
                  <c:v>3.6643934855715536</c:v>
                </c:pt>
                <c:pt idx="16">
                  <c:v>3.5601534907744714</c:v>
                </c:pt>
                <c:pt idx="17">
                  <c:v>3.4588787824724352</c:v>
                </c:pt>
                <c:pt idx="18">
                  <c:v>3.360485007975146</c:v>
                </c:pt>
                <c:pt idx="19">
                  <c:v>3.081781346160295</c:v>
                </c:pt>
                <c:pt idx="20">
                  <c:v>2.9941147588370765</c:v>
                </c:pt>
                <c:pt idx="21">
                  <c:v>2.5180721034406384</c:v>
                </c:pt>
                <c:pt idx="22">
                  <c:v>2.117716797397807</c:v>
                </c:pt>
                <c:pt idx="23">
                  <c:v>1.7810150979604575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254</v>
      </c>
    </row>
    <row r="18" spans="4:10" ht="18" customHeight="1">
      <c r="D18" s="13" t="s">
        <v>114</v>
      </c>
      <c r="E18" s="11" t="s">
        <v>115</v>
      </c>
      <c r="J18" s="11" t="s">
        <v>255</v>
      </c>
    </row>
    <row r="19" spans="4:10" ht="18" customHeight="1">
      <c r="D19" s="13" t="s">
        <v>256</v>
      </c>
      <c r="E19" s="11" t="s">
        <v>274</v>
      </c>
      <c r="J19" s="11" t="s">
        <v>292</v>
      </c>
    </row>
    <row r="20" spans="4:10" ht="18" customHeight="1">
      <c r="D20" s="11" t="s">
        <v>257</v>
      </c>
      <c r="E20" s="11" t="s">
        <v>275</v>
      </c>
    </row>
    <row r="21" spans="4:10" ht="18" customHeight="1">
      <c r="D21" s="11" t="s">
        <v>258</v>
      </c>
      <c r="E21" s="11" t="s">
        <v>276</v>
      </c>
    </row>
    <row r="22" spans="4:10" ht="18" customHeight="1">
      <c r="D22" s="11" t="s">
        <v>259</v>
      </c>
      <c r="E22" s="11" t="s">
        <v>277</v>
      </c>
    </row>
    <row r="23" spans="4:10" ht="18" customHeight="1">
      <c r="D23" s="11" t="s">
        <v>260</v>
      </c>
      <c r="E23" s="11" t="s">
        <v>278</v>
      </c>
    </row>
    <row r="24" spans="4:10" ht="18" customHeight="1">
      <c r="D24" s="11" t="s">
        <v>261</v>
      </c>
      <c r="E24" s="11" t="s">
        <v>279</v>
      </c>
    </row>
    <row r="25" spans="4:10" ht="18" customHeight="1">
      <c r="D25" s="11" t="s">
        <v>262</v>
      </c>
      <c r="E25" s="11" t="s">
        <v>280</v>
      </c>
    </row>
    <row r="26" spans="4:10" ht="18" customHeight="1">
      <c r="D26" s="11" t="s">
        <v>263</v>
      </c>
      <c r="E26" s="11" t="s">
        <v>281</v>
      </c>
    </row>
    <row r="27" spans="4:10" ht="18" customHeight="1">
      <c r="D27" s="11" t="s">
        <v>264</v>
      </c>
      <c r="E27" s="11" t="s">
        <v>282</v>
      </c>
    </row>
    <row r="28" spans="4:10" ht="18" customHeight="1">
      <c r="D28" s="11" t="s">
        <v>265</v>
      </c>
      <c r="E28" s="11" t="s">
        <v>283</v>
      </c>
    </row>
    <row r="29" spans="4:10" ht="18" customHeight="1">
      <c r="D29" s="11" t="s">
        <v>266</v>
      </c>
      <c r="E29" s="11" t="s">
        <v>284</v>
      </c>
    </row>
    <row r="30" spans="4:10" ht="18" customHeight="1">
      <c r="D30" s="11" t="s">
        <v>267</v>
      </c>
      <c r="E30" s="11" t="s">
        <v>285</v>
      </c>
    </row>
    <row r="31" spans="4:10" ht="18" customHeight="1">
      <c r="D31" s="11" t="s">
        <v>268</v>
      </c>
      <c r="E31" s="11" t="s">
        <v>286</v>
      </c>
    </row>
    <row r="32" spans="4:10" ht="18" customHeight="1">
      <c r="D32" s="11" t="s">
        <v>269</v>
      </c>
      <c r="E32" s="11" t="s">
        <v>287</v>
      </c>
    </row>
    <row r="33" spans="4:5" ht="18" customHeight="1">
      <c r="D33" s="11" t="s">
        <v>270</v>
      </c>
      <c r="E33" s="11" t="s">
        <v>288</v>
      </c>
    </row>
    <row r="34" spans="4:5" ht="18" customHeight="1">
      <c r="D34" s="11" t="s">
        <v>271</v>
      </c>
      <c r="E34" s="11" t="s">
        <v>289</v>
      </c>
    </row>
    <row r="35" spans="4:5" ht="18" customHeight="1">
      <c r="D35" s="11" t="s">
        <v>272</v>
      </c>
      <c r="E35" s="11" t="s">
        <v>290</v>
      </c>
    </row>
    <row r="36" spans="4:5" ht="18" customHeight="1">
      <c r="D36" s="11" t="s">
        <v>273</v>
      </c>
      <c r="E36" s="11" t="s">
        <v>291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1.94</v>
      </c>
      <c r="E2" s="6">
        <v>2</v>
      </c>
      <c r="F2" s="6">
        <f>StepTest!G13</f>
        <v>1.94</v>
      </c>
    </row>
    <row r="3" spans="1:6">
      <c r="A3" s="124">
        <v>3</v>
      </c>
      <c r="B3" s="6">
        <f t="shared" si="0"/>
        <v>2.4900000000000002</v>
      </c>
      <c r="E3" s="6">
        <v>3</v>
      </c>
      <c r="F3" s="6">
        <f>StepTest!G14</f>
        <v>2.4900000000000002</v>
      </c>
    </row>
    <row r="4" spans="1:6">
      <c r="A4" s="124">
        <v>4</v>
      </c>
      <c r="B4" s="6">
        <f t="shared" si="0"/>
        <v>2.88</v>
      </c>
      <c r="E4" s="6">
        <v>4</v>
      </c>
      <c r="F4" s="6">
        <f>StepTest!G15</f>
        <v>2.88</v>
      </c>
    </row>
    <row r="5" spans="1:6">
      <c r="A5" s="124">
        <v>5</v>
      </c>
      <c r="B5" s="6">
        <f t="shared" si="0"/>
        <v>3.18</v>
      </c>
      <c r="E5" s="6">
        <v>5</v>
      </c>
      <c r="F5" s="6">
        <f>StepTest!G16</f>
        <v>3.18</v>
      </c>
    </row>
    <row r="6" spans="1:6">
      <c r="A6" s="124">
        <v>10</v>
      </c>
      <c r="B6" s="6">
        <f t="shared" si="0"/>
        <v>4.12</v>
      </c>
      <c r="E6" s="6">
        <v>10</v>
      </c>
      <c r="F6" s="6">
        <f>StepTest!G17</f>
        <v>4.12</v>
      </c>
    </row>
    <row r="7" spans="1:6">
      <c r="A7" s="124">
        <v>15</v>
      </c>
      <c r="B7" s="6">
        <f t="shared" si="0"/>
        <v>4.67</v>
      </c>
      <c r="E7" s="6">
        <v>15</v>
      </c>
      <c r="F7" s="6">
        <f>StepTest!G18</f>
        <v>4.67</v>
      </c>
    </row>
    <row r="8" spans="1:6">
      <c r="A8" s="124">
        <v>20</v>
      </c>
      <c r="B8" s="6">
        <f t="shared" si="0"/>
        <v>5.0599999999999996</v>
      </c>
      <c r="E8" s="6">
        <v>20</v>
      </c>
      <c r="F8" s="6">
        <f>StepTest!G19</f>
        <v>5.0599999999999996</v>
      </c>
    </row>
    <row r="9" spans="1:6">
      <c r="A9" s="124">
        <v>25</v>
      </c>
      <c r="B9" s="6">
        <f t="shared" si="0"/>
        <v>5.36</v>
      </c>
      <c r="E9" s="6">
        <v>25</v>
      </c>
      <c r="F9" s="6">
        <f>StepTest!G20</f>
        <v>5.36</v>
      </c>
    </row>
    <row r="10" spans="1:6">
      <c r="A10" s="124">
        <v>30</v>
      </c>
      <c r="B10" s="6">
        <f t="shared" si="0"/>
        <v>5.61</v>
      </c>
      <c r="E10" s="6">
        <v>30</v>
      </c>
      <c r="F10" s="6">
        <f>StepTest!G21</f>
        <v>5.61</v>
      </c>
    </row>
    <row r="11" spans="1:6">
      <c r="A11" s="124">
        <v>35</v>
      </c>
      <c r="B11" s="6">
        <f t="shared" si="0"/>
        <v>5.82</v>
      </c>
      <c r="E11" s="6">
        <v>35</v>
      </c>
      <c r="F11" s="6">
        <f>StepTest!G22</f>
        <v>5.82</v>
      </c>
    </row>
    <row r="12" spans="1:6">
      <c r="A12" s="124">
        <v>40</v>
      </c>
      <c r="B12" s="6">
        <f t="shared" si="0"/>
        <v>6</v>
      </c>
      <c r="E12" s="6">
        <v>40</v>
      </c>
      <c r="F12" s="6">
        <f>StepTest!G23</f>
        <v>6</v>
      </c>
    </row>
    <row r="13" spans="1:6">
      <c r="A13" s="124">
        <v>45</v>
      </c>
      <c r="B13" s="6">
        <f t="shared" si="0"/>
        <v>6.16</v>
      </c>
      <c r="E13" s="6">
        <v>45</v>
      </c>
      <c r="F13" s="6">
        <f>StepTest!G24</f>
        <v>6.16</v>
      </c>
    </row>
    <row r="14" spans="1:6">
      <c r="A14" s="124">
        <v>50</v>
      </c>
      <c r="B14" s="6">
        <f t="shared" si="0"/>
        <v>6.3</v>
      </c>
      <c r="E14" s="6">
        <v>50</v>
      </c>
      <c r="F14" s="6">
        <f>StepTest!G25</f>
        <v>6.3</v>
      </c>
    </row>
    <row r="15" spans="1:6">
      <c r="A15" s="124">
        <v>55</v>
      </c>
      <c r="B15" s="6">
        <f t="shared" si="0"/>
        <v>6.43</v>
      </c>
      <c r="E15" s="6">
        <v>55</v>
      </c>
      <c r="F15" s="6">
        <f>StepTest!G26</f>
        <v>6.43</v>
      </c>
    </row>
    <row r="16" spans="1:6">
      <c r="A16" s="124">
        <v>60</v>
      </c>
      <c r="B16" s="6">
        <f t="shared" si="0"/>
        <v>6.55</v>
      </c>
      <c r="E16" s="6">
        <v>60</v>
      </c>
      <c r="F16" s="6">
        <f>StepTest!G27</f>
        <v>6.55</v>
      </c>
    </row>
    <row r="17" spans="1:6">
      <c r="A17" s="124">
        <v>75</v>
      </c>
      <c r="B17" s="6">
        <f t="shared" si="0"/>
        <v>6.85</v>
      </c>
      <c r="E17" s="6">
        <v>75</v>
      </c>
      <c r="F17" s="6">
        <f>StepTest!G28</f>
        <v>6.85</v>
      </c>
    </row>
    <row r="18" spans="1:6">
      <c r="A18" s="124">
        <v>90</v>
      </c>
      <c r="B18" s="6">
        <f t="shared" si="0"/>
        <v>7.1</v>
      </c>
      <c r="E18" s="6">
        <v>90</v>
      </c>
      <c r="F18" s="6">
        <f>StepTest!G29</f>
        <v>7.1</v>
      </c>
    </row>
    <row r="19" spans="1:6">
      <c r="A19" s="124">
        <v>105</v>
      </c>
      <c r="B19" s="6">
        <f t="shared" si="0"/>
        <v>7.3</v>
      </c>
      <c r="E19" s="6">
        <v>105</v>
      </c>
      <c r="F19" s="6">
        <f>StepTest!G30</f>
        <v>7.3</v>
      </c>
    </row>
    <row r="20" spans="1:6">
      <c r="A20" s="125">
        <v>120</v>
      </c>
      <c r="B20" s="126">
        <f t="shared" si="0"/>
        <v>7.49</v>
      </c>
      <c r="C20" s="126">
        <f>B26-B20</f>
        <v>1.5</v>
      </c>
      <c r="D20" s="127">
        <f>C20/10</f>
        <v>0.15</v>
      </c>
      <c r="E20" s="6">
        <v>120</v>
      </c>
      <c r="F20" s="6">
        <f>StepTest!G31</f>
        <v>7.49</v>
      </c>
    </row>
    <row r="21" spans="1:6">
      <c r="A21" s="124">
        <v>121</v>
      </c>
      <c r="B21" s="128">
        <f>B20+D21</f>
        <v>7.65</v>
      </c>
      <c r="D21" s="6">
        <v>0.16</v>
      </c>
      <c r="E21" s="6">
        <v>130</v>
      </c>
      <c r="F21" s="6">
        <f>StepTest!G32</f>
        <v>8.99</v>
      </c>
    </row>
    <row r="22" spans="1:6">
      <c r="A22" s="124">
        <v>122</v>
      </c>
      <c r="B22" s="128">
        <f>B21+D22</f>
        <v>7.8000000000000007</v>
      </c>
      <c r="D22" s="6">
        <v>0.15</v>
      </c>
      <c r="E22" s="6">
        <v>140</v>
      </c>
      <c r="F22" s="6">
        <f>StepTest!G33</f>
        <v>9.24</v>
      </c>
    </row>
    <row r="23" spans="1:6">
      <c r="A23" s="124">
        <v>123</v>
      </c>
      <c r="B23" s="128">
        <f>B22+D23</f>
        <v>7.94</v>
      </c>
      <c r="D23" s="6">
        <v>0.14000000000000001</v>
      </c>
      <c r="E23" s="6">
        <v>150</v>
      </c>
      <c r="F23" s="6">
        <f>StepTest!G34</f>
        <v>9.49</v>
      </c>
    </row>
    <row r="24" spans="1:6">
      <c r="A24" s="124">
        <v>124</v>
      </c>
      <c r="B24" s="128">
        <f>B23+D24</f>
        <v>8.07</v>
      </c>
      <c r="D24" s="6">
        <v>0.13</v>
      </c>
      <c r="E24" s="6">
        <v>180</v>
      </c>
      <c r="F24" s="6">
        <f>StepTest!G35</f>
        <v>9.74</v>
      </c>
    </row>
    <row r="25" spans="1:6">
      <c r="A25" s="124">
        <v>125</v>
      </c>
      <c r="B25" s="128">
        <f>B24+D25</f>
        <v>8.2000000000000011</v>
      </c>
      <c r="D25" s="6">
        <v>0.13</v>
      </c>
      <c r="E25" s="6">
        <v>240</v>
      </c>
      <c r="F25" s="6">
        <f>StepTest!G36</f>
        <v>9.99</v>
      </c>
    </row>
    <row r="26" spans="1:6">
      <c r="A26" s="124">
        <v>130</v>
      </c>
      <c r="B26" s="126">
        <f>F21</f>
        <v>8.99</v>
      </c>
      <c r="C26" s="126">
        <f>B28-B26</f>
        <v>0.25</v>
      </c>
      <c r="D26" s="126">
        <f>C26/2</f>
        <v>0.125</v>
      </c>
      <c r="E26" s="6">
        <v>250</v>
      </c>
      <c r="F26" s="6">
        <f>StepTest!G37</f>
        <v>11.67</v>
      </c>
    </row>
    <row r="27" spans="1:6">
      <c r="A27" s="124">
        <v>135</v>
      </c>
      <c r="B27" s="128">
        <f>B26+D27</f>
        <v>9.1</v>
      </c>
      <c r="D27" s="6">
        <v>0.11</v>
      </c>
      <c r="E27" s="6">
        <v>260</v>
      </c>
      <c r="F27" s="6">
        <f>StepTest!G38</f>
        <v>11.95</v>
      </c>
    </row>
    <row r="28" spans="1:6">
      <c r="A28" s="124">
        <v>140</v>
      </c>
      <c r="B28" s="126">
        <f>F22</f>
        <v>9.24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12.23</v>
      </c>
    </row>
    <row r="29" spans="1:6">
      <c r="A29" s="124">
        <v>145</v>
      </c>
      <c r="B29" s="128">
        <f>B28+D29</f>
        <v>9.34</v>
      </c>
      <c r="D29" s="6">
        <v>0.1</v>
      </c>
      <c r="E29" s="6">
        <v>300</v>
      </c>
      <c r="F29" s="6">
        <f>StepTest!G40</f>
        <v>12.51</v>
      </c>
    </row>
    <row r="30" spans="1:6">
      <c r="A30" s="124">
        <v>150</v>
      </c>
      <c r="B30" s="126">
        <f>F23</f>
        <v>9.49</v>
      </c>
      <c r="C30" s="126">
        <f>B36-B30</f>
        <v>0.25</v>
      </c>
      <c r="D30" s="129">
        <f>C30/6</f>
        <v>4.1666666666666664E-2</v>
      </c>
      <c r="E30" s="6">
        <v>360</v>
      </c>
      <c r="F30" s="6">
        <f>StepTest!G41</f>
        <v>12.8</v>
      </c>
    </row>
    <row r="31" spans="1:6">
      <c r="A31" s="124">
        <v>155</v>
      </c>
      <c r="B31" s="128">
        <f>B30+D31</f>
        <v>9.5500000000000007</v>
      </c>
      <c r="D31" s="6">
        <v>0.06</v>
      </c>
    </row>
    <row r="32" spans="1:6">
      <c r="A32" s="124">
        <v>160</v>
      </c>
      <c r="B32" s="128">
        <f t="shared" ref="B32:B39" si="1">B31+D32</f>
        <v>9.6000000000000014</v>
      </c>
      <c r="D32" s="6">
        <v>0.05</v>
      </c>
    </row>
    <row r="33" spans="1:4">
      <c r="A33" s="124">
        <v>165</v>
      </c>
      <c r="B33" s="128">
        <f t="shared" si="1"/>
        <v>9.64</v>
      </c>
      <c r="D33" s="6">
        <v>0.04</v>
      </c>
    </row>
    <row r="34" spans="1:4">
      <c r="A34" s="124">
        <v>170</v>
      </c>
      <c r="B34" s="128">
        <f t="shared" si="1"/>
        <v>9.67</v>
      </c>
      <c r="D34" s="6">
        <v>0.03</v>
      </c>
    </row>
    <row r="35" spans="1:4">
      <c r="A35" s="124">
        <v>175</v>
      </c>
      <c r="B35" s="128">
        <f t="shared" si="1"/>
        <v>9.69</v>
      </c>
      <c r="D35" s="6">
        <v>0.02</v>
      </c>
    </row>
    <row r="36" spans="1:4">
      <c r="A36" s="124">
        <v>180</v>
      </c>
      <c r="B36" s="126">
        <f>F24</f>
        <v>9.74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9.81</v>
      </c>
      <c r="D37" s="6">
        <v>7.0000000000000007E-2</v>
      </c>
    </row>
    <row r="38" spans="1:4">
      <c r="A38" s="124">
        <v>210</v>
      </c>
      <c r="B38" s="128">
        <f t="shared" si="1"/>
        <v>9.870000000000001</v>
      </c>
      <c r="D38" s="6">
        <v>0.06</v>
      </c>
    </row>
    <row r="39" spans="1:4">
      <c r="A39" s="124">
        <v>225</v>
      </c>
      <c r="B39" s="128">
        <f t="shared" si="1"/>
        <v>9.9200000000000017</v>
      </c>
      <c r="D39" s="6">
        <v>0.05</v>
      </c>
    </row>
    <row r="40" spans="1:4">
      <c r="A40" s="125">
        <v>240</v>
      </c>
      <c r="B40" s="126">
        <f>F25</f>
        <v>9.99</v>
      </c>
      <c r="C40" s="126">
        <f>B46-B40</f>
        <v>1.6799999999999997</v>
      </c>
      <c r="D40" s="127">
        <f>C40/10</f>
        <v>0.16799999999999998</v>
      </c>
    </row>
    <row r="41" spans="1:4">
      <c r="A41" s="124">
        <v>241</v>
      </c>
      <c r="B41" s="128">
        <f>B40+D41</f>
        <v>10.17</v>
      </c>
      <c r="D41" s="6">
        <v>0.18</v>
      </c>
    </row>
    <row r="42" spans="1:4">
      <c r="A42" s="124">
        <v>242</v>
      </c>
      <c r="B42" s="128">
        <f>B41+D42</f>
        <v>10.33</v>
      </c>
      <c r="D42" s="6">
        <v>0.16</v>
      </c>
    </row>
    <row r="43" spans="1:4">
      <c r="A43" s="124">
        <v>243</v>
      </c>
      <c r="B43" s="128">
        <f>B42+D43</f>
        <v>10.48</v>
      </c>
      <c r="D43" s="6">
        <v>0.15</v>
      </c>
    </row>
    <row r="44" spans="1:4">
      <c r="A44" s="124">
        <v>244</v>
      </c>
      <c r="B44" s="128">
        <f>B43+D44</f>
        <v>10.620000000000001</v>
      </c>
      <c r="D44" s="6">
        <v>0.14000000000000001</v>
      </c>
    </row>
    <row r="45" spans="1:4">
      <c r="A45" s="124">
        <v>245</v>
      </c>
      <c r="B45" s="128">
        <f>B44+D45</f>
        <v>10.750000000000002</v>
      </c>
      <c r="D45" s="6">
        <v>0.13</v>
      </c>
    </row>
    <row r="46" spans="1:4">
      <c r="A46" s="124">
        <v>250</v>
      </c>
      <c r="B46" s="126">
        <f>F26</f>
        <v>11.67</v>
      </c>
      <c r="C46" s="126">
        <f>B48-B46</f>
        <v>0.27999999999999936</v>
      </c>
      <c r="D46" s="126">
        <f>C46/2</f>
        <v>0.13999999999999968</v>
      </c>
    </row>
    <row r="47" spans="1:4">
      <c r="A47" s="124">
        <v>255</v>
      </c>
      <c r="B47" s="128">
        <f>B46+D47</f>
        <v>11.78</v>
      </c>
      <c r="D47" s="6">
        <v>0.11</v>
      </c>
    </row>
    <row r="48" spans="1:4">
      <c r="A48" s="124">
        <v>260</v>
      </c>
      <c r="B48" s="126">
        <f>F27</f>
        <v>11.95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12.059999999999999</v>
      </c>
      <c r="D49" s="6">
        <v>0.11</v>
      </c>
    </row>
    <row r="50" spans="1:6">
      <c r="A50" s="124">
        <v>270</v>
      </c>
      <c r="B50" s="126">
        <f>F28</f>
        <v>12.23</v>
      </c>
      <c r="C50" s="126">
        <f>B56-B50</f>
        <v>0.27999999999999936</v>
      </c>
      <c r="D50" s="129">
        <f>C50/6</f>
        <v>4.6666666666666558E-2</v>
      </c>
    </row>
    <row r="51" spans="1:6">
      <c r="A51" s="124">
        <v>275</v>
      </c>
      <c r="B51" s="128">
        <f>B50+D51</f>
        <v>12.3</v>
      </c>
      <c r="D51" s="6">
        <v>7.0000000000000007E-2</v>
      </c>
    </row>
    <row r="52" spans="1:6">
      <c r="A52" s="124">
        <v>280</v>
      </c>
      <c r="B52" s="128">
        <f>B51+D52</f>
        <v>12.350000000000001</v>
      </c>
      <c r="D52" s="6">
        <v>0.05</v>
      </c>
    </row>
    <row r="53" spans="1:6">
      <c r="A53" s="124">
        <v>285</v>
      </c>
      <c r="B53" s="128">
        <f>B52+D53</f>
        <v>12.39</v>
      </c>
      <c r="D53" s="6">
        <v>0.04</v>
      </c>
    </row>
    <row r="54" spans="1:6">
      <c r="A54" s="124">
        <v>290</v>
      </c>
      <c r="B54" s="128">
        <f>B53+D54</f>
        <v>12.42</v>
      </c>
      <c r="D54" s="6">
        <v>0.03</v>
      </c>
    </row>
    <row r="55" spans="1:6">
      <c r="A55" s="124">
        <v>295</v>
      </c>
      <c r="B55" s="128">
        <f>B54+D55</f>
        <v>12.44</v>
      </c>
      <c r="D55" s="6">
        <v>0.02</v>
      </c>
    </row>
    <row r="56" spans="1:6">
      <c r="A56" s="124">
        <v>300</v>
      </c>
      <c r="B56" s="126">
        <f>F29</f>
        <v>12.51</v>
      </c>
      <c r="C56" s="126">
        <f>B60-B56</f>
        <v>0.29000000000000092</v>
      </c>
      <c r="D56" s="126">
        <f>C56/4</f>
        <v>7.2500000000000231E-2</v>
      </c>
    </row>
    <row r="57" spans="1:6">
      <c r="A57" s="124">
        <v>315</v>
      </c>
      <c r="B57" s="128">
        <f>B56+D57</f>
        <v>12.59</v>
      </c>
      <c r="D57" s="6">
        <v>0.08</v>
      </c>
    </row>
    <row r="58" spans="1:6">
      <c r="A58" s="124">
        <v>330</v>
      </c>
      <c r="B58" s="128">
        <f>B57+D58</f>
        <v>12.65</v>
      </c>
      <c r="D58" s="6">
        <v>0.06</v>
      </c>
    </row>
    <row r="59" spans="1:6">
      <c r="A59" s="124">
        <v>345</v>
      </c>
      <c r="B59" s="128">
        <f>B58+D59</f>
        <v>12.700000000000001</v>
      </c>
      <c r="D59" s="6">
        <v>0.05</v>
      </c>
    </row>
    <row r="60" spans="1:6">
      <c r="A60" s="125">
        <v>360</v>
      </c>
      <c r="B60" s="126">
        <f>F30</f>
        <v>12.8</v>
      </c>
      <c r="C60" s="126">
        <f>B66-B60</f>
        <v>1.879999999999999</v>
      </c>
      <c r="D60" s="127">
        <f>C60/10</f>
        <v>0.18799999999999989</v>
      </c>
    </row>
    <row r="61" spans="1:6">
      <c r="A61" s="124">
        <v>361</v>
      </c>
      <c r="B61" s="128">
        <f>B60+D61</f>
        <v>12.99</v>
      </c>
      <c r="D61" s="6">
        <v>0.19</v>
      </c>
    </row>
    <row r="62" spans="1:6">
      <c r="A62" s="124">
        <v>362</v>
      </c>
      <c r="B62" s="128">
        <f>B61+D62</f>
        <v>13.16</v>
      </c>
      <c r="D62" s="6">
        <v>0.17</v>
      </c>
    </row>
    <row r="63" spans="1:6">
      <c r="A63" s="124">
        <v>363</v>
      </c>
      <c r="B63" s="128">
        <f>B62+D63</f>
        <v>13.32</v>
      </c>
      <c r="D63" s="6">
        <v>0.16</v>
      </c>
      <c r="E63" s="6">
        <v>370</v>
      </c>
      <c r="F63" s="6">
        <f>StepTest!G42</f>
        <v>14.68</v>
      </c>
    </row>
    <row r="64" spans="1:6">
      <c r="A64" s="124">
        <v>364</v>
      </c>
      <c r="B64" s="128">
        <f>B63+D64</f>
        <v>13.47</v>
      </c>
      <c r="D64" s="6">
        <v>0.15</v>
      </c>
      <c r="E64" s="6">
        <v>380</v>
      </c>
      <c r="F64" s="6">
        <f>StepTest!G43</f>
        <v>14.99</v>
      </c>
    </row>
    <row r="65" spans="1:6">
      <c r="A65" s="124">
        <v>365</v>
      </c>
      <c r="B65" s="128">
        <f>B64+D65</f>
        <v>13.610000000000001</v>
      </c>
      <c r="D65" s="6">
        <v>0.14000000000000001</v>
      </c>
      <c r="E65" s="6">
        <v>390</v>
      </c>
      <c r="F65" s="6">
        <f>StepTest!G44</f>
        <v>15.31</v>
      </c>
    </row>
    <row r="66" spans="1:6">
      <c r="A66" s="124">
        <v>370</v>
      </c>
      <c r="B66" s="126">
        <f>F63</f>
        <v>14.68</v>
      </c>
      <c r="C66" s="130">
        <f>B68-B66</f>
        <v>0.3100000000000005</v>
      </c>
      <c r="D66" s="126">
        <f>C66/2</f>
        <v>0.15500000000000025</v>
      </c>
      <c r="E66" s="6">
        <v>420</v>
      </c>
      <c r="F66" s="6">
        <f>StepTest!G45</f>
        <v>15.62</v>
      </c>
    </row>
    <row r="67" spans="1:6">
      <c r="A67" s="124">
        <v>375</v>
      </c>
      <c r="B67" s="128">
        <f>B66+D67</f>
        <v>14.799999999999999</v>
      </c>
      <c r="D67" s="6">
        <v>0.12</v>
      </c>
      <c r="E67" s="6">
        <v>480</v>
      </c>
      <c r="F67" s="6">
        <f>StepTest!G46</f>
        <v>15.94</v>
      </c>
    </row>
    <row r="68" spans="1:6">
      <c r="A68" s="124">
        <v>380</v>
      </c>
      <c r="B68" s="131">
        <f>F64</f>
        <v>14.99</v>
      </c>
      <c r="C68" s="126">
        <f>B70-B68</f>
        <v>0.32000000000000028</v>
      </c>
      <c r="D68" s="126">
        <f>C68/2</f>
        <v>0.16000000000000014</v>
      </c>
      <c r="E68" s="6">
        <v>490</v>
      </c>
      <c r="F68" s="6">
        <f>StepTest!G47</f>
        <v>17.850000000000001</v>
      </c>
    </row>
    <row r="69" spans="1:6">
      <c r="A69" s="124">
        <v>385</v>
      </c>
      <c r="B69" s="128">
        <f>B68+D69</f>
        <v>15.11</v>
      </c>
      <c r="D69" s="6">
        <v>0.12</v>
      </c>
      <c r="E69" s="6">
        <v>500</v>
      </c>
      <c r="F69" s="6">
        <f>StepTest!G48</f>
        <v>18.559999999999999</v>
      </c>
    </row>
    <row r="70" spans="1:6">
      <c r="A70" s="124">
        <v>390</v>
      </c>
      <c r="B70" s="131">
        <f>F65</f>
        <v>15.31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19.28</v>
      </c>
    </row>
    <row r="71" spans="1:6">
      <c r="A71" s="124">
        <v>395</v>
      </c>
      <c r="B71" s="128">
        <f>B70+D71</f>
        <v>15.38</v>
      </c>
      <c r="D71" s="6">
        <v>7.0000000000000007E-2</v>
      </c>
      <c r="E71" s="6">
        <v>540</v>
      </c>
      <c r="F71" s="6">
        <f>StepTest!G50</f>
        <v>20</v>
      </c>
    </row>
    <row r="72" spans="1:6">
      <c r="A72" s="124">
        <v>400</v>
      </c>
      <c r="B72" s="128">
        <f>B71+D72</f>
        <v>15.430000000000001</v>
      </c>
      <c r="D72" s="6">
        <v>0.05</v>
      </c>
      <c r="E72" s="6">
        <v>600</v>
      </c>
      <c r="F72" s="6">
        <f>StepTest!G51</f>
        <v>20.72</v>
      </c>
    </row>
    <row r="73" spans="1:6">
      <c r="A73" s="124">
        <v>405</v>
      </c>
      <c r="B73" s="128">
        <f>B72+D73</f>
        <v>15.47</v>
      </c>
      <c r="D73" s="6">
        <v>0.04</v>
      </c>
    </row>
    <row r="74" spans="1:6">
      <c r="A74" s="124">
        <v>410</v>
      </c>
      <c r="B74" s="128">
        <f>B73+D74</f>
        <v>15.5</v>
      </c>
      <c r="D74" s="6">
        <v>0.03</v>
      </c>
    </row>
    <row r="75" spans="1:6">
      <c r="A75" s="124">
        <v>415</v>
      </c>
      <c r="B75" s="128">
        <f>B74+D75</f>
        <v>15.53</v>
      </c>
      <c r="D75" s="6">
        <v>0.03</v>
      </c>
    </row>
    <row r="76" spans="1:6">
      <c r="A76" s="124">
        <v>420</v>
      </c>
      <c r="B76" s="131">
        <f>F66</f>
        <v>15.62</v>
      </c>
      <c r="C76" s="126">
        <f>B80-B76</f>
        <v>0.32000000000000028</v>
      </c>
      <c r="D76" s="126">
        <f>C76/4</f>
        <v>8.0000000000000071E-2</v>
      </c>
    </row>
    <row r="77" spans="1:6">
      <c r="A77" s="124">
        <v>435</v>
      </c>
      <c r="B77" s="128">
        <f>B76+D77</f>
        <v>15.709999999999999</v>
      </c>
      <c r="D77" s="6">
        <v>0.09</v>
      </c>
    </row>
    <row r="78" spans="1:6">
      <c r="A78" s="124">
        <v>450</v>
      </c>
      <c r="B78" s="128">
        <f>B77+D78</f>
        <v>15.78</v>
      </c>
      <c r="D78" s="6">
        <v>7.0000000000000007E-2</v>
      </c>
    </row>
    <row r="79" spans="1:6">
      <c r="A79" s="124">
        <v>465</v>
      </c>
      <c r="B79" s="128">
        <f>B78+D79</f>
        <v>15.83</v>
      </c>
      <c r="D79" s="6">
        <v>0.05</v>
      </c>
    </row>
    <row r="80" spans="1:6">
      <c r="A80" s="125">
        <v>480</v>
      </c>
      <c r="B80" s="131">
        <f>F67</f>
        <v>15.94</v>
      </c>
      <c r="C80" s="126">
        <f>B86-B80</f>
        <v>1.9100000000000019</v>
      </c>
      <c r="D80" s="127">
        <f>C80/10</f>
        <v>0.1910000000000002</v>
      </c>
    </row>
    <row r="81" spans="1:4">
      <c r="A81" s="124">
        <v>481</v>
      </c>
      <c r="B81" s="128">
        <f>B80+D81</f>
        <v>16.149999999999999</v>
      </c>
      <c r="D81" s="6">
        <v>0.21</v>
      </c>
    </row>
    <row r="82" spans="1:4">
      <c r="A82" s="124">
        <v>482</v>
      </c>
      <c r="B82" s="128">
        <f>B81+D82</f>
        <v>16.34</v>
      </c>
      <c r="D82" s="6">
        <v>0.19</v>
      </c>
    </row>
    <row r="83" spans="1:4">
      <c r="A83" s="124">
        <v>483</v>
      </c>
      <c r="B83" s="128">
        <f>B82+D83</f>
        <v>16.510000000000002</v>
      </c>
      <c r="D83" s="6">
        <v>0.17</v>
      </c>
    </row>
    <row r="84" spans="1:4">
      <c r="A84" s="124">
        <v>484</v>
      </c>
      <c r="B84" s="128">
        <f>B83+D84</f>
        <v>16.670000000000002</v>
      </c>
      <c r="D84" s="6">
        <v>0.16</v>
      </c>
    </row>
    <row r="85" spans="1:4">
      <c r="A85" s="124">
        <v>485</v>
      </c>
      <c r="B85" s="128">
        <f>B84+D85</f>
        <v>16.810000000000002</v>
      </c>
      <c r="D85" s="6">
        <v>0.14000000000000001</v>
      </c>
    </row>
    <row r="86" spans="1:4">
      <c r="A86" s="124">
        <v>490</v>
      </c>
      <c r="B86" s="131">
        <f>F68</f>
        <v>17.850000000000001</v>
      </c>
      <c r="C86" s="126">
        <f>B88-B86</f>
        <v>0.7099999999999973</v>
      </c>
      <c r="D86" s="126">
        <f>C86/2</f>
        <v>0.35499999999999865</v>
      </c>
    </row>
    <row r="87" spans="1:4">
      <c r="A87" s="124">
        <v>495</v>
      </c>
      <c r="B87" s="128">
        <f>B86+D87</f>
        <v>18.16</v>
      </c>
      <c r="D87" s="6">
        <v>0.31</v>
      </c>
    </row>
    <row r="88" spans="1:4">
      <c r="A88" s="124">
        <v>500</v>
      </c>
      <c r="B88" s="131">
        <f>F69</f>
        <v>18.559999999999999</v>
      </c>
      <c r="C88" s="126">
        <f>B90-B88</f>
        <v>0.72000000000000242</v>
      </c>
      <c r="D88" s="126">
        <f>C88/2</f>
        <v>0.36000000000000121</v>
      </c>
    </row>
    <row r="89" spans="1:4">
      <c r="A89" s="124">
        <v>505</v>
      </c>
      <c r="B89" s="128">
        <f>B88+D89</f>
        <v>18.86</v>
      </c>
      <c r="D89" s="6">
        <v>0.3</v>
      </c>
    </row>
    <row r="90" spans="1:4">
      <c r="A90" s="124">
        <v>510</v>
      </c>
      <c r="B90" s="131">
        <f>F70</f>
        <v>19.28</v>
      </c>
      <c r="C90" s="126">
        <f>B96-B90</f>
        <v>0.71999999999999886</v>
      </c>
      <c r="D90" s="129">
        <f>C90/6</f>
        <v>0.11999999999999982</v>
      </c>
    </row>
    <row r="91" spans="1:4">
      <c r="A91" s="124">
        <v>515</v>
      </c>
      <c r="B91" s="128">
        <f>B90+D91</f>
        <v>19.43</v>
      </c>
      <c r="D91" s="6">
        <v>0.15</v>
      </c>
    </row>
    <row r="92" spans="1:4">
      <c r="A92" s="124">
        <v>520</v>
      </c>
      <c r="B92" s="128">
        <f>B91+D92</f>
        <v>19.559999999999999</v>
      </c>
      <c r="D92" s="6">
        <v>0.13</v>
      </c>
    </row>
    <row r="93" spans="1:4">
      <c r="A93" s="124">
        <v>525</v>
      </c>
      <c r="B93" s="128">
        <f>B92+D93</f>
        <v>19.669999999999998</v>
      </c>
      <c r="D93" s="6">
        <v>0.11</v>
      </c>
    </row>
    <row r="94" spans="1:4">
      <c r="A94" s="124">
        <v>530</v>
      </c>
      <c r="B94" s="128">
        <f>B93+D94</f>
        <v>19.749999999999996</v>
      </c>
      <c r="D94" s="6">
        <v>0.08</v>
      </c>
    </row>
    <row r="95" spans="1:4">
      <c r="A95" s="124">
        <v>535</v>
      </c>
      <c r="B95" s="128">
        <f>B94+D95</f>
        <v>19.819999999999997</v>
      </c>
      <c r="D95" s="6">
        <v>7.0000000000000007E-2</v>
      </c>
    </row>
    <row r="96" spans="1:4">
      <c r="A96" s="124">
        <v>540</v>
      </c>
      <c r="B96" s="131">
        <f>F71</f>
        <v>20</v>
      </c>
      <c r="C96" s="126">
        <f>B100-B96</f>
        <v>0.71999999999999886</v>
      </c>
      <c r="D96" s="126">
        <f>C96/4</f>
        <v>0.17999999999999972</v>
      </c>
    </row>
    <row r="97" spans="1:4">
      <c r="A97" s="124">
        <v>555</v>
      </c>
      <c r="B97" s="128">
        <f>B96+D97</f>
        <v>20.190000000000001</v>
      </c>
      <c r="D97" s="6">
        <v>0.19</v>
      </c>
    </row>
    <row r="98" spans="1:4">
      <c r="A98" s="124">
        <v>570</v>
      </c>
      <c r="B98" s="128">
        <f>B97+D98</f>
        <v>20.350000000000001</v>
      </c>
      <c r="D98" s="6">
        <v>0.16</v>
      </c>
    </row>
    <row r="99" spans="1:4">
      <c r="A99" s="124">
        <v>585</v>
      </c>
      <c r="B99" s="128">
        <f>B98+D99</f>
        <v>20.490000000000002</v>
      </c>
      <c r="D99" s="6">
        <v>0.14000000000000001</v>
      </c>
    </row>
    <row r="100" spans="1:4">
      <c r="A100" s="125">
        <v>600</v>
      </c>
      <c r="B100" s="66">
        <f>F72</f>
        <v>20.72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34" zoomScaleNormal="100" workbookViewId="0">
      <selection activeCell="Q63" sqref="Q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13.11</v>
      </c>
      <c r="B3" s="299">
        <f>B20</f>
        <v>7.49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5.1655172413793103E-2</v>
      </c>
      <c r="G3" s="217">
        <f>1/F3</f>
        <v>19.359145527369826</v>
      </c>
    </row>
    <row r="4" spans="1:15" s="210" customFormat="1">
      <c r="A4" s="215">
        <f>B4+$M$48</f>
        <v>15.61</v>
      </c>
      <c r="B4" s="216">
        <f>B21</f>
        <v>9.99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5.4293478260869568E-2</v>
      </c>
      <c r="G4" s="217">
        <f t="shared" ref="G4:G7" si="2">1/F4</f>
        <v>18.418418418418419</v>
      </c>
    </row>
    <row r="5" spans="1:15" s="210" customFormat="1">
      <c r="A5" s="215">
        <f>B5+$M$48</f>
        <v>18.420000000000002</v>
      </c>
      <c r="B5" s="216">
        <f>B22</f>
        <v>12.8</v>
      </c>
      <c r="C5" s="216"/>
      <c r="D5" s="214">
        <f t="shared" si="0"/>
        <v>224.4</v>
      </c>
      <c r="E5" s="4">
        <f>D5/12</f>
        <v>18.7</v>
      </c>
      <c r="F5" s="217">
        <f t="shared" si="1"/>
        <v>5.7040998217468809E-2</v>
      </c>
      <c r="G5" s="217">
        <f t="shared" si="2"/>
        <v>17.53125</v>
      </c>
    </row>
    <row r="6" spans="1:15" s="210" customFormat="1">
      <c r="A6" s="215">
        <f>B6+$M$48</f>
        <v>21.56</v>
      </c>
      <c r="B6" s="299">
        <f>B23</f>
        <v>15.94</v>
      </c>
      <c r="C6" s="216"/>
      <c r="D6" s="214">
        <f>D23</f>
        <v>264</v>
      </c>
      <c r="E6" s="4">
        <f>D6/12</f>
        <v>22</v>
      </c>
      <c r="F6" s="217">
        <f t="shared" si="1"/>
        <v>6.0378787878787879E-2</v>
      </c>
      <c r="G6" s="217">
        <f t="shared" si="2"/>
        <v>16.56210790464241</v>
      </c>
    </row>
    <row r="7" spans="1:15" s="210" customFormat="1">
      <c r="A7" s="215">
        <f>B7+$M$48</f>
        <v>26.34</v>
      </c>
      <c r="B7" s="216">
        <f>B24</f>
        <v>20.72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6.824769433465086E-2</v>
      </c>
      <c r="G7" s="217">
        <f t="shared" si="2"/>
        <v>14.652509652509652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19.359145527369826</v>
      </c>
      <c r="B10" s="219">
        <f>B20/D20</f>
        <v>5.1655172413793103E-2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18.418418418418419</v>
      </c>
      <c r="B11" s="219">
        <f t="shared" ref="B11:B14" si="4">B21/D21</f>
        <v>5.4293478260869568E-2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17.53125</v>
      </c>
      <c r="B12" s="219">
        <f t="shared" si="4"/>
        <v>5.7040998217468809E-2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16.56210790464241</v>
      </c>
      <c r="B13" s="219">
        <f t="shared" si="4"/>
        <v>6.0378787878787879E-2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14.652509652509652</v>
      </c>
      <c r="B14" s="219">
        <f t="shared" si="4"/>
        <v>6.824769433465086E-2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15.94</v>
      </c>
      <c r="C17" s="4"/>
      <c r="D17" s="284">
        <f>M47</f>
        <v>264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7.49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5.1655172413793103E-2</v>
      </c>
      <c r="G20" s="4">
        <f>F20-F19</f>
        <v>5.1655172413793103E-2</v>
      </c>
    </row>
    <row r="21" spans="1:21" s="210" customFormat="1" ht="16.5">
      <c r="A21" s="216">
        <f>B21-B20</f>
        <v>2.5</v>
      </c>
      <c r="B21" s="223">
        <f>INT(B$17*C21*100)/100</f>
        <v>9.99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5.4293478260869568E-2</v>
      </c>
      <c r="G21" s="4">
        <f>F21-F20</f>
        <v>2.638305847076465E-3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2.8100000000000005</v>
      </c>
      <c r="B22" s="223">
        <f>INT(B$17*C22*100)/100</f>
        <v>12.8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5.7040998217468809E-2</v>
      </c>
      <c r="G22" s="4">
        <f>F22-F21</f>
        <v>2.7475199565992411E-3</v>
      </c>
    </row>
    <row r="23" spans="1:21" s="210" customFormat="1">
      <c r="A23" s="216">
        <f>B23-B22</f>
        <v>3.1399999999999988</v>
      </c>
      <c r="B23" s="223">
        <f>INT(B$17*C23*100)/100</f>
        <v>15.94</v>
      </c>
      <c r="C23" s="4">
        <v>1</v>
      </c>
      <c r="D23" s="241">
        <f>D$17*E23</f>
        <v>264</v>
      </c>
      <c r="E23" s="283">
        <v>1</v>
      </c>
      <c r="F23" s="217">
        <f>B23/D23</f>
        <v>6.0378787878787879E-2</v>
      </c>
      <c r="G23" s="4">
        <f>F23-F22</f>
        <v>3.3377896613190697E-3</v>
      </c>
      <c r="O23" s="225"/>
      <c r="Q23" s="225"/>
      <c r="S23" s="225"/>
      <c r="U23" s="225"/>
    </row>
    <row r="24" spans="1:21" s="210" customFormat="1">
      <c r="A24" s="216">
        <f>B24-B23</f>
        <v>4.7799999999999994</v>
      </c>
      <c r="B24" s="223">
        <f>INT(B$17*C24*100)/100</f>
        <v>20.72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6.824769433465086E-2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230</v>
      </c>
      <c r="D26" s="4"/>
      <c r="E26" s="4"/>
      <c r="F26" s="228">
        <f>M50/M51</f>
        <v>7.7913043478260863E-2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239.90483558434025</v>
      </c>
      <c r="D27" s="216">
        <f>(C27/D6)*100</f>
        <v>90.873043781947061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7.2799999999999994E-5</v>
      </c>
      <c r="B31" s="277">
        <v>4.0971100000000003E-2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7.2799999999999994E-5</v>
      </c>
      <c r="B32" s="4">
        <f t="shared" si="6"/>
        <v>4.0971100000000003E-2</v>
      </c>
      <c r="C32" s="4"/>
      <c r="D32" s="214">
        <f t="shared" si="5"/>
        <v>145</v>
      </c>
      <c r="E32" s="4"/>
      <c r="F32" s="230">
        <f>B32*D32/(B32*D32+A32*D32*D32)*100</f>
        <v>79.513692794665332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7.2799999999999994E-5</v>
      </c>
      <c r="B33" s="4">
        <f t="shared" si="6"/>
        <v>4.0971100000000003E-2</v>
      </c>
      <c r="C33" s="4"/>
      <c r="D33" s="214">
        <f t="shared" si="5"/>
        <v>184</v>
      </c>
      <c r="E33" s="4"/>
      <c r="F33" s="230">
        <f>B33*D33/(B33*D33+A33*D33*D33)*100</f>
        <v>75.361207218442317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7.2799999999999994E-5</v>
      </c>
      <c r="B34" s="4">
        <f t="shared" si="6"/>
        <v>4.0971100000000003E-2</v>
      </c>
      <c r="C34" s="4"/>
      <c r="D34" s="214">
        <f t="shared" si="5"/>
        <v>224.4</v>
      </c>
      <c r="E34" s="4"/>
      <c r="F34" s="230">
        <f>B34*D34/(B34*D34+A34*D34*D34)*100</f>
        <v>71.493534345116231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7.2799999999999994E-5</v>
      </c>
      <c r="B35" s="4">
        <f>B34</f>
        <v>4.0971100000000003E-2</v>
      </c>
      <c r="C35" s="4"/>
      <c r="D35" s="214">
        <f t="shared" si="5"/>
        <v>264</v>
      </c>
      <c r="E35" s="4"/>
      <c r="F35" s="230">
        <f>B35*D35/(B35*D35+A35*D35*D35)*100</f>
        <v>68.069273620500311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73.609426994681058</v>
      </c>
      <c r="G37" s="4"/>
      <c r="P37" s="263">
        <v>7.2799999999999994E-5</v>
      </c>
      <c r="Q37" s="263">
        <v>9.6000000000000002E-2</v>
      </c>
    </row>
    <row r="38" spans="1:21" s="210" customFormat="1" ht="13.5" customHeight="1">
      <c r="A38" s="286">
        <v>71.17</v>
      </c>
      <c r="B38" s="277">
        <v>9.6000000000000002E-2</v>
      </c>
      <c r="C38" s="277">
        <v>93.25</v>
      </c>
      <c r="D38" s="4"/>
      <c r="E38" s="4" t="s">
        <v>21</v>
      </c>
      <c r="F38" s="4"/>
      <c r="G38" s="4"/>
      <c r="P38" s="263">
        <v>4.0971100000000003E-2</v>
      </c>
      <c r="Q38" s="263">
        <v>93.25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71.17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3.0000000000000001E-3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293</v>
      </c>
      <c r="J44" s="453"/>
      <c r="K44" s="454"/>
      <c r="L44" s="267" t="s">
        <v>30</v>
      </c>
      <c r="M44" s="271">
        <v>200</v>
      </c>
      <c r="N44" s="267" t="s">
        <v>31</v>
      </c>
      <c r="Q44" s="413">
        <v>145</v>
      </c>
      <c r="R44" s="243">
        <v>13.11</v>
      </c>
      <c r="S44" s="243">
        <v>7.49</v>
      </c>
      <c r="T44" s="244">
        <v>19.359000000000002</v>
      </c>
      <c r="U44" s="294">
        <v>5.1655172413793103E-2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294</v>
      </c>
      <c r="J45" s="462"/>
      <c r="K45" s="463"/>
      <c r="L45" s="267" t="s">
        <v>34</v>
      </c>
      <c r="M45" s="272">
        <v>250</v>
      </c>
      <c r="N45" s="272">
        <f>M44</f>
        <v>200</v>
      </c>
      <c r="Q45" s="413">
        <v>184</v>
      </c>
      <c r="R45" s="243">
        <v>15.61</v>
      </c>
      <c r="S45" s="243">
        <v>9.99</v>
      </c>
      <c r="T45" s="244">
        <v>18.417999999999999</v>
      </c>
      <c r="U45" s="294">
        <v>5.4293478260869568E-2</v>
      </c>
    </row>
    <row r="46" spans="1:21" s="210" customFormat="1" ht="16.5">
      <c r="A46" s="4">
        <f>B34</f>
        <v>4.0971100000000003E-2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295</v>
      </c>
      <c r="J46" s="453"/>
      <c r="K46" s="454"/>
      <c r="L46" s="267" t="s">
        <v>38</v>
      </c>
      <c r="M46" s="235">
        <f>IF(I52&gt;M48, M45-I52,M45-M48)</f>
        <v>227</v>
      </c>
      <c r="N46" s="12"/>
      <c r="Q46" s="413">
        <v>224</v>
      </c>
      <c r="R46" s="243">
        <v>18.420000000000002</v>
      </c>
      <c r="S46" s="243">
        <v>12.8</v>
      </c>
      <c r="T46" s="244">
        <v>17.530999999999999</v>
      </c>
      <c r="U46" s="294">
        <v>5.7040998217468809E-2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223</v>
      </c>
      <c r="J47" s="465"/>
      <c r="K47" s="466"/>
      <c r="L47" s="267" t="s">
        <v>42</v>
      </c>
      <c r="M47" s="236">
        <f>INT((M51*100)/M53)</f>
        <v>264</v>
      </c>
      <c r="N47" s="12"/>
      <c r="Q47" s="413">
        <v>264</v>
      </c>
      <c r="R47" s="243">
        <v>21.56</v>
      </c>
      <c r="S47" s="243">
        <v>15.94</v>
      </c>
      <c r="T47" s="244">
        <v>16.562000000000001</v>
      </c>
      <c r="U47" s="294">
        <v>6.0378787878787879E-2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296</v>
      </c>
      <c r="K48" s="456"/>
      <c r="L48" s="267" t="s">
        <v>44</v>
      </c>
      <c r="M48" s="273">
        <v>5.62</v>
      </c>
      <c r="N48" s="12"/>
      <c r="Q48" s="414">
        <v>304</v>
      </c>
      <c r="R48" s="295">
        <v>26.34</v>
      </c>
      <c r="S48" s="295">
        <v>20.72</v>
      </c>
      <c r="T48" s="296">
        <v>14.653</v>
      </c>
      <c r="U48" s="297">
        <v>6.824769433465086E-2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이랜드 R&amp;D센터</v>
      </c>
      <c r="J49" s="457"/>
      <c r="K49" s="457"/>
      <c r="L49" s="267" t="s">
        <v>48</v>
      </c>
      <c r="M49" s="273">
        <v>23.54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17.919999999999998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988553094.65600002</v>
      </c>
      <c r="C52" s="408">
        <f>INT(B52*B51*1000)/1000</f>
        <v>494276.54700000002</v>
      </c>
      <c r="D52" s="409"/>
      <c r="E52" s="4"/>
      <c r="F52" s="4"/>
      <c r="G52" s="4"/>
      <c r="H52" s="268" t="s">
        <v>54</v>
      </c>
      <c r="I52" s="290">
        <v>23</v>
      </c>
      <c r="J52" s="265" t="s">
        <v>55</v>
      </c>
      <c r="K52" s="213">
        <v>0</v>
      </c>
      <c r="L52" s="264" t="s">
        <v>56</v>
      </c>
      <c r="M52" s="235">
        <f>INT(M50*0.89*100)/100</f>
        <v>15.94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17.919999999999998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0.20008810572687225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297</v>
      </c>
      <c r="R64" s="288" t="s">
        <v>298</v>
      </c>
      <c r="S64" s="288" t="s">
        <v>299</v>
      </c>
      <c r="T64" s="288" t="s">
        <v>300</v>
      </c>
      <c r="U64" s="288" t="s">
        <v>301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5.082119965730536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4.0971100000000003E-2</v>
      </c>
      <c r="I4" s="315">
        <f>Input!M48</f>
        <v>5.62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6.5972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0.91591800244617227</v>
      </c>
      <c r="D6" s="246"/>
      <c r="E6" s="245">
        <f>1.15*LOG((2.25*D5*(1/1440))/(F4*E4^2))</f>
        <v>3.8113411227822351</v>
      </c>
      <c r="F6" s="247" t="s">
        <v>121</v>
      </c>
      <c r="G6" s="428">
        <f>C6-E6</f>
        <v>-2.895423120336063</v>
      </c>
      <c r="H6" s="36"/>
      <c r="I6" s="315">
        <f>Input!M49</f>
        <v>23.54</v>
      </c>
      <c r="J6" s="308">
        <f>MAX(C13,C18,C23)</f>
        <v>144.19999999999999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1.2999827708069279E-3</v>
      </c>
      <c r="G7" s="248" t="s">
        <v>124</v>
      </c>
      <c r="H7" s="36">
        <f>F4*EXP(4*G4*D4*H4)</f>
        <v>1.2994153852539758E-3</v>
      </c>
      <c r="I7" s="323" t="s">
        <v>125</v>
      </c>
      <c r="J7" s="309">
        <f>ROUND((C13+C18+C23)/3,1)</f>
        <v>97.2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1.8089999999999999</v>
      </c>
      <c r="D8" s="252"/>
      <c r="E8" s="252"/>
      <c r="F8" s="253"/>
      <c r="G8" s="252"/>
      <c r="H8" s="254"/>
      <c r="I8" s="324">
        <f>Input!M45</f>
        <v>250</v>
      </c>
      <c r="J8" s="304" t="s">
        <v>240</v>
      </c>
      <c r="K8" s="310">
        <f>ROUND(SQRT(C7/F7),4)</f>
        <v>16.356999999999999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16.360600000000002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7.4010150979604576</v>
      </c>
      <c r="D10" s="25" t="s">
        <v>236</v>
      </c>
      <c r="E10" s="301">
        <v>0.32969999999999999</v>
      </c>
      <c r="H10" s="255" t="s">
        <v>214</v>
      </c>
      <c r="I10" s="261">
        <f>Input!I52</f>
        <v>23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16.138984902039542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66.2</v>
      </c>
      <c r="D13" s="26"/>
      <c r="E13" s="430" t="s">
        <v>251</v>
      </c>
      <c r="F13" s="331">
        <f>D5</f>
        <v>6.5972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17.919999999999998</v>
      </c>
      <c r="C16" s="256">
        <f>I8-IF(I4&gt;I10,I4,I10)</f>
        <v>227</v>
      </c>
      <c r="D16" s="258">
        <f>(F13+H13)/2</f>
        <v>10.413600000000001</v>
      </c>
      <c r="E16" s="31">
        <f>INT(D16/C16*100000)/100000</f>
        <v>4.5870000000000001E-2</v>
      </c>
      <c r="F16" s="32">
        <v>1440</v>
      </c>
      <c r="G16" s="260">
        <v>780</v>
      </c>
      <c r="H16" s="258">
        <f>INT(G16/F16*10000)/10000</f>
        <v>0.54159999999999997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81.099999999999994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17.919999999999998</v>
      </c>
      <c r="C21" s="257">
        <f t="shared" si="0"/>
        <v>227</v>
      </c>
      <c r="D21" s="32">
        <f t="shared" si="0"/>
        <v>10.413600000000001</v>
      </c>
      <c r="E21" s="258">
        <f t="shared" si="0"/>
        <v>4.5870000000000001E-2</v>
      </c>
      <c r="F21" s="32">
        <f t="shared" si="0"/>
        <v>1440</v>
      </c>
      <c r="G21" s="32">
        <f>G16</f>
        <v>780</v>
      </c>
      <c r="H21" s="32">
        <f t="shared" si="0"/>
        <v>0.54159999999999997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144.19999999999999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17.919999999999998</v>
      </c>
      <c r="C26" s="32">
        <f t="shared" si="1"/>
        <v>227</v>
      </c>
      <c r="D26" s="32">
        <f t="shared" si="1"/>
        <v>10.413600000000001</v>
      </c>
      <c r="E26" s="31">
        <f t="shared" si="1"/>
        <v>4.5870000000000001E-2</v>
      </c>
      <c r="F26" s="32">
        <f t="shared" si="1"/>
        <v>1440</v>
      </c>
      <c r="G26" s="32">
        <f t="shared" si="1"/>
        <v>780</v>
      </c>
      <c r="H26" s="258">
        <f>INT(G16/F16*10000)/10000</f>
        <v>0.54159999999999997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10.413600000000001</v>
      </c>
      <c r="D28" s="426">
        <f>(C28/C16)*(100/86400)</f>
        <v>5.3095937347038671E-5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5.3095937347038677E-5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97.166666666666671</v>
      </c>
      <c r="D30" s="15"/>
      <c r="E30" s="420">
        <f>(C13+C18)/2</f>
        <v>73.650000000000006</v>
      </c>
      <c r="F30" s="421">
        <f>MAX(C13,C18)</f>
        <v>81.099999999999994</v>
      </c>
      <c r="G30" s="422">
        <f>ROUND(C4/(G4*F30^2*I16),3)</f>
        <v>18.251000000000001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7.49</v>
      </c>
    </row>
    <row r="4" spans="1:2" ht="20.100000000000001" customHeight="1">
      <c r="A4" s="43" t="s">
        <v>147</v>
      </c>
      <c r="B4" s="200">
        <f>StepTest!G46</f>
        <v>15.94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239.90483558434025</v>
      </c>
    </row>
    <row r="8" spans="1:2" ht="20.100000000000001" customHeight="1">
      <c r="A8" s="43" t="s">
        <v>150</v>
      </c>
      <c r="B8" s="200">
        <f>INT(B7)</f>
        <v>239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0.90530303030303028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239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145</v>
      </c>
      <c r="S4" s="52">
        <f>$R$4</f>
        <v>145</v>
      </c>
      <c r="T4" s="344">
        <v>8.5122162441883251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10.678009239450894</v>
      </c>
      <c r="Z4" s="59">
        <f>Z22</f>
        <v>9.6704069954394019</v>
      </c>
      <c r="AA4" s="58">
        <f>$Z$4</f>
        <v>9.6704069954394019</v>
      </c>
      <c r="AB4" s="58">
        <f>X4</f>
        <v>1</v>
      </c>
      <c r="AC4" s="58">
        <f>Y4-AA4</f>
        <v>1.0076022440114922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145</v>
      </c>
      <c r="T5" s="52">
        <f>$T4</f>
        <v>8.5122162441883251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11.616549913616211</v>
      </c>
      <c r="AA5" s="58">
        <f t="shared" ref="AA5:AA23" si="5">$Z$4</f>
        <v>9.6704069954394019</v>
      </c>
      <c r="AB5" s="58">
        <f t="shared" ref="AB5:AB43" si="6">X5</f>
        <v>2</v>
      </c>
      <c r="AC5" s="58">
        <f t="shared" ref="AC5:AC43" si="7">Y5-AA5</f>
        <v>1.9461429181768093</v>
      </c>
      <c r="AD5" s="60">
        <f t="shared" ref="AD5:AD16" si="8">INT((AC5-AE5)*100)/100</f>
        <v>1.94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8.5122162441883251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12.165561013404476</v>
      </c>
      <c r="AA6" s="58">
        <f t="shared" si="5"/>
        <v>9.6704069954394019</v>
      </c>
      <c r="AB6" s="58">
        <f t="shared" si="6"/>
        <v>3</v>
      </c>
      <c r="AC6" s="58">
        <f t="shared" si="7"/>
        <v>2.4951540179650742</v>
      </c>
      <c r="AD6" s="60">
        <f t="shared" si="8"/>
        <v>2.4900000000000002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8.5122162441883251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12.55509058778153</v>
      </c>
      <c r="AA7" s="58">
        <f t="shared" si="5"/>
        <v>9.6704069954394019</v>
      </c>
      <c r="AB7" s="58">
        <f t="shared" si="6"/>
        <v>4</v>
      </c>
      <c r="AC7" s="58">
        <f t="shared" si="7"/>
        <v>2.8846835923421281</v>
      </c>
      <c r="AD7" s="60">
        <f t="shared" si="8"/>
        <v>2.88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8.5122162441883251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12.857233198989872</v>
      </c>
      <c r="AA8" s="58">
        <f t="shared" si="5"/>
        <v>9.6704069954394019</v>
      </c>
      <c r="AB8" s="58">
        <f t="shared" si="6"/>
        <v>5</v>
      </c>
      <c r="AC8" s="58">
        <f t="shared" si="7"/>
        <v>3.1868262035504706</v>
      </c>
      <c r="AD8" s="60">
        <f t="shared" si="8"/>
        <v>3.18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250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8.5122162441883251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13.79577387315519</v>
      </c>
      <c r="AA9" s="58">
        <f t="shared" si="5"/>
        <v>9.6704069954394019</v>
      </c>
      <c r="AB9" s="58">
        <f t="shared" si="6"/>
        <v>10</v>
      </c>
      <c r="AC9" s="58">
        <f t="shared" si="7"/>
        <v>4.1253668777157877</v>
      </c>
      <c r="AD9" s="60">
        <f t="shared" si="8"/>
        <v>4.12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5.62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8.5122162441883251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14.344784972943451</v>
      </c>
      <c r="AA10" s="58">
        <f t="shared" si="5"/>
        <v>9.6704069954394019</v>
      </c>
      <c r="AB10" s="58">
        <f t="shared" si="6"/>
        <v>15</v>
      </c>
      <c r="AC10" s="58">
        <f t="shared" si="7"/>
        <v>4.674377977504049</v>
      </c>
      <c r="AD10" s="60">
        <f t="shared" si="8"/>
        <v>4.67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6.0000000000000053E-2</v>
      </c>
      <c r="P11" s="52">
        <v>20</v>
      </c>
      <c r="Q11" s="416"/>
      <c r="S11" s="52">
        <f t="shared" si="3"/>
        <v>145</v>
      </c>
      <c r="T11" s="52">
        <f t="shared" si="10"/>
        <v>8.5122162441883251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14.734314547320507</v>
      </c>
      <c r="AA11" s="58">
        <f t="shared" si="5"/>
        <v>9.6704069954394019</v>
      </c>
      <c r="AB11" s="58">
        <f t="shared" si="6"/>
        <v>20</v>
      </c>
      <c r="AC11" s="58">
        <f t="shared" si="7"/>
        <v>5.0639075518811048</v>
      </c>
      <c r="AD11" s="60">
        <f t="shared" si="8"/>
        <v>5.0599999999999996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6.62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8.5122162441883251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15.036457158528847</v>
      </c>
      <c r="AA12" s="58">
        <f t="shared" si="5"/>
        <v>9.6704069954394019</v>
      </c>
      <c r="AB12" s="58">
        <f t="shared" si="6"/>
        <v>25</v>
      </c>
      <c r="AC12" s="58">
        <f t="shared" si="7"/>
        <v>5.3660501630894455</v>
      </c>
      <c r="AD12" s="60">
        <f t="shared" si="8"/>
        <v>5.36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7.5600000000000005</v>
      </c>
      <c r="G13" s="470">
        <f t="shared" ref="G13:G51" si="14">AD5</f>
        <v>1.94</v>
      </c>
      <c r="H13" s="470"/>
      <c r="I13" s="371"/>
      <c r="J13" s="372">
        <f>G13-G12</f>
        <v>0.94</v>
      </c>
      <c r="P13" s="52">
        <v>30</v>
      </c>
      <c r="Q13" s="416"/>
      <c r="S13" s="52">
        <f t="shared" si="3"/>
        <v>145</v>
      </c>
      <c r="T13" s="52">
        <f t="shared" si="10"/>
        <v>8.5122162441883251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15.283325647108768</v>
      </c>
      <c r="AA13" s="58">
        <f t="shared" si="5"/>
        <v>9.6704069954394019</v>
      </c>
      <c r="AB13" s="58">
        <f t="shared" si="6"/>
        <v>30</v>
      </c>
      <c r="AC13" s="58">
        <f t="shared" si="7"/>
        <v>5.6129186516693661</v>
      </c>
      <c r="AD13" s="60">
        <f t="shared" si="8"/>
        <v>5.61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8.11</v>
      </c>
      <c r="G14" s="470">
        <f t="shared" si="14"/>
        <v>2.4900000000000002</v>
      </c>
      <c r="H14" s="470"/>
      <c r="I14" s="371"/>
      <c r="J14" s="372">
        <f t="shared" ref="J14:J51" si="15">G14-G13</f>
        <v>0.55000000000000027</v>
      </c>
      <c r="Q14" s="416"/>
      <c r="S14" s="52">
        <f t="shared" si="3"/>
        <v>145</v>
      </c>
      <c r="T14" s="52">
        <f t="shared" si="10"/>
        <v>8.5122162441883251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15.492049980159138</v>
      </c>
      <c r="AA14" s="58">
        <f t="shared" si="5"/>
        <v>9.6704069954394019</v>
      </c>
      <c r="AB14" s="58">
        <f t="shared" si="6"/>
        <v>35</v>
      </c>
      <c r="AC14" s="58">
        <f t="shared" si="7"/>
        <v>5.8216429847197357</v>
      </c>
      <c r="AD14" s="60">
        <f t="shared" si="8"/>
        <v>5.82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8.5</v>
      </c>
      <c r="G15" s="470">
        <f t="shared" si="14"/>
        <v>2.88</v>
      </c>
      <c r="H15" s="470"/>
      <c r="I15" s="371"/>
      <c r="J15" s="372">
        <f t="shared" si="15"/>
        <v>0.38999999999999968</v>
      </c>
      <c r="Q15" s="416"/>
      <c r="S15" s="52">
        <f t="shared" si="3"/>
        <v>145</v>
      </c>
      <c r="T15" s="52">
        <f t="shared" si="10"/>
        <v>8.5122162441883251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15.672855221485822</v>
      </c>
      <c r="AA15" s="58">
        <f t="shared" si="5"/>
        <v>9.6704069954394019</v>
      </c>
      <c r="AB15" s="58">
        <f t="shared" si="6"/>
        <v>40</v>
      </c>
      <c r="AC15" s="58">
        <f t="shared" si="7"/>
        <v>6.00244822604642</v>
      </c>
      <c r="AD15" s="60">
        <f t="shared" si="8"/>
        <v>6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8.8000000000000007</v>
      </c>
      <c r="G16" s="470">
        <f t="shared" si="14"/>
        <v>3.18</v>
      </c>
      <c r="H16" s="470"/>
      <c r="I16" s="371"/>
      <c r="J16" s="372">
        <f t="shared" si="15"/>
        <v>0.30000000000000027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8.5122162441883251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15.832336746897033</v>
      </c>
      <c r="AA16" s="58">
        <f t="shared" si="5"/>
        <v>9.6704069954394019</v>
      </c>
      <c r="AB16" s="58">
        <f t="shared" si="6"/>
        <v>45</v>
      </c>
      <c r="AC16" s="58">
        <f t="shared" si="7"/>
        <v>6.161929751457631</v>
      </c>
      <c r="AD16" s="60">
        <f t="shared" si="8"/>
        <v>6.16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9.74</v>
      </c>
      <c r="G17" s="470">
        <f t="shared" si="14"/>
        <v>4.12</v>
      </c>
      <c r="H17" s="470"/>
      <c r="I17" s="371"/>
      <c r="J17" s="372">
        <f t="shared" si="15"/>
        <v>0.94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-2.2000000000000002</v>
      </c>
      <c r="S17" s="52">
        <f t="shared" si="3"/>
        <v>145</v>
      </c>
      <c r="T17" s="52">
        <f t="shared" si="10"/>
        <v>8.5122162441883251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15.974997832694164</v>
      </c>
      <c r="AA17" s="58">
        <f t="shared" si="5"/>
        <v>9.6704069954394019</v>
      </c>
      <c r="AB17" s="58">
        <f t="shared" si="6"/>
        <v>50</v>
      </c>
      <c r="AC17" s="58">
        <f t="shared" si="7"/>
        <v>6.3045908372547625</v>
      </c>
      <c r="AD17" s="60">
        <f t="shared" ref="AD17:AD22" si="16">INT(AC17*100)/100</f>
        <v>6.3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10.29</v>
      </c>
      <c r="G18" s="470">
        <f t="shared" si="14"/>
        <v>4.67</v>
      </c>
      <c r="H18" s="470"/>
      <c r="I18" s="371"/>
      <c r="J18" s="372">
        <f t="shared" si="15"/>
        <v>0.54999999999999982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-4.38</v>
      </c>
      <c r="S18" s="52">
        <f t="shared" si="3"/>
        <v>145</v>
      </c>
      <c r="T18" s="52">
        <f t="shared" si="10"/>
        <v>8.5122162441883251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16.104050482574532</v>
      </c>
      <c r="AA18" s="58">
        <f t="shared" si="5"/>
        <v>9.6704069954394019</v>
      </c>
      <c r="AB18" s="58">
        <f t="shared" si="6"/>
        <v>55</v>
      </c>
      <c r="AC18" s="58">
        <f t="shared" si="7"/>
        <v>6.4336434871351305</v>
      </c>
      <c r="AD18" s="60">
        <f t="shared" si="16"/>
        <v>6.43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10.68</v>
      </c>
      <c r="G19" s="470">
        <f t="shared" si="14"/>
        <v>5.0599999999999996</v>
      </c>
      <c r="H19" s="470"/>
      <c r="I19" s="371"/>
      <c r="J19" s="372">
        <f t="shared" si="15"/>
        <v>0.38999999999999968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-6.76</v>
      </c>
      <c r="S19" s="52">
        <f t="shared" si="3"/>
        <v>145</v>
      </c>
      <c r="T19" s="52">
        <f t="shared" si="10"/>
        <v>8.5122162441883251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16.221866321274085</v>
      </c>
      <c r="AA19" s="58">
        <f t="shared" si="5"/>
        <v>9.6704069954394019</v>
      </c>
      <c r="AB19" s="58">
        <f t="shared" si="6"/>
        <v>60</v>
      </c>
      <c r="AC19" s="58">
        <f t="shared" si="7"/>
        <v>6.5514593258346832</v>
      </c>
      <c r="AD19" s="60">
        <f t="shared" si="16"/>
        <v>6.55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10.98</v>
      </c>
      <c r="G20" s="470">
        <f t="shared" si="14"/>
        <v>5.36</v>
      </c>
      <c r="H20" s="470"/>
      <c r="I20" s="371"/>
      <c r="J20" s="372">
        <f t="shared" si="15"/>
        <v>0.30000000000000071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-9.0399999999999991</v>
      </c>
      <c r="S20" s="52">
        <f t="shared" si="3"/>
        <v>145</v>
      </c>
      <c r="T20" s="52">
        <f t="shared" si="10"/>
        <v>8.5122162441883251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16.524008932482428</v>
      </c>
      <c r="AA20" s="58">
        <f t="shared" si="5"/>
        <v>9.6704069954394019</v>
      </c>
      <c r="AB20" s="58">
        <f t="shared" si="6"/>
        <v>75</v>
      </c>
      <c r="AC20" s="58">
        <f t="shared" si="7"/>
        <v>6.8536019370430257</v>
      </c>
      <c r="AD20" s="60">
        <f t="shared" si="16"/>
        <v>6.85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11.23</v>
      </c>
      <c r="G21" s="470">
        <f t="shared" si="14"/>
        <v>5.61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-11.04</v>
      </c>
      <c r="S21" s="52">
        <f t="shared" si="3"/>
        <v>145</v>
      </c>
      <c r="T21" s="52">
        <f t="shared" si="10"/>
        <v>8.5122162441883251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16.770877421062348</v>
      </c>
      <c r="AA21" s="58">
        <f t="shared" si="5"/>
        <v>9.6704069954394019</v>
      </c>
      <c r="AB21" s="58">
        <f t="shared" si="6"/>
        <v>90</v>
      </c>
      <c r="AC21" s="58">
        <f t="shared" si="7"/>
        <v>7.1004704256229463</v>
      </c>
      <c r="AD21" s="60">
        <f t="shared" si="16"/>
        <v>7.1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11.440000000000001</v>
      </c>
      <c r="G22" s="470">
        <f t="shared" si="14"/>
        <v>5.82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-22.32</v>
      </c>
      <c r="S22" s="52">
        <f t="shared" si="3"/>
        <v>145</v>
      </c>
      <c r="T22" s="52">
        <f t="shared" si="10"/>
        <v>8.5122162441883251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16.979601754112718</v>
      </c>
      <c r="Z22" s="58">
        <f>Y23-Z23</f>
        <v>9.6704069954394019</v>
      </c>
      <c r="AA22" s="58">
        <f t="shared" si="5"/>
        <v>9.6704069954394019</v>
      </c>
      <c r="AB22" s="58">
        <f t="shared" si="6"/>
        <v>105</v>
      </c>
      <c r="AC22" s="58">
        <f t="shared" si="7"/>
        <v>7.3091947586733159</v>
      </c>
      <c r="AD22" s="60">
        <f t="shared" si="16"/>
        <v>7.3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11.620000000000001</v>
      </c>
      <c r="G23" s="470">
        <f t="shared" si="14"/>
        <v>6</v>
      </c>
      <c r="H23" s="470"/>
      <c r="I23" s="345"/>
      <c r="J23" s="372">
        <f t="shared" si="15"/>
        <v>0.17999999999999972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-43.37</v>
      </c>
      <c r="S23" s="52">
        <f t="shared" si="3"/>
        <v>145</v>
      </c>
      <c r="T23" s="52">
        <f t="shared" si="10"/>
        <v>8.5122162441883251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17.160406995439402</v>
      </c>
      <c r="Z23" s="58">
        <f>Input!B20</f>
        <v>7.49</v>
      </c>
      <c r="AA23" s="58">
        <f t="shared" si="5"/>
        <v>9.6704069954394019</v>
      </c>
      <c r="AB23" s="58">
        <f t="shared" si="6"/>
        <v>120</v>
      </c>
      <c r="AC23" s="58">
        <f t="shared" si="7"/>
        <v>7.49</v>
      </c>
      <c r="AD23" s="60">
        <f>INT((AC$3+AE23)*100)/100</f>
        <v>7.49</v>
      </c>
      <c r="AE23" s="58">
        <f>AG$23*AF23</f>
        <v>7.49</v>
      </c>
      <c r="AF23" s="58">
        <v>1</v>
      </c>
      <c r="AG23" s="58">
        <f>AC23-AC3</f>
        <v>7.49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11.780000000000001</v>
      </c>
      <c r="G24" s="470">
        <f t="shared" si="14"/>
        <v>6.16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-58.99</v>
      </c>
      <c r="R24" s="56">
        <f>B32</f>
        <v>184</v>
      </c>
      <c r="S24" s="52">
        <f>$R$24</f>
        <v>184</v>
      </c>
      <c r="T24" s="52">
        <f t="shared" si="10"/>
        <v>8.5122162441883251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21.913495304901033</v>
      </c>
      <c r="Z24" s="58">
        <f>Z27</f>
        <v>12.976940491084614</v>
      </c>
      <c r="AA24" s="58">
        <f>$Z$24</f>
        <v>12.976940491084614</v>
      </c>
      <c r="AB24" s="58">
        <f t="shared" si="6"/>
        <v>130</v>
      </c>
      <c r="AC24" s="58">
        <f t="shared" si="7"/>
        <v>8.9365548138164197</v>
      </c>
      <c r="AD24" s="60">
        <f>INT((AC$23+AE24)*100)/100</f>
        <v>8.99</v>
      </c>
      <c r="AE24" s="58">
        <f>AF24*AG$28</f>
        <v>1.5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11.92</v>
      </c>
      <c r="G25" s="470">
        <f t="shared" si="14"/>
        <v>6.3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-74.709999999999994</v>
      </c>
      <c r="S25" s="52">
        <f>$R$24</f>
        <v>184</v>
      </c>
      <c r="T25" s="52">
        <f t="shared" si="10"/>
        <v>8.5122162441883251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22.040828720290467</v>
      </c>
      <c r="AA25" s="58">
        <f>$Z$24</f>
        <v>12.976940491084614</v>
      </c>
      <c r="AB25" s="58">
        <f t="shared" si="6"/>
        <v>140</v>
      </c>
      <c r="AC25" s="58">
        <f t="shared" si="7"/>
        <v>9.0638882292058529</v>
      </c>
      <c r="AD25" s="60">
        <f>INT((AC$23+AE25)*100)/100</f>
        <v>9.24</v>
      </c>
      <c r="AE25" s="58">
        <f>AF25*AG$28</f>
        <v>1.75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12.05</v>
      </c>
      <c r="G26" s="470">
        <f t="shared" si="14"/>
        <v>6.43</v>
      </c>
      <c r="H26" s="470"/>
      <c r="I26" s="345"/>
      <c r="J26" s="372">
        <f t="shared" si="15"/>
        <v>0.12999999999999989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-90.47</v>
      </c>
      <c r="S26" s="52">
        <f>$R$24</f>
        <v>184</v>
      </c>
      <c r="T26" s="52">
        <f t="shared" si="10"/>
        <v>8.5122162441883251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22.159373293953003</v>
      </c>
      <c r="AA26" s="58">
        <f>$Z$24</f>
        <v>12.976940491084614</v>
      </c>
      <c r="AB26" s="58">
        <f t="shared" si="6"/>
        <v>150</v>
      </c>
      <c r="AC26" s="58">
        <f t="shared" si="7"/>
        <v>9.182432802868389</v>
      </c>
      <c r="AD26" s="60">
        <f>INT((AC$23+AE26)*100)/100</f>
        <v>9.49</v>
      </c>
      <c r="AE26" s="58">
        <f>AF26*AG$28</f>
        <v>2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12.17</v>
      </c>
      <c r="G27" s="470">
        <f t="shared" si="14"/>
        <v>6.55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-106.27</v>
      </c>
      <c r="S27" s="52">
        <f>$R$24</f>
        <v>184</v>
      </c>
      <c r="T27" s="52">
        <f t="shared" si="10"/>
        <v>8.5122162441883251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22.472640893254422</v>
      </c>
      <c r="Z27" s="58">
        <f>Y28-Z28</f>
        <v>12.976940491084614</v>
      </c>
      <c r="AA27" s="58">
        <f>$Z$24</f>
        <v>12.976940491084614</v>
      </c>
      <c r="AB27" s="58">
        <f t="shared" si="6"/>
        <v>180</v>
      </c>
      <c r="AC27" s="58">
        <f t="shared" si="7"/>
        <v>9.4957004021698079</v>
      </c>
      <c r="AD27" s="60">
        <f>INT((AC$23+AE27)*100)/100</f>
        <v>9.74</v>
      </c>
      <c r="AE27" s="58">
        <f>AF27*AG$28</f>
        <v>2.25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12.469999999999999</v>
      </c>
      <c r="G28" s="470">
        <f t="shared" si="14"/>
        <v>6.85</v>
      </c>
      <c r="H28" s="470"/>
      <c r="I28" s="345"/>
      <c r="J28" s="372">
        <f t="shared" si="15"/>
        <v>0.29999999999999982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-122.11</v>
      </c>
      <c r="S28" s="52">
        <f>$R$24</f>
        <v>184</v>
      </c>
      <c r="T28" s="52">
        <f t="shared" si="10"/>
        <v>8.5122162441883251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22.966940491084614</v>
      </c>
      <c r="Z28" s="58">
        <f>Input!B21</f>
        <v>9.99</v>
      </c>
      <c r="AA28" s="58">
        <f>$Z$24</f>
        <v>12.976940491084614</v>
      </c>
      <c r="AB28" s="58">
        <f t="shared" si="6"/>
        <v>240</v>
      </c>
      <c r="AC28" s="58">
        <f t="shared" si="7"/>
        <v>9.99</v>
      </c>
      <c r="AD28" s="60">
        <f>INT((AC$23+AE28)*100)/100</f>
        <v>9.99</v>
      </c>
      <c r="AE28" s="58">
        <f>AF28*AG$28</f>
        <v>2.5</v>
      </c>
      <c r="AF28" s="58">
        <v>1</v>
      </c>
      <c r="AG28" s="58">
        <f>AC28-AC23</f>
        <v>2.5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12.719999999999999</v>
      </c>
      <c r="G29" s="470">
        <f t="shared" si="14"/>
        <v>7.1</v>
      </c>
      <c r="H29" s="470"/>
      <c r="I29" s="345"/>
      <c r="J29" s="372">
        <f t="shared" si="15"/>
        <v>0.25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-137.96</v>
      </c>
      <c r="R29" s="56">
        <f>B37</f>
        <v>224.4</v>
      </c>
      <c r="S29" s="52">
        <f>$R$29</f>
        <v>224.4</v>
      </c>
      <c r="T29" s="52">
        <f t="shared" si="10"/>
        <v>8.5122162441883251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28.095223242600806</v>
      </c>
      <c r="Z29" s="58">
        <f>Z32</f>
        <v>16.059323778288178</v>
      </c>
      <c r="AA29" s="58">
        <f>$Z$29</f>
        <v>16.059323778288178</v>
      </c>
      <c r="AB29" s="58">
        <f t="shared" si="6"/>
        <v>250</v>
      </c>
      <c r="AC29" s="58">
        <f t="shared" si="7"/>
        <v>12.035899464312628</v>
      </c>
      <c r="AD29" s="60">
        <f>INT((AC$28+AE29)*100)/100</f>
        <v>11.67</v>
      </c>
      <c r="AE29" s="58">
        <f>AF29*AG$33</f>
        <v>1.6860000000000002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12.92</v>
      </c>
      <c r="G30" s="470">
        <f t="shared" si="14"/>
        <v>7.3</v>
      </c>
      <c r="H30" s="470"/>
      <c r="I30" s="345"/>
      <c r="J30" s="372">
        <f t="shared" si="15"/>
        <v>0.20000000000000018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-153.84</v>
      </c>
      <c r="R30" s="52" t="s">
        <v>21</v>
      </c>
      <c r="S30" s="52">
        <f>$R$29</f>
        <v>224.4</v>
      </c>
      <c r="T30" s="52">
        <f t="shared" si="10"/>
        <v>8.5122162441883251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28.177409267274591</v>
      </c>
      <c r="AA30" s="58">
        <f>$Z$29</f>
        <v>16.059323778288178</v>
      </c>
      <c r="AB30" s="58">
        <f t="shared" si="6"/>
        <v>260</v>
      </c>
      <c r="AC30" s="58">
        <f t="shared" si="7"/>
        <v>12.118085488986413</v>
      </c>
      <c r="AD30" s="60">
        <f>INT((AC$28+AE30)*100)/100</f>
        <v>11.95</v>
      </c>
      <c r="AE30" s="58">
        <f>AF30*AG$33</f>
        <v>1.9670000000000003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13.11</v>
      </c>
      <c r="G31" s="470">
        <f t="shared" si="14"/>
        <v>7.49</v>
      </c>
      <c r="H31" s="470"/>
      <c r="I31" s="345"/>
      <c r="J31" s="372">
        <f t="shared" si="15"/>
        <v>0.19000000000000039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-169.72</v>
      </c>
      <c r="S31" s="52">
        <f>$R$29</f>
        <v>224.4</v>
      </c>
      <c r="T31" s="52">
        <f t="shared" si="10"/>
        <v>8.5122162441883251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28.256493181803965</v>
      </c>
      <c r="AA31" s="58">
        <f>$Z$29</f>
        <v>16.059323778288178</v>
      </c>
      <c r="AB31" s="58">
        <f t="shared" si="6"/>
        <v>270</v>
      </c>
      <c r="AC31" s="58">
        <f t="shared" si="7"/>
        <v>12.197169403515787</v>
      </c>
      <c r="AD31" s="60">
        <f>INT((AC$28+AE31)*100)/100</f>
        <v>12.23</v>
      </c>
      <c r="AE31" s="58">
        <f>AF31*AG$33</f>
        <v>2.2480000000000007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14.61</v>
      </c>
      <c r="G32" s="470">
        <f t="shared" si="14"/>
        <v>8.99</v>
      </c>
      <c r="H32" s="470"/>
      <c r="I32" s="345"/>
      <c r="J32" s="372">
        <f t="shared" si="15"/>
        <v>1.5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-185.61</v>
      </c>
      <c r="S32" s="52">
        <f>$R$29</f>
        <v>224.4</v>
      </c>
      <c r="T32" s="52">
        <f t="shared" si="10"/>
        <v>8.5122162441883251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28.477273510444491</v>
      </c>
      <c r="Z32" s="58">
        <f>Y33-Z33</f>
        <v>16.059323778288178</v>
      </c>
      <c r="AA32" s="58">
        <f>$Z$29</f>
        <v>16.059323778288178</v>
      </c>
      <c r="AB32" s="58">
        <f t="shared" si="6"/>
        <v>300</v>
      </c>
      <c r="AC32" s="58">
        <f t="shared" si="7"/>
        <v>12.417949732156313</v>
      </c>
      <c r="AD32" s="60">
        <f>INT((AC$28+AE32)*100)/100</f>
        <v>12.51</v>
      </c>
      <c r="AE32" s="58">
        <f>AF32*AG$33</f>
        <v>2.5290000000000004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14.86</v>
      </c>
      <c r="G33" s="470">
        <f t="shared" si="14"/>
        <v>9.24</v>
      </c>
      <c r="H33" s="470"/>
      <c r="I33" s="345"/>
      <c r="J33" s="372">
        <f t="shared" si="15"/>
        <v>0.25</v>
      </c>
      <c r="L33" s="67" t="s">
        <v>21</v>
      </c>
      <c r="P33" s="59"/>
      <c r="S33" s="52">
        <f>$R$29</f>
        <v>224.4</v>
      </c>
      <c r="T33" s="52">
        <f t="shared" si="10"/>
        <v>8.5122162441883251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28.859323778288179</v>
      </c>
      <c r="Z33" s="58">
        <f>Input!B22</f>
        <v>12.8</v>
      </c>
      <c r="AA33" s="58">
        <f>$Z$29</f>
        <v>16.059323778288178</v>
      </c>
      <c r="AB33" s="58">
        <f t="shared" si="6"/>
        <v>360</v>
      </c>
      <c r="AC33" s="58">
        <f t="shared" si="7"/>
        <v>12.8</v>
      </c>
      <c r="AD33" s="60">
        <f>INT((AC$28+AE33)*100)/100</f>
        <v>12.8</v>
      </c>
      <c r="AE33" s="58">
        <f>AF33*AG$33</f>
        <v>2.8100000000000005</v>
      </c>
      <c r="AF33" s="58">
        <v>1</v>
      </c>
      <c r="AG33" s="58">
        <f>AC33-AC28</f>
        <v>2.8100000000000005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15.11</v>
      </c>
      <c r="G34" s="470">
        <f t="shared" si="14"/>
        <v>9.49</v>
      </c>
      <c r="H34" s="470"/>
      <c r="I34" s="345"/>
      <c r="J34" s="372">
        <f t="shared" si="15"/>
        <v>0.25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8.5122162441883251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34.019691346199011</v>
      </c>
      <c r="Z34" s="58">
        <f>Z37</f>
        <v>18.721358087967523</v>
      </c>
      <c r="AA34" s="58">
        <f>$Z$34</f>
        <v>18.721358087967523</v>
      </c>
      <c r="AB34" s="58">
        <f t="shared" si="6"/>
        <v>370</v>
      </c>
      <c r="AC34" s="58">
        <f t="shared" si="7"/>
        <v>15.298333258231487</v>
      </c>
      <c r="AD34" s="60">
        <f>INT((AC$33+AE34)*100)/100</f>
        <v>14.68</v>
      </c>
      <c r="AE34" s="58">
        <f>AG$38*AF34</f>
        <v>1.8839999999999981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15.36</v>
      </c>
      <c r="G35" s="470">
        <f t="shared" si="14"/>
        <v>9.74</v>
      </c>
      <c r="H35" s="470"/>
      <c r="I35" s="345"/>
      <c r="J35" s="372">
        <f t="shared" si="15"/>
        <v>0.25</v>
      </c>
      <c r="L35" s="67" t="s">
        <v>21</v>
      </c>
      <c r="S35" s="52">
        <f>$R$34</f>
        <v>264</v>
      </c>
      <c r="T35" s="52">
        <f t="shared" si="10"/>
        <v>8.5122162441883251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34.085435635121499</v>
      </c>
      <c r="AA35" s="58">
        <f>$Z$34</f>
        <v>18.721358087967523</v>
      </c>
      <c r="AB35" s="58">
        <f t="shared" si="6"/>
        <v>380</v>
      </c>
      <c r="AC35" s="58">
        <f t="shared" si="7"/>
        <v>15.364077547153975</v>
      </c>
      <c r="AD35" s="60">
        <f>INT((AC$33+AE35)*100)/100</f>
        <v>14.99</v>
      </c>
      <c r="AE35" s="58">
        <f>AG$38*AF35</f>
        <v>2.1979999999999977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15.61</v>
      </c>
      <c r="G36" s="470">
        <f t="shared" si="14"/>
        <v>9.99</v>
      </c>
      <c r="H36" s="470"/>
      <c r="I36" s="345"/>
      <c r="J36" s="372">
        <f t="shared" si="15"/>
        <v>0.25</v>
      </c>
      <c r="L36" s="67" t="s">
        <v>21</v>
      </c>
      <c r="S36" s="52">
        <f>$R$34</f>
        <v>264</v>
      </c>
      <c r="T36" s="52">
        <f t="shared" si="10"/>
        <v>8.5122162441883251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34.149472085576491</v>
      </c>
      <c r="AA36" s="58">
        <f>$Z$34</f>
        <v>18.721358087967523</v>
      </c>
      <c r="AB36" s="58">
        <f t="shared" si="6"/>
        <v>390</v>
      </c>
      <c r="AC36" s="58">
        <f t="shared" si="7"/>
        <v>15.428113997608968</v>
      </c>
      <c r="AD36" s="60">
        <f>INT((AC$33+AE36)*100)/100</f>
        <v>15.31</v>
      </c>
      <c r="AE36" s="58">
        <f>AG$38*AF36</f>
        <v>2.5119999999999978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17.29</v>
      </c>
      <c r="G37" s="470">
        <f t="shared" si="14"/>
        <v>11.67</v>
      </c>
      <c r="H37" s="470"/>
      <c r="I37" s="345"/>
      <c r="J37" s="372">
        <f t="shared" si="15"/>
        <v>1.6799999999999997</v>
      </c>
      <c r="L37" s="67" t="s">
        <v>21</v>
      </c>
      <c r="S37" s="52">
        <f>$R$34</f>
        <v>264</v>
      </c>
      <c r="T37" s="52">
        <f t="shared" si="10"/>
        <v>8.5122162441883251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34.332167855483071</v>
      </c>
      <c r="Z37" s="58">
        <f>Y38-Z38</f>
        <v>18.721358087967523</v>
      </c>
      <c r="AA37" s="58">
        <f>$Z$34</f>
        <v>18.721358087967523</v>
      </c>
      <c r="AB37" s="58">
        <f t="shared" si="6"/>
        <v>420</v>
      </c>
      <c r="AC37" s="58">
        <f t="shared" si="7"/>
        <v>15.610809767515548</v>
      </c>
      <c r="AD37" s="60">
        <f>INT((AC$33+AE37)*100)/100</f>
        <v>15.62</v>
      </c>
      <c r="AE37" s="58">
        <f>AG$38*AF37</f>
        <v>2.8259999999999974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17.57</v>
      </c>
      <c r="G38" s="470">
        <f t="shared" si="14"/>
        <v>11.95</v>
      </c>
      <c r="H38" s="470"/>
      <c r="I38" s="345"/>
      <c r="J38" s="372">
        <f t="shared" si="15"/>
        <v>0.27999999999999936</v>
      </c>
      <c r="L38" s="67" t="s">
        <v>21</v>
      </c>
      <c r="S38" s="52">
        <f>$R$34</f>
        <v>264</v>
      </c>
      <c r="T38" s="52">
        <f t="shared" si="10"/>
        <v>8.5122162441883251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34.661358087967521</v>
      </c>
      <c r="Z38" s="58">
        <f>Input!B23</f>
        <v>15.94</v>
      </c>
      <c r="AA38" s="58">
        <f>$Z$34</f>
        <v>18.721358087967523</v>
      </c>
      <c r="AB38" s="58">
        <f t="shared" si="6"/>
        <v>480</v>
      </c>
      <c r="AC38" s="58">
        <f t="shared" si="7"/>
        <v>15.939999999999998</v>
      </c>
      <c r="AD38" s="60">
        <f>INT((AC$33+AE38)*100)/100</f>
        <v>15.94</v>
      </c>
      <c r="AE38" s="58">
        <f>AG$38*AF38</f>
        <v>3.139999999999997</v>
      </c>
      <c r="AF38" s="58">
        <v>1</v>
      </c>
      <c r="AG38" s="58">
        <f>AC38-AC33</f>
        <v>3.139999999999997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17.850000000000001</v>
      </c>
      <c r="G39" s="470">
        <f t="shared" si="14"/>
        <v>12.23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8.5122162441883251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39.919018602868221</v>
      </c>
      <c r="Z39" s="58">
        <f>Z42</f>
        <v>19.773185916768519</v>
      </c>
      <c r="AA39" s="58">
        <f>$Z$39</f>
        <v>19.773185916768519</v>
      </c>
      <c r="AB39" s="58">
        <f t="shared" si="6"/>
        <v>490</v>
      </c>
      <c r="AC39" s="58">
        <f t="shared" si="7"/>
        <v>20.145832686099702</v>
      </c>
      <c r="AD39" s="60">
        <f>INT((AC$38+AE39)*100)/100</f>
        <v>17.850000000000001</v>
      </c>
      <c r="AE39" s="58">
        <f>AG$43*AF39</f>
        <v>1.9120000000000006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18.13</v>
      </c>
      <c r="G40" s="470">
        <f t="shared" si="14"/>
        <v>12.51</v>
      </c>
      <c r="H40" s="470"/>
      <c r="I40" s="345"/>
      <c r="J40" s="372">
        <f t="shared" si="15"/>
        <v>0.27999999999999936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8.5122162441883251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39.976294377921178</v>
      </c>
      <c r="AA40" s="58">
        <f>$Z$39</f>
        <v>19.773185916768519</v>
      </c>
      <c r="AB40" s="58">
        <f t="shared" si="6"/>
        <v>500</v>
      </c>
      <c r="AC40" s="58">
        <f t="shared" si="7"/>
        <v>20.203108461152659</v>
      </c>
      <c r="AD40" s="60">
        <f>INT((AC$38+AE40)*100)/100</f>
        <v>18.559999999999999</v>
      </c>
      <c r="AE40" s="58">
        <f>AG$43*AF40</f>
        <v>2.6290000000000009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18.420000000000002</v>
      </c>
      <c r="G41" s="470">
        <f t="shared" si="14"/>
        <v>12.8</v>
      </c>
      <c r="H41" s="470"/>
      <c r="I41" s="345"/>
      <c r="J41" s="372">
        <f t="shared" si="15"/>
        <v>0.29000000000000092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8.5122162441883251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40.032435904333823</v>
      </c>
      <c r="AA41" s="58">
        <f>$Z$39</f>
        <v>19.773185916768519</v>
      </c>
      <c r="AB41" s="58">
        <f t="shared" si="6"/>
        <v>510</v>
      </c>
      <c r="AC41" s="58">
        <f t="shared" si="7"/>
        <v>20.259249987565305</v>
      </c>
      <c r="AD41" s="60">
        <f>INT((AC$38+AE41)*100)/100</f>
        <v>19.28</v>
      </c>
      <c r="AE41" s="58">
        <f>AG$43*AF41</f>
        <v>3.3460000000000005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20.3</v>
      </c>
      <c r="G42" s="470">
        <f t="shared" si="14"/>
        <v>14.68</v>
      </c>
      <c r="H42" s="470"/>
      <c r="I42" s="345"/>
      <c r="J42" s="372">
        <f t="shared" si="15"/>
        <v>1.879999999999999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8.5122162441883251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40.194483119196043</v>
      </c>
      <c r="Z42" s="58">
        <f>Y43-Z43</f>
        <v>19.773185916768519</v>
      </c>
      <c r="AA42" s="58">
        <f>$Z$39</f>
        <v>19.773185916768519</v>
      </c>
      <c r="AB42" s="58">
        <f t="shared" si="6"/>
        <v>540</v>
      </c>
      <c r="AC42" s="58">
        <f t="shared" si="7"/>
        <v>20.421297202427525</v>
      </c>
      <c r="AD42" s="60">
        <f>INT((AC$38+AE42)*100)/100</f>
        <v>20</v>
      </c>
      <c r="AE42" s="58">
        <f>AG$43*AF42</f>
        <v>4.0630000000000006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20.61</v>
      </c>
      <c r="G43" s="470">
        <f t="shared" si="14"/>
        <v>14.99</v>
      </c>
      <c r="H43" s="470"/>
      <c r="I43" s="345"/>
      <c r="J43" s="372">
        <f t="shared" si="15"/>
        <v>0.3100000000000005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8.5122162441883251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40.493185916768518</v>
      </c>
      <c r="Z43" s="58">
        <f>Input!B24</f>
        <v>20.72</v>
      </c>
      <c r="AA43" s="58">
        <f>$Z$39</f>
        <v>19.773185916768519</v>
      </c>
      <c r="AB43" s="58">
        <f t="shared" si="6"/>
        <v>600</v>
      </c>
      <c r="AC43" s="58">
        <f t="shared" si="7"/>
        <v>20.72</v>
      </c>
      <c r="AD43" s="60">
        <f>INT((AC$38+AE43)*100)/100</f>
        <v>20.72</v>
      </c>
      <c r="AE43" s="58">
        <f>AG$43*AF43</f>
        <v>4.7800000000000011</v>
      </c>
      <c r="AF43" s="58">
        <v>1</v>
      </c>
      <c r="AG43" s="58">
        <f>AC43-AC38</f>
        <v>4.7800000000000011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20.93</v>
      </c>
      <c r="G44" s="470">
        <f t="shared" si="14"/>
        <v>15.31</v>
      </c>
      <c r="H44" s="470"/>
      <c r="I44" s="345"/>
      <c r="J44" s="372">
        <f t="shared" si="15"/>
        <v>0.32000000000000028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21.24</v>
      </c>
      <c r="G45" s="470">
        <f t="shared" si="14"/>
        <v>15.62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21.56</v>
      </c>
      <c r="G46" s="470">
        <f t="shared" si="14"/>
        <v>15.94</v>
      </c>
      <c r="H46" s="470"/>
      <c r="I46" s="345"/>
      <c r="J46" s="372">
        <f t="shared" si="15"/>
        <v>0.32000000000000028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23.470000000000002</v>
      </c>
      <c r="G47" s="470">
        <f t="shared" si="14"/>
        <v>17.850000000000001</v>
      </c>
      <c r="H47" s="470"/>
      <c r="I47" s="345"/>
      <c r="J47" s="372">
        <f t="shared" si="15"/>
        <v>1.9100000000000019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24.18</v>
      </c>
      <c r="G48" s="470">
        <f t="shared" si="14"/>
        <v>18.559999999999999</v>
      </c>
      <c r="H48" s="470"/>
      <c r="I48" s="345"/>
      <c r="J48" s="372">
        <f t="shared" si="15"/>
        <v>0.7099999999999973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24.900000000000002</v>
      </c>
      <c r="G49" s="470">
        <f t="shared" si="14"/>
        <v>19.28</v>
      </c>
      <c r="H49" s="470"/>
      <c r="I49" s="345"/>
      <c r="J49" s="372">
        <f t="shared" si="15"/>
        <v>0.72000000000000242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25.62</v>
      </c>
      <c r="G50" s="470">
        <f t="shared" si="14"/>
        <v>20</v>
      </c>
      <c r="H50" s="470"/>
      <c r="I50" s="345"/>
      <c r="J50" s="372">
        <f t="shared" si="15"/>
        <v>0.71999999999999886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26.34</v>
      </c>
      <c r="G51" s="470">
        <f t="shared" si="14"/>
        <v>20.72</v>
      </c>
      <c r="H51" s="470"/>
      <c r="I51" s="345" t="s">
        <v>180</v>
      </c>
      <c r="J51" s="372">
        <f t="shared" si="15"/>
        <v>0.71999999999999886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-3.629433710455114</v>
      </c>
      <c r="N1" s="483" t="s">
        <v>183</v>
      </c>
      <c r="O1" s="483"/>
      <c r="P1" s="70">
        <f>StepTest!G41</f>
        <v>12.8</v>
      </c>
      <c r="Q1" s="71" t="s">
        <v>184</v>
      </c>
      <c r="R1" s="72">
        <f>G35</f>
        <v>16.429433710455115</v>
      </c>
      <c r="S1" s="73">
        <f>D7/2000</f>
        <v>0.1</v>
      </c>
      <c r="T1" s="74">
        <v>6.5971618152618436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23.540000000000003</v>
      </c>
      <c r="T2" s="52">
        <v>44</v>
      </c>
      <c r="U2" s="56">
        <f>B10</f>
        <v>230</v>
      </c>
      <c r="V2" s="56">
        <f>U2</f>
        <v>230</v>
      </c>
      <c r="W2" s="52">
        <f>T1</f>
        <v>6.5971618152618436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14.711618999953439</v>
      </c>
      <c r="AC2" s="58">
        <f>1.6*V2/(4*PI()*W2)*LOG10((2.25*W2*Z2)/(X2*X2*Y2))</f>
        <v>14.711618999953439</v>
      </c>
      <c r="AD2" s="75">
        <v>0</v>
      </c>
      <c r="AE2" s="57">
        <f>AA2</f>
        <v>1</v>
      </c>
      <c r="AF2" s="58">
        <f t="shared" ref="AF2:AF14" si="1">AC2-$P$3-O3</f>
        <v>5.082119965730536</v>
      </c>
      <c r="AG2" s="58">
        <f>AC2</f>
        <v>14.711618999953439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9.6294990342229028</v>
      </c>
      <c r="V3" s="56">
        <f>V2</f>
        <v>230</v>
      </c>
      <c r="W3" s="52">
        <f>W$2</f>
        <v>6.5971618152618436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16.047877837218191</v>
      </c>
      <c r="AC3" s="58">
        <f t="shared" ref="AC3:AC34" si="5">1.6*V3/(4*PI()*W3)*LOG10((2.25*W3*Z3)/(X3*X3*Y3))</f>
        <v>16.047877837218191</v>
      </c>
      <c r="AD3" s="58">
        <f>AB69</f>
        <v>27.549499034222904</v>
      </c>
      <c r="AE3" s="57">
        <f t="shared" ref="AE3:AE66" si="6">AA3</f>
        <v>2</v>
      </c>
      <c r="AF3" s="58">
        <f t="shared" si="1"/>
        <v>6.4183788029952886</v>
      </c>
      <c r="AG3" s="58">
        <f t="shared" ref="AG3:AG16" si="7">AC3</f>
        <v>16.047877837218191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-3.75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6.5971618152618436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16.829539148275327</v>
      </c>
      <c r="AC4" s="58">
        <f>1.6*V4/(4*PI()*W4)*LOG10((2.25*W4*Z4)/(X4*X4*Y4))</f>
        <v>16.829539148275327</v>
      </c>
      <c r="AD4" s="58">
        <f>AC69</f>
        <v>27.549499034222904</v>
      </c>
      <c r="AE4" s="57">
        <f t="shared" si="6"/>
        <v>3</v>
      </c>
      <c r="AF4" s="58">
        <f t="shared" si="1"/>
        <v>7.2000401140524239</v>
      </c>
      <c r="AG4" s="58">
        <f t="shared" si="7"/>
        <v>16.829539148275327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-8.0500000000000007</v>
      </c>
      <c r="N5" s="79"/>
      <c r="O5" s="335"/>
      <c r="P5" s="335"/>
      <c r="V5" s="56">
        <f t="shared" si="8"/>
        <v>230</v>
      </c>
      <c r="W5" s="52">
        <f t="shared" si="9"/>
        <v>6.5971618152618436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17.384136674482946</v>
      </c>
      <c r="AC5" s="58">
        <f t="shared" si="5"/>
        <v>17.384136674482946</v>
      </c>
      <c r="AD5" s="58">
        <f>AF69</f>
        <v>17.920000000000002</v>
      </c>
      <c r="AE5" s="57">
        <f t="shared" si="6"/>
        <v>4</v>
      </c>
      <c r="AF5" s="58">
        <f t="shared" si="1"/>
        <v>7.754637640260043</v>
      </c>
      <c r="AG5" s="58">
        <f t="shared" si="7"/>
        <v>17.384136674482946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-12.58</v>
      </c>
      <c r="N6" s="79"/>
      <c r="O6" s="335"/>
      <c r="P6" s="335"/>
      <c r="V6" s="56">
        <f t="shared" si="8"/>
        <v>230</v>
      </c>
      <c r="W6" s="52">
        <f t="shared" si="9"/>
        <v>6.5971618152618436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17.814315936239986</v>
      </c>
      <c r="AC6" s="58">
        <f t="shared" si="5"/>
        <v>17.814315936239986</v>
      </c>
      <c r="AE6" s="57">
        <f t="shared" si="6"/>
        <v>5</v>
      </c>
      <c r="AF6" s="58">
        <f t="shared" si="1"/>
        <v>8.1848169020170829</v>
      </c>
      <c r="AG6" s="58">
        <f t="shared" si="7"/>
        <v>17.814315936239986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250</v>
      </c>
      <c r="H7" s="165"/>
      <c r="I7" s="165"/>
      <c r="J7" s="166"/>
      <c r="M7" s="59">
        <f t="shared" si="2"/>
        <v>-17.239999999999998</v>
      </c>
      <c r="N7" s="79"/>
      <c r="O7" s="335"/>
      <c r="P7" s="335"/>
      <c r="V7" s="56">
        <f t="shared" si="8"/>
        <v>230</v>
      </c>
      <c r="W7" s="52">
        <f t="shared" si="9"/>
        <v>6.5971618152618436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19.15057477350474</v>
      </c>
      <c r="AC7" s="58">
        <f t="shared" si="5"/>
        <v>19.15057477350474</v>
      </c>
      <c r="AE7" s="57">
        <f t="shared" si="6"/>
        <v>10</v>
      </c>
      <c r="AF7" s="58">
        <f t="shared" si="1"/>
        <v>9.5210757392818373</v>
      </c>
      <c r="AG7" s="58">
        <f t="shared" si="7"/>
        <v>19.15057477350474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5.62</v>
      </c>
      <c r="E8" s="176"/>
      <c r="F8" s="177" t="s">
        <v>189</v>
      </c>
      <c r="G8" s="181">
        <f>F77</f>
        <v>23.540000000000003</v>
      </c>
      <c r="H8" s="173">
        <f>Input!C40</f>
        <v>230</v>
      </c>
      <c r="I8" s="173"/>
      <c r="J8" s="163"/>
      <c r="K8" s="374">
        <f>Input!M50</f>
        <v>17.919999999999998</v>
      </c>
      <c r="L8" s="415">
        <f>G10-K11</f>
        <v>3.7458611284657835</v>
      </c>
      <c r="M8" s="59">
        <f t="shared" si="2"/>
        <v>-41.32</v>
      </c>
      <c r="N8" s="79"/>
      <c r="O8" s="335"/>
      <c r="P8" s="335"/>
      <c r="V8" s="56">
        <f t="shared" si="8"/>
        <v>230</v>
      </c>
      <c r="W8" s="52">
        <f t="shared" si="9"/>
        <v>6.5971618152618436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19.932236084561872</v>
      </c>
      <c r="AC8" s="58">
        <f t="shared" si="5"/>
        <v>19.932236084561872</v>
      </c>
      <c r="AE8" s="57">
        <f t="shared" si="6"/>
        <v>15</v>
      </c>
      <c r="AF8" s="58">
        <f t="shared" si="1"/>
        <v>10.302737050338969</v>
      </c>
      <c r="AG8" s="58">
        <f t="shared" si="7"/>
        <v>19.932236084561872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17.920000000000002</v>
      </c>
      <c r="M9" s="59">
        <f t="shared" si="2"/>
        <v>-65.959999999999994</v>
      </c>
      <c r="N9" s="79"/>
      <c r="O9" s="335"/>
      <c r="P9" s="335"/>
      <c r="V9" s="56">
        <f t="shared" si="8"/>
        <v>230</v>
      </c>
      <c r="W9" s="52">
        <f t="shared" si="9"/>
        <v>6.5971618152618436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20.486833610769491</v>
      </c>
      <c r="AC9" s="58">
        <f t="shared" si="5"/>
        <v>20.486833610769491</v>
      </c>
      <c r="AE9" s="57">
        <f t="shared" si="6"/>
        <v>20</v>
      </c>
      <c r="AF9" s="58">
        <f t="shared" si="1"/>
        <v>10.857334576546588</v>
      </c>
      <c r="AG9" s="58">
        <f t="shared" si="7"/>
        <v>20.486833610769491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10.702119965730535</v>
      </c>
      <c r="G10" s="188">
        <f>AF2</f>
        <v>5.082119965730536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-90.83</v>
      </c>
      <c r="N10" s="79"/>
      <c r="O10" s="335"/>
      <c r="P10" s="335"/>
      <c r="V10" s="56">
        <f t="shared" si="8"/>
        <v>230</v>
      </c>
      <c r="W10" s="52">
        <f t="shared" si="9"/>
        <v>6.5971618152618436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20.917012872526538</v>
      </c>
      <c r="AC10" s="58">
        <f t="shared" si="5"/>
        <v>20.917012872526538</v>
      </c>
      <c r="AE10" s="57">
        <f t="shared" si="6"/>
        <v>25</v>
      </c>
      <c r="AF10" s="58">
        <f t="shared" si="1"/>
        <v>11.287513838303635</v>
      </c>
      <c r="AG10" s="58">
        <f t="shared" si="7"/>
        <v>20.917012872526538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12.03837880299529</v>
      </c>
      <c r="G11" s="187">
        <f>AF3</f>
        <v>6.4183788029952886</v>
      </c>
      <c r="H11" s="189"/>
      <c r="I11" s="189"/>
      <c r="J11" s="189"/>
      <c r="K11" s="81">
        <f>G11-G10</f>
        <v>1.3362588372647526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6.5971618152618436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21.268494921826626</v>
      </c>
      <c r="AC11" s="58">
        <f t="shared" si="5"/>
        <v>21.268494921826626</v>
      </c>
      <c r="AE11" s="57">
        <f t="shared" si="6"/>
        <v>30</v>
      </c>
      <c r="AF11" s="58">
        <f t="shared" si="1"/>
        <v>11.638995887603723</v>
      </c>
      <c r="AG11" s="58">
        <f t="shared" si="7"/>
        <v>21.268494921826626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12.820040114052425</v>
      </c>
      <c r="G12" s="187">
        <f t="shared" ref="G12:G74" si="14">AF4</f>
        <v>7.2000401140524239</v>
      </c>
      <c r="H12" s="189"/>
      <c r="I12" s="189"/>
      <c r="J12" s="189"/>
      <c r="K12" s="81">
        <f t="shared" ref="K12:K47" si="15">G12-G11</f>
        <v>0.78166131105713532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6.5971618152618436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21.565668760178159</v>
      </c>
      <c r="AC12" s="58">
        <f t="shared" si="5"/>
        <v>21.565668760178159</v>
      </c>
      <c r="AE12" s="57">
        <f t="shared" si="6"/>
        <v>35</v>
      </c>
      <c r="AF12" s="58">
        <f t="shared" si="1"/>
        <v>11.936169725955256</v>
      </c>
      <c r="AG12" s="58">
        <f t="shared" si="7"/>
        <v>21.565668760178159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13.374637640260044</v>
      </c>
      <c r="G13" s="187">
        <f t="shared" si="14"/>
        <v>7.754637640260043</v>
      </c>
      <c r="H13" s="189"/>
      <c r="I13" s="189"/>
      <c r="J13" s="189"/>
      <c r="K13" s="81">
        <f t="shared" si="15"/>
        <v>0.55459752620761904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6.5971618152618436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21.823092448034245</v>
      </c>
      <c r="AC13" s="58">
        <f t="shared" si="5"/>
        <v>21.823092448034245</v>
      </c>
      <c r="AE13" s="57">
        <f t="shared" si="6"/>
        <v>40</v>
      </c>
      <c r="AF13" s="58">
        <f t="shared" si="1"/>
        <v>12.193593413811342</v>
      </c>
      <c r="AG13" s="58">
        <f t="shared" si="7"/>
        <v>21.823092448034245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13.804816902017084</v>
      </c>
      <c r="G14" s="187">
        <f t="shared" si="14"/>
        <v>8.1848169020170829</v>
      </c>
      <c r="H14" s="189"/>
      <c r="I14" s="189"/>
      <c r="J14" s="189"/>
      <c r="K14" s="81">
        <f t="shared" si="15"/>
        <v>0.43017926175703991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6.5971618152618436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22.050156232883761</v>
      </c>
      <c r="AC14" s="58">
        <f t="shared" si="5"/>
        <v>22.050156232883761</v>
      </c>
      <c r="AE14" s="57">
        <f t="shared" si="6"/>
        <v>45</v>
      </c>
      <c r="AF14" s="58">
        <f t="shared" si="1"/>
        <v>12.420657198660859</v>
      </c>
      <c r="AG14" s="58">
        <f t="shared" si="7"/>
        <v>22.050156232883761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15.141075739281838</v>
      </c>
      <c r="G15" s="187">
        <f t="shared" si="14"/>
        <v>9.5210757392818373</v>
      </c>
      <c r="H15" s="189"/>
      <c r="I15" s="189"/>
      <c r="J15" s="189"/>
      <c r="K15" s="81">
        <f t="shared" si="15"/>
        <v>1.3362588372647544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6.5971618152618436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22.253271709791292</v>
      </c>
      <c r="AC15" s="58">
        <f t="shared" si="5"/>
        <v>22.253271709791292</v>
      </c>
      <c r="AE15" s="57">
        <f t="shared" si="6"/>
        <v>50</v>
      </c>
      <c r="AF15" s="58">
        <f>AC15-$P$3</f>
        <v>12.623772675568389</v>
      </c>
      <c r="AG15" s="58">
        <f t="shared" si="7"/>
        <v>22.253271709791292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15.92273705033897</v>
      </c>
      <c r="G16" s="187">
        <f t="shared" si="14"/>
        <v>10.302737050338969</v>
      </c>
      <c r="H16" s="189"/>
      <c r="I16" s="189"/>
      <c r="J16" s="189"/>
      <c r="K16" s="81">
        <f t="shared" si="15"/>
        <v>0.78166131105713177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6.5971618152618436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22.437012008557183</v>
      </c>
      <c r="AC16" s="58">
        <f t="shared" si="5"/>
        <v>22.437012008557183</v>
      </c>
      <c r="AE16" s="57">
        <f t="shared" si="6"/>
        <v>55</v>
      </c>
      <c r="AF16" s="58">
        <f>AC16-$P$3</f>
        <v>12.80751297433428</v>
      </c>
      <c r="AG16" s="58">
        <f t="shared" si="7"/>
        <v>22.437012008557183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16.477334576546589</v>
      </c>
      <c r="G17" s="187">
        <f t="shared" si="14"/>
        <v>10.857334576546588</v>
      </c>
      <c r="H17" s="189"/>
      <c r="I17" s="189"/>
      <c r="J17" s="189"/>
      <c r="K17" s="81">
        <f t="shared" si="15"/>
        <v>0.55459752620761904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6.5971618152618436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22.604753759091377</v>
      </c>
      <c r="AC17" s="58">
        <f t="shared" si="5"/>
        <v>22.604753759091377</v>
      </c>
      <c r="AE17" s="57">
        <f t="shared" si="6"/>
        <v>60</v>
      </c>
      <c r="AF17" s="58">
        <f>AC17-$P$3</f>
        <v>12.975254724868474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16.907513838303636</v>
      </c>
      <c r="G18" s="187">
        <f t="shared" si="14"/>
        <v>11.287513838303635</v>
      </c>
      <c r="H18" s="189"/>
      <c r="I18" s="189"/>
      <c r="J18" s="189"/>
      <c r="K18" s="81">
        <f t="shared" si="15"/>
        <v>0.43017926175704702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-3.75</v>
      </c>
      <c r="V18" s="56">
        <f t="shared" si="8"/>
        <v>230</v>
      </c>
      <c r="W18" s="52">
        <f t="shared" si="9"/>
        <v>6.5971618152618436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23.03493302084842</v>
      </c>
      <c r="AC18" s="58">
        <f t="shared" si="5"/>
        <v>23.03493302084842</v>
      </c>
      <c r="AE18" s="57">
        <f t="shared" si="6"/>
        <v>75</v>
      </c>
      <c r="AF18" s="58">
        <f>AC18-$P$3</f>
        <v>13.405433986625518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17.258995887603724</v>
      </c>
      <c r="G19" s="187">
        <f t="shared" si="14"/>
        <v>11.638995887603723</v>
      </c>
      <c r="H19" s="189"/>
      <c r="I19" s="189"/>
      <c r="J19" s="189"/>
      <c r="K19" s="81">
        <f t="shared" si="15"/>
        <v>0.35148204930008831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-8.0500000000000007</v>
      </c>
      <c r="V19" s="56">
        <f t="shared" si="8"/>
        <v>230</v>
      </c>
      <c r="W19" s="52">
        <f t="shared" si="9"/>
        <v>6.5971618152618436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23.386415070148512</v>
      </c>
      <c r="AC19" s="58">
        <f t="shared" si="5"/>
        <v>23.386415070148512</v>
      </c>
      <c r="AE19" s="57">
        <f t="shared" si="6"/>
        <v>90</v>
      </c>
      <c r="AF19" s="58">
        <f>AC19-$P$3</f>
        <v>13.75691603592561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17.556169725955257</v>
      </c>
      <c r="G20" s="187">
        <f t="shared" si="14"/>
        <v>11.936169725955256</v>
      </c>
      <c r="H20" s="189"/>
      <c r="I20" s="189"/>
      <c r="J20" s="189"/>
      <c r="K20" s="81">
        <f t="shared" si="15"/>
        <v>0.29717383835153299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-12.58</v>
      </c>
      <c r="V20" s="56">
        <f t="shared" si="8"/>
        <v>230</v>
      </c>
      <c r="W20" s="52">
        <f t="shared" si="9"/>
        <v>6.5971618152618436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23.683588908500049</v>
      </c>
      <c r="AC20" s="58">
        <f t="shared" si="5"/>
        <v>23.683588908500049</v>
      </c>
      <c r="AE20" s="57">
        <f t="shared" si="6"/>
        <v>105</v>
      </c>
      <c r="AF20" s="58">
        <f t="shared" ref="AF20:AF69" si="20">AC20-$P$3</f>
        <v>14.054089874277146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17.813593413811343</v>
      </c>
      <c r="G21" s="187">
        <f t="shared" si="14"/>
        <v>12.193593413811342</v>
      </c>
      <c r="H21" s="189"/>
      <c r="I21" s="189"/>
      <c r="J21" s="189"/>
      <c r="K21" s="81">
        <f t="shared" si="15"/>
        <v>0.25742368785608605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-17.239999999999998</v>
      </c>
      <c r="V21" s="56">
        <f t="shared" si="8"/>
        <v>230</v>
      </c>
      <c r="W21" s="52">
        <f t="shared" si="9"/>
        <v>6.5971618152618436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23.941012596356131</v>
      </c>
      <c r="AC21" s="58">
        <f t="shared" si="5"/>
        <v>23.941012596356131</v>
      </c>
      <c r="AE21" s="57">
        <f t="shared" si="6"/>
        <v>120</v>
      </c>
      <c r="AF21" s="58">
        <f t="shared" si="20"/>
        <v>14.311513562133229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18.04065719866086</v>
      </c>
      <c r="G22" s="187">
        <f t="shared" si="14"/>
        <v>12.420657198660859</v>
      </c>
      <c r="H22" s="189"/>
      <c r="I22" s="189"/>
      <c r="J22" s="189"/>
      <c r="K22" s="81">
        <f t="shared" si="15"/>
        <v>0.22706378484951628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-41.32</v>
      </c>
      <c r="V22" s="56">
        <f t="shared" si="8"/>
        <v>230</v>
      </c>
      <c r="W22" s="52">
        <f t="shared" si="9"/>
        <v>6.5971618152618436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24.238186434707664</v>
      </c>
      <c r="AC22" s="58">
        <f t="shared" si="5"/>
        <v>24.238186434707664</v>
      </c>
      <c r="AE22" s="57">
        <f t="shared" si="6"/>
        <v>140</v>
      </c>
      <c r="AF22" s="58">
        <f t="shared" si="20"/>
        <v>14.608687400484762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18.24377267556839</v>
      </c>
      <c r="G23" s="187">
        <f t="shared" si="14"/>
        <v>12.623772675568389</v>
      </c>
      <c r="H23" s="189"/>
      <c r="I23" s="189"/>
      <c r="J23" s="189"/>
      <c r="K23" s="81">
        <f t="shared" si="15"/>
        <v>0.20311547690753073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-65.959999999999994</v>
      </c>
      <c r="V23" s="56">
        <f t="shared" si="8"/>
        <v>230</v>
      </c>
      <c r="W23" s="52">
        <f t="shared" si="9"/>
        <v>6.5971618152618436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24.49561012256375</v>
      </c>
      <c r="AC23" s="58">
        <f t="shared" si="5"/>
        <v>24.49561012256375</v>
      </c>
      <c r="AE23" s="57">
        <f t="shared" si="6"/>
        <v>160</v>
      </c>
      <c r="AF23" s="58">
        <f t="shared" si="20"/>
        <v>14.866111088340848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18.427512974334281</v>
      </c>
      <c r="G24" s="187">
        <f t="shared" si="14"/>
        <v>12.80751297433428</v>
      </c>
      <c r="H24" s="189"/>
      <c r="I24" s="189"/>
      <c r="J24" s="189"/>
      <c r="K24" s="81">
        <f t="shared" si="15"/>
        <v>0.18374029876589049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-90.83</v>
      </c>
      <c r="V24" s="56">
        <f t="shared" si="8"/>
        <v>230</v>
      </c>
      <c r="W24" s="52">
        <f t="shared" si="9"/>
        <v>6.5971618152618436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24.722673907413267</v>
      </c>
      <c r="AC24" s="58">
        <f t="shared" si="5"/>
        <v>24.722673907413267</v>
      </c>
      <c r="AE24" s="57">
        <f t="shared" si="6"/>
        <v>180</v>
      </c>
      <c r="AF24" s="58">
        <f t="shared" si="20"/>
        <v>15.093174873190364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18.595254724868475</v>
      </c>
      <c r="G25" s="187">
        <f t="shared" si="14"/>
        <v>12.975254724868474</v>
      </c>
      <c r="H25" s="189"/>
      <c r="I25" s="189"/>
      <c r="J25" s="189"/>
      <c r="K25" s="81">
        <f t="shared" si="15"/>
        <v>0.16774175053419427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-115.82</v>
      </c>
      <c r="V25" s="56">
        <f t="shared" si="8"/>
        <v>230</v>
      </c>
      <c r="W25" s="52">
        <f t="shared" si="9"/>
        <v>6.5971618152618436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25.277271433620886</v>
      </c>
      <c r="AC25" s="58">
        <f t="shared" si="5"/>
        <v>25.277271433620886</v>
      </c>
      <c r="AE25" s="57">
        <f t="shared" si="6"/>
        <v>240</v>
      </c>
      <c r="AF25" s="58">
        <f t="shared" si="20"/>
        <v>15.647772399397983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19.025433986625519</v>
      </c>
      <c r="G26" s="187">
        <f t="shared" si="14"/>
        <v>13.405433986625518</v>
      </c>
      <c r="H26" s="189"/>
      <c r="I26" s="189"/>
      <c r="J26" s="189"/>
      <c r="K26" s="81">
        <f t="shared" si="15"/>
        <v>0.43017926175704346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-140.9</v>
      </c>
      <c r="V26" s="56">
        <f t="shared" si="8"/>
        <v>230</v>
      </c>
      <c r="W26" s="52">
        <f t="shared" si="9"/>
        <v>6.5971618152618436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25.707450695377926</v>
      </c>
      <c r="AC26" s="58">
        <f t="shared" si="5"/>
        <v>25.707450695377926</v>
      </c>
      <c r="AE26" s="57">
        <f t="shared" si="6"/>
        <v>300</v>
      </c>
      <c r="AF26" s="58">
        <f t="shared" si="20"/>
        <v>16.077951661155023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19.376916035925611</v>
      </c>
      <c r="G27" s="187">
        <f t="shared" si="14"/>
        <v>13.75691603592561</v>
      </c>
      <c r="H27" s="189"/>
      <c r="I27" s="189"/>
      <c r="J27" s="189"/>
      <c r="K27" s="81">
        <f t="shared" si="15"/>
        <v>0.35148204930009186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-166.02</v>
      </c>
      <c r="V27" s="56">
        <f t="shared" si="8"/>
        <v>230</v>
      </c>
      <c r="W27" s="52">
        <f t="shared" si="9"/>
        <v>6.5971618152618436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26.058932744678017</v>
      </c>
      <c r="AC27" s="58">
        <f t="shared" si="5"/>
        <v>26.058932744678017</v>
      </c>
      <c r="AE27" s="57">
        <f t="shared" si="6"/>
        <v>360</v>
      </c>
      <c r="AF27" s="58">
        <f t="shared" si="20"/>
        <v>16.429433710455115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19.674089874277147</v>
      </c>
      <c r="G28" s="187">
        <f t="shared" si="14"/>
        <v>14.054089874277146</v>
      </c>
      <c r="H28" s="189"/>
      <c r="I28" s="189"/>
      <c r="J28" s="189"/>
      <c r="K28" s="81">
        <f t="shared" si="15"/>
        <v>0.29717383835153655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-191.18</v>
      </c>
      <c r="S28"/>
      <c r="V28" s="56">
        <f t="shared" si="8"/>
        <v>230</v>
      </c>
      <c r="W28" s="52">
        <f t="shared" si="9"/>
        <v>6.5971618152618436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26.356106583029554</v>
      </c>
      <c r="AC28" s="58">
        <f t="shared" si="5"/>
        <v>26.356106583029554</v>
      </c>
      <c r="AE28" s="57">
        <f t="shared" si="6"/>
        <v>420</v>
      </c>
      <c r="AF28" s="58">
        <f t="shared" si="20"/>
        <v>16.726607548806651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19.93151356213323</v>
      </c>
      <c r="G29" s="187">
        <f t="shared" si="14"/>
        <v>14.311513562133229</v>
      </c>
      <c r="H29" s="189"/>
      <c r="I29" s="189"/>
      <c r="J29" s="189"/>
      <c r="K29" s="81">
        <f t="shared" si="15"/>
        <v>0.25742368785608249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-216.37</v>
      </c>
      <c r="V29" s="56">
        <f t="shared" si="8"/>
        <v>230</v>
      </c>
      <c r="W29" s="52">
        <f t="shared" si="9"/>
        <v>6.5971618152618436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26.613530270885636</v>
      </c>
      <c r="AC29" s="58">
        <f t="shared" si="5"/>
        <v>26.613530270885636</v>
      </c>
      <c r="AE29" s="57">
        <f t="shared" si="6"/>
        <v>480</v>
      </c>
      <c r="AF29" s="58">
        <f t="shared" si="20"/>
        <v>16.984031236662734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20.228687400484763</v>
      </c>
      <c r="G30" s="187">
        <f t="shared" si="14"/>
        <v>14.608687400484762</v>
      </c>
      <c r="H30" s="189"/>
      <c r="I30" s="189"/>
      <c r="J30" s="189"/>
      <c r="K30" s="81">
        <f t="shared" si="15"/>
        <v>0.29717383835153299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-241.59</v>
      </c>
      <c r="V30" s="56">
        <f t="shared" si="8"/>
        <v>230</v>
      </c>
      <c r="W30" s="52">
        <f t="shared" si="9"/>
        <v>6.5971618152618436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26.840594055735153</v>
      </c>
      <c r="AC30" s="58">
        <f t="shared" si="5"/>
        <v>26.840594055735153</v>
      </c>
      <c r="AE30" s="57">
        <f t="shared" si="6"/>
        <v>540</v>
      </c>
      <c r="AF30" s="58">
        <f t="shared" si="20"/>
        <v>17.21109502151225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20.486111088340849</v>
      </c>
      <c r="G31" s="187">
        <f t="shared" si="14"/>
        <v>14.866111088340848</v>
      </c>
      <c r="H31" s="189"/>
      <c r="I31" s="189"/>
      <c r="J31" s="189"/>
      <c r="K31" s="81">
        <f t="shared" si="15"/>
        <v>0.25742368785608605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-266.83999999999997</v>
      </c>
      <c r="V31" s="56">
        <f t="shared" si="8"/>
        <v>230</v>
      </c>
      <c r="W31" s="52">
        <f t="shared" si="9"/>
        <v>6.5971618152618436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27.04370953264268</v>
      </c>
      <c r="AC31" s="58">
        <f t="shared" si="5"/>
        <v>27.04370953264268</v>
      </c>
      <c r="AE31" s="57">
        <f t="shared" si="6"/>
        <v>600</v>
      </c>
      <c r="AF31" s="58">
        <f t="shared" si="20"/>
        <v>17.414210498419777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20.713174873190365</v>
      </c>
      <c r="G32" s="187">
        <f t="shared" si="14"/>
        <v>15.093174873190364</v>
      </c>
      <c r="H32" s="189"/>
      <c r="I32" s="189"/>
      <c r="J32" s="189"/>
      <c r="K32" s="81">
        <f t="shared" si="15"/>
        <v>0.22706378484951628</v>
      </c>
      <c r="L32" s="83" t="s">
        <v>21</v>
      </c>
      <c r="O32" s="85"/>
      <c r="V32" s="56">
        <f t="shared" si="8"/>
        <v>230</v>
      </c>
      <c r="W32" s="52">
        <f t="shared" si="9"/>
        <v>6.5971618152618436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27.227449831408574</v>
      </c>
      <c r="AC32" s="58">
        <f t="shared" si="5"/>
        <v>27.227449831408574</v>
      </c>
      <c r="AE32" s="57">
        <f t="shared" si="6"/>
        <v>660</v>
      </c>
      <c r="AF32" s="58">
        <f t="shared" si="20"/>
        <v>17.597950797185671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21.267772399397984</v>
      </c>
      <c r="G33" s="187">
        <f t="shared" si="14"/>
        <v>15.647772399397983</v>
      </c>
      <c r="H33" s="189"/>
      <c r="I33" s="189"/>
      <c r="J33" s="189"/>
      <c r="K33" s="81">
        <f t="shared" si="15"/>
        <v>0.55459752620761904</v>
      </c>
      <c r="L33" s="76" t="s">
        <v>21</v>
      </c>
      <c r="O33" s="85"/>
      <c r="V33" s="56">
        <f t="shared" si="8"/>
        <v>230</v>
      </c>
      <c r="W33" s="52">
        <f t="shared" si="9"/>
        <v>6.5971618152618436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27.395191581942772</v>
      </c>
      <c r="AC33" s="58">
        <f t="shared" si="5"/>
        <v>27.395191581942772</v>
      </c>
      <c r="AE33" s="57">
        <f t="shared" si="6"/>
        <v>720</v>
      </c>
      <c r="AF33" s="58">
        <f t="shared" si="20"/>
        <v>17.765692547719869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21.697951661155024</v>
      </c>
      <c r="G34" s="187">
        <f t="shared" si="14"/>
        <v>16.077951661155023</v>
      </c>
      <c r="H34" s="189"/>
      <c r="I34" s="189"/>
      <c r="J34" s="189"/>
      <c r="K34" s="81">
        <f t="shared" si="15"/>
        <v>0.43017926175703991</v>
      </c>
      <c r="L34" s="76" t="s">
        <v>21</v>
      </c>
      <c r="P34" s="85"/>
      <c r="V34" s="56">
        <f t="shared" si="8"/>
        <v>230</v>
      </c>
      <c r="W34" s="52">
        <f t="shared" si="9"/>
        <v>6.5971618152618436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27.549499034222904</v>
      </c>
      <c r="AC34" s="58">
        <f t="shared" si="5"/>
        <v>27.549499034222904</v>
      </c>
      <c r="AE34" s="57">
        <f t="shared" si="6"/>
        <v>780</v>
      </c>
      <c r="AF34" s="58">
        <f t="shared" si="20"/>
        <v>17.920000000000002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22.049433710455116</v>
      </c>
      <c r="G35" s="187">
        <f t="shared" si="14"/>
        <v>16.429433710455115</v>
      </c>
      <c r="H35" s="189"/>
      <c r="I35" s="189"/>
      <c r="J35" s="189"/>
      <c r="K35" s="81">
        <f t="shared" si="15"/>
        <v>0.35148204930009186</v>
      </c>
      <c r="L35" s="76" t="s">
        <v>21</v>
      </c>
      <c r="O35" s="85"/>
      <c r="V35" s="56">
        <f t="shared" si="8"/>
        <v>230</v>
      </c>
      <c r="W35" s="52">
        <f t="shared" si="9"/>
        <v>6.5971618152618436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27.549499034222904</v>
      </c>
      <c r="AC35" s="58">
        <f t="shared" ref="AC35:AC38" si="24">AC34</f>
        <v>27.549499034222904</v>
      </c>
      <c r="AE35" s="57">
        <f t="shared" si="6"/>
        <v>840</v>
      </c>
      <c r="AF35" s="58">
        <f t="shared" si="20"/>
        <v>17.920000000000002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22.346607548806652</v>
      </c>
      <c r="G36" s="187">
        <f t="shared" si="14"/>
        <v>16.726607548806651</v>
      </c>
      <c r="H36" s="189"/>
      <c r="I36" s="189"/>
      <c r="J36" s="189"/>
      <c r="K36" s="81">
        <f t="shared" si="15"/>
        <v>0.29717383835153655</v>
      </c>
      <c r="L36" s="76" t="s">
        <v>21</v>
      </c>
      <c r="V36" s="56">
        <f t="shared" si="8"/>
        <v>230</v>
      </c>
      <c r="W36" s="52">
        <f t="shared" si="9"/>
        <v>6.5971618152618436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27.549499034222904</v>
      </c>
      <c r="AC36" s="58">
        <f t="shared" si="24"/>
        <v>27.549499034222904</v>
      </c>
      <c r="AE36" s="57">
        <f t="shared" si="6"/>
        <v>900</v>
      </c>
      <c r="AF36" s="58">
        <f t="shared" si="20"/>
        <v>17.920000000000002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22.604031236662735</v>
      </c>
      <c r="G37" s="187">
        <f t="shared" si="14"/>
        <v>16.984031236662734</v>
      </c>
      <c r="H37" s="189"/>
      <c r="I37" s="189"/>
      <c r="J37" s="189"/>
      <c r="K37" s="81">
        <f t="shared" si="15"/>
        <v>0.25742368785608249</v>
      </c>
      <c r="L37" s="76" t="s">
        <v>21</v>
      </c>
      <c r="V37" s="56">
        <f t="shared" si="8"/>
        <v>230</v>
      </c>
      <c r="W37" s="52">
        <f t="shared" si="9"/>
        <v>6.5971618152618436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27.549499034222904</v>
      </c>
      <c r="AC37" s="58">
        <f t="shared" si="24"/>
        <v>27.549499034222904</v>
      </c>
      <c r="AD37" s="52">
        <v>37</v>
      </c>
      <c r="AE37" s="57">
        <f t="shared" si="6"/>
        <v>960</v>
      </c>
      <c r="AF37" s="58">
        <f t="shared" si="20"/>
        <v>17.920000000000002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22.831095021512251</v>
      </c>
      <c r="G38" s="187">
        <f t="shared" si="14"/>
        <v>17.21109502151225</v>
      </c>
      <c r="H38" s="189"/>
      <c r="I38" s="189"/>
      <c r="J38" s="189"/>
      <c r="K38" s="81">
        <f t="shared" si="15"/>
        <v>0.22706378484951628</v>
      </c>
      <c r="L38" s="76" t="s">
        <v>21</v>
      </c>
      <c r="V38" s="56">
        <f t="shared" si="8"/>
        <v>230</v>
      </c>
      <c r="W38" s="52">
        <f t="shared" si="9"/>
        <v>6.5971618152618436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27.549499034222904</v>
      </c>
      <c r="AC38" s="58">
        <f t="shared" si="24"/>
        <v>27.549499034222904</v>
      </c>
      <c r="AD38" s="53" t="s">
        <v>40</v>
      </c>
      <c r="AE38" s="57">
        <f t="shared" si="6"/>
        <v>1020</v>
      </c>
      <c r="AF38" s="58">
        <f t="shared" si="20"/>
        <v>17.920000000000002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23.034210498419778</v>
      </c>
      <c r="G39" s="187">
        <f t="shared" si="14"/>
        <v>17.414210498419777</v>
      </c>
      <c r="H39" s="189"/>
      <c r="I39" s="189"/>
      <c r="J39" s="189"/>
      <c r="K39" s="81">
        <f t="shared" si="15"/>
        <v>0.20311547690752718</v>
      </c>
      <c r="L39" s="76" t="s">
        <v>21</v>
      </c>
      <c r="V39" s="56">
        <f t="shared" si="8"/>
        <v>230</v>
      </c>
      <c r="W39" s="52">
        <f t="shared" si="9"/>
        <v>6.5971618152618436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27.549499034222904</v>
      </c>
      <c r="AC39" s="58">
        <f t="shared" ref="AC39:AC40" si="25">AC38</f>
        <v>27.549499034222904</v>
      </c>
      <c r="AD39" s="86">
        <v>39</v>
      </c>
      <c r="AE39" s="57">
        <f t="shared" si="6"/>
        <v>1080</v>
      </c>
      <c r="AF39" s="58">
        <f t="shared" si="20"/>
        <v>17.920000000000002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23.217950797185672</v>
      </c>
      <c r="G40" s="187">
        <f t="shared" si="14"/>
        <v>17.597950797185671</v>
      </c>
      <c r="H40" s="189"/>
      <c r="I40" s="189"/>
      <c r="J40" s="189"/>
      <c r="K40" s="81">
        <f t="shared" si="15"/>
        <v>0.18374029876589404</v>
      </c>
      <c r="L40" s="76" t="s">
        <v>21</v>
      </c>
      <c r="V40" s="56">
        <f t="shared" si="8"/>
        <v>230</v>
      </c>
      <c r="W40" s="52">
        <f t="shared" si="9"/>
        <v>6.5971618152618436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27.549499034222904</v>
      </c>
      <c r="AC40" s="58">
        <f t="shared" si="25"/>
        <v>27.549499034222904</v>
      </c>
      <c r="AD40" s="86">
        <v>40</v>
      </c>
      <c r="AE40" s="57">
        <f t="shared" si="6"/>
        <v>1140</v>
      </c>
      <c r="AF40" s="58">
        <f t="shared" si="20"/>
        <v>17.920000000000002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23.38569254771987</v>
      </c>
      <c r="G41" s="187">
        <f t="shared" si="14"/>
        <v>17.765692547719869</v>
      </c>
      <c r="H41" s="189"/>
      <c r="I41" s="189"/>
      <c r="J41" s="189"/>
      <c r="K41" s="81">
        <f t="shared" si="15"/>
        <v>0.16774175053419782</v>
      </c>
      <c r="L41" s="76" t="s">
        <v>21</v>
      </c>
      <c r="V41" s="87">
        <f t="shared" si="8"/>
        <v>230</v>
      </c>
      <c r="W41" s="88">
        <f t="shared" si="9"/>
        <v>6.5971618152618436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27.549499034222904</v>
      </c>
      <c r="AC41" s="58">
        <f t="shared" ref="AC41:AC46" si="26">AC40</f>
        <v>27.549499034222904</v>
      </c>
      <c r="AD41" s="91">
        <v>41</v>
      </c>
      <c r="AE41" s="57">
        <f t="shared" si="6"/>
        <v>1200</v>
      </c>
      <c r="AF41" s="58">
        <f t="shared" si="20"/>
        <v>17.920000000000002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23.540000000000003</v>
      </c>
      <c r="G42" s="187">
        <f t="shared" si="14"/>
        <v>17.920000000000002</v>
      </c>
      <c r="H42" s="189"/>
      <c r="I42" s="189"/>
      <c r="J42" s="189"/>
      <c r="K42" s="81">
        <f t="shared" si="15"/>
        <v>0.15430745228013265</v>
      </c>
      <c r="L42" s="76" t="s">
        <v>21</v>
      </c>
      <c r="V42" s="56">
        <f t="shared" si="8"/>
        <v>230</v>
      </c>
      <c r="W42" s="52">
        <f t="shared" si="9"/>
        <v>6.5971618152618436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27.549499034222904</v>
      </c>
      <c r="AC42" s="58">
        <f t="shared" si="26"/>
        <v>27.549499034222904</v>
      </c>
      <c r="AD42" s="86">
        <v>42</v>
      </c>
      <c r="AE42" s="57">
        <f t="shared" si="6"/>
        <v>1260</v>
      </c>
      <c r="AF42" s="58">
        <f t="shared" si="20"/>
        <v>17.920000000000002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23.540000000000003</v>
      </c>
      <c r="G43" s="187">
        <f t="shared" si="14"/>
        <v>17.920000000000002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6.5971618152618436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27.549499034222904</v>
      </c>
      <c r="AC43" s="58">
        <f t="shared" si="26"/>
        <v>27.549499034222904</v>
      </c>
      <c r="AD43" s="91">
        <v>43</v>
      </c>
      <c r="AE43" s="57">
        <f t="shared" si="6"/>
        <v>1320</v>
      </c>
      <c r="AF43" s="58">
        <f t="shared" si="20"/>
        <v>17.920000000000002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23.540000000000003</v>
      </c>
      <c r="G44" s="187">
        <f t="shared" si="14"/>
        <v>17.920000000000002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6.5971618152618436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27.549499034222904</v>
      </c>
      <c r="AC44" s="58">
        <f t="shared" si="26"/>
        <v>27.549499034222904</v>
      </c>
      <c r="AD44" s="86">
        <v>44</v>
      </c>
      <c r="AE44" s="57">
        <f t="shared" si="6"/>
        <v>1380</v>
      </c>
      <c r="AF44" s="58">
        <f t="shared" si="20"/>
        <v>17.920000000000002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23.540000000000003</v>
      </c>
      <c r="G45" s="187">
        <f t="shared" si="14"/>
        <v>17.920000000000002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6.5971618152618436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27.549499034222904</v>
      </c>
      <c r="AC45" s="58">
        <f t="shared" si="26"/>
        <v>27.549499034222904</v>
      </c>
      <c r="AD45" s="91">
        <v>45</v>
      </c>
      <c r="AE45" s="57">
        <f t="shared" si="6"/>
        <v>1440</v>
      </c>
      <c r="AF45" s="58">
        <f t="shared" si="20"/>
        <v>17.920000000000002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23.540000000000003</v>
      </c>
      <c r="G46" s="187">
        <f t="shared" si="14"/>
        <v>17.920000000000002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6.5971618152618436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27.549499034222904</v>
      </c>
      <c r="AC46" s="58">
        <f t="shared" si="26"/>
        <v>27.549499034222904</v>
      </c>
      <c r="AD46" s="86">
        <v>46</v>
      </c>
      <c r="AE46" s="92">
        <f t="shared" si="6"/>
        <v>1500</v>
      </c>
      <c r="AF46" s="94">
        <f t="shared" si="20"/>
        <v>17.920000000000002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23.540000000000003</v>
      </c>
      <c r="G47" s="187">
        <f t="shared" si="14"/>
        <v>17.920000000000002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6.5971618152618436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27.549499034222904</v>
      </c>
      <c r="AC47" s="58">
        <f t="shared" ref="AC47:AC69" si="27">AC46</f>
        <v>27.549499034222904</v>
      </c>
      <c r="AE47" s="57">
        <f t="shared" si="6"/>
        <v>1560</v>
      </c>
      <c r="AF47" s="58">
        <f t="shared" si="20"/>
        <v>17.920000000000002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23.540000000000003</v>
      </c>
      <c r="G48" s="187">
        <f t="shared" si="14"/>
        <v>17.920000000000002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6.5971618152618436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27.549499034222904</v>
      </c>
      <c r="AC48" s="58">
        <f t="shared" si="27"/>
        <v>27.549499034222904</v>
      </c>
      <c r="AE48" s="57">
        <f t="shared" si="6"/>
        <v>1620</v>
      </c>
      <c r="AF48" s="58">
        <f t="shared" si="20"/>
        <v>17.920000000000002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23.540000000000003</v>
      </c>
      <c r="G49" s="187">
        <f t="shared" si="14"/>
        <v>17.920000000000002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6.5971618152618436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27.549499034222904</v>
      </c>
      <c r="AC49" s="58">
        <f t="shared" si="27"/>
        <v>27.549499034222904</v>
      </c>
      <c r="AE49" s="57">
        <f t="shared" si="6"/>
        <v>1680</v>
      </c>
      <c r="AF49" s="58">
        <f t="shared" si="20"/>
        <v>17.920000000000002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23.540000000000003</v>
      </c>
      <c r="G50" s="187">
        <f t="shared" si="14"/>
        <v>17.920000000000002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6.5971618152618436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27.549499034222904</v>
      </c>
      <c r="AC50" s="58">
        <f t="shared" si="27"/>
        <v>27.549499034222904</v>
      </c>
      <c r="AE50" s="57">
        <f t="shared" si="6"/>
        <v>1740</v>
      </c>
      <c r="AF50" s="58">
        <f t="shared" si="20"/>
        <v>17.920000000000002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23.540000000000003</v>
      </c>
      <c r="G51" s="187">
        <f t="shared" si="14"/>
        <v>17.920000000000002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6.5971618152618436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27.549499034222904</v>
      </c>
      <c r="AC51" s="58">
        <f t="shared" si="27"/>
        <v>27.549499034222904</v>
      </c>
      <c r="AE51" s="57">
        <f t="shared" si="6"/>
        <v>1800</v>
      </c>
      <c r="AF51" s="58">
        <f t="shared" si="20"/>
        <v>17.920000000000002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23.540000000000003</v>
      </c>
      <c r="G52" s="187">
        <f t="shared" si="14"/>
        <v>17.920000000000002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6.5971618152618436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27.549499034222904</v>
      </c>
      <c r="AC52" s="58">
        <f t="shared" si="27"/>
        <v>27.549499034222904</v>
      </c>
      <c r="AE52" s="57">
        <f t="shared" si="6"/>
        <v>1860</v>
      </c>
      <c r="AF52" s="58">
        <f t="shared" si="20"/>
        <v>17.920000000000002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23.540000000000003</v>
      </c>
      <c r="G53" s="187">
        <f t="shared" si="14"/>
        <v>17.920000000000002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6.5971618152618436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27.549499034222904</v>
      </c>
      <c r="AC53" s="58">
        <f t="shared" si="27"/>
        <v>27.549499034222904</v>
      </c>
      <c r="AE53" s="57">
        <f t="shared" si="6"/>
        <v>1920</v>
      </c>
      <c r="AF53" s="58">
        <f t="shared" si="20"/>
        <v>17.920000000000002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23.540000000000003</v>
      </c>
      <c r="G54" s="187">
        <f t="shared" si="14"/>
        <v>17.920000000000002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6.5971618152618436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27.549499034222904</v>
      </c>
      <c r="AC54" s="58">
        <f t="shared" si="27"/>
        <v>27.549499034222904</v>
      </c>
      <c r="AE54" s="57">
        <f t="shared" si="6"/>
        <v>1980</v>
      </c>
      <c r="AF54" s="58">
        <f t="shared" si="20"/>
        <v>17.920000000000002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23.540000000000003</v>
      </c>
      <c r="G55" s="187">
        <f t="shared" si="14"/>
        <v>17.920000000000002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6.5971618152618436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27.549499034222904</v>
      </c>
      <c r="AC55" s="58">
        <f t="shared" si="27"/>
        <v>27.549499034222904</v>
      </c>
      <c r="AE55" s="57">
        <f t="shared" si="6"/>
        <v>2040</v>
      </c>
      <c r="AF55" s="58">
        <f t="shared" si="20"/>
        <v>17.920000000000002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23.540000000000003</v>
      </c>
      <c r="G56" s="187">
        <f t="shared" si="14"/>
        <v>17.920000000000002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6.5971618152618436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27.549499034222904</v>
      </c>
      <c r="AC56" s="58">
        <f t="shared" si="27"/>
        <v>27.549499034222904</v>
      </c>
      <c r="AE56" s="57">
        <f t="shared" si="6"/>
        <v>2100</v>
      </c>
      <c r="AF56" s="58">
        <f t="shared" si="20"/>
        <v>17.920000000000002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23.540000000000003</v>
      </c>
      <c r="G57" s="187">
        <f t="shared" si="14"/>
        <v>17.920000000000002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6.5971618152618436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27.549499034222904</v>
      </c>
      <c r="AC57" s="58">
        <f t="shared" si="27"/>
        <v>27.549499034222904</v>
      </c>
      <c r="AE57" s="57">
        <f t="shared" si="6"/>
        <v>2160</v>
      </c>
      <c r="AF57" s="58">
        <f t="shared" si="20"/>
        <v>17.920000000000002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23.540000000000003</v>
      </c>
      <c r="G58" s="187">
        <f t="shared" si="14"/>
        <v>17.920000000000002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6.5971618152618436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27.549499034222904</v>
      </c>
      <c r="AC58" s="58">
        <f t="shared" si="27"/>
        <v>27.549499034222904</v>
      </c>
      <c r="AE58" s="57">
        <f t="shared" si="6"/>
        <v>2220</v>
      </c>
      <c r="AF58" s="58">
        <f t="shared" si="20"/>
        <v>17.920000000000002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23.540000000000003</v>
      </c>
      <c r="G59" s="187">
        <f t="shared" si="14"/>
        <v>17.920000000000002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6.5971618152618436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27.549499034222904</v>
      </c>
      <c r="AC59" s="58">
        <f t="shared" si="27"/>
        <v>27.549499034222904</v>
      </c>
      <c r="AE59" s="57">
        <f t="shared" si="6"/>
        <v>2280</v>
      </c>
      <c r="AF59" s="58">
        <f t="shared" si="20"/>
        <v>17.920000000000002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23.540000000000003</v>
      </c>
      <c r="G60" s="187">
        <f t="shared" si="14"/>
        <v>17.920000000000002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6.5971618152618436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27.549499034222904</v>
      </c>
      <c r="AC60" s="58">
        <f t="shared" si="27"/>
        <v>27.549499034222904</v>
      </c>
      <c r="AE60" s="57">
        <f t="shared" si="6"/>
        <v>2340</v>
      </c>
      <c r="AF60" s="58">
        <f t="shared" si="20"/>
        <v>17.920000000000002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23.540000000000003</v>
      </c>
      <c r="G61" s="187">
        <f t="shared" si="14"/>
        <v>17.920000000000002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6.5971618152618436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27.549499034222904</v>
      </c>
      <c r="AC61" s="58">
        <f t="shared" si="27"/>
        <v>27.549499034222904</v>
      </c>
      <c r="AE61" s="57">
        <f t="shared" si="6"/>
        <v>2400</v>
      </c>
      <c r="AF61" s="58">
        <f t="shared" si="20"/>
        <v>17.920000000000002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23.540000000000003</v>
      </c>
      <c r="G62" s="187">
        <f t="shared" si="14"/>
        <v>17.920000000000002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6.5971618152618436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27.549499034222904</v>
      </c>
      <c r="AC62" s="58">
        <f t="shared" si="27"/>
        <v>27.549499034222904</v>
      </c>
      <c r="AE62" s="57">
        <f t="shared" si="6"/>
        <v>2460</v>
      </c>
      <c r="AF62" s="58">
        <f t="shared" si="20"/>
        <v>17.920000000000002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23.540000000000003</v>
      </c>
      <c r="G63" s="187">
        <f t="shared" si="14"/>
        <v>17.920000000000002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6.5971618152618436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27.549499034222904</v>
      </c>
      <c r="AC63" s="58">
        <f t="shared" si="27"/>
        <v>27.549499034222904</v>
      </c>
      <c r="AE63" s="57">
        <f t="shared" si="6"/>
        <v>2520</v>
      </c>
      <c r="AF63" s="58">
        <f t="shared" si="20"/>
        <v>17.920000000000002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23.540000000000003</v>
      </c>
      <c r="G64" s="187">
        <f t="shared" si="14"/>
        <v>17.920000000000002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6.5971618152618436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27.549499034222904</v>
      </c>
      <c r="AC64" s="58">
        <f t="shared" si="27"/>
        <v>27.549499034222904</v>
      </c>
      <c r="AE64" s="57">
        <f t="shared" si="6"/>
        <v>2580</v>
      </c>
      <c r="AF64" s="58">
        <f t="shared" si="20"/>
        <v>17.920000000000002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23.540000000000003</v>
      </c>
      <c r="G65" s="187">
        <f t="shared" si="14"/>
        <v>17.920000000000002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6.5971618152618436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27.549499034222904</v>
      </c>
      <c r="AC65" s="58">
        <f t="shared" si="27"/>
        <v>27.549499034222904</v>
      </c>
      <c r="AE65" s="57">
        <f t="shared" si="6"/>
        <v>2640</v>
      </c>
      <c r="AF65" s="58">
        <f t="shared" si="20"/>
        <v>17.920000000000002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23.540000000000003</v>
      </c>
      <c r="G66" s="187">
        <f t="shared" si="14"/>
        <v>17.920000000000002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6.5971618152618436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27.549499034222904</v>
      </c>
      <c r="AC66" s="58">
        <f t="shared" si="27"/>
        <v>27.549499034222904</v>
      </c>
      <c r="AE66" s="57">
        <f t="shared" si="6"/>
        <v>2700</v>
      </c>
      <c r="AF66" s="58">
        <f t="shared" si="20"/>
        <v>17.920000000000002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23.540000000000003</v>
      </c>
      <c r="G67" s="187">
        <f t="shared" si="14"/>
        <v>17.920000000000002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6.5971618152618436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27.549499034222904</v>
      </c>
      <c r="AC67" s="58">
        <f t="shared" si="27"/>
        <v>27.549499034222904</v>
      </c>
      <c r="AE67" s="57">
        <f>AA67</f>
        <v>2760</v>
      </c>
      <c r="AF67" s="58">
        <f t="shared" si="20"/>
        <v>17.920000000000002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23.540000000000003</v>
      </c>
      <c r="G68" s="187">
        <f t="shared" si="14"/>
        <v>17.920000000000002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6.5971618152618436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27.549499034222904</v>
      </c>
      <c r="AC68" s="58">
        <f t="shared" si="27"/>
        <v>27.549499034222904</v>
      </c>
      <c r="AE68" s="57">
        <f>AA68</f>
        <v>2820</v>
      </c>
      <c r="AF68" s="58">
        <f t="shared" si="20"/>
        <v>17.920000000000002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23.540000000000003</v>
      </c>
      <c r="G69" s="187">
        <f t="shared" si="14"/>
        <v>17.920000000000002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6.5971618152618436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27.549499034222904</v>
      </c>
      <c r="AC69" s="58">
        <f t="shared" si="27"/>
        <v>27.549499034222904</v>
      </c>
      <c r="AE69" s="57">
        <f>AA69</f>
        <v>2880</v>
      </c>
      <c r="AF69" s="58">
        <f t="shared" si="20"/>
        <v>17.920000000000002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23.540000000000003</v>
      </c>
      <c r="G70" s="187">
        <f t="shared" si="14"/>
        <v>17.920000000000002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6.5971618152618436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23.540000000000003</v>
      </c>
      <c r="G71" s="187">
        <f t="shared" si="14"/>
        <v>17.920000000000002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6.5971618152618436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23.540000000000003</v>
      </c>
      <c r="G72" s="187">
        <f t="shared" si="14"/>
        <v>17.920000000000002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6.5971618152618436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23.540000000000003</v>
      </c>
      <c r="G73" s="187">
        <f t="shared" si="14"/>
        <v>17.920000000000002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6.5971618152618436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23.540000000000003</v>
      </c>
      <c r="G74" s="187">
        <f t="shared" si="14"/>
        <v>17.920000000000002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6.5971618152618436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23.540000000000003</v>
      </c>
      <c r="G75" s="187">
        <f>AF67</f>
        <v>17.920000000000002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6.5971618152618436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23.540000000000003</v>
      </c>
      <c r="G76" s="187">
        <f>AF68</f>
        <v>17.920000000000002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6.5971618152618436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23.540000000000003</v>
      </c>
      <c r="G77" s="187">
        <f>AF69</f>
        <v>17.920000000000002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6.5971618152618436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17.583842431837994</v>
      </c>
      <c r="G78" s="187">
        <f>H114</f>
        <v>11.963842431837994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6.5971618152618436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16.591614617336223</v>
      </c>
      <c r="G79" s="187">
        <f>H115</f>
        <v>10.971614617336224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6.5971618152618436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15.681677759229117</v>
      </c>
      <c r="G80" s="187">
        <f>H116</f>
        <v>10.061677759229118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6.5971618152618436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14.847207012047335</v>
      </c>
      <c r="G81" s="187">
        <f>H117</f>
        <v>9.2272070120473355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6.5971618152618436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14.081943552612707</v>
      </c>
      <c r="G82" s="187">
        <f>H118</f>
        <v>8.4619435526127074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6.5971618152618436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12.146340122670882</v>
      </c>
      <c r="G83" s="187">
        <f>H121</f>
        <v>6.5263401226708826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6.5971618152618436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11.780315333598491</v>
      </c>
      <c r="G84" s="187">
        <f>H124</f>
        <v>6.1603153335984908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10.800869619024532</v>
      </c>
      <c r="G85" s="187">
        <f>H126</f>
        <v>5.1808696190245307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10.371191364016489</v>
      </c>
      <c r="G86" s="187">
        <f t="shared" ref="G86:G92" si="36">H127</f>
        <v>4.7511913640164902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9.9771487100567349</v>
      </c>
      <c r="G87" s="187">
        <f t="shared" si="36"/>
        <v>4.3571487100567348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9.8532020977033454</v>
      </c>
      <c r="G88" s="187">
        <f t="shared" si="36"/>
        <v>4.2332020977033453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9.7327813605807965</v>
      </c>
      <c r="G89" s="187">
        <f t="shared" si="36"/>
        <v>4.1127813605807964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9.6157861990850293</v>
      </c>
      <c r="G90" s="187">
        <f t="shared" si="36"/>
        <v>3.9957861990850301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9.5021191668072706</v>
      </c>
      <c r="G91" s="187">
        <f t="shared" si="36"/>
        <v>3.882119166807271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9.3916855893699616</v>
      </c>
      <c r="G92" s="187">
        <f t="shared" si="36"/>
        <v>3.771685589369961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9.2843934855715542</v>
      </c>
      <c r="G93" s="187">
        <f>H134</f>
        <v>3.6643934855715536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9.1801534907744724</v>
      </c>
      <c r="G94" s="187">
        <f>H135</f>
        <v>3.5601534907744714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9.0788787824724348</v>
      </c>
      <c r="G95" s="187">
        <f>H136</f>
        <v>3.4588787824724352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8.9804850079751457</v>
      </c>
      <c r="G96" s="187">
        <f>H137</f>
        <v>3.360485007975146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8.7017813461602955</v>
      </c>
      <c r="G97" s="187">
        <f>H138</f>
        <v>3.081781346160295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8.6141147588370757</v>
      </c>
      <c r="G98" s="187">
        <f>H140</f>
        <v>2.9941147588370765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8.1380721034406385</v>
      </c>
      <c r="G99" s="187">
        <f>H142</f>
        <v>2.5180721034406384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7.7377167973978072</v>
      </c>
      <c r="G100" s="187">
        <f>H144</f>
        <v>2.117716797397807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7.4010150979604576</v>
      </c>
      <c r="G101" s="191">
        <f>H146</f>
        <v>1.7810150979604575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17.920000000000002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17.920000000000002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15.512118189931972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17.920000000000002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14.22561218506103</v>
      </c>
      <c r="I112" s="385"/>
      <c r="J112" s="387">
        <f>H111-H112</f>
        <v>1.286506004870942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17.920000000000002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13.0458032592288</v>
      </c>
      <c r="I113" s="385"/>
      <c r="J113" s="387">
        <f t="shared" ref="J113:J146" si="42">H112-H113</f>
        <v>1.17980892583223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17.920000000000002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11.963842431837994</v>
      </c>
      <c r="I114" s="390"/>
      <c r="J114" s="387">
        <f t="shared" si="42"/>
        <v>1.0819608273908052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17.920000000000002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10.971614617336224</v>
      </c>
      <c r="I115" s="390"/>
      <c r="J115" s="387">
        <f t="shared" si="42"/>
        <v>0.99222781450177067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17.920000000000002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10.061677759229118</v>
      </c>
      <c r="I116" s="390"/>
      <c r="J116" s="387">
        <f t="shared" si="42"/>
        <v>0.90993685810710545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17.920000000000002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9.2272070120473355</v>
      </c>
      <c r="I117" s="390"/>
      <c r="J117" s="387">
        <f t="shared" si="42"/>
        <v>0.83447074718178271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17.920000000000002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8.4619435526127074</v>
      </c>
      <c r="I118" s="390"/>
      <c r="J118" s="387">
        <f t="shared" si="42"/>
        <v>0.76526345943462815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17.920000000000002</v>
      </c>
      <c r="E119" s="382">
        <f t="shared" si="40"/>
        <v>0.71</v>
      </c>
      <c r="F119" s="383"/>
      <c r="G119" s="375">
        <v>9</v>
      </c>
      <c r="H119" s="391">
        <f t="shared" si="38"/>
        <v>7.7601476366699735</v>
      </c>
      <c r="I119" s="392"/>
      <c r="J119" s="387">
        <f t="shared" si="42"/>
        <v>0.70179591594273383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17.920000000000002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7.1165555487924701</v>
      </c>
      <c r="I120" s="385"/>
      <c r="J120" s="387">
        <f t="shared" si="42"/>
        <v>0.64359208787750344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17.920000000000002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6.5263401226708826</v>
      </c>
      <c r="I121" s="390"/>
      <c r="J121" s="387">
        <f t="shared" si="42"/>
        <v>0.59021542612158751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17.920000000000002</v>
      </c>
      <c r="E122" s="382">
        <f t="shared" si="40"/>
        <v>0.62</v>
      </c>
      <c r="F122" s="383"/>
      <c r="G122" s="375">
        <v>14</v>
      </c>
      <c r="H122" s="384">
        <f t="shared" si="38"/>
        <v>5.9850745356735029</v>
      </c>
      <c r="I122" s="385"/>
      <c r="J122" s="387">
        <f t="shared" si="42"/>
        <v>0.5412655869973797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17.920000000000002</v>
      </c>
      <c r="E123" s="382">
        <f t="shared" si="40"/>
        <v>0.37</v>
      </c>
      <c r="F123" s="383"/>
      <c r="G123" s="375">
        <v>15</v>
      </c>
      <c r="H123" s="384">
        <f t="shared" si="38"/>
        <v>2.9089419988395622</v>
      </c>
      <c r="I123" s="385"/>
      <c r="J123" s="387">
        <f t="shared" si="42"/>
        <v>3.0761325368339407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17.920000000000002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6.1603153335984908</v>
      </c>
      <c r="I124" s="390"/>
      <c r="J124" s="387">
        <f t="shared" si="42"/>
        <v>-3.2513733347589286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17.920000000000002</v>
      </c>
      <c r="E125" s="382">
        <f t="shared" si="40"/>
        <v>0.6</v>
      </c>
      <c r="F125" s="383"/>
      <c r="G125" s="375">
        <v>18</v>
      </c>
      <c r="H125" s="384">
        <f t="shared" si="38"/>
        <v>5.6494062126431821</v>
      </c>
      <c r="I125" s="385"/>
      <c r="J125" s="387">
        <f t="shared" si="42"/>
        <v>0.51090912095530872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17.920000000000002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5.1808696190245307</v>
      </c>
      <c r="I126" s="390"/>
      <c r="J126" s="387">
        <f t="shared" si="42"/>
        <v>0.46853659361865141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17.920000000000002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4.7511913640164902</v>
      </c>
      <c r="I127" s="390"/>
      <c r="J127" s="387">
        <f t="shared" si="42"/>
        <v>0.42967825500804047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17.920000000000002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4.3571487100567348</v>
      </c>
      <c r="I128" s="390"/>
      <c r="J128" s="387">
        <f t="shared" si="42"/>
        <v>0.39404265395975546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17.920000000000002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4.2332020977033453</v>
      </c>
      <c r="I129" s="390"/>
      <c r="J129" s="387">
        <f t="shared" si="42"/>
        <v>0.12394661235338944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17.920000000000002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4.1127813605807964</v>
      </c>
      <c r="I130" s="390"/>
      <c r="J130" s="387">
        <f t="shared" si="42"/>
        <v>0.12042073712254897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17.920000000000002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3.9957861990850301</v>
      </c>
      <c r="I131" s="390"/>
      <c r="J131" s="387">
        <f t="shared" si="42"/>
        <v>0.11699516149576628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17.920000000000002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3.882119166807271</v>
      </c>
      <c r="I132" s="390"/>
      <c r="J132" s="387">
        <f t="shared" si="42"/>
        <v>0.11366703227775909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17.920000000000002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3.771685589369961</v>
      </c>
      <c r="I133" s="390"/>
      <c r="J133" s="387">
        <f t="shared" si="42"/>
        <v>0.11043357743730997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17.920000000000002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3.6643934855715536</v>
      </c>
      <c r="I134" s="390"/>
      <c r="J134" s="387">
        <f t="shared" si="42"/>
        <v>0.10729210379840737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17.920000000000002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3.5601534907744714</v>
      </c>
      <c r="I135" s="390"/>
      <c r="J135" s="387">
        <f t="shared" si="42"/>
        <v>0.10423999479708224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17.920000000000002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3.4588787824724352</v>
      </c>
      <c r="I136" s="390"/>
      <c r="J136" s="387">
        <f t="shared" si="42"/>
        <v>0.10127470830203622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17.920000000000002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3.360485007975146</v>
      </c>
      <c r="I137" s="390"/>
      <c r="J137" s="387">
        <f t="shared" si="42"/>
        <v>9.8393774497289144E-2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17.920000000000002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3.081781346160295</v>
      </c>
      <c r="I138" s="390"/>
      <c r="J138" s="387">
        <f t="shared" si="42"/>
        <v>0.27870366181485107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17.920000000000002</v>
      </c>
      <c r="E139" s="382">
        <f t="shared" si="40"/>
        <v>0.36</v>
      </c>
      <c r="F139" s="383"/>
      <c r="G139" s="375">
        <v>150</v>
      </c>
      <c r="H139" s="384">
        <f t="shared" si="38"/>
        <v>2.8261921249469242</v>
      </c>
      <c r="I139" s="385"/>
      <c r="J139" s="387">
        <f t="shared" si="42"/>
        <v>0.2555892212133708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17.920000000000002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2.9941147588370765</v>
      </c>
      <c r="I140" s="390"/>
      <c r="J140" s="387">
        <f t="shared" si="42"/>
        <v>-0.16792263389015227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17.920000000000002</v>
      </c>
      <c r="E141" s="382">
        <f t="shared" si="40"/>
        <v>0.35</v>
      </c>
      <c r="F141" s="383"/>
      <c r="G141" s="375">
        <v>210</v>
      </c>
      <c r="H141" s="384">
        <f t="shared" si="38"/>
        <v>2.7457962139837573</v>
      </c>
      <c r="I141" s="385"/>
      <c r="J141" s="387">
        <f t="shared" si="42"/>
        <v>0.24831854485331917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17.920000000000002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2.5180721034406384</v>
      </c>
      <c r="I142" s="390"/>
      <c r="J142" s="387">
        <f t="shared" si="42"/>
        <v>0.22772411054311892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17.920000000000002</v>
      </c>
      <c r="E143" s="382">
        <f>C143/100</f>
        <v>0.28999999999999998</v>
      </c>
      <c r="F143" s="383"/>
      <c r="G143" s="375">
        <v>270</v>
      </c>
      <c r="H143" s="384">
        <f t="shared" si="38"/>
        <v>2.3092344165361531</v>
      </c>
      <c r="I143" s="385"/>
      <c r="J143" s="387">
        <f t="shared" si="42"/>
        <v>0.20883768690448523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17.920000000000002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2.117716797397807</v>
      </c>
      <c r="I144" s="390"/>
      <c r="J144" s="387">
        <f t="shared" si="42"/>
        <v>0.19151761913834608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17.920000000000002</v>
      </c>
      <c r="E145" s="382">
        <f>C145/100</f>
        <v>0.23</v>
      </c>
      <c r="F145" s="383"/>
      <c r="G145" s="375">
        <v>330</v>
      </c>
      <c r="H145" s="384">
        <f t="shared" si="38"/>
        <v>1.94208279673395</v>
      </c>
      <c r="I145" s="385"/>
      <c r="J145" s="387">
        <f t="shared" si="42"/>
        <v>0.17563400066385704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17.920000000000002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1.7810150979604575</v>
      </c>
      <c r="I146" s="390"/>
      <c r="J146" s="387">
        <f t="shared" si="42"/>
        <v>0.16106769877349247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A32" sqref="A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v>0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1.94</v>
      </c>
      <c r="C36" s="158">
        <v>1</v>
      </c>
    </row>
    <row r="37" spans="1:3">
      <c r="A37" s="156">
        <f>Sheet1!A3</f>
        <v>3</v>
      </c>
      <c r="B37" s="157">
        <f>Sheet1!B3</f>
        <v>2.4900000000000002</v>
      </c>
      <c r="C37" s="158">
        <v>1</v>
      </c>
    </row>
    <row r="38" spans="1:3">
      <c r="A38" s="156">
        <f>Sheet1!A4</f>
        <v>4</v>
      </c>
      <c r="B38" s="157">
        <f>Sheet1!B4</f>
        <v>2.88</v>
      </c>
      <c r="C38" s="158">
        <v>1</v>
      </c>
    </row>
    <row r="39" spans="1:3">
      <c r="A39" s="156">
        <f>Sheet1!A5</f>
        <v>5</v>
      </c>
      <c r="B39" s="157">
        <f>Sheet1!B5</f>
        <v>3.18</v>
      </c>
      <c r="C39" s="158">
        <v>1</v>
      </c>
    </row>
    <row r="40" spans="1:3">
      <c r="A40" s="156">
        <f>Sheet1!A6</f>
        <v>10</v>
      </c>
      <c r="B40" s="157">
        <f>Sheet1!B6</f>
        <v>4.12</v>
      </c>
      <c r="C40" s="158">
        <v>1</v>
      </c>
    </row>
    <row r="41" spans="1:3">
      <c r="A41" s="156">
        <f>Sheet1!A7</f>
        <v>15</v>
      </c>
      <c r="B41" s="157">
        <f>Sheet1!B7</f>
        <v>4.67</v>
      </c>
      <c r="C41" s="158">
        <v>1</v>
      </c>
    </row>
    <row r="42" spans="1:3">
      <c r="A42" s="156">
        <f>Sheet1!A8</f>
        <v>20</v>
      </c>
      <c r="B42" s="157">
        <f>Sheet1!B8</f>
        <v>5.0599999999999996</v>
      </c>
      <c r="C42" s="158">
        <v>1</v>
      </c>
    </row>
    <row r="43" spans="1:3">
      <c r="A43" s="156">
        <f>Sheet1!A9</f>
        <v>25</v>
      </c>
      <c r="B43" s="157">
        <f>Sheet1!B9</f>
        <v>5.36</v>
      </c>
      <c r="C43" s="158">
        <v>1</v>
      </c>
    </row>
    <row r="44" spans="1:3">
      <c r="A44" s="156">
        <f>Sheet1!A10</f>
        <v>30</v>
      </c>
      <c r="B44" s="157">
        <f>Sheet1!B10</f>
        <v>5.61</v>
      </c>
      <c r="C44" s="158">
        <v>1</v>
      </c>
    </row>
    <row r="45" spans="1:3">
      <c r="A45" s="156">
        <f>Sheet1!A11</f>
        <v>35</v>
      </c>
      <c r="B45" s="157">
        <f>Sheet1!B11</f>
        <v>5.82</v>
      </c>
      <c r="C45" s="158">
        <v>1</v>
      </c>
    </row>
    <row r="46" spans="1:3">
      <c r="A46" s="156">
        <f>Sheet1!A12</f>
        <v>40</v>
      </c>
      <c r="B46" s="157">
        <f>Sheet1!B12</f>
        <v>6</v>
      </c>
      <c r="C46" s="158">
        <v>1</v>
      </c>
    </row>
    <row r="47" spans="1:3">
      <c r="A47" s="156">
        <f>Sheet1!A13</f>
        <v>45</v>
      </c>
      <c r="B47" s="157">
        <f>Sheet1!B13</f>
        <v>6.16</v>
      </c>
      <c r="C47" s="158">
        <v>1</v>
      </c>
    </row>
    <row r="48" spans="1:3">
      <c r="A48" s="156">
        <f>Sheet1!A14</f>
        <v>50</v>
      </c>
      <c r="B48" s="157">
        <f>Sheet1!B14</f>
        <v>6.3</v>
      </c>
      <c r="C48" s="158">
        <v>1</v>
      </c>
    </row>
    <row r="49" spans="1:3">
      <c r="A49" s="156">
        <f>Sheet1!A15</f>
        <v>55</v>
      </c>
      <c r="B49" s="157">
        <f>Sheet1!B15</f>
        <v>6.43</v>
      </c>
      <c r="C49" s="158">
        <v>1</v>
      </c>
    </row>
    <row r="50" spans="1:3">
      <c r="A50" s="156">
        <f>Sheet1!A16</f>
        <v>60</v>
      </c>
      <c r="B50" s="157">
        <f>Sheet1!B16</f>
        <v>6.55</v>
      </c>
      <c r="C50" s="158">
        <v>1</v>
      </c>
    </row>
    <row r="51" spans="1:3">
      <c r="A51" s="156">
        <f>Sheet1!A17</f>
        <v>75</v>
      </c>
      <c r="B51" s="157">
        <f>Sheet1!B17</f>
        <v>6.85</v>
      </c>
      <c r="C51" s="158">
        <v>1</v>
      </c>
    </row>
    <row r="52" spans="1:3">
      <c r="A52" s="156">
        <f>Sheet1!A18</f>
        <v>90</v>
      </c>
      <c r="B52" s="157">
        <f>Sheet1!B18</f>
        <v>7.1</v>
      </c>
      <c r="C52" s="158">
        <v>1</v>
      </c>
    </row>
    <row r="53" spans="1:3">
      <c r="A53" s="156">
        <f>Sheet1!A19</f>
        <v>105</v>
      </c>
      <c r="B53" s="157">
        <f>Sheet1!B19</f>
        <v>7.3</v>
      </c>
      <c r="C53" s="158">
        <v>1</v>
      </c>
    </row>
    <row r="54" spans="1:3">
      <c r="A54" s="156">
        <f>Sheet1!A20</f>
        <v>120</v>
      </c>
      <c r="B54" s="157">
        <f>Sheet1!B20</f>
        <v>7.49</v>
      </c>
      <c r="C54" s="158">
        <v>1</v>
      </c>
    </row>
    <row r="55" spans="1:3">
      <c r="A55" s="156">
        <f>Sheet1!A21</f>
        <v>121</v>
      </c>
      <c r="B55" s="157">
        <f>Sheet1!B21</f>
        <v>7.65</v>
      </c>
      <c r="C55" s="158">
        <v>1</v>
      </c>
    </row>
    <row r="56" spans="1:3">
      <c r="A56" s="156">
        <f>Sheet1!A22</f>
        <v>122</v>
      </c>
      <c r="B56" s="157">
        <f>Sheet1!B22</f>
        <v>7.8000000000000007</v>
      </c>
      <c r="C56" s="158">
        <v>1</v>
      </c>
    </row>
    <row r="57" spans="1:3">
      <c r="A57" s="156">
        <f>Sheet1!A23</f>
        <v>123</v>
      </c>
      <c r="B57" s="157">
        <f>Sheet1!B23</f>
        <v>7.94</v>
      </c>
      <c r="C57" s="158">
        <v>1</v>
      </c>
    </row>
    <row r="58" spans="1:3">
      <c r="A58" s="156">
        <f>Sheet1!A24</f>
        <v>124</v>
      </c>
      <c r="B58" s="157">
        <f>Sheet1!B24</f>
        <v>8.07</v>
      </c>
      <c r="C58" s="158">
        <v>1</v>
      </c>
    </row>
    <row r="59" spans="1:3">
      <c r="A59" s="156">
        <f>Sheet1!A25</f>
        <v>125</v>
      </c>
      <c r="B59" s="157">
        <f>Sheet1!B25</f>
        <v>8.2000000000000011</v>
      </c>
      <c r="C59" s="158">
        <v>1</v>
      </c>
    </row>
    <row r="60" spans="1:3">
      <c r="A60" s="156">
        <f>Sheet1!A26</f>
        <v>130</v>
      </c>
      <c r="B60" s="157">
        <f>Sheet1!B26</f>
        <v>8.99</v>
      </c>
      <c r="C60" s="158">
        <v>1</v>
      </c>
    </row>
    <row r="61" spans="1:3">
      <c r="A61" s="156">
        <f>Sheet1!A27</f>
        <v>135</v>
      </c>
      <c r="B61" s="157">
        <f>Sheet1!B27</f>
        <v>9.1</v>
      </c>
      <c r="C61" s="158">
        <v>1</v>
      </c>
    </row>
    <row r="62" spans="1:3">
      <c r="A62" s="156">
        <f>Sheet1!A28</f>
        <v>140</v>
      </c>
      <c r="B62" s="157">
        <f>Sheet1!B28</f>
        <v>9.24</v>
      </c>
      <c r="C62" s="158">
        <v>1</v>
      </c>
    </row>
    <row r="63" spans="1:3">
      <c r="A63" s="156">
        <f>Sheet1!A29</f>
        <v>145</v>
      </c>
      <c r="B63" s="157">
        <f>Sheet1!B29</f>
        <v>9.34</v>
      </c>
      <c r="C63" s="158">
        <v>1</v>
      </c>
    </row>
    <row r="64" spans="1:3">
      <c r="A64" s="156">
        <f>Sheet1!A30</f>
        <v>150</v>
      </c>
      <c r="B64" s="157">
        <f>Sheet1!B30</f>
        <v>9.49</v>
      </c>
      <c r="C64" s="158">
        <v>1</v>
      </c>
    </row>
    <row r="65" spans="1:3">
      <c r="A65" s="156">
        <f>Sheet1!A31</f>
        <v>155</v>
      </c>
      <c r="B65" s="157">
        <f>Sheet1!B31</f>
        <v>9.5500000000000007</v>
      </c>
      <c r="C65" s="158">
        <v>1</v>
      </c>
    </row>
    <row r="66" spans="1:3">
      <c r="A66" s="156">
        <f>Sheet1!A32</f>
        <v>160</v>
      </c>
      <c r="B66" s="157">
        <f>Sheet1!B32</f>
        <v>9.6000000000000014</v>
      </c>
      <c r="C66" s="158">
        <v>1</v>
      </c>
    </row>
    <row r="67" spans="1:3">
      <c r="A67" s="156">
        <f>Sheet1!A33</f>
        <v>165</v>
      </c>
      <c r="B67" s="157">
        <f>Sheet1!B33</f>
        <v>9.64</v>
      </c>
      <c r="C67" s="158">
        <v>1</v>
      </c>
    </row>
    <row r="68" spans="1:3">
      <c r="A68" s="156">
        <f>Sheet1!A34</f>
        <v>170</v>
      </c>
      <c r="B68" s="157">
        <f>Sheet1!B34</f>
        <v>9.67</v>
      </c>
      <c r="C68" s="158">
        <v>1</v>
      </c>
    </row>
    <row r="69" spans="1:3">
      <c r="A69" s="156">
        <f>Sheet1!A35</f>
        <v>175</v>
      </c>
      <c r="B69" s="157">
        <f>Sheet1!B35</f>
        <v>9.69</v>
      </c>
      <c r="C69" s="158">
        <v>1</v>
      </c>
    </row>
    <row r="70" spans="1:3">
      <c r="A70" s="156">
        <f>Sheet1!A36</f>
        <v>180</v>
      </c>
      <c r="B70" s="157">
        <f>Sheet1!B36</f>
        <v>9.74</v>
      </c>
      <c r="C70" s="158">
        <v>1</v>
      </c>
    </row>
    <row r="71" spans="1:3">
      <c r="A71" s="156">
        <f>Sheet1!A37</f>
        <v>195</v>
      </c>
      <c r="B71" s="157">
        <f>Sheet1!B37</f>
        <v>9.81</v>
      </c>
      <c r="C71" s="158">
        <v>1</v>
      </c>
    </row>
    <row r="72" spans="1:3">
      <c r="A72" s="156">
        <f>Sheet1!A38</f>
        <v>210</v>
      </c>
      <c r="B72" s="157">
        <f>Sheet1!B38</f>
        <v>9.870000000000001</v>
      </c>
      <c r="C72" s="158">
        <v>1</v>
      </c>
    </row>
    <row r="73" spans="1:3">
      <c r="A73" s="156">
        <f>Sheet1!A39</f>
        <v>225</v>
      </c>
      <c r="B73" s="157">
        <f>Sheet1!B39</f>
        <v>9.9200000000000017</v>
      </c>
      <c r="C73" s="158">
        <v>1</v>
      </c>
    </row>
    <row r="74" spans="1:3">
      <c r="A74" s="156">
        <f>Sheet1!A40</f>
        <v>240</v>
      </c>
      <c r="B74" s="157">
        <f>Sheet1!B40</f>
        <v>9.99</v>
      </c>
      <c r="C74" s="158">
        <v>1</v>
      </c>
    </row>
    <row r="75" spans="1:3">
      <c r="A75" s="156">
        <f>Sheet1!A41</f>
        <v>241</v>
      </c>
      <c r="B75" s="157">
        <f>Sheet1!B41</f>
        <v>10.17</v>
      </c>
      <c r="C75" s="158">
        <v>1</v>
      </c>
    </row>
    <row r="76" spans="1:3">
      <c r="A76" s="156">
        <f>Sheet1!A42</f>
        <v>242</v>
      </c>
      <c r="B76" s="157">
        <f>Sheet1!B42</f>
        <v>10.33</v>
      </c>
      <c r="C76" s="158">
        <v>1</v>
      </c>
    </row>
    <row r="77" spans="1:3">
      <c r="A77" s="156">
        <f>Sheet1!A43</f>
        <v>243</v>
      </c>
      <c r="B77" s="157">
        <f>Sheet1!B43</f>
        <v>10.48</v>
      </c>
      <c r="C77" s="158">
        <v>1</v>
      </c>
    </row>
    <row r="78" spans="1:3">
      <c r="A78" s="156">
        <f>Sheet1!A44</f>
        <v>244</v>
      </c>
      <c r="B78" s="157">
        <f>Sheet1!B44</f>
        <v>10.620000000000001</v>
      </c>
      <c r="C78" s="158">
        <v>1</v>
      </c>
    </row>
    <row r="79" spans="1:3">
      <c r="A79" s="156">
        <f>Sheet1!A45</f>
        <v>245</v>
      </c>
      <c r="B79" s="157">
        <f>Sheet1!B45</f>
        <v>10.750000000000002</v>
      </c>
      <c r="C79" s="158">
        <v>1</v>
      </c>
    </row>
    <row r="80" spans="1:3">
      <c r="A80" s="156">
        <f>Sheet1!A46</f>
        <v>250</v>
      </c>
      <c r="B80" s="157">
        <f>Sheet1!B46</f>
        <v>11.67</v>
      </c>
      <c r="C80" s="158">
        <v>1</v>
      </c>
    </row>
    <row r="81" spans="1:3">
      <c r="A81" s="156">
        <f>Sheet1!A47</f>
        <v>255</v>
      </c>
      <c r="B81" s="157">
        <f>Sheet1!B47</f>
        <v>11.78</v>
      </c>
      <c r="C81" s="158">
        <v>1</v>
      </c>
    </row>
    <row r="82" spans="1:3">
      <c r="A82" s="156">
        <f>Sheet1!A48</f>
        <v>260</v>
      </c>
      <c r="B82" s="157">
        <f>Sheet1!B48</f>
        <v>11.95</v>
      </c>
      <c r="C82" s="158">
        <v>1</v>
      </c>
    </row>
    <row r="83" spans="1:3">
      <c r="A83" s="156">
        <f>Sheet1!A49</f>
        <v>265</v>
      </c>
      <c r="B83" s="157">
        <f>Sheet1!B49</f>
        <v>12.059999999999999</v>
      </c>
      <c r="C83" s="158">
        <v>1</v>
      </c>
    </row>
    <row r="84" spans="1:3">
      <c r="A84" s="156">
        <f>Sheet1!A50</f>
        <v>270</v>
      </c>
      <c r="B84" s="157">
        <f>Sheet1!B50</f>
        <v>12.23</v>
      </c>
      <c r="C84" s="158">
        <v>1</v>
      </c>
    </row>
    <row r="85" spans="1:3">
      <c r="A85" s="156">
        <f>Sheet1!A51</f>
        <v>275</v>
      </c>
      <c r="B85" s="157">
        <f>Sheet1!B51</f>
        <v>12.3</v>
      </c>
      <c r="C85" s="158">
        <v>1</v>
      </c>
    </row>
    <row r="86" spans="1:3">
      <c r="A86" s="156">
        <f>Sheet1!A52</f>
        <v>280</v>
      </c>
      <c r="B86" s="157">
        <f>Sheet1!B52</f>
        <v>12.350000000000001</v>
      </c>
      <c r="C86" s="158">
        <v>1</v>
      </c>
    </row>
    <row r="87" spans="1:3">
      <c r="A87" s="156">
        <f>Sheet1!A53</f>
        <v>285</v>
      </c>
      <c r="B87" s="157">
        <f>Sheet1!B53</f>
        <v>12.39</v>
      </c>
      <c r="C87" s="158">
        <v>1</v>
      </c>
    </row>
    <row r="88" spans="1:3">
      <c r="A88" s="156">
        <f>Sheet1!A54</f>
        <v>290</v>
      </c>
      <c r="B88" s="157">
        <f>Sheet1!B54</f>
        <v>12.42</v>
      </c>
      <c r="C88" s="158">
        <v>1</v>
      </c>
    </row>
    <row r="89" spans="1:3">
      <c r="A89" s="156">
        <f>Sheet1!A55</f>
        <v>295</v>
      </c>
      <c r="B89" s="157">
        <f>Sheet1!B55</f>
        <v>12.44</v>
      </c>
      <c r="C89" s="158">
        <v>1</v>
      </c>
    </row>
    <row r="90" spans="1:3">
      <c r="A90" s="156">
        <f>Sheet1!A56</f>
        <v>300</v>
      </c>
      <c r="B90" s="157">
        <f>Sheet1!B56</f>
        <v>12.51</v>
      </c>
      <c r="C90" s="158">
        <v>1</v>
      </c>
    </row>
    <row r="91" spans="1:3">
      <c r="A91" s="156">
        <f>Sheet1!A57</f>
        <v>315</v>
      </c>
      <c r="B91" s="157">
        <f>Sheet1!B57</f>
        <v>12.59</v>
      </c>
      <c r="C91" s="158">
        <v>1</v>
      </c>
    </row>
    <row r="92" spans="1:3">
      <c r="A92" s="156">
        <f>Sheet1!A58</f>
        <v>330</v>
      </c>
      <c r="B92" s="157">
        <f>Sheet1!B58</f>
        <v>12.65</v>
      </c>
      <c r="C92" s="158">
        <v>1</v>
      </c>
    </row>
    <row r="93" spans="1:3">
      <c r="A93" s="156">
        <f>Sheet1!A59</f>
        <v>345</v>
      </c>
      <c r="B93" s="157">
        <f>Sheet1!B59</f>
        <v>12.700000000000001</v>
      </c>
      <c r="C93" s="158">
        <v>1</v>
      </c>
    </row>
    <row r="94" spans="1:3">
      <c r="A94" s="156">
        <f>Sheet1!A60</f>
        <v>360</v>
      </c>
      <c r="B94" s="157">
        <f>Sheet1!B60</f>
        <v>12.8</v>
      </c>
      <c r="C94" s="158">
        <v>1</v>
      </c>
    </row>
    <row r="95" spans="1:3">
      <c r="A95" s="156">
        <f>Sheet1!A61</f>
        <v>361</v>
      </c>
      <c r="B95" s="157">
        <f>Sheet1!B61</f>
        <v>12.99</v>
      </c>
      <c r="C95" s="158">
        <v>1</v>
      </c>
    </row>
    <row r="96" spans="1:3">
      <c r="A96" s="156">
        <f>Sheet1!A62</f>
        <v>362</v>
      </c>
      <c r="B96" s="157">
        <f>Sheet1!B62</f>
        <v>13.16</v>
      </c>
      <c r="C96" s="158">
        <v>1</v>
      </c>
    </row>
    <row r="97" spans="1:3">
      <c r="A97" s="156">
        <f>Sheet1!A63</f>
        <v>363</v>
      </c>
      <c r="B97" s="157">
        <f>Sheet1!B63</f>
        <v>13.32</v>
      </c>
      <c r="C97" s="158">
        <v>1</v>
      </c>
    </row>
    <row r="98" spans="1:3">
      <c r="A98" s="156">
        <f>Sheet1!A64</f>
        <v>364</v>
      </c>
      <c r="B98" s="157">
        <f>Sheet1!B64</f>
        <v>13.47</v>
      </c>
      <c r="C98" s="158">
        <v>1</v>
      </c>
    </row>
    <row r="99" spans="1:3">
      <c r="A99" s="156">
        <f>Sheet1!A65</f>
        <v>365</v>
      </c>
      <c r="B99" s="157">
        <f>Sheet1!B65</f>
        <v>13.610000000000001</v>
      </c>
      <c r="C99" s="158">
        <v>1</v>
      </c>
    </row>
    <row r="100" spans="1:3">
      <c r="A100" s="156">
        <f>Sheet1!A66</f>
        <v>370</v>
      </c>
      <c r="B100" s="157">
        <f>Sheet1!B66</f>
        <v>14.68</v>
      </c>
      <c r="C100" s="158">
        <v>1</v>
      </c>
    </row>
    <row r="101" spans="1:3">
      <c r="A101" s="156">
        <f>Sheet1!A67</f>
        <v>375</v>
      </c>
      <c r="B101" s="157">
        <f>Sheet1!B67</f>
        <v>14.799999999999999</v>
      </c>
      <c r="C101" s="158">
        <v>1</v>
      </c>
    </row>
    <row r="102" spans="1:3">
      <c r="A102" s="156">
        <f>Sheet1!A68</f>
        <v>380</v>
      </c>
      <c r="B102" s="157">
        <f>Sheet1!B68</f>
        <v>14.99</v>
      </c>
      <c r="C102" s="158">
        <v>1</v>
      </c>
    </row>
    <row r="103" spans="1:3">
      <c r="A103" s="156">
        <f>Sheet1!A69</f>
        <v>385</v>
      </c>
      <c r="B103" s="157">
        <f>Sheet1!B69</f>
        <v>15.11</v>
      </c>
      <c r="C103" s="158">
        <v>1</v>
      </c>
    </row>
    <row r="104" spans="1:3">
      <c r="A104" s="156">
        <f>Sheet1!A70</f>
        <v>390</v>
      </c>
      <c r="B104" s="157">
        <f>Sheet1!B70</f>
        <v>15.31</v>
      </c>
      <c r="C104" s="158">
        <v>1</v>
      </c>
    </row>
    <row r="105" spans="1:3">
      <c r="A105" s="156">
        <f>Sheet1!A71</f>
        <v>395</v>
      </c>
      <c r="B105" s="157">
        <f>Sheet1!B71</f>
        <v>15.38</v>
      </c>
      <c r="C105" s="158">
        <v>1</v>
      </c>
    </row>
    <row r="106" spans="1:3">
      <c r="A106" s="156">
        <f>Sheet1!A72</f>
        <v>400</v>
      </c>
      <c r="B106" s="157">
        <f>Sheet1!B72</f>
        <v>15.430000000000001</v>
      </c>
      <c r="C106" s="158">
        <v>1</v>
      </c>
    </row>
    <row r="107" spans="1:3">
      <c r="A107" s="156">
        <f>Sheet1!A73</f>
        <v>405</v>
      </c>
      <c r="B107" s="157">
        <f>Sheet1!B73</f>
        <v>15.47</v>
      </c>
      <c r="C107" s="158">
        <v>1</v>
      </c>
    </row>
    <row r="108" spans="1:3">
      <c r="A108" s="156">
        <f>Sheet1!A74</f>
        <v>410</v>
      </c>
      <c r="B108" s="157">
        <f>Sheet1!B74</f>
        <v>15.5</v>
      </c>
      <c r="C108" s="158">
        <v>1</v>
      </c>
    </row>
    <row r="109" spans="1:3">
      <c r="A109" s="156">
        <f>Sheet1!A75</f>
        <v>415</v>
      </c>
      <c r="B109" s="157">
        <f>Sheet1!B75</f>
        <v>15.53</v>
      </c>
      <c r="C109" s="158">
        <v>1</v>
      </c>
    </row>
    <row r="110" spans="1:3">
      <c r="A110" s="156">
        <f>Sheet1!A76</f>
        <v>420</v>
      </c>
      <c r="B110" s="157">
        <f>Sheet1!B76</f>
        <v>15.62</v>
      </c>
      <c r="C110" s="158">
        <v>1</v>
      </c>
    </row>
    <row r="111" spans="1:3">
      <c r="A111" s="156">
        <f>Sheet1!A77</f>
        <v>435</v>
      </c>
      <c r="B111" s="157">
        <f>Sheet1!B77</f>
        <v>15.709999999999999</v>
      </c>
      <c r="C111" s="158">
        <v>1</v>
      </c>
    </row>
    <row r="112" spans="1:3">
      <c r="A112" s="156">
        <f>Sheet1!A78</f>
        <v>450</v>
      </c>
      <c r="B112" s="157">
        <f>Sheet1!B78</f>
        <v>15.78</v>
      </c>
      <c r="C112" s="158">
        <v>1</v>
      </c>
    </row>
    <row r="113" spans="1:3">
      <c r="A113" s="156">
        <f>Sheet1!A79</f>
        <v>465</v>
      </c>
      <c r="B113" s="157">
        <f>Sheet1!B79</f>
        <v>15.83</v>
      </c>
      <c r="C113" s="158">
        <v>1</v>
      </c>
    </row>
    <row r="114" spans="1:3">
      <c r="A114" s="156">
        <f>Sheet1!A80</f>
        <v>480</v>
      </c>
      <c r="B114" s="157">
        <f>Sheet1!B80</f>
        <v>15.94</v>
      </c>
      <c r="C114" s="158">
        <v>1</v>
      </c>
    </row>
    <row r="115" spans="1:3">
      <c r="A115" s="156">
        <f>Sheet1!A81</f>
        <v>481</v>
      </c>
      <c r="B115" s="157">
        <f>Sheet1!B81</f>
        <v>16.149999999999999</v>
      </c>
      <c r="C115" s="158">
        <v>1</v>
      </c>
    </row>
    <row r="116" spans="1:3">
      <c r="A116" s="156">
        <f>Sheet1!A82</f>
        <v>482</v>
      </c>
      <c r="B116" s="157">
        <f>Sheet1!B82</f>
        <v>16.34</v>
      </c>
      <c r="C116" s="158">
        <v>1</v>
      </c>
    </row>
    <row r="117" spans="1:3">
      <c r="A117" s="156">
        <f>Sheet1!A83</f>
        <v>483</v>
      </c>
      <c r="B117" s="157">
        <f>Sheet1!B83</f>
        <v>16.510000000000002</v>
      </c>
      <c r="C117" s="158">
        <v>1</v>
      </c>
    </row>
    <row r="118" spans="1:3">
      <c r="A118" s="156">
        <f>Sheet1!A84</f>
        <v>484</v>
      </c>
      <c r="B118" s="157">
        <f>Sheet1!B84</f>
        <v>16.670000000000002</v>
      </c>
      <c r="C118" s="158">
        <v>1</v>
      </c>
    </row>
    <row r="119" spans="1:3">
      <c r="A119" s="156">
        <f>Sheet1!A85</f>
        <v>485</v>
      </c>
      <c r="B119" s="157">
        <f>Sheet1!B85</f>
        <v>16.810000000000002</v>
      </c>
      <c r="C119" s="158">
        <v>1</v>
      </c>
    </row>
    <row r="120" spans="1:3">
      <c r="A120" s="156">
        <f>Sheet1!A86</f>
        <v>490</v>
      </c>
      <c r="B120" s="157">
        <f>Sheet1!B86</f>
        <v>17.850000000000001</v>
      </c>
      <c r="C120" s="158">
        <v>1</v>
      </c>
    </row>
    <row r="121" spans="1:3">
      <c r="A121" s="156">
        <f>Sheet1!A87</f>
        <v>495</v>
      </c>
      <c r="B121" s="157">
        <f>Sheet1!B87</f>
        <v>18.16</v>
      </c>
      <c r="C121" s="158">
        <v>1</v>
      </c>
    </row>
    <row r="122" spans="1:3">
      <c r="A122" s="156">
        <f>Sheet1!A88</f>
        <v>500</v>
      </c>
      <c r="B122" s="157">
        <f>Sheet1!B88</f>
        <v>18.559999999999999</v>
      </c>
      <c r="C122" s="158">
        <v>1</v>
      </c>
    </row>
    <row r="123" spans="1:3">
      <c r="A123" s="156">
        <f>Sheet1!A89</f>
        <v>505</v>
      </c>
      <c r="B123" s="157">
        <f>Sheet1!B89</f>
        <v>18.86</v>
      </c>
      <c r="C123" s="158">
        <v>1</v>
      </c>
    </row>
    <row r="124" spans="1:3">
      <c r="A124" s="156">
        <f>Sheet1!A90</f>
        <v>510</v>
      </c>
      <c r="B124" s="157">
        <f>Sheet1!B90</f>
        <v>19.28</v>
      </c>
      <c r="C124" s="158">
        <v>1</v>
      </c>
    </row>
    <row r="125" spans="1:3">
      <c r="A125" s="156">
        <f>Sheet1!A91</f>
        <v>515</v>
      </c>
      <c r="B125" s="157">
        <f>Sheet1!B91</f>
        <v>19.43</v>
      </c>
      <c r="C125" s="158">
        <v>1</v>
      </c>
    </row>
    <row r="126" spans="1:3">
      <c r="A126" s="156">
        <f>Sheet1!A92</f>
        <v>520</v>
      </c>
      <c r="B126" s="157">
        <f>Sheet1!B92</f>
        <v>19.559999999999999</v>
      </c>
      <c r="C126" s="158">
        <v>1</v>
      </c>
    </row>
    <row r="127" spans="1:3">
      <c r="A127" s="156">
        <f>Sheet1!A93</f>
        <v>525</v>
      </c>
      <c r="B127" s="157">
        <f>Sheet1!B93</f>
        <v>19.669999999999998</v>
      </c>
      <c r="C127" s="158">
        <v>1</v>
      </c>
    </row>
    <row r="128" spans="1:3">
      <c r="A128" s="156">
        <f>Sheet1!A94</f>
        <v>530</v>
      </c>
      <c r="B128" s="157">
        <f>Sheet1!B94</f>
        <v>19.749999999999996</v>
      </c>
      <c r="C128" s="158">
        <v>1</v>
      </c>
    </row>
    <row r="129" spans="1:3">
      <c r="A129" s="156">
        <f>Sheet1!A95</f>
        <v>535</v>
      </c>
      <c r="B129" s="157">
        <f>Sheet1!B95</f>
        <v>19.819999999999997</v>
      </c>
      <c r="C129" s="158">
        <v>1</v>
      </c>
    </row>
    <row r="130" spans="1:3">
      <c r="A130" s="156">
        <f>Sheet1!A96</f>
        <v>540</v>
      </c>
      <c r="B130" s="157">
        <f>Sheet1!B96</f>
        <v>20</v>
      </c>
      <c r="C130" s="158">
        <v>1</v>
      </c>
    </row>
    <row r="131" spans="1:3">
      <c r="A131" s="156">
        <f>Sheet1!A97</f>
        <v>555</v>
      </c>
      <c r="B131" s="157">
        <f>Sheet1!B97</f>
        <v>20.190000000000001</v>
      </c>
      <c r="C131" s="158">
        <v>1</v>
      </c>
    </row>
    <row r="132" spans="1:3">
      <c r="A132" s="156">
        <f>Sheet1!A98</f>
        <v>570</v>
      </c>
      <c r="B132" s="157">
        <f>Sheet1!B98</f>
        <v>20.350000000000001</v>
      </c>
      <c r="C132" s="158">
        <v>1</v>
      </c>
    </row>
    <row r="133" spans="1:3">
      <c r="A133" s="156">
        <f>Sheet1!A99</f>
        <v>585</v>
      </c>
      <c r="B133" s="157">
        <f>Sheet1!B99</f>
        <v>20.490000000000002</v>
      </c>
      <c r="C133" s="158">
        <v>1</v>
      </c>
    </row>
    <row r="134" spans="1:3">
      <c r="A134" s="156">
        <f>Sheet1!A100</f>
        <v>600</v>
      </c>
      <c r="B134" s="157">
        <f>Sheet1!B100</f>
        <v>20.72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1.8089999999999999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5.082119965730536</v>
      </c>
      <c r="C31" s="158">
        <v>1</v>
      </c>
    </row>
    <row r="32" spans="1:3">
      <c r="A32" s="156">
        <f>LongTest!D11</f>
        <v>2</v>
      </c>
      <c r="B32" s="160">
        <f>LongTest!G11</f>
        <v>6.4183788029952886</v>
      </c>
      <c r="C32" s="158">
        <v>1</v>
      </c>
    </row>
    <row r="33" spans="1:3">
      <c r="A33" s="156">
        <f>LongTest!D12</f>
        <v>3</v>
      </c>
      <c r="B33" s="160">
        <f>LongTest!G12</f>
        <v>7.2000401140524239</v>
      </c>
      <c r="C33" s="158">
        <v>1</v>
      </c>
    </row>
    <row r="34" spans="1:3">
      <c r="A34" s="156">
        <f>LongTest!D13</f>
        <v>4</v>
      </c>
      <c r="B34" s="160">
        <f>LongTest!G13</f>
        <v>7.754637640260043</v>
      </c>
      <c r="C34" s="158">
        <v>1</v>
      </c>
    </row>
    <row r="35" spans="1:3">
      <c r="A35" s="156">
        <f>LongTest!D14</f>
        <v>5</v>
      </c>
      <c r="B35" s="160">
        <f>LongTest!G14</f>
        <v>8.1848169020170829</v>
      </c>
      <c r="C35" s="158">
        <v>1</v>
      </c>
    </row>
    <row r="36" spans="1:3">
      <c r="A36" s="156">
        <f>LongTest!D15</f>
        <v>10</v>
      </c>
      <c r="B36" s="160">
        <f>LongTest!G15</f>
        <v>9.5210757392818373</v>
      </c>
      <c r="C36" s="158">
        <v>1</v>
      </c>
    </row>
    <row r="37" spans="1:3">
      <c r="A37" s="156">
        <f>LongTest!D16</f>
        <v>15</v>
      </c>
      <c r="B37" s="160">
        <f>LongTest!G16</f>
        <v>10.302737050338969</v>
      </c>
      <c r="C37" s="158">
        <v>1</v>
      </c>
    </row>
    <row r="38" spans="1:3">
      <c r="A38" s="156">
        <f>LongTest!D17</f>
        <v>20</v>
      </c>
      <c r="B38" s="160">
        <f>LongTest!G17</f>
        <v>10.857334576546588</v>
      </c>
      <c r="C38" s="158">
        <v>1</v>
      </c>
    </row>
    <row r="39" spans="1:3">
      <c r="A39" s="156">
        <f>LongTest!D18</f>
        <v>25</v>
      </c>
      <c r="B39" s="160">
        <f>LongTest!G18</f>
        <v>11.287513838303635</v>
      </c>
      <c r="C39" s="158">
        <v>1</v>
      </c>
    </row>
    <row r="40" spans="1:3">
      <c r="A40" s="156">
        <f>LongTest!D19</f>
        <v>30</v>
      </c>
      <c r="B40" s="160">
        <f>LongTest!G19</f>
        <v>11.638995887603723</v>
      </c>
      <c r="C40" s="158">
        <v>1</v>
      </c>
    </row>
    <row r="41" spans="1:3">
      <c r="A41" s="156">
        <f>LongTest!D20</f>
        <v>35</v>
      </c>
      <c r="B41" s="160">
        <f>LongTest!G20</f>
        <v>11.936169725955256</v>
      </c>
      <c r="C41" s="158">
        <v>1</v>
      </c>
    </row>
    <row r="42" spans="1:3">
      <c r="A42" s="156">
        <f>LongTest!D21</f>
        <v>40</v>
      </c>
      <c r="B42" s="160">
        <f>LongTest!G21</f>
        <v>12.193593413811342</v>
      </c>
      <c r="C42" s="158">
        <v>1</v>
      </c>
    </row>
    <row r="43" spans="1:3">
      <c r="A43" s="156">
        <f>LongTest!D22</f>
        <v>45</v>
      </c>
      <c r="B43" s="160">
        <f>LongTest!G22</f>
        <v>12.420657198660859</v>
      </c>
      <c r="C43" s="158">
        <v>1</v>
      </c>
    </row>
    <row r="44" spans="1:3">
      <c r="A44" s="156">
        <f>LongTest!D23</f>
        <v>50</v>
      </c>
      <c r="B44" s="160">
        <f>LongTest!G23</f>
        <v>12.623772675568389</v>
      </c>
      <c r="C44" s="158">
        <v>1</v>
      </c>
    </row>
    <row r="45" spans="1:3">
      <c r="A45" s="156">
        <f>LongTest!D24</f>
        <v>55</v>
      </c>
      <c r="B45" s="160">
        <f>LongTest!G24</f>
        <v>12.80751297433428</v>
      </c>
      <c r="C45" s="158">
        <v>1</v>
      </c>
    </row>
    <row r="46" spans="1:3">
      <c r="A46" s="156">
        <f>LongTest!D25</f>
        <v>60</v>
      </c>
      <c r="B46" s="160">
        <f>LongTest!G25</f>
        <v>12.975254724868474</v>
      </c>
      <c r="C46" s="158">
        <v>1</v>
      </c>
    </row>
    <row r="47" spans="1:3">
      <c r="A47" s="156">
        <f>LongTest!D26</f>
        <v>75</v>
      </c>
      <c r="B47" s="160">
        <f>LongTest!G26</f>
        <v>13.405433986625518</v>
      </c>
      <c r="C47" s="158">
        <v>1</v>
      </c>
    </row>
    <row r="48" spans="1:3">
      <c r="A48" s="156">
        <f>LongTest!D27</f>
        <v>90</v>
      </c>
      <c r="B48" s="160">
        <f>LongTest!G27</f>
        <v>13.75691603592561</v>
      </c>
      <c r="C48" s="158">
        <v>1</v>
      </c>
    </row>
    <row r="49" spans="1:3">
      <c r="A49" s="156">
        <f>LongTest!D28</f>
        <v>105</v>
      </c>
      <c r="B49" s="160">
        <f>LongTest!G28</f>
        <v>14.054089874277146</v>
      </c>
      <c r="C49" s="158">
        <v>1</v>
      </c>
    </row>
    <row r="50" spans="1:3">
      <c r="A50" s="156">
        <f>LongTest!D29</f>
        <v>120</v>
      </c>
      <c r="B50" s="160">
        <f>LongTest!G29</f>
        <v>14.311513562133229</v>
      </c>
      <c r="C50" s="158">
        <v>1</v>
      </c>
    </row>
    <row r="51" spans="1:3">
      <c r="A51" s="156">
        <f>LongTest!D30</f>
        <v>140</v>
      </c>
      <c r="B51" s="160">
        <f>LongTest!G30</f>
        <v>14.608687400484762</v>
      </c>
      <c r="C51" s="158">
        <v>1</v>
      </c>
    </row>
    <row r="52" spans="1:3">
      <c r="A52" s="156">
        <f>LongTest!D31</f>
        <v>160</v>
      </c>
      <c r="B52" s="160">
        <f>LongTest!G31</f>
        <v>14.866111088340848</v>
      </c>
      <c r="C52" s="158">
        <v>1</v>
      </c>
    </row>
    <row r="53" spans="1:3">
      <c r="A53" s="156">
        <f>LongTest!D32</f>
        <v>180</v>
      </c>
      <c r="B53" s="160">
        <f>LongTest!G32</f>
        <v>15.093174873190364</v>
      </c>
      <c r="C53" s="158">
        <v>1</v>
      </c>
    </row>
    <row r="54" spans="1:3">
      <c r="A54" s="156">
        <f>LongTest!D33</f>
        <v>240</v>
      </c>
      <c r="B54" s="160">
        <f>LongTest!G33</f>
        <v>15.647772399397983</v>
      </c>
      <c r="C54" s="158">
        <v>1</v>
      </c>
    </row>
    <row r="55" spans="1:3">
      <c r="A55" s="156">
        <f>LongTest!D34</f>
        <v>300</v>
      </c>
      <c r="B55" s="160">
        <f>LongTest!G34</f>
        <v>16.077951661155023</v>
      </c>
      <c r="C55" s="158">
        <v>1</v>
      </c>
    </row>
    <row r="56" spans="1:3">
      <c r="A56" s="156">
        <f>LongTest!D35</f>
        <v>360</v>
      </c>
      <c r="B56" s="160">
        <f>LongTest!G35</f>
        <v>16.429433710455115</v>
      </c>
      <c r="C56" s="158">
        <v>1</v>
      </c>
    </row>
    <row r="57" spans="1:3">
      <c r="A57" s="156">
        <f>LongTest!D36</f>
        <v>420</v>
      </c>
      <c r="B57" s="160">
        <f>LongTest!G36</f>
        <v>16.726607548806651</v>
      </c>
      <c r="C57" s="158">
        <v>1</v>
      </c>
    </row>
    <row r="58" spans="1:3">
      <c r="A58" s="156">
        <f>LongTest!D37</f>
        <v>480</v>
      </c>
      <c r="B58" s="160">
        <f>LongTest!G37</f>
        <v>16.984031236662734</v>
      </c>
      <c r="C58" s="158">
        <v>1</v>
      </c>
    </row>
    <row r="59" spans="1:3">
      <c r="A59" s="156">
        <f>LongTest!D38</f>
        <v>540</v>
      </c>
      <c r="B59" s="160">
        <f>LongTest!G38</f>
        <v>17.21109502151225</v>
      </c>
      <c r="C59" s="158">
        <v>1</v>
      </c>
    </row>
    <row r="60" spans="1:3">
      <c r="A60" s="156">
        <f>LongTest!D39</f>
        <v>600</v>
      </c>
      <c r="B60" s="160">
        <f>LongTest!G39</f>
        <v>17.414210498419777</v>
      </c>
      <c r="C60" s="158">
        <v>1</v>
      </c>
    </row>
    <row r="61" spans="1:3">
      <c r="A61" s="156">
        <f>LongTest!D40</f>
        <v>660</v>
      </c>
      <c r="B61" s="160">
        <f>LongTest!G40</f>
        <v>17.597950797185671</v>
      </c>
      <c r="C61" s="158">
        <v>1</v>
      </c>
    </row>
    <row r="62" spans="1:3">
      <c r="A62" s="156">
        <f>LongTest!D41</f>
        <v>720</v>
      </c>
      <c r="B62" s="160">
        <f>LongTest!G41</f>
        <v>17.765692547719869</v>
      </c>
      <c r="C62" s="158">
        <v>1</v>
      </c>
    </row>
    <row r="63" spans="1:3">
      <c r="A63" s="156">
        <f>LongTest!D42</f>
        <v>780</v>
      </c>
      <c r="B63" s="160">
        <f>LongTest!G42</f>
        <v>17.920000000000002</v>
      </c>
      <c r="C63" s="158">
        <v>1</v>
      </c>
    </row>
    <row r="64" spans="1:3">
      <c r="A64" s="156">
        <f>LongTest!D43</f>
        <v>840</v>
      </c>
      <c r="B64" s="160">
        <f>LongTest!G43</f>
        <v>17.920000000000002</v>
      </c>
      <c r="C64" s="158">
        <v>1</v>
      </c>
    </row>
    <row r="65" spans="1:3">
      <c r="A65" s="156">
        <f>LongTest!D44</f>
        <v>900</v>
      </c>
      <c r="B65" s="160">
        <f>LongTest!G44</f>
        <v>17.920000000000002</v>
      </c>
      <c r="C65" s="158">
        <v>1</v>
      </c>
    </row>
    <row r="66" spans="1:3">
      <c r="A66" s="156">
        <f>LongTest!D45</f>
        <v>960</v>
      </c>
      <c r="B66" s="160">
        <f>LongTest!G45</f>
        <v>17.920000000000002</v>
      </c>
      <c r="C66" s="158">
        <v>1</v>
      </c>
    </row>
    <row r="67" spans="1:3">
      <c r="A67" s="156">
        <f>LongTest!D46</f>
        <v>1020</v>
      </c>
      <c r="B67" s="160">
        <f>LongTest!G46</f>
        <v>17.920000000000002</v>
      </c>
      <c r="C67" s="158">
        <v>1</v>
      </c>
    </row>
    <row r="68" spans="1:3">
      <c r="A68" s="156">
        <f>LongTest!D47</f>
        <v>1080</v>
      </c>
      <c r="B68" s="160">
        <f>LongTest!G47</f>
        <v>17.920000000000002</v>
      </c>
      <c r="C68" s="158">
        <v>1</v>
      </c>
    </row>
    <row r="69" spans="1:3">
      <c r="A69" s="156">
        <f>LongTest!D48</f>
        <v>1140</v>
      </c>
      <c r="B69" s="160">
        <f>LongTest!G48</f>
        <v>17.920000000000002</v>
      </c>
      <c r="C69" s="158">
        <v>1</v>
      </c>
    </row>
    <row r="70" spans="1:3">
      <c r="A70" s="156">
        <f>LongTest!D49</f>
        <v>1200</v>
      </c>
      <c r="B70" s="160">
        <f>LongTest!G49</f>
        <v>17.920000000000002</v>
      </c>
      <c r="C70" s="158">
        <v>1</v>
      </c>
    </row>
    <row r="71" spans="1:3">
      <c r="A71" s="156">
        <f>LongTest!D50</f>
        <v>1260</v>
      </c>
      <c r="B71" s="160">
        <f>LongTest!G50</f>
        <v>17.920000000000002</v>
      </c>
      <c r="C71" s="158">
        <v>1</v>
      </c>
    </row>
    <row r="72" spans="1:3">
      <c r="A72" s="156">
        <f>LongTest!D51</f>
        <v>1320</v>
      </c>
      <c r="B72" s="160">
        <f>LongTest!G51</f>
        <v>17.920000000000002</v>
      </c>
      <c r="C72" s="158">
        <v>1</v>
      </c>
    </row>
    <row r="73" spans="1:3">
      <c r="A73" s="156">
        <f>LongTest!D52</f>
        <v>1380</v>
      </c>
      <c r="B73" s="160">
        <f>LongTest!G52</f>
        <v>17.920000000000002</v>
      </c>
      <c r="C73" s="158">
        <v>1</v>
      </c>
    </row>
    <row r="74" spans="1:3">
      <c r="A74" s="156">
        <f>LongTest!D53</f>
        <v>1440</v>
      </c>
      <c r="B74" s="160">
        <f>LongTest!G53</f>
        <v>17.920000000000002</v>
      </c>
      <c r="C74" s="158">
        <v>1</v>
      </c>
    </row>
    <row r="75" spans="1:3">
      <c r="A75" s="156">
        <f>LongTest!D54</f>
        <v>1500</v>
      </c>
      <c r="B75" s="160">
        <f>LongTest!G54</f>
        <v>17.920000000000002</v>
      </c>
      <c r="C75" s="158">
        <v>1</v>
      </c>
    </row>
    <row r="76" spans="1:3">
      <c r="A76" s="156">
        <f>LongTest!D55</f>
        <v>1560</v>
      </c>
      <c r="B76" s="160">
        <f>LongTest!G55</f>
        <v>17.920000000000002</v>
      </c>
      <c r="C76" s="158">
        <v>1</v>
      </c>
    </row>
    <row r="77" spans="1:3">
      <c r="A77" s="156">
        <f>LongTest!D56</f>
        <v>1620</v>
      </c>
      <c r="B77" s="160">
        <f>LongTest!G56</f>
        <v>17.920000000000002</v>
      </c>
      <c r="C77" s="158">
        <v>1</v>
      </c>
    </row>
    <row r="78" spans="1:3">
      <c r="A78" s="156">
        <f>LongTest!D57</f>
        <v>1680</v>
      </c>
      <c r="B78" s="160">
        <f>LongTest!G57</f>
        <v>17.920000000000002</v>
      </c>
      <c r="C78" s="158">
        <v>1</v>
      </c>
    </row>
    <row r="79" spans="1:3">
      <c r="A79" s="156">
        <f>LongTest!D58</f>
        <v>1740</v>
      </c>
      <c r="B79" s="160">
        <f>LongTest!G58</f>
        <v>17.920000000000002</v>
      </c>
      <c r="C79" s="158">
        <v>1</v>
      </c>
    </row>
    <row r="80" spans="1:3">
      <c r="A80" s="156">
        <f>LongTest!D59</f>
        <v>1800</v>
      </c>
      <c r="B80" s="160">
        <f>LongTest!G59</f>
        <v>17.920000000000002</v>
      </c>
      <c r="C80" s="158">
        <v>1</v>
      </c>
    </row>
    <row r="81" spans="1:3">
      <c r="A81" s="156">
        <f>LongTest!D60</f>
        <v>1860</v>
      </c>
      <c r="B81" s="160">
        <f>LongTest!G60</f>
        <v>17.920000000000002</v>
      </c>
      <c r="C81" s="158">
        <v>1</v>
      </c>
    </row>
    <row r="82" spans="1:3">
      <c r="A82" s="156">
        <f>LongTest!D61</f>
        <v>1920</v>
      </c>
      <c r="B82" s="160">
        <f>LongTest!G61</f>
        <v>17.920000000000002</v>
      </c>
      <c r="C82" s="158">
        <v>1</v>
      </c>
    </row>
    <row r="83" spans="1:3">
      <c r="A83" s="156">
        <f>LongTest!D62</f>
        <v>1980</v>
      </c>
      <c r="B83" s="160">
        <f>LongTest!G62</f>
        <v>17.920000000000002</v>
      </c>
      <c r="C83" s="158">
        <v>1</v>
      </c>
    </row>
    <row r="84" spans="1:3">
      <c r="A84" s="156">
        <f>LongTest!D63</f>
        <v>2040</v>
      </c>
      <c r="B84" s="160">
        <f>LongTest!G63</f>
        <v>17.920000000000002</v>
      </c>
      <c r="C84" s="158">
        <v>1</v>
      </c>
    </row>
    <row r="85" spans="1:3">
      <c r="A85" s="156">
        <f>LongTest!D64</f>
        <v>2100</v>
      </c>
      <c r="B85" s="160">
        <f>LongTest!G64</f>
        <v>17.920000000000002</v>
      </c>
      <c r="C85" s="158">
        <v>1</v>
      </c>
    </row>
    <row r="86" spans="1:3">
      <c r="A86" s="156">
        <f>LongTest!D65</f>
        <v>2160</v>
      </c>
      <c r="B86" s="160">
        <f>LongTest!G65</f>
        <v>17.920000000000002</v>
      </c>
      <c r="C86" s="158">
        <v>1</v>
      </c>
    </row>
    <row r="87" spans="1:3">
      <c r="A87" s="156">
        <f>LongTest!D66</f>
        <v>2220</v>
      </c>
      <c r="B87" s="160">
        <f>LongTest!G66</f>
        <v>17.920000000000002</v>
      </c>
      <c r="C87" s="158">
        <v>1</v>
      </c>
    </row>
    <row r="88" spans="1:3">
      <c r="A88" s="156">
        <f>LongTest!D67</f>
        <v>2280</v>
      </c>
      <c r="B88" s="160">
        <f>LongTest!G67</f>
        <v>17.920000000000002</v>
      </c>
      <c r="C88" s="158">
        <v>1</v>
      </c>
    </row>
    <row r="89" spans="1:3">
      <c r="A89" s="156">
        <f>LongTest!D68</f>
        <v>2340</v>
      </c>
      <c r="B89" s="160">
        <f>LongTest!G68</f>
        <v>17.920000000000002</v>
      </c>
      <c r="C89" s="158">
        <v>1</v>
      </c>
    </row>
    <row r="90" spans="1:3">
      <c r="A90" s="156">
        <f>LongTest!D69</f>
        <v>2400</v>
      </c>
      <c r="B90" s="160">
        <f>LongTest!G69</f>
        <v>17.920000000000002</v>
      </c>
      <c r="C90" s="158">
        <v>1</v>
      </c>
    </row>
    <row r="91" spans="1:3">
      <c r="A91" s="156">
        <f>LongTest!D70</f>
        <v>2460</v>
      </c>
      <c r="B91" s="160">
        <f>LongTest!G70</f>
        <v>17.920000000000002</v>
      </c>
      <c r="C91" s="158">
        <v>1</v>
      </c>
    </row>
    <row r="92" spans="1:3">
      <c r="A92" s="156">
        <f>LongTest!D71</f>
        <v>2520</v>
      </c>
      <c r="B92" s="160">
        <f>LongTest!G71</f>
        <v>17.920000000000002</v>
      </c>
      <c r="C92" s="158">
        <v>1</v>
      </c>
    </row>
    <row r="93" spans="1:3">
      <c r="A93" s="156">
        <f>LongTest!D72</f>
        <v>2580</v>
      </c>
      <c r="B93" s="160">
        <f>LongTest!G72</f>
        <v>17.920000000000002</v>
      </c>
      <c r="C93" s="158">
        <v>1</v>
      </c>
    </row>
    <row r="94" spans="1:3">
      <c r="A94" s="156">
        <f>LongTest!D73</f>
        <v>2640</v>
      </c>
      <c r="B94" s="160">
        <f>LongTest!G73</f>
        <v>17.920000000000002</v>
      </c>
      <c r="C94" s="158">
        <v>1</v>
      </c>
    </row>
    <row r="95" spans="1:3">
      <c r="A95" s="156">
        <f>LongTest!D74</f>
        <v>2700</v>
      </c>
      <c r="B95" s="160">
        <f>LongTest!G74</f>
        <v>17.920000000000002</v>
      </c>
      <c r="C95" s="158">
        <v>1</v>
      </c>
    </row>
    <row r="96" spans="1:3">
      <c r="A96" s="156">
        <f>LongTest!D75</f>
        <v>2760</v>
      </c>
      <c r="B96" s="160">
        <f>LongTest!G75</f>
        <v>17.920000000000002</v>
      </c>
      <c r="C96" s="158">
        <v>1</v>
      </c>
    </row>
    <row r="97" spans="1:3">
      <c r="A97" s="156">
        <f>LongTest!D76</f>
        <v>2820</v>
      </c>
      <c r="B97" s="160">
        <f>LongTest!G76</f>
        <v>17.920000000000002</v>
      </c>
      <c r="C97" s="158">
        <v>1</v>
      </c>
    </row>
    <row r="98" spans="1:3">
      <c r="A98" s="156">
        <f>LongTest!D77</f>
        <v>2880</v>
      </c>
      <c r="B98" s="160">
        <f>LongTest!G77</f>
        <v>17.920000000000002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227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1.8089999999999999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17.920000000000002</v>
      </c>
      <c r="C32" s="158">
        <v>1</v>
      </c>
    </row>
    <row r="33" spans="1:3">
      <c r="A33" s="156">
        <f>$A$32+LongTest!D78</f>
        <v>2881</v>
      </c>
      <c r="B33" s="157">
        <f>LongTest!G78</f>
        <v>11.963842431837994</v>
      </c>
      <c r="C33" s="158">
        <v>1</v>
      </c>
    </row>
    <row r="34" spans="1:3">
      <c r="A34" s="156">
        <f>$A$32+LongTest!D79</f>
        <v>2882</v>
      </c>
      <c r="B34" s="157">
        <f>LongTest!G79</f>
        <v>10.971614617336224</v>
      </c>
      <c r="C34" s="158">
        <v>1</v>
      </c>
    </row>
    <row r="35" spans="1:3">
      <c r="A35" s="156">
        <f>$A$32+LongTest!D80</f>
        <v>2883</v>
      </c>
      <c r="B35" s="157">
        <f>LongTest!G80</f>
        <v>10.061677759229118</v>
      </c>
      <c r="C35" s="158">
        <v>1</v>
      </c>
    </row>
    <row r="36" spans="1:3">
      <c r="A36" s="156">
        <f>$A$32+LongTest!D81</f>
        <v>2884</v>
      </c>
      <c r="B36" s="157">
        <f>LongTest!G81</f>
        <v>9.2272070120473355</v>
      </c>
      <c r="C36" s="158">
        <v>1</v>
      </c>
    </row>
    <row r="37" spans="1:3">
      <c r="A37" s="156">
        <f>$A$32+LongTest!D82</f>
        <v>2885</v>
      </c>
      <c r="B37" s="157">
        <f>LongTest!G82</f>
        <v>8.4619435526127074</v>
      </c>
      <c r="C37" s="158">
        <v>1</v>
      </c>
    </row>
    <row r="38" spans="1:3">
      <c r="A38" s="156">
        <f>$A$32+LongTest!D83</f>
        <v>2890</v>
      </c>
      <c r="B38" s="157">
        <f>LongTest!G83</f>
        <v>6.5263401226708826</v>
      </c>
      <c r="C38" s="158">
        <v>1</v>
      </c>
    </row>
    <row r="39" spans="1:3">
      <c r="A39" s="156">
        <f>$A$32+LongTest!D84</f>
        <v>2895</v>
      </c>
      <c r="B39" s="157">
        <f>LongTest!G84</f>
        <v>6.1603153335984908</v>
      </c>
      <c r="C39" s="158">
        <v>1</v>
      </c>
    </row>
    <row r="40" spans="1:3">
      <c r="A40" s="156">
        <f>$A$32+LongTest!D85</f>
        <v>2900</v>
      </c>
      <c r="B40" s="157">
        <f>LongTest!G85</f>
        <v>5.1808696190245307</v>
      </c>
      <c r="C40" s="158">
        <v>1</v>
      </c>
    </row>
    <row r="41" spans="1:3">
      <c r="A41" s="156">
        <f>$A$32+LongTest!D86</f>
        <v>2905</v>
      </c>
      <c r="B41" s="157">
        <f>LongTest!G86</f>
        <v>4.7511913640164902</v>
      </c>
      <c r="C41" s="158">
        <v>1</v>
      </c>
    </row>
    <row r="42" spans="1:3">
      <c r="A42" s="156">
        <f>$A$32+LongTest!D87</f>
        <v>2910</v>
      </c>
      <c r="B42" s="157">
        <f>LongTest!G87</f>
        <v>4.3571487100567348</v>
      </c>
      <c r="C42" s="158">
        <v>1</v>
      </c>
    </row>
    <row r="43" spans="1:3">
      <c r="A43" s="156">
        <f>$A$32+LongTest!D88</f>
        <v>2915</v>
      </c>
      <c r="B43" s="157">
        <f>LongTest!G88</f>
        <v>4.2332020977033453</v>
      </c>
      <c r="C43" s="158">
        <v>1</v>
      </c>
    </row>
    <row r="44" spans="1:3">
      <c r="A44" s="156">
        <f>$A$32+LongTest!D89</f>
        <v>2920</v>
      </c>
      <c r="B44" s="157">
        <f>LongTest!G89</f>
        <v>4.1127813605807964</v>
      </c>
      <c r="C44" s="158">
        <v>1</v>
      </c>
    </row>
    <row r="45" spans="1:3">
      <c r="A45" s="156">
        <f>$A$32+LongTest!D90</f>
        <v>2925</v>
      </c>
      <c r="B45" s="157">
        <f>LongTest!G90</f>
        <v>3.9957861990850301</v>
      </c>
      <c r="C45" s="158">
        <v>1</v>
      </c>
    </row>
    <row r="46" spans="1:3">
      <c r="A46" s="156">
        <f>$A$32+LongTest!D91</f>
        <v>2930</v>
      </c>
      <c r="B46" s="157">
        <f>LongTest!G91</f>
        <v>3.882119166807271</v>
      </c>
      <c r="C46" s="158">
        <v>1</v>
      </c>
    </row>
    <row r="47" spans="1:3">
      <c r="A47" s="156">
        <f>$A$32+LongTest!D92</f>
        <v>2935</v>
      </c>
      <c r="B47" s="157">
        <f>LongTest!G92</f>
        <v>3.771685589369961</v>
      </c>
      <c r="C47" s="158">
        <v>1</v>
      </c>
    </row>
    <row r="48" spans="1:3">
      <c r="A48" s="156">
        <f>$A$32+LongTest!D93</f>
        <v>2940</v>
      </c>
      <c r="B48" s="157">
        <f>LongTest!G93</f>
        <v>3.6643934855715536</v>
      </c>
      <c r="C48" s="158">
        <v>1</v>
      </c>
    </row>
    <row r="49" spans="1:3">
      <c r="A49" s="156">
        <f>$A$32+LongTest!D94</f>
        <v>2955</v>
      </c>
      <c r="B49" s="157">
        <f>LongTest!G94</f>
        <v>3.5601534907744714</v>
      </c>
      <c r="C49" s="158">
        <v>1</v>
      </c>
    </row>
    <row r="50" spans="1:3">
      <c r="A50" s="156">
        <f>$A$32+LongTest!D95</f>
        <v>2970</v>
      </c>
      <c r="B50" s="157">
        <f>LongTest!G95</f>
        <v>3.4588787824724352</v>
      </c>
      <c r="C50" s="158">
        <v>1</v>
      </c>
    </row>
    <row r="51" spans="1:3">
      <c r="A51" s="156">
        <f>$A$32+LongTest!D96</f>
        <v>2985</v>
      </c>
      <c r="B51" s="157">
        <f>LongTest!G96</f>
        <v>3.360485007975146</v>
      </c>
      <c r="C51" s="158">
        <v>1</v>
      </c>
    </row>
    <row r="52" spans="1:3">
      <c r="A52" s="156">
        <f>$A$32+LongTest!D97</f>
        <v>3000</v>
      </c>
      <c r="B52" s="157">
        <f>LongTest!G97</f>
        <v>3.081781346160295</v>
      </c>
      <c r="C52" s="158">
        <v>1</v>
      </c>
    </row>
    <row r="53" spans="1:3">
      <c r="A53" s="156">
        <f>$A$32+LongTest!D98</f>
        <v>3060</v>
      </c>
      <c r="B53" s="157">
        <f>LongTest!G98</f>
        <v>2.9941147588370765</v>
      </c>
      <c r="C53" s="158">
        <v>1</v>
      </c>
    </row>
    <row r="54" spans="1:3">
      <c r="A54" s="156">
        <f>$A$32+LongTest!D99</f>
        <v>3120</v>
      </c>
      <c r="B54" s="157">
        <f>LongTest!G99</f>
        <v>2.5180721034406384</v>
      </c>
      <c r="C54" s="158">
        <v>1</v>
      </c>
    </row>
    <row r="55" spans="1:3">
      <c r="A55" s="156">
        <f>$A$32+LongTest!D100</f>
        <v>3180</v>
      </c>
      <c r="B55" s="157">
        <f>LongTest!G100</f>
        <v>2.117716797397807</v>
      </c>
      <c r="C55" s="158">
        <v>1</v>
      </c>
    </row>
    <row r="56" spans="1:3">
      <c r="A56" s="156">
        <f>$A$32+LongTest!D101</f>
        <v>3240</v>
      </c>
      <c r="B56" s="157">
        <f>LongTest!G101</f>
        <v>1.7810150979604575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  <mc:AlternateContent xmlns:mc="http://schemas.openxmlformats.org/markup-compatibility/2006">
      <mc:Choice Requires="x14">
        <control shapeId="10244" r:id="rId10" name="CommandButton4">
          <controlPr defaultSize="0" autoLine="0" r:id="rId11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2024-06-13T01:54:35Z</dcterms:modified>
</cp:coreProperties>
</file>