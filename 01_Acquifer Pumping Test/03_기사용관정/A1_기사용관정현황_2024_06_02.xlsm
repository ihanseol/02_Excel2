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6_지열공 - 봉래메리츠, 3개공 - 한일지하수\"/>
    </mc:Choice>
  </mc:AlternateContent>
  <xr:revisionPtr revIDLastSave="0" documentId="13_ncr:1_{34B6CFAF-72B7-4747-AE57-EF3029FCBF4C}" xr6:coauthVersionLast="47" xr6:coauthVersionMax="47" xr10:uidLastSave="{00000000-0000-0000-0000-000000000000}"/>
  <bookViews>
    <workbookView xWindow="5295" yWindow="555" windowWidth="30900" windowHeight="203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aa!#REF!</definedName>
    <definedName name="SUM_II">ii!$L$7</definedName>
    <definedName name="SUM_SS">ss!#REF!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0" l="1"/>
  <c r="C7" i="10"/>
  <c r="D6" i="10"/>
  <c r="C6" i="10"/>
  <c r="H93" i="8" l="1"/>
  <c r="D8" i="10"/>
  <c r="L92" i="8"/>
  <c r="L93" i="8" s="1"/>
  <c r="M83" i="8" l="1"/>
  <c r="M84" i="8"/>
  <c r="M85" i="8"/>
  <c r="M86" i="8"/>
  <c r="M87" i="8"/>
  <c r="M88" i="8"/>
  <c r="M73" i="8"/>
  <c r="M74" i="8"/>
  <c r="M75" i="8"/>
  <c r="M76" i="8"/>
  <c r="M77" i="8"/>
  <c r="M78" i="8"/>
  <c r="M79" i="8"/>
  <c r="M80" i="8"/>
  <c r="M81" i="8"/>
  <c r="M82" i="8"/>
  <c r="M63" i="8"/>
  <c r="M64" i="8"/>
  <c r="M65" i="8"/>
  <c r="M66" i="8"/>
  <c r="M67" i="8"/>
  <c r="M68" i="8"/>
  <c r="M69" i="8"/>
  <c r="M70" i="8"/>
  <c r="M71" i="8"/>
  <c r="M72" i="8"/>
  <c r="M53" i="8"/>
  <c r="M54" i="8"/>
  <c r="M55" i="8"/>
  <c r="M56" i="8"/>
  <c r="M57" i="8"/>
  <c r="M58" i="8"/>
  <c r="M59" i="8"/>
  <c r="M60" i="8"/>
  <c r="M61" i="8"/>
  <c r="M62" i="8"/>
  <c r="M43" i="8"/>
  <c r="M44" i="8"/>
  <c r="M45" i="8"/>
  <c r="M46" i="8"/>
  <c r="M47" i="8"/>
  <c r="M48" i="8"/>
  <c r="M49" i="8"/>
  <c r="M50" i="8"/>
  <c r="M51" i="8"/>
  <c r="M52" i="8"/>
  <c r="M33" i="8"/>
  <c r="M34" i="8"/>
  <c r="M35" i="8"/>
  <c r="M36" i="8"/>
  <c r="M37" i="8"/>
  <c r="M38" i="8"/>
  <c r="M39" i="8"/>
  <c r="M40" i="8"/>
  <c r="M41" i="8"/>
  <c r="M42" i="8"/>
  <c r="M23" i="8"/>
  <c r="M24" i="8"/>
  <c r="M25" i="8"/>
  <c r="M26" i="8"/>
  <c r="M27" i="8"/>
  <c r="M28" i="8"/>
  <c r="M29" i="8"/>
  <c r="M30" i="8"/>
  <c r="M31" i="8"/>
  <c r="M32" i="8"/>
  <c r="M3" i="11"/>
  <c r="M4" i="11"/>
  <c r="M14" i="8"/>
  <c r="M15" i="8"/>
  <c r="M16" i="8"/>
  <c r="M17" i="8"/>
  <c r="M18" i="8"/>
  <c r="M19" i="8"/>
  <c r="M20" i="8"/>
  <c r="M21" i="8"/>
  <c r="M22" i="8"/>
  <c r="M4" i="8"/>
  <c r="M5" i="8"/>
  <c r="M6" i="8"/>
  <c r="M7" i="8"/>
  <c r="M8" i="8"/>
  <c r="M9" i="8"/>
  <c r="M10" i="8"/>
  <c r="M11" i="8"/>
  <c r="M12" i="8"/>
  <c r="M13" i="8"/>
  <c r="M2" i="8" l="1"/>
  <c r="M3" i="8"/>
  <c r="F94" i="8" l="1"/>
  <c r="E94" i="8" s="1"/>
  <c r="F93" i="8"/>
  <c r="E93" i="8" s="1"/>
  <c r="J9" i="12"/>
  <c r="M2" i="10"/>
  <c r="D11" i="11" l="1"/>
  <c r="C11" i="11"/>
  <c r="D10" i="11"/>
  <c r="L7" i="11"/>
  <c r="M2" i="11"/>
  <c r="C10" i="11" l="1"/>
  <c r="J94" i="8"/>
  <c r="I94" i="8" s="1"/>
  <c r="J93" i="8"/>
  <c r="I93" i="8" s="1"/>
  <c r="D12" i="11"/>
  <c r="H94" i="8" l="1"/>
  <c r="D94" i="8" l="1"/>
  <c r="G94" i="8"/>
  <c r="C94" i="8" s="1"/>
  <c r="D93" i="8"/>
  <c r="L95" i="8" s="1"/>
  <c r="G93" i="8"/>
  <c r="C93" i="8" s="1"/>
  <c r="L96" i="8" s="1"/>
</calcChain>
</file>

<file path=xl/sharedStrings.xml><?xml version="1.0" encoding="utf-8"?>
<sst xmlns="http://schemas.openxmlformats.org/spreadsheetml/2006/main" count="2933" uniqueCount="658">
  <si>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</si>
  <si>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</si>
  <si>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</si>
  <si>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</si>
  <si>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</si>
  <si>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</si>
  <si>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</si>
  <si>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</si>
  <si>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</si>
  <si>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</si>
  <si>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</si>
  <si>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</si>
  <si>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</si>
  <si>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</si>
  <si>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</si>
  <si>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</si>
  <si>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</si>
  <si>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</si>
  <si>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</si>
  <si>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</si>
  <si>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</si>
  <si>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</si>
  <si>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</si>
  <si>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</si>
  <si>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</si>
  <si>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</si>
  <si>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</si>
  <si>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</si>
  <si>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</si>
  <si>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</si>
  <si>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</si>
  <si>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</si>
  <si>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</si>
  <si>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</si>
  <si>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</si>
  <si>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</si>
  <si>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</si>
  <si>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</si>
  <si>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</si>
  <si>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</si>
  <si>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</si>
  <si>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</si>
  <si>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</si>
  <si>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</si>
  <si>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</si>
  <si>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</si>
  <si>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</si>
  <si>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</si>
  <si>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</si>
  <si>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</si>
  <si>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</si>
  <si>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</si>
  <si>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</si>
  <si>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</si>
  <si>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</si>
  <si>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</si>
  <si>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</si>
  <si>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</si>
  <si>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</si>
  <si>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</si>
  <si>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</si>
  <si>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</si>
  <si>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</si>
  <si>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</si>
  <si>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</si>
  <si>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</si>
  <si>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</si>
  <si>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</si>
  <si>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</si>
  <si>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</si>
  <si>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</si>
  <si>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</si>
  <si>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</si>
  <si>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</si>
  <si>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</si>
  <si>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</si>
  <si>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</si>
  <si>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</si>
  <si>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</si>
  <si>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</si>
  <si>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</si>
  <si>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</si>
  <si>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</si>
  <si>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</si>
  <si>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</si>
  <si>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</si>
  <si>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</si>
  <si>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</si>
  <si>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</si>
  <si>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</si>
  <si>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</si>
  <si>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</si>
  <si>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</si>
  <si>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</si>
  <si>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</si>
  <si>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</si>
  <si>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</si>
  <si>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</si>
  <si>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</si>
  <si>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</si>
  <si>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</si>
  <si>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</si>
  <si>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</si>
  <si>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</si>
  <si>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</si>
  <si>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</si>
  <si>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</si>
  <si>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</si>
  <si>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</si>
  <si>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</si>
  <si>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</si>
  <si>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</si>
  <si>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</si>
  <si>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</si>
  <si>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</si>
  <si>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</si>
  <si>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</si>
  <si>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</si>
  <si>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</si>
  <si>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</si>
  <si>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</si>
  <si>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</si>
  <si>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</si>
  <si>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</si>
  <si>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</si>
  <si>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</si>
  <si>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</si>
  <si>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</si>
  <si>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</si>
  <si>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</si>
  <si>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</si>
  <si>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</si>
  <si>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</si>
  <si>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</si>
  <si>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</si>
  <si>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</si>
  <si>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</si>
  <si>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</si>
  <si>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</si>
  <si>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</si>
  <si>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</si>
  <si>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</si>
  <si>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</si>
  <si>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</si>
  <si>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</si>
  <si>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</si>
  <si>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</si>
  <si>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</si>
  <si>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</si>
  <si>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</si>
  <si>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</si>
  <si>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</si>
  <si>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</si>
  <si>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</si>
  <si>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</si>
  <si>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</si>
  <si>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</si>
  <si>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</si>
  <si>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</si>
  <si>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</si>
  <si>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</si>
  <si>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</si>
  <si>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</si>
  <si>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</si>
  <si>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</si>
  <si>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</si>
  <si>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</si>
  <si>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</si>
  <si>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</si>
  <si>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</si>
  <si>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</si>
  <si>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</si>
  <si>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</si>
  <si>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</si>
  <si>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</si>
  <si>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</si>
  <si>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</si>
  <si>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</si>
  <si>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</si>
  <si>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</si>
  <si>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</si>
  <si>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</si>
  <si>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</si>
  <si>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</si>
  <si>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</si>
  <si>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</si>
  <si>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</si>
  <si>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</si>
  <si>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</si>
  <si>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</si>
  <si>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</si>
  <si>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</si>
  <si>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</si>
  <si>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</si>
  <si>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</si>
  <si>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</si>
  <si>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</si>
  <si>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</si>
  <si>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</si>
  <si>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</si>
  <si>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</si>
  <si>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</si>
  <si>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</si>
  <si>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</si>
  <si>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</si>
  <si>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</si>
  <si>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</si>
  <si>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</si>
  <si>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</si>
  <si>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</si>
  <si>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</si>
  <si>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</si>
  <si>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</si>
  <si>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</si>
  <si>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</si>
  <si>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</si>
  <si>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</si>
  <si>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</si>
  <si>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</si>
  <si>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</si>
  <si>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</si>
  <si>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</si>
  <si>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</si>
  <si>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</si>
  <si>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</si>
  <si>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</si>
  <si>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</si>
  <si>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</si>
  <si>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</si>
  <si>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</si>
  <si>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</si>
  <si>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</si>
  <si>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</si>
  <si>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</si>
  <si>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</si>
  <si>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</si>
  <si>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</si>
  <si>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</si>
  <si>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</si>
  <si>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</si>
  <si>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</si>
  <si>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</si>
  <si>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</si>
  <si>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</si>
  <si>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</si>
  <si>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</si>
  <si>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</si>
  <si>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</si>
  <si>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</si>
  <si>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</si>
  <si>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</si>
  <si>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</si>
  <si>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</si>
  <si>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</si>
  <si>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</si>
  <si>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</si>
  <si>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</si>
  <si>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</si>
  <si>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</si>
  <si>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</si>
  <si>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</si>
  <si>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</si>
  <si>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</si>
  <si>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</si>
  <si>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</si>
  <si>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</si>
  <si>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</si>
  <si>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</si>
  <si>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</si>
  <si>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</si>
  <si>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</si>
  <si>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</si>
  <si>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</si>
  <si>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</si>
  <si>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</si>
  <si>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</si>
  <si>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</si>
  <si>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</si>
  <si>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</si>
  <si>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</si>
  <si>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</si>
  <si>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</si>
  <si>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</si>
  <si>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</si>
  <si>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</si>
  <si>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</si>
  <si>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</si>
  <si>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</si>
  <si>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</si>
  <si>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</si>
  <si>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</si>
  <si>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</si>
  <si>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</si>
  <si>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</si>
  <si>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</si>
  <si>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</si>
  <si>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</si>
  <si>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</si>
  <si>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</si>
  <si>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</si>
  <si>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</si>
  <si>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</si>
  <si>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</si>
  <si>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</si>
  <si>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</si>
  <si>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</si>
  <si>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</si>
  <si>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</si>
  <si>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</si>
  <si>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</si>
  <si>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</si>
  <si>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</si>
  <si>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</si>
  <si>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</si>
  <si>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</si>
  <si>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</si>
  <si>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</si>
  <si>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</si>
  <si>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</si>
  <si>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</si>
  <si>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</si>
  <si>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</si>
  <si>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</si>
  <si>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</si>
  <si>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</si>
  <si>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</si>
  <si>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</si>
  <si>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</si>
  <si>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</si>
  <si>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</si>
  <si>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</si>
  <si>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</si>
  <si>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</si>
  <si>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</si>
  <si>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답작용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</si>
  <si>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</si>
  <si>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</si>
  <si>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</si>
  <si>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</si>
  <si>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</si>
  <si>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</si>
  <si>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</si>
  <si>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</si>
  <si>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</si>
  <si>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</si>
  <si>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</si>
  <si>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</si>
  <si>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</si>
  <si>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</si>
  <si>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</si>
  <si>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</si>
  <si>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</si>
  <si>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</si>
  <si>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</si>
  <si>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</si>
  <si>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</si>
  <si>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</si>
  <si>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</si>
  <si>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</si>
  <si>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</si>
  <si>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</si>
  <si>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</si>
  <si>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</si>
  <si>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</si>
  <si>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</si>
  <si>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</si>
  <si>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</si>
  <si>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</si>
  <si>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</si>
  <si>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</si>
  <si>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</si>
  <si>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</si>
  <si>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</si>
  <si>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</si>
  <si>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</si>
  <si>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</si>
  <si>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</si>
  <si>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</si>
  <si>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</si>
  <si>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</si>
  <si>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</si>
  <si>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</si>
  <si>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</si>
  <si>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</si>
  <si>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</si>
  <si>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</si>
  <si>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</si>
  <si>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</si>
  <si>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</si>
  <si>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</si>
  <si>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</si>
  <si>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</si>
  <si>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</si>
  <si>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</si>
  <si>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</si>
  <si>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</si>
  <si>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</si>
  <si>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</si>
  <si>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</si>
  <si>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</si>
  <si>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</si>
  <si>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</si>
  <si>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</si>
  <si>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</si>
  <si>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</si>
  <si>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</si>
  <si>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</si>
  <si>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</si>
  <si>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</si>
  <si>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</si>
  <si>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</si>
  <si>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</si>
  <si>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</si>
  <si>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</si>
  <si>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</si>
  <si>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</si>
  <si>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</si>
  <si>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</si>
  <si>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</si>
  <si>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</si>
  <si>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</si>
  <si>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</si>
  <si>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</si>
  <si>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</si>
  <si>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</si>
  <si>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</si>
  <si>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</si>
  <si>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</si>
  <si>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</si>
  <si>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</si>
  <si>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</si>
  <si>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</si>
  <si>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</si>
  <si>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</si>
  <si>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</si>
  <si>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</si>
  <si>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</si>
  <si>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</si>
  <si>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</si>
  <si>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</si>
  <si>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</si>
  <si>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</si>
  <si>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</si>
  <si>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</si>
  <si>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</si>
  <si>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</si>
  <si>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</si>
  <si>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</si>
  <si>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</si>
  <si>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</si>
  <si>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</si>
  <si>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</si>
  <si>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</si>
  <si>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</si>
  <si>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</si>
  <si>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</si>
  <si>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</si>
  <si>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</si>
  <si>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</si>
  <si>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</si>
  <si>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</si>
  <si>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</si>
  <si>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</si>
  <si>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</si>
  <si>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</si>
  <si>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</si>
  <si>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</si>
  <si>
    <t>중구</t>
    <phoneticPr fontId="19" type="noConversion"/>
  </si>
  <si>
    <t>봉래동1가</t>
    <phoneticPr fontId="19" type="noConversion"/>
  </si>
  <si>
    <t>용산구</t>
    <phoneticPr fontId="19" type="noConversion"/>
  </si>
  <si>
    <t>서계동</t>
    <phoneticPr fontId="19" type="noConversion"/>
  </si>
  <si>
    <t>47-15</t>
    <phoneticPr fontId="19" type="noConversion"/>
  </si>
  <si>
    <t>동자동</t>
    <phoneticPr fontId="19" type="noConversion"/>
  </si>
  <si>
    <t>43-205</t>
    <phoneticPr fontId="19" type="noConversion"/>
  </si>
  <si>
    <t>226-3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</si>
  <si>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</si>
  <si>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</si>
  <si>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</si>
  <si>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</si>
  <si>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</si>
  <si>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</si>
  <si>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</si>
  <si>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</si>
  <si>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</si>
  <si>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</si>
  <si>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</si>
  <si>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</si>
  <si>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</si>
  <si>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</si>
  <si>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</si>
  <si>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</si>
  <si>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</si>
  <si>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</si>
  <si>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</si>
  <si>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</si>
  <si>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224-32</t>
    <phoneticPr fontId="19" type="noConversion"/>
  </si>
  <si>
    <t>224-10</t>
    <phoneticPr fontId="19" type="noConversion"/>
  </si>
  <si>
    <t>봉래동2가</t>
    <phoneticPr fontId="19" type="noConversion"/>
  </si>
  <si>
    <t>122-11</t>
    <phoneticPr fontId="19" type="noConversion"/>
  </si>
  <si>
    <t>12</t>
    <phoneticPr fontId="19" type="noConversion"/>
  </si>
  <si>
    <t>남대문로5가</t>
  </si>
  <si>
    <t>남대문로5가</t>
    <phoneticPr fontId="19" type="noConversion"/>
  </si>
  <si>
    <t>395</t>
    <phoneticPr fontId="19" type="noConversion"/>
  </si>
  <si>
    <t>267</t>
    <phoneticPr fontId="19" type="noConversion"/>
  </si>
  <si>
    <t>526</t>
    <phoneticPr fontId="19" type="noConversion"/>
  </si>
  <si>
    <t>허가공</t>
    <phoneticPr fontId="19" type="noConversion"/>
  </si>
  <si>
    <t>84-17</t>
    <phoneticPr fontId="19" type="noConversion"/>
  </si>
  <si>
    <t>174</t>
    <phoneticPr fontId="19" type="noConversion"/>
  </si>
  <si>
    <t>84-11</t>
    <phoneticPr fontId="19" type="noConversion"/>
  </si>
  <si>
    <t>124</t>
    <phoneticPr fontId="19" type="noConversion"/>
  </si>
  <si>
    <t>공사용</t>
    <phoneticPr fontId="19" type="noConversion"/>
  </si>
  <si>
    <t>6-15</t>
    <phoneticPr fontId="19" type="noConversion"/>
  </si>
  <si>
    <t>6-1</t>
    <phoneticPr fontId="19" type="noConversion"/>
  </si>
  <si>
    <t>5-36</t>
    <phoneticPr fontId="19" type="noConversion"/>
  </si>
  <si>
    <t>25</t>
    <phoneticPr fontId="19" type="noConversion"/>
  </si>
  <si>
    <t>남창동</t>
  </si>
  <si>
    <t>남창동</t>
    <phoneticPr fontId="19" type="noConversion"/>
  </si>
  <si>
    <t>52-3</t>
    <phoneticPr fontId="19" type="noConversion"/>
  </si>
  <si>
    <t>회현동1가</t>
  </si>
  <si>
    <t>회현동1가</t>
    <phoneticPr fontId="19" type="noConversion"/>
  </si>
  <si>
    <t>181-8</t>
    <phoneticPr fontId="19" type="noConversion"/>
  </si>
  <si>
    <t>115</t>
    <phoneticPr fontId="19" type="noConversion"/>
  </si>
  <si>
    <t>142-8</t>
    <phoneticPr fontId="19" type="noConversion"/>
  </si>
  <si>
    <t>130-1</t>
    <phoneticPr fontId="19" type="noConversion"/>
  </si>
  <si>
    <t>지열냉난방</t>
    <phoneticPr fontId="19" type="noConversion"/>
  </si>
  <si>
    <t>53-6</t>
    <phoneticPr fontId="19" type="noConversion"/>
  </si>
  <si>
    <t>74-1</t>
    <phoneticPr fontId="19" type="noConversion"/>
  </si>
  <si>
    <t>63-2</t>
    <phoneticPr fontId="19" type="noConversion"/>
  </si>
  <si>
    <t>72-1</t>
    <phoneticPr fontId="19" type="noConversion"/>
  </si>
  <si>
    <t>71-1</t>
    <phoneticPr fontId="19" type="noConversion"/>
  </si>
  <si>
    <t>9-1</t>
    <phoneticPr fontId="19" type="noConversion"/>
  </si>
  <si>
    <t>202-5</t>
    <phoneticPr fontId="19" type="noConversion"/>
  </si>
  <si>
    <t>1-1</t>
    <phoneticPr fontId="19" type="noConversion"/>
  </si>
  <si>
    <t>50-42</t>
    <phoneticPr fontId="19" type="noConversion"/>
  </si>
  <si>
    <t>50-23</t>
    <phoneticPr fontId="19" type="noConversion"/>
  </si>
  <si>
    <t>50-57</t>
    <phoneticPr fontId="19" type="noConversion"/>
  </si>
  <si>
    <t>50-51</t>
    <phoneticPr fontId="19" type="noConversion"/>
  </si>
  <si>
    <t>34-150</t>
    <phoneticPr fontId="19" type="noConversion"/>
  </si>
  <si>
    <t>34-147</t>
    <phoneticPr fontId="19" type="noConversion"/>
  </si>
  <si>
    <t>34-10</t>
    <phoneticPr fontId="19" type="noConversion"/>
  </si>
  <si>
    <t>남대문로4가</t>
  </si>
  <si>
    <t>남대문로4가</t>
    <phoneticPr fontId="19" type="noConversion"/>
  </si>
  <si>
    <t>18-3</t>
    <phoneticPr fontId="19" type="noConversion"/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</si>
  <si>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</si>
  <si>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</si>
  <si>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</si>
  <si>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</si>
  <si>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</si>
  <si>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</si>
  <si>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</si>
  <si>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</si>
  <si>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</si>
  <si>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</si>
  <si>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</si>
  <si>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</si>
  <si>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</si>
  <si>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</si>
  <si>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</si>
  <si>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</si>
  <si>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</si>
  <si>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</si>
  <si>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</si>
  <si>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</si>
  <si>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</si>
  <si>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</si>
  <si>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</si>
  <si>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</si>
  <si>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</si>
  <si>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</si>
  <si>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</si>
  <si>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</si>
  <si>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</si>
  <si>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</si>
  <si>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</si>
  <si>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</si>
  <si>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</si>
  <si>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</si>
  <si>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</si>
  <si>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</si>
  <si>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</si>
  <si>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</si>
  <si>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</si>
  <si>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</si>
  <si>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18-2</t>
    <phoneticPr fontId="19" type="noConversion"/>
  </si>
  <si>
    <t>17-42</t>
    <phoneticPr fontId="19" type="noConversion"/>
  </si>
  <si>
    <t>17-7</t>
    <phoneticPr fontId="19" type="noConversion"/>
  </si>
  <si>
    <t>17-19</t>
    <phoneticPr fontId="19" type="noConversion"/>
  </si>
  <si>
    <t>북창동</t>
  </si>
  <si>
    <t>북창동</t>
    <phoneticPr fontId="19" type="noConversion"/>
  </si>
  <si>
    <t>108-13</t>
    <phoneticPr fontId="19" type="noConversion"/>
  </si>
  <si>
    <t>95</t>
    <phoneticPr fontId="19" type="noConversion"/>
  </si>
  <si>
    <t>93-43</t>
    <phoneticPr fontId="19" type="noConversion"/>
  </si>
  <si>
    <t>남대문로3가</t>
    <phoneticPr fontId="19" type="noConversion"/>
  </si>
  <si>
    <t>110</t>
    <phoneticPr fontId="19" type="noConversion"/>
  </si>
  <si>
    <t>90-1</t>
    <phoneticPr fontId="19" type="noConversion"/>
  </si>
  <si>
    <t>88-2</t>
    <phoneticPr fontId="19" type="noConversion"/>
  </si>
  <si>
    <t>19-3</t>
    <phoneticPr fontId="19" type="noConversion"/>
  </si>
  <si>
    <t>69-20</t>
    <phoneticPr fontId="19" type="noConversion"/>
  </si>
  <si>
    <t>68-6</t>
    <phoneticPr fontId="19" type="noConversion"/>
  </si>
  <si>
    <t>태평로2가</t>
  </si>
  <si>
    <t>태평로2가</t>
    <phoneticPr fontId="19" type="noConversion"/>
  </si>
  <si>
    <t>58-5</t>
    <phoneticPr fontId="19" type="noConversion"/>
  </si>
  <si>
    <t>35</t>
    <phoneticPr fontId="19" type="noConversion"/>
  </si>
  <si>
    <t>5-2</t>
    <phoneticPr fontId="19" type="noConversion"/>
  </si>
  <si>
    <t>소공동</t>
    <phoneticPr fontId="19" type="noConversion"/>
  </si>
  <si>
    <t>43</t>
    <phoneticPr fontId="19" type="noConversion"/>
  </si>
  <si>
    <t>17</t>
    <phoneticPr fontId="19" type="noConversion"/>
  </si>
  <si>
    <t>120</t>
    <phoneticPr fontId="19" type="noConversion"/>
  </si>
  <si>
    <t>150</t>
    <phoneticPr fontId="19" type="noConversion"/>
  </si>
  <si>
    <t>서소문동</t>
  </si>
  <si>
    <t>서소문동</t>
    <phoneticPr fontId="19" type="noConversion"/>
  </si>
  <si>
    <t>120-23</t>
    <phoneticPr fontId="19" type="noConversion"/>
  </si>
  <si>
    <t>250</t>
    <phoneticPr fontId="19" type="noConversion"/>
  </si>
  <si>
    <t>58-7</t>
    <phoneticPr fontId="19" type="noConversion"/>
  </si>
  <si>
    <t>55-4</t>
    <phoneticPr fontId="19" type="noConversion"/>
  </si>
  <si>
    <t>47-2</t>
    <phoneticPr fontId="19" type="noConversion"/>
  </si>
  <si>
    <t>41-3</t>
    <phoneticPr fontId="19" type="noConversion"/>
  </si>
  <si>
    <t>정동</t>
  </si>
  <si>
    <t>정동</t>
    <phoneticPr fontId="19" type="noConversion"/>
  </si>
  <si>
    <t>34-5</t>
    <phoneticPr fontId="19" type="noConversion"/>
  </si>
  <si>
    <t>순화동</t>
    <phoneticPr fontId="19" type="noConversion"/>
  </si>
  <si>
    <t>2-6</t>
    <phoneticPr fontId="19" type="noConversion"/>
  </si>
  <si>
    <t>34-35</t>
    <phoneticPr fontId="19" type="noConversion"/>
  </si>
  <si>
    <t>39-1</t>
    <phoneticPr fontId="19" type="noConversion"/>
  </si>
  <si>
    <t>5-1</t>
    <phoneticPr fontId="19" type="noConversion"/>
  </si>
  <si>
    <t>의주로1가</t>
    <phoneticPr fontId="19" type="noConversion"/>
  </si>
  <si>
    <t>44-1</t>
    <phoneticPr fontId="19" type="noConversion"/>
  </si>
  <si>
    <t>조경용</t>
    <phoneticPr fontId="19" type="noConversion"/>
  </si>
  <si>
    <t>충정로1가</t>
  </si>
  <si>
    <t>충정로1가</t>
    <phoneticPr fontId="19" type="noConversion"/>
  </si>
  <si>
    <t>85</t>
    <phoneticPr fontId="19" type="noConversion"/>
  </si>
  <si>
    <t>75-1</t>
    <phoneticPr fontId="19" type="noConversion"/>
  </si>
  <si>
    <t>11-3</t>
    <phoneticPr fontId="19" type="noConversion"/>
  </si>
  <si>
    <t>s82</t>
  </si>
  <si>
    <t>s83</t>
  </si>
  <si>
    <t>s84</t>
  </si>
  <si>
    <t>s85</t>
  </si>
  <si>
    <t>s86</t>
  </si>
  <si>
    <t>s87</t>
  </si>
  <si>
    <t>1-28</t>
    <phoneticPr fontId="19" type="noConversion"/>
  </si>
  <si>
    <t>16-1</t>
    <phoneticPr fontId="19" type="noConversion"/>
  </si>
  <si>
    <t>태평로1가</t>
  </si>
  <si>
    <t>태평로1가</t>
    <phoneticPr fontId="19" type="noConversion"/>
  </si>
  <si>
    <t>61-1</t>
    <phoneticPr fontId="19" type="noConversion"/>
  </si>
  <si>
    <t>61-21</t>
    <phoneticPr fontId="19" type="noConversion"/>
  </si>
  <si>
    <t>128-104</t>
    <phoneticPr fontId="19" type="noConversion"/>
  </si>
  <si>
    <t>중림동</t>
  </si>
  <si>
    <t>중림동</t>
    <phoneticPr fontId="19" type="noConversion"/>
  </si>
  <si>
    <t>129-43</t>
    <phoneticPr fontId="19" type="noConversion"/>
  </si>
  <si>
    <t>122-14</t>
    <phoneticPr fontId="19" type="noConversion"/>
  </si>
  <si>
    <t>128-3</t>
    <phoneticPr fontId="19" type="noConversion"/>
  </si>
  <si>
    <t>128-56</t>
    <phoneticPr fontId="19" type="noConversion"/>
  </si>
  <si>
    <t>128-10</t>
    <phoneticPr fontId="19" type="noConversion"/>
  </si>
  <si>
    <t>363</t>
    <phoneticPr fontId="19" type="noConversion"/>
  </si>
  <si>
    <t>355</t>
    <phoneticPr fontId="19" type="noConversion"/>
  </si>
  <si>
    <t>441</t>
    <phoneticPr fontId="19" type="noConversion"/>
  </si>
  <si>
    <t>만리동1가</t>
    <phoneticPr fontId="19" type="noConversion"/>
  </si>
  <si>
    <t>54-7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</si>
</sst>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000\-000"/>
    <numFmt numFmtId="180" formatCode="0.00_ 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8" fontId="32" fillId="34" borderId="25" xfId="0" applyNumberFormat="1" applyFont="1" applyFill="1" applyBorder="1" applyAlignment="1">
      <alignment horizontal="center" vertical="center"/>
    </xf>
    <xf numFmtId="178" fontId="32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180" fontId="31" fillId="0" borderId="0" xfId="0" applyNumberFormat="1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>
      <c r="B1" s="31" t="s">
        <v>217</v>
      </c>
    </row>
    <row r="2" spans="1:13" ht="34.5" customHeight="1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>
      <c r="B1" s="31" t="s">
        <v>216</v>
      </c>
      <c r="C1" s="31"/>
    </row>
    <row r="2" spans="2:12" ht="34.5" customHeight="1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112"/>
  <sheetViews>
    <sheetView tabSelected="1" topLeftCell="A59" workbookViewId="0">
      <selection activeCell="K81" sqref="K8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>
      <c r="A2" s="2" t="s">
        <v>23</v>
      </c>
      <c r="B2" s="1" t="s">
        <v>22</v>
      </c>
      <c r="C2" s="2" t="s">
        <v>469</v>
      </c>
      <c r="D2" s="2" t="s">
        <v>470</v>
      </c>
      <c r="E2" s="4" t="s">
        <v>474</v>
      </c>
      <c r="F2" s="2">
        <v>150</v>
      </c>
      <c r="G2" s="2">
        <v>200</v>
      </c>
      <c r="H2" s="2">
        <v>5</v>
      </c>
      <c r="I2" s="2">
        <v>255</v>
      </c>
      <c r="J2" s="2">
        <v>32</v>
      </c>
      <c r="K2" s="2" t="s">
        <v>149</v>
      </c>
      <c r="L2" s="10">
        <v>7.47</v>
      </c>
      <c r="M2" s="2" t="str">
        <f>D2&amp;" " &amp; E2</f>
        <v>서계동 226-3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469</v>
      </c>
      <c r="D3" s="2" t="s">
        <v>470</v>
      </c>
      <c r="E3" s="4" t="s">
        <v>495</v>
      </c>
      <c r="F3" s="2">
        <v>30</v>
      </c>
      <c r="G3" s="2">
        <v>150</v>
      </c>
      <c r="H3" s="2">
        <v>0.5</v>
      </c>
      <c r="I3" s="2">
        <v>40</v>
      </c>
      <c r="J3" s="2">
        <v>32</v>
      </c>
      <c r="K3" s="2" t="s">
        <v>153</v>
      </c>
      <c r="L3" s="10">
        <v>0.67</v>
      </c>
      <c r="M3" s="2" t="str">
        <f t="shared" ref="M3" si="0">D3&amp;" " &amp; E3</f>
        <v>서계동 224-32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469</v>
      </c>
      <c r="D4" s="2" t="s">
        <v>470</v>
      </c>
      <c r="E4" s="4" t="s">
        <v>496</v>
      </c>
      <c r="F4" s="2">
        <v>15</v>
      </c>
      <c r="G4" s="2">
        <v>32</v>
      </c>
      <c r="H4" s="2">
        <v>0.7</v>
      </c>
      <c r="I4" s="2">
        <v>30</v>
      </c>
      <c r="J4" s="2">
        <v>20</v>
      </c>
      <c r="K4" s="2" t="s">
        <v>147</v>
      </c>
      <c r="L4" s="10">
        <v>2.75</v>
      </c>
      <c r="M4" s="2" t="str">
        <f t="shared" ref="M4:M13" si="1">D4&amp;" " &amp; E4</f>
        <v>서계동 224-10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467</v>
      </c>
      <c r="D5" s="2" t="s">
        <v>497</v>
      </c>
      <c r="E5" s="4" t="s">
        <v>498</v>
      </c>
      <c r="F5" s="2">
        <v>90</v>
      </c>
      <c r="G5" s="2">
        <v>85</v>
      </c>
      <c r="H5" s="2">
        <v>1</v>
      </c>
      <c r="I5" s="2">
        <v>45</v>
      </c>
      <c r="J5" s="2">
        <v>50</v>
      </c>
      <c r="K5" s="2" t="s">
        <v>147</v>
      </c>
      <c r="L5" s="10">
        <v>3.06</v>
      </c>
      <c r="M5" s="2" t="str">
        <f t="shared" si="1"/>
        <v>봉래동2가 122-11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469</v>
      </c>
      <c r="D6" s="2" t="s">
        <v>472</v>
      </c>
      <c r="E6" s="4" t="s">
        <v>499</v>
      </c>
      <c r="F6" s="2">
        <v>132</v>
      </c>
      <c r="G6" s="2">
        <v>200</v>
      </c>
      <c r="H6" s="2">
        <v>1</v>
      </c>
      <c r="I6" s="2">
        <v>45</v>
      </c>
      <c r="J6" s="2">
        <v>25</v>
      </c>
      <c r="K6" s="2" t="s">
        <v>147</v>
      </c>
      <c r="L6" s="10">
        <v>3.06</v>
      </c>
      <c r="M6" s="2" t="str">
        <f t="shared" si="1"/>
        <v>동자동 12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467</v>
      </c>
      <c r="D7" s="2" t="s">
        <v>501</v>
      </c>
      <c r="E7" s="4" t="s">
        <v>502</v>
      </c>
      <c r="F7" s="2">
        <v>300</v>
      </c>
      <c r="G7" s="2">
        <v>200</v>
      </c>
      <c r="H7" s="2">
        <v>3</v>
      </c>
      <c r="I7" s="2">
        <v>86</v>
      </c>
      <c r="J7" s="2">
        <v>32</v>
      </c>
      <c r="K7" s="2" t="s">
        <v>147</v>
      </c>
      <c r="L7" s="10">
        <v>3.92</v>
      </c>
      <c r="M7" s="2" t="str">
        <f t="shared" si="1"/>
        <v>남대문로5가 395</v>
      </c>
      <c r="S7" s="2" t="s">
        <v>11</v>
      </c>
    </row>
    <row r="8" spans="1:19" ht="21.75" customHeight="1">
      <c r="A8" s="2" t="s">
        <v>262</v>
      </c>
      <c r="B8" s="47" t="s">
        <v>505</v>
      </c>
      <c r="C8" s="2" t="s">
        <v>467</v>
      </c>
      <c r="D8" s="2" t="s">
        <v>500</v>
      </c>
      <c r="E8" s="4" t="s">
        <v>503</v>
      </c>
      <c r="F8" s="2">
        <v>100</v>
      </c>
      <c r="G8" s="2">
        <v>200</v>
      </c>
      <c r="H8" s="2">
        <v>5</v>
      </c>
      <c r="I8" s="2">
        <v>129</v>
      </c>
      <c r="J8" s="2">
        <v>40</v>
      </c>
      <c r="K8" s="2" t="s">
        <v>147</v>
      </c>
      <c r="L8" s="10">
        <v>4.83</v>
      </c>
      <c r="M8" s="2" t="str">
        <f t="shared" si="1"/>
        <v>남대문로5가 267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467</v>
      </c>
      <c r="D9" s="2" t="s">
        <v>500</v>
      </c>
      <c r="E9" s="4" t="s">
        <v>504</v>
      </c>
      <c r="F9" s="2">
        <v>73</v>
      </c>
      <c r="G9" s="2">
        <v>150</v>
      </c>
      <c r="H9" s="2">
        <v>1</v>
      </c>
      <c r="I9" s="2">
        <v>79</v>
      </c>
      <c r="J9" s="2">
        <v>32</v>
      </c>
      <c r="K9" s="2" t="s">
        <v>147</v>
      </c>
      <c r="L9" s="10">
        <v>3.78</v>
      </c>
      <c r="M9" s="2" t="str">
        <f t="shared" si="1"/>
        <v>남대문로5가 526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467</v>
      </c>
      <c r="D10" s="2" t="s">
        <v>500</v>
      </c>
      <c r="E10" s="4" t="s">
        <v>507</v>
      </c>
      <c r="F10" s="2">
        <v>100</v>
      </c>
      <c r="G10" s="2">
        <v>200</v>
      </c>
      <c r="H10" s="2">
        <v>2</v>
      </c>
      <c r="I10" s="2">
        <v>100</v>
      </c>
      <c r="J10" s="2">
        <v>32</v>
      </c>
      <c r="K10" s="2" t="s">
        <v>147</v>
      </c>
      <c r="L10" s="10">
        <v>4.22</v>
      </c>
      <c r="M10" s="2" t="str">
        <f t="shared" si="1"/>
        <v>남대문로5가 174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467</v>
      </c>
      <c r="D11" s="2" t="s">
        <v>500</v>
      </c>
      <c r="E11" s="4" t="s">
        <v>508</v>
      </c>
      <c r="F11" s="2">
        <v>38</v>
      </c>
      <c r="G11" s="2">
        <v>200</v>
      </c>
      <c r="H11" s="2">
        <v>1</v>
      </c>
      <c r="I11" s="2">
        <v>72</v>
      </c>
      <c r="J11" s="2">
        <v>40</v>
      </c>
      <c r="K11" s="2" t="s">
        <v>147</v>
      </c>
      <c r="L11" s="10">
        <v>3.63</v>
      </c>
      <c r="M11" s="2" t="str">
        <f t="shared" si="1"/>
        <v>남대문로5가 84-11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467</v>
      </c>
      <c r="D12" s="2" t="s">
        <v>497</v>
      </c>
      <c r="E12" s="4" t="s">
        <v>509</v>
      </c>
      <c r="F12" s="2">
        <v>100</v>
      </c>
      <c r="G12" s="2">
        <v>150</v>
      </c>
      <c r="H12" s="2">
        <v>1</v>
      </c>
      <c r="I12" s="2">
        <v>65</v>
      </c>
      <c r="J12" s="2">
        <v>25</v>
      </c>
      <c r="K12" s="2" t="s">
        <v>510</v>
      </c>
      <c r="L12" s="10">
        <v>3.48</v>
      </c>
      <c r="M12" s="2" t="str">
        <f t="shared" si="1"/>
        <v>봉래동2가 124</v>
      </c>
      <c r="S12" s="2" t="s">
        <v>11</v>
      </c>
    </row>
    <row r="13" spans="1:19" ht="21.75" customHeight="1">
      <c r="A13" s="2" t="s">
        <v>322</v>
      </c>
      <c r="B13" s="47" t="s">
        <v>505</v>
      </c>
      <c r="C13" s="2" t="s">
        <v>467</v>
      </c>
      <c r="D13" s="2" t="s">
        <v>500</v>
      </c>
      <c r="E13" s="4" t="s">
        <v>511</v>
      </c>
      <c r="F13" s="2">
        <v>100</v>
      </c>
      <c r="G13" s="2">
        <v>200</v>
      </c>
      <c r="H13" s="2">
        <v>2</v>
      </c>
      <c r="I13" s="2">
        <v>45</v>
      </c>
      <c r="J13" s="2">
        <v>32</v>
      </c>
      <c r="K13" s="2" t="s">
        <v>147</v>
      </c>
      <c r="L13" s="10">
        <v>3.06</v>
      </c>
      <c r="M13" s="2" t="str">
        <f t="shared" si="1"/>
        <v>남대문로5가 6-15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467</v>
      </c>
      <c r="D14" s="2" t="s">
        <v>500</v>
      </c>
      <c r="E14" s="4" t="s">
        <v>512</v>
      </c>
      <c r="F14" s="2">
        <v>24</v>
      </c>
      <c r="G14" s="2">
        <v>32</v>
      </c>
      <c r="H14" s="2">
        <v>0.6</v>
      </c>
      <c r="I14" s="2">
        <v>30</v>
      </c>
      <c r="J14" s="2">
        <v>20</v>
      </c>
      <c r="K14" s="2" t="s">
        <v>147</v>
      </c>
      <c r="L14" s="10">
        <v>2.75</v>
      </c>
      <c r="M14" s="2" t="str">
        <f t="shared" ref="M14:M22" si="2">D14&amp;" " &amp; E14</f>
        <v>남대문로5가 6-1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467</v>
      </c>
      <c r="D15" s="2" t="s">
        <v>468</v>
      </c>
      <c r="E15" s="4" t="s">
        <v>513</v>
      </c>
      <c r="F15" s="2">
        <v>100</v>
      </c>
      <c r="G15" s="2">
        <v>200</v>
      </c>
      <c r="H15" s="2">
        <v>2</v>
      </c>
      <c r="I15" s="2">
        <v>100</v>
      </c>
      <c r="J15" s="2">
        <v>32</v>
      </c>
      <c r="K15" s="2" t="s">
        <v>147</v>
      </c>
      <c r="L15" s="10">
        <v>4.22</v>
      </c>
      <c r="M15" s="2" t="str">
        <f t="shared" si="2"/>
        <v>봉래동1가 5-36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467</v>
      </c>
      <c r="D16" s="2" t="s">
        <v>468</v>
      </c>
      <c r="E16" s="4" t="s">
        <v>514</v>
      </c>
      <c r="F16" s="2">
        <v>120</v>
      </c>
      <c r="G16" s="2">
        <v>200</v>
      </c>
      <c r="H16" s="2">
        <v>7.5</v>
      </c>
      <c r="I16" s="2">
        <v>200</v>
      </c>
      <c r="J16" s="2">
        <v>50</v>
      </c>
      <c r="K16" s="2" t="s">
        <v>149</v>
      </c>
      <c r="L16" s="10">
        <v>6.32</v>
      </c>
      <c r="M16" s="2" t="str">
        <f t="shared" si="2"/>
        <v>봉래동1가 25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467</v>
      </c>
      <c r="D17" s="2" t="s">
        <v>516</v>
      </c>
      <c r="E17" s="4" t="s">
        <v>517</v>
      </c>
      <c r="F17" s="2">
        <v>90</v>
      </c>
      <c r="G17" s="2">
        <v>150</v>
      </c>
      <c r="H17" s="2">
        <v>1</v>
      </c>
      <c r="I17" s="2">
        <v>45</v>
      </c>
      <c r="J17" s="2">
        <v>32</v>
      </c>
      <c r="K17" s="2" t="s">
        <v>147</v>
      </c>
      <c r="L17" s="10">
        <v>3.06</v>
      </c>
      <c r="M17" s="2" t="str">
        <f t="shared" si="2"/>
        <v>남창동 52-3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467</v>
      </c>
      <c r="D18" s="2" t="s">
        <v>519</v>
      </c>
      <c r="E18" s="4" t="s">
        <v>520</v>
      </c>
      <c r="F18" s="2">
        <v>135</v>
      </c>
      <c r="G18" s="2">
        <v>200</v>
      </c>
      <c r="H18" s="2">
        <v>2</v>
      </c>
      <c r="I18" s="2">
        <v>100</v>
      </c>
      <c r="J18" s="2">
        <v>32</v>
      </c>
      <c r="K18" s="2" t="s">
        <v>147</v>
      </c>
      <c r="L18" s="10">
        <v>4.22</v>
      </c>
      <c r="M18" s="2" t="str">
        <f t="shared" si="2"/>
        <v>회현동1가 181-8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467</v>
      </c>
      <c r="D19" s="2" t="s">
        <v>518</v>
      </c>
      <c r="E19" s="4" t="s">
        <v>521</v>
      </c>
      <c r="F19" s="2">
        <v>200</v>
      </c>
      <c r="G19" s="2">
        <v>250</v>
      </c>
      <c r="H19" s="2">
        <v>5</v>
      </c>
      <c r="I19" s="2">
        <v>107</v>
      </c>
      <c r="J19" s="2">
        <v>32</v>
      </c>
      <c r="K19" s="2" t="s">
        <v>149</v>
      </c>
      <c r="L19" s="10">
        <v>4.37</v>
      </c>
      <c r="M19" s="2" t="str">
        <f t="shared" si="2"/>
        <v>회현동1가 115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467</v>
      </c>
      <c r="D20" s="2" t="s">
        <v>518</v>
      </c>
      <c r="E20" s="4" t="s">
        <v>522</v>
      </c>
      <c r="F20" s="2">
        <v>10</v>
      </c>
      <c r="G20" s="2">
        <v>40</v>
      </c>
      <c r="H20" s="2">
        <v>2</v>
      </c>
      <c r="I20" s="2">
        <v>90</v>
      </c>
      <c r="J20" s="2">
        <v>40</v>
      </c>
      <c r="K20" s="2" t="s">
        <v>147</v>
      </c>
      <c r="L20" s="10">
        <v>4.01</v>
      </c>
      <c r="M20" s="2" t="str">
        <f t="shared" si="2"/>
        <v>회현동1가 142-8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467</v>
      </c>
      <c r="D21" s="2" t="s">
        <v>518</v>
      </c>
      <c r="E21" s="4" t="s">
        <v>523</v>
      </c>
      <c r="F21" s="2">
        <v>150</v>
      </c>
      <c r="G21" s="2">
        <v>200</v>
      </c>
      <c r="H21" s="2">
        <v>1.5</v>
      </c>
      <c r="I21" s="2">
        <v>95</v>
      </c>
      <c r="J21" s="2">
        <v>40</v>
      </c>
      <c r="K21" s="2" t="s">
        <v>147</v>
      </c>
      <c r="L21" s="10">
        <v>4.1100000000000003</v>
      </c>
      <c r="M21" s="2" t="str">
        <f t="shared" si="2"/>
        <v>회현동1가 130-1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467</v>
      </c>
      <c r="D22" s="2" t="s">
        <v>518</v>
      </c>
      <c r="E22" s="4" t="s">
        <v>525</v>
      </c>
      <c r="F22" s="2">
        <v>100</v>
      </c>
      <c r="G22" s="2">
        <v>200</v>
      </c>
      <c r="H22" s="2">
        <v>2</v>
      </c>
      <c r="I22" s="2">
        <v>90</v>
      </c>
      <c r="J22" s="2">
        <v>32</v>
      </c>
      <c r="K22" s="2" t="s">
        <v>147</v>
      </c>
      <c r="L22" s="10">
        <v>4.01</v>
      </c>
      <c r="M22" s="2" t="str">
        <f t="shared" si="2"/>
        <v>회현동1가 53-6</v>
      </c>
      <c r="S22" s="2" t="s">
        <v>11</v>
      </c>
    </row>
    <row r="23" spans="1:19" ht="21.75" customHeight="1">
      <c r="A23" s="2" t="s">
        <v>475</v>
      </c>
      <c r="B23" s="1" t="s">
        <v>22</v>
      </c>
      <c r="C23" s="2" t="s">
        <v>467</v>
      </c>
      <c r="D23" s="2" t="s">
        <v>518</v>
      </c>
      <c r="E23" s="4" t="s">
        <v>526</v>
      </c>
      <c r="F23" s="2">
        <v>20</v>
      </c>
      <c r="G23" s="2">
        <v>25</v>
      </c>
      <c r="H23" s="2">
        <v>1.2</v>
      </c>
      <c r="I23" s="2">
        <v>65</v>
      </c>
      <c r="J23" s="2">
        <v>16</v>
      </c>
      <c r="K23" s="2" t="s">
        <v>147</v>
      </c>
      <c r="L23" s="10">
        <v>3.48</v>
      </c>
      <c r="M23" s="2" t="str">
        <f t="shared" ref="M23:M32" si="3">D23&amp;" " &amp; E23</f>
        <v>회현동1가 74-1</v>
      </c>
      <c r="S23" s="2" t="s">
        <v>11</v>
      </c>
    </row>
    <row r="24" spans="1:19" ht="21.75" customHeight="1">
      <c r="A24" s="2" t="s">
        <v>476</v>
      </c>
      <c r="B24" s="1" t="s">
        <v>22</v>
      </c>
      <c r="C24" s="2" t="s">
        <v>467</v>
      </c>
      <c r="D24" s="2" t="s">
        <v>518</v>
      </c>
      <c r="E24" s="4" t="s">
        <v>527</v>
      </c>
      <c r="F24" s="2">
        <v>30</v>
      </c>
      <c r="G24" s="2">
        <v>150</v>
      </c>
      <c r="H24" s="2">
        <v>5</v>
      </c>
      <c r="I24" s="2">
        <v>60</v>
      </c>
      <c r="J24" s="2">
        <v>40</v>
      </c>
      <c r="K24" s="2" t="s">
        <v>147</v>
      </c>
      <c r="L24" s="10">
        <v>3.38</v>
      </c>
      <c r="M24" s="2" t="str">
        <f t="shared" si="3"/>
        <v>회현동1가 63-2</v>
      </c>
      <c r="S24" s="2" t="s">
        <v>11</v>
      </c>
    </row>
    <row r="25" spans="1:19" ht="21.75" customHeight="1">
      <c r="A25" s="2" t="s">
        <v>477</v>
      </c>
      <c r="B25" s="1" t="s">
        <v>22</v>
      </c>
      <c r="C25" s="2" t="s">
        <v>467</v>
      </c>
      <c r="D25" s="2" t="s">
        <v>518</v>
      </c>
      <c r="E25" s="4" t="s">
        <v>528</v>
      </c>
      <c r="F25" s="2">
        <v>40</v>
      </c>
      <c r="G25" s="2">
        <v>20</v>
      </c>
      <c r="H25" s="2">
        <v>2</v>
      </c>
      <c r="I25" s="2">
        <v>90</v>
      </c>
      <c r="J25" s="2">
        <v>25</v>
      </c>
      <c r="K25" s="2" t="s">
        <v>147</v>
      </c>
      <c r="L25" s="10">
        <v>4.01</v>
      </c>
      <c r="M25" s="2" t="str">
        <f t="shared" si="3"/>
        <v>회현동1가 72-1</v>
      </c>
      <c r="S25" s="2" t="s">
        <v>11</v>
      </c>
    </row>
    <row r="26" spans="1:19" ht="21.75" customHeight="1">
      <c r="A26" s="2" t="s">
        <v>478</v>
      </c>
      <c r="B26" s="1" t="s">
        <v>22</v>
      </c>
      <c r="C26" s="2" t="s">
        <v>467</v>
      </c>
      <c r="D26" s="2" t="s">
        <v>518</v>
      </c>
      <c r="E26" s="4" t="s">
        <v>529</v>
      </c>
      <c r="F26" s="2">
        <v>60</v>
      </c>
      <c r="G26" s="2">
        <v>25</v>
      </c>
      <c r="H26" s="2">
        <v>0.7</v>
      </c>
      <c r="I26" s="2">
        <v>43</v>
      </c>
      <c r="J26" s="2">
        <v>20</v>
      </c>
      <c r="K26" s="2" t="s">
        <v>147</v>
      </c>
      <c r="L26" s="10">
        <v>3.02</v>
      </c>
      <c r="M26" s="2" t="str">
        <f t="shared" si="3"/>
        <v>회현동1가 71-1</v>
      </c>
      <c r="S26" s="2" t="s">
        <v>11</v>
      </c>
    </row>
    <row r="27" spans="1:19" ht="21.75" customHeight="1">
      <c r="A27" s="2" t="s">
        <v>479</v>
      </c>
      <c r="B27" s="1" t="s">
        <v>22</v>
      </c>
      <c r="C27" s="2" t="s">
        <v>467</v>
      </c>
      <c r="D27" s="2" t="s">
        <v>516</v>
      </c>
      <c r="E27" s="4" t="s">
        <v>530</v>
      </c>
      <c r="F27" s="2">
        <v>100</v>
      </c>
      <c r="G27" s="2">
        <v>200</v>
      </c>
      <c r="H27" s="2">
        <v>10</v>
      </c>
      <c r="I27" s="2">
        <v>60</v>
      </c>
      <c r="J27" s="2">
        <v>50</v>
      </c>
      <c r="K27" s="2" t="s">
        <v>147</v>
      </c>
      <c r="L27" s="10">
        <v>3.38</v>
      </c>
      <c r="M27" s="2" t="str">
        <f t="shared" si="3"/>
        <v>남창동 9-1</v>
      </c>
      <c r="S27" s="2" t="s">
        <v>11</v>
      </c>
    </row>
    <row r="28" spans="1:19" ht="21.75" customHeight="1">
      <c r="A28" s="2" t="s">
        <v>480</v>
      </c>
      <c r="B28" s="1" t="s">
        <v>22</v>
      </c>
      <c r="C28" s="2" t="s">
        <v>467</v>
      </c>
      <c r="D28" s="2" t="s">
        <v>518</v>
      </c>
      <c r="E28" s="4" t="s">
        <v>531</v>
      </c>
      <c r="F28" s="2">
        <v>50</v>
      </c>
      <c r="G28" s="2">
        <v>150</v>
      </c>
      <c r="H28" s="2">
        <v>5</v>
      </c>
      <c r="I28" s="2">
        <v>50</v>
      </c>
      <c r="J28" s="2">
        <v>32</v>
      </c>
      <c r="K28" s="2" t="s">
        <v>147</v>
      </c>
      <c r="L28" s="10">
        <v>3.17</v>
      </c>
      <c r="M28" s="2" t="str">
        <f t="shared" si="3"/>
        <v>회현동1가 202-5</v>
      </c>
      <c r="S28" s="2" t="s">
        <v>11</v>
      </c>
    </row>
    <row r="29" spans="1:19" ht="21.75" customHeight="1">
      <c r="A29" s="2" t="s">
        <v>481</v>
      </c>
      <c r="B29" s="1" t="s">
        <v>22</v>
      </c>
      <c r="C29" s="2" t="s">
        <v>467</v>
      </c>
      <c r="D29" s="2" t="s">
        <v>516</v>
      </c>
      <c r="E29" s="4" t="s">
        <v>532</v>
      </c>
      <c r="F29" s="2">
        <v>15</v>
      </c>
      <c r="G29" s="2">
        <v>100</v>
      </c>
      <c r="H29" s="2">
        <v>2</v>
      </c>
      <c r="I29" s="2">
        <v>100</v>
      </c>
      <c r="J29" s="2">
        <v>32</v>
      </c>
      <c r="K29" s="2" t="s">
        <v>147</v>
      </c>
      <c r="L29" s="10">
        <v>4.22</v>
      </c>
      <c r="M29" s="2" t="str">
        <f t="shared" si="3"/>
        <v>남창동 1-1</v>
      </c>
      <c r="S29" s="2" t="s">
        <v>11</v>
      </c>
    </row>
    <row r="30" spans="1:19" ht="21.75" customHeight="1">
      <c r="A30" s="2" t="s">
        <v>482</v>
      </c>
      <c r="B30" s="1" t="s">
        <v>22</v>
      </c>
      <c r="C30" s="2" t="s">
        <v>467</v>
      </c>
      <c r="D30" s="2" t="s">
        <v>515</v>
      </c>
      <c r="E30" s="4" t="s">
        <v>533</v>
      </c>
      <c r="F30" s="2">
        <v>26</v>
      </c>
      <c r="G30" s="2">
        <v>25</v>
      </c>
      <c r="H30" s="2">
        <v>0.7</v>
      </c>
      <c r="I30" s="2">
        <v>36</v>
      </c>
      <c r="J30" s="2">
        <v>15</v>
      </c>
      <c r="K30" s="2" t="s">
        <v>147</v>
      </c>
      <c r="L30" s="10">
        <v>2.88</v>
      </c>
      <c r="M30" s="2" t="str">
        <f t="shared" si="3"/>
        <v>남창동 50-42</v>
      </c>
      <c r="S30" s="2" t="s">
        <v>11</v>
      </c>
    </row>
    <row r="31" spans="1:19" ht="21.75" customHeight="1">
      <c r="A31" s="2" t="s">
        <v>483</v>
      </c>
      <c r="B31" s="1" t="s">
        <v>22</v>
      </c>
      <c r="C31" s="2" t="s">
        <v>467</v>
      </c>
      <c r="D31" s="2" t="s">
        <v>515</v>
      </c>
      <c r="E31" s="4" t="s">
        <v>534</v>
      </c>
      <c r="F31" s="2">
        <v>20</v>
      </c>
      <c r="G31" s="2">
        <v>0</v>
      </c>
      <c r="H31" s="2">
        <v>0.7</v>
      </c>
      <c r="I31" s="2">
        <v>36</v>
      </c>
      <c r="J31" s="2">
        <v>16</v>
      </c>
      <c r="K31" s="2" t="s">
        <v>147</v>
      </c>
      <c r="L31" s="10">
        <v>2.88</v>
      </c>
      <c r="M31" s="2" t="str">
        <f t="shared" si="3"/>
        <v>남창동 50-23</v>
      </c>
      <c r="S31" s="2" t="s">
        <v>11</v>
      </c>
    </row>
    <row r="32" spans="1:19" ht="21.75" customHeight="1">
      <c r="A32" s="2" t="s">
        <v>484</v>
      </c>
      <c r="B32" s="1" t="s">
        <v>22</v>
      </c>
      <c r="C32" s="2" t="s">
        <v>467</v>
      </c>
      <c r="D32" s="2" t="s">
        <v>515</v>
      </c>
      <c r="E32" s="4" t="s">
        <v>535</v>
      </c>
      <c r="F32" s="2">
        <v>70</v>
      </c>
      <c r="G32" s="2">
        <v>32</v>
      </c>
      <c r="H32" s="2">
        <v>2</v>
      </c>
      <c r="I32" s="2">
        <v>66</v>
      </c>
      <c r="J32" s="2">
        <v>20</v>
      </c>
      <c r="K32" s="2" t="s">
        <v>147</v>
      </c>
      <c r="L32" s="10">
        <v>3.51</v>
      </c>
      <c r="M32" s="2" t="str">
        <f t="shared" si="3"/>
        <v>남창동 50-57</v>
      </c>
      <c r="S32" s="2" t="s">
        <v>11</v>
      </c>
    </row>
    <row r="33" spans="1:19" ht="21.75" customHeight="1">
      <c r="A33" s="2" t="s">
        <v>485</v>
      </c>
      <c r="B33" s="1" t="s">
        <v>22</v>
      </c>
      <c r="C33" s="2" t="s">
        <v>467</v>
      </c>
      <c r="D33" s="2" t="s">
        <v>515</v>
      </c>
      <c r="E33" s="4" t="s">
        <v>536</v>
      </c>
      <c r="F33" s="2">
        <v>30</v>
      </c>
      <c r="G33" s="2">
        <v>20</v>
      </c>
      <c r="H33" s="2">
        <v>0.6</v>
      </c>
      <c r="I33" s="2">
        <v>30</v>
      </c>
      <c r="J33" s="2">
        <v>20</v>
      </c>
      <c r="K33" s="2" t="s">
        <v>147</v>
      </c>
      <c r="L33" s="10">
        <v>2.75</v>
      </c>
      <c r="M33" s="2" t="str">
        <f t="shared" ref="M33:M42" si="4">D33&amp;" " &amp; E33</f>
        <v>남창동 50-51</v>
      </c>
      <c r="S33" s="2" t="s">
        <v>11</v>
      </c>
    </row>
    <row r="34" spans="1:19" ht="21.75" customHeight="1">
      <c r="A34" s="2" t="s">
        <v>486</v>
      </c>
      <c r="B34" s="1" t="s">
        <v>22</v>
      </c>
      <c r="C34" s="2" t="s">
        <v>467</v>
      </c>
      <c r="D34" s="2" t="s">
        <v>515</v>
      </c>
      <c r="E34" s="4" t="s">
        <v>537</v>
      </c>
      <c r="F34" s="2">
        <v>30</v>
      </c>
      <c r="G34" s="2">
        <v>32</v>
      </c>
      <c r="H34" s="2">
        <v>0.7</v>
      </c>
      <c r="I34" s="2">
        <v>36</v>
      </c>
      <c r="J34" s="2">
        <v>16</v>
      </c>
      <c r="K34" s="2" t="s">
        <v>147</v>
      </c>
      <c r="L34" s="10">
        <v>2.88</v>
      </c>
      <c r="M34" s="2" t="str">
        <f t="shared" si="4"/>
        <v>남창동 34-150</v>
      </c>
      <c r="S34" s="2" t="s">
        <v>11</v>
      </c>
    </row>
    <row r="35" spans="1:19" ht="21.75" customHeight="1">
      <c r="A35" s="2" t="s">
        <v>487</v>
      </c>
      <c r="B35" s="1" t="s">
        <v>22</v>
      </c>
      <c r="C35" s="2" t="s">
        <v>467</v>
      </c>
      <c r="D35" s="2" t="s">
        <v>515</v>
      </c>
      <c r="E35" s="4" t="s">
        <v>538</v>
      </c>
      <c r="F35" s="2">
        <v>25</v>
      </c>
      <c r="G35" s="2">
        <v>25</v>
      </c>
      <c r="H35" s="2">
        <v>0.7</v>
      </c>
      <c r="I35" s="2">
        <v>36</v>
      </c>
      <c r="J35" s="2">
        <v>16</v>
      </c>
      <c r="K35" s="2" t="s">
        <v>147</v>
      </c>
      <c r="L35" s="10">
        <v>2.88</v>
      </c>
      <c r="M35" s="2" t="str">
        <f t="shared" si="4"/>
        <v>남창동 34-147</v>
      </c>
      <c r="S35" s="2" t="s">
        <v>11</v>
      </c>
    </row>
    <row r="36" spans="1:19" ht="21.75" customHeight="1">
      <c r="A36" s="2" t="s">
        <v>488</v>
      </c>
      <c r="B36" s="1" t="s">
        <v>22</v>
      </c>
      <c r="C36" s="2" t="s">
        <v>467</v>
      </c>
      <c r="D36" s="2" t="s">
        <v>515</v>
      </c>
      <c r="E36" s="4" t="s">
        <v>539</v>
      </c>
      <c r="F36" s="2">
        <v>17</v>
      </c>
      <c r="G36" s="2">
        <v>30</v>
      </c>
      <c r="H36" s="2">
        <v>0.7</v>
      </c>
      <c r="I36" s="2">
        <v>43</v>
      </c>
      <c r="J36" s="2">
        <v>20</v>
      </c>
      <c r="K36" s="2" t="s">
        <v>147</v>
      </c>
      <c r="L36" s="10">
        <v>3.02</v>
      </c>
      <c r="M36" s="2" t="str">
        <f t="shared" si="4"/>
        <v>남창동 34-10</v>
      </c>
      <c r="S36" s="2" t="s">
        <v>11</v>
      </c>
    </row>
    <row r="37" spans="1:19" ht="21.75" customHeight="1">
      <c r="A37" s="2" t="s">
        <v>489</v>
      </c>
      <c r="B37" s="1" t="s">
        <v>22</v>
      </c>
      <c r="C37" s="2" t="s">
        <v>467</v>
      </c>
      <c r="D37" s="2" t="s">
        <v>541</v>
      </c>
      <c r="E37" s="4" t="s">
        <v>542</v>
      </c>
      <c r="F37" s="2">
        <v>20</v>
      </c>
      <c r="G37" s="2">
        <v>32</v>
      </c>
      <c r="H37" s="2">
        <v>2</v>
      </c>
      <c r="I37" s="2">
        <v>43</v>
      </c>
      <c r="J37" s="2">
        <v>20</v>
      </c>
      <c r="K37" s="2" t="s">
        <v>147</v>
      </c>
      <c r="L37" s="10">
        <v>3.02</v>
      </c>
      <c r="M37" s="2" t="str">
        <f t="shared" si="4"/>
        <v>남대문로4가 18-3</v>
      </c>
      <c r="S37" s="2" t="s">
        <v>11</v>
      </c>
    </row>
    <row r="38" spans="1:19" ht="21.75" customHeight="1">
      <c r="A38" s="2" t="s">
        <v>490</v>
      </c>
      <c r="B38" s="1" t="s">
        <v>22</v>
      </c>
      <c r="C38" s="2" t="s">
        <v>467</v>
      </c>
      <c r="D38" s="2" t="s">
        <v>540</v>
      </c>
      <c r="E38" s="4" t="s">
        <v>583</v>
      </c>
      <c r="F38" s="2">
        <v>30</v>
      </c>
      <c r="G38" s="2">
        <v>20</v>
      </c>
      <c r="H38" s="2">
        <v>0.7</v>
      </c>
      <c r="I38" s="2">
        <v>30</v>
      </c>
      <c r="J38" s="2">
        <v>20</v>
      </c>
      <c r="K38" s="2" t="s">
        <v>147</v>
      </c>
      <c r="L38" s="10">
        <v>2.75</v>
      </c>
      <c r="M38" s="2" t="str">
        <f t="shared" si="4"/>
        <v>남대문로4가 18-2</v>
      </c>
      <c r="S38" s="2" t="s">
        <v>11</v>
      </c>
    </row>
    <row r="39" spans="1:19" ht="21.75" customHeight="1">
      <c r="A39" s="2" t="s">
        <v>491</v>
      </c>
      <c r="B39" s="47" t="s">
        <v>505</v>
      </c>
      <c r="C39" s="2" t="s">
        <v>467</v>
      </c>
      <c r="D39" s="2" t="s">
        <v>540</v>
      </c>
      <c r="E39" s="4" t="s">
        <v>584</v>
      </c>
      <c r="F39" s="2">
        <v>75</v>
      </c>
      <c r="G39" s="2">
        <v>65</v>
      </c>
      <c r="H39" s="2">
        <v>7.5</v>
      </c>
      <c r="I39" s="2">
        <v>288</v>
      </c>
      <c r="J39" s="2">
        <v>65</v>
      </c>
      <c r="K39" s="2" t="s">
        <v>147</v>
      </c>
      <c r="L39" s="10">
        <v>8.17</v>
      </c>
      <c r="M39" s="2" t="str">
        <f t="shared" si="4"/>
        <v>남대문로4가 17-42</v>
      </c>
      <c r="S39" s="2" t="s">
        <v>11</v>
      </c>
    </row>
    <row r="40" spans="1:19" ht="21.75" customHeight="1">
      <c r="A40" s="2" t="s">
        <v>492</v>
      </c>
      <c r="B40" s="1" t="s">
        <v>22</v>
      </c>
      <c r="C40" s="2" t="s">
        <v>467</v>
      </c>
      <c r="D40" s="2" t="s">
        <v>540</v>
      </c>
      <c r="E40" s="4" t="s">
        <v>585</v>
      </c>
      <c r="F40" s="2">
        <v>75</v>
      </c>
      <c r="G40" s="2">
        <v>200</v>
      </c>
      <c r="H40" s="2">
        <v>2</v>
      </c>
      <c r="I40" s="2">
        <v>82</v>
      </c>
      <c r="J40" s="2">
        <v>32</v>
      </c>
      <c r="K40" s="2" t="s">
        <v>147</v>
      </c>
      <c r="L40" s="10">
        <v>3.84</v>
      </c>
      <c r="M40" s="2" t="str">
        <f t="shared" si="4"/>
        <v>남대문로4가 17-7</v>
      </c>
      <c r="S40" s="2" t="s">
        <v>11</v>
      </c>
    </row>
    <row r="41" spans="1:19" ht="21.75" customHeight="1">
      <c r="A41" s="2" t="s">
        <v>493</v>
      </c>
      <c r="B41" s="1" t="s">
        <v>22</v>
      </c>
      <c r="C41" s="2" t="s">
        <v>467</v>
      </c>
      <c r="D41" s="2" t="s">
        <v>540</v>
      </c>
      <c r="E41" s="4" t="s">
        <v>586</v>
      </c>
      <c r="F41" s="2">
        <v>18</v>
      </c>
      <c r="G41" s="2">
        <v>100</v>
      </c>
      <c r="H41" s="2">
        <v>2</v>
      </c>
      <c r="I41" s="2">
        <v>80</v>
      </c>
      <c r="J41" s="2">
        <v>32</v>
      </c>
      <c r="K41" s="2" t="s">
        <v>147</v>
      </c>
      <c r="L41" s="10">
        <v>3.8</v>
      </c>
      <c r="M41" s="2" t="str">
        <f t="shared" si="4"/>
        <v>남대문로4가 17-19</v>
      </c>
      <c r="S41" s="2" t="s">
        <v>11</v>
      </c>
    </row>
    <row r="42" spans="1:19" ht="21.75" customHeight="1">
      <c r="A42" s="2" t="s">
        <v>494</v>
      </c>
      <c r="B42" s="1" t="s">
        <v>22</v>
      </c>
      <c r="C42" s="2" t="s">
        <v>467</v>
      </c>
      <c r="D42" s="2" t="s">
        <v>588</v>
      </c>
      <c r="E42" s="4" t="s">
        <v>589</v>
      </c>
      <c r="F42" s="2">
        <v>100</v>
      </c>
      <c r="G42" s="2">
        <v>200</v>
      </c>
      <c r="H42" s="2">
        <v>2</v>
      </c>
      <c r="I42" s="2">
        <v>100</v>
      </c>
      <c r="J42" s="2">
        <v>32</v>
      </c>
      <c r="K42" s="2" t="s">
        <v>147</v>
      </c>
      <c r="L42" s="10">
        <v>4.22</v>
      </c>
      <c r="M42" s="2" t="str">
        <f t="shared" si="4"/>
        <v>북창동 108-13</v>
      </c>
      <c r="S42" s="2" t="s">
        <v>11</v>
      </c>
    </row>
    <row r="43" spans="1:19" ht="21.75" customHeight="1">
      <c r="A43" s="2" t="s">
        <v>543</v>
      </c>
      <c r="B43" s="1" t="s">
        <v>22</v>
      </c>
      <c r="C43" s="2" t="s">
        <v>467</v>
      </c>
      <c r="D43" s="2" t="s">
        <v>587</v>
      </c>
      <c r="E43" s="4" t="s">
        <v>590</v>
      </c>
      <c r="F43" s="2">
        <v>100</v>
      </c>
      <c r="G43" s="2">
        <v>200</v>
      </c>
      <c r="H43" s="2">
        <v>2</v>
      </c>
      <c r="I43" s="2">
        <v>89</v>
      </c>
      <c r="J43" s="2">
        <v>32</v>
      </c>
      <c r="K43" s="2" t="s">
        <v>147</v>
      </c>
      <c r="L43" s="10">
        <v>3.99</v>
      </c>
      <c r="M43" s="2" t="str">
        <f t="shared" ref="M43:M52" si="5">D43&amp;" " &amp; E43</f>
        <v>북창동 95</v>
      </c>
      <c r="S43" s="2" t="s">
        <v>11</v>
      </c>
    </row>
    <row r="44" spans="1:19" ht="21.75" customHeight="1">
      <c r="A44" s="2" t="s">
        <v>544</v>
      </c>
      <c r="B44" s="1" t="s">
        <v>22</v>
      </c>
      <c r="C44" s="2" t="s">
        <v>467</v>
      </c>
      <c r="D44" s="2" t="s">
        <v>587</v>
      </c>
      <c r="E44" s="4" t="s">
        <v>591</v>
      </c>
      <c r="F44" s="2">
        <v>23</v>
      </c>
      <c r="G44" s="2">
        <v>100</v>
      </c>
      <c r="H44" s="2">
        <v>1</v>
      </c>
      <c r="I44" s="2">
        <v>28</v>
      </c>
      <c r="J44" s="2">
        <v>25</v>
      </c>
      <c r="K44" s="2" t="s">
        <v>147</v>
      </c>
      <c r="L44" s="10">
        <v>2.71</v>
      </c>
      <c r="M44" s="2" t="str">
        <f t="shared" si="5"/>
        <v>북창동 93-43</v>
      </c>
      <c r="S44" s="2" t="s">
        <v>11</v>
      </c>
    </row>
    <row r="45" spans="1:19" ht="21.75" customHeight="1">
      <c r="A45" s="2" t="s">
        <v>545</v>
      </c>
      <c r="B45" s="1" t="s">
        <v>22</v>
      </c>
      <c r="C45" s="2" t="s">
        <v>467</v>
      </c>
      <c r="D45" s="2" t="s">
        <v>592</v>
      </c>
      <c r="E45" s="4" t="s">
        <v>593</v>
      </c>
      <c r="F45" s="2">
        <v>250</v>
      </c>
      <c r="G45" s="2">
        <v>200</v>
      </c>
      <c r="H45" s="2">
        <v>5</v>
      </c>
      <c r="I45" s="2">
        <v>80</v>
      </c>
      <c r="J45" s="2">
        <v>40</v>
      </c>
      <c r="K45" s="2" t="s">
        <v>147</v>
      </c>
      <c r="L45" s="10">
        <v>3.8</v>
      </c>
      <c r="M45" s="2" t="str">
        <f t="shared" si="5"/>
        <v>남대문로3가 110</v>
      </c>
      <c r="S45" s="2" t="s">
        <v>11</v>
      </c>
    </row>
    <row r="46" spans="1:19" ht="21.75" customHeight="1">
      <c r="A46" s="2" t="s">
        <v>546</v>
      </c>
      <c r="B46" s="1" t="s">
        <v>22</v>
      </c>
      <c r="C46" s="2" t="s">
        <v>467</v>
      </c>
      <c r="D46" s="2" t="s">
        <v>587</v>
      </c>
      <c r="E46" s="4" t="s">
        <v>594</v>
      </c>
      <c r="F46" s="2">
        <v>25</v>
      </c>
      <c r="G46" s="2">
        <v>50</v>
      </c>
      <c r="H46" s="2">
        <v>1.2</v>
      </c>
      <c r="I46" s="2">
        <v>45</v>
      </c>
      <c r="J46" s="2">
        <v>20</v>
      </c>
      <c r="K46" s="2" t="s">
        <v>147</v>
      </c>
      <c r="L46" s="10">
        <v>3.06</v>
      </c>
      <c r="M46" s="2" t="str">
        <f t="shared" si="5"/>
        <v>북창동 90-1</v>
      </c>
      <c r="S46" s="2" t="s">
        <v>11</v>
      </c>
    </row>
    <row r="47" spans="1:19" ht="21.75" customHeight="1">
      <c r="A47" s="2" t="s">
        <v>547</v>
      </c>
      <c r="B47" s="1" t="s">
        <v>22</v>
      </c>
      <c r="C47" s="2" t="s">
        <v>467</v>
      </c>
      <c r="D47" s="2" t="s">
        <v>587</v>
      </c>
      <c r="E47" s="4" t="s">
        <v>595</v>
      </c>
      <c r="F47" s="2">
        <v>20</v>
      </c>
      <c r="G47" s="2">
        <v>50</v>
      </c>
      <c r="H47" s="2">
        <v>0.7</v>
      </c>
      <c r="I47" s="2">
        <v>65</v>
      </c>
      <c r="J47" s="2">
        <v>16</v>
      </c>
      <c r="K47" s="2" t="s">
        <v>147</v>
      </c>
      <c r="L47" s="10">
        <v>3.48</v>
      </c>
      <c r="M47" s="2" t="str">
        <f t="shared" si="5"/>
        <v>북창동 88-2</v>
      </c>
      <c r="S47" s="2" t="s">
        <v>11</v>
      </c>
    </row>
    <row r="48" spans="1:19" ht="21.75" customHeight="1">
      <c r="A48" s="2" t="s">
        <v>548</v>
      </c>
      <c r="B48" s="1" t="s">
        <v>22</v>
      </c>
      <c r="C48" s="2" t="s">
        <v>467</v>
      </c>
      <c r="D48" s="2" t="s">
        <v>587</v>
      </c>
      <c r="E48" s="4" t="s">
        <v>596</v>
      </c>
      <c r="F48" s="2">
        <v>20</v>
      </c>
      <c r="G48" s="2">
        <v>30</v>
      </c>
      <c r="H48" s="2">
        <v>0.7</v>
      </c>
      <c r="I48" s="2">
        <v>43</v>
      </c>
      <c r="J48" s="2">
        <v>13</v>
      </c>
      <c r="K48" s="2" t="s">
        <v>147</v>
      </c>
      <c r="L48" s="10">
        <v>3.02</v>
      </c>
      <c r="M48" s="2" t="str">
        <f t="shared" si="5"/>
        <v>북창동 19-3</v>
      </c>
      <c r="S48" s="2" t="s">
        <v>11</v>
      </c>
    </row>
    <row r="49" spans="1:19" ht="21.75" customHeight="1">
      <c r="A49" s="2" t="s">
        <v>549</v>
      </c>
      <c r="B49" s="1" t="s">
        <v>22</v>
      </c>
      <c r="C49" s="2" t="s">
        <v>467</v>
      </c>
      <c r="D49" s="2" t="s">
        <v>587</v>
      </c>
      <c r="E49" s="4" t="s">
        <v>597</v>
      </c>
      <c r="F49" s="2">
        <v>20</v>
      </c>
      <c r="G49" s="2">
        <v>25</v>
      </c>
      <c r="H49" s="2">
        <v>1.2</v>
      </c>
      <c r="I49" s="2">
        <v>65</v>
      </c>
      <c r="J49" s="2">
        <v>25</v>
      </c>
      <c r="K49" s="2" t="s">
        <v>147</v>
      </c>
      <c r="L49" s="10">
        <v>3.48</v>
      </c>
      <c r="M49" s="2" t="str">
        <f t="shared" si="5"/>
        <v>북창동 69-20</v>
      </c>
      <c r="S49" s="2" t="s">
        <v>11</v>
      </c>
    </row>
    <row r="50" spans="1:19" ht="21.75" customHeight="1">
      <c r="A50" s="2" t="s">
        <v>550</v>
      </c>
      <c r="B50" s="1" t="s">
        <v>22</v>
      </c>
      <c r="C50" s="2" t="s">
        <v>467</v>
      </c>
      <c r="D50" s="2" t="s">
        <v>587</v>
      </c>
      <c r="E50" s="4" t="s">
        <v>598</v>
      </c>
      <c r="F50" s="2">
        <v>15</v>
      </c>
      <c r="G50" s="2">
        <v>32</v>
      </c>
      <c r="H50" s="2">
        <v>0.7</v>
      </c>
      <c r="I50" s="2">
        <v>43</v>
      </c>
      <c r="J50" s="2">
        <v>20</v>
      </c>
      <c r="K50" s="2" t="s">
        <v>147</v>
      </c>
      <c r="L50" s="10">
        <v>3.02</v>
      </c>
      <c r="M50" s="2" t="str">
        <f t="shared" si="5"/>
        <v>북창동 68-6</v>
      </c>
      <c r="S50" s="2" t="s">
        <v>11</v>
      </c>
    </row>
    <row r="51" spans="1:19" ht="21.75" customHeight="1">
      <c r="A51" s="2" t="s">
        <v>551</v>
      </c>
      <c r="B51" s="1" t="s">
        <v>22</v>
      </c>
      <c r="C51" s="2" t="s">
        <v>467</v>
      </c>
      <c r="D51" s="2" t="s">
        <v>600</v>
      </c>
      <c r="E51" s="4" t="s">
        <v>601</v>
      </c>
      <c r="F51" s="2">
        <v>15</v>
      </c>
      <c r="G51" s="2">
        <v>25</v>
      </c>
      <c r="H51" s="2">
        <v>0.6</v>
      </c>
      <c r="I51" s="2">
        <v>30</v>
      </c>
      <c r="J51" s="2">
        <v>20</v>
      </c>
      <c r="K51" s="2" t="s">
        <v>147</v>
      </c>
      <c r="L51" s="10">
        <v>2.75</v>
      </c>
      <c r="M51" s="2" t="str">
        <f t="shared" si="5"/>
        <v>태평로2가 58-5</v>
      </c>
      <c r="S51" s="2" t="s">
        <v>11</v>
      </c>
    </row>
    <row r="52" spans="1:19" ht="21.75" customHeight="1">
      <c r="A52" s="2" t="s">
        <v>552</v>
      </c>
      <c r="B52" s="1" t="s">
        <v>22</v>
      </c>
      <c r="C52" s="2" t="s">
        <v>467</v>
      </c>
      <c r="D52" s="2" t="s">
        <v>587</v>
      </c>
      <c r="E52" s="4" t="s">
        <v>602</v>
      </c>
      <c r="F52" s="2">
        <v>98</v>
      </c>
      <c r="G52" s="2">
        <v>30</v>
      </c>
      <c r="H52" s="2">
        <v>2</v>
      </c>
      <c r="I52" s="2">
        <v>100</v>
      </c>
      <c r="J52" s="2">
        <v>25</v>
      </c>
      <c r="K52" s="2" t="s">
        <v>147</v>
      </c>
      <c r="L52" s="10">
        <v>4.22</v>
      </c>
      <c r="M52" s="2" t="str">
        <f t="shared" si="5"/>
        <v>북창동 35</v>
      </c>
      <c r="S52" s="2" t="s">
        <v>11</v>
      </c>
    </row>
    <row r="53" spans="1:19" ht="21.75" customHeight="1">
      <c r="A53" s="2" t="s">
        <v>553</v>
      </c>
      <c r="B53" s="1" t="s">
        <v>22</v>
      </c>
      <c r="C53" s="2" t="s">
        <v>467</v>
      </c>
      <c r="D53" s="2" t="s">
        <v>587</v>
      </c>
      <c r="E53" s="4" t="s">
        <v>603</v>
      </c>
      <c r="F53" s="2">
        <v>60</v>
      </c>
      <c r="G53" s="2">
        <v>200</v>
      </c>
      <c r="H53" s="2">
        <v>1</v>
      </c>
      <c r="I53" s="2">
        <v>63</v>
      </c>
      <c r="J53" s="2">
        <v>32</v>
      </c>
      <c r="K53" s="2" t="s">
        <v>147</v>
      </c>
      <c r="L53" s="10">
        <v>3.44</v>
      </c>
      <c r="M53" s="2" t="str">
        <f t="shared" ref="M53:M62" si="6">D53&amp;" " &amp; E53</f>
        <v>북창동 5-2</v>
      </c>
      <c r="S53" s="2" t="s">
        <v>11</v>
      </c>
    </row>
    <row r="54" spans="1:19" ht="21.75" customHeight="1">
      <c r="A54" s="2" t="s">
        <v>554</v>
      </c>
      <c r="B54" s="1" t="s">
        <v>22</v>
      </c>
      <c r="C54" s="2" t="s">
        <v>467</v>
      </c>
      <c r="D54" s="2" t="s">
        <v>604</v>
      </c>
      <c r="E54" s="4" t="s">
        <v>593</v>
      </c>
      <c r="F54" s="2">
        <v>100</v>
      </c>
      <c r="G54" s="2">
        <v>200</v>
      </c>
      <c r="H54" s="2">
        <v>5</v>
      </c>
      <c r="I54" s="2">
        <v>120</v>
      </c>
      <c r="J54" s="2">
        <v>40</v>
      </c>
      <c r="K54" s="2" t="s">
        <v>149</v>
      </c>
      <c r="L54" s="10">
        <v>4.6399999999999997</v>
      </c>
      <c r="M54" s="2" t="str">
        <f t="shared" si="6"/>
        <v>소공동 110</v>
      </c>
      <c r="S54" s="2" t="s">
        <v>11</v>
      </c>
    </row>
    <row r="55" spans="1:19" ht="21.75" customHeight="1">
      <c r="A55" s="2" t="s">
        <v>555</v>
      </c>
      <c r="B55" s="1" t="s">
        <v>22</v>
      </c>
      <c r="C55" s="2" t="s">
        <v>467</v>
      </c>
      <c r="D55" s="2" t="s">
        <v>600</v>
      </c>
      <c r="E55" s="4" t="s">
        <v>605</v>
      </c>
      <c r="F55" s="2">
        <v>150</v>
      </c>
      <c r="G55" s="2">
        <v>200</v>
      </c>
      <c r="H55" s="2">
        <v>1</v>
      </c>
      <c r="I55" s="2">
        <v>43</v>
      </c>
      <c r="J55" s="2">
        <v>25</v>
      </c>
      <c r="K55" s="2" t="s">
        <v>147</v>
      </c>
      <c r="L55" s="10">
        <v>3.02</v>
      </c>
      <c r="M55" s="2" t="str">
        <f t="shared" si="6"/>
        <v>태평로2가 43</v>
      </c>
      <c r="S55" s="2" t="s">
        <v>11</v>
      </c>
    </row>
    <row r="56" spans="1:19" ht="21.75" customHeight="1">
      <c r="A56" s="2" t="s">
        <v>556</v>
      </c>
      <c r="B56" s="1" t="s">
        <v>22</v>
      </c>
      <c r="C56" s="2" t="s">
        <v>467</v>
      </c>
      <c r="D56" s="2" t="s">
        <v>599</v>
      </c>
      <c r="E56" s="4" t="s">
        <v>606</v>
      </c>
      <c r="F56" s="2">
        <v>30</v>
      </c>
      <c r="G56" s="2">
        <v>75</v>
      </c>
      <c r="H56" s="2">
        <v>15</v>
      </c>
      <c r="I56" s="2">
        <v>316</v>
      </c>
      <c r="J56" s="2">
        <v>75</v>
      </c>
      <c r="K56" s="2" t="s">
        <v>147</v>
      </c>
      <c r="L56" s="10">
        <v>8.76</v>
      </c>
      <c r="M56" s="2" t="str">
        <f t="shared" si="6"/>
        <v>태평로2가 17</v>
      </c>
      <c r="S56" s="2" t="s">
        <v>11</v>
      </c>
    </row>
    <row r="57" spans="1:19" ht="21.75" customHeight="1">
      <c r="A57" s="2" t="s">
        <v>557</v>
      </c>
      <c r="B57" s="1" t="s">
        <v>22</v>
      </c>
      <c r="C57" s="2" t="s">
        <v>467</v>
      </c>
      <c r="D57" s="2" t="s">
        <v>599</v>
      </c>
      <c r="E57" s="4" t="s">
        <v>607</v>
      </c>
      <c r="F57" s="2">
        <v>25</v>
      </c>
      <c r="G57" s="2">
        <v>150</v>
      </c>
      <c r="H57" s="2">
        <v>1</v>
      </c>
      <c r="I57" s="2">
        <v>95</v>
      </c>
      <c r="J57" s="2">
        <v>25</v>
      </c>
      <c r="K57" s="2" t="s">
        <v>147</v>
      </c>
      <c r="L57" s="10">
        <v>4.1100000000000003</v>
      </c>
      <c r="M57" s="2" t="str">
        <f t="shared" si="6"/>
        <v>태평로2가 120</v>
      </c>
      <c r="S57" s="2" t="s">
        <v>11</v>
      </c>
    </row>
    <row r="58" spans="1:19" ht="21.75" customHeight="1">
      <c r="A58" s="2" t="s">
        <v>558</v>
      </c>
      <c r="B58" s="1" t="s">
        <v>22</v>
      </c>
      <c r="C58" s="2" t="s">
        <v>467</v>
      </c>
      <c r="D58" s="2" t="s">
        <v>599</v>
      </c>
      <c r="E58" s="4" t="s">
        <v>608</v>
      </c>
      <c r="F58" s="2">
        <v>52</v>
      </c>
      <c r="G58" s="2">
        <v>200</v>
      </c>
      <c r="H58" s="2">
        <v>2</v>
      </c>
      <c r="I58" s="2">
        <v>78</v>
      </c>
      <c r="J58" s="2">
        <v>40</v>
      </c>
      <c r="K58" s="2" t="s">
        <v>147</v>
      </c>
      <c r="L58" s="10">
        <v>3.76</v>
      </c>
      <c r="M58" s="2" t="str">
        <f t="shared" si="6"/>
        <v>태평로2가 150</v>
      </c>
      <c r="S58" s="2" t="s">
        <v>11</v>
      </c>
    </row>
    <row r="59" spans="1:19" ht="21.75" customHeight="1">
      <c r="A59" s="2" t="s">
        <v>559</v>
      </c>
      <c r="B59" s="1" t="s">
        <v>22</v>
      </c>
      <c r="C59" s="2" t="s">
        <v>467</v>
      </c>
      <c r="D59" s="2" t="s">
        <v>610</v>
      </c>
      <c r="E59" s="4" t="s">
        <v>611</v>
      </c>
      <c r="F59" s="2">
        <v>78</v>
      </c>
      <c r="G59" s="2">
        <v>200</v>
      </c>
      <c r="H59" s="2">
        <v>5</v>
      </c>
      <c r="I59" s="2">
        <v>129</v>
      </c>
      <c r="J59" s="2">
        <v>50</v>
      </c>
      <c r="K59" s="2" t="s">
        <v>147</v>
      </c>
      <c r="L59" s="10">
        <v>4.83</v>
      </c>
      <c r="M59" s="2" t="str">
        <f t="shared" si="6"/>
        <v>서소문동 120-23</v>
      </c>
      <c r="S59" s="2" t="s">
        <v>11</v>
      </c>
    </row>
    <row r="60" spans="1:19" ht="21.75" customHeight="1">
      <c r="A60" s="2" t="s">
        <v>560</v>
      </c>
      <c r="B60" s="1" t="s">
        <v>22</v>
      </c>
      <c r="C60" s="2" t="s">
        <v>467</v>
      </c>
      <c r="D60" s="2" t="s">
        <v>599</v>
      </c>
      <c r="E60" s="4" t="s">
        <v>612</v>
      </c>
      <c r="F60" s="2">
        <v>120</v>
      </c>
      <c r="G60" s="2">
        <v>200</v>
      </c>
      <c r="H60" s="2">
        <v>3</v>
      </c>
      <c r="I60" s="2">
        <v>112</v>
      </c>
      <c r="J60" s="2">
        <v>50</v>
      </c>
      <c r="K60" s="2" t="s">
        <v>147</v>
      </c>
      <c r="L60" s="10">
        <v>4.47</v>
      </c>
      <c r="M60" s="2" t="str">
        <f t="shared" si="6"/>
        <v>태평로2가 250</v>
      </c>
      <c r="S60" s="2" t="s">
        <v>11</v>
      </c>
    </row>
    <row r="61" spans="1:19" ht="21.75" customHeight="1">
      <c r="A61" s="2" t="s">
        <v>561</v>
      </c>
      <c r="B61" s="1" t="s">
        <v>22</v>
      </c>
      <c r="C61" s="2" t="s">
        <v>467</v>
      </c>
      <c r="D61" s="2" t="s">
        <v>610</v>
      </c>
      <c r="E61" s="4" t="s">
        <v>613</v>
      </c>
      <c r="F61" s="2">
        <v>24</v>
      </c>
      <c r="G61" s="2">
        <v>150</v>
      </c>
      <c r="H61" s="2">
        <v>0.7</v>
      </c>
      <c r="I61" s="2">
        <v>72</v>
      </c>
      <c r="J61" s="2">
        <v>32</v>
      </c>
      <c r="K61" s="2" t="s">
        <v>147</v>
      </c>
      <c r="L61" s="10">
        <v>3.63</v>
      </c>
      <c r="M61" s="2" t="str">
        <f t="shared" si="6"/>
        <v>서소문동 58-7</v>
      </c>
      <c r="S61" s="2" t="s">
        <v>11</v>
      </c>
    </row>
    <row r="62" spans="1:19" ht="21.75" customHeight="1">
      <c r="A62" s="2" t="s">
        <v>562</v>
      </c>
      <c r="B62" s="1" t="s">
        <v>22</v>
      </c>
      <c r="C62" s="2" t="s">
        <v>467</v>
      </c>
      <c r="D62" s="2" t="s">
        <v>609</v>
      </c>
      <c r="E62" s="4" t="s">
        <v>614</v>
      </c>
      <c r="F62" s="2">
        <v>155</v>
      </c>
      <c r="G62" s="2">
        <v>200</v>
      </c>
      <c r="H62" s="2">
        <v>3</v>
      </c>
      <c r="I62" s="2">
        <v>60</v>
      </c>
      <c r="J62" s="2">
        <v>32</v>
      </c>
      <c r="K62" s="2" t="s">
        <v>147</v>
      </c>
      <c r="L62" s="10">
        <v>3.38</v>
      </c>
      <c r="M62" s="2" t="str">
        <f t="shared" si="6"/>
        <v>서소문동 55-4</v>
      </c>
      <c r="S62" s="2" t="s">
        <v>11</v>
      </c>
    </row>
    <row r="63" spans="1:19" ht="21.75" customHeight="1">
      <c r="A63" s="2" t="s">
        <v>563</v>
      </c>
      <c r="B63" s="1" t="s">
        <v>22</v>
      </c>
      <c r="C63" s="2" t="s">
        <v>467</v>
      </c>
      <c r="D63" s="2" t="s">
        <v>609</v>
      </c>
      <c r="E63" s="4" t="s">
        <v>615</v>
      </c>
      <c r="F63" s="2">
        <v>150</v>
      </c>
      <c r="G63" s="2">
        <v>200</v>
      </c>
      <c r="H63" s="2">
        <v>2</v>
      </c>
      <c r="I63" s="2">
        <v>80</v>
      </c>
      <c r="J63" s="2">
        <v>32</v>
      </c>
      <c r="K63" s="2" t="s">
        <v>147</v>
      </c>
      <c r="L63" s="10">
        <v>3.8</v>
      </c>
      <c r="M63" s="2" t="str">
        <f t="shared" ref="M63:M72" si="7">D63&amp;" " &amp; E63</f>
        <v>서소문동 47-2</v>
      </c>
      <c r="S63" s="2" t="s">
        <v>11</v>
      </c>
    </row>
    <row r="64" spans="1:19" ht="21.75" customHeight="1">
      <c r="A64" s="2" t="s">
        <v>564</v>
      </c>
      <c r="B64" s="1" t="s">
        <v>22</v>
      </c>
      <c r="C64" s="2" t="s">
        <v>467</v>
      </c>
      <c r="D64" s="2" t="s">
        <v>609</v>
      </c>
      <c r="E64" s="4" t="s">
        <v>616</v>
      </c>
      <c r="F64" s="2">
        <v>18</v>
      </c>
      <c r="G64" s="2">
        <v>150</v>
      </c>
      <c r="H64" s="2">
        <v>0.5</v>
      </c>
      <c r="I64" s="2">
        <v>72</v>
      </c>
      <c r="J64" s="2">
        <v>25</v>
      </c>
      <c r="K64" s="2" t="s">
        <v>147</v>
      </c>
      <c r="L64" s="10">
        <v>3.63</v>
      </c>
      <c r="M64" s="2" t="str">
        <f t="shared" si="7"/>
        <v>서소문동 41-3</v>
      </c>
      <c r="S64" s="2" t="s">
        <v>11</v>
      </c>
    </row>
    <row r="65" spans="1:19" ht="21.75" customHeight="1">
      <c r="A65" s="2" t="s">
        <v>565</v>
      </c>
      <c r="B65" s="1" t="s">
        <v>22</v>
      </c>
      <c r="C65" s="2" t="s">
        <v>467</v>
      </c>
      <c r="D65" s="2" t="s">
        <v>618</v>
      </c>
      <c r="E65" s="4" t="s">
        <v>619</v>
      </c>
      <c r="F65" s="2">
        <v>24</v>
      </c>
      <c r="G65" s="2">
        <v>25</v>
      </c>
      <c r="H65" s="2">
        <v>1</v>
      </c>
      <c r="I65" s="2">
        <v>49</v>
      </c>
      <c r="J65" s="2">
        <v>25</v>
      </c>
      <c r="K65" s="2" t="s">
        <v>147</v>
      </c>
      <c r="L65" s="10">
        <v>3.15</v>
      </c>
      <c r="M65" s="2" t="str">
        <f t="shared" si="7"/>
        <v>정동 34-5</v>
      </c>
      <c r="S65" s="2" t="s">
        <v>11</v>
      </c>
    </row>
    <row r="66" spans="1:19" ht="21.75" customHeight="1">
      <c r="A66" s="2" t="s">
        <v>566</v>
      </c>
      <c r="B66" s="1" t="s">
        <v>22</v>
      </c>
      <c r="C66" s="2" t="s">
        <v>467</v>
      </c>
      <c r="D66" s="2" t="s">
        <v>620</v>
      </c>
      <c r="E66" s="4" t="s">
        <v>621</v>
      </c>
      <c r="F66" s="2">
        <v>100</v>
      </c>
      <c r="G66" s="2">
        <v>200</v>
      </c>
      <c r="H66" s="2">
        <v>5</v>
      </c>
      <c r="I66" s="2">
        <v>50</v>
      </c>
      <c r="J66" s="2">
        <v>40</v>
      </c>
      <c r="K66" s="2" t="s">
        <v>147</v>
      </c>
      <c r="L66" s="10">
        <v>3.17</v>
      </c>
      <c r="M66" s="2" t="str">
        <f t="shared" si="7"/>
        <v>순화동 2-6</v>
      </c>
      <c r="S66" s="2" t="s">
        <v>11</v>
      </c>
    </row>
    <row r="67" spans="1:19" ht="21.75" customHeight="1">
      <c r="A67" s="2" t="s">
        <v>567</v>
      </c>
      <c r="B67" s="1" t="s">
        <v>22</v>
      </c>
      <c r="C67" s="2" t="s">
        <v>467</v>
      </c>
      <c r="D67" s="2" t="s">
        <v>617</v>
      </c>
      <c r="E67" s="4" t="s">
        <v>622</v>
      </c>
      <c r="F67" s="2">
        <v>95</v>
      </c>
      <c r="G67" s="2">
        <v>200</v>
      </c>
      <c r="H67" s="2">
        <v>2</v>
      </c>
      <c r="I67" s="2">
        <v>80</v>
      </c>
      <c r="J67" s="2">
        <v>32</v>
      </c>
      <c r="K67" s="2" t="s">
        <v>149</v>
      </c>
      <c r="L67" s="10">
        <v>3.8</v>
      </c>
      <c r="M67" s="2" t="str">
        <f t="shared" si="7"/>
        <v>정동 34-35</v>
      </c>
      <c r="S67" s="2" t="s">
        <v>11</v>
      </c>
    </row>
    <row r="68" spans="1:19" ht="21.75" customHeight="1">
      <c r="A68" s="2" t="s">
        <v>568</v>
      </c>
      <c r="B68" s="1" t="s">
        <v>22</v>
      </c>
      <c r="C68" s="2" t="s">
        <v>467</v>
      </c>
      <c r="D68" s="2" t="s">
        <v>610</v>
      </c>
      <c r="E68" s="4" t="s">
        <v>623</v>
      </c>
      <c r="F68" s="2">
        <v>60</v>
      </c>
      <c r="G68" s="2">
        <v>200</v>
      </c>
      <c r="H68" s="2">
        <v>5</v>
      </c>
      <c r="I68" s="2">
        <v>280</v>
      </c>
      <c r="J68" s="2">
        <v>40</v>
      </c>
      <c r="K68" s="2" t="s">
        <v>147</v>
      </c>
      <c r="L68" s="10">
        <v>8</v>
      </c>
      <c r="M68" s="2" t="str">
        <f t="shared" si="7"/>
        <v>서소문동 39-1</v>
      </c>
      <c r="S68" s="2" t="s">
        <v>11</v>
      </c>
    </row>
    <row r="69" spans="1:19" ht="21.75" customHeight="1">
      <c r="A69" s="2" t="s">
        <v>569</v>
      </c>
      <c r="B69" s="1" t="s">
        <v>22</v>
      </c>
      <c r="C69" s="2" t="s">
        <v>467</v>
      </c>
      <c r="D69" s="2" t="s">
        <v>617</v>
      </c>
      <c r="E69" s="4" t="s">
        <v>624</v>
      </c>
      <c r="F69" s="2">
        <v>100</v>
      </c>
      <c r="G69" s="2">
        <v>200</v>
      </c>
      <c r="H69" s="2">
        <v>2</v>
      </c>
      <c r="I69" s="2">
        <v>66</v>
      </c>
      <c r="J69" s="2">
        <v>32</v>
      </c>
      <c r="K69" s="2" t="s">
        <v>147</v>
      </c>
      <c r="L69" s="10">
        <v>3.51</v>
      </c>
      <c r="M69" s="2" t="str">
        <f t="shared" si="7"/>
        <v>정동 5-1</v>
      </c>
      <c r="S69" s="2" t="s">
        <v>11</v>
      </c>
    </row>
    <row r="70" spans="1:19" ht="21.75" customHeight="1">
      <c r="A70" s="2" t="s">
        <v>570</v>
      </c>
      <c r="B70" s="1" t="s">
        <v>22</v>
      </c>
      <c r="C70" s="2" t="s">
        <v>467</v>
      </c>
      <c r="D70" s="2" t="s">
        <v>625</v>
      </c>
      <c r="E70" s="4" t="s">
        <v>626</v>
      </c>
      <c r="F70" s="2">
        <v>110</v>
      </c>
      <c r="G70" s="2">
        <v>150</v>
      </c>
      <c r="H70" s="2">
        <v>1</v>
      </c>
      <c r="I70" s="2">
        <v>50</v>
      </c>
      <c r="J70" s="2">
        <v>32</v>
      </c>
      <c r="K70" s="2" t="s">
        <v>147</v>
      </c>
      <c r="L70" s="10">
        <v>3.17</v>
      </c>
      <c r="M70" s="2" t="str">
        <f t="shared" si="7"/>
        <v>의주로1가 44-1</v>
      </c>
      <c r="S70" s="2" t="s">
        <v>11</v>
      </c>
    </row>
    <row r="71" spans="1:19" ht="21.75" customHeight="1">
      <c r="A71" s="2" t="s">
        <v>571</v>
      </c>
      <c r="B71" s="1" t="s">
        <v>22</v>
      </c>
      <c r="C71" s="2" t="s">
        <v>467</v>
      </c>
      <c r="D71" s="2" t="s">
        <v>620</v>
      </c>
      <c r="E71" s="4" t="s">
        <v>532</v>
      </c>
      <c r="F71" s="2">
        <v>120</v>
      </c>
      <c r="G71" s="2">
        <v>150</v>
      </c>
      <c r="H71" s="2">
        <v>1</v>
      </c>
      <c r="I71" s="2">
        <v>39</v>
      </c>
      <c r="J71" s="2">
        <v>25</v>
      </c>
      <c r="K71" s="2" t="s">
        <v>627</v>
      </c>
      <c r="L71" s="10">
        <v>2.94</v>
      </c>
      <c r="M71" s="2" t="str">
        <f t="shared" si="7"/>
        <v>순화동 1-1</v>
      </c>
      <c r="S71" s="2" t="s">
        <v>11</v>
      </c>
    </row>
    <row r="72" spans="1:19" ht="21.75" customHeight="1">
      <c r="A72" s="2" t="s">
        <v>572</v>
      </c>
      <c r="B72" s="1" t="s">
        <v>22</v>
      </c>
      <c r="C72" s="2" t="s">
        <v>467</v>
      </c>
      <c r="D72" s="2" t="s">
        <v>629</v>
      </c>
      <c r="E72" s="4" t="s">
        <v>630</v>
      </c>
      <c r="F72" s="2">
        <v>450</v>
      </c>
      <c r="G72" s="2">
        <v>200</v>
      </c>
      <c r="H72" s="2">
        <v>5</v>
      </c>
      <c r="I72" s="2">
        <v>350</v>
      </c>
      <c r="J72" s="2">
        <v>50</v>
      </c>
      <c r="K72" s="2" t="s">
        <v>524</v>
      </c>
      <c r="L72" s="10">
        <v>3.5</v>
      </c>
      <c r="M72" s="2" t="str">
        <f t="shared" si="7"/>
        <v>충정로1가 85</v>
      </c>
      <c r="S72" s="2" t="s">
        <v>11</v>
      </c>
    </row>
    <row r="73" spans="1:19" ht="21.75" customHeight="1">
      <c r="A73" s="2" t="s">
        <v>573</v>
      </c>
      <c r="B73" s="1" t="s">
        <v>22</v>
      </c>
      <c r="C73" s="2" t="s">
        <v>467</v>
      </c>
      <c r="D73" s="2" t="s">
        <v>628</v>
      </c>
      <c r="E73" s="4" t="s">
        <v>631</v>
      </c>
      <c r="F73" s="2">
        <v>100</v>
      </c>
      <c r="G73" s="2">
        <v>200</v>
      </c>
      <c r="H73" s="2">
        <v>2</v>
      </c>
      <c r="I73" s="2">
        <v>72</v>
      </c>
      <c r="J73" s="2">
        <v>32</v>
      </c>
      <c r="K73" s="2" t="s">
        <v>147</v>
      </c>
      <c r="L73" s="10">
        <v>3.63</v>
      </c>
      <c r="M73" s="2" t="str">
        <f t="shared" ref="M73:M82" si="8">D73&amp;" " &amp; E73</f>
        <v>충정로1가 75-1</v>
      </c>
      <c r="S73" s="2" t="s">
        <v>11</v>
      </c>
    </row>
    <row r="74" spans="1:19" ht="21.75" customHeight="1">
      <c r="A74" s="2" t="s">
        <v>574</v>
      </c>
      <c r="B74" s="1" t="s">
        <v>22</v>
      </c>
      <c r="C74" s="2" t="s">
        <v>467</v>
      </c>
      <c r="D74" s="2" t="s">
        <v>618</v>
      </c>
      <c r="E74" s="4" t="s">
        <v>632</v>
      </c>
      <c r="F74" s="2">
        <v>30</v>
      </c>
      <c r="G74" s="2">
        <v>100</v>
      </c>
      <c r="H74" s="2">
        <v>0.5</v>
      </c>
      <c r="I74" s="2">
        <v>30</v>
      </c>
      <c r="J74" s="2">
        <v>25</v>
      </c>
      <c r="K74" s="2" t="s">
        <v>147</v>
      </c>
      <c r="L74" s="10">
        <v>2.75</v>
      </c>
      <c r="M74" s="2" t="str">
        <f t="shared" si="8"/>
        <v>정동 11-3</v>
      </c>
      <c r="S74" s="2" t="s">
        <v>11</v>
      </c>
    </row>
    <row r="75" spans="1:19" ht="21.75" customHeight="1">
      <c r="A75" s="2" t="s">
        <v>575</v>
      </c>
      <c r="B75" s="47" t="s">
        <v>505</v>
      </c>
      <c r="C75" s="2" t="s">
        <v>467</v>
      </c>
      <c r="D75" s="2" t="s">
        <v>617</v>
      </c>
      <c r="E75" s="4" t="s">
        <v>639</v>
      </c>
      <c r="F75" s="2">
        <v>23</v>
      </c>
      <c r="G75" s="2">
        <v>200</v>
      </c>
      <c r="H75" s="2">
        <v>3</v>
      </c>
      <c r="I75" s="2">
        <v>112</v>
      </c>
      <c r="J75" s="2">
        <v>40</v>
      </c>
      <c r="K75" s="2" t="s">
        <v>147</v>
      </c>
      <c r="L75" s="10">
        <v>4.47</v>
      </c>
      <c r="M75" s="2" t="str">
        <f t="shared" si="8"/>
        <v>정동 1-28</v>
      </c>
      <c r="S75" s="2" t="s">
        <v>11</v>
      </c>
    </row>
    <row r="76" spans="1:19" ht="21.75" customHeight="1">
      <c r="A76" s="2" t="s">
        <v>576</v>
      </c>
      <c r="B76" s="1" t="s">
        <v>22</v>
      </c>
      <c r="C76" s="2" t="s">
        <v>467</v>
      </c>
      <c r="D76" s="2" t="s">
        <v>617</v>
      </c>
      <c r="E76" s="4" t="s">
        <v>640</v>
      </c>
      <c r="F76" s="2">
        <v>7</v>
      </c>
      <c r="G76" s="2">
        <v>40</v>
      </c>
      <c r="H76" s="2">
        <v>2</v>
      </c>
      <c r="I76" s="2">
        <v>30</v>
      </c>
      <c r="J76" s="2">
        <v>40</v>
      </c>
      <c r="K76" s="2" t="s">
        <v>147</v>
      </c>
      <c r="L76" s="10">
        <v>2.75</v>
      </c>
      <c r="M76" s="2" t="str">
        <f t="shared" si="8"/>
        <v>정동 16-1</v>
      </c>
      <c r="S76" s="2" t="s">
        <v>11</v>
      </c>
    </row>
    <row r="77" spans="1:19" ht="21.75" customHeight="1">
      <c r="A77" s="2" t="s">
        <v>577</v>
      </c>
      <c r="B77" s="1" t="s">
        <v>22</v>
      </c>
      <c r="C77" s="2" t="s">
        <v>467</v>
      </c>
      <c r="D77" s="2" t="s">
        <v>642</v>
      </c>
      <c r="E77" s="4" t="s">
        <v>643</v>
      </c>
      <c r="F77" s="2">
        <v>190</v>
      </c>
      <c r="G77" s="2">
        <v>200</v>
      </c>
      <c r="H77" s="2">
        <v>2</v>
      </c>
      <c r="I77" s="2">
        <v>53</v>
      </c>
      <c r="J77" s="2">
        <v>25</v>
      </c>
      <c r="K77" s="2" t="s">
        <v>147</v>
      </c>
      <c r="L77" s="10">
        <v>3.23</v>
      </c>
      <c r="M77" s="2" t="str">
        <f t="shared" si="8"/>
        <v>태평로1가 61-1</v>
      </c>
      <c r="S77" s="2" t="s">
        <v>11</v>
      </c>
    </row>
    <row r="78" spans="1:19" ht="21.75" customHeight="1">
      <c r="A78" s="2" t="s">
        <v>578</v>
      </c>
      <c r="B78" s="1" t="s">
        <v>22</v>
      </c>
      <c r="C78" s="2" t="s">
        <v>467</v>
      </c>
      <c r="D78" s="2" t="s">
        <v>641</v>
      </c>
      <c r="E78" s="4" t="s">
        <v>644</v>
      </c>
      <c r="F78" s="2">
        <v>80</v>
      </c>
      <c r="G78" s="2">
        <v>200</v>
      </c>
      <c r="H78" s="2">
        <v>3</v>
      </c>
      <c r="I78" s="2">
        <v>112</v>
      </c>
      <c r="J78" s="2">
        <v>32</v>
      </c>
      <c r="K78" s="2" t="s">
        <v>147</v>
      </c>
      <c r="L78" s="10">
        <v>4.47</v>
      </c>
      <c r="M78" s="2" t="str">
        <f t="shared" si="8"/>
        <v>태평로1가 61-21</v>
      </c>
      <c r="S78" s="2" t="s">
        <v>11</v>
      </c>
    </row>
    <row r="79" spans="1:19" ht="21.75" customHeight="1">
      <c r="A79" s="2" t="s">
        <v>579</v>
      </c>
      <c r="B79" s="1" t="s">
        <v>22</v>
      </c>
      <c r="C79" s="2" t="s">
        <v>467</v>
      </c>
      <c r="D79" s="2" t="s">
        <v>641</v>
      </c>
      <c r="E79" s="4" t="s">
        <v>645</v>
      </c>
      <c r="F79" s="2">
        <v>250</v>
      </c>
      <c r="G79" s="2">
        <v>200</v>
      </c>
      <c r="H79" s="2">
        <v>5</v>
      </c>
      <c r="I79" s="2">
        <v>90</v>
      </c>
      <c r="J79" s="2">
        <v>40</v>
      </c>
      <c r="K79" s="2" t="s">
        <v>147</v>
      </c>
      <c r="L79" s="10">
        <v>4.01</v>
      </c>
      <c r="M79" s="2" t="str">
        <f t="shared" si="8"/>
        <v>태평로1가 128-104</v>
      </c>
      <c r="S79" s="2" t="s">
        <v>11</v>
      </c>
    </row>
    <row r="80" spans="1:19" ht="21.75" customHeight="1">
      <c r="A80" s="2" t="s">
        <v>580</v>
      </c>
      <c r="B80" s="47" t="s">
        <v>505</v>
      </c>
      <c r="C80" s="2" t="s">
        <v>467</v>
      </c>
      <c r="D80" s="2" t="s">
        <v>647</v>
      </c>
      <c r="E80" s="4" t="s">
        <v>648</v>
      </c>
      <c r="F80" s="2">
        <v>120</v>
      </c>
      <c r="G80" s="2">
        <v>160</v>
      </c>
      <c r="H80" s="2">
        <v>2</v>
      </c>
      <c r="I80" s="2">
        <v>83</v>
      </c>
      <c r="J80" s="2">
        <v>32</v>
      </c>
      <c r="K80" s="2" t="s">
        <v>147</v>
      </c>
      <c r="L80" s="10">
        <v>3.86</v>
      </c>
      <c r="M80" s="2" t="str">
        <f t="shared" si="8"/>
        <v>중림동 129-43</v>
      </c>
      <c r="S80" s="2" t="s">
        <v>11</v>
      </c>
    </row>
    <row r="81" spans="1:19" ht="21.75" customHeight="1">
      <c r="A81" s="2" t="s">
        <v>581</v>
      </c>
      <c r="B81" s="1" t="s">
        <v>22</v>
      </c>
      <c r="C81" s="2" t="s">
        <v>467</v>
      </c>
      <c r="D81" s="2" t="s">
        <v>497</v>
      </c>
      <c r="E81" s="4" t="s">
        <v>649</v>
      </c>
      <c r="F81" s="2">
        <v>20</v>
      </c>
      <c r="G81" s="2">
        <v>32</v>
      </c>
      <c r="H81" s="2">
        <v>1</v>
      </c>
      <c r="I81" s="2">
        <v>65</v>
      </c>
      <c r="J81" s="2">
        <v>25</v>
      </c>
      <c r="K81" s="2" t="s">
        <v>147</v>
      </c>
      <c r="L81" s="10">
        <v>3.48</v>
      </c>
      <c r="M81" s="2" t="str">
        <f t="shared" si="8"/>
        <v>봉래동2가 122-14</v>
      </c>
      <c r="S81" s="2" t="s">
        <v>11</v>
      </c>
    </row>
    <row r="82" spans="1:19" ht="21.75" customHeight="1">
      <c r="A82" s="2" t="s">
        <v>582</v>
      </c>
      <c r="B82" s="47" t="s">
        <v>505</v>
      </c>
      <c r="C82" s="2" t="s">
        <v>467</v>
      </c>
      <c r="D82" s="2" t="s">
        <v>647</v>
      </c>
      <c r="E82" s="4" t="s">
        <v>650</v>
      </c>
      <c r="F82" s="2">
        <v>80</v>
      </c>
      <c r="G82" s="2">
        <v>50</v>
      </c>
      <c r="H82" s="2">
        <v>5</v>
      </c>
      <c r="I82" s="2">
        <v>30</v>
      </c>
      <c r="J82" s="2">
        <v>50</v>
      </c>
      <c r="K82" s="2" t="s">
        <v>147</v>
      </c>
      <c r="L82" s="10">
        <v>2.75</v>
      </c>
      <c r="M82" s="2" t="str">
        <f t="shared" si="8"/>
        <v>중림동 128-3</v>
      </c>
      <c r="S82" s="2" t="s">
        <v>11</v>
      </c>
    </row>
    <row r="83" spans="1:19" ht="21.75" customHeight="1">
      <c r="A83" s="2" t="s">
        <v>633</v>
      </c>
      <c r="B83" s="47" t="s">
        <v>505</v>
      </c>
      <c r="C83" s="2" t="s">
        <v>467</v>
      </c>
      <c r="D83" s="2" t="s">
        <v>646</v>
      </c>
      <c r="E83" s="4" t="s">
        <v>651</v>
      </c>
      <c r="F83" s="2">
        <v>150</v>
      </c>
      <c r="G83" s="2">
        <v>165</v>
      </c>
      <c r="H83" s="2">
        <v>3</v>
      </c>
      <c r="I83" s="2">
        <v>112</v>
      </c>
      <c r="J83" s="2">
        <v>32</v>
      </c>
      <c r="K83" s="2" t="s">
        <v>147</v>
      </c>
      <c r="L83" s="10">
        <v>4.47</v>
      </c>
      <c r="M83" s="2" t="str">
        <f t="shared" ref="M83:M88" si="9">D83&amp;" " &amp; E83</f>
        <v>중림동 128-56</v>
      </c>
      <c r="S83" s="2" t="s">
        <v>11</v>
      </c>
    </row>
    <row r="84" spans="1:19" ht="21.75" customHeight="1">
      <c r="A84" s="2" t="s">
        <v>634</v>
      </c>
      <c r="B84" s="47" t="s">
        <v>505</v>
      </c>
      <c r="C84" s="2" t="s">
        <v>467</v>
      </c>
      <c r="D84" s="2" t="s">
        <v>646</v>
      </c>
      <c r="E84" s="4" t="s">
        <v>652</v>
      </c>
      <c r="F84" s="2">
        <v>150</v>
      </c>
      <c r="G84" s="2">
        <v>200</v>
      </c>
      <c r="H84" s="2">
        <v>1</v>
      </c>
      <c r="I84" s="2">
        <v>36</v>
      </c>
      <c r="J84" s="2">
        <v>40</v>
      </c>
      <c r="K84" s="2" t="s">
        <v>147</v>
      </c>
      <c r="L84" s="10">
        <v>2.88</v>
      </c>
      <c r="M84" s="2" t="str">
        <f t="shared" si="9"/>
        <v>중림동 128-10</v>
      </c>
      <c r="S84" s="2" t="s">
        <v>11</v>
      </c>
    </row>
    <row r="85" spans="1:19" ht="21.75" customHeight="1">
      <c r="A85" s="2" t="s">
        <v>635</v>
      </c>
      <c r="B85" s="1" t="s">
        <v>22</v>
      </c>
      <c r="C85" s="2" t="s">
        <v>467</v>
      </c>
      <c r="D85" s="2" t="s">
        <v>646</v>
      </c>
      <c r="E85" s="4" t="s">
        <v>653</v>
      </c>
      <c r="F85" s="2">
        <v>200</v>
      </c>
      <c r="G85" s="2">
        <v>200</v>
      </c>
      <c r="H85" s="2">
        <v>3</v>
      </c>
      <c r="I85" s="2">
        <v>90</v>
      </c>
      <c r="J85" s="2">
        <v>32</v>
      </c>
      <c r="K85" s="2" t="s">
        <v>147</v>
      </c>
      <c r="L85" s="10">
        <v>4.01</v>
      </c>
      <c r="M85" s="2" t="str">
        <f t="shared" si="9"/>
        <v>중림동 363</v>
      </c>
      <c r="S85" s="2" t="s">
        <v>11</v>
      </c>
    </row>
    <row r="86" spans="1:19" ht="21.75" customHeight="1">
      <c r="A86" s="2" t="s">
        <v>636</v>
      </c>
      <c r="B86" s="1" t="s">
        <v>22</v>
      </c>
      <c r="C86" s="2" t="s">
        <v>467</v>
      </c>
      <c r="D86" s="2" t="s">
        <v>646</v>
      </c>
      <c r="E86" s="4" t="s">
        <v>654</v>
      </c>
      <c r="F86" s="2">
        <v>75</v>
      </c>
      <c r="G86" s="2">
        <v>200</v>
      </c>
      <c r="H86" s="2">
        <v>3</v>
      </c>
      <c r="I86" s="2">
        <v>50</v>
      </c>
      <c r="J86" s="2">
        <v>40</v>
      </c>
      <c r="K86" s="2" t="s">
        <v>147</v>
      </c>
      <c r="L86" s="10">
        <v>3.17</v>
      </c>
      <c r="M86" s="2" t="str">
        <f t="shared" si="9"/>
        <v>중림동 355</v>
      </c>
      <c r="S86" s="2" t="s">
        <v>11</v>
      </c>
    </row>
    <row r="87" spans="1:19" ht="21.75" customHeight="1">
      <c r="A87" s="2" t="s">
        <v>637</v>
      </c>
      <c r="B87" s="47" t="s">
        <v>505</v>
      </c>
      <c r="C87" s="2" t="s">
        <v>467</v>
      </c>
      <c r="D87" s="2" t="s">
        <v>646</v>
      </c>
      <c r="E87" s="4" t="s">
        <v>655</v>
      </c>
      <c r="F87" s="2">
        <v>200</v>
      </c>
      <c r="G87" s="2">
        <v>200</v>
      </c>
      <c r="H87" s="2">
        <v>7.5</v>
      </c>
      <c r="I87" s="2">
        <v>158</v>
      </c>
      <c r="J87" s="2">
        <v>40</v>
      </c>
      <c r="K87" s="2" t="s">
        <v>147</v>
      </c>
      <c r="L87" s="10">
        <v>5.44</v>
      </c>
      <c r="M87" s="2" t="str">
        <f t="shared" si="9"/>
        <v>중림동 441</v>
      </c>
      <c r="S87" s="2" t="s">
        <v>11</v>
      </c>
    </row>
    <row r="88" spans="1:19" ht="21.75" customHeight="1">
      <c r="A88" s="2" t="s">
        <v>638</v>
      </c>
      <c r="B88" s="1" t="s">
        <v>22</v>
      </c>
      <c r="C88" s="2" t="s">
        <v>467</v>
      </c>
      <c r="D88" s="2" t="s">
        <v>656</v>
      </c>
      <c r="E88" s="4" t="s">
        <v>657</v>
      </c>
      <c r="F88" s="2">
        <v>6</v>
      </c>
      <c r="G88" s="2">
        <v>25</v>
      </c>
      <c r="H88" s="2">
        <v>1</v>
      </c>
      <c r="I88" s="2">
        <v>57</v>
      </c>
      <c r="J88" s="2">
        <v>25</v>
      </c>
      <c r="K88" s="2" t="s">
        <v>148</v>
      </c>
      <c r="L88" s="10">
        <v>8.49</v>
      </c>
      <c r="M88" s="2" t="str">
        <f t="shared" si="9"/>
        <v>만리동1가 54-7</v>
      </c>
      <c r="S88" s="2" t="s">
        <v>11</v>
      </c>
    </row>
    <row r="89" spans="1:19" ht="21.75" customHeight="1">
      <c r="B89" s="1"/>
      <c r="I89" s="2"/>
      <c r="J89" s="2"/>
      <c r="L89" s="10"/>
    </row>
    <row r="90" spans="1:19" ht="21.75" customHeight="1">
      <c r="B90" s="1"/>
      <c r="I90" s="2"/>
      <c r="J90" s="2"/>
      <c r="L90" s="10"/>
    </row>
    <row r="91" spans="1:19" ht="21.75" customHeight="1" thickBot="1">
      <c r="B91" s="1"/>
      <c r="I91" s="2"/>
      <c r="J91" s="2"/>
      <c r="L91" s="10"/>
    </row>
    <row r="92" spans="1:19" ht="21.75" customHeight="1">
      <c r="B92" s="11" t="s">
        <v>253</v>
      </c>
      <c r="C92" s="44" t="s">
        <v>254</v>
      </c>
      <c r="D92" s="45"/>
      <c r="E92" s="44" t="s">
        <v>257</v>
      </c>
      <c r="F92" s="45"/>
      <c r="G92" s="44" t="s">
        <v>258</v>
      </c>
      <c r="H92" s="45"/>
      <c r="I92" s="44" t="s">
        <v>259</v>
      </c>
      <c r="J92" s="46"/>
      <c r="K92" s="2" t="s">
        <v>33</v>
      </c>
      <c r="L92" s="49">
        <f>SUM(L2:L88)</f>
        <v>332.36000000000018</v>
      </c>
    </row>
    <row r="93" spans="1:19" ht="21.75" customHeight="1">
      <c r="B93" s="16" t="s">
        <v>255</v>
      </c>
      <c r="C93" s="13">
        <f ca="1">E93+G93+I93</f>
        <v>91</v>
      </c>
      <c r="D93" s="13">
        <f ca="1">F93+H93+J93</f>
        <v>343.3400000000002</v>
      </c>
      <c r="E93" s="13">
        <f ca="1">IF(F93=0,0,COUNTIF(SS_INSIDE_AREA,"O"))</f>
        <v>87</v>
      </c>
      <c r="F93" s="13">
        <f ca="1">SUMIF(SS_INSIDE_AREA,"O",$L$2:$L$2)</f>
        <v>332.36000000000018</v>
      </c>
      <c r="G93" s="13">
        <f ca="1">IF(H93=0,0,COUNTIF(AA_INSIDE_AREA,"O"))</f>
        <v>1</v>
      </c>
      <c r="H93" s="13">
        <f ca="1">aa!$D$6</f>
        <v>1.98</v>
      </c>
      <c r="I93" s="13">
        <f ca="1">IF(J93=0,0,COUNTIF(II_INSIDE_AREA,"O"))</f>
        <v>3</v>
      </c>
      <c r="J93" s="17">
        <f ca="1">ii!$D$10</f>
        <v>9</v>
      </c>
      <c r="K93" s="2" t="s">
        <v>30</v>
      </c>
      <c r="L93" s="48">
        <f ca="1">L92+aa!D6+ii!L7</f>
        <v>343.3400000000002</v>
      </c>
    </row>
    <row r="94" spans="1:19" ht="21.75" customHeight="1" thickBot="1">
      <c r="B94" s="12" t="s">
        <v>256</v>
      </c>
      <c r="C94" s="18">
        <f ca="1">E94+G94+I94</f>
        <v>0</v>
      </c>
      <c r="D94" s="18">
        <f ca="1">F94+H94+J94</f>
        <v>0</v>
      </c>
      <c r="E94" s="18">
        <f ca="1">IF(F94=0,0,COUNTIF(SS_INSIDE_AREA,"X"))</f>
        <v>0</v>
      </c>
      <c r="F94" s="18">
        <f ca="1">SUMIF(SS_INSIDE_AREA,"X",$L$2:$L$2)</f>
        <v>0</v>
      </c>
      <c r="G94" s="18">
        <f ca="1">IF(H94=0,0,COUNTIF(AA_INSIDE_AREA,"X"))</f>
        <v>0</v>
      </c>
      <c r="H94" s="18">
        <f ca="1">aa!$D$7</f>
        <v>0</v>
      </c>
      <c r="I94" s="18">
        <f ca="1">IF(J94=0,0,COUNTIF(II_INSIDE_AREA,"X"))</f>
        <v>0</v>
      </c>
      <c r="J94" s="19">
        <f ca="1">ii!$D$11</f>
        <v>0</v>
      </c>
    </row>
    <row r="95" spans="1:19" ht="21.75" customHeight="1">
      <c r="B95"/>
      <c r="C95"/>
      <c r="D95"/>
      <c r="E95"/>
      <c r="F95"/>
      <c r="G95"/>
      <c r="H95"/>
      <c r="I95"/>
      <c r="K95" s="11" t="s">
        <v>31</v>
      </c>
      <c r="L95" s="33">
        <f ca="1">D93</f>
        <v>343.3400000000002</v>
      </c>
    </row>
    <row r="96" spans="1:19" ht="21.75" customHeight="1" thickBot="1">
      <c r="B96"/>
      <c r="C96"/>
      <c r="D96"/>
      <c r="E96"/>
      <c r="F96"/>
      <c r="G96"/>
      <c r="H96"/>
      <c r="I96"/>
      <c r="K96" s="12" t="s">
        <v>32</v>
      </c>
      <c r="L96" s="34">
        <f ca="1">C93</f>
        <v>91</v>
      </c>
    </row>
    <row r="97" spans="2:17" ht="21.75" customHeight="1">
      <c r="B97"/>
      <c r="C97"/>
      <c r="D97"/>
      <c r="E97"/>
      <c r="F97"/>
      <c r="G97"/>
      <c r="H97"/>
      <c r="I97"/>
    </row>
    <row r="98" spans="2:17" ht="21.75" customHeight="1">
      <c r="B98"/>
      <c r="C98"/>
      <c r="D98"/>
      <c r="E98"/>
      <c r="F98"/>
      <c r="G98"/>
      <c r="H98"/>
      <c r="I98"/>
    </row>
    <row r="99" spans="2:17" ht="21.75" customHeight="1">
      <c r="B99"/>
      <c r="C99"/>
      <c r="D99"/>
      <c r="E99"/>
      <c r="F99"/>
      <c r="G99"/>
      <c r="H99"/>
      <c r="I99"/>
    </row>
    <row r="100" spans="2:17" ht="21.75" customHeight="1">
      <c r="B100"/>
      <c r="C100"/>
      <c r="D100"/>
      <c r="E100"/>
      <c r="F100"/>
      <c r="G100"/>
      <c r="H100"/>
      <c r="I100"/>
    </row>
    <row r="101" spans="2:17" ht="21.75" customHeight="1">
      <c r="B101"/>
      <c r="C101"/>
      <c r="D101"/>
      <c r="E101"/>
      <c r="F101"/>
      <c r="G101"/>
      <c r="H101"/>
      <c r="I101"/>
    </row>
    <row r="102" spans="2:17" ht="21.75" customHeight="1">
      <c r="B102"/>
      <c r="C102"/>
      <c r="D102"/>
      <c r="E102"/>
      <c r="F102"/>
      <c r="G102"/>
      <c r="H102"/>
      <c r="I102"/>
    </row>
    <row r="103" spans="2:17" ht="21.75" customHeight="1">
      <c r="B103"/>
      <c r="C103"/>
      <c r="D103"/>
      <c r="E103"/>
      <c r="F103"/>
      <c r="G103"/>
      <c r="H103"/>
      <c r="I103"/>
    </row>
    <row r="104" spans="2:17" ht="21.75" customHeight="1">
      <c r="B104"/>
      <c r="C104"/>
      <c r="D104"/>
      <c r="E104"/>
      <c r="F104"/>
      <c r="G104"/>
      <c r="H104"/>
      <c r="I104"/>
    </row>
    <row r="105" spans="2:17" ht="21.75" customHeight="1">
      <c r="B105"/>
      <c r="C105"/>
      <c r="D105"/>
      <c r="E105"/>
      <c r="F105"/>
      <c r="G105"/>
      <c r="H105"/>
      <c r="I105"/>
    </row>
    <row r="110" spans="2:17" ht="21.75" customHeight="1">
      <c r="K110"/>
      <c r="L110"/>
      <c r="M110"/>
      <c r="N110"/>
      <c r="O110"/>
      <c r="P110"/>
      <c r="Q110"/>
    </row>
    <row r="111" spans="2:17" ht="21.75" customHeight="1">
      <c r="K111"/>
      <c r="L111"/>
      <c r="M111"/>
      <c r="N111"/>
      <c r="O111"/>
      <c r="P111"/>
      <c r="Q111"/>
    </row>
    <row r="112" spans="2:17" ht="21.75" customHeight="1">
      <c r="K112"/>
      <c r="L112"/>
      <c r="M112"/>
      <c r="N112"/>
      <c r="O112"/>
      <c r="P112"/>
      <c r="Q112"/>
    </row>
  </sheetData>
  <dataConsolidate/>
  <mergeCells count="4">
    <mergeCell ref="C92:D92"/>
    <mergeCell ref="E92:F92"/>
    <mergeCell ref="G92:H92"/>
    <mergeCell ref="I92:J92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8"/>
  <sheetViews>
    <sheetView workbookViewId="0">
      <selection activeCell="K26" sqref="K26"/>
    </sheetView>
  </sheetViews>
  <sheetFormatPr defaultColWidth="9" defaultRowHeight="21.75" customHeight="1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>
      <c r="A2" s="1" t="s">
        <v>4</v>
      </c>
      <c r="B2" s="1" t="s">
        <v>2</v>
      </c>
      <c r="C2" s="2" t="s">
        <v>467</v>
      </c>
      <c r="D2" s="2" t="s">
        <v>468</v>
      </c>
      <c r="E2" s="8"/>
      <c r="F2" s="7"/>
      <c r="G2" s="7"/>
      <c r="H2" s="7"/>
      <c r="I2" s="7"/>
      <c r="J2" s="7"/>
      <c r="K2" s="7" t="s">
        <v>334</v>
      </c>
      <c r="L2" s="2">
        <v>1.98</v>
      </c>
      <c r="M2" s="26" t="str">
        <f>D2&amp;" "&amp;E2</f>
        <v xml:space="preserve">봉래동1가 </v>
      </c>
      <c r="N2" s="7"/>
      <c r="O2" s="7"/>
      <c r="P2" s="7"/>
      <c r="R2" s="7"/>
      <c r="S2" s="5" t="s">
        <v>11</v>
      </c>
    </row>
    <row r="3" spans="1:19" s="5" customFormat="1" ht="21.75" customHeight="1">
      <c r="A3" s="1"/>
      <c r="B3" s="1"/>
      <c r="C3" s="2"/>
      <c r="D3" s="2"/>
      <c r="E3" s="8"/>
      <c r="F3" s="7"/>
      <c r="G3" s="7"/>
      <c r="H3" s="7"/>
      <c r="I3" s="7"/>
      <c r="J3" s="7"/>
      <c r="K3" s="7"/>
      <c r="L3" s="2"/>
      <c r="M3" s="26"/>
      <c r="N3" s="7"/>
      <c r="O3" s="7"/>
      <c r="P3" s="7"/>
      <c r="R3" s="7"/>
    </row>
    <row r="4" spans="1:19" s="5" customFormat="1" ht="21.75" customHeight="1" thickBot="1">
      <c r="A4" s="1"/>
      <c r="B4" s="1"/>
      <c r="C4" s="2"/>
      <c r="D4" s="2"/>
      <c r="E4" s="8"/>
      <c r="F4" s="7"/>
      <c r="G4" s="7"/>
      <c r="H4" s="7"/>
      <c r="I4" s="7"/>
      <c r="J4" s="7"/>
      <c r="K4" s="7"/>
      <c r="L4" s="2"/>
      <c r="M4" s="26"/>
      <c r="N4" s="7"/>
      <c r="O4" s="7"/>
      <c r="P4" s="7"/>
      <c r="R4" s="7"/>
    </row>
    <row r="5" spans="1:19" s="5" customFormat="1" ht="21.75" customHeight="1">
      <c r="A5" s="1"/>
      <c r="B5" s="22" t="s">
        <v>21</v>
      </c>
      <c r="C5" s="14" t="s">
        <v>20</v>
      </c>
      <c r="D5" s="15" t="s">
        <v>5</v>
      </c>
      <c r="E5" s="8"/>
      <c r="F5" s="7"/>
      <c r="G5" s="7"/>
      <c r="H5" s="7"/>
      <c r="I5" s="7"/>
      <c r="J5" s="7"/>
      <c r="K5" s="7"/>
      <c r="L5" s="2"/>
      <c r="M5" s="26"/>
      <c r="N5" s="7"/>
      <c r="O5" s="7"/>
      <c r="P5" s="7"/>
      <c r="R5" s="7"/>
    </row>
    <row r="6" spans="1:19" s="5" customFormat="1" ht="21.75" customHeight="1">
      <c r="A6" s="1"/>
      <c r="B6" s="20" t="s">
        <v>18</v>
      </c>
      <c r="C6" s="13">
        <f ca="1">COUNTIF(AA_INSIDE_AREA,"O")</f>
        <v>1</v>
      </c>
      <c r="D6" s="17">
        <f ca="1">SUMIF(AA_INSIDE_AREA,"O",$L$2:$L$2)</f>
        <v>1.98</v>
      </c>
      <c r="E6" s="8"/>
      <c r="F6" s="7"/>
      <c r="G6" s="7"/>
      <c r="H6" s="7"/>
      <c r="I6" s="7"/>
      <c r="J6" s="7"/>
      <c r="K6" s="7"/>
      <c r="L6" s="2"/>
      <c r="M6" s="26"/>
      <c r="N6" s="7"/>
      <c r="O6" s="7"/>
      <c r="P6" s="7"/>
      <c r="R6" s="7"/>
    </row>
    <row r="7" spans="1:19" ht="21.75" customHeight="1">
      <c r="B7" s="20" t="s">
        <v>19</v>
      </c>
      <c r="C7" s="13">
        <f ca="1">COUNTIF(AA_INSIDE_AREA,"X")</f>
        <v>0</v>
      </c>
      <c r="D7" s="17">
        <f ca="1">SUMIF(AA_INSIDE_AREA,"X",$L$2:$L$2)</f>
        <v>0</v>
      </c>
      <c r="L7" s="3"/>
    </row>
    <row r="8" spans="1:19" ht="21.75" customHeight="1" thickBot="1">
      <c r="B8" s="21"/>
      <c r="C8" s="18"/>
      <c r="D8" s="19">
        <f ca="1">D6+D7</f>
        <v>1.98</v>
      </c>
      <c r="L8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2"/>
  <sheetViews>
    <sheetView workbookViewId="0">
      <selection activeCell="K28" sqref="K28:K29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>
      <c r="A2" s="5" t="s">
        <v>9</v>
      </c>
      <c r="B2" s="1" t="s">
        <v>2</v>
      </c>
      <c r="C2" s="2" t="s">
        <v>469</v>
      </c>
      <c r="D2" s="2" t="s">
        <v>470</v>
      </c>
      <c r="E2" s="4" t="s">
        <v>471</v>
      </c>
      <c r="F2" s="2">
        <v>100</v>
      </c>
      <c r="G2" s="2">
        <v>200</v>
      </c>
      <c r="H2" s="2">
        <v>2</v>
      </c>
      <c r="I2" s="2">
        <v>88</v>
      </c>
      <c r="J2" s="2">
        <v>25</v>
      </c>
      <c r="K2" s="2" t="s">
        <v>153</v>
      </c>
      <c r="L2" s="2">
        <v>6</v>
      </c>
      <c r="M2" s="2" t="str">
        <f>D2&amp;" "&amp;E2&amp;" 번지"</f>
        <v>서계동 47-15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469</v>
      </c>
      <c r="D3" s="2" t="s">
        <v>472</v>
      </c>
      <c r="E3" s="4" t="s">
        <v>473</v>
      </c>
      <c r="F3" s="2">
        <v>140</v>
      </c>
      <c r="G3" s="2">
        <v>165</v>
      </c>
      <c r="H3" s="2">
        <v>1</v>
      </c>
      <c r="I3" s="2">
        <v>80</v>
      </c>
      <c r="J3" s="2">
        <v>25</v>
      </c>
      <c r="K3" s="2" t="s">
        <v>153</v>
      </c>
      <c r="L3" s="2">
        <v>1</v>
      </c>
      <c r="M3" s="2" t="str">
        <f t="shared" ref="M3:M4" si="0">D3&amp;" "&amp;E3&amp;" 번지"</f>
        <v>동자동 43-205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467</v>
      </c>
      <c r="D4" s="2" t="s">
        <v>501</v>
      </c>
      <c r="E4" s="4" t="s">
        <v>506</v>
      </c>
      <c r="F4" s="2">
        <v>100</v>
      </c>
      <c r="G4" s="2">
        <v>200</v>
      </c>
      <c r="H4" s="2">
        <v>1</v>
      </c>
      <c r="I4" s="2">
        <v>68</v>
      </c>
      <c r="J4" s="2">
        <v>25</v>
      </c>
      <c r="K4" s="2" t="s">
        <v>153</v>
      </c>
      <c r="L4" s="2">
        <v>2</v>
      </c>
      <c r="M4" s="2" t="str">
        <f t="shared" si="0"/>
        <v>남대문로5가 84-17 번지</v>
      </c>
      <c r="N4" s="2"/>
      <c r="O4" s="2"/>
      <c r="P4" s="2"/>
      <c r="Q4" s="2"/>
      <c r="R4" s="2"/>
      <c r="S4" s="2" t="s">
        <v>11</v>
      </c>
    </row>
    <row r="5" spans="1:19" ht="21.75" customHeight="1"/>
    <row r="6" spans="1:19" ht="21.75" customHeight="1"/>
    <row r="7" spans="1:19" ht="21.75" customHeight="1">
      <c r="K7" s="5" t="s">
        <v>30</v>
      </c>
      <c r="L7" s="32">
        <f>SUM(L2:L6)</f>
        <v>9</v>
      </c>
      <c r="S7" s="9"/>
    </row>
    <row r="8" spans="1:19" ht="18.75" customHeight="1" thickBot="1"/>
    <row r="9" spans="1:19" ht="18.75" customHeight="1">
      <c r="B9" s="22" t="s">
        <v>29</v>
      </c>
      <c r="C9" s="14" t="s">
        <v>20</v>
      </c>
      <c r="D9" s="15" t="s">
        <v>5</v>
      </c>
      <c r="L9" s="3"/>
      <c r="S9" s="3"/>
    </row>
    <row r="10" spans="1:19" ht="18.75" customHeight="1">
      <c r="B10" s="20" t="s">
        <v>18</v>
      </c>
      <c r="C10" s="13">
        <f ca="1">IF(L7=0,0,COUNTIF(II_INSIDE_AREA,"O"))</f>
        <v>3</v>
      </c>
      <c r="D10" s="17">
        <f ca="1">SUMIF(II_INSIDE_AREA,"O",$L$2:$L$2)</f>
        <v>9</v>
      </c>
      <c r="L10" s="3"/>
      <c r="S10" s="3"/>
    </row>
    <row r="11" spans="1:19" ht="18.75" customHeight="1">
      <c r="B11" s="20" t="s">
        <v>19</v>
      </c>
      <c r="C11" s="13">
        <f ca="1">COUNTIF(II_INSIDE_AREA,"X")</f>
        <v>0</v>
      </c>
      <c r="D11" s="17">
        <f ca="1">SUMIF(II_INSIDE_AREA,"X",$L$2:$L$2)</f>
        <v>0</v>
      </c>
    </row>
    <row r="12" spans="1:19" ht="18.75" customHeight="1" thickBot="1">
      <c r="B12" s="21"/>
      <c r="C12" s="18"/>
      <c r="D12" s="19">
        <f ca="1">D10+D11</f>
        <v>9</v>
      </c>
    </row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6" customWidth="1"/>
  </cols>
  <sheetData>
    <row r="1" spans="1:10" ht="21.75" customHeight="1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>
      <c r="C3" s="5" t="s">
        <v>88</v>
      </c>
      <c r="D3" s="5" t="s">
        <v>35</v>
      </c>
      <c r="E3" s="26" t="s">
        <v>142</v>
      </c>
    </row>
    <row r="4" spans="1:10" ht="20.100000000000001" customHeight="1">
      <c r="C4" s="5" t="s">
        <v>140</v>
      </c>
      <c r="D4" s="5" t="s">
        <v>36</v>
      </c>
      <c r="E4" s="26" t="s">
        <v>143</v>
      </c>
    </row>
    <row r="5" spans="1:10" ht="20.100000000000001" customHeight="1">
      <c r="C5" s="5" t="s">
        <v>24</v>
      </c>
      <c r="D5" s="5" t="s">
        <v>37</v>
      </c>
      <c r="E5" s="26" t="s">
        <v>144</v>
      </c>
    </row>
    <row r="6" spans="1:10" ht="20.100000000000001" customHeight="1">
      <c r="C6" s="5" t="s">
        <v>89</v>
      </c>
      <c r="D6" s="5" t="s">
        <v>38</v>
      </c>
      <c r="E6" s="26" t="s">
        <v>145</v>
      </c>
    </row>
    <row r="7" spans="1:10" ht="20.100000000000001" customHeight="1">
      <c r="C7" s="5" t="s">
        <v>90</v>
      </c>
      <c r="D7" s="5" t="s">
        <v>39</v>
      </c>
      <c r="E7" s="26" t="s">
        <v>33</v>
      </c>
    </row>
    <row r="8" spans="1:10" ht="20.100000000000001" customHeight="1">
      <c r="C8" s="5" t="s">
        <v>91</v>
      </c>
      <c r="D8" s="5" t="s">
        <v>40</v>
      </c>
      <c r="E8" s="26" t="s">
        <v>146</v>
      </c>
    </row>
    <row r="9" spans="1:10" ht="20.100000000000001" customHeight="1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6" t="s">
        <v>148</v>
      </c>
    </row>
    <row r="11" spans="1:10" ht="20.100000000000001" customHeight="1">
      <c r="C11" s="5" t="s">
        <v>94</v>
      </c>
      <c r="D11" s="5" t="s">
        <v>43</v>
      </c>
      <c r="E11" s="26" t="s">
        <v>149</v>
      </c>
    </row>
    <row r="12" spans="1:10" ht="20.100000000000001" customHeight="1">
      <c r="C12" s="5" t="s">
        <v>95</v>
      </c>
      <c r="D12" s="5" t="s">
        <v>44</v>
      </c>
      <c r="E12" s="26" t="s">
        <v>150</v>
      </c>
    </row>
    <row r="13" spans="1:10" ht="20.100000000000001" customHeight="1">
      <c r="C13" s="5" t="s">
        <v>96</v>
      </c>
      <c r="D13" s="5" t="s">
        <v>45</v>
      </c>
      <c r="E13" s="26" t="s">
        <v>151</v>
      </c>
    </row>
    <row r="14" spans="1:10" ht="20.100000000000001" customHeight="1">
      <c r="C14" s="5" t="s">
        <v>97</v>
      </c>
      <c r="D14" s="5" t="s">
        <v>46</v>
      </c>
      <c r="E14" s="26" t="s">
        <v>152</v>
      </c>
    </row>
    <row r="15" spans="1:10" ht="20.100000000000001" customHeight="1">
      <c r="C15" s="5" t="s">
        <v>98</v>
      </c>
      <c r="D15" s="5" t="s">
        <v>47</v>
      </c>
      <c r="E15" s="26" t="s">
        <v>153</v>
      </c>
    </row>
    <row r="16" spans="1:10" ht="20.100000000000001" customHeight="1">
      <c r="C16" s="5" t="s">
        <v>99</v>
      </c>
      <c r="D16" s="5" t="s">
        <v>48</v>
      </c>
      <c r="E16" s="26" t="s">
        <v>154</v>
      </c>
    </row>
    <row r="17" spans="3:5" ht="20.100000000000001" customHeight="1">
      <c r="C17" s="5" t="s">
        <v>100</v>
      </c>
      <c r="D17" s="5" t="s">
        <v>49</v>
      </c>
      <c r="E17" s="26" t="s">
        <v>155</v>
      </c>
    </row>
    <row r="18" spans="3:5" ht="20.100000000000001" customHeight="1">
      <c r="C18" s="5" t="s">
        <v>101</v>
      </c>
      <c r="D18" s="5" t="s">
        <v>50</v>
      </c>
      <c r="E18" s="26" t="s">
        <v>156</v>
      </c>
    </row>
    <row r="19" spans="3:5" ht="20.100000000000001" customHeight="1">
      <c r="C19" s="5" t="s">
        <v>102</v>
      </c>
      <c r="D19" s="5" t="s">
        <v>51</v>
      </c>
      <c r="E19" s="26" t="s">
        <v>157</v>
      </c>
    </row>
    <row r="20" spans="3:5" ht="20.100000000000001" customHeight="1">
      <c r="C20" s="5" t="s">
        <v>103</v>
      </c>
      <c r="D20" s="5" t="s">
        <v>52</v>
      </c>
      <c r="E20" s="26" t="s">
        <v>158</v>
      </c>
    </row>
    <row r="21" spans="3:5" ht="20.100000000000001" customHeight="1">
      <c r="C21" s="5" t="s">
        <v>104</v>
      </c>
      <c r="D21" s="5" t="s">
        <v>53</v>
      </c>
      <c r="E21" s="26" t="s">
        <v>153</v>
      </c>
    </row>
    <row r="22" spans="3:5" ht="20.100000000000001" customHeight="1">
      <c r="C22" s="5" t="s">
        <v>105</v>
      </c>
      <c r="D22" s="5" t="s">
        <v>54</v>
      </c>
      <c r="E22" s="26" t="s">
        <v>159</v>
      </c>
    </row>
    <row r="23" spans="3:5" ht="20.100000000000001" customHeight="1">
      <c r="C23" s="5" t="s">
        <v>106</v>
      </c>
      <c r="D23" s="5" t="s">
        <v>55</v>
      </c>
      <c r="E23" s="26" t="s">
        <v>160</v>
      </c>
    </row>
    <row r="24" spans="3:5" ht="20.100000000000001" customHeight="1">
      <c r="C24" s="5" t="s">
        <v>107</v>
      </c>
      <c r="D24" s="5" t="s">
        <v>56</v>
      </c>
      <c r="E24" s="26" t="s">
        <v>161</v>
      </c>
    </row>
    <row r="25" spans="3:5" ht="20.100000000000001" customHeight="1">
      <c r="C25" s="5" t="s">
        <v>108</v>
      </c>
      <c r="D25" s="5" t="s">
        <v>57</v>
      </c>
      <c r="E25" s="26" t="s">
        <v>162</v>
      </c>
    </row>
    <row r="26" spans="3:5" ht="20.100000000000001" customHeight="1">
      <c r="C26" s="5" t="s">
        <v>109</v>
      </c>
      <c r="D26" s="5" t="s">
        <v>58</v>
      </c>
      <c r="E26" s="26" t="s">
        <v>163</v>
      </c>
    </row>
    <row r="27" spans="3:5" ht="20.100000000000001" customHeight="1">
      <c r="C27" s="5" t="s">
        <v>110</v>
      </c>
      <c r="D27" s="5" t="s">
        <v>59</v>
      </c>
      <c r="E27" s="26" t="s">
        <v>164</v>
      </c>
    </row>
    <row r="28" spans="3:5" ht="20.100000000000001" customHeight="1">
      <c r="C28" s="5" t="s">
        <v>111</v>
      </c>
      <c r="D28" s="5" t="s">
        <v>60</v>
      </c>
      <c r="E28" s="26" t="s">
        <v>153</v>
      </c>
    </row>
    <row r="29" spans="3:5" ht="20.100000000000001" customHeight="1">
      <c r="C29" s="5" t="s">
        <v>112</v>
      </c>
      <c r="D29" s="5" t="s">
        <v>61</v>
      </c>
      <c r="E29" s="26" t="s">
        <v>165</v>
      </c>
    </row>
    <row r="30" spans="3:5" ht="20.100000000000001" customHeight="1">
      <c r="C30" s="5" t="s">
        <v>113</v>
      </c>
      <c r="D30" s="5" t="s">
        <v>62</v>
      </c>
      <c r="E30" s="26" t="s">
        <v>166</v>
      </c>
    </row>
    <row r="31" spans="3:5" ht="20.100000000000001" customHeight="1">
      <c r="C31" s="5" t="s">
        <v>114</v>
      </c>
      <c r="D31" s="5" t="s">
        <v>63</v>
      </c>
      <c r="E31" s="26" t="s">
        <v>167</v>
      </c>
    </row>
    <row r="32" spans="3:5" ht="20.100000000000001" customHeight="1">
      <c r="C32" s="5" t="s">
        <v>115</v>
      </c>
      <c r="D32" s="5" t="s">
        <v>64</v>
      </c>
      <c r="E32" s="28" t="s">
        <v>168</v>
      </c>
    </row>
    <row r="33" spans="3:7" ht="20.100000000000001" customHeight="1">
      <c r="C33" s="5" t="s">
        <v>116</v>
      </c>
      <c r="D33" s="5" t="s">
        <v>65</v>
      </c>
      <c r="E33" s="28" t="s">
        <v>169</v>
      </c>
    </row>
    <row r="34" spans="3:7" ht="20.100000000000001" customHeight="1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6" t="s">
        <v>172</v>
      </c>
    </row>
    <row r="38" spans="3:7" ht="20.100000000000001" customHeight="1">
      <c r="C38" s="5" t="s">
        <v>120</v>
      </c>
      <c r="D38" s="5" t="s">
        <v>70</v>
      </c>
      <c r="E38" s="26" t="s">
        <v>173</v>
      </c>
    </row>
    <row r="39" spans="3:7" ht="20.100000000000001" customHeight="1">
      <c r="C39" s="5" t="s">
        <v>121</v>
      </c>
      <c r="D39" s="5" t="s">
        <v>71</v>
      </c>
      <c r="E39" s="28" t="s">
        <v>174</v>
      </c>
    </row>
    <row r="40" spans="3:7" ht="20.100000000000001" customHeight="1">
      <c r="C40" s="5" t="s">
        <v>122</v>
      </c>
      <c r="D40" s="5" t="s">
        <v>72</v>
      </c>
      <c r="E40" s="28" t="s">
        <v>175</v>
      </c>
    </row>
    <row r="41" spans="3:7" ht="20.100000000000001" customHeight="1">
      <c r="C41" s="5" t="s">
        <v>123</v>
      </c>
      <c r="D41" s="5" t="s">
        <v>73</v>
      </c>
      <c r="E41" s="28" t="s">
        <v>176</v>
      </c>
    </row>
    <row r="42" spans="3:7" ht="20.100000000000001" customHeight="1">
      <c r="C42" s="5" t="s">
        <v>124</v>
      </c>
      <c r="D42" s="5" t="s">
        <v>74</v>
      </c>
      <c r="E42" s="28" t="s">
        <v>177</v>
      </c>
    </row>
    <row r="43" spans="3:7" ht="20.100000000000001" customHeight="1">
      <c r="C43" s="5" t="s">
        <v>125</v>
      </c>
      <c r="D43" s="5" t="s">
        <v>75</v>
      </c>
      <c r="E43" s="26" t="s">
        <v>178</v>
      </c>
    </row>
    <row r="44" spans="3:7" ht="20.100000000000001" customHeight="1">
      <c r="C44" s="5" t="s">
        <v>126</v>
      </c>
      <c r="D44" s="5" t="s">
        <v>76</v>
      </c>
      <c r="E44" s="26" t="s">
        <v>179</v>
      </c>
    </row>
    <row r="45" spans="3:7" ht="20.100000000000001" customHeight="1">
      <c r="C45" s="5" t="s">
        <v>127</v>
      </c>
      <c r="D45" s="5" t="s">
        <v>77</v>
      </c>
      <c r="E45" s="26" t="s">
        <v>12</v>
      </c>
    </row>
    <row r="46" spans="3:7" ht="20.100000000000001" customHeight="1">
      <c r="C46" s="5" t="s">
        <v>128</v>
      </c>
      <c r="D46" s="5" t="s">
        <v>78</v>
      </c>
      <c r="E46" s="26" t="s">
        <v>13</v>
      </c>
    </row>
    <row r="47" spans="3:7" ht="20.100000000000001" customHeight="1">
      <c r="C47" s="5" t="s">
        <v>129</v>
      </c>
      <c r="D47" s="5" t="s">
        <v>79</v>
      </c>
      <c r="E47" s="26" t="s">
        <v>180</v>
      </c>
    </row>
    <row r="48" spans="3:7" ht="20.100000000000001" customHeight="1">
      <c r="C48" s="5" t="s">
        <v>130</v>
      </c>
      <c r="D48" s="5" t="s">
        <v>80</v>
      </c>
      <c r="E48" s="26" t="s">
        <v>8</v>
      </c>
    </row>
    <row r="49" spans="3:5" ht="20.100000000000001" customHeight="1">
      <c r="C49" s="5" t="s">
        <v>131</v>
      </c>
      <c r="D49" s="5" t="s">
        <v>81</v>
      </c>
      <c r="E49" s="26" t="s">
        <v>181</v>
      </c>
    </row>
    <row r="50" spans="3:5" ht="20.100000000000001" customHeight="1">
      <c r="C50" s="5" t="s">
        <v>132</v>
      </c>
      <c r="D50" s="5" t="s">
        <v>82</v>
      </c>
      <c r="E50" s="28" t="s">
        <v>182</v>
      </c>
    </row>
    <row r="51" spans="3:5" ht="20.100000000000001" customHeight="1">
      <c r="C51" s="5" t="s">
        <v>133</v>
      </c>
      <c r="D51" s="5" t="s">
        <v>83</v>
      </c>
      <c r="E51" s="28" t="s">
        <v>183</v>
      </c>
    </row>
    <row r="52" spans="3:5" ht="20.100000000000001" customHeight="1">
      <c r="C52" s="5" t="s">
        <v>134</v>
      </c>
      <c r="D52" s="5" t="s">
        <v>84</v>
      </c>
      <c r="E52" s="28" t="s">
        <v>184</v>
      </c>
    </row>
    <row r="53" spans="3:5" ht="20.100000000000001" customHeight="1">
      <c r="C53" s="5" t="s">
        <v>135</v>
      </c>
      <c r="D53" s="5" t="s">
        <v>85</v>
      </c>
      <c r="E53" s="28" t="s">
        <v>185</v>
      </c>
    </row>
    <row r="54" spans="3:5" ht="20.100000000000001" customHeight="1">
      <c r="C54" s="5" t="s">
        <v>136</v>
      </c>
      <c r="D54" s="5" t="s">
        <v>86</v>
      </c>
      <c r="E54" s="28" t="s">
        <v>186</v>
      </c>
    </row>
    <row r="55" spans="3:5" ht="20.100000000000001" customHeight="1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333</v>
      </c>
    </row>
    <row r="2" spans="1:11" ht="20.100000000000001" customHeight="1">
      <c r="A2" s="26" t="s">
        <v>336</v>
      </c>
      <c r="B2" s="26" t="s">
        <v>337</v>
      </c>
      <c r="C2" s="26">
        <v>1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 t="s">
        <v>338</v>
      </c>
      <c r="J2" s="26">
        <v>0.67</v>
      </c>
      <c r="K2" s="26" t="s">
        <v>332</v>
      </c>
    </row>
    <row r="3" spans="1:11" ht="20.100000000000001" customHeight="1">
      <c r="A3" s="26" t="s">
        <v>339</v>
      </c>
      <c r="B3" s="26" t="s">
        <v>340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 t="s">
        <v>338</v>
      </c>
      <c r="J3" s="26">
        <v>0.67</v>
      </c>
      <c r="K3" s="26" t="s">
        <v>332</v>
      </c>
    </row>
    <row r="4" spans="1:11" ht="20.100000000000001" customHeight="1">
      <c r="A4" s="26" t="s">
        <v>341</v>
      </c>
      <c r="B4" s="26" t="s">
        <v>342</v>
      </c>
      <c r="C4" s="26">
        <v>1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 t="s">
        <v>338</v>
      </c>
      <c r="J4" s="26">
        <v>0.67</v>
      </c>
      <c r="K4" s="26" t="s">
        <v>332</v>
      </c>
    </row>
    <row r="5" spans="1:11" ht="20.100000000000001" customHeight="1">
      <c r="A5" s="26" t="s">
        <v>343</v>
      </c>
      <c r="B5" s="26" t="s">
        <v>344</v>
      </c>
      <c r="C5" s="26">
        <v>1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 t="s">
        <v>338</v>
      </c>
      <c r="J5" s="26">
        <v>0.67</v>
      </c>
      <c r="K5" s="26" t="s">
        <v>332</v>
      </c>
    </row>
    <row r="6" spans="1:11" ht="20.100000000000001" customHeight="1">
      <c r="A6" s="26" t="s">
        <v>345</v>
      </c>
      <c r="B6" s="26" t="s">
        <v>346</v>
      </c>
      <c r="C6" s="26">
        <v>1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 t="s">
        <v>338</v>
      </c>
      <c r="J6" s="26">
        <v>0.67</v>
      </c>
      <c r="K6" s="26" t="s">
        <v>332</v>
      </c>
    </row>
    <row r="7" spans="1:11" ht="20.100000000000001" customHeight="1">
      <c r="A7" s="26" t="s">
        <v>347</v>
      </c>
      <c r="B7" s="26" t="s">
        <v>348</v>
      </c>
      <c r="C7" s="26">
        <v>1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 t="s">
        <v>338</v>
      </c>
      <c r="J7" s="26">
        <v>0.67</v>
      </c>
      <c r="K7" s="26" t="s">
        <v>332</v>
      </c>
    </row>
    <row r="8" spans="1:11" ht="20.100000000000001" customHeight="1">
      <c r="A8" s="26" t="s">
        <v>349</v>
      </c>
      <c r="B8" s="26" t="s">
        <v>350</v>
      </c>
      <c r="C8" s="26">
        <v>1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 t="s">
        <v>338</v>
      </c>
      <c r="J8" s="26">
        <v>0.67</v>
      </c>
      <c r="K8" s="26" t="s">
        <v>332</v>
      </c>
    </row>
    <row r="9" spans="1:11" ht="20.100000000000001" customHeight="1">
      <c r="A9" s="26" t="s">
        <v>351</v>
      </c>
      <c r="B9" s="26" t="s">
        <v>352</v>
      </c>
      <c r="C9" s="26">
        <v>1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 t="s">
        <v>338</v>
      </c>
      <c r="J9" s="26">
        <v>0.67</v>
      </c>
      <c r="K9" s="26" t="s">
        <v>332</v>
      </c>
    </row>
    <row r="10" spans="1:11" ht="20.100000000000001" customHeight="1">
      <c r="A10" s="26" t="s">
        <v>353</v>
      </c>
      <c r="B10" s="26" t="s">
        <v>354</v>
      </c>
      <c r="C10" s="26">
        <v>1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 t="s">
        <v>264</v>
      </c>
      <c r="J10" s="26">
        <v>5.2</v>
      </c>
      <c r="K10" s="26" t="s">
        <v>332</v>
      </c>
    </row>
    <row r="11" spans="1:11" ht="20.100000000000001" customHeight="1">
      <c r="A11" s="26" t="s">
        <v>355</v>
      </c>
      <c r="B11" s="26" t="s">
        <v>356</v>
      </c>
      <c r="C11" s="26">
        <v>1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 t="s">
        <v>338</v>
      </c>
      <c r="J11" s="26">
        <v>0.67</v>
      </c>
      <c r="K11" s="26" t="s">
        <v>332</v>
      </c>
    </row>
    <row r="12" spans="1:11" ht="20.100000000000001" customHeight="1">
      <c r="A12" s="26" t="s">
        <v>357</v>
      </c>
      <c r="B12" s="26" t="s">
        <v>358</v>
      </c>
      <c r="C12" s="26">
        <v>1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 t="s">
        <v>338</v>
      </c>
      <c r="J12" s="26">
        <v>0.67</v>
      </c>
      <c r="K12" s="26" t="s">
        <v>332</v>
      </c>
    </row>
    <row r="13" spans="1:11" ht="20.100000000000001" customHeight="1">
      <c r="A13" s="26" t="s">
        <v>359</v>
      </c>
      <c r="B13" s="26" t="s">
        <v>360</v>
      </c>
      <c r="C13" s="26">
        <v>1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 t="s">
        <v>338</v>
      </c>
      <c r="J13" s="26">
        <v>0.67</v>
      </c>
      <c r="K13" s="26" t="s">
        <v>332</v>
      </c>
    </row>
    <row r="14" spans="1:11" ht="20.100000000000001" customHeight="1">
      <c r="A14" s="26" t="s">
        <v>361</v>
      </c>
      <c r="B14" s="26" t="s">
        <v>362</v>
      </c>
      <c r="C14" s="26">
        <v>1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 t="s">
        <v>338</v>
      </c>
      <c r="J14" s="26">
        <v>0.67</v>
      </c>
      <c r="K14" s="26" t="s">
        <v>332</v>
      </c>
    </row>
    <row r="15" spans="1:11" ht="20.100000000000001" customHeight="1">
      <c r="A15" s="26" t="s">
        <v>363</v>
      </c>
      <c r="B15" s="26" t="s">
        <v>364</v>
      </c>
      <c r="C15" s="26">
        <v>1</v>
      </c>
      <c r="D15" s="26">
        <v>0</v>
      </c>
      <c r="E15" s="26">
        <v>0</v>
      </c>
      <c r="F15" s="26">
        <v>0</v>
      </c>
      <c r="G15" s="26">
        <v>0</v>
      </c>
      <c r="H15" s="26">
        <v>0</v>
      </c>
      <c r="I15" s="26" t="s">
        <v>338</v>
      </c>
      <c r="J15" s="26">
        <v>0.67</v>
      </c>
      <c r="K15" s="26" t="s">
        <v>332</v>
      </c>
    </row>
    <row r="16" spans="1:11" ht="20.100000000000001" customHeight="1">
      <c r="A16" s="26" t="s">
        <v>365</v>
      </c>
      <c r="B16" s="26" t="s">
        <v>366</v>
      </c>
      <c r="C16" s="26">
        <v>1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 t="s">
        <v>338</v>
      </c>
      <c r="J16" s="26">
        <v>0.67</v>
      </c>
      <c r="K16" s="26" t="s">
        <v>332</v>
      </c>
    </row>
    <row r="17" spans="1:11" ht="20.100000000000001" customHeight="1">
      <c r="A17" s="26" t="s">
        <v>367</v>
      </c>
      <c r="B17" s="26" t="s">
        <v>368</v>
      </c>
      <c r="C17" s="26">
        <v>1</v>
      </c>
      <c r="D17" s="26">
        <v>0</v>
      </c>
      <c r="E17" s="26">
        <v>0</v>
      </c>
      <c r="F17" s="26">
        <v>0</v>
      </c>
      <c r="G17" s="26">
        <v>0</v>
      </c>
      <c r="H17" s="26">
        <v>0</v>
      </c>
      <c r="I17" s="26" t="s">
        <v>338</v>
      </c>
      <c r="J17" s="26">
        <v>0.67</v>
      </c>
      <c r="K17" s="26" t="s">
        <v>332</v>
      </c>
    </row>
    <row r="18" spans="1:11" ht="20.100000000000001" customHeight="1">
      <c r="A18" s="26" t="s">
        <v>369</v>
      </c>
      <c r="B18" s="26" t="s">
        <v>370</v>
      </c>
      <c r="C18" s="26">
        <v>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 t="s">
        <v>338</v>
      </c>
      <c r="J18" s="26">
        <v>0.67</v>
      </c>
      <c r="K18" s="26" t="s">
        <v>332</v>
      </c>
    </row>
    <row r="19" spans="1:11" ht="20.100000000000001" customHeight="1">
      <c r="A19" s="26" t="s">
        <v>371</v>
      </c>
      <c r="B19" s="26" t="s">
        <v>372</v>
      </c>
      <c r="C19" s="26">
        <v>1</v>
      </c>
      <c r="D19" s="26">
        <v>0</v>
      </c>
      <c r="E19" s="26">
        <v>0</v>
      </c>
      <c r="F19" s="26">
        <v>0</v>
      </c>
      <c r="G19" s="26">
        <v>0</v>
      </c>
      <c r="H19" s="26">
        <v>0</v>
      </c>
      <c r="I19" s="26" t="s">
        <v>338</v>
      </c>
      <c r="J19" s="26">
        <v>0.67</v>
      </c>
      <c r="K19" s="26" t="s">
        <v>332</v>
      </c>
    </row>
    <row r="20" spans="1:11" ht="20.100000000000001" customHeight="1">
      <c r="A20" s="26" t="s">
        <v>373</v>
      </c>
      <c r="B20" s="26" t="s">
        <v>374</v>
      </c>
      <c r="C20" s="26">
        <v>1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 t="s">
        <v>338</v>
      </c>
      <c r="J20" s="26">
        <v>0.67</v>
      </c>
      <c r="K20" s="26" t="s">
        <v>332</v>
      </c>
    </row>
    <row r="21" spans="1:11" ht="20.100000000000001" customHeight="1">
      <c r="A21" s="26" t="s">
        <v>375</v>
      </c>
      <c r="B21" s="26" t="s">
        <v>376</v>
      </c>
      <c r="C21" s="26">
        <v>1</v>
      </c>
      <c r="D21" s="26">
        <v>0</v>
      </c>
      <c r="E21" s="26">
        <v>0</v>
      </c>
      <c r="F21" s="26">
        <v>0</v>
      </c>
      <c r="G21" s="26">
        <v>0</v>
      </c>
      <c r="H21" s="26">
        <v>0</v>
      </c>
      <c r="I21" s="26" t="s">
        <v>338</v>
      </c>
      <c r="J21" s="26">
        <v>0.67</v>
      </c>
      <c r="K21" s="26" t="s">
        <v>332</v>
      </c>
    </row>
    <row r="22" spans="1:11" ht="20.100000000000001" customHeight="1">
      <c r="A22" s="26" t="s">
        <v>377</v>
      </c>
      <c r="B22" s="26" t="s">
        <v>378</v>
      </c>
      <c r="C22" s="26">
        <v>1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 t="s">
        <v>338</v>
      </c>
      <c r="J22" s="26">
        <v>0.67</v>
      </c>
      <c r="K22" s="26" t="s">
        <v>332</v>
      </c>
    </row>
    <row r="23" spans="1:11" ht="20.100000000000001" customHeight="1">
      <c r="A23" s="26" t="s">
        <v>379</v>
      </c>
      <c r="B23" s="26" t="s">
        <v>380</v>
      </c>
      <c r="C23" s="26">
        <v>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 t="s">
        <v>381</v>
      </c>
      <c r="J23" s="26">
        <v>2.52</v>
      </c>
      <c r="K23" s="26" t="s">
        <v>332</v>
      </c>
    </row>
    <row r="24" spans="1:11" ht="20.100000000000001" customHeight="1">
      <c r="A24" s="26" t="s">
        <v>382</v>
      </c>
      <c r="B24" s="26" t="s">
        <v>383</v>
      </c>
      <c r="C24" s="26">
        <v>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 t="s">
        <v>381</v>
      </c>
      <c r="J24" s="26">
        <v>2.52</v>
      </c>
      <c r="K24" s="26" t="s">
        <v>332</v>
      </c>
    </row>
    <row r="25" spans="1:11" ht="20.100000000000001" customHeight="1">
      <c r="A25" s="26" t="s">
        <v>384</v>
      </c>
      <c r="B25" s="26" t="s">
        <v>385</v>
      </c>
      <c r="C25" s="26">
        <v>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 t="s">
        <v>381</v>
      </c>
      <c r="J25" s="26">
        <v>4.67</v>
      </c>
      <c r="K25" s="26" t="s">
        <v>332</v>
      </c>
    </row>
    <row r="26" spans="1:11" ht="20.100000000000001" customHeight="1">
      <c r="A26" s="26" t="s">
        <v>386</v>
      </c>
      <c r="B26" s="26" t="s">
        <v>387</v>
      </c>
      <c r="C26" s="26">
        <v>1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 t="s">
        <v>381</v>
      </c>
      <c r="J26" s="26">
        <v>2.95</v>
      </c>
      <c r="K26" s="26" t="s">
        <v>332</v>
      </c>
    </row>
    <row r="27" spans="1:11" ht="20.100000000000001" customHeight="1">
      <c r="A27" s="26" t="s">
        <v>388</v>
      </c>
      <c r="B27" s="26" t="s">
        <v>389</v>
      </c>
      <c r="C27" s="26">
        <v>1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 t="s">
        <v>381</v>
      </c>
      <c r="J27" s="26">
        <v>2.52</v>
      </c>
      <c r="K27" s="26" t="s">
        <v>332</v>
      </c>
    </row>
    <row r="28" spans="1:11" ht="20.100000000000001" customHeight="1">
      <c r="A28" s="26" t="s">
        <v>390</v>
      </c>
      <c r="B28" s="26" t="s">
        <v>391</v>
      </c>
      <c r="C28" s="26">
        <v>1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 t="s">
        <v>381</v>
      </c>
      <c r="J28" s="26">
        <v>3.16</v>
      </c>
      <c r="K28" s="26" t="s">
        <v>332</v>
      </c>
    </row>
    <row r="29" spans="1:11" ht="20.100000000000001" customHeight="1">
      <c r="A29" s="26" t="s">
        <v>392</v>
      </c>
      <c r="B29" s="26" t="s">
        <v>393</v>
      </c>
      <c r="C29" s="26">
        <v>1</v>
      </c>
      <c r="D29" s="26">
        <v>0</v>
      </c>
      <c r="E29" s="26">
        <v>0</v>
      </c>
      <c r="F29" s="26">
        <v>0</v>
      </c>
      <c r="G29" s="26">
        <v>0</v>
      </c>
      <c r="H29" s="26">
        <v>0</v>
      </c>
      <c r="I29" s="26" t="s">
        <v>381</v>
      </c>
      <c r="J29" s="26">
        <v>3.16</v>
      </c>
      <c r="K29" s="26" t="s">
        <v>332</v>
      </c>
    </row>
    <row r="30" spans="1:11" ht="20.100000000000001" customHeight="1">
      <c r="A30" s="26" t="s">
        <v>394</v>
      </c>
      <c r="B30" s="26" t="s">
        <v>395</v>
      </c>
      <c r="C30" s="26">
        <v>1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 t="s">
        <v>381</v>
      </c>
      <c r="J30" s="26">
        <v>5.36</v>
      </c>
      <c r="K30" s="26" t="s">
        <v>332</v>
      </c>
    </row>
    <row r="31" spans="1:11" ht="20.100000000000001" customHeight="1">
      <c r="A31" s="26" t="s">
        <v>396</v>
      </c>
      <c r="B31" s="26" t="s">
        <v>397</v>
      </c>
      <c r="C31" s="26">
        <v>1</v>
      </c>
      <c r="D31" s="26">
        <v>0</v>
      </c>
      <c r="E31" s="26">
        <v>0</v>
      </c>
      <c r="F31" s="26">
        <v>0</v>
      </c>
      <c r="G31" s="26">
        <v>0</v>
      </c>
      <c r="H31" s="26">
        <v>0</v>
      </c>
      <c r="I31" s="26" t="s">
        <v>335</v>
      </c>
      <c r="J31" s="26">
        <v>6.39</v>
      </c>
      <c r="K31" s="26" t="s">
        <v>332</v>
      </c>
    </row>
    <row r="32" spans="1:11" ht="20.100000000000001" customHeight="1">
      <c r="A32" s="26" t="s">
        <v>398</v>
      </c>
      <c r="B32" s="26" t="s">
        <v>399</v>
      </c>
      <c r="C32" s="26">
        <v>1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 t="s">
        <v>381</v>
      </c>
      <c r="J32" s="26">
        <v>4.67</v>
      </c>
      <c r="K32" s="26" t="s">
        <v>332</v>
      </c>
    </row>
    <row r="33" spans="1:11" ht="20.100000000000001" customHeight="1">
      <c r="A33" s="26" t="s">
        <v>400</v>
      </c>
      <c r="B33" s="26" t="s">
        <v>401</v>
      </c>
      <c r="C33" s="26">
        <v>1</v>
      </c>
      <c r="D33" s="26">
        <v>0</v>
      </c>
      <c r="E33" s="26">
        <v>0</v>
      </c>
      <c r="F33" s="26">
        <v>0</v>
      </c>
      <c r="G33" s="26">
        <v>0</v>
      </c>
      <c r="H33" s="26">
        <v>0</v>
      </c>
      <c r="I33" s="26" t="s">
        <v>381</v>
      </c>
      <c r="J33" s="26">
        <v>4.45</v>
      </c>
      <c r="K33" s="26" t="s">
        <v>332</v>
      </c>
    </row>
    <row r="34" spans="1:11" ht="20.100000000000001" customHeight="1">
      <c r="A34" s="26" t="s">
        <v>402</v>
      </c>
      <c r="B34" s="26" t="s">
        <v>403</v>
      </c>
      <c r="C34" s="26">
        <v>1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 t="s">
        <v>381</v>
      </c>
      <c r="J34" s="26">
        <v>2.52</v>
      </c>
      <c r="K34" s="26" t="s">
        <v>332</v>
      </c>
    </row>
    <row r="35" spans="1:11" ht="20.100000000000001" customHeight="1">
      <c r="A35" s="26" t="s">
        <v>404</v>
      </c>
      <c r="B35" s="26" t="s">
        <v>405</v>
      </c>
      <c r="C35" s="26">
        <v>1</v>
      </c>
      <c r="D35" s="26">
        <v>0</v>
      </c>
      <c r="E35" s="26">
        <v>0</v>
      </c>
      <c r="F35" s="26">
        <v>0</v>
      </c>
      <c r="G35" s="26">
        <v>0</v>
      </c>
      <c r="H35" s="26">
        <v>0</v>
      </c>
      <c r="I35" s="26" t="s">
        <v>381</v>
      </c>
      <c r="J35" s="26">
        <v>5.0999999999999996</v>
      </c>
      <c r="K35" s="26" t="s">
        <v>332</v>
      </c>
    </row>
    <row r="36" spans="1:11" ht="20.100000000000001" customHeight="1">
      <c r="A36" s="26" t="s">
        <v>406</v>
      </c>
      <c r="B36" s="26" t="s">
        <v>407</v>
      </c>
      <c r="C36" s="26">
        <v>1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 t="s">
        <v>408</v>
      </c>
      <c r="J36" s="26">
        <v>7.87</v>
      </c>
      <c r="K36" s="26" t="s">
        <v>332</v>
      </c>
    </row>
    <row r="37" spans="1:11" ht="20.100000000000001" customHeight="1">
      <c r="A37" s="26" t="s">
        <v>409</v>
      </c>
      <c r="B37" s="26" t="s">
        <v>410</v>
      </c>
      <c r="C37" s="26">
        <v>1</v>
      </c>
      <c r="D37" s="26">
        <v>0</v>
      </c>
      <c r="E37" s="26">
        <v>0</v>
      </c>
      <c r="F37" s="26">
        <v>0</v>
      </c>
      <c r="G37" s="26">
        <v>0</v>
      </c>
      <c r="H37" s="26">
        <v>0</v>
      </c>
      <c r="I37" s="26" t="s">
        <v>381</v>
      </c>
      <c r="J37" s="26">
        <v>4.24</v>
      </c>
      <c r="K37" s="26" t="s">
        <v>332</v>
      </c>
    </row>
    <row r="38" spans="1:11" ht="20.100000000000001" customHeight="1">
      <c r="A38" s="26" t="s">
        <v>411</v>
      </c>
      <c r="B38" s="26" t="s">
        <v>412</v>
      </c>
      <c r="C38" s="26">
        <v>1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 t="s">
        <v>381</v>
      </c>
      <c r="J38" s="26">
        <v>2.52</v>
      </c>
      <c r="K38" s="26" t="s">
        <v>332</v>
      </c>
    </row>
    <row r="39" spans="1:11" ht="20.100000000000001" customHeight="1">
      <c r="A39" s="26" t="s">
        <v>413</v>
      </c>
      <c r="B39" s="26" t="s">
        <v>414</v>
      </c>
      <c r="C39" s="26">
        <v>1</v>
      </c>
      <c r="D39" s="26">
        <v>0</v>
      </c>
      <c r="E39" s="26">
        <v>0</v>
      </c>
      <c r="F39" s="26">
        <v>0</v>
      </c>
      <c r="G39" s="26">
        <v>0</v>
      </c>
      <c r="H39" s="26">
        <v>0</v>
      </c>
      <c r="I39" s="26" t="s">
        <v>381</v>
      </c>
      <c r="J39" s="26">
        <v>2.52</v>
      </c>
      <c r="K39" s="26" t="s">
        <v>332</v>
      </c>
    </row>
    <row r="40" spans="1:11" ht="20.100000000000001" customHeight="1">
      <c r="A40" s="26" t="s">
        <v>415</v>
      </c>
      <c r="B40" s="26" t="s">
        <v>416</v>
      </c>
      <c r="C40" s="26">
        <v>1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 t="s">
        <v>381</v>
      </c>
      <c r="J40" s="26">
        <v>2.95</v>
      </c>
      <c r="K40" s="26" t="s">
        <v>332</v>
      </c>
    </row>
    <row r="41" spans="1:11" ht="20.100000000000001" customHeight="1">
      <c r="A41" s="26" t="s">
        <v>417</v>
      </c>
      <c r="B41" s="26" t="s">
        <v>418</v>
      </c>
      <c r="C41" s="26">
        <v>1</v>
      </c>
      <c r="D41" s="26">
        <v>0</v>
      </c>
      <c r="E41" s="26">
        <v>0</v>
      </c>
      <c r="F41" s="26">
        <v>0</v>
      </c>
      <c r="G41" s="26">
        <v>0</v>
      </c>
      <c r="H41" s="26">
        <v>0</v>
      </c>
      <c r="I41" s="26" t="s">
        <v>381</v>
      </c>
      <c r="J41" s="26">
        <v>2.95</v>
      </c>
      <c r="K41" s="26" t="s">
        <v>332</v>
      </c>
    </row>
    <row r="42" spans="1:11" ht="20.100000000000001" customHeight="1">
      <c r="A42" s="26" t="s">
        <v>419</v>
      </c>
      <c r="B42" s="26" t="s">
        <v>420</v>
      </c>
      <c r="C42" s="26">
        <v>1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 t="s">
        <v>408</v>
      </c>
      <c r="J42" s="26">
        <v>7.94</v>
      </c>
      <c r="K42" s="26" t="s">
        <v>332</v>
      </c>
    </row>
    <row r="43" spans="1:11" ht="20.100000000000001" customHeight="1">
      <c r="A43" s="26" t="s">
        <v>421</v>
      </c>
      <c r="B43" s="26" t="s">
        <v>422</v>
      </c>
      <c r="C43" s="26">
        <v>1</v>
      </c>
      <c r="D43" s="26">
        <v>0</v>
      </c>
      <c r="E43" s="26">
        <v>0</v>
      </c>
      <c r="F43" s="26">
        <v>0</v>
      </c>
      <c r="G43" s="26">
        <v>0</v>
      </c>
      <c r="H43" s="26">
        <v>0</v>
      </c>
      <c r="I43" s="26" t="s">
        <v>381</v>
      </c>
      <c r="J43" s="26">
        <v>2.52</v>
      </c>
      <c r="K43" s="26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>
      <c r="A2" s="26" t="s">
        <v>424</v>
      </c>
      <c r="B2" s="26" t="s">
        <v>265</v>
      </c>
      <c r="C2" s="26" t="s">
        <v>423</v>
      </c>
      <c r="D2" s="26" t="s">
        <v>265</v>
      </c>
      <c r="E2" s="26" t="s">
        <v>425</v>
      </c>
      <c r="F2" s="26" t="s">
        <v>423</v>
      </c>
      <c r="G2" s="26" t="s">
        <v>423</v>
      </c>
      <c r="H2" s="26" t="s">
        <v>265</v>
      </c>
      <c r="I2" s="26" t="s">
        <v>265</v>
      </c>
      <c r="J2" s="26" t="s">
        <v>265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265</v>
      </c>
      <c r="AC2" s="26" t="s">
        <v>423</v>
      </c>
      <c r="AD2" s="26" t="s">
        <v>423</v>
      </c>
      <c r="AE2" s="26">
        <v>1</v>
      </c>
      <c r="AF2" s="26">
        <v>12</v>
      </c>
      <c r="AG2" s="26">
        <v>365</v>
      </c>
      <c r="AH2" s="26" t="s">
        <v>423</v>
      </c>
      <c r="AI2" s="26" t="s">
        <v>265</v>
      </c>
      <c r="AJ2" s="26">
        <v>1</v>
      </c>
      <c r="AK2" s="26">
        <v>2.36</v>
      </c>
      <c r="AL2" s="26">
        <v>0.28000000000000003</v>
      </c>
      <c r="AM2" s="26">
        <v>0.67</v>
      </c>
      <c r="AN2" s="26">
        <v>19</v>
      </c>
      <c r="AO2" s="26">
        <v>233</v>
      </c>
      <c r="AP2" s="26" t="s">
        <v>423</v>
      </c>
      <c r="AQ2" s="26" t="s">
        <v>265</v>
      </c>
      <c r="AR2" s="26">
        <v>0</v>
      </c>
      <c r="AS2" s="26">
        <v>0</v>
      </c>
      <c r="AT2" s="26">
        <v>0</v>
      </c>
      <c r="AU2" s="26">
        <v>0</v>
      </c>
      <c r="AV2" s="26">
        <v>0</v>
      </c>
      <c r="AW2" s="26" t="s">
        <v>265</v>
      </c>
      <c r="AX2" s="26" t="s">
        <v>265</v>
      </c>
      <c r="AY2" s="26" t="s">
        <v>265</v>
      </c>
      <c r="AZ2" s="26" t="s">
        <v>265</v>
      </c>
      <c r="BA2" s="26" t="s">
        <v>265</v>
      </c>
      <c r="BB2" s="26" t="s">
        <v>265</v>
      </c>
    </row>
    <row r="3" spans="1:54" ht="20.100000000000001" customHeight="1">
      <c r="A3" s="26" t="s">
        <v>424</v>
      </c>
      <c r="B3" s="26" t="s">
        <v>265</v>
      </c>
      <c r="C3" s="26" t="s">
        <v>423</v>
      </c>
      <c r="D3" s="26" t="s">
        <v>265</v>
      </c>
      <c r="E3" s="26" t="s">
        <v>426</v>
      </c>
      <c r="F3" s="26" t="s">
        <v>423</v>
      </c>
      <c r="G3" s="26" t="s">
        <v>423</v>
      </c>
      <c r="H3" s="26" t="s">
        <v>265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265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423</v>
      </c>
      <c r="AD3" s="26" t="s">
        <v>423</v>
      </c>
      <c r="AE3" s="26">
        <v>1</v>
      </c>
      <c r="AF3" s="26">
        <v>12</v>
      </c>
      <c r="AG3" s="26">
        <v>365</v>
      </c>
      <c r="AH3" s="26" t="s">
        <v>423</v>
      </c>
      <c r="AI3" s="26" t="s">
        <v>265</v>
      </c>
      <c r="AJ3" s="26">
        <v>1</v>
      </c>
      <c r="AK3" s="26">
        <v>2.36</v>
      </c>
      <c r="AL3" s="26">
        <v>0.28000000000000003</v>
      </c>
      <c r="AM3" s="26">
        <v>0.67</v>
      </c>
      <c r="AN3" s="26">
        <v>19</v>
      </c>
      <c r="AO3" s="26">
        <v>233</v>
      </c>
      <c r="AP3" s="26" t="s">
        <v>423</v>
      </c>
      <c r="AQ3" s="26" t="s">
        <v>265</v>
      </c>
      <c r="AR3" s="26">
        <v>0</v>
      </c>
      <c r="AS3" s="26">
        <v>0</v>
      </c>
      <c r="AT3" s="26">
        <v>0</v>
      </c>
      <c r="AU3" s="26">
        <v>0</v>
      </c>
      <c r="AV3" s="26">
        <v>0</v>
      </c>
      <c r="AW3" s="26" t="s">
        <v>265</v>
      </c>
      <c r="AX3" s="26" t="s">
        <v>265</v>
      </c>
      <c r="AY3" s="26" t="s">
        <v>265</v>
      </c>
      <c r="AZ3" s="26" t="s">
        <v>265</v>
      </c>
      <c r="BA3" s="26" t="s">
        <v>265</v>
      </c>
      <c r="BB3" s="26" t="s">
        <v>265</v>
      </c>
    </row>
    <row r="4" spans="1:54" ht="20.100000000000001" customHeight="1">
      <c r="A4" s="26" t="s">
        <v>424</v>
      </c>
      <c r="B4" s="26" t="s">
        <v>265</v>
      </c>
      <c r="C4" s="26" t="s">
        <v>423</v>
      </c>
      <c r="D4" s="26" t="s">
        <v>265</v>
      </c>
      <c r="E4" s="26" t="s">
        <v>427</v>
      </c>
      <c r="F4" s="26" t="s">
        <v>423</v>
      </c>
      <c r="G4" s="26" t="s">
        <v>423</v>
      </c>
      <c r="H4" s="26" t="s">
        <v>265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423</v>
      </c>
      <c r="AD4" s="26" t="s">
        <v>423</v>
      </c>
      <c r="AE4" s="26">
        <v>1</v>
      </c>
      <c r="AF4" s="26">
        <v>12</v>
      </c>
      <c r="AG4" s="26">
        <v>365</v>
      </c>
      <c r="AH4" s="26" t="s">
        <v>423</v>
      </c>
      <c r="AI4" s="26" t="s">
        <v>265</v>
      </c>
      <c r="AJ4" s="26">
        <v>1</v>
      </c>
      <c r="AK4" s="26">
        <v>2.36</v>
      </c>
      <c r="AL4" s="26">
        <v>0.28000000000000003</v>
      </c>
      <c r="AM4" s="26">
        <v>0.67</v>
      </c>
      <c r="AN4" s="26">
        <v>19</v>
      </c>
      <c r="AO4" s="26">
        <v>233</v>
      </c>
      <c r="AP4" s="26" t="s">
        <v>423</v>
      </c>
      <c r="AQ4" s="26" t="s">
        <v>265</v>
      </c>
      <c r="AR4" s="26">
        <v>0</v>
      </c>
      <c r="AS4" s="26">
        <v>0</v>
      </c>
      <c r="AT4" s="26">
        <v>0</v>
      </c>
      <c r="AU4" s="26">
        <v>0</v>
      </c>
      <c r="AV4" s="26">
        <v>0</v>
      </c>
      <c r="AW4" s="26" t="s">
        <v>265</v>
      </c>
      <c r="AX4" s="26" t="s">
        <v>265</v>
      </c>
      <c r="AY4" s="26" t="s">
        <v>265</v>
      </c>
      <c r="AZ4" s="26" t="s">
        <v>265</v>
      </c>
      <c r="BA4" s="26" t="s">
        <v>265</v>
      </c>
      <c r="BB4" s="26" t="s">
        <v>265</v>
      </c>
    </row>
    <row r="5" spans="1:54" ht="20.100000000000001" customHeight="1">
      <c r="A5" s="26" t="s">
        <v>424</v>
      </c>
      <c r="B5" s="26" t="s">
        <v>265</v>
      </c>
      <c r="C5" s="26" t="s">
        <v>423</v>
      </c>
      <c r="D5" s="26" t="s">
        <v>265</v>
      </c>
      <c r="E5" s="26" t="s">
        <v>428</v>
      </c>
      <c r="F5" s="26" t="s">
        <v>423</v>
      </c>
      <c r="G5" s="26" t="s">
        <v>423</v>
      </c>
      <c r="H5" s="26" t="s">
        <v>265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423</v>
      </c>
      <c r="AD5" s="26" t="s">
        <v>423</v>
      </c>
      <c r="AE5" s="26">
        <v>1</v>
      </c>
      <c r="AF5" s="26">
        <v>12</v>
      </c>
      <c r="AG5" s="26">
        <v>365</v>
      </c>
      <c r="AH5" s="26" t="s">
        <v>423</v>
      </c>
      <c r="AI5" s="26" t="s">
        <v>265</v>
      </c>
      <c r="AJ5" s="26">
        <v>1</v>
      </c>
      <c r="AK5" s="26">
        <v>2.36</v>
      </c>
      <c r="AL5" s="26">
        <v>0.28000000000000003</v>
      </c>
      <c r="AM5" s="26">
        <v>0.67</v>
      </c>
      <c r="AN5" s="26">
        <v>19</v>
      </c>
      <c r="AO5" s="26">
        <v>233</v>
      </c>
      <c r="AP5" s="26" t="s">
        <v>423</v>
      </c>
      <c r="AQ5" s="26" t="s">
        <v>265</v>
      </c>
      <c r="AR5" s="26">
        <v>0</v>
      </c>
      <c r="AS5" s="26">
        <v>0</v>
      </c>
      <c r="AT5" s="26">
        <v>0</v>
      </c>
      <c r="AU5" s="26">
        <v>0</v>
      </c>
      <c r="AV5" s="26">
        <v>0</v>
      </c>
      <c r="AW5" s="26" t="s">
        <v>265</v>
      </c>
      <c r="AX5" s="26" t="s">
        <v>265</v>
      </c>
      <c r="AY5" s="26" t="s">
        <v>265</v>
      </c>
      <c r="AZ5" s="26" t="s">
        <v>265</v>
      </c>
      <c r="BA5" s="26" t="s">
        <v>265</v>
      </c>
      <c r="BB5" s="26" t="s">
        <v>265</v>
      </c>
    </row>
    <row r="6" spans="1:54" ht="20.100000000000001" customHeight="1">
      <c r="A6" s="26" t="s">
        <v>424</v>
      </c>
      <c r="B6" s="26" t="s">
        <v>265</v>
      </c>
      <c r="C6" s="26" t="s">
        <v>423</v>
      </c>
      <c r="D6" s="26" t="s">
        <v>265</v>
      </c>
      <c r="E6" s="26" t="s">
        <v>429</v>
      </c>
      <c r="F6" s="26" t="s">
        <v>423</v>
      </c>
      <c r="G6" s="26" t="s">
        <v>423</v>
      </c>
      <c r="H6" s="26" t="s">
        <v>265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423</v>
      </c>
      <c r="AD6" s="26" t="s">
        <v>423</v>
      </c>
      <c r="AE6" s="26">
        <v>1</v>
      </c>
      <c r="AF6" s="26">
        <v>12</v>
      </c>
      <c r="AG6" s="26">
        <v>365</v>
      </c>
      <c r="AH6" s="26" t="s">
        <v>423</v>
      </c>
      <c r="AI6" s="26" t="s">
        <v>265</v>
      </c>
      <c r="AJ6" s="26">
        <v>1</v>
      </c>
      <c r="AK6" s="26">
        <v>2.36</v>
      </c>
      <c r="AL6" s="26">
        <v>0.28000000000000003</v>
      </c>
      <c r="AM6" s="26">
        <v>0.67</v>
      </c>
      <c r="AN6" s="26">
        <v>19</v>
      </c>
      <c r="AO6" s="26">
        <v>233</v>
      </c>
      <c r="AP6" s="26" t="s">
        <v>423</v>
      </c>
      <c r="AQ6" s="26" t="s">
        <v>265</v>
      </c>
      <c r="AR6" s="26">
        <v>0</v>
      </c>
      <c r="AS6" s="26">
        <v>0</v>
      </c>
      <c r="AT6" s="26">
        <v>0</v>
      </c>
      <c r="AU6" s="26">
        <v>0</v>
      </c>
      <c r="AV6" s="26">
        <v>0</v>
      </c>
      <c r="AW6" s="26" t="s">
        <v>265</v>
      </c>
      <c r="AX6" s="26" t="s">
        <v>265</v>
      </c>
      <c r="AY6" s="26" t="s">
        <v>265</v>
      </c>
      <c r="AZ6" s="26" t="s">
        <v>265</v>
      </c>
      <c r="BA6" s="26" t="s">
        <v>265</v>
      </c>
      <c r="BB6" s="26" t="s">
        <v>265</v>
      </c>
    </row>
    <row r="7" spans="1:54" ht="20.100000000000001" customHeight="1">
      <c r="A7" s="26" t="s">
        <v>424</v>
      </c>
      <c r="B7" s="26" t="s">
        <v>265</v>
      </c>
      <c r="C7" s="26" t="s">
        <v>423</v>
      </c>
      <c r="D7" s="26" t="s">
        <v>265</v>
      </c>
      <c r="E7" s="26" t="s">
        <v>430</v>
      </c>
      <c r="F7" s="26" t="s">
        <v>423</v>
      </c>
      <c r="G7" s="26" t="s">
        <v>423</v>
      </c>
      <c r="H7" s="26" t="s">
        <v>265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265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423</v>
      </c>
      <c r="AD7" s="26" t="s">
        <v>423</v>
      </c>
      <c r="AE7" s="26">
        <v>1</v>
      </c>
      <c r="AF7" s="26">
        <v>12</v>
      </c>
      <c r="AG7" s="26">
        <v>365</v>
      </c>
      <c r="AH7" s="26" t="s">
        <v>423</v>
      </c>
      <c r="AI7" s="26" t="s">
        <v>265</v>
      </c>
      <c r="AJ7" s="26">
        <v>1</v>
      </c>
      <c r="AK7" s="26">
        <v>2.36</v>
      </c>
      <c r="AL7" s="26">
        <v>0.28000000000000003</v>
      </c>
      <c r="AM7" s="26">
        <v>0.67</v>
      </c>
      <c r="AN7" s="26">
        <v>19</v>
      </c>
      <c r="AO7" s="26">
        <v>233</v>
      </c>
      <c r="AP7" s="26" t="s">
        <v>423</v>
      </c>
      <c r="AQ7" s="26" t="s">
        <v>265</v>
      </c>
      <c r="AR7" s="26">
        <v>0</v>
      </c>
      <c r="AS7" s="26">
        <v>0</v>
      </c>
      <c r="AT7" s="26">
        <v>0</v>
      </c>
      <c r="AU7" s="26">
        <v>0</v>
      </c>
      <c r="AV7" s="26">
        <v>0</v>
      </c>
      <c r="AW7" s="26" t="s">
        <v>265</v>
      </c>
      <c r="AX7" s="26" t="s">
        <v>265</v>
      </c>
      <c r="AY7" s="26" t="s">
        <v>265</v>
      </c>
      <c r="AZ7" s="26" t="s">
        <v>265</v>
      </c>
      <c r="BA7" s="26" t="s">
        <v>265</v>
      </c>
      <c r="BB7" s="26" t="s">
        <v>265</v>
      </c>
    </row>
    <row r="8" spans="1:54" ht="20.100000000000001" customHeight="1">
      <c r="A8" s="26" t="s">
        <v>424</v>
      </c>
      <c r="B8" s="26" t="s">
        <v>265</v>
      </c>
      <c r="C8" s="26" t="s">
        <v>423</v>
      </c>
      <c r="D8" s="26" t="s">
        <v>265</v>
      </c>
      <c r="E8" s="26" t="s">
        <v>431</v>
      </c>
      <c r="F8" s="26" t="s">
        <v>423</v>
      </c>
      <c r="G8" s="26" t="s">
        <v>423</v>
      </c>
      <c r="H8" s="26" t="s">
        <v>265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423</v>
      </c>
      <c r="AD8" s="26" t="s">
        <v>423</v>
      </c>
      <c r="AE8" s="26">
        <v>1</v>
      </c>
      <c r="AF8" s="26">
        <v>12</v>
      </c>
      <c r="AG8" s="26">
        <v>365</v>
      </c>
      <c r="AH8" s="26" t="s">
        <v>423</v>
      </c>
      <c r="AI8" s="26" t="s">
        <v>265</v>
      </c>
      <c r="AJ8" s="26">
        <v>1</v>
      </c>
      <c r="AK8" s="26">
        <v>2.36</v>
      </c>
      <c r="AL8" s="26">
        <v>0.28000000000000003</v>
      </c>
      <c r="AM8" s="26">
        <v>0.67</v>
      </c>
      <c r="AN8" s="26">
        <v>19</v>
      </c>
      <c r="AO8" s="26">
        <v>233</v>
      </c>
      <c r="AP8" s="26" t="s">
        <v>423</v>
      </c>
      <c r="AQ8" s="26" t="s">
        <v>265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 t="s">
        <v>265</v>
      </c>
      <c r="AX8" s="26" t="s">
        <v>265</v>
      </c>
      <c r="AY8" s="26" t="s">
        <v>265</v>
      </c>
      <c r="AZ8" s="26" t="s">
        <v>265</v>
      </c>
      <c r="BA8" s="26" t="s">
        <v>265</v>
      </c>
      <c r="BB8" s="26" t="s">
        <v>265</v>
      </c>
    </row>
    <row r="9" spans="1:54" ht="20.100000000000001" customHeight="1">
      <c r="A9" s="26" t="s">
        <v>424</v>
      </c>
      <c r="B9" s="26" t="s">
        <v>265</v>
      </c>
      <c r="C9" s="26" t="s">
        <v>423</v>
      </c>
      <c r="D9" s="26" t="s">
        <v>265</v>
      </c>
      <c r="E9" s="26" t="s">
        <v>432</v>
      </c>
      <c r="F9" s="26" t="s">
        <v>423</v>
      </c>
      <c r="G9" s="26" t="s">
        <v>423</v>
      </c>
      <c r="H9" s="26" t="s">
        <v>265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423</v>
      </c>
      <c r="AD9" s="26" t="s">
        <v>423</v>
      </c>
      <c r="AE9" s="26">
        <v>1</v>
      </c>
      <c r="AF9" s="26">
        <v>12</v>
      </c>
      <c r="AG9" s="26">
        <v>365</v>
      </c>
      <c r="AH9" s="26" t="s">
        <v>423</v>
      </c>
      <c r="AI9" s="26" t="s">
        <v>265</v>
      </c>
      <c r="AJ9" s="26">
        <v>1</v>
      </c>
      <c r="AK9" s="26">
        <v>2.36</v>
      </c>
      <c r="AL9" s="26">
        <v>0.28000000000000003</v>
      </c>
      <c r="AM9" s="26">
        <v>0.67</v>
      </c>
      <c r="AN9" s="26">
        <v>19</v>
      </c>
      <c r="AO9" s="26">
        <v>233</v>
      </c>
      <c r="AP9" s="26" t="s">
        <v>423</v>
      </c>
      <c r="AQ9" s="26" t="s">
        <v>265</v>
      </c>
      <c r="AR9" s="26">
        <v>0</v>
      </c>
      <c r="AS9" s="26">
        <v>0</v>
      </c>
      <c r="AT9" s="26">
        <v>0</v>
      </c>
      <c r="AU9" s="26">
        <v>0</v>
      </c>
      <c r="AV9" s="26">
        <v>0</v>
      </c>
      <c r="AW9" s="26" t="s">
        <v>265</v>
      </c>
      <c r="AX9" s="26" t="s">
        <v>265</v>
      </c>
      <c r="AY9" s="26" t="s">
        <v>265</v>
      </c>
      <c r="AZ9" s="26" t="s">
        <v>265</v>
      </c>
      <c r="BA9" s="26" t="s">
        <v>265</v>
      </c>
      <c r="BB9" s="26" t="s">
        <v>265</v>
      </c>
    </row>
    <row r="10" spans="1:54" ht="20.100000000000001" customHeight="1">
      <c r="A10" s="26" t="s">
        <v>424</v>
      </c>
      <c r="B10" s="26" t="s">
        <v>265</v>
      </c>
      <c r="C10" s="26" t="s">
        <v>423</v>
      </c>
      <c r="D10" s="26" t="s">
        <v>265</v>
      </c>
      <c r="E10" s="26" t="s">
        <v>433</v>
      </c>
      <c r="F10" s="26" t="s">
        <v>423</v>
      </c>
      <c r="G10" s="26" t="s">
        <v>265</v>
      </c>
      <c r="H10" s="26" t="s">
        <v>423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265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423</v>
      </c>
      <c r="AD10" s="26" t="s">
        <v>423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423</v>
      </c>
      <c r="AJ10" s="26" t="s">
        <v>265</v>
      </c>
      <c r="AK10" s="26" t="s">
        <v>265</v>
      </c>
      <c r="AL10" s="26" t="s">
        <v>265</v>
      </c>
      <c r="AM10" s="26">
        <v>5.2</v>
      </c>
      <c r="AN10" s="26">
        <v>151</v>
      </c>
      <c r="AO10" s="37">
        <v>1810</v>
      </c>
      <c r="AP10" s="26" t="s">
        <v>423</v>
      </c>
      <c r="AQ10" s="26" t="s">
        <v>265</v>
      </c>
      <c r="AR10" s="26">
        <v>0</v>
      </c>
      <c r="AS10" s="26">
        <v>0</v>
      </c>
      <c r="AT10" s="26">
        <v>0</v>
      </c>
      <c r="AU10" s="26">
        <v>0</v>
      </c>
      <c r="AV10" s="26">
        <v>0</v>
      </c>
      <c r="AW10" s="26" t="s">
        <v>423</v>
      </c>
      <c r="AX10" s="26" t="s">
        <v>265</v>
      </c>
      <c r="AY10" s="26" t="s">
        <v>423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>
      <c r="A11" s="26" t="s">
        <v>424</v>
      </c>
      <c r="B11" s="26" t="s">
        <v>265</v>
      </c>
      <c r="C11" s="26" t="s">
        <v>423</v>
      </c>
      <c r="D11" s="26" t="s">
        <v>265</v>
      </c>
      <c r="E11" s="26" t="s">
        <v>434</v>
      </c>
      <c r="F11" s="26" t="s">
        <v>423</v>
      </c>
      <c r="G11" s="26" t="s">
        <v>423</v>
      </c>
      <c r="H11" s="26" t="s">
        <v>265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423</v>
      </c>
      <c r="AD11" s="26" t="s">
        <v>423</v>
      </c>
      <c r="AE11" s="26">
        <v>1</v>
      </c>
      <c r="AF11" s="26">
        <v>12</v>
      </c>
      <c r="AG11" s="26">
        <v>365</v>
      </c>
      <c r="AH11" s="26" t="s">
        <v>423</v>
      </c>
      <c r="AI11" s="26" t="s">
        <v>265</v>
      </c>
      <c r="AJ11" s="26">
        <v>1</v>
      </c>
      <c r="AK11" s="26">
        <v>2.36</v>
      </c>
      <c r="AL11" s="26">
        <v>0.28000000000000003</v>
      </c>
      <c r="AM11" s="26">
        <v>0.67</v>
      </c>
      <c r="AN11" s="26">
        <v>19</v>
      </c>
      <c r="AO11" s="26">
        <v>233</v>
      </c>
      <c r="AP11" s="26" t="s">
        <v>423</v>
      </c>
      <c r="AQ11" s="26" t="s">
        <v>265</v>
      </c>
      <c r="AR11" s="26">
        <v>0</v>
      </c>
      <c r="AS11" s="26">
        <v>0</v>
      </c>
      <c r="AT11" s="26">
        <v>0</v>
      </c>
      <c r="AU11" s="26">
        <v>0</v>
      </c>
      <c r="AV11" s="26">
        <v>0</v>
      </c>
      <c r="AW11" s="26" t="s">
        <v>265</v>
      </c>
      <c r="AX11" s="26" t="s">
        <v>265</v>
      </c>
      <c r="AY11" s="26" t="s">
        <v>265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>
      <c r="A12" s="26" t="s">
        <v>424</v>
      </c>
      <c r="B12" s="26" t="s">
        <v>265</v>
      </c>
      <c r="C12" s="26" t="s">
        <v>423</v>
      </c>
      <c r="D12" s="26" t="s">
        <v>265</v>
      </c>
      <c r="E12" s="26" t="s">
        <v>435</v>
      </c>
      <c r="F12" s="26" t="s">
        <v>423</v>
      </c>
      <c r="G12" s="26" t="s">
        <v>423</v>
      </c>
      <c r="H12" s="26" t="s">
        <v>265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265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423</v>
      </c>
      <c r="AD12" s="26" t="s">
        <v>423</v>
      </c>
      <c r="AE12" s="26">
        <v>1</v>
      </c>
      <c r="AF12" s="26">
        <v>12</v>
      </c>
      <c r="AG12" s="26">
        <v>365</v>
      </c>
      <c r="AH12" s="26" t="s">
        <v>423</v>
      </c>
      <c r="AI12" s="26" t="s">
        <v>265</v>
      </c>
      <c r="AJ12" s="26">
        <v>1</v>
      </c>
      <c r="AK12" s="26">
        <v>2.36</v>
      </c>
      <c r="AL12" s="26">
        <v>0.28000000000000003</v>
      </c>
      <c r="AM12" s="26">
        <v>0.67</v>
      </c>
      <c r="AN12" s="26">
        <v>19</v>
      </c>
      <c r="AO12" s="26">
        <v>233</v>
      </c>
      <c r="AP12" s="26" t="s">
        <v>423</v>
      </c>
      <c r="AQ12" s="26" t="s">
        <v>265</v>
      </c>
      <c r="AR12" s="26">
        <v>0</v>
      </c>
      <c r="AS12" s="26">
        <v>0</v>
      </c>
      <c r="AT12" s="26">
        <v>0</v>
      </c>
      <c r="AU12" s="26">
        <v>0</v>
      </c>
      <c r="AV12" s="26">
        <v>0</v>
      </c>
      <c r="AW12" s="26" t="s">
        <v>265</v>
      </c>
      <c r="AX12" s="26" t="s">
        <v>265</v>
      </c>
      <c r="AY12" s="26" t="s">
        <v>265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>
      <c r="A13" s="26" t="s">
        <v>424</v>
      </c>
      <c r="B13" s="26" t="s">
        <v>265</v>
      </c>
      <c r="C13" s="26" t="s">
        <v>423</v>
      </c>
      <c r="D13" s="26" t="s">
        <v>265</v>
      </c>
      <c r="E13" s="26" t="s">
        <v>436</v>
      </c>
      <c r="F13" s="26" t="s">
        <v>423</v>
      </c>
      <c r="G13" s="26" t="s">
        <v>423</v>
      </c>
      <c r="H13" s="26" t="s">
        <v>265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423</v>
      </c>
      <c r="AD13" s="26" t="s">
        <v>423</v>
      </c>
      <c r="AE13" s="26">
        <v>1</v>
      </c>
      <c r="AF13" s="26">
        <v>12</v>
      </c>
      <c r="AG13" s="26">
        <v>365</v>
      </c>
      <c r="AH13" s="26" t="s">
        <v>423</v>
      </c>
      <c r="AI13" s="26" t="s">
        <v>265</v>
      </c>
      <c r="AJ13" s="26">
        <v>1</v>
      </c>
      <c r="AK13" s="26">
        <v>2.36</v>
      </c>
      <c r="AL13" s="26">
        <v>0.28000000000000003</v>
      </c>
      <c r="AM13" s="26">
        <v>0.67</v>
      </c>
      <c r="AN13" s="26">
        <v>19</v>
      </c>
      <c r="AO13" s="26">
        <v>233</v>
      </c>
      <c r="AP13" s="26" t="s">
        <v>423</v>
      </c>
      <c r="AQ13" s="26" t="s">
        <v>265</v>
      </c>
      <c r="AR13" s="26">
        <v>0</v>
      </c>
      <c r="AS13" s="26">
        <v>0</v>
      </c>
      <c r="AT13" s="26">
        <v>0</v>
      </c>
      <c r="AU13" s="26">
        <v>0</v>
      </c>
      <c r="AV13" s="26">
        <v>0</v>
      </c>
      <c r="AW13" s="26" t="s">
        <v>265</v>
      </c>
      <c r="AX13" s="26" t="s">
        <v>265</v>
      </c>
      <c r="AY13" s="26" t="s">
        <v>265</v>
      </c>
      <c r="AZ13" s="26" t="s">
        <v>265</v>
      </c>
      <c r="BA13" s="26" t="s">
        <v>265</v>
      </c>
      <c r="BB13" s="26" t="s">
        <v>265</v>
      </c>
    </row>
    <row r="14" spans="1:54" ht="20.100000000000001" customHeight="1">
      <c r="A14" s="26" t="s">
        <v>424</v>
      </c>
      <c r="B14" s="26" t="s">
        <v>265</v>
      </c>
      <c r="C14" s="26" t="s">
        <v>423</v>
      </c>
      <c r="D14" s="26" t="s">
        <v>265</v>
      </c>
      <c r="E14" s="26" t="s">
        <v>437</v>
      </c>
      <c r="F14" s="26" t="s">
        <v>423</v>
      </c>
      <c r="G14" s="26" t="s">
        <v>423</v>
      </c>
      <c r="H14" s="26" t="s">
        <v>265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423</v>
      </c>
      <c r="AD14" s="26" t="s">
        <v>423</v>
      </c>
      <c r="AE14" s="26">
        <v>1</v>
      </c>
      <c r="AF14" s="26">
        <v>12</v>
      </c>
      <c r="AG14" s="26">
        <v>365</v>
      </c>
      <c r="AH14" s="26" t="s">
        <v>423</v>
      </c>
      <c r="AI14" s="26" t="s">
        <v>265</v>
      </c>
      <c r="AJ14" s="26">
        <v>1</v>
      </c>
      <c r="AK14" s="26">
        <v>2.36</v>
      </c>
      <c r="AL14" s="26">
        <v>0.28000000000000003</v>
      </c>
      <c r="AM14" s="26">
        <v>0.67</v>
      </c>
      <c r="AN14" s="26">
        <v>19</v>
      </c>
      <c r="AO14" s="26">
        <v>233</v>
      </c>
      <c r="AP14" s="26" t="s">
        <v>423</v>
      </c>
      <c r="AQ14" s="26" t="s">
        <v>265</v>
      </c>
      <c r="AR14" s="26">
        <v>0</v>
      </c>
      <c r="AS14" s="26">
        <v>0</v>
      </c>
      <c r="AT14" s="26">
        <v>0</v>
      </c>
      <c r="AU14" s="26">
        <v>0</v>
      </c>
      <c r="AV14" s="26">
        <v>0</v>
      </c>
      <c r="AW14" s="26" t="s">
        <v>265</v>
      </c>
      <c r="AX14" s="26" t="s">
        <v>265</v>
      </c>
      <c r="AY14" s="26" t="s">
        <v>265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>
      <c r="A15" s="26" t="s">
        <v>424</v>
      </c>
      <c r="B15" s="26" t="s">
        <v>265</v>
      </c>
      <c r="C15" s="26" t="s">
        <v>423</v>
      </c>
      <c r="D15" s="26" t="s">
        <v>265</v>
      </c>
      <c r="E15" s="26" t="s">
        <v>438</v>
      </c>
      <c r="F15" s="26" t="s">
        <v>423</v>
      </c>
      <c r="G15" s="26" t="s">
        <v>423</v>
      </c>
      <c r="H15" s="26" t="s">
        <v>265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423</v>
      </c>
      <c r="AD15" s="26" t="s">
        <v>423</v>
      </c>
      <c r="AE15" s="26">
        <v>1</v>
      </c>
      <c r="AF15" s="26">
        <v>12</v>
      </c>
      <c r="AG15" s="26">
        <v>365</v>
      </c>
      <c r="AH15" s="26" t="s">
        <v>423</v>
      </c>
      <c r="AI15" s="26" t="s">
        <v>265</v>
      </c>
      <c r="AJ15" s="26">
        <v>1</v>
      </c>
      <c r="AK15" s="26">
        <v>2.36</v>
      </c>
      <c r="AL15" s="26">
        <v>0.28000000000000003</v>
      </c>
      <c r="AM15" s="26">
        <v>0.67</v>
      </c>
      <c r="AN15" s="26">
        <v>19</v>
      </c>
      <c r="AO15" s="26">
        <v>233</v>
      </c>
      <c r="AP15" s="26" t="s">
        <v>423</v>
      </c>
      <c r="AQ15" s="26" t="s">
        <v>265</v>
      </c>
      <c r="AR15" s="26">
        <v>0</v>
      </c>
      <c r="AS15" s="26">
        <v>0</v>
      </c>
      <c r="AT15" s="26">
        <v>0</v>
      </c>
      <c r="AU15" s="26">
        <v>0</v>
      </c>
      <c r="AV15" s="26">
        <v>0</v>
      </c>
      <c r="AW15" s="26" t="s">
        <v>265</v>
      </c>
      <c r="AX15" s="26" t="s">
        <v>265</v>
      </c>
      <c r="AY15" s="26" t="s">
        <v>265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>
      <c r="A16" s="26" t="s">
        <v>424</v>
      </c>
      <c r="B16" s="26" t="s">
        <v>265</v>
      </c>
      <c r="C16" s="26" t="s">
        <v>423</v>
      </c>
      <c r="D16" s="26" t="s">
        <v>265</v>
      </c>
      <c r="E16" s="26" t="s">
        <v>439</v>
      </c>
      <c r="F16" s="26" t="s">
        <v>423</v>
      </c>
      <c r="G16" s="26" t="s">
        <v>423</v>
      </c>
      <c r="H16" s="26" t="s">
        <v>265</v>
      </c>
      <c r="I16" s="26" t="s">
        <v>265</v>
      </c>
      <c r="J16" s="26" t="s">
        <v>265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265</v>
      </c>
      <c r="AC16" s="26" t="s">
        <v>423</v>
      </c>
      <c r="AD16" s="26" t="s">
        <v>423</v>
      </c>
      <c r="AE16" s="26">
        <v>1</v>
      </c>
      <c r="AF16" s="26">
        <v>12</v>
      </c>
      <c r="AG16" s="26">
        <v>365</v>
      </c>
      <c r="AH16" s="26" t="s">
        <v>423</v>
      </c>
      <c r="AI16" s="26" t="s">
        <v>265</v>
      </c>
      <c r="AJ16" s="26">
        <v>1</v>
      </c>
      <c r="AK16" s="26">
        <v>2.36</v>
      </c>
      <c r="AL16" s="26">
        <v>0.28000000000000003</v>
      </c>
      <c r="AM16" s="26">
        <v>0.67</v>
      </c>
      <c r="AN16" s="26">
        <v>19</v>
      </c>
      <c r="AO16" s="26">
        <v>233</v>
      </c>
      <c r="AP16" s="26" t="s">
        <v>423</v>
      </c>
      <c r="AQ16" s="26" t="s">
        <v>265</v>
      </c>
      <c r="AR16" s="26">
        <v>0</v>
      </c>
      <c r="AS16" s="26">
        <v>0</v>
      </c>
      <c r="AT16" s="26">
        <v>0</v>
      </c>
      <c r="AU16" s="26">
        <v>0</v>
      </c>
      <c r="AV16" s="26">
        <v>0</v>
      </c>
      <c r="AW16" s="26" t="s">
        <v>265</v>
      </c>
      <c r="AX16" s="26" t="s">
        <v>265</v>
      </c>
      <c r="AY16" s="26" t="s">
        <v>265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>
      <c r="A17" s="26" t="s">
        <v>424</v>
      </c>
      <c r="B17" s="26" t="s">
        <v>265</v>
      </c>
      <c r="C17" s="26" t="s">
        <v>423</v>
      </c>
      <c r="D17" s="26" t="s">
        <v>265</v>
      </c>
      <c r="E17" s="26" t="s">
        <v>440</v>
      </c>
      <c r="F17" s="26" t="s">
        <v>423</v>
      </c>
      <c r="G17" s="26" t="s">
        <v>423</v>
      </c>
      <c r="H17" s="26" t="s">
        <v>265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423</v>
      </c>
      <c r="AD17" s="26" t="s">
        <v>423</v>
      </c>
      <c r="AE17" s="26">
        <v>1</v>
      </c>
      <c r="AF17" s="26">
        <v>12</v>
      </c>
      <c r="AG17" s="26">
        <v>365</v>
      </c>
      <c r="AH17" s="26" t="s">
        <v>423</v>
      </c>
      <c r="AI17" s="26" t="s">
        <v>265</v>
      </c>
      <c r="AJ17" s="26">
        <v>1</v>
      </c>
      <c r="AK17" s="26">
        <v>2.36</v>
      </c>
      <c r="AL17" s="26">
        <v>0.28000000000000003</v>
      </c>
      <c r="AM17" s="26">
        <v>0.67</v>
      </c>
      <c r="AN17" s="26">
        <v>19</v>
      </c>
      <c r="AO17" s="26">
        <v>233</v>
      </c>
      <c r="AP17" s="26" t="s">
        <v>423</v>
      </c>
      <c r="AQ17" s="26" t="s">
        <v>265</v>
      </c>
      <c r="AR17" s="26">
        <v>0</v>
      </c>
      <c r="AS17" s="26">
        <v>0</v>
      </c>
      <c r="AT17" s="26">
        <v>0</v>
      </c>
      <c r="AU17" s="26">
        <v>0</v>
      </c>
      <c r="AV17" s="26">
        <v>0</v>
      </c>
      <c r="AW17" s="26" t="s">
        <v>265</v>
      </c>
      <c r="AX17" s="26" t="s">
        <v>265</v>
      </c>
      <c r="AY17" s="26" t="s">
        <v>265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>
      <c r="A18" s="26" t="s">
        <v>424</v>
      </c>
      <c r="B18" s="26" t="s">
        <v>265</v>
      </c>
      <c r="C18" s="26" t="s">
        <v>423</v>
      </c>
      <c r="D18" s="26" t="s">
        <v>265</v>
      </c>
      <c r="E18" s="26" t="s">
        <v>441</v>
      </c>
      <c r="F18" s="26" t="s">
        <v>423</v>
      </c>
      <c r="G18" s="26" t="s">
        <v>423</v>
      </c>
      <c r="H18" s="26" t="s">
        <v>265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265</v>
      </c>
      <c r="V18" s="26" t="s">
        <v>265</v>
      </c>
      <c r="W18" s="26" t="s">
        <v>265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423</v>
      </c>
      <c r="AD18" s="26" t="s">
        <v>423</v>
      </c>
      <c r="AE18" s="26">
        <v>1</v>
      </c>
      <c r="AF18" s="26">
        <v>12</v>
      </c>
      <c r="AG18" s="26">
        <v>365</v>
      </c>
      <c r="AH18" s="26" t="s">
        <v>423</v>
      </c>
      <c r="AI18" s="26" t="s">
        <v>265</v>
      </c>
      <c r="AJ18" s="26">
        <v>1</v>
      </c>
      <c r="AK18" s="26">
        <v>2.36</v>
      </c>
      <c r="AL18" s="26">
        <v>0.28000000000000003</v>
      </c>
      <c r="AM18" s="26">
        <v>0.67</v>
      </c>
      <c r="AN18" s="26">
        <v>19</v>
      </c>
      <c r="AO18" s="26">
        <v>233</v>
      </c>
      <c r="AP18" s="26" t="s">
        <v>423</v>
      </c>
      <c r="AQ18" s="26" t="s">
        <v>265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 t="s">
        <v>265</v>
      </c>
      <c r="AX18" s="26" t="s">
        <v>265</v>
      </c>
      <c r="AY18" s="26" t="s">
        <v>265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>
      <c r="A19" s="26" t="s">
        <v>424</v>
      </c>
      <c r="B19" s="26" t="s">
        <v>265</v>
      </c>
      <c r="C19" s="26" t="s">
        <v>423</v>
      </c>
      <c r="D19" s="26" t="s">
        <v>265</v>
      </c>
      <c r="E19" s="26" t="s">
        <v>442</v>
      </c>
      <c r="F19" s="26" t="s">
        <v>423</v>
      </c>
      <c r="G19" s="26" t="s">
        <v>423</v>
      </c>
      <c r="H19" s="26" t="s">
        <v>265</v>
      </c>
      <c r="I19" s="26" t="s">
        <v>265</v>
      </c>
      <c r="J19" s="26" t="s">
        <v>265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265</v>
      </c>
      <c r="V19" s="26" t="s">
        <v>265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265</v>
      </c>
      <c r="AC19" s="26" t="s">
        <v>423</v>
      </c>
      <c r="AD19" s="26" t="s">
        <v>423</v>
      </c>
      <c r="AE19" s="26">
        <v>1</v>
      </c>
      <c r="AF19" s="26">
        <v>12</v>
      </c>
      <c r="AG19" s="26">
        <v>365</v>
      </c>
      <c r="AH19" s="26" t="s">
        <v>423</v>
      </c>
      <c r="AI19" s="26" t="s">
        <v>265</v>
      </c>
      <c r="AJ19" s="26">
        <v>1</v>
      </c>
      <c r="AK19" s="26">
        <v>2.36</v>
      </c>
      <c r="AL19" s="26">
        <v>0.28000000000000003</v>
      </c>
      <c r="AM19" s="26">
        <v>0.67</v>
      </c>
      <c r="AN19" s="26">
        <v>19</v>
      </c>
      <c r="AO19" s="26">
        <v>233</v>
      </c>
      <c r="AP19" s="26" t="s">
        <v>423</v>
      </c>
      <c r="AQ19" s="26" t="s">
        <v>265</v>
      </c>
      <c r="AR19" s="26">
        <v>0</v>
      </c>
      <c r="AS19" s="26">
        <v>0</v>
      </c>
      <c r="AT19" s="26">
        <v>0</v>
      </c>
      <c r="AU19" s="26">
        <v>0</v>
      </c>
      <c r="AV19" s="26">
        <v>0</v>
      </c>
      <c r="AW19" s="26" t="s">
        <v>265</v>
      </c>
      <c r="AX19" s="26" t="s">
        <v>265</v>
      </c>
      <c r="AY19" s="26" t="s">
        <v>265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>
      <c r="A20" s="26" t="s">
        <v>424</v>
      </c>
      <c r="B20" s="26" t="s">
        <v>265</v>
      </c>
      <c r="C20" s="26" t="s">
        <v>423</v>
      </c>
      <c r="D20" s="26" t="s">
        <v>265</v>
      </c>
      <c r="E20" s="26" t="s">
        <v>443</v>
      </c>
      <c r="F20" s="26" t="s">
        <v>423</v>
      </c>
      <c r="G20" s="26" t="s">
        <v>423</v>
      </c>
      <c r="H20" s="26" t="s">
        <v>265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265</v>
      </c>
      <c r="V20" s="26" t="s">
        <v>265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423</v>
      </c>
      <c r="AD20" s="26" t="s">
        <v>423</v>
      </c>
      <c r="AE20" s="26">
        <v>1</v>
      </c>
      <c r="AF20" s="26">
        <v>12</v>
      </c>
      <c r="AG20" s="26">
        <v>365</v>
      </c>
      <c r="AH20" s="26" t="s">
        <v>423</v>
      </c>
      <c r="AI20" s="26" t="s">
        <v>265</v>
      </c>
      <c r="AJ20" s="26">
        <v>1</v>
      </c>
      <c r="AK20" s="26">
        <v>2.36</v>
      </c>
      <c r="AL20" s="26">
        <v>0.28000000000000003</v>
      </c>
      <c r="AM20" s="26">
        <v>0.67</v>
      </c>
      <c r="AN20" s="26">
        <v>19</v>
      </c>
      <c r="AO20" s="26">
        <v>233</v>
      </c>
      <c r="AP20" s="26" t="s">
        <v>423</v>
      </c>
      <c r="AQ20" s="26" t="s">
        <v>265</v>
      </c>
      <c r="AR20" s="26">
        <v>0</v>
      </c>
      <c r="AS20" s="26">
        <v>0</v>
      </c>
      <c r="AT20" s="26">
        <v>0</v>
      </c>
      <c r="AU20" s="26">
        <v>0</v>
      </c>
      <c r="AV20" s="26">
        <v>0</v>
      </c>
      <c r="AW20" s="26" t="s">
        <v>265</v>
      </c>
      <c r="AX20" s="26" t="s">
        <v>265</v>
      </c>
      <c r="AY20" s="26" t="s">
        <v>265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>
      <c r="A21" s="26" t="s">
        <v>424</v>
      </c>
      <c r="B21" s="26" t="s">
        <v>265</v>
      </c>
      <c r="C21" s="26" t="s">
        <v>423</v>
      </c>
      <c r="D21" s="26" t="s">
        <v>265</v>
      </c>
      <c r="E21" s="26" t="s">
        <v>444</v>
      </c>
      <c r="F21" s="26" t="s">
        <v>423</v>
      </c>
      <c r="G21" s="26" t="s">
        <v>423</v>
      </c>
      <c r="H21" s="26" t="s">
        <v>265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265</v>
      </c>
      <c r="V21" s="26" t="s">
        <v>265</v>
      </c>
      <c r="W21" s="26" t="s">
        <v>265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423</v>
      </c>
      <c r="AD21" s="26" t="s">
        <v>423</v>
      </c>
      <c r="AE21" s="26">
        <v>1</v>
      </c>
      <c r="AF21" s="26">
        <v>12</v>
      </c>
      <c r="AG21" s="26">
        <v>365</v>
      </c>
      <c r="AH21" s="26" t="s">
        <v>423</v>
      </c>
      <c r="AI21" s="26" t="s">
        <v>265</v>
      </c>
      <c r="AJ21" s="26">
        <v>1</v>
      </c>
      <c r="AK21" s="26">
        <v>2.36</v>
      </c>
      <c r="AL21" s="26">
        <v>0.28000000000000003</v>
      </c>
      <c r="AM21" s="26">
        <v>0.67</v>
      </c>
      <c r="AN21" s="26">
        <v>19</v>
      </c>
      <c r="AO21" s="26">
        <v>233</v>
      </c>
      <c r="AP21" s="26" t="s">
        <v>423</v>
      </c>
      <c r="AQ21" s="26" t="s">
        <v>265</v>
      </c>
      <c r="AR21" s="26">
        <v>0</v>
      </c>
      <c r="AS21" s="26">
        <v>0</v>
      </c>
      <c r="AT21" s="26">
        <v>0</v>
      </c>
      <c r="AU21" s="26">
        <v>0</v>
      </c>
      <c r="AV21" s="26">
        <v>0</v>
      </c>
      <c r="AW21" s="26" t="s">
        <v>265</v>
      </c>
      <c r="AX21" s="26" t="s">
        <v>265</v>
      </c>
      <c r="AY21" s="26" t="s">
        <v>265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>
      <c r="A22" s="26" t="s">
        <v>424</v>
      </c>
      <c r="B22" s="26" t="s">
        <v>265</v>
      </c>
      <c r="C22" s="26" t="s">
        <v>423</v>
      </c>
      <c r="D22" s="26" t="s">
        <v>265</v>
      </c>
      <c r="E22" s="26" t="s">
        <v>445</v>
      </c>
      <c r="F22" s="26" t="s">
        <v>423</v>
      </c>
      <c r="G22" s="26" t="s">
        <v>423</v>
      </c>
      <c r="H22" s="26" t="s">
        <v>265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265</v>
      </c>
      <c r="V22" s="26" t="s">
        <v>265</v>
      </c>
      <c r="W22" s="26" t="s">
        <v>265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423</v>
      </c>
      <c r="AD22" s="26" t="s">
        <v>423</v>
      </c>
      <c r="AE22" s="26">
        <v>1</v>
      </c>
      <c r="AF22" s="26">
        <v>12</v>
      </c>
      <c r="AG22" s="26">
        <v>365</v>
      </c>
      <c r="AH22" s="26" t="s">
        <v>423</v>
      </c>
      <c r="AI22" s="26" t="s">
        <v>265</v>
      </c>
      <c r="AJ22" s="26">
        <v>1</v>
      </c>
      <c r="AK22" s="26">
        <v>2.36</v>
      </c>
      <c r="AL22" s="26">
        <v>0.28000000000000003</v>
      </c>
      <c r="AM22" s="26">
        <v>0.67</v>
      </c>
      <c r="AN22" s="26">
        <v>19</v>
      </c>
      <c r="AO22" s="26">
        <v>233</v>
      </c>
      <c r="AP22" s="26" t="s">
        <v>423</v>
      </c>
      <c r="AQ22" s="26" t="s">
        <v>265</v>
      </c>
      <c r="AR22" s="26">
        <v>0</v>
      </c>
      <c r="AS22" s="26">
        <v>0</v>
      </c>
      <c r="AT22" s="26">
        <v>0</v>
      </c>
      <c r="AU22" s="26">
        <v>0</v>
      </c>
      <c r="AV22" s="26">
        <v>0</v>
      </c>
      <c r="AW22" s="26" t="s">
        <v>265</v>
      </c>
      <c r="AX22" s="26" t="s">
        <v>265</v>
      </c>
      <c r="AY22" s="26" t="s">
        <v>265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>
      <c r="A23" s="26" t="s">
        <v>424</v>
      </c>
      <c r="B23" s="26" t="s">
        <v>265</v>
      </c>
      <c r="C23" s="26" t="s">
        <v>423</v>
      </c>
      <c r="D23" s="26" t="s">
        <v>265</v>
      </c>
      <c r="E23" s="26" t="s">
        <v>446</v>
      </c>
      <c r="F23" s="26" t="s">
        <v>265</v>
      </c>
      <c r="G23" s="26" t="s">
        <v>265</v>
      </c>
      <c r="H23" s="26" t="s">
        <v>265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423</v>
      </c>
      <c r="V23" s="26" t="s">
        <v>265</v>
      </c>
      <c r="W23" s="26" t="s">
        <v>423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423</v>
      </c>
      <c r="AD23" s="26" t="s">
        <v>265</v>
      </c>
      <c r="AE23" s="26">
        <v>3</v>
      </c>
      <c r="AF23" s="26">
        <v>11</v>
      </c>
      <c r="AG23" s="26">
        <v>274</v>
      </c>
      <c r="AH23" s="26" t="s">
        <v>265</v>
      </c>
      <c r="AI23" s="26" t="s">
        <v>423</v>
      </c>
      <c r="AJ23" s="26" t="s">
        <v>265</v>
      </c>
      <c r="AK23" s="26" t="s">
        <v>265</v>
      </c>
      <c r="AL23" s="26" t="s">
        <v>265</v>
      </c>
      <c r="AM23" s="26">
        <v>2.52</v>
      </c>
      <c r="AN23" s="26">
        <v>73</v>
      </c>
      <c r="AO23" s="26">
        <v>585</v>
      </c>
      <c r="AP23" s="26" t="s">
        <v>423</v>
      </c>
      <c r="AQ23" s="26" t="s">
        <v>265</v>
      </c>
      <c r="AR23" s="26">
        <v>0</v>
      </c>
      <c r="AS23" s="26">
        <v>0</v>
      </c>
      <c r="AT23" s="26">
        <v>0</v>
      </c>
      <c r="AU23" s="26">
        <v>0</v>
      </c>
      <c r="AV23" s="26">
        <v>0</v>
      </c>
      <c r="AW23" s="26" t="s">
        <v>423</v>
      </c>
      <c r="AX23" s="26" t="s">
        <v>265</v>
      </c>
      <c r="AY23" s="26" t="s">
        <v>423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>
      <c r="A24" s="26" t="s">
        <v>424</v>
      </c>
      <c r="B24" s="26" t="s">
        <v>265</v>
      </c>
      <c r="C24" s="26" t="s">
        <v>423</v>
      </c>
      <c r="D24" s="26" t="s">
        <v>265</v>
      </c>
      <c r="E24" s="26" t="s">
        <v>447</v>
      </c>
      <c r="F24" s="26" t="s">
        <v>265</v>
      </c>
      <c r="G24" s="26" t="s">
        <v>265</v>
      </c>
      <c r="H24" s="26" t="s">
        <v>265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423</v>
      </c>
      <c r="V24" s="26" t="s">
        <v>265</v>
      </c>
      <c r="W24" s="26" t="s">
        <v>423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423</v>
      </c>
      <c r="AD24" s="26" t="s">
        <v>265</v>
      </c>
      <c r="AE24" s="26">
        <v>3</v>
      </c>
      <c r="AF24" s="26">
        <v>11</v>
      </c>
      <c r="AG24" s="26">
        <v>274</v>
      </c>
      <c r="AH24" s="26" t="s">
        <v>265</v>
      </c>
      <c r="AI24" s="26" t="s">
        <v>423</v>
      </c>
      <c r="AJ24" s="26" t="s">
        <v>265</v>
      </c>
      <c r="AK24" s="26" t="s">
        <v>265</v>
      </c>
      <c r="AL24" s="26" t="s">
        <v>265</v>
      </c>
      <c r="AM24" s="26">
        <v>2.52</v>
      </c>
      <c r="AN24" s="26">
        <v>73</v>
      </c>
      <c r="AO24" s="26">
        <v>585</v>
      </c>
      <c r="AP24" s="26" t="s">
        <v>423</v>
      </c>
      <c r="AQ24" s="26" t="s">
        <v>265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 t="s">
        <v>423</v>
      </c>
      <c r="AX24" s="26" t="s">
        <v>265</v>
      </c>
      <c r="AY24" s="26" t="s">
        <v>423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>
      <c r="A25" s="26" t="s">
        <v>424</v>
      </c>
      <c r="B25" s="26" t="s">
        <v>265</v>
      </c>
      <c r="C25" s="26" t="s">
        <v>423</v>
      </c>
      <c r="D25" s="26" t="s">
        <v>265</v>
      </c>
      <c r="E25" s="26" t="s">
        <v>448</v>
      </c>
      <c r="F25" s="26" t="s">
        <v>265</v>
      </c>
      <c r="G25" s="26" t="s">
        <v>265</v>
      </c>
      <c r="H25" s="26" t="s">
        <v>265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423</v>
      </c>
      <c r="V25" s="26" t="s">
        <v>265</v>
      </c>
      <c r="W25" s="26" t="s">
        <v>423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423</v>
      </c>
      <c r="AD25" s="26" t="s">
        <v>265</v>
      </c>
      <c r="AE25" s="26">
        <v>3</v>
      </c>
      <c r="AF25" s="26">
        <v>11</v>
      </c>
      <c r="AG25" s="26">
        <v>274</v>
      </c>
      <c r="AH25" s="26" t="s">
        <v>265</v>
      </c>
      <c r="AI25" s="26" t="s">
        <v>423</v>
      </c>
      <c r="AJ25" s="26" t="s">
        <v>265</v>
      </c>
      <c r="AK25" s="26" t="s">
        <v>265</v>
      </c>
      <c r="AL25" s="26" t="s">
        <v>265</v>
      </c>
      <c r="AM25" s="26">
        <v>4.67</v>
      </c>
      <c r="AN25" s="26">
        <v>135</v>
      </c>
      <c r="AO25" s="37">
        <v>1083</v>
      </c>
      <c r="AP25" s="26" t="s">
        <v>423</v>
      </c>
      <c r="AQ25" s="26" t="s">
        <v>265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 t="s">
        <v>423</v>
      </c>
      <c r="AX25" s="26" t="s">
        <v>265</v>
      </c>
      <c r="AY25" s="26" t="s">
        <v>423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>
      <c r="A26" s="26" t="s">
        <v>424</v>
      </c>
      <c r="B26" s="26" t="s">
        <v>265</v>
      </c>
      <c r="C26" s="26" t="s">
        <v>423</v>
      </c>
      <c r="D26" s="26" t="s">
        <v>265</v>
      </c>
      <c r="E26" s="26" t="s">
        <v>449</v>
      </c>
      <c r="F26" s="26" t="s">
        <v>265</v>
      </c>
      <c r="G26" s="26" t="s">
        <v>265</v>
      </c>
      <c r="H26" s="26" t="s">
        <v>265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423</v>
      </c>
      <c r="V26" s="26" t="s">
        <v>265</v>
      </c>
      <c r="W26" s="26" t="s">
        <v>423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423</v>
      </c>
      <c r="AD26" s="26" t="s">
        <v>265</v>
      </c>
      <c r="AE26" s="26">
        <v>3</v>
      </c>
      <c r="AF26" s="26">
        <v>11</v>
      </c>
      <c r="AG26" s="26">
        <v>274</v>
      </c>
      <c r="AH26" s="26" t="s">
        <v>265</v>
      </c>
      <c r="AI26" s="26" t="s">
        <v>423</v>
      </c>
      <c r="AJ26" s="26" t="s">
        <v>265</v>
      </c>
      <c r="AK26" s="26" t="s">
        <v>265</v>
      </c>
      <c r="AL26" s="26" t="s">
        <v>265</v>
      </c>
      <c r="AM26" s="26">
        <v>2.95</v>
      </c>
      <c r="AN26" s="26">
        <v>86</v>
      </c>
      <c r="AO26" s="26">
        <v>684</v>
      </c>
      <c r="AP26" s="26" t="s">
        <v>423</v>
      </c>
      <c r="AQ26" s="26" t="s">
        <v>265</v>
      </c>
      <c r="AR26" s="26">
        <v>0</v>
      </c>
      <c r="AS26" s="26">
        <v>0</v>
      </c>
      <c r="AT26" s="26">
        <v>0</v>
      </c>
      <c r="AU26" s="26">
        <v>0</v>
      </c>
      <c r="AV26" s="26">
        <v>0</v>
      </c>
      <c r="AW26" s="26" t="s">
        <v>423</v>
      </c>
      <c r="AX26" s="26" t="s">
        <v>265</v>
      </c>
      <c r="AY26" s="26" t="s">
        <v>423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>
      <c r="A27" s="26" t="s">
        <v>424</v>
      </c>
      <c r="B27" s="26" t="s">
        <v>265</v>
      </c>
      <c r="C27" s="26" t="s">
        <v>423</v>
      </c>
      <c r="D27" s="26" t="s">
        <v>265</v>
      </c>
      <c r="E27" s="26" t="s">
        <v>450</v>
      </c>
      <c r="F27" s="26" t="s">
        <v>265</v>
      </c>
      <c r="G27" s="26" t="s">
        <v>265</v>
      </c>
      <c r="H27" s="26" t="s">
        <v>265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423</v>
      </c>
      <c r="V27" s="26" t="s">
        <v>265</v>
      </c>
      <c r="W27" s="26" t="s">
        <v>423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423</v>
      </c>
      <c r="AD27" s="26" t="s">
        <v>265</v>
      </c>
      <c r="AE27" s="26">
        <v>3</v>
      </c>
      <c r="AF27" s="26">
        <v>11</v>
      </c>
      <c r="AG27" s="26">
        <v>274</v>
      </c>
      <c r="AH27" s="26" t="s">
        <v>265</v>
      </c>
      <c r="AI27" s="26" t="s">
        <v>423</v>
      </c>
      <c r="AJ27" s="26" t="s">
        <v>265</v>
      </c>
      <c r="AK27" s="26" t="s">
        <v>265</v>
      </c>
      <c r="AL27" s="26" t="s">
        <v>265</v>
      </c>
      <c r="AM27" s="26">
        <v>2.52</v>
      </c>
      <c r="AN27" s="26">
        <v>73</v>
      </c>
      <c r="AO27" s="26">
        <v>585</v>
      </c>
      <c r="AP27" s="26" t="s">
        <v>423</v>
      </c>
      <c r="AQ27" s="26" t="s">
        <v>265</v>
      </c>
      <c r="AR27" s="26">
        <v>0</v>
      </c>
      <c r="AS27" s="26">
        <v>0</v>
      </c>
      <c r="AT27" s="26">
        <v>0</v>
      </c>
      <c r="AU27" s="26">
        <v>0</v>
      </c>
      <c r="AV27" s="26">
        <v>0</v>
      </c>
      <c r="AW27" s="26" t="s">
        <v>423</v>
      </c>
      <c r="AX27" s="26" t="s">
        <v>265</v>
      </c>
      <c r="AY27" s="26" t="s">
        <v>423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>
      <c r="A28" s="26" t="s">
        <v>424</v>
      </c>
      <c r="B28" s="26" t="s">
        <v>265</v>
      </c>
      <c r="C28" s="26" t="s">
        <v>423</v>
      </c>
      <c r="D28" s="26" t="s">
        <v>265</v>
      </c>
      <c r="E28" s="26" t="s">
        <v>451</v>
      </c>
      <c r="F28" s="26" t="s">
        <v>265</v>
      </c>
      <c r="G28" s="26" t="s">
        <v>265</v>
      </c>
      <c r="H28" s="26" t="s">
        <v>265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265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265</v>
      </c>
      <c r="U28" s="26" t="s">
        <v>423</v>
      </c>
      <c r="V28" s="26" t="s">
        <v>265</v>
      </c>
      <c r="W28" s="26" t="s">
        <v>423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423</v>
      </c>
      <c r="AD28" s="26" t="s">
        <v>265</v>
      </c>
      <c r="AE28" s="26">
        <v>3</v>
      </c>
      <c r="AF28" s="26">
        <v>11</v>
      </c>
      <c r="AG28" s="26">
        <v>274</v>
      </c>
      <c r="AH28" s="26" t="s">
        <v>265</v>
      </c>
      <c r="AI28" s="26" t="s">
        <v>423</v>
      </c>
      <c r="AJ28" s="26" t="s">
        <v>265</v>
      </c>
      <c r="AK28" s="26" t="s">
        <v>265</v>
      </c>
      <c r="AL28" s="26" t="s">
        <v>265</v>
      </c>
      <c r="AM28" s="26">
        <v>3.16</v>
      </c>
      <c r="AN28" s="26">
        <v>92</v>
      </c>
      <c r="AO28" s="26">
        <v>733</v>
      </c>
      <c r="AP28" s="26" t="s">
        <v>423</v>
      </c>
      <c r="AQ28" s="26" t="s">
        <v>265</v>
      </c>
      <c r="AR28" s="26">
        <v>0</v>
      </c>
      <c r="AS28" s="26">
        <v>0</v>
      </c>
      <c r="AT28" s="26">
        <v>0</v>
      </c>
      <c r="AU28" s="26">
        <v>0</v>
      </c>
      <c r="AV28" s="26">
        <v>0</v>
      </c>
      <c r="AW28" s="26" t="s">
        <v>423</v>
      </c>
      <c r="AX28" s="26" t="s">
        <v>265</v>
      </c>
      <c r="AY28" s="26" t="s">
        <v>423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>
      <c r="A29" s="26" t="s">
        <v>424</v>
      </c>
      <c r="B29" s="26" t="s">
        <v>265</v>
      </c>
      <c r="C29" s="26" t="s">
        <v>423</v>
      </c>
      <c r="D29" s="26" t="s">
        <v>265</v>
      </c>
      <c r="E29" s="26" t="s">
        <v>452</v>
      </c>
      <c r="F29" s="26" t="s">
        <v>265</v>
      </c>
      <c r="G29" s="26" t="s">
        <v>265</v>
      </c>
      <c r="H29" s="26" t="s">
        <v>265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265</v>
      </c>
      <c r="P29" s="26" t="s">
        <v>265</v>
      </c>
      <c r="Q29" s="26" t="s">
        <v>265</v>
      </c>
      <c r="R29" s="26" t="s">
        <v>265</v>
      </c>
      <c r="S29" s="26" t="s">
        <v>265</v>
      </c>
      <c r="T29" s="26" t="s">
        <v>265</v>
      </c>
      <c r="U29" s="26" t="s">
        <v>423</v>
      </c>
      <c r="V29" s="26" t="s">
        <v>265</v>
      </c>
      <c r="W29" s="26" t="s">
        <v>423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265</v>
      </c>
      <c r="AC29" s="26" t="s">
        <v>423</v>
      </c>
      <c r="AD29" s="26" t="s">
        <v>265</v>
      </c>
      <c r="AE29" s="26">
        <v>3</v>
      </c>
      <c r="AF29" s="26">
        <v>11</v>
      </c>
      <c r="AG29" s="26">
        <v>274</v>
      </c>
      <c r="AH29" s="26" t="s">
        <v>265</v>
      </c>
      <c r="AI29" s="26" t="s">
        <v>423</v>
      </c>
      <c r="AJ29" s="26" t="s">
        <v>265</v>
      </c>
      <c r="AK29" s="26" t="s">
        <v>265</v>
      </c>
      <c r="AL29" s="26" t="s">
        <v>265</v>
      </c>
      <c r="AM29" s="26">
        <v>3.16</v>
      </c>
      <c r="AN29" s="26">
        <v>92</v>
      </c>
      <c r="AO29" s="26">
        <v>733</v>
      </c>
      <c r="AP29" s="26" t="s">
        <v>423</v>
      </c>
      <c r="AQ29" s="26" t="s">
        <v>265</v>
      </c>
      <c r="AR29" s="26">
        <v>0</v>
      </c>
      <c r="AS29" s="26">
        <v>0</v>
      </c>
      <c r="AT29" s="26">
        <v>0</v>
      </c>
      <c r="AU29" s="26">
        <v>0</v>
      </c>
      <c r="AV29" s="26">
        <v>0</v>
      </c>
      <c r="AW29" s="26" t="s">
        <v>423</v>
      </c>
      <c r="AX29" s="26" t="s">
        <v>265</v>
      </c>
      <c r="AY29" s="26" t="s">
        <v>423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>
      <c r="A30" s="26" t="s">
        <v>424</v>
      </c>
      <c r="B30" s="26" t="s">
        <v>265</v>
      </c>
      <c r="C30" s="26" t="s">
        <v>423</v>
      </c>
      <c r="D30" s="26" t="s">
        <v>265</v>
      </c>
      <c r="E30" s="26" t="s">
        <v>453</v>
      </c>
      <c r="F30" s="26" t="s">
        <v>265</v>
      </c>
      <c r="G30" s="26" t="s">
        <v>265</v>
      </c>
      <c r="H30" s="26" t="s">
        <v>265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265</v>
      </c>
      <c r="P30" s="26" t="s">
        <v>265</v>
      </c>
      <c r="Q30" s="26" t="s">
        <v>265</v>
      </c>
      <c r="R30" s="26" t="s">
        <v>265</v>
      </c>
      <c r="S30" s="26" t="s">
        <v>265</v>
      </c>
      <c r="T30" s="26" t="s">
        <v>265</v>
      </c>
      <c r="U30" s="26" t="s">
        <v>423</v>
      </c>
      <c r="V30" s="26" t="s">
        <v>265</v>
      </c>
      <c r="W30" s="26" t="s">
        <v>423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265</v>
      </c>
      <c r="AC30" s="26" t="s">
        <v>423</v>
      </c>
      <c r="AD30" s="26" t="s">
        <v>265</v>
      </c>
      <c r="AE30" s="26">
        <v>3</v>
      </c>
      <c r="AF30" s="26">
        <v>11</v>
      </c>
      <c r="AG30" s="26">
        <v>274</v>
      </c>
      <c r="AH30" s="26" t="s">
        <v>265</v>
      </c>
      <c r="AI30" s="26" t="s">
        <v>423</v>
      </c>
      <c r="AJ30" s="26" t="s">
        <v>265</v>
      </c>
      <c r="AK30" s="26" t="s">
        <v>265</v>
      </c>
      <c r="AL30" s="26" t="s">
        <v>265</v>
      </c>
      <c r="AM30" s="26">
        <v>5.36</v>
      </c>
      <c r="AN30" s="26">
        <v>155</v>
      </c>
      <c r="AO30" s="37">
        <v>1244</v>
      </c>
      <c r="AP30" s="26" t="s">
        <v>423</v>
      </c>
      <c r="AQ30" s="26" t="s">
        <v>265</v>
      </c>
      <c r="AR30" s="26">
        <v>0</v>
      </c>
      <c r="AS30" s="26">
        <v>0</v>
      </c>
      <c r="AT30" s="26">
        <v>0</v>
      </c>
      <c r="AU30" s="26">
        <v>0</v>
      </c>
      <c r="AV30" s="26">
        <v>0</v>
      </c>
      <c r="AW30" s="26" t="s">
        <v>423</v>
      </c>
      <c r="AX30" s="26" t="s">
        <v>265</v>
      </c>
      <c r="AY30" s="26" t="s">
        <v>423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>
      <c r="A31" s="26" t="s">
        <v>424</v>
      </c>
      <c r="B31" s="26" t="s">
        <v>265</v>
      </c>
      <c r="C31" s="26" t="s">
        <v>423</v>
      </c>
      <c r="D31" s="26" t="s">
        <v>265</v>
      </c>
      <c r="E31" s="26" t="s">
        <v>454</v>
      </c>
      <c r="F31" s="26" t="s">
        <v>265</v>
      </c>
      <c r="G31" s="26" t="s">
        <v>265</v>
      </c>
      <c r="H31" s="26" t="s">
        <v>265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265</v>
      </c>
      <c r="P31" s="26" t="s">
        <v>265</v>
      </c>
      <c r="Q31" s="26" t="s">
        <v>265</v>
      </c>
      <c r="R31" s="26" t="s">
        <v>265</v>
      </c>
      <c r="S31" s="26" t="s">
        <v>265</v>
      </c>
      <c r="T31" s="26" t="s">
        <v>265</v>
      </c>
      <c r="U31" s="26" t="s">
        <v>423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423</v>
      </c>
      <c r="AB31" s="26" t="s">
        <v>265</v>
      </c>
      <c r="AC31" s="26" t="s">
        <v>423</v>
      </c>
      <c r="AD31" s="26" t="s">
        <v>265</v>
      </c>
      <c r="AE31" s="26">
        <v>3</v>
      </c>
      <c r="AF31" s="26">
        <v>11</v>
      </c>
      <c r="AG31" s="26">
        <v>274</v>
      </c>
      <c r="AH31" s="26" t="s">
        <v>265</v>
      </c>
      <c r="AI31" s="26" t="s">
        <v>423</v>
      </c>
      <c r="AJ31" s="26" t="s">
        <v>265</v>
      </c>
      <c r="AK31" s="26" t="s">
        <v>265</v>
      </c>
      <c r="AL31" s="26" t="s">
        <v>265</v>
      </c>
      <c r="AM31" s="26">
        <v>6.39</v>
      </c>
      <c r="AN31" s="26">
        <v>185</v>
      </c>
      <c r="AO31" s="37">
        <v>1482</v>
      </c>
      <c r="AP31" s="26" t="s">
        <v>423</v>
      </c>
      <c r="AQ31" s="26" t="s">
        <v>265</v>
      </c>
      <c r="AR31" s="26">
        <v>0</v>
      </c>
      <c r="AS31" s="26">
        <v>0</v>
      </c>
      <c r="AT31" s="26">
        <v>0</v>
      </c>
      <c r="AU31" s="26">
        <v>0</v>
      </c>
      <c r="AV31" s="26">
        <v>0</v>
      </c>
      <c r="AW31" s="26" t="s">
        <v>423</v>
      </c>
      <c r="AX31" s="26" t="s">
        <v>265</v>
      </c>
      <c r="AY31" s="26" t="s">
        <v>423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>
      <c r="A32" s="26" t="s">
        <v>424</v>
      </c>
      <c r="B32" s="26" t="s">
        <v>265</v>
      </c>
      <c r="C32" s="26" t="s">
        <v>423</v>
      </c>
      <c r="D32" s="26" t="s">
        <v>265</v>
      </c>
      <c r="E32" s="26" t="s">
        <v>455</v>
      </c>
      <c r="F32" s="26" t="s">
        <v>265</v>
      </c>
      <c r="G32" s="26" t="s">
        <v>265</v>
      </c>
      <c r="H32" s="26" t="s">
        <v>265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265</v>
      </c>
      <c r="P32" s="26" t="s">
        <v>265</v>
      </c>
      <c r="Q32" s="26" t="s">
        <v>265</v>
      </c>
      <c r="R32" s="26" t="s">
        <v>265</v>
      </c>
      <c r="S32" s="26" t="s">
        <v>265</v>
      </c>
      <c r="T32" s="26" t="s">
        <v>265</v>
      </c>
      <c r="U32" s="26" t="s">
        <v>423</v>
      </c>
      <c r="V32" s="26" t="s">
        <v>265</v>
      </c>
      <c r="W32" s="26" t="s">
        <v>423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265</v>
      </c>
      <c r="AC32" s="26" t="s">
        <v>423</v>
      </c>
      <c r="AD32" s="26" t="s">
        <v>265</v>
      </c>
      <c r="AE32" s="26">
        <v>3</v>
      </c>
      <c r="AF32" s="26">
        <v>11</v>
      </c>
      <c r="AG32" s="26">
        <v>274</v>
      </c>
      <c r="AH32" s="26" t="s">
        <v>265</v>
      </c>
      <c r="AI32" s="26" t="s">
        <v>423</v>
      </c>
      <c r="AJ32" s="26" t="s">
        <v>265</v>
      </c>
      <c r="AK32" s="26" t="s">
        <v>265</v>
      </c>
      <c r="AL32" s="26" t="s">
        <v>265</v>
      </c>
      <c r="AM32" s="26">
        <v>4.67</v>
      </c>
      <c r="AN32" s="26">
        <v>135</v>
      </c>
      <c r="AO32" s="37">
        <v>1083</v>
      </c>
      <c r="AP32" s="26" t="s">
        <v>423</v>
      </c>
      <c r="AQ32" s="26" t="s">
        <v>265</v>
      </c>
      <c r="AR32" s="26">
        <v>0</v>
      </c>
      <c r="AS32" s="26">
        <v>0</v>
      </c>
      <c r="AT32" s="26">
        <v>0</v>
      </c>
      <c r="AU32" s="26">
        <v>0</v>
      </c>
      <c r="AV32" s="26">
        <v>0</v>
      </c>
      <c r="AW32" s="26" t="s">
        <v>423</v>
      </c>
      <c r="AX32" s="26" t="s">
        <v>265</v>
      </c>
      <c r="AY32" s="26" t="s">
        <v>423</v>
      </c>
      <c r="AZ32" s="26" t="s">
        <v>265</v>
      </c>
      <c r="BA32" s="26" t="s">
        <v>265</v>
      </c>
      <c r="BB32" s="26" t="s">
        <v>265</v>
      </c>
    </row>
    <row r="33" spans="1:54" ht="20.100000000000001" customHeight="1">
      <c r="A33" s="26" t="s">
        <v>424</v>
      </c>
      <c r="B33" s="26" t="s">
        <v>265</v>
      </c>
      <c r="C33" s="26" t="s">
        <v>423</v>
      </c>
      <c r="D33" s="26" t="s">
        <v>265</v>
      </c>
      <c r="E33" s="26" t="s">
        <v>456</v>
      </c>
      <c r="F33" s="26" t="s">
        <v>265</v>
      </c>
      <c r="G33" s="26" t="s">
        <v>265</v>
      </c>
      <c r="H33" s="26" t="s">
        <v>265</v>
      </c>
      <c r="I33" s="26" t="s">
        <v>265</v>
      </c>
      <c r="J33" s="26" t="s">
        <v>265</v>
      </c>
      <c r="K33" s="26" t="s">
        <v>265</v>
      </c>
      <c r="L33" s="26" t="s">
        <v>265</v>
      </c>
      <c r="M33" s="26" t="s">
        <v>265</v>
      </c>
      <c r="N33" s="26" t="s">
        <v>265</v>
      </c>
      <c r="O33" s="26" t="s">
        <v>265</v>
      </c>
      <c r="P33" s="26" t="s">
        <v>265</v>
      </c>
      <c r="Q33" s="26" t="s">
        <v>265</v>
      </c>
      <c r="R33" s="26" t="s">
        <v>265</v>
      </c>
      <c r="S33" s="26" t="s">
        <v>265</v>
      </c>
      <c r="T33" s="26" t="s">
        <v>265</v>
      </c>
      <c r="U33" s="26" t="s">
        <v>423</v>
      </c>
      <c r="V33" s="26" t="s">
        <v>265</v>
      </c>
      <c r="W33" s="26" t="s">
        <v>423</v>
      </c>
      <c r="X33" s="26" t="s">
        <v>265</v>
      </c>
      <c r="Y33" s="26" t="s">
        <v>265</v>
      </c>
      <c r="Z33" s="26" t="s">
        <v>265</v>
      </c>
      <c r="AA33" s="26" t="s">
        <v>265</v>
      </c>
      <c r="AB33" s="26" t="s">
        <v>265</v>
      </c>
      <c r="AC33" s="26" t="s">
        <v>423</v>
      </c>
      <c r="AD33" s="26" t="s">
        <v>265</v>
      </c>
      <c r="AE33" s="26">
        <v>3</v>
      </c>
      <c r="AF33" s="26">
        <v>11</v>
      </c>
      <c r="AG33" s="26">
        <v>274</v>
      </c>
      <c r="AH33" s="26" t="s">
        <v>265</v>
      </c>
      <c r="AI33" s="26" t="s">
        <v>423</v>
      </c>
      <c r="AJ33" s="26" t="s">
        <v>265</v>
      </c>
      <c r="AK33" s="26" t="s">
        <v>265</v>
      </c>
      <c r="AL33" s="26" t="s">
        <v>265</v>
      </c>
      <c r="AM33" s="26">
        <v>4.45</v>
      </c>
      <c r="AN33" s="26">
        <v>129</v>
      </c>
      <c r="AO33" s="37">
        <v>1032</v>
      </c>
      <c r="AP33" s="26" t="s">
        <v>423</v>
      </c>
      <c r="AQ33" s="26" t="s">
        <v>265</v>
      </c>
      <c r="AR33" s="26">
        <v>0</v>
      </c>
      <c r="AS33" s="26">
        <v>0</v>
      </c>
      <c r="AT33" s="26">
        <v>0</v>
      </c>
      <c r="AU33" s="26">
        <v>0</v>
      </c>
      <c r="AV33" s="26">
        <v>0</v>
      </c>
      <c r="AW33" s="26" t="s">
        <v>423</v>
      </c>
      <c r="AX33" s="26" t="s">
        <v>265</v>
      </c>
      <c r="AY33" s="26" t="s">
        <v>423</v>
      </c>
      <c r="AZ33" s="26" t="s">
        <v>265</v>
      </c>
      <c r="BA33" s="26" t="s">
        <v>265</v>
      </c>
      <c r="BB33" s="26" t="s">
        <v>265</v>
      </c>
    </row>
    <row r="34" spans="1:54" ht="20.100000000000001" customHeight="1">
      <c r="A34" s="26" t="s">
        <v>424</v>
      </c>
      <c r="B34" s="26" t="s">
        <v>265</v>
      </c>
      <c r="C34" s="26" t="s">
        <v>423</v>
      </c>
      <c r="D34" s="26" t="s">
        <v>265</v>
      </c>
      <c r="E34" s="26" t="s">
        <v>457</v>
      </c>
      <c r="F34" s="26" t="s">
        <v>265</v>
      </c>
      <c r="G34" s="26" t="s">
        <v>265</v>
      </c>
      <c r="H34" s="26" t="s">
        <v>265</v>
      </c>
      <c r="I34" s="26" t="s">
        <v>265</v>
      </c>
      <c r="J34" s="26" t="s">
        <v>265</v>
      </c>
      <c r="K34" s="26" t="s">
        <v>265</v>
      </c>
      <c r="L34" s="26" t="s">
        <v>265</v>
      </c>
      <c r="M34" s="26" t="s">
        <v>265</v>
      </c>
      <c r="N34" s="26" t="s">
        <v>265</v>
      </c>
      <c r="O34" s="26" t="s">
        <v>265</v>
      </c>
      <c r="P34" s="26" t="s">
        <v>265</v>
      </c>
      <c r="Q34" s="26" t="s">
        <v>265</v>
      </c>
      <c r="R34" s="26" t="s">
        <v>265</v>
      </c>
      <c r="S34" s="26" t="s">
        <v>265</v>
      </c>
      <c r="T34" s="26" t="s">
        <v>265</v>
      </c>
      <c r="U34" s="26" t="s">
        <v>423</v>
      </c>
      <c r="V34" s="26" t="s">
        <v>265</v>
      </c>
      <c r="W34" s="26" t="s">
        <v>423</v>
      </c>
      <c r="X34" s="26" t="s">
        <v>265</v>
      </c>
      <c r="Y34" s="26" t="s">
        <v>265</v>
      </c>
      <c r="Z34" s="26" t="s">
        <v>265</v>
      </c>
      <c r="AA34" s="26" t="s">
        <v>265</v>
      </c>
      <c r="AB34" s="26" t="s">
        <v>265</v>
      </c>
      <c r="AC34" s="26" t="s">
        <v>423</v>
      </c>
      <c r="AD34" s="26" t="s">
        <v>265</v>
      </c>
      <c r="AE34" s="26">
        <v>3</v>
      </c>
      <c r="AF34" s="26">
        <v>11</v>
      </c>
      <c r="AG34" s="26">
        <v>274</v>
      </c>
      <c r="AH34" s="26" t="s">
        <v>265</v>
      </c>
      <c r="AI34" s="26" t="s">
        <v>423</v>
      </c>
      <c r="AJ34" s="26" t="s">
        <v>265</v>
      </c>
      <c r="AK34" s="26" t="s">
        <v>265</v>
      </c>
      <c r="AL34" s="26" t="s">
        <v>265</v>
      </c>
      <c r="AM34" s="26">
        <v>2.52</v>
      </c>
      <c r="AN34" s="26">
        <v>73</v>
      </c>
      <c r="AO34" s="26">
        <v>585</v>
      </c>
      <c r="AP34" s="26" t="s">
        <v>423</v>
      </c>
      <c r="AQ34" s="26" t="s">
        <v>265</v>
      </c>
      <c r="AR34" s="26">
        <v>0</v>
      </c>
      <c r="AS34" s="26">
        <v>0</v>
      </c>
      <c r="AT34" s="26">
        <v>0</v>
      </c>
      <c r="AU34" s="26">
        <v>0</v>
      </c>
      <c r="AV34" s="26">
        <v>0</v>
      </c>
      <c r="AW34" s="26" t="s">
        <v>423</v>
      </c>
      <c r="AX34" s="26" t="s">
        <v>265</v>
      </c>
      <c r="AY34" s="26" t="s">
        <v>423</v>
      </c>
      <c r="AZ34" s="26" t="s">
        <v>265</v>
      </c>
      <c r="BA34" s="26" t="s">
        <v>265</v>
      </c>
      <c r="BB34" s="26" t="s">
        <v>265</v>
      </c>
    </row>
    <row r="35" spans="1:54" ht="20.100000000000001" customHeight="1">
      <c r="A35" s="26" t="s">
        <v>424</v>
      </c>
      <c r="B35" s="26" t="s">
        <v>265</v>
      </c>
      <c r="C35" s="26" t="s">
        <v>423</v>
      </c>
      <c r="D35" s="26" t="s">
        <v>265</v>
      </c>
      <c r="E35" s="26" t="s">
        <v>458</v>
      </c>
      <c r="F35" s="26" t="s">
        <v>265</v>
      </c>
      <c r="G35" s="26" t="s">
        <v>265</v>
      </c>
      <c r="H35" s="26" t="s">
        <v>265</v>
      </c>
      <c r="I35" s="26" t="s">
        <v>265</v>
      </c>
      <c r="J35" s="26" t="s">
        <v>265</v>
      </c>
      <c r="K35" s="26" t="s">
        <v>265</v>
      </c>
      <c r="L35" s="26" t="s">
        <v>265</v>
      </c>
      <c r="M35" s="26" t="s">
        <v>265</v>
      </c>
      <c r="N35" s="26" t="s">
        <v>265</v>
      </c>
      <c r="O35" s="26" t="s">
        <v>265</v>
      </c>
      <c r="P35" s="26" t="s">
        <v>265</v>
      </c>
      <c r="Q35" s="26" t="s">
        <v>265</v>
      </c>
      <c r="R35" s="26" t="s">
        <v>265</v>
      </c>
      <c r="S35" s="26" t="s">
        <v>265</v>
      </c>
      <c r="T35" s="26" t="s">
        <v>265</v>
      </c>
      <c r="U35" s="26" t="s">
        <v>423</v>
      </c>
      <c r="V35" s="26" t="s">
        <v>265</v>
      </c>
      <c r="W35" s="26" t="s">
        <v>423</v>
      </c>
      <c r="X35" s="26" t="s">
        <v>265</v>
      </c>
      <c r="Y35" s="26" t="s">
        <v>265</v>
      </c>
      <c r="Z35" s="26" t="s">
        <v>265</v>
      </c>
      <c r="AA35" s="26" t="s">
        <v>265</v>
      </c>
      <c r="AB35" s="26" t="s">
        <v>265</v>
      </c>
      <c r="AC35" s="26" t="s">
        <v>423</v>
      </c>
      <c r="AD35" s="26" t="s">
        <v>265</v>
      </c>
      <c r="AE35" s="26">
        <v>3</v>
      </c>
      <c r="AF35" s="26">
        <v>11</v>
      </c>
      <c r="AG35" s="26">
        <v>274</v>
      </c>
      <c r="AH35" s="26" t="s">
        <v>265</v>
      </c>
      <c r="AI35" s="26" t="s">
        <v>423</v>
      </c>
      <c r="AJ35" s="26" t="s">
        <v>265</v>
      </c>
      <c r="AK35" s="26" t="s">
        <v>265</v>
      </c>
      <c r="AL35" s="26" t="s">
        <v>265</v>
      </c>
      <c r="AM35" s="26">
        <v>5.0999999999999996</v>
      </c>
      <c r="AN35" s="26">
        <v>148</v>
      </c>
      <c r="AO35" s="37">
        <v>1183</v>
      </c>
      <c r="AP35" s="26" t="s">
        <v>423</v>
      </c>
      <c r="AQ35" s="26" t="s">
        <v>265</v>
      </c>
      <c r="AR35" s="26">
        <v>0</v>
      </c>
      <c r="AS35" s="26">
        <v>0</v>
      </c>
      <c r="AT35" s="26">
        <v>0</v>
      </c>
      <c r="AU35" s="26">
        <v>0</v>
      </c>
      <c r="AV35" s="26">
        <v>0</v>
      </c>
      <c r="AW35" s="26" t="s">
        <v>423</v>
      </c>
      <c r="AX35" s="26" t="s">
        <v>265</v>
      </c>
      <c r="AY35" s="26" t="s">
        <v>423</v>
      </c>
      <c r="AZ35" s="26" t="s">
        <v>265</v>
      </c>
      <c r="BA35" s="26" t="s">
        <v>265</v>
      </c>
      <c r="BB35" s="26" t="s">
        <v>265</v>
      </c>
    </row>
    <row r="36" spans="1:54" ht="20.100000000000001" customHeight="1">
      <c r="A36" s="26" t="s">
        <v>424</v>
      </c>
      <c r="B36" s="26" t="s">
        <v>265</v>
      </c>
      <c r="C36" s="26" t="s">
        <v>423</v>
      </c>
      <c r="D36" s="26" t="s">
        <v>265</v>
      </c>
      <c r="E36" s="26" t="s">
        <v>459</v>
      </c>
      <c r="F36" s="26" t="s">
        <v>265</v>
      </c>
      <c r="G36" s="26" t="s">
        <v>265</v>
      </c>
      <c r="H36" s="26" t="s">
        <v>265</v>
      </c>
      <c r="I36" s="26" t="s">
        <v>265</v>
      </c>
      <c r="J36" s="26" t="s">
        <v>265</v>
      </c>
      <c r="K36" s="26" t="s">
        <v>265</v>
      </c>
      <c r="L36" s="26" t="s">
        <v>265</v>
      </c>
      <c r="M36" s="26" t="s">
        <v>265</v>
      </c>
      <c r="N36" s="26" t="s">
        <v>265</v>
      </c>
      <c r="O36" s="26" t="s">
        <v>265</v>
      </c>
      <c r="P36" s="26" t="s">
        <v>265</v>
      </c>
      <c r="Q36" s="26" t="s">
        <v>265</v>
      </c>
      <c r="R36" s="26" t="s">
        <v>265</v>
      </c>
      <c r="S36" s="26" t="s">
        <v>265</v>
      </c>
      <c r="T36" s="26" t="s">
        <v>265</v>
      </c>
      <c r="U36" s="26" t="s">
        <v>423</v>
      </c>
      <c r="V36" s="26" t="s">
        <v>423</v>
      </c>
      <c r="W36" s="26" t="s">
        <v>265</v>
      </c>
      <c r="X36" s="26" t="s">
        <v>265</v>
      </c>
      <c r="Y36" s="26" t="s">
        <v>265</v>
      </c>
      <c r="Z36" s="26" t="s">
        <v>265</v>
      </c>
      <c r="AA36" s="26" t="s">
        <v>265</v>
      </c>
      <c r="AB36" s="26" t="s">
        <v>265</v>
      </c>
      <c r="AC36" s="26" t="s">
        <v>423</v>
      </c>
      <c r="AD36" s="26" t="s">
        <v>265</v>
      </c>
      <c r="AE36" s="26">
        <v>3</v>
      </c>
      <c r="AF36" s="26">
        <v>11</v>
      </c>
      <c r="AG36" s="26">
        <v>274</v>
      </c>
      <c r="AH36" s="26" t="s">
        <v>265</v>
      </c>
      <c r="AI36" s="26" t="s">
        <v>423</v>
      </c>
      <c r="AJ36" s="26" t="s">
        <v>265</v>
      </c>
      <c r="AK36" s="26" t="s">
        <v>265</v>
      </c>
      <c r="AL36" s="26" t="s">
        <v>265</v>
      </c>
      <c r="AM36" s="26">
        <v>7.87</v>
      </c>
      <c r="AN36" s="26">
        <v>228</v>
      </c>
      <c r="AO36" s="37">
        <v>1826</v>
      </c>
      <c r="AP36" s="26" t="s">
        <v>423</v>
      </c>
      <c r="AQ36" s="26" t="s">
        <v>265</v>
      </c>
      <c r="AR36" s="26">
        <v>0</v>
      </c>
      <c r="AS36" s="26">
        <v>0</v>
      </c>
      <c r="AT36" s="26">
        <v>0</v>
      </c>
      <c r="AU36" s="26">
        <v>0</v>
      </c>
      <c r="AV36" s="26">
        <v>0</v>
      </c>
      <c r="AW36" s="26" t="s">
        <v>423</v>
      </c>
      <c r="AX36" s="26" t="s">
        <v>265</v>
      </c>
      <c r="AY36" s="26" t="s">
        <v>423</v>
      </c>
      <c r="AZ36" s="26" t="s">
        <v>265</v>
      </c>
      <c r="BA36" s="26" t="s">
        <v>265</v>
      </c>
      <c r="BB36" s="26" t="s">
        <v>265</v>
      </c>
    </row>
    <row r="37" spans="1:54" ht="20.100000000000001" customHeight="1">
      <c r="A37" s="26" t="s">
        <v>424</v>
      </c>
      <c r="B37" s="26" t="s">
        <v>265</v>
      </c>
      <c r="C37" s="26" t="s">
        <v>423</v>
      </c>
      <c r="D37" s="26" t="s">
        <v>265</v>
      </c>
      <c r="E37" s="26" t="s">
        <v>460</v>
      </c>
      <c r="F37" s="26" t="s">
        <v>265</v>
      </c>
      <c r="G37" s="26" t="s">
        <v>265</v>
      </c>
      <c r="H37" s="26" t="s">
        <v>265</v>
      </c>
      <c r="I37" s="26" t="s">
        <v>265</v>
      </c>
      <c r="J37" s="26" t="s">
        <v>265</v>
      </c>
      <c r="K37" s="26" t="s">
        <v>265</v>
      </c>
      <c r="L37" s="26" t="s">
        <v>265</v>
      </c>
      <c r="M37" s="26" t="s">
        <v>265</v>
      </c>
      <c r="N37" s="26" t="s">
        <v>265</v>
      </c>
      <c r="O37" s="26" t="s">
        <v>265</v>
      </c>
      <c r="P37" s="26" t="s">
        <v>265</v>
      </c>
      <c r="Q37" s="26" t="s">
        <v>265</v>
      </c>
      <c r="R37" s="26" t="s">
        <v>265</v>
      </c>
      <c r="S37" s="26" t="s">
        <v>265</v>
      </c>
      <c r="T37" s="26" t="s">
        <v>265</v>
      </c>
      <c r="U37" s="26" t="s">
        <v>423</v>
      </c>
      <c r="V37" s="26" t="s">
        <v>265</v>
      </c>
      <c r="W37" s="26" t="s">
        <v>423</v>
      </c>
      <c r="X37" s="26" t="s">
        <v>265</v>
      </c>
      <c r="Y37" s="26" t="s">
        <v>265</v>
      </c>
      <c r="Z37" s="26" t="s">
        <v>265</v>
      </c>
      <c r="AA37" s="26" t="s">
        <v>265</v>
      </c>
      <c r="AB37" s="26" t="s">
        <v>265</v>
      </c>
      <c r="AC37" s="26" t="s">
        <v>423</v>
      </c>
      <c r="AD37" s="26" t="s">
        <v>265</v>
      </c>
      <c r="AE37" s="26">
        <v>3</v>
      </c>
      <c r="AF37" s="26">
        <v>11</v>
      </c>
      <c r="AG37" s="26">
        <v>274</v>
      </c>
      <c r="AH37" s="26" t="s">
        <v>265</v>
      </c>
      <c r="AI37" s="26" t="s">
        <v>423</v>
      </c>
      <c r="AJ37" s="26" t="s">
        <v>265</v>
      </c>
      <c r="AK37" s="26" t="s">
        <v>265</v>
      </c>
      <c r="AL37" s="26" t="s">
        <v>265</v>
      </c>
      <c r="AM37" s="26">
        <v>4.24</v>
      </c>
      <c r="AN37" s="26">
        <v>123</v>
      </c>
      <c r="AO37" s="26">
        <v>984</v>
      </c>
      <c r="AP37" s="26" t="s">
        <v>423</v>
      </c>
      <c r="AQ37" s="26" t="s">
        <v>265</v>
      </c>
      <c r="AR37" s="26">
        <v>0</v>
      </c>
      <c r="AS37" s="26">
        <v>0</v>
      </c>
      <c r="AT37" s="26">
        <v>0</v>
      </c>
      <c r="AU37" s="26">
        <v>0</v>
      </c>
      <c r="AV37" s="26">
        <v>0</v>
      </c>
      <c r="AW37" s="26" t="s">
        <v>423</v>
      </c>
      <c r="AX37" s="26" t="s">
        <v>265</v>
      </c>
      <c r="AY37" s="26" t="s">
        <v>423</v>
      </c>
      <c r="AZ37" s="26" t="s">
        <v>265</v>
      </c>
      <c r="BA37" s="26" t="s">
        <v>265</v>
      </c>
      <c r="BB37" s="26" t="s">
        <v>265</v>
      </c>
    </row>
    <row r="38" spans="1:54" ht="20.100000000000001" customHeight="1">
      <c r="A38" s="26" t="s">
        <v>424</v>
      </c>
      <c r="B38" s="26" t="s">
        <v>265</v>
      </c>
      <c r="C38" s="26" t="s">
        <v>423</v>
      </c>
      <c r="D38" s="26" t="s">
        <v>265</v>
      </c>
      <c r="E38" s="26" t="s">
        <v>461</v>
      </c>
      <c r="F38" s="26" t="s">
        <v>265</v>
      </c>
      <c r="G38" s="26" t="s">
        <v>265</v>
      </c>
      <c r="H38" s="26" t="s">
        <v>265</v>
      </c>
      <c r="I38" s="26" t="s">
        <v>265</v>
      </c>
      <c r="J38" s="26" t="s">
        <v>265</v>
      </c>
      <c r="K38" s="26" t="s">
        <v>265</v>
      </c>
      <c r="L38" s="26" t="s">
        <v>265</v>
      </c>
      <c r="M38" s="26" t="s">
        <v>265</v>
      </c>
      <c r="N38" s="26" t="s">
        <v>265</v>
      </c>
      <c r="O38" s="26" t="s">
        <v>265</v>
      </c>
      <c r="P38" s="26" t="s">
        <v>265</v>
      </c>
      <c r="Q38" s="26" t="s">
        <v>265</v>
      </c>
      <c r="R38" s="26" t="s">
        <v>265</v>
      </c>
      <c r="S38" s="26" t="s">
        <v>265</v>
      </c>
      <c r="T38" s="26" t="s">
        <v>265</v>
      </c>
      <c r="U38" s="26" t="s">
        <v>423</v>
      </c>
      <c r="V38" s="26" t="s">
        <v>265</v>
      </c>
      <c r="W38" s="26" t="s">
        <v>423</v>
      </c>
      <c r="X38" s="26" t="s">
        <v>265</v>
      </c>
      <c r="Y38" s="26" t="s">
        <v>265</v>
      </c>
      <c r="Z38" s="26" t="s">
        <v>265</v>
      </c>
      <c r="AA38" s="26" t="s">
        <v>265</v>
      </c>
      <c r="AB38" s="26" t="s">
        <v>265</v>
      </c>
      <c r="AC38" s="26" t="s">
        <v>423</v>
      </c>
      <c r="AD38" s="26" t="s">
        <v>265</v>
      </c>
      <c r="AE38" s="26">
        <v>3</v>
      </c>
      <c r="AF38" s="26">
        <v>11</v>
      </c>
      <c r="AG38" s="26">
        <v>274</v>
      </c>
      <c r="AH38" s="26" t="s">
        <v>265</v>
      </c>
      <c r="AI38" s="26" t="s">
        <v>423</v>
      </c>
      <c r="AJ38" s="26" t="s">
        <v>265</v>
      </c>
      <c r="AK38" s="26" t="s">
        <v>265</v>
      </c>
      <c r="AL38" s="26" t="s">
        <v>265</v>
      </c>
      <c r="AM38" s="26">
        <v>2.52</v>
      </c>
      <c r="AN38" s="26">
        <v>73</v>
      </c>
      <c r="AO38" s="26">
        <v>585</v>
      </c>
      <c r="AP38" s="26" t="s">
        <v>423</v>
      </c>
      <c r="AQ38" s="26" t="s">
        <v>265</v>
      </c>
      <c r="AR38" s="26">
        <v>0</v>
      </c>
      <c r="AS38" s="26">
        <v>0</v>
      </c>
      <c r="AT38" s="26">
        <v>0</v>
      </c>
      <c r="AU38" s="26">
        <v>0</v>
      </c>
      <c r="AV38" s="26">
        <v>0</v>
      </c>
      <c r="AW38" s="26" t="s">
        <v>423</v>
      </c>
      <c r="AX38" s="26" t="s">
        <v>265</v>
      </c>
      <c r="AY38" s="26" t="s">
        <v>423</v>
      </c>
      <c r="AZ38" s="26" t="s">
        <v>265</v>
      </c>
      <c r="BA38" s="26" t="s">
        <v>265</v>
      </c>
      <c r="BB38" s="26" t="s">
        <v>265</v>
      </c>
    </row>
    <row r="39" spans="1:54" ht="20.100000000000001" customHeight="1">
      <c r="A39" s="26" t="s">
        <v>424</v>
      </c>
      <c r="B39" s="26" t="s">
        <v>265</v>
      </c>
      <c r="C39" s="26" t="s">
        <v>423</v>
      </c>
      <c r="D39" s="26" t="s">
        <v>265</v>
      </c>
      <c r="E39" s="26" t="s">
        <v>462</v>
      </c>
      <c r="F39" s="26" t="s">
        <v>265</v>
      </c>
      <c r="G39" s="26" t="s">
        <v>265</v>
      </c>
      <c r="H39" s="26" t="s">
        <v>265</v>
      </c>
      <c r="I39" s="26" t="s">
        <v>265</v>
      </c>
      <c r="J39" s="26" t="s">
        <v>265</v>
      </c>
      <c r="K39" s="26" t="s">
        <v>265</v>
      </c>
      <c r="L39" s="26" t="s">
        <v>265</v>
      </c>
      <c r="M39" s="26" t="s">
        <v>265</v>
      </c>
      <c r="N39" s="26" t="s">
        <v>265</v>
      </c>
      <c r="O39" s="26" t="s">
        <v>265</v>
      </c>
      <c r="P39" s="26" t="s">
        <v>265</v>
      </c>
      <c r="Q39" s="26" t="s">
        <v>265</v>
      </c>
      <c r="R39" s="26" t="s">
        <v>265</v>
      </c>
      <c r="S39" s="26" t="s">
        <v>265</v>
      </c>
      <c r="T39" s="26" t="s">
        <v>265</v>
      </c>
      <c r="U39" s="26" t="s">
        <v>423</v>
      </c>
      <c r="V39" s="26" t="s">
        <v>265</v>
      </c>
      <c r="W39" s="26" t="s">
        <v>423</v>
      </c>
      <c r="X39" s="26" t="s">
        <v>265</v>
      </c>
      <c r="Y39" s="26" t="s">
        <v>265</v>
      </c>
      <c r="Z39" s="26" t="s">
        <v>265</v>
      </c>
      <c r="AA39" s="26" t="s">
        <v>265</v>
      </c>
      <c r="AB39" s="26" t="s">
        <v>265</v>
      </c>
      <c r="AC39" s="26" t="s">
        <v>423</v>
      </c>
      <c r="AD39" s="26" t="s">
        <v>265</v>
      </c>
      <c r="AE39" s="26">
        <v>3</v>
      </c>
      <c r="AF39" s="26">
        <v>11</v>
      </c>
      <c r="AG39" s="26">
        <v>274</v>
      </c>
      <c r="AH39" s="26" t="s">
        <v>265</v>
      </c>
      <c r="AI39" s="26" t="s">
        <v>423</v>
      </c>
      <c r="AJ39" s="26" t="s">
        <v>265</v>
      </c>
      <c r="AK39" s="26" t="s">
        <v>265</v>
      </c>
      <c r="AL39" s="26" t="s">
        <v>265</v>
      </c>
      <c r="AM39" s="26">
        <v>2.52</v>
      </c>
      <c r="AN39" s="26">
        <v>73</v>
      </c>
      <c r="AO39" s="26">
        <v>585</v>
      </c>
      <c r="AP39" s="26" t="s">
        <v>423</v>
      </c>
      <c r="AQ39" s="26" t="s">
        <v>265</v>
      </c>
      <c r="AR39" s="26">
        <v>0</v>
      </c>
      <c r="AS39" s="26">
        <v>0</v>
      </c>
      <c r="AT39" s="26">
        <v>0</v>
      </c>
      <c r="AU39" s="26">
        <v>0</v>
      </c>
      <c r="AV39" s="26">
        <v>0</v>
      </c>
      <c r="AW39" s="26" t="s">
        <v>423</v>
      </c>
      <c r="AX39" s="26" t="s">
        <v>265</v>
      </c>
      <c r="AY39" s="26" t="s">
        <v>423</v>
      </c>
      <c r="AZ39" s="26" t="s">
        <v>265</v>
      </c>
      <c r="BA39" s="26" t="s">
        <v>265</v>
      </c>
      <c r="BB39" s="26" t="s">
        <v>265</v>
      </c>
    </row>
    <row r="40" spans="1:54" ht="20.100000000000001" customHeight="1">
      <c r="A40" s="26" t="s">
        <v>424</v>
      </c>
      <c r="B40" s="26" t="s">
        <v>265</v>
      </c>
      <c r="C40" s="26" t="s">
        <v>423</v>
      </c>
      <c r="D40" s="26" t="s">
        <v>265</v>
      </c>
      <c r="E40" s="26" t="s">
        <v>463</v>
      </c>
      <c r="F40" s="26" t="s">
        <v>265</v>
      </c>
      <c r="G40" s="26" t="s">
        <v>265</v>
      </c>
      <c r="H40" s="26" t="s">
        <v>265</v>
      </c>
      <c r="I40" s="26" t="s">
        <v>265</v>
      </c>
      <c r="J40" s="26" t="s">
        <v>265</v>
      </c>
      <c r="K40" s="26" t="s">
        <v>265</v>
      </c>
      <c r="L40" s="26" t="s">
        <v>265</v>
      </c>
      <c r="M40" s="26" t="s">
        <v>265</v>
      </c>
      <c r="N40" s="26" t="s">
        <v>265</v>
      </c>
      <c r="O40" s="26" t="s">
        <v>265</v>
      </c>
      <c r="P40" s="26" t="s">
        <v>265</v>
      </c>
      <c r="Q40" s="26" t="s">
        <v>265</v>
      </c>
      <c r="R40" s="26" t="s">
        <v>265</v>
      </c>
      <c r="S40" s="26" t="s">
        <v>265</v>
      </c>
      <c r="T40" s="26" t="s">
        <v>265</v>
      </c>
      <c r="U40" s="26" t="s">
        <v>423</v>
      </c>
      <c r="V40" s="26" t="s">
        <v>265</v>
      </c>
      <c r="W40" s="26" t="s">
        <v>423</v>
      </c>
      <c r="X40" s="26" t="s">
        <v>265</v>
      </c>
      <c r="Y40" s="26" t="s">
        <v>265</v>
      </c>
      <c r="Z40" s="26" t="s">
        <v>265</v>
      </c>
      <c r="AA40" s="26" t="s">
        <v>265</v>
      </c>
      <c r="AB40" s="26" t="s">
        <v>265</v>
      </c>
      <c r="AC40" s="26" t="s">
        <v>423</v>
      </c>
      <c r="AD40" s="26" t="s">
        <v>265</v>
      </c>
      <c r="AE40" s="26">
        <v>3</v>
      </c>
      <c r="AF40" s="26">
        <v>11</v>
      </c>
      <c r="AG40" s="26">
        <v>274</v>
      </c>
      <c r="AH40" s="26" t="s">
        <v>265</v>
      </c>
      <c r="AI40" s="26" t="s">
        <v>423</v>
      </c>
      <c r="AJ40" s="26" t="s">
        <v>265</v>
      </c>
      <c r="AK40" s="26" t="s">
        <v>265</v>
      </c>
      <c r="AL40" s="26" t="s">
        <v>265</v>
      </c>
      <c r="AM40" s="26">
        <v>2.95</v>
      </c>
      <c r="AN40" s="26">
        <v>86</v>
      </c>
      <c r="AO40" s="26">
        <v>684</v>
      </c>
      <c r="AP40" s="26" t="s">
        <v>423</v>
      </c>
      <c r="AQ40" s="26" t="s">
        <v>265</v>
      </c>
      <c r="AR40" s="26">
        <v>0</v>
      </c>
      <c r="AS40" s="26">
        <v>0</v>
      </c>
      <c r="AT40" s="26">
        <v>0</v>
      </c>
      <c r="AU40" s="26">
        <v>0</v>
      </c>
      <c r="AV40" s="26">
        <v>0</v>
      </c>
      <c r="AW40" s="26" t="s">
        <v>423</v>
      </c>
      <c r="AX40" s="26" t="s">
        <v>265</v>
      </c>
      <c r="AY40" s="26" t="s">
        <v>423</v>
      </c>
      <c r="AZ40" s="26" t="s">
        <v>265</v>
      </c>
      <c r="BA40" s="26" t="s">
        <v>265</v>
      </c>
      <c r="BB40" s="26" t="s">
        <v>265</v>
      </c>
    </row>
    <row r="41" spans="1:54" ht="20.100000000000001" customHeight="1">
      <c r="A41" s="26" t="s">
        <v>424</v>
      </c>
      <c r="B41" s="26" t="s">
        <v>265</v>
      </c>
      <c r="C41" s="26" t="s">
        <v>423</v>
      </c>
      <c r="D41" s="26" t="s">
        <v>265</v>
      </c>
      <c r="E41" s="26" t="s">
        <v>464</v>
      </c>
      <c r="F41" s="26" t="s">
        <v>265</v>
      </c>
      <c r="G41" s="26" t="s">
        <v>265</v>
      </c>
      <c r="H41" s="26" t="s">
        <v>265</v>
      </c>
      <c r="I41" s="26" t="s">
        <v>265</v>
      </c>
      <c r="J41" s="26" t="s">
        <v>265</v>
      </c>
      <c r="K41" s="26" t="s">
        <v>265</v>
      </c>
      <c r="L41" s="26" t="s">
        <v>265</v>
      </c>
      <c r="M41" s="26" t="s">
        <v>265</v>
      </c>
      <c r="N41" s="26" t="s">
        <v>265</v>
      </c>
      <c r="O41" s="26" t="s">
        <v>265</v>
      </c>
      <c r="P41" s="26" t="s">
        <v>265</v>
      </c>
      <c r="Q41" s="26" t="s">
        <v>265</v>
      </c>
      <c r="R41" s="26" t="s">
        <v>265</v>
      </c>
      <c r="S41" s="26" t="s">
        <v>265</v>
      </c>
      <c r="T41" s="26" t="s">
        <v>265</v>
      </c>
      <c r="U41" s="26" t="s">
        <v>423</v>
      </c>
      <c r="V41" s="26" t="s">
        <v>265</v>
      </c>
      <c r="W41" s="26" t="s">
        <v>423</v>
      </c>
      <c r="X41" s="26" t="s">
        <v>265</v>
      </c>
      <c r="Y41" s="26" t="s">
        <v>265</v>
      </c>
      <c r="Z41" s="26" t="s">
        <v>265</v>
      </c>
      <c r="AA41" s="26" t="s">
        <v>265</v>
      </c>
      <c r="AB41" s="26" t="s">
        <v>265</v>
      </c>
      <c r="AC41" s="26" t="s">
        <v>423</v>
      </c>
      <c r="AD41" s="26" t="s">
        <v>265</v>
      </c>
      <c r="AE41" s="26">
        <v>3</v>
      </c>
      <c r="AF41" s="26">
        <v>11</v>
      </c>
      <c r="AG41" s="26">
        <v>274</v>
      </c>
      <c r="AH41" s="26" t="s">
        <v>265</v>
      </c>
      <c r="AI41" s="26" t="s">
        <v>423</v>
      </c>
      <c r="AJ41" s="26" t="s">
        <v>265</v>
      </c>
      <c r="AK41" s="26" t="s">
        <v>265</v>
      </c>
      <c r="AL41" s="26" t="s">
        <v>265</v>
      </c>
      <c r="AM41" s="26">
        <v>2.95</v>
      </c>
      <c r="AN41" s="26">
        <v>86</v>
      </c>
      <c r="AO41" s="26">
        <v>684</v>
      </c>
      <c r="AP41" s="26" t="s">
        <v>423</v>
      </c>
      <c r="AQ41" s="26" t="s">
        <v>265</v>
      </c>
      <c r="AR41" s="26">
        <v>0</v>
      </c>
      <c r="AS41" s="26">
        <v>0</v>
      </c>
      <c r="AT41" s="26">
        <v>0</v>
      </c>
      <c r="AU41" s="26">
        <v>0</v>
      </c>
      <c r="AV41" s="26">
        <v>0</v>
      </c>
      <c r="AW41" s="26" t="s">
        <v>423</v>
      </c>
      <c r="AX41" s="26" t="s">
        <v>265</v>
      </c>
      <c r="AY41" s="26" t="s">
        <v>423</v>
      </c>
      <c r="AZ41" s="26" t="s">
        <v>265</v>
      </c>
      <c r="BA41" s="26" t="s">
        <v>265</v>
      </c>
      <c r="BB41" s="26" t="s">
        <v>265</v>
      </c>
    </row>
    <row r="42" spans="1:54" ht="20.100000000000001" customHeight="1">
      <c r="A42" s="26" t="s">
        <v>424</v>
      </c>
      <c r="B42" s="26" t="s">
        <v>265</v>
      </c>
      <c r="C42" s="26" t="s">
        <v>423</v>
      </c>
      <c r="D42" s="26" t="s">
        <v>265</v>
      </c>
      <c r="E42" s="26" t="s">
        <v>465</v>
      </c>
      <c r="F42" s="26" t="s">
        <v>265</v>
      </c>
      <c r="G42" s="26" t="s">
        <v>265</v>
      </c>
      <c r="H42" s="26" t="s">
        <v>265</v>
      </c>
      <c r="I42" s="26" t="s">
        <v>265</v>
      </c>
      <c r="J42" s="26" t="s">
        <v>265</v>
      </c>
      <c r="K42" s="26" t="s">
        <v>265</v>
      </c>
      <c r="L42" s="26" t="s">
        <v>265</v>
      </c>
      <c r="M42" s="26" t="s">
        <v>265</v>
      </c>
      <c r="N42" s="26" t="s">
        <v>265</v>
      </c>
      <c r="O42" s="26" t="s">
        <v>265</v>
      </c>
      <c r="P42" s="26" t="s">
        <v>265</v>
      </c>
      <c r="Q42" s="26" t="s">
        <v>265</v>
      </c>
      <c r="R42" s="26" t="s">
        <v>265</v>
      </c>
      <c r="S42" s="26" t="s">
        <v>265</v>
      </c>
      <c r="T42" s="26" t="s">
        <v>265</v>
      </c>
      <c r="U42" s="26" t="s">
        <v>423</v>
      </c>
      <c r="V42" s="26" t="s">
        <v>423</v>
      </c>
      <c r="W42" s="26" t="s">
        <v>265</v>
      </c>
      <c r="X42" s="26" t="s">
        <v>265</v>
      </c>
      <c r="Y42" s="26" t="s">
        <v>265</v>
      </c>
      <c r="Z42" s="26" t="s">
        <v>265</v>
      </c>
      <c r="AA42" s="26" t="s">
        <v>265</v>
      </c>
      <c r="AB42" s="26" t="s">
        <v>265</v>
      </c>
      <c r="AC42" s="26" t="s">
        <v>423</v>
      </c>
      <c r="AD42" s="26" t="s">
        <v>265</v>
      </c>
      <c r="AE42" s="26">
        <v>3</v>
      </c>
      <c r="AF42" s="26">
        <v>11</v>
      </c>
      <c r="AG42" s="26">
        <v>274</v>
      </c>
      <c r="AH42" s="26" t="s">
        <v>265</v>
      </c>
      <c r="AI42" s="26" t="s">
        <v>423</v>
      </c>
      <c r="AJ42" s="26" t="s">
        <v>265</v>
      </c>
      <c r="AK42" s="26" t="s">
        <v>265</v>
      </c>
      <c r="AL42" s="26" t="s">
        <v>265</v>
      </c>
      <c r="AM42" s="26">
        <v>7.94</v>
      </c>
      <c r="AN42" s="26">
        <v>230</v>
      </c>
      <c r="AO42" s="37">
        <v>1842</v>
      </c>
      <c r="AP42" s="26" t="s">
        <v>423</v>
      </c>
      <c r="AQ42" s="26" t="s">
        <v>265</v>
      </c>
      <c r="AR42" s="26">
        <v>0</v>
      </c>
      <c r="AS42" s="26">
        <v>0</v>
      </c>
      <c r="AT42" s="26">
        <v>0</v>
      </c>
      <c r="AU42" s="26">
        <v>0</v>
      </c>
      <c r="AV42" s="26">
        <v>0</v>
      </c>
      <c r="AW42" s="26" t="s">
        <v>423</v>
      </c>
      <c r="AX42" s="26" t="s">
        <v>265</v>
      </c>
      <c r="AY42" s="26" t="s">
        <v>423</v>
      </c>
      <c r="AZ42" s="26" t="s">
        <v>265</v>
      </c>
      <c r="BA42" s="26" t="s">
        <v>265</v>
      </c>
      <c r="BB42" s="26" t="s">
        <v>265</v>
      </c>
    </row>
    <row r="43" spans="1:54" ht="20.100000000000001" customHeight="1">
      <c r="A43" s="26" t="s">
        <v>424</v>
      </c>
      <c r="B43" s="26" t="s">
        <v>265</v>
      </c>
      <c r="C43" s="26" t="s">
        <v>423</v>
      </c>
      <c r="D43" s="26" t="s">
        <v>265</v>
      </c>
      <c r="E43" s="26" t="s">
        <v>466</v>
      </c>
      <c r="F43" s="26" t="s">
        <v>265</v>
      </c>
      <c r="G43" s="26" t="s">
        <v>265</v>
      </c>
      <c r="H43" s="26" t="s">
        <v>265</v>
      </c>
      <c r="I43" s="26" t="s">
        <v>265</v>
      </c>
      <c r="J43" s="26" t="s">
        <v>265</v>
      </c>
      <c r="K43" s="26" t="s">
        <v>265</v>
      </c>
      <c r="L43" s="26" t="s">
        <v>265</v>
      </c>
      <c r="M43" s="26" t="s">
        <v>265</v>
      </c>
      <c r="N43" s="26" t="s">
        <v>265</v>
      </c>
      <c r="O43" s="26" t="s">
        <v>265</v>
      </c>
      <c r="P43" s="26" t="s">
        <v>265</v>
      </c>
      <c r="Q43" s="26" t="s">
        <v>265</v>
      </c>
      <c r="R43" s="26" t="s">
        <v>265</v>
      </c>
      <c r="S43" s="26" t="s">
        <v>265</v>
      </c>
      <c r="T43" s="26" t="s">
        <v>265</v>
      </c>
      <c r="U43" s="26" t="s">
        <v>423</v>
      </c>
      <c r="V43" s="26" t="s">
        <v>265</v>
      </c>
      <c r="W43" s="26" t="s">
        <v>423</v>
      </c>
      <c r="X43" s="26" t="s">
        <v>265</v>
      </c>
      <c r="Y43" s="26" t="s">
        <v>265</v>
      </c>
      <c r="Z43" s="26" t="s">
        <v>265</v>
      </c>
      <c r="AA43" s="26" t="s">
        <v>265</v>
      </c>
      <c r="AB43" s="26" t="s">
        <v>265</v>
      </c>
      <c r="AC43" s="26" t="s">
        <v>423</v>
      </c>
      <c r="AD43" s="26" t="s">
        <v>265</v>
      </c>
      <c r="AE43" s="26">
        <v>3</v>
      </c>
      <c r="AF43" s="26">
        <v>11</v>
      </c>
      <c r="AG43" s="26">
        <v>274</v>
      </c>
      <c r="AH43" s="26" t="s">
        <v>265</v>
      </c>
      <c r="AI43" s="26" t="s">
        <v>423</v>
      </c>
      <c r="AJ43" s="26" t="s">
        <v>265</v>
      </c>
      <c r="AK43" s="26" t="s">
        <v>265</v>
      </c>
      <c r="AL43" s="26" t="s">
        <v>265</v>
      </c>
      <c r="AM43" s="26">
        <v>2.52</v>
      </c>
      <c r="AN43" s="26">
        <v>73</v>
      </c>
      <c r="AO43" s="26">
        <v>585</v>
      </c>
      <c r="AP43" s="26" t="s">
        <v>423</v>
      </c>
      <c r="AQ43" s="26" t="s">
        <v>265</v>
      </c>
      <c r="AR43" s="26">
        <v>0</v>
      </c>
      <c r="AS43" s="26">
        <v>0</v>
      </c>
      <c r="AT43" s="26">
        <v>0</v>
      </c>
      <c r="AU43" s="26">
        <v>0</v>
      </c>
      <c r="AV43" s="26">
        <v>0</v>
      </c>
      <c r="AW43" s="26" t="s">
        <v>423</v>
      </c>
      <c r="AX43" s="26" t="s">
        <v>265</v>
      </c>
      <c r="AY43" s="26" t="s">
        <v>423</v>
      </c>
      <c r="AZ43" s="26" t="s">
        <v>265</v>
      </c>
      <c r="BA43" s="26" t="s">
        <v>265</v>
      </c>
      <c r="BB43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2024-06-02T13:51:43Z</dcterms:modified>
</cp:coreProperties>
</file>