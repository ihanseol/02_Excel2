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8_ihanseol - 2023\02_생활용 - 건양개발, 연장허가 - 산수개발\"/>
    </mc:Choice>
  </mc:AlternateContent>
  <xr:revisionPtr revIDLastSave="0" documentId="13_ncr:1_{E7584891-357C-44DF-BF38-28236A1E29AC}" xr6:coauthVersionLast="47" xr6:coauthVersionMax="47" xr10:uidLastSave="{00000000-0000-0000-0000-000000000000}"/>
  <bookViews>
    <workbookView xWindow="38280" yWindow="-120" windowWidth="38640" windowHeight="21120" xr2:uid="{00000000-000D-0000-FFFF-FFFF00000000}"/>
  </bookViews>
  <sheets>
    <sheet name="ss" sheetId="8" r:id="rId1"/>
    <sheet name="aa" sheetId="10" r:id="rId2"/>
    <sheet name="ii" sheetId="11" r:id="rId3"/>
  </sheets>
  <functionGroups builtInGroupCount="19"/>
  <definedNames>
    <definedName name="AA_INSIDE_AREA">OFFSET(aa!$R$2,0,0,COUNTA(aa!$R:$R),1)</definedName>
    <definedName name="II_INSIDE_AREA">OFFSET(ii!$R$2,0,0,COUNTA(ii!$R:$R),1)</definedName>
    <definedName name="SS_INSIDE_AREA">OFFSET(ss!$R$2,0,0,COUNTA(ss!$R:$R),1)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1" i="10" l="1"/>
  <c r="L12" i="10"/>
  <c r="L29" i="8"/>
  <c r="L30" i="8"/>
  <c r="L27" i="8"/>
  <c r="L28" i="8"/>
  <c r="L25" i="8"/>
  <c r="L26" i="8"/>
  <c r="L23" i="8"/>
  <c r="L24" i="8"/>
  <c r="L21" i="8"/>
  <c r="L22" i="8"/>
  <c r="L19" i="8"/>
  <c r="L20" i="8"/>
  <c r="L17" i="8"/>
  <c r="L18" i="8"/>
  <c r="L15" i="8"/>
  <c r="L16" i="8"/>
  <c r="L13" i="8"/>
  <c r="L14" i="8"/>
  <c r="L11" i="8"/>
  <c r="L12" i="8"/>
  <c r="L9" i="8"/>
  <c r="L10" i="8"/>
  <c r="L7" i="8"/>
  <c r="L8" i="8"/>
  <c r="L3" i="10"/>
  <c r="L4" i="10"/>
  <c r="L5" i="10"/>
  <c r="L6" i="10"/>
  <c r="L7" i="10"/>
  <c r="L8" i="10"/>
  <c r="L9" i="10"/>
  <c r="L10" i="10"/>
  <c r="L2" i="10"/>
  <c r="L3" i="8"/>
  <c r="L4" i="8"/>
  <c r="L5" i="8"/>
  <c r="L6" i="8"/>
  <c r="L2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1" i="10"/>
  <c r="K12" i="10"/>
  <c r="K10" i="10"/>
  <c r="K9" i="10"/>
  <c r="K8" i="10"/>
  <c r="K17" i="8"/>
  <c r="K16" i="8"/>
  <c r="K15" i="8"/>
  <c r="K14" i="8"/>
  <c r="K13" i="8"/>
  <c r="K12" i="8"/>
  <c r="K11" i="8"/>
  <c r="K7" i="10"/>
  <c r="K10" i="8"/>
  <c r="K6" i="10"/>
  <c r="K5" i="10"/>
  <c r="K9" i="8"/>
  <c r="K4" i="10"/>
  <c r="K8" i="8"/>
  <c r="K7" i="8"/>
  <c r="K3" i="10"/>
  <c r="K6" i="8"/>
  <c r="K5" i="8"/>
  <c r="K4" i="8"/>
  <c r="K3" i="8"/>
  <c r="D9" i="11" l="1"/>
  <c r="H37" i="8" s="1"/>
  <c r="C9" i="11"/>
  <c r="D8" i="11"/>
  <c r="C8" i="11"/>
  <c r="K5" i="11"/>
  <c r="L2" i="11"/>
  <c r="C17" i="10"/>
  <c r="C16" i="10"/>
  <c r="C42" i="8"/>
  <c r="C41" i="8"/>
  <c r="G37" i="8"/>
  <c r="C37" i="8"/>
  <c r="G36" i="8"/>
  <c r="C36" i="8"/>
  <c r="K2" i="10"/>
  <c r="K2" i="8"/>
  <c r="D37" i="8" l="1"/>
  <c r="D17" i="10"/>
  <c r="D42" i="8" s="1"/>
  <c r="D10" i="11"/>
  <c r="H38" i="8" s="1"/>
  <c r="D16" i="10"/>
  <c r="K15" i="10"/>
  <c r="D36" i="8"/>
  <c r="K33" i="8"/>
  <c r="C47" i="8"/>
  <c r="H36" i="8"/>
  <c r="D47" i="8" l="1"/>
  <c r="D38" i="8"/>
  <c r="K35" i="8"/>
  <c r="D18" i="10"/>
  <c r="D41" i="8"/>
  <c r="D43" i="8" s="1"/>
  <c r="C46" i="8"/>
  <c r="K38" i="8" s="1"/>
  <c r="D46" i="8" l="1"/>
  <c r="K37" i="8" s="1"/>
</calcChain>
</file>

<file path=xl/sharedStrings.xml><?xml version="1.0" encoding="utf-8"?>
<sst xmlns="http://schemas.openxmlformats.org/spreadsheetml/2006/main" count="416" uniqueCount="129">
  <si>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</si>
  <si>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</si>
  <si>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</si>
  <si>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</si>
  <si>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</si>
  <si>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</si>
  <si>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</si>
  <si>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</si>
  <si>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</si>
  <si>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</si>
  <si>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</si>
  <si>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</si>
  <si>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</si>
  <si>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</si>
  <si>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</si>
  <si>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</si>
  <si>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</si>
  <si>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</si>
  <si>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</si>
  <si>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</si>
  <si>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</si>
  <si>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</si>
  <si>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</si>
  <si>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</si>
  <si>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</si>
  <si>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</si>
  <si>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</si>
  <si>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</si>
  <si>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</si>
  <si>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</si>
  <si>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O</t>
  </si>
  <si>
    <t>s2</t>
  </si>
  <si>
    <t>s3</t>
  </si>
  <si>
    <t>s4</t>
  </si>
  <si>
    <t>s5</t>
  </si>
  <si>
    <t>답작용</t>
    <phoneticPr fontId="19" type="noConversion"/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</si>
  <si>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</si>
  <si>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</si>
  <si>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</si>
  <si>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</si>
  <si>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</si>
  <si>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a4</t>
  </si>
  <si>
    <t>a5</t>
  </si>
  <si>
    <t>가정용</t>
    <phoneticPr fontId="19" type="noConversion"/>
  </si>
  <si>
    <t>a6</t>
  </si>
  <si>
    <t>a7</t>
  </si>
  <si>
    <t>a8</t>
  </si>
  <si>
    <t>a9</t>
  </si>
  <si>
    <t>전작용</t>
    <phoneticPr fontId="19" type="noConversion"/>
  </si>
  <si>
    <t>웅천읍</t>
    <phoneticPr fontId="19" type="noConversion"/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</si>
  <si>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</si>
  <si>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</si>
  <si>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</si>
  <si>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</si>
  <si>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</si>
  <si>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</si>
  <si>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</si>
  <si>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</si>
  <si>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</si>
  <si>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</si>
  <si>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</si>
  <si>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</si>
  <si>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</si>
  <si>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</si>
  <si>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</si>
  <si>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</si>
  <si>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</si>
  <si>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</si>
  <si>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</si>
  <si>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</si>
  <si>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</si>
  <si>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</si>
  <si>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</si>
  <si>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</si>
  <si>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일반용</t>
    <phoneticPr fontId="19" type="noConversion"/>
  </si>
  <si>
    <t>웅천읍</t>
  </si>
  <si>
    <t>수부리</t>
  </si>
  <si>
    <t>성주면</t>
  </si>
  <si>
    <t>개화리</t>
  </si>
  <si>
    <t>572-3</t>
  </si>
  <si>
    <t>577-1</t>
  </si>
  <si>
    <t>598</t>
  </si>
  <si>
    <t>608-1</t>
  </si>
  <si>
    <t>일반용</t>
  </si>
  <si>
    <t>580</t>
  </si>
  <si>
    <t>579</t>
  </si>
  <si>
    <t>558-1</t>
  </si>
  <si>
    <t>554-1</t>
  </si>
  <si>
    <t>552-3</t>
  </si>
  <si>
    <t>553</t>
  </si>
  <si>
    <t>625</t>
  </si>
  <si>
    <t>551</t>
  </si>
  <si>
    <t>전작용</t>
  </si>
  <si>
    <t>627</t>
  </si>
  <si>
    <t>618</t>
  </si>
  <si>
    <t>636</t>
  </si>
  <si>
    <t>641-1</t>
  </si>
  <si>
    <t>산39-40</t>
  </si>
  <si>
    <t>산39-21</t>
  </si>
  <si>
    <t>산39-22</t>
  </si>
  <si>
    <t>산23-15</t>
  </si>
  <si>
    <t>평리</t>
  </si>
  <si>
    <t>2-3</t>
  </si>
  <si>
    <t>2-36</t>
  </si>
  <si>
    <t>기타</t>
  </si>
  <si>
    <t>산14-19</t>
  </si>
  <si>
    <t>간이상수도</t>
  </si>
  <si>
    <t>2-1</t>
  </si>
  <si>
    <t>농생활겸용</t>
  </si>
  <si>
    <t>a10</t>
  </si>
  <si>
    <t>a11</t>
  </si>
  <si>
    <t>2-47</t>
  </si>
  <si>
    <t>5-1</t>
  </si>
  <si>
    <t>42</t>
  </si>
  <si>
    <t>30-1</t>
  </si>
  <si>
    <t>114</t>
  </si>
  <si>
    <t>19-1</t>
  </si>
  <si>
    <t>115-1</t>
  </si>
  <si>
    <t>원예용</t>
  </si>
  <si>
    <t>10-1</t>
  </si>
  <si>
    <t>17</t>
  </si>
  <si>
    <t>17-4</t>
  </si>
  <si>
    <t>산7</t>
  </si>
  <si>
    <t>11-1</t>
  </si>
  <si>
    <t>11-2</t>
  </si>
  <si>
    <t>11</t>
  </si>
  <si>
    <t>110-11</t>
  </si>
  <si>
    <t>허가용</t>
  </si>
  <si>
    <t>축산업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</si>
</sst>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_ "/>
  </numFmts>
  <fonts count="28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8"/>
      <color theme="3"/>
      <name val="Calibri Light"/>
      <family val="2"/>
      <charset val="129"/>
      <scheme val="major"/>
    </font>
    <font>
      <b/>
      <sz val="15"/>
      <color theme="3"/>
      <name val="Calibri"/>
      <family val="2"/>
      <charset val="129"/>
      <scheme val="minor"/>
    </font>
    <font>
      <b/>
      <sz val="13"/>
      <color theme="3"/>
      <name val="Calibri"/>
      <family val="2"/>
      <charset val="129"/>
      <scheme val="minor"/>
    </font>
    <font>
      <b/>
      <sz val="11"/>
      <color theme="3"/>
      <name val="Calibri"/>
      <family val="2"/>
      <charset val="129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color rgb="FF3F3F76"/>
      <name val="Calibri"/>
      <family val="2"/>
      <charset val="129"/>
      <scheme val="minor"/>
    </font>
    <font>
      <b/>
      <sz val="11"/>
      <color rgb="FF3F3F3F"/>
      <name val="Calibri"/>
      <family val="2"/>
      <charset val="129"/>
      <scheme val="minor"/>
    </font>
    <font>
      <b/>
      <sz val="11"/>
      <color rgb="FFFA7D00"/>
      <name val="Calibri"/>
      <family val="2"/>
      <charset val="129"/>
      <scheme val="minor"/>
    </font>
    <font>
      <sz val="11"/>
      <color rgb="FFFA7D00"/>
      <name val="Calibri"/>
      <family val="2"/>
      <charset val="129"/>
      <scheme val="minor"/>
    </font>
    <font>
      <b/>
      <sz val="11"/>
      <color theme="0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  <font>
      <i/>
      <sz val="11"/>
      <color rgb="FF7F7F7F"/>
      <name val="Calibri"/>
      <family val="2"/>
      <charset val="129"/>
      <scheme val="minor"/>
    </font>
    <font>
      <b/>
      <sz val="11"/>
      <color theme="1"/>
      <name val="Calibri"/>
      <family val="2"/>
      <charset val="129"/>
      <scheme val="minor"/>
    </font>
    <font>
      <sz val="11"/>
      <color theme="0"/>
      <name val="Calibri"/>
      <family val="2"/>
      <charset val="129"/>
      <scheme val="minor"/>
    </font>
    <font>
      <sz val="10"/>
      <color theme="1"/>
      <name val="Calibri"/>
      <family val="3"/>
      <charset val="129"/>
      <scheme val="minor"/>
    </font>
    <font>
      <sz val="8"/>
      <name val="Calibri"/>
      <family val="2"/>
      <charset val="129"/>
      <scheme val="minor"/>
    </font>
    <font>
      <sz val="10"/>
      <color rgb="FF000000"/>
      <name val="Calibri"/>
      <family val="3"/>
      <charset val="129"/>
      <scheme val="minor"/>
    </font>
    <font>
      <b/>
      <i/>
      <sz val="10"/>
      <color rgb="FFFF0000"/>
      <name val="Calibri"/>
      <family val="3"/>
      <charset val="129"/>
      <scheme val="minor"/>
    </font>
    <font>
      <b/>
      <i/>
      <sz val="12"/>
      <color rgb="FFFF0000"/>
      <name val="Calibri"/>
      <family val="3"/>
      <charset val="129"/>
      <scheme val="minor"/>
    </font>
    <font>
      <sz val="10"/>
      <color theme="1"/>
      <name val="Calibri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Calibri"/>
      <family val="3"/>
      <charset val="129"/>
      <scheme val="minor"/>
    </font>
    <font>
      <b/>
      <sz val="10"/>
      <color theme="1"/>
      <name val="Calibri"/>
      <family val="3"/>
      <charset val="129"/>
      <scheme val="minor"/>
    </font>
    <font>
      <b/>
      <sz val="10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65" fontId="18" fillId="0" borderId="0" xfId="0" applyNumberFormat="1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164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/>
    </xf>
    <xf numFmtId="0" fontId="22" fillId="34" borderId="11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22" fillId="34" borderId="13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26" fillId="34" borderId="10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18" fillId="34" borderId="18" xfId="0" applyFont="1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18" fillId="0" borderId="0" xfId="0" applyFont="1" applyAlignment="1">
      <alignment vertical="center" wrapText="1"/>
    </xf>
    <xf numFmtId="0" fontId="18" fillId="0" borderId="0" xfId="0" applyFont="1" applyAlignment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0</xdr:row>
          <xdr:rowOff>66675</xdr:rowOff>
        </xdr:from>
        <xdr:to>
          <xdr:col>20</xdr:col>
          <xdr:colOff>104775</xdr:colOff>
          <xdr:row>0</xdr:row>
          <xdr:rowOff>428625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0</xdr:row>
          <xdr:rowOff>476250</xdr:rowOff>
        </xdr:from>
        <xdr:to>
          <xdr:col>20</xdr:col>
          <xdr:colOff>114300</xdr:colOff>
          <xdr:row>1</xdr:row>
          <xdr:rowOff>238125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2</xdr:row>
          <xdr:rowOff>47625</xdr:rowOff>
        </xdr:from>
        <xdr:to>
          <xdr:col>20</xdr:col>
          <xdr:colOff>114300</xdr:colOff>
          <xdr:row>3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0</xdr:row>
          <xdr:rowOff>85725</xdr:rowOff>
        </xdr:from>
        <xdr:to>
          <xdr:col>20</xdr:col>
          <xdr:colOff>133350</xdr:colOff>
          <xdr:row>0</xdr:row>
          <xdr:rowOff>447675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123825</xdr:colOff>
          <xdr:row>0</xdr:row>
          <xdr:rowOff>523875</xdr:rowOff>
        </xdr:from>
        <xdr:to>
          <xdr:col>20</xdr:col>
          <xdr:colOff>142875</xdr:colOff>
          <xdr:row>2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2</xdr:row>
          <xdr:rowOff>133350</xdr:rowOff>
        </xdr:from>
        <xdr:to>
          <xdr:col>20</xdr:col>
          <xdr:colOff>152400</xdr:colOff>
          <xdr:row>3</xdr:row>
          <xdr:rowOff>219075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133350</xdr:rowOff>
        </xdr:from>
        <xdr:to>
          <xdr:col>20</xdr:col>
          <xdr:colOff>9525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523875</xdr:rowOff>
        </xdr:from>
        <xdr:to>
          <xdr:col>20</xdr:col>
          <xdr:colOff>9525</xdr:colOff>
          <xdr:row>2</xdr:row>
          <xdr:rowOff>9525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0</xdr:row>
          <xdr:rowOff>276225</xdr:rowOff>
        </xdr:from>
        <xdr:to>
          <xdr:col>22</xdr:col>
          <xdr:colOff>76200</xdr:colOff>
          <xdr:row>1</xdr:row>
          <xdr:rowOff>38100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53"/>
  <sheetViews>
    <sheetView tabSelected="1" workbookViewId="0">
      <selection activeCell="W25" sqref="W25"/>
    </sheetView>
  </sheetViews>
  <sheetFormatPr defaultColWidth="9" defaultRowHeight="21.75" customHeight="1"/>
  <cols>
    <col min="1" max="1" width="9" style="2"/>
    <col min="2" max="2" width="7.7109375" style="2" customWidth="1"/>
    <col min="3" max="3" width="7.42578125" style="2" customWidth="1"/>
    <col min="4" max="4" width="7.85546875" style="2" customWidth="1"/>
    <col min="5" max="5" width="10.140625" style="7" customWidth="1"/>
    <col min="6" max="6" width="9.140625" style="2" customWidth="1"/>
    <col min="7" max="7" width="9.85546875" style="2" customWidth="1"/>
    <col min="8" max="8" width="10.140625" style="2" customWidth="1"/>
    <col min="9" max="9" width="9" style="8"/>
    <col min="10" max="10" width="14.42578125" style="2" customWidth="1"/>
    <col min="11" max="11" width="11.42578125" style="2" customWidth="1"/>
    <col min="12" max="12" width="25.28515625" style="2" customWidth="1"/>
    <col min="13" max="16" width="9" style="2"/>
    <col min="17" max="17" width="11.42578125" style="2" bestFit="1" customWidth="1"/>
    <col min="18" max="16384" width="9" style="2"/>
  </cols>
  <sheetData>
    <row r="1" spans="1:18" ht="47.25" customHeight="1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/>
      <c r="M1" s="2" t="s">
        <v>14</v>
      </c>
      <c r="N1" s="2" t="s">
        <v>15</v>
      </c>
      <c r="O1" s="2" t="s">
        <v>16</v>
      </c>
      <c r="P1" s="2" t="s">
        <v>17</v>
      </c>
      <c r="Q1" s="2" t="s">
        <v>18</v>
      </c>
      <c r="R1" s="2" t="s">
        <v>12</v>
      </c>
    </row>
    <row r="2" spans="1:18" ht="21.75" customHeight="1">
      <c r="A2" s="2" t="s">
        <v>27</v>
      </c>
      <c r="B2" s="1" t="s">
        <v>26</v>
      </c>
      <c r="C2" s="2" t="s">
        <v>77</v>
      </c>
      <c r="D2" s="2" t="s">
        <v>78</v>
      </c>
      <c r="E2" s="7" t="s">
        <v>79</v>
      </c>
      <c r="F2" s="2">
        <v>20</v>
      </c>
      <c r="G2" s="2">
        <v>40</v>
      </c>
      <c r="H2" s="2">
        <v>0.5</v>
      </c>
      <c r="I2" s="2">
        <v>30</v>
      </c>
      <c r="J2" s="2" t="s">
        <v>43</v>
      </c>
      <c r="K2" s="16">
        <f t="shared" ref="K2:K6" si="0">ss_water(I2,J2,100)</f>
        <v>0.67</v>
      </c>
      <c r="L2" s="2" t="str">
        <f>D2&amp;" "&amp;E2</f>
        <v>개화리 572-3</v>
      </c>
      <c r="M2" s="2">
        <v>20</v>
      </c>
      <c r="N2" s="2">
        <v>40</v>
      </c>
      <c r="O2" s="2">
        <v>0.5</v>
      </c>
      <c r="P2" s="2">
        <v>0.67</v>
      </c>
      <c r="Q2" s="2" t="s">
        <v>43</v>
      </c>
      <c r="R2" s="2" t="s">
        <v>13</v>
      </c>
    </row>
    <row r="3" spans="1:18" ht="21.75" customHeight="1">
      <c r="A3" s="2" t="s">
        <v>31</v>
      </c>
      <c r="B3" s="1" t="s">
        <v>26</v>
      </c>
      <c r="C3" s="2" t="s">
        <v>77</v>
      </c>
      <c r="D3" s="2" t="s">
        <v>78</v>
      </c>
      <c r="E3" s="7" t="s">
        <v>80</v>
      </c>
      <c r="F3" s="2">
        <v>30</v>
      </c>
      <c r="G3" s="2">
        <v>50</v>
      </c>
      <c r="H3" s="2">
        <v>0.5</v>
      </c>
      <c r="I3" s="2">
        <v>20</v>
      </c>
      <c r="J3" s="2" t="s">
        <v>74</v>
      </c>
      <c r="K3" s="16">
        <f t="shared" si="0"/>
        <v>3.61</v>
      </c>
      <c r="L3" s="2" t="str">
        <f t="shared" ref="L3:L6" si="1">D3&amp;" "&amp;E3</f>
        <v>개화리 577-1</v>
      </c>
      <c r="M3" s="2">
        <v>30</v>
      </c>
      <c r="N3" s="2">
        <v>50</v>
      </c>
      <c r="O3" s="2">
        <v>0.5</v>
      </c>
      <c r="P3" s="2">
        <v>3.61</v>
      </c>
      <c r="Q3" s="2" t="s">
        <v>74</v>
      </c>
      <c r="R3" s="2" t="s">
        <v>13</v>
      </c>
    </row>
    <row r="4" spans="1:18" ht="21.75" customHeight="1">
      <c r="A4" s="2" t="s">
        <v>32</v>
      </c>
      <c r="B4" s="1" t="s">
        <v>26</v>
      </c>
      <c r="C4" s="2" t="s">
        <v>77</v>
      </c>
      <c r="D4" s="2" t="s">
        <v>78</v>
      </c>
      <c r="E4" s="7" t="s">
        <v>82</v>
      </c>
      <c r="F4" s="2">
        <v>100</v>
      </c>
      <c r="G4" s="2">
        <v>200</v>
      </c>
      <c r="H4" s="2">
        <v>1</v>
      </c>
      <c r="I4" s="2">
        <v>70</v>
      </c>
      <c r="J4" s="2" t="s">
        <v>83</v>
      </c>
      <c r="K4" s="16">
        <f t="shared" si="0"/>
        <v>4.76</v>
      </c>
      <c r="L4" s="2" t="str">
        <f t="shared" si="1"/>
        <v>개화리 608-1</v>
      </c>
      <c r="M4" s="2">
        <v>100</v>
      </c>
      <c r="N4" s="2">
        <v>200</v>
      </c>
      <c r="O4" s="2">
        <v>1</v>
      </c>
      <c r="P4" s="2">
        <v>4.76</v>
      </c>
      <c r="Q4" s="2" t="s">
        <v>83</v>
      </c>
      <c r="R4" s="2" t="s">
        <v>13</v>
      </c>
    </row>
    <row r="5" spans="1:18" ht="21.75" customHeight="1">
      <c r="A5" s="2" t="s">
        <v>33</v>
      </c>
      <c r="B5" s="1" t="s">
        <v>26</v>
      </c>
      <c r="C5" s="2" t="s">
        <v>77</v>
      </c>
      <c r="D5" s="2" t="s">
        <v>78</v>
      </c>
      <c r="E5" s="7" t="s">
        <v>84</v>
      </c>
      <c r="F5" s="2">
        <v>20</v>
      </c>
      <c r="G5" s="2">
        <v>40</v>
      </c>
      <c r="H5" s="2">
        <v>0.5</v>
      </c>
      <c r="I5" s="2">
        <v>30</v>
      </c>
      <c r="J5" s="2" t="s">
        <v>43</v>
      </c>
      <c r="K5" s="16">
        <f t="shared" si="0"/>
        <v>0.67</v>
      </c>
      <c r="L5" s="2" t="str">
        <f t="shared" si="1"/>
        <v>개화리 580</v>
      </c>
      <c r="M5" s="2">
        <v>20</v>
      </c>
      <c r="N5" s="2">
        <v>40</v>
      </c>
      <c r="O5" s="2">
        <v>0.5</v>
      </c>
      <c r="P5" s="2">
        <v>0.67</v>
      </c>
      <c r="Q5" s="2" t="s">
        <v>43</v>
      </c>
      <c r="R5" s="2" t="s">
        <v>13</v>
      </c>
    </row>
    <row r="6" spans="1:18" ht="21.75" customHeight="1">
      <c r="A6" s="2" t="s">
        <v>34</v>
      </c>
      <c r="B6" s="1" t="s">
        <v>26</v>
      </c>
      <c r="C6" s="2" t="s">
        <v>77</v>
      </c>
      <c r="D6" s="2" t="s">
        <v>78</v>
      </c>
      <c r="E6" s="7" t="s">
        <v>85</v>
      </c>
      <c r="F6" s="2">
        <v>20</v>
      </c>
      <c r="G6" s="2">
        <v>40</v>
      </c>
      <c r="H6" s="2">
        <v>0.5</v>
      </c>
      <c r="I6" s="2">
        <v>30</v>
      </c>
      <c r="J6" s="2" t="s">
        <v>43</v>
      </c>
      <c r="K6" s="16">
        <f t="shared" si="0"/>
        <v>0.67</v>
      </c>
      <c r="L6" s="2" t="str">
        <f t="shared" si="1"/>
        <v>개화리 579</v>
      </c>
      <c r="M6" s="2">
        <v>20</v>
      </c>
      <c r="N6" s="2">
        <v>40</v>
      </c>
      <c r="O6" s="2">
        <v>0.5</v>
      </c>
      <c r="P6" s="2">
        <v>0.67</v>
      </c>
      <c r="Q6" s="2" t="s">
        <v>43</v>
      </c>
      <c r="R6" s="2" t="s">
        <v>13</v>
      </c>
    </row>
    <row r="7" spans="1:18" ht="21.75" customHeight="1">
      <c r="A7" s="2" t="s">
        <v>50</v>
      </c>
      <c r="B7" s="1" t="s">
        <v>26</v>
      </c>
      <c r="C7" s="2" t="s">
        <v>77</v>
      </c>
      <c r="D7" s="2" t="s">
        <v>78</v>
      </c>
      <c r="E7" s="7" t="s">
        <v>87</v>
      </c>
      <c r="F7" s="2">
        <v>20</v>
      </c>
      <c r="G7" s="2">
        <v>50</v>
      </c>
      <c r="H7" s="2">
        <v>0.5</v>
      </c>
      <c r="I7" s="2">
        <v>30</v>
      </c>
      <c r="J7" s="2" t="s">
        <v>43</v>
      </c>
      <c r="K7" s="16">
        <f t="shared" ref="K7:K8" si="2">ss_water(I7,J7,100)</f>
        <v>0.67</v>
      </c>
      <c r="L7" s="2" t="str">
        <f t="shared" ref="L7:L8" si="3">D7&amp;" "&amp;E7</f>
        <v>개화리 554-1</v>
      </c>
      <c r="M7" s="2">
        <v>20</v>
      </c>
      <c r="N7" s="2">
        <v>50</v>
      </c>
      <c r="O7" s="2">
        <v>0.5</v>
      </c>
      <c r="P7" s="2">
        <v>0.67</v>
      </c>
      <c r="Q7" s="2" t="s">
        <v>43</v>
      </c>
      <c r="R7" s="2" t="s">
        <v>13</v>
      </c>
    </row>
    <row r="8" spans="1:18" ht="21.75" customHeight="1">
      <c r="A8" s="2" t="s">
        <v>51</v>
      </c>
      <c r="B8" s="1" t="s">
        <v>26</v>
      </c>
      <c r="C8" s="2" t="s">
        <v>77</v>
      </c>
      <c r="D8" s="2" t="s">
        <v>78</v>
      </c>
      <c r="E8" s="7" t="s">
        <v>88</v>
      </c>
      <c r="F8" s="2">
        <v>20</v>
      </c>
      <c r="G8" s="2">
        <v>40</v>
      </c>
      <c r="H8" s="2">
        <v>0.5</v>
      </c>
      <c r="I8" s="2">
        <v>30</v>
      </c>
      <c r="J8" s="2" t="s">
        <v>43</v>
      </c>
      <c r="K8" s="16">
        <f t="shared" si="2"/>
        <v>0.67</v>
      </c>
      <c r="L8" s="2" t="str">
        <f t="shared" si="3"/>
        <v>개화리 552-3</v>
      </c>
      <c r="M8" s="2">
        <v>20</v>
      </c>
      <c r="N8" s="2">
        <v>40</v>
      </c>
      <c r="O8" s="2">
        <v>0.5</v>
      </c>
      <c r="P8" s="2">
        <v>0.67</v>
      </c>
      <c r="Q8" s="2" t="s">
        <v>43</v>
      </c>
      <c r="R8" s="2" t="s">
        <v>13</v>
      </c>
    </row>
    <row r="9" spans="1:18" ht="21.75" customHeight="1">
      <c r="A9" s="2" t="s">
        <v>52</v>
      </c>
      <c r="B9" s="1" t="s">
        <v>26</v>
      </c>
      <c r="C9" s="2" t="s">
        <v>77</v>
      </c>
      <c r="D9" s="2" t="s">
        <v>78</v>
      </c>
      <c r="E9" s="7" t="s">
        <v>90</v>
      </c>
      <c r="F9" s="2">
        <v>40</v>
      </c>
      <c r="G9" s="2">
        <v>40</v>
      </c>
      <c r="H9" s="2">
        <v>1</v>
      </c>
      <c r="I9" s="2">
        <v>10</v>
      </c>
      <c r="J9" s="2" t="s">
        <v>43</v>
      </c>
      <c r="K9" s="16">
        <f t="shared" ref="K9:K10" si="4">ss_water(I9,J9,100)</f>
        <v>0.67</v>
      </c>
      <c r="L9" s="2" t="str">
        <f t="shared" ref="L9:L10" si="5">D9&amp;" "&amp;E9</f>
        <v>개화리 625</v>
      </c>
      <c r="M9" s="2">
        <v>40</v>
      </c>
      <c r="N9" s="2">
        <v>40</v>
      </c>
      <c r="O9" s="2">
        <v>1</v>
      </c>
      <c r="P9" s="2">
        <v>0.67</v>
      </c>
      <c r="Q9" s="2" t="s">
        <v>43</v>
      </c>
      <c r="R9" s="2" t="s">
        <v>13</v>
      </c>
    </row>
    <row r="10" spans="1:18" ht="21.75" customHeight="1">
      <c r="A10" s="2" t="s">
        <v>53</v>
      </c>
      <c r="B10" s="1" t="s">
        <v>26</v>
      </c>
      <c r="C10" s="2" t="s">
        <v>77</v>
      </c>
      <c r="D10" s="2" t="s">
        <v>78</v>
      </c>
      <c r="E10" s="7" t="s">
        <v>94</v>
      </c>
      <c r="F10" s="2">
        <v>30</v>
      </c>
      <c r="G10" s="2">
        <v>50</v>
      </c>
      <c r="H10" s="2">
        <v>0.5</v>
      </c>
      <c r="I10" s="2">
        <v>25</v>
      </c>
      <c r="J10" s="2" t="s">
        <v>43</v>
      </c>
      <c r="K10" s="16">
        <f t="shared" si="4"/>
        <v>0.67</v>
      </c>
      <c r="L10" s="2" t="str">
        <f t="shared" si="5"/>
        <v>개화리 618</v>
      </c>
      <c r="M10" s="2">
        <v>30</v>
      </c>
      <c r="N10" s="2">
        <v>50</v>
      </c>
      <c r="O10" s="2">
        <v>0.5</v>
      </c>
      <c r="P10" s="2">
        <v>0.67</v>
      </c>
      <c r="Q10" s="2" t="s">
        <v>43</v>
      </c>
      <c r="R10" s="2" t="s">
        <v>13</v>
      </c>
    </row>
    <row r="11" spans="1:18" ht="21.75" customHeight="1">
      <c r="A11" s="2" t="s">
        <v>54</v>
      </c>
      <c r="B11" s="1" t="s">
        <v>26</v>
      </c>
      <c r="C11" s="2" t="s">
        <v>77</v>
      </c>
      <c r="D11" s="2" t="s">
        <v>78</v>
      </c>
      <c r="E11" s="7" t="s">
        <v>96</v>
      </c>
      <c r="F11" s="2">
        <v>30</v>
      </c>
      <c r="G11" s="2">
        <v>50</v>
      </c>
      <c r="H11" s="2">
        <v>0.3</v>
      </c>
      <c r="I11" s="2">
        <v>35</v>
      </c>
      <c r="J11" s="2" t="s">
        <v>43</v>
      </c>
      <c r="K11" s="16">
        <f t="shared" ref="K11:K12" si="6">ss_water(I11,J11,100)</f>
        <v>0.67</v>
      </c>
      <c r="L11" s="2" t="str">
        <f t="shared" ref="L11:L12" si="7">D11&amp;" "&amp;E11</f>
        <v>개화리 641-1</v>
      </c>
      <c r="M11" s="2">
        <v>30</v>
      </c>
      <c r="N11" s="2">
        <v>50</v>
      </c>
      <c r="O11" s="2">
        <v>0.3</v>
      </c>
      <c r="P11" s="2">
        <v>0.67</v>
      </c>
      <c r="Q11" s="2" t="s">
        <v>43</v>
      </c>
      <c r="R11" s="2" t="s">
        <v>13</v>
      </c>
    </row>
    <row r="12" spans="1:18" ht="21.75" customHeight="1">
      <c r="A12" s="2" t="s">
        <v>55</v>
      </c>
      <c r="B12" s="1" t="s">
        <v>26</v>
      </c>
      <c r="C12" s="2" t="s">
        <v>77</v>
      </c>
      <c r="D12" s="2" t="s">
        <v>78</v>
      </c>
      <c r="E12" s="7" t="s">
        <v>97</v>
      </c>
      <c r="F12" s="2">
        <v>100</v>
      </c>
      <c r="G12" s="2">
        <v>150</v>
      </c>
      <c r="H12" s="2">
        <v>3</v>
      </c>
      <c r="I12" s="2">
        <v>90</v>
      </c>
      <c r="J12" s="2" t="s">
        <v>83</v>
      </c>
      <c r="K12" s="16">
        <f t="shared" si="6"/>
        <v>5.22</v>
      </c>
      <c r="L12" s="2" t="str">
        <f t="shared" si="7"/>
        <v>개화리 산39-40</v>
      </c>
      <c r="M12" s="2">
        <v>100</v>
      </c>
      <c r="N12" s="2">
        <v>150</v>
      </c>
      <c r="O12" s="2">
        <v>3</v>
      </c>
      <c r="P12" s="2">
        <v>5.22</v>
      </c>
      <c r="Q12" s="2" t="s">
        <v>83</v>
      </c>
      <c r="R12" s="2" t="s">
        <v>13</v>
      </c>
    </row>
    <row r="13" spans="1:18" ht="21.75" customHeight="1">
      <c r="A13" s="2" t="s">
        <v>56</v>
      </c>
      <c r="B13" s="1" t="s">
        <v>26</v>
      </c>
      <c r="C13" s="2" t="s">
        <v>77</v>
      </c>
      <c r="D13" s="2" t="s">
        <v>78</v>
      </c>
      <c r="E13" s="7" t="s">
        <v>98</v>
      </c>
      <c r="F13" s="2">
        <v>100</v>
      </c>
      <c r="G13" s="2">
        <v>250</v>
      </c>
      <c r="H13" s="2">
        <v>3</v>
      </c>
      <c r="I13" s="2">
        <v>90</v>
      </c>
      <c r="J13" s="2" t="s">
        <v>83</v>
      </c>
      <c r="K13" s="16">
        <f t="shared" ref="K13:K14" si="8">ss_water(I13,J13,100)</f>
        <v>5.22</v>
      </c>
      <c r="L13" s="2" t="str">
        <f t="shared" ref="L13:L14" si="9">D13&amp;" "&amp;E13</f>
        <v>개화리 산39-21</v>
      </c>
      <c r="M13" s="2">
        <v>100</v>
      </c>
      <c r="N13" s="2">
        <v>250</v>
      </c>
      <c r="O13" s="2">
        <v>3</v>
      </c>
      <c r="P13" s="2">
        <v>5.22</v>
      </c>
      <c r="Q13" s="2" t="s">
        <v>83</v>
      </c>
      <c r="R13" s="2" t="s">
        <v>13</v>
      </c>
    </row>
    <row r="14" spans="1:18" ht="21.75" customHeight="1">
      <c r="A14" s="2" t="s">
        <v>57</v>
      </c>
      <c r="B14" s="1" t="s">
        <v>26</v>
      </c>
      <c r="C14" s="2" t="s">
        <v>77</v>
      </c>
      <c r="D14" s="2" t="s">
        <v>78</v>
      </c>
      <c r="E14" s="7" t="s">
        <v>99</v>
      </c>
      <c r="F14" s="2">
        <v>250</v>
      </c>
      <c r="G14" s="2">
        <v>150</v>
      </c>
      <c r="H14" s="2">
        <v>1</v>
      </c>
      <c r="I14" s="2">
        <v>50</v>
      </c>
      <c r="J14" s="2" t="s">
        <v>83</v>
      </c>
      <c r="K14" s="16">
        <f t="shared" si="8"/>
        <v>4.3</v>
      </c>
      <c r="L14" s="2" t="str">
        <f t="shared" si="9"/>
        <v>개화리 산39-22</v>
      </c>
      <c r="M14" s="2">
        <v>250</v>
      </c>
      <c r="N14" s="2">
        <v>150</v>
      </c>
      <c r="O14" s="2">
        <v>1</v>
      </c>
      <c r="P14" s="2">
        <v>4.3</v>
      </c>
      <c r="Q14" s="2" t="s">
        <v>83</v>
      </c>
      <c r="R14" s="2" t="s">
        <v>13</v>
      </c>
    </row>
    <row r="15" spans="1:18" ht="21.75" customHeight="1">
      <c r="A15" s="2" t="s">
        <v>58</v>
      </c>
      <c r="B15" s="1" t="s">
        <v>26</v>
      </c>
      <c r="C15" s="2" t="s">
        <v>77</v>
      </c>
      <c r="D15" s="2" t="s">
        <v>78</v>
      </c>
      <c r="E15" s="7" t="s">
        <v>100</v>
      </c>
      <c r="F15" s="2">
        <v>150</v>
      </c>
      <c r="G15" s="2">
        <v>200</v>
      </c>
      <c r="H15" s="2">
        <v>3</v>
      </c>
      <c r="I15" s="2">
        <v>90</v>
      </c>
      <c r="J15" s="2" t="s">
        <v>83</v>
      </c>
      <c r="K15" s="16">
        <f t="shared" ref="K15:K16" si="10">ss_water(I15,J15,100)</f>
        <v>5.22</v>
      </c>
      <c r="L15" s="2" t="str">
        <f t="shared" ref="L15:L16" si="11">D15&amp;" "&amp;E15</f>
        <v>개화리 산23-15</v>
      </c>
      <c r="M15" s="2">
        <v>150</v>
      </c>
      <c r="N15" s="2">
        <v>200</v>
      </c>
      <c r="O15" s="2">
        <v>3</v>
      </c>
      <c r="P15" s="2">
        <v>5.22</v>
      </c>
      <c r="Q15" s="2" t="s">
        <v>83</v>
      </c>
      <c r="R15" s="2" t="s">
        <v>13</v>
      </c>
    </row>
    <row r="16" spans="1:18" ht="21.75" customHeight="1">
      <c r="A16" s="2" t="s">
        <v>59</v>
      </c>
      <c r="B16" s="1" t="s">
        <v>26</v>
      </c>
      <c r="C16" s="2" t="s">
        <v>75</v>
      </c>
      <c r="D16" s="2" t="s">
        <v>101</v>
      </c>
      <c r="E16" s="7" t="s">
        <v>105</v>
      </c>
      <c r="F16" s="2">
        <v>70</v>
      </c>
      <c r="G16" s="2">
        <v>200</v>
      </c>
      <c r="H16" s="2">
        <v>3</v>
      </c>
      <c r="I16" s="2">
        <v>80</v>
      </c>
      <c r="J16" s="2" t="s">
        <v>106</v>
      </c>
      <c r="K16" s="16">
        <f t="shared" si="10"/>
        <v>7.23</v>
      </c>
      <c r="L16" s="2" t="str">
        <f t="shared" si="11"/>
        <v>평리 산14-19</v>
      </c>
      <c r="M16" s="2">
        <v>70</v>
      </c>
      <c r="N16" s="2">
        <v>200</v>
      </c>
      <c r="O16" s="2">
        <v>3</v>
      </c>
      <c r="P16" s="2">
        <v>7.23</v>
      </c>
      <c r="Q16" s="2" t="s">
        <v>106</v>
      </c>
      <c r="R16" s="2" t="s">
        <v>13</v>
      </c>
    </row>
    <row r="17" spans="1:18" ht="21.75" customHeight="1">
      <c r="A17" s="2" t="s">
        <v>60</v>
      </c>
      <c r="B17" s="1" t="s">
        <v>26</v>
      </c>
      <c r="C17" s="2" t="s">
        <v>75</v>
      </c>
      <c r="D17" s="2" t="s">
        <v>101</v>
      </c>
      <c r="E17" s="7" t="s">
        <v>107</v>
      </c>
      <c r="F17" s="2">
        <v>200</v>
      </c>
      <c r="G17" s="2">
        <v>250</v>
      </c>
      <c r="H17" s="2">
        <v>7.5</v>
      </c>
      <c r="I17" s="2">
        <v>150</v>
      </c>
      <c r="J17" s="2" t="s">
        <v>108</v>
      </c>
      <c r="K17" s="16">
        <f t="shared" ref="K17:K18" si="12">ss_water(I17,J17,100)</f>
        <v>6.6</v>
      </c>
      <c r="L17" s="2" t="str">
        <f t="shared" ref="L17:L18" si="13">D17&amp;" "&amp;E17</f>
        <v>평리 2-1</v>
      </c>
      <c r="M17" s="2">
        <v>200</v>
      </c>
      <c r="N17" s="2">
        <v>250</v>
      </c>
      <c r="O17" s="2">
        <v>7.5</v>
      </c>
      <c r="P17" s="2">
        <v>6.6</v>
      </c>
      <c r="Q17" s="2" t="s">
        <v>108</v>
      </c>
      <c r="R17" s="2" t="s">
        <v>13</v>
      </c>
    </row>
    <row r="18" spans="1:18" ht="21.75" customHeight="1">
      <c r="A18" s="2" t="s">
        <v>61</v>
      </c>
      <c r="B18" s="1" t="s">
        <v>26</v>
      </c>
      <c r="C18" s="2" t="s">
        <v>75</v>
      </c>
      <c r="D18" s="2" t="s">
        <v>101</v>
      </c>
      <c r="E18" s="7" t="s">
        <v>111</v>
      </c>
      <c r="F18" s="2">
        <v>30</v>
      </c>
      <c r="G18" s="2">
        <v>50</v>
      </c>
      <c r="H18" s="2">
        <v>0.3</v>
      </c>
      <c r="I18" s="2">
        <v>25</v>
      </c>
      <c r="J18" s="2" t="s">
        <v>43</v>
      </c>
      <c r="K18" s="16">
        <f t="shared" si="12"/>
        <v>0.67</v>
      </c>
      <c r="L18" s="2" t="str">
        <f t="shared" si="13"/>
        <v>평리 2-47</v>
      </c>
      <c r="M18" s="2">
        <v>30</v>
      </c>
      <c r="N18" s="2">
        <v>50</v>
      </c>
      <c r="O18" s="2">
        <v>0.3</v>
      </c>
      <c r="P18" s="2">
        <v>0.67</v>
      </c>
      <c r="Q18" s="2" t="s">
        <v>43</v>
      </c>
      <c r="R18" s="2" t="s">
        <v>13</v>
      </c>
    </row>
    <row r="19" spans="1:18" ht="21.75" customHeight="1">
      <c r="A19" s="2" t="s">
        <v>62</v>
      </c>
      <c r="B19" s="1" t="s">
        <v>26</v>
      </c>
      <c r="C19" s="2" t="s">
        <v>75</v>
      </c>
      <c r="D19" s="2" t="s">
        <v>101</v>
      </c>
      <c r="E19" s="7" t="s">
        <v>102</v>
      </c>
      <c r="F19" s="2">
        <v>30</v>
      </c>
      <c r="G19" s="2">
        <v>50</v>
      </c>
      <c r="H19" s="2">
        <v>0.5</v>
      </c>
      <c r="I19" s="2">
        <v>20</v>
      </c>
      <c r="J19" s="2" t="s">
        <v>43</v>
      </c>
      <c r="K19" s="16">
        <f t="shared" ref="K19:K20" si="14">ss_water(I19,J19,100)</f>
        <v>0.67</v>
      </c>
      <c r="L19" s="2" t="str">
        <f t="shared" ref="L19:L20" si="15">D19&amp;" "&amp;E19</f>
        <v>평리 2-3</v>
      </c>
      <c r="M19" s="2">
        <v>30</v>
      </c>
      <c r="N19" s="2">
        <v>50</v>
      </c>
      <c r="O19" s="2">
        <v>0.5</v>
      </c>
      <c r="P19" s="2">
        <v>0.67</v>
      </c>
      <c r="Q19" s="2" t="s">
        <v>43</v>
      </c>
      <c r="R19" s="2" t="s">
        <v>13</v>
      </c>
    </row>
    <row r="20" spans="1:18" ht="21.75" customHeight="1">
      <c r="A20" s="2" t="s">
        <v>63</v>
      </c>
      <c r="B20" s="1" t="s">
        <v>26</v>
      </c>
      <c r="C20" s="2" t="s">
        <v>75</v>
      </c>
      <c r="D20" s="2" t="s">
        <v>101</v>
      </c>
      <c r="E20" s="7" t="s">
        <v>112</v>
      </c>
      <c r="F20" s="2">
        <v>30</v>
      </c>
      <c r="G20" s="2">
        <v>50</v>
      </c>
      <c r="H20" s="2">
        <v>0.3</v>
      </c>
      <c r="I20" s="2">
        <v>28</v>
      </c>
      <c r="J20" s="2" t="s">
        <v>43</v>
      </c>
      <c r="K20" s="16">
        <f t="shared" si="14"/>
        <v>0.67</v>
      </c>
      <c r="L20" s="2" t="str">
        <f t="shared" si="15"/>
        <v>평리 5-1</v>
      </c>
      <c r="M20" s="2">
        <v>30</v>
      </c>
      <c r="N20" s="2">
        <v>50</v>
      </c>
      <c r="O20" s="2">
        <v>0.3</v>
      </c>
      <c r="P20" s="2">
        <v>0.67</v>
      </c>
      <c r="Q20" s="2" t="s">
        <v>43</v>
      </c>
      <c r="R20" s="2" t="s">
        <v>13</v>
      </c>
    </row>
    <row r="21" spans="1:18" ht="21.75" customHeight="1">
      <c r="A21" s="2" t="s">
        <v>64</v>
      </c>
      <c r="B21" s="1" t="s">
        <v>26</v>
      </c>
      <c r="C21" s="2" t="s">
        <v>75</v>
      </c>
      <c r="D21" s="2" t="s">
        <v>101</v>
      </c>
      <c r="E21" s="7" t="s">
        <v>113</v>
      </c>
      <c r="F21" s="2">
        <v>30</v>
      </c>
      <c r="G21" s="2">
        <v>50</v>
      </c>
      <c r="H21" s="2">
        <v>0.3</v>
      </c>
      <c r="I21" s="2">
        <v>30</v>
      </c>
      <c r="J21" s="2" t="s">
        <v>43</v>
      </c>
      <c r="K21" s="16">
        <f t="shared" ref="K21:K22" si="16">ss_water(I21,J21,100)</f>
        <v>0.67</v>
      </c>
      <c r="L21" s="2" t="str">
        <f t="shared" ref="L21:L22" si="17">D21&amp;" "&amp;E21</f>
        <v>평리 42</v>
      </c>
      <c r="M21" s="2">
        <v>30</v>
      </c>
      <c r="N21" s="2">
        <v>50</v>
      </c>
      <c r="O21" s="2">
        <v>0.3</v>
      </c>
      <c r="P21" s="2">
        <v>0.67</v>
      </c>
      <c r="Q21" s="2" t="s">
        <v>43</v>
      </c>
      <c r="R21" s="2" t="s">
        <v>13</v>
      </c>
    </row>
    <row r="22" spans="1:18" ht="21.75" customHeight="1">
      <c r="A22" s="2" t="s">
        <v>65</v>
      </c>
      <c r="B22" s="1" t="s">
        <v>26</v>
      </c>
      <c r="C22" s="2" t="s">
        <v>75</v>
      </c>
      <c r="D22" s="2" t="s">
        <v>101</v>
      </c>
      <c r="E22" s="7" t="s">
        <v>114</v>
      </c>
      <c r="F22" s="2">
        <v>25</v>
      </c>
      <c r="G22" s="2">
        <v>30</v>
      </c>
      <c r="H22" s="2">
        <v>0.2</v>
      </c>
      <c r="I22" s="2">
        <v>10</v>
      </c>
      <c r="J22" s="2" t="s">
        <v>43</v>
      </c>
      <c r="K22" s="16">
        <f t="shared" si="16"/>
        <v>0.67</v>
      </c>
      <c r="L22" s="2" t="str">
        <f t="shared" si="17"/>
        <v>평리 30-1</v>
      </c>
      <c r="M22" s="2">
        <v>25</v>
      </c>
      <c r="N22" s="2">
        <v>30</v>
      </c>
      <c r="O22" s="2">
        <v>0.2</v>
      </c>
      <c r="P22" s="2">
        <v>0.67</v>
      </c>
      <c r="Q22" s="2" t="s">
        <v>43</v>
      </c>
      <c r="R22" s="2" t="s">
        <v>13</v>
      </c>
    </row>
    <row r="23" spans="1:18" ht="21.75" customHeight="1">
      <c r="A23" s="2" t="s">
        <v>66</v>
      </c>
      <c r="B23" s="1" t="s">
        <v>26</v>
      </c>
      <c r="C23" s="2" t="s">
        <v>75</v>
      </c>
      <c r="D23" s="2" t="s">
        <v>101</v>
      </c>
      <c r="E23" s="7" t="s">
        <v>115</v>
      </c>
      <c r="F23" s="2">
        <v>30</v>
      </c>
      <c r="G23" s="2">
        <v>30</v>
      </c>
      <c r="H23" s="2">
        <v>0.3</v>
      </c>
      <c r="I23" s="2">
        <v>20</v>
      </c>
      <c r="J23" s="2" t="s">
        <v>43</v>
      </c>
      <c r="K23" s="16">
        <f t="shared" ref="K23:K24" si="18">ss_water(I23,J23,100)</f>
        <v>0.67</v>
      </c>
      <c r="L23" s="2" t="str">
        <f t="shared" ref="L23:L24" si="19">D23&amp;" "&amp;E23</f>
        <v>평리 114</v>
      </c>
      <c r="M23" s="2">
        <v>30</v>
      </c>
      <c r="N23" s="2">
        <v>30</v>
      </c>
      <c r="O23" s="2">
        <v>0.3</v>
      </c>
      <c r="P23" s="2">
        <v>0.67</v>
      </c>
      <c r="Q23" s="2" t="s">
        <v>43</v>
      </c>
      <c r="R23" s="2" t="s">
        <v>13</v>
      </c>
    </row>
    <row r="24" spans="1:18" ht="21.75" customHeight="1">
      <c r="A24" s="2" t="s">
        <v>67</v>
      </c>
      <c r="B24" s="1" t="s">
        <v>26</v>
      </c>
      <c r="C24" s="2" t="s">
        <v>75</v>
      </c>
      <c r="D24" s="2" t="s">
        <v>101</v>
      </c>
      <c r="E24" s="7" t="s">
        <v>116</v>
      </c>
      <c r="F24" s="2">
        <v>30</v>
      </c>
      <c r="G24" s="2">
        <v>50</v>
      </c>
      <c r="H24" s="2">
        <v>0.3</v>
      </c>
      <c r="I24" s="2">
        <v>20</v>
      </c>
      <c r="J24" s="2" t="s">
        <v>43</v>
      </c>
      <c r="K24" s="16">
        <f t="shared" si="18"/>
        <v>0.67</v>
      </c>
      <c r="L24" s="2" t="str">
        <f t="shared" si="19"/>
        <v>평리 19-1</v>
      </c>
      <c r="M24" s="2">
        <v>30</v>
      </c>
      <c r="N24" s="2">
        <v>50</v>
      </c>
      <c r="O24" s="2">
        <v>0.3</v>
      </c>
      <c r="P24" s="2">
        <v>0.67</v>
      </c>
      <c r="Q24" s="2" t="s">
        <v>43</v>
      </c>
      <c r="R24" s="2" t="s">
        <v>13</v>
      </c>
    </row>
    <row r="25" spans="1:18" ht="21.75" customHeight="1">
      <c r="A25" s="2" t="s">
        <v>68</v>
      </c>
      <c r="B25" s="1" t="s">
        <v>26</v>
      </c>
      <c r="C25" s="2" t="s">
        <v>75</v>
      </c>
      <c r="D25" s="2" t="s">
        <v>76</v>
      </c>
      <c r="E25" s="7" t="s">
        <v>121</v>
      </c>
      <c r="F25" s="2">
        <v>80</v>
      </c>
      <c r="G25" s="2">
        <v>150</v>
      </c>
      <c r="H25" s="2">
        <v>1</v>
      </c>
      <c r="I25" s="2">
        <v>50</v>
      </c>
      <c r="J25" s="2" t="s">
        <v>43</v>
      </c>
      <c r="K25" s="16">
        <f t="shared" ref="K25:K26" si="20">ss_water(I25,J25,100)</f>
        <v>0.67</v>
      </c>
      <c r="L25" s="2" t="str">
        <f t="shared" ref="L25:L26" si="21">D25&amp;" "&amp;E25</f>
        <v>수부리 17-4</v>
      </c>
      <c r="M25" s="2">
        <v>80</v>
      </c>
      <c r="N25" s="2">
        <v>150</v>
      </c>
      <c r="O25" s="2">
        <v>1</v>
      </c>
      <c r="P25" s="2">
        <v>0.67</v>
      </c>
      <c r="Q25" s="2" t="s">
        <v>43</v>
      </c>
      <c r="R25" s="2" t="s">
        <v>13</v>
      </c>
    </row>
    <row r="26" spans="1:18" ht="21.75" customHeight="1">
      <c r="A26" s="2" t="s">
        <v>69</v>
      </c>
      <c r="B26" s="1" t="s">
        <v>26</v>
      </c>
      <c r="C26" s="2" t="s">
        <v>75</v>
      </c>
      <c r="D26" s="2" t="s">
        <v>101</v>
      </c>
      <c r="E26" s="7" t="s">
        <v>122</v>
      </c>
      <c r="F26" s="2">
        <v>100</v>
      </c>
      <c r="G26" s="2">
        <v>150</v>
      </c>
      <c r="H26" s="2">
        <v>1</v>
      </c>
      <c r="I26" s="2">
        <v>80</v>
      </c>
      <c r="J26" s="2" t="s">
        <v>83</v>
      </c>
      <c r="K26" s="16">
        <f t="shared" si="20"/>
        <v>4.99</v>
      </c>
      <c r="L26" s="2" t="str">
        <f t="shared" si="21"/>
        <v>평리 산7</v>
      </c>
      <c r="M26" s="2">
        <v>100</v>
      </c>
      <c r="N26" s="2">
        <v>150</v>
      </c>
      <c r="O26" s="2">
        <v>1</v>
      </c>
      <c r="P26" s="2">
        <v>4.99</v>
      </c>
      <c r="Q26" s="2" t="s">
        <v>83</v>
      </c>
      <c r="R26" s="2" t="s">
        <v>13</v>
      </c>
    </row>
    <row r="27" spans="1:18" ht="21.75" customHeight="1">
      <c r="A27" s="2" t="s">
        <v>70</v>
      </c>
      <c r="B27" s="1" t="s">
        <v>26</v>
      </c>
      <c r="C27" s="2" t="s">
        <v>75</v>
      </c>
      <c r="D27" s="2" t="s">
        <v>76</v>
      </c>
      <c r="E27" s="7" t="s">
        <v>123</v>
      </c>
      <c r="F27" s="2">
        <v>30</v>
      </c>
      <c r="G27" s="2">
        <v>50</v>
      </c>
      <c r="H27" s="2">
        <v>0.5</v>
      </c>
      <c r="I27" s="2">
        <v>28</v>
      </c>
      <c r="J27" s="2" t="s">
        <v>83</v>
      </c>
      <c r="K27" s="16">
        <f t="shared" ref="K27:K28" si="22">ss_water(I27,J27,100)</f>
        <v>3.8</v>
      </c>
      <c r="L27" s="2" t="str">
        <f t="shared" ref="L27:L28" si="23">D27&amp;" "&amp;E27</f>
        <v>수부리 11-1</v>
      </c>
      <c r="M27" s="2">
        <v>30</v>
      </c>
      <c r="N27" s="2">
        <v>50</v>
      </c>
      <c r="O27" s="2">
        <v>0.5</v>
      </c>
      <c r="P27" s="2">
        <v>3.8</v>
      </c>
      <c r="Q27" s="2" t="s">
        <v>83</v>
      </c>
      <c r="R27" s="2" t="s">
        <v>13</v>
      </c>
    </row>
    <row r="28" spans="1:18" ht="21.75" customHeight="1">
      <c r="A28" s="2" t="s">
        <v>71</v>
      </c>
      <c r="B28" s="1" t="s">
        <v>26</v>
      </c>
      <c r="C28" s="2" t="s">
        <v>75</v>
      </c>
      <c r="D28" s="2" t="s">
        <v>76</v>
      </c>
      <c r="E28" s="7" t="s">
        <v>124</v>
      </c>
      <c r="F28" s="2">
        <v>50</v>
      </c>
      <c r="G28" s="2">
        <v>150</v>
      </c>
      <c r="H28" s="2">
        <v>1</v>
      </c>
      <c r="I28" s="2">
        <v>25</v>
      </c>
      <c r="J28" s="2" t="s">
        <v>43</v>
      </c>
      <c r="K28" s="16">
        <f t="shared" si="22"/>
        <v>0.67</v>
      </c>
      <c r="L28" s="2" t="str">
        <f t="shared" si="23"/>
        <v>수부리 11-2</v>
      </c>
      <c r="M28" s="2">
        <v>50</v>
      </c>
      <c r="N28" s="2">
        <v>150</v>
      </c>
      <c r="O28" s="2">
        <v>1</v>
      </c>
      <c r="P28" s="2">
        <v>0.67</v>
      </c>
      <c r="Q28" s="2" t="s">
        <v>43</v>
      </c>
      <c r="R28" s="2" t="s">
        <v>13</v>
      </c>
    </row>
    <row r="29" spans="1:18" ht="21.75" customHeight="1">
      <c r="A29" s="2" t="s">
        <v>72</v>
      </c>
      <c r="B29" s="1" t="s">
        <v>26</v>
      </c>
      <c r="C29" s="2" t="s">
        <v>75</v>
      </c>
      <c r="D29" s="2" t="s">
        <v>76</v>
      </c>
      <c r="E29" s="7" t="s">
        <v>125</v>
      </c>
      <c r="F29" s="2">
        <v>40</v>
      </c>
      <c r="G29" s="2">
        <v>50</v>
      </c>
      <c r="H29" s="2">
        <v>0.3</v>
      </c>
      <c r="I29" s="2">
        <v>28</v>
      </c>
      <c r="J29" s="2" t="s">
        <v>43</v>
      </c>
      <c r="K29" s="16">
        <f t="shared" ref="K29:K30" si="24">ss_water(I29,J29,100)</f>
        <v>0.67</v>
      </c>
      <c r="L29" s="2" t="str">
        <f t="shared" ref="L29:L30" si="25">D29&amp;" "&amp;E29</f>
        <v>수부리 11</v>
      </c>
      <c r="M29" s="2">
        <v>40</v>
      </c>
      <c r="N29" s="2">
        <v>50</v>
      </c>
      <c r="O29" s="2">
        <v>0.3</v>
      </c>
      <c r="P29" s="2">
        <v>0.67</v>
      </c>
      <c r="Q29" s="2" t="s">
        <v>43</v>
      </c>
      <c r="R29" s="2" t="s">
        <v>13</v>
      </c>
    </row>
    <row r="30" spans="1:18" ht="21.75" customHeight="1">
      <c r="A30" s="2" t="s">
        <v>73</v>
      </c>
      <c r="B30" s="1" t="s">
        <v>26</v>
      </c>
      <c r="C30" s="2" t="s">
        <v>75</v>
      </c>
      <c r="D30" s="2" t="s">
        <v>76</v>
      </c>
      <c r="E30" s="7" t="s">
        <v>113</v>
      </c>
      <c r="F30" s="2">
        <v>30</v>
      </c>
      <c r="G30" s="2">
        <v>50</v>
      </c>
      <c r="H30" s="2">
        <v>0.3</v>
      </c>
      <c r="I30" s="2">
        <v>20</v>
      </c>
      <c r="J30" s="2" t="s">
        <v>43</v>
      </c>
      <c r="K30" s="16">
        <f t="shared" si="24"/>
        <v>0.67</v>
      </c>
      <c r="L30" s="2" t="str">
        <f t="shared" si="25"/>
        <v>수부리 42</v>
      </c>
      <c r="M30" s="2">
        <v>30</v>
      </c>
      <c r="N30" s="2">
        <v>50</v>
      </c>
      <c r="O30" s="2">
        <v>0.3</v>
      </c>
      <c r="P30" s="2">
        <v>0.67</v>
      </c>
      <c r="Q30" s="2" t="s">
        <v>43</v>
      </c>
      <c r="R30" s="2" t="s">
        <v>13</v>
      </c>
    </row>
    <row r="31" spans="1:18" ht="21" customHeight="1">
      <c r="B31" s="1"/>
      <c r="I31" s="2"/>
      <c r="K31" s="3"/>
    </row>
    <row r="32" spans="1:18" ht="21.75" customHeight="1">
      <c r="I32" s="2"/>
    </row>
    <row r="33" spans="2:11" ht="21.75" customHeight="1">
      <c r="J33" s="2" t="s">
        <v>40</v>
      </c>
      <c r="K33" s="15">
        <f>SUM(K2:K32)</f>
        <v>63.680000000000021</v>
      </c>
    </row>
    <row r="34" spans="2:11" ht="21.75" customHeight="1" thickBot="1">
      <c r="K34" s="15"/>
    </row>
    <row r="35" spans="2:11" ht="21.75" customHeight="1">
      <c r="B35" s="22" t="s">
        <v>24</v>
      </c>
      <c r="C35" s="23" t="s">
        <v>22</v>
      </c>
      <c r="D35" s="24" t="s">
        <v>7</v>
      </c>
      <c r="F35" s="22" t="s">
        <v>36</v>
      </c>
      <c r="G35" s="23" t="s">
        <v>22</v>
      </c>
      <c r="H35" s="24" t="s">
        <v>7</v>
      </c>
      <c r="J35" s="2" t="s">
        <v>37</v>
      </c>
      <c r="K35" s="4">
        <f>K33+aa!K15+ii!K5</f>
        <v>141.58000000000001</v>
      </c>
    </row>
    <row r="36" spans="2:11" ht="21.75" customHeight="1" thickBot="1">
      <c r="B36" s="25" t="s">
        <v>20</v>
      </c>
      <c r="C36" s="21">
        <f ca="1">COUNTIF(SS_INSIDE_AREA,"O")</f>
        <v>29</v>
      </c>
      <c r="D36" s="26">
        <f ca="1">SUMIF(SS_INSIDE_AREA,"O",K2:K2)</f>
        <v>63.680000000000021</v>
      </c>
      <c r="F36" s="29" t="s">
        <v>20</v>
      </c>
      <c r="G36" s="21">
        <f ca="1">COUNTIF(II_INSIDE_AREA,"O")</f>
        <v>1</v>
      </c>
      <c r="H36" s="26">
        <f ca="1">ii!D8</f>
        <v>6</v>
      </c>
    </row>
    <row r="37" spans="2:11" ht="21.75" customHeight="1">
      <c r="B37" s="25" t="s">
        <v>21</v>
      </c>
      <c r="C37" s="21">
        <f ca="1">COUNTIF(SS_INSIDE_AREA,"X")</f>
        <v>0</v>
      </c>
      <c r="D37" s="26">
        <f ca="1">SUMIF(SS_INSIDE_AREA,"X",K2:K2)</f>
        <v>0</v>
      </c>
      <c r="F37" s="29" t="s">
        <v>21</v>
      </c>
      <c r="G37" s="21">
        <f ca="1">COUNTIF(II_INSIDE_AREA,"X")</f>
        <v>0</v>
      </c>
      <c r="H37" s="26">
        <f ca="1">ii!D9</f>
        <v>0</v>
      </c>
      <c r="J37" s="17" t="s">
        <v>38</v>
      </c>
      <c r="K37" s="18">
        <f ca="1">D46</f>
        <v>141.58000000000001</v>
      </c>
    </row>
    <row r="38" spans="2:11" ht="21.75" customHeight="1" thickBot="1">
      <c r="B38" s="19"/>
      <c r="C38" s="27"/>
      <c r="D38" s="28">
        <f ca="1">SUM(D36:D37)</f>
        <v>63.680000000000021</v>
      </c>
      <c r="F38" s="30"/>
      <c r="G38" s="27"/>
      <c r="H38" s="28">
        <f ca="1">ii!D10</f>
        <v>6</v>
      </c>
      <c r="J38" s="19" t="s">
        <v>39</v>
      </c>
      <c r="K38" s="20">
        <f ca="1">C46</f>
        <v>41</v>
      </c>
    </row>
    <row r="39" spans="2:11" ht="21.75" customHeight="1" thickBot="1"/>
    <row r="40" spans="2:11" ht="21.75" customHeight="1">
      <c r="B40" s="22" t="s">
        <v>23</v>
      </c>
      <c r="C40" s="23" t="s">
        <v>22</v>
      </c>
      <c r="D40" s="24" t="s">
        <v>7</v>
      </c>
    </row>
    <row r="41" spans="2:11" ht="21.75" customHeight="1">
      <c r="B41" s="25" t="s">
        <v>20</v>
      </c>
      <c r="C41" s="21">
        <f ca="1">COUNTIF(AA_INSIDE_AREA,"O")</f>
        <v>11</v>
      </c>
      <c r="D41" s="26">
        <f ca="1">aa!D16</f>
        <v>71.899999999999991</v>
      </c>
    </row>
    <row r="42" spans="2:11" ht="21.75" customHeight="1">
      <c r="B42" s="25" t="s">
        <v>21</v>
      </c>
      <c r="C42" s="21">
        <f ca="1">COUNTIF(AA_INSIDE_AREA,"X")</f>
        <v>0</v>
      </c>
      <c r="D42" s="26">
        <f ca="1">aa!D17</f>
        <v>0</v>
      </c>
    </row>
    <row r="43" spans="2:11" ht="21.75" customHeight="1" thickBot="1">
      <c r="B43" s="19"/>
      <c r="C43" s="27"/>
      <c r="D43" s="28">
        <f ca="1">SUM(D41:D42)</f>
        <v>71.899999999999991</v>
      </c>
    </row>
    <row r="44" spans="2:11" ht="21.75" customHeight="1" thickBot="1"/>
    <row r="45" spans="2:11" ht="21.75" customHeight="1">
      <c r="B45" s="22" t="s">
        <v>25</v>
      </c>
      <c r="C45" s="23" t="s">
        <v>22</v>
      </c>
      <c r="D45" s="24" t="s">
        <v>7</v>
      </c>
    </row>
    <row r="46" spans="2:11" ht="21.75" customHeight="1">
      <c r="B46" s="25" t="s">
        <v>20</v>
      </c>
      <c r="C46" s="21">
        <f ca="1">C36+C41+IF(H36=0,0,G36)</f>
        <v>41</v>
      </c>
      <c r="D46" s="26">
        <f ca="1">D36+D41+H36</f>
        <v>141.58000000000001</v>
      </c>
    </row>
    <row r="47" spans="2:11" ht="21.75" customHeight="1" thickBot="1">
      <c r="B47" s="19" t="s">
        <v>21</v>
      </c>
      <c r="C47" s="27">
        <f ca="1">C37+C42+IF(H37=0,0,G37)</f>
        <v>0</v>
      </c>
      <c r="D47" s="28">
        <f ca="1">D37+D42+H37</f>
        <v>0</v>
      </c>
    </row>
    <row r="53" spans="10:16" ht="21.75" customHeight="1">
      <c r="J53" s="13"/>
      <c r="K53" s="13"/>
      <c r="L53" s="13"/>
      <c r="M53" s="13"/>
      <c r="N53" s="13"/>
      <c r="O53" s="13"/>
      <c r="P53" s="13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r:id="rId5">
            <anchor moveWithCells="1">
              <from>
                <xdr:col>18</xdr:col>
                <xdr:colOff>95250</xdr:colOff>
                <xdr:row>2</xdr:row>
                <xdr:rowOff>47625</xdr:rowOff>
              </from>
              <to>
                <xdr:col>20</xdr:col>
                <xdr:colOff>114300</xdr:colOff>
                <xdr:row>3</xdr:row>
                <xdr:rowOff>133350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50" r:id="rId6" name="CommandButtonDelete">
          <controlPr defaultSize="0" autoLine="0" r:id="rId7">
            <anchor moveWithCells="1">
              <from>
                <xdr:col>18</xdr:col>
                <xdr:colOff>95250</xdr:colOff>
                <xdr:row>0</xdr:row>
                <xdr:rowOff>476250</xdr:rowOff>
              </from>
              <to>
                <xdr:col>20</xdr:col>
                <xdr:colOff>114300</xdr:colOff>
                <xdr:row>1</xdr:row>
                <xdr:rowOff>238125</xdr:rowOff>
              </to>
            </anchor>
          </controlPr>
        </control>
      </mc:Choice>
      <mc:Fallback>
        <control shapeId="2050" r:id="rId6" name="CommandButtonDelete"/>
      </mc:Fallback>
    </mc:AlternateContent>
    <mc:AlternateContent xmlns:mc="http://schemas.openxmlformats.org/markup-compatibility/2006">
      <mc:Choice Requires="x14">
        <control shapeId="2049" r:id="rId8" name="CommandButtonCopy">
          <controlPr defaultSize="0" autoLine="0" r:id="rId9">
            <anchor moveWithCells="1">
              <from>
                <xdr:col>18</xdr:col>
                <xdr:colOff>85725</xdr:colOff>
                <xdr:row>0</xdr:row>
                <xdr:rowOff>66675</xdr:rowOff>
              </from>
              <to>
                <xdr:col>20</xdr:col>
                <xdr:colOff>104775</xdr:colOff>
                <xdr:row>0</xdr:row>
                <xdr:rowOff>428625</xdr:rowOff>
              </to>
            </anchor>
          </controlPr>
        </control>
      </mc:Choice>
      <mc:Fallback>
        <control shapeId="2049" r:id="rId8" name="CommandButtonCop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18"/>
  <sheetViews>
    <sheetView workbookViewId="0">
      <selection activeCell="H26" sqref="H26"/>
    </sheetView>
  </sheetViews>
  <sheetFormatPr defaultColWidth="9" defaultRowHeight="21.75" customHeight="1"/>
  <cols>
    <col min="1" max="1" width="9" style="2"/>
    <col min="2" max="2" width="7.7109375" style="10" customWidth="1"/>
    <col min="3" max="3" width="7.42578125" style="2" customWidth="1"/>
    <col min="4" max="4" width="7.85546875" style="2" customWidth="1"/>
    <col min="5" max="5" width="10.140625" style="7" customWidth="1"/>
    <col min="6" max="6" width="9.140625" style="2" customWidth="1"/>
    <col min="7" max="7" width="9.85546875" style="2" customWidth="1"/>
    <col min="8" max="8" width="10.140625" style="2" customWidth="1"/>
    <col min="9" max="9" width="9" style="8"/>
    <col min="10" max="10" width="9" style="2"/>
    <col min="11" max="11" width="10.5703125" style="2" customWidth="1"/>
    <col min="12" max="12" width="25.28515625" style="2" customWidth="1"/>
    <col min="13" max="16384" width="9" style="2"/>
  </cols>
  <sheetData>
    <row r="1" spans="1:18" ht="47.25" customHeight="1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33" t="s">
        <v>8</v>
      </c>
      <c r="M1" s="34" t="s">
        <v>14</v>
      </c>
      <c r="N1" s="34" t="s">
        <v>15</v>
      </c>
      <c r="O1" s="34" t="s">
        <v>19</v>
      </c>
      <c r="P1" s="34" t="s">
        <v>17</v>
      </c>
      <c r="Q1" s="34" t="s">
        <v>18</v>
      </c>
      <c r="R1" s="34" t="s">
        <v>12</v>
      </c>
    </row>
    <row r="2" spans="1:18" s="8" customFormat="1" ht="21.75" customHeight="1">
      <c r="A2" s="1" t="s">
        <v>6</v>
      </c>
      <c r="B2" s="1" t="s">
        <v>26</v>
      </c>
      <c r="C2" s="2" t="s">
        <v>77</v>
      </c>
      <c r="D2" s="2" t="s">
        <v>78</v>
      </c>
      <c r="E2" s="12" t="s">
        <v>81</v>
      </c>
      <c r="F2" s="10">
        <v>40</v>
      </c>
      <c r="G2" s="10">
        <v>50</v>
      </c>
      <c r="H2" s="10">
        <v>0.3</v>
      </c>
      <c r="I2" s="10">
        <v>10</v>
      </c>
      <c r="J2" s="10" t="s">
        <v>35</v>
      </c>
      <c r="K2" s="2">
        <f t="shared" ref="K2:K10" si="0">aa_water(I2,J2)</f>
        <v>2.52</v>
      </c>
      <c r="L2" s="8" t="str">
        <f>D2&amp;" "&amp;E2</f>
        <v>개화리 598</v>
      </c>
      <c r="M2" s="8">
        <v>40</v>
      </c>
      <c r="N2" s="8">
        <v>50</v>
      </c>
      <c r="O2" s="8">
        <v>0.3</v>
      </c>
      <c r="P2" s="8">
        <v>2.52</v>
      </c>
      <c r="Q2" s="8" t="s">
        <v>35</v>
      </c>
      <c r="R2" s="8" t="s">
        <v>30</v>
      </c>
    </row>
    <row r="3" spans="1:18" s="8" customFormat="1" ht="21.75" customHeight="1">
      <c r="A3" s="1" t="s">
        <v>28</v>
      </c>
      <c r="B3" s="1" t="s">
        <v>26</v>
      </c>
      <c r="C3" s="2" t="s">
        <v>77</v>
      </c>
      <c r="D3" s="2" t="s">
        <v>78</v>
      </c>
      <c r="E3" s="12" t="s">
        <v>86</v>
      </c>
      <c r="F3" s="10">
        <v>30</v>
      </c>
      <c r="G3" s="10">
        <v>50</v>
      </c>
      <c r="H3" s="10">
        <v>0.5</v>
      </c>
      <c r="I3" s="10">
        <v>40</v>
      </c>
      <c r="J3" s="10" t="s">
        <v>48</v>
      </c>
      <c r="K3" s="2">
        <f t="shared" si="0"/>
        <v>7.48</v>
      </c>
      <c r="L3" s="8" t="str">
        <f t="shared" ref="L3:L10" si="1">D3&amp;" "&amp;E3</f>
        <v>개화리 558-1</v>
      </c>
      <c r="M3" s="8">
        <v>30</v>
      </c>
      <c r="N3" s="8">
        <v>50</v>
      </c>
      <c r="O3" s="8">
        <v>0.5</v>
      </c>
      <c r="P3" s="8">
        <v>7.48</v>
      </c>
      <c r="Q3" s="8" t="s">
        <v>48</v>
      </c>
      <c r="R3" s="8" t="s">
        <v>30</v>
      </c>
    </row>
    <row r="4" spans="1:18" s="8" customFormat="1" ht="21.75" customHeight="1">
      <c r="A4" s="1" t="s">
        <v>29</v>
      </c>
      <c r="B4" s="1" t="s">
        <v>26</v>
      </c>
      <c r="C4" s="2" t="s">
        <v>77</v>
      </c>
      <c r="D4" s="2" t="s">
        <v>78</v>
      </c>
      <c r="E4" s="12" t="s">
        <v>89</v>
      </c>
      <c r="F4" s="10">
        <v>90</v>
      </c>
      <c r="G4" s="10">
        <v>200</v>
      </c>
      <c r="H4" s="10">
        <v>2</v>
      </c>
      <c r="I4" s="10">
        <v>170</v>
      </c>
      <c r="J4" s="10" t="s">
        <v>35</v>
      </c>
      <c r="K4" s="2">
        <f t="shared" si="0"/>
        <v>9.4</v>
      </c>
      <c r="L4" s="8" t="str">
        <f t="shared" si="1"/>
        <v>개화리 553</v>
      </c>
      <c r="M4" s="8">
        <v>90</v>
      </c>
      <c r="N4" s="8">
        <v>200</v>
      </c>
      <c r="O4" s="8">
        <v>2</v>
      </c>
      <c r="P4" s="8">
        <v>9.4</v>
      </c>
      <c r="Q4" s="8" t="s">
        <v>35</v>
      </c>
      <c r="R4" s="8" t="s">
        <v>30</v>
      </c>
    </row>
    <row r="5" spans="1:18" s="8" customFormat="1" ht="21.75" customHeight="1">
      <c r="A5" s="1" t="s">
        <v>41</v>
      </c>
      <c r="B5" s="1" t="s">
        <v>26</v>
      </c>
      <c r="C5" s="2" t="s">
        <v>77</v>
      </c>
      <c r="D5" s="2" t="s">
        <v>78</v>
      </c>
      <c r="E5" s="12" t="s">
        <v>91</v>
      </c>
      <c r="F5" s="10">
        <v>25</v>
      </c>
      <c r="G5" s="10">
        <v>50</v>
      </c>
      <c r="H5" s="10">
        <v>0.5</v>
      </c>
      <c r="I5" s="10">
        <v>20</v>
      </c>
      <c r="J5" s="10" t="s">
        <v>92</v>
      </c>
      <c r="K5" s="2">
        <f t="shared" si="0"/>
        <v>7.22</v>
      </c>
      <c r="L5" s="8" t="str">
        <f t="shared" si="1"/>
        <v>개화리 551</v>
      </c>
      <c r="M5" s="8">
        <v>25</v>
      </c>
      <c r="N5" s="8">
        <v>50</v>
      </c>
      <c r="O5" s="8">
        <v>0.5</v>
      </c>
      <c r="P5" s="8">
        <v>7.22</v>
      </c>
      <c r="Q5" s="8" t="s">
        <v>92</v>
      </c>
      <c r="R5" s="8" t="s">
        <v>30</v>
      </c>
    </row>
    <row r="6" spans="1:18" s="8" customFormat="1" ht="21.75" customHeight="1">
      <c r="A6" s="1" t="s">
        <v>42</v>
      </c>
      <c r="B6" s="1" t="s">
        <v>26</v>
      </c>
      <c r="C6" s="2" t="s">
        <v>77</v>
      </c>
      <c r="D6" s="2" t="s">
        <v>78</v>
      </c>
      <c r="E6" s="12" t="s">
        <v>93</v>
      </c>
      <c r="F6" s="10">
        <v>25</v>
      </c>
      <c r="G6" s="10">
        <v>50</v>
      </c>
      <c r="H6" s="10">
        <v>0.5</v>
      </c>
      <c r="I6" s="10">
        <v>20</v>
      </c>
      <c r="J6" s="10" t="s">
        <v>48</v>
      </c>
      <c r="K6" s="2">
        <f t="shared" si="0"/>
        <v>7.22</v>
      </c>
      <c r="L6" s="8" t="str">
        <f t="shared" si="1"/>
        <v>개화리 627</v>
      </c>
      <c r="M6" s="8">
        <v>25</v>
      </c>
      <c r="N6" s="8">
        <v>50</v>
      </c>
      <c r="O6" s="8">
        <v>0.5</v>
      </c>
      <c r="P6" s="8">
        <v>7.22</v>
      </c>
      <c r="Q6" s="8" t="s">
        <v>48</v>
      </c>
      <c r="R6" s="8" t="s">
        <v>30</v>
      </c>
    </row>
    <row r="7" spans="1:18" s="8" customFormat="1" ht="21.75" customHeight="1">
      <c r="A7" s="1" t="s">
        <v>44</v>
      </c>
      <c r="B7" s="1" t="s">
        <v>26</v>
      </c>
      <c r="C7" s="2" t="s">
        <v>77</v>
      </c>
      <c r="D7" s="2" t="s">
        <v>78</v>
      </c>
      <c r="E7" s="12" t="s">
        <v>95</v>
      </c>
      <c r="F7" s="10">
        <v>25</v>
      </c>
      <c r="G7" s="10">
        <v>50</v>
      </c>
      <c r="H7" s="10">
        <v>0.5</v>
      </c>
      <c r="I7" s="10">
        <v>20</v>
      </c>
      <c r="J7" s="10" t="s">
        <v>48</v>
      </c>
      <c r="K7" s="2">
        <f t="shared" si="0"/>
        <v>7.22</v>
      </c>
      <c r="L7" s="8" t="str">
        <f t="shared" si="1"/>
        <v>개화리 636</v>
      </c>
      <c r="M7" s="8">
        <v>25</v>
      </c>
      <c r="N7" s="8">
        <v>50</v>
      </c>
      <c r="O7" s="8">
        <v>0.5</v>
      </c>
      <c r="P7" s="8">
        <v>7.22</v>
      </c>
      <c r="Q7" s="8" t="s">
        <v>48</v>
      </c>
      <c r="R7" s="8" t="s">
        <v>30</v>
      </c>
    </row>
    <row r="8" spans="1:18" s="8" customFormat="1" ht="21.75" customHeight="1">
      <c r="A8" s="1" t="s">
        <v>45</v>
      </c>
      <c r="B8" s="1" t="s">
        <v>26</v>
      </c>
      <c r="C8" s="2" t="s">
        <v>75</v>
      </c>
      <c r="D8" s="2" t="s">
        <v>101</v>
      </c>
      <c r="E8" s="12" t="s">
        <v>117</v>
      </c>
      <c r="F8" s="10">
        <v>30</v>
      </c>
      <c r="G8" s="10">
        <v>50</v>
      </c>
      <c r="H8" s="10">
        <v>0.5</v>
      </c>
      <c r="I8" s="10">
        <v>30</v>
      </c>
      <c r="J8" s="10" t="s">
        <v>118</v>
      </c>
      <c r="K8" s="2">
        <f t="shared" si="0"/>
        <v>3.12</v>
      </c>
      <c r="L8" s="8" t="str">
        <f t="shared" si="1"/>
        <v>평리 115-1</v>
      </c>
      <c r="M8" s="8">
        <v>30</v>
      </c>
      <c r="N8" s="8">
        <v>50</v>
      </c>
      <c r="O8" s="8">
        <v>0.5</v>
      </c>
      <c r="P8" s="8">
        <v>3.12</v>
      </c>
      <c r="Q8" s="8" t="s">
        <v>118</v>
      </c>
      <c r="R8" s="8" t="s">
        <v>30</v>
      </c>
    </row>
    <row r="9" spans="1:18" s="8" customFormat="1" ht="21.75" customHeight="1">
      <c r="A9" s="1" t="s">
        <v>46</v>
      </c>
      <c r="B9" s="1" t="s">
        <v>26</v>
      </c>
      <c r="C9" s="2" t="s">
        <v>75</v>
      </c>
      <c r="D9" s="2" t="s">
        <v>101</v>
      </c>
      <c r="E9" s="12" t="s">
        <v>119</v>
      </c>
      <c r="F9" s="10">
        <v>70</v>
      </c>
      <c r="G9" s="10">
        <v>150</v>
      </c>
      <c r="H9" s="10">
        <v>3</v>
      </c>
      <c r="I9" s="10">
        <v>90</v>
      </c>
      <c r="J9" s="10" t="s">
        <v>35</v>
      </c>
      <c r="K9" s="2">
        <f t="shared" si="0"/>
        <v>5.96</v>
      </c>
      <c r="L9" s="8" t="str">
        <f t="shared" si="1"/>
        <v>평리 10-1</v>
      </c>
      <c r="M9" s="8">
        <v>70</v>
      </c>
      <c r="N9" s="8">
        <v>150</v>
      </c>
      <c r="O9" s="8">
        <v>3</v>
      </c>
      <c r="P9" s="8">
        <v>5.96</v>
      </c>
      <c r="Q9" s="8" t="s">
        <v>35</v>
      </c>
      <c r="R9" s="8" t="s">
        <v>30</v>
      </c>
    </row>
    <row r="10" spans="1:18" s="8" customFormat="1" ht="21.75" customHeight="1">
      <c r="A10" s="1" t="s">
        <v>47</v>
      </c>
      <c r="B10" s="1" t="s">
        <v>26</v>
      </c>
      <c r="C10" s="2" t="s">
        <v>75</v>
      </c>
      <c r="D10" s="2" t="s">
        <v>76</v>
      </c>
      <c r="E10" s="12" t="s">
        <v>120</v>
      </c>
      <c r="F10" s="10">
        <v>30</v>
      </c>
      <c r="G10" s="10">
        <v>50</v>
      </c>
      <c r="H10" s="10">
        <v>0.5</v>
      </c>
      <c r="I10" s="10">
        <v>17</v>
      </c>
      <c r="J10" s="10" t="s">
        <v>118</v>
      </c>
      <c r="K10" s="2">
        <f t="shared" si="0"/>
        <v>2.98</v>
      </c>
      <c r="L10" s="8" t="str">
        <f t="shared" si="1"/>
        <v>수부리 17</v>
      </c>
      <c r="M10" s="8">
        <v>30</v>
      </c>
      <c r="N10" s="8">
        <v>50</v>
      </c>
      <c r="O10" s="8">
        <v>0.5</v>
      </c>
      <c r="P10" s="8">
        <v>2.98</v>
      </c>
      <c r="Q10" s="8" t="s">
        <v>118</v>
      </c>
      <c r="R10" s="8" t="s">
        <v>30</v>
      </c>
    </row>
    <row r="11" spans="1:18" s="8" customFormat="1" ht="21.75" customHeight="1">
      <c r="A11" s="1" t="s">
        <v>109</v>
      </c>
      <c r="B11" s="32" t="s">
        <v>127</v>
      </c>
      <c r="C11" s="2" t="s">
        <v>75</v>
      </c>
      <c r="D11" s="2" t="s">
        <v>76</v>
      </c>
      <c r="E11" s="12" t="s">
        <v>126</v>
      </c>
      <c r="F11" s="10">
        <v>97.5</v>
      </c>
      <c r="G11" s="10">
        <v>250</v>
      </c>
      <c r="H11" s="10">
        <v>5</v>
      </c>
      <c r="I11" s="10">
        <v>301</v>
      </c>
      <c r="J11" s="10" t="s">
        <v>35</v>
      </c>
      <c r="K11" s="2">
        <f t="shared" ref="K11:K12" si="2">aa_water(I11,J11)</f>
        <v>15.03</v>
      </c>
      <c r="L11" s="8" t="str">
        <f t="shared" ref="L11:L12" si="3">D11&amp;" "&amp;E11</f>
        <v>수부리 110-11</v>
      </c>
      <c r="M11" s="8">
        <v>97.5</v>
      </c>
      <c r="N11" s="8">
        <v>250</v>
      </c>
      <c r="O11" s="8">
        <v>5</v>
      </c>
      <c r="P11" s="8">
        <v>15.03</v>
      </c>
      <c r="Q11" s="8" t="s">
        <v>35</v>
      </c>
      <c r="R11" s="8" t="s">
        <v>30</v>
      </c>
    </row>
    <row r="12" spans="1:18" s="8" customFormat="1" ht="21.75" customHeight="1">
      <c r="A12" s="1" t="s">
        <v>110</v>
      </c>
      <c r="B12" s="1" t="s">
        <v>26</v>
      </c>
      <c r="C12" s="2" t="s">
        <v>75</v>
      </c>
      <c r="D12" s="2" t="s">
        <v>76</v>
      </c>
      <c r="E12" s="12" t="s">
        <v>107</v>
      </c>
      <c r="F12" s="10">
        <v>100</v>
      </c>
      <c r="G12" s="10">
        <v>200</v>
      </c>
      <c r="H12" s="10">
        <v>1</v>
      </c>
      <c r="I12" s="10">
        <v>30</v>
      </c>
      <c r="J12" s="10" t="s">
        <v>128</v>
      </c>
      <c r="K12" s="2">
        <f t="shared" si="2"/>
        <v>3.75</v>
      </c>
      <c r="L12" s="8" t="str">
        <f t="shared" si="3"/>
        <v>수부리 2-1</v>
      </c>
      <c r="M12" s="8">
        <v>100</v>
      </c>
      <c r="N12" s="8">
        <v>200</v>
      </c>
      <c r="O12" s="8">
        <v>1</v>
      </c>
      <c r="P12" s="8">
        <v>3.75</v>
      </c>
      <c r="Q12" s="8" t="s">
        <v>128</v>
      </c>
      <c r="R12" s="8" t="s">
        <v>30</v>
      </c>
    </row>
    <row r="13" spans="1:18" s="8" customFormat="1" ht="21.75" customHeight="1">
      <c r="A13" s="1"/>
      <c r="B13" s="1"/>
      <c r="C13" s="2"/>
      <c r="D13" s="2"/>
      <c r="E13" s="12"/>
      <c r="F13" s="10"/>
      <c r="G13" s="10"/>
      <c r="H13" s="10"/>
      <c r="I13" s="10"/>
      <c r="J13" s="10"/>
      <c r="K13" s="2"/>
      <c r="L13" s="2"/>
      <c r="M13" s="10"/>
      <c r="N13" s="10"/>
      <c r="O13" s="10"/>
      <c r="P13" s="3"/>
      <c r="Q13" s="10"/>
      <c r="R13" s="2"/>
    </row>
    <row r="14" spans="1:18" ht="21.75" customHeight="1" thickBot="1">
      <c r="K14" s="5"/>
    </row>
    <row r="15" spans="1:18" ht="21.75" customHeight="1">
      <c r="B15" s="31" t="s">
        <v>23</v>
      </c>
      <c r="C15" s="23" t="s">
        <v>22</v>
      </c>
      <c r="D15" s="24" t="s">
        <v>7</v>
      </c>
      <c r="J15" s="2" t="s">
        <v>37</v>
      </c>
      <c r="K15" s="14">
        <f>SUM(K2:K14)</f>
        <v>71.899999999999991</v>
      </c>
      <c r="L15" s="11"/>
    </row>
    <row r="16" spans="1:18" ht="21.75" customHeight="1">
      <c r="B16" s="29" t="s">
        <v>20</v>
      </c>
      <c r="C16" s="21">
        <f ca="1">COUNTIF(AA_INSIDE_AREA,"O")</f>
        <v>11</v>
      </c>
      <c r="D16" s="26">
        <f ca="1">SUMIF(AA_INSIDE_AREA,"O",$K$2:$K$2)</f>
        <v>71.899999999999991</v>
      </c>
    </row>
    <row r="17" spans="2:11" ht="21.75" customHeight="1">
      <c r="B17" s="29" t="s">
        <v>21</v>
      </c>
      <c r="C17" s="21">
        <f ca="1">COUNTIF(AA_INSIDE_AREA,"X")</f>
        <v>0</v>
      </c>
      <c r="D17" s="26">
        <f ca="1">SUMIF(AA_INSIDE_AREA,"X",$K$2:$K$2)</f>
        <v>0</v>
      </c>
      <c r="K17" s="4"/>
    </row>
    <row r="18" spans="2:11" ht="21.75" customHeight="1" thickBot="1">
      <c r="B18" s="30"/>
      <c r="C18" s="27"/>
      <c r="D18" s="28">
        <f ca="1">D16+D17</f>
        <v>71.899999999999991</v>
      </c>
      <c r="K18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3">
          <controlPr defaultSize="0" autoLine="0" r:id="rId5">
            <anchor moveWithCells="1">
              <from>
                <xdr:col>18</xdr:col>
                <xdr:colOff>133350</xdr:colOff>
                <xdr:row>2</xdr:row>
                <xdr:rowOff>133350</xdr:rowOff>
              </from>
              <to>
                <xdr:col>20</xdr:col>
                <xdr:colOff>152400</xdr:colOff>
                <xdr:row>3</xdr:row>
                <xdr:rowOff>219075</xdr:rowOff>
              </to>
            </anchor>
          </controlPr>
        </control>
      </mc:Choice>
      <mc:Fallback>
        <control shapeId="3075" r:id="rId4" name="CommandButton3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18</xdr:col>
                <xdr:colOff>123825</xdr:colOff>
                <xdr:row>0</xdr:row>
                <xdr:rowOff>523875</xdr:rowOff>
              </from>
              <to>
                <xdr:col>20</xdr:col>
                <xdr:colOff>142875</xdr:colOff>
                <xdr:row>2</xdr:row>
                <xdr:rowOff>9525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18</xdr:col>
                <xdr:colOff>114300</xdr:colOff>
                <xdr:row>0</xdr:row>
                <xdr:rowOff>85725</xdr:rowOff>
              </from>
              <to>
                <xdr:col>20</xdr:col>
                <xdr:colOff>133350</xdr:colOff>
                <xdr:row>0</xdr:row>
                <xdr:rowOff>447675</xdr:rowOff>
              </to>
            </anchor>
          </controlPr>
        </control>
      </mc:Choice>
      <mc:Fallback>
        <control shapeId="3073" r:id="rId8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0"/>
  <sheetViews>
    <sheetView workbookViewId="0">
      <selection activeCell="L2" sqref="L2:R2"/>
    </sheetView>
  </sheetViews>
  <sheetFormatPr defaultRowHeight="15"/>
  <cols>
    <col min="1" max="4" width="9" style="8"/>
    <col min="5" max="5" width="9" style="9"/>
    <col min="6" max="6" width="11" style="8" customWidth="1"/>
    <col min="7" max="7" width="9" style="8" customWidth="1"/>
    <col min="8" max="8" width="7.28515625" style="8" customWidth="1"/>
    <col min="9" max="9" width="9" style="8"/>
    <col min="10" max="10" width="13" style="8" customWidth="1"/>
    <col min="11" max="11" width="10.85546875" style="8" customWidth="1"/>
    <col min="12" max="12" width="19.85546875" customWidth="1"/>
    <col min="13" max="15" width="9" style="8"/>
    <col min="17" max="17" width="11.140625" style="8" customWidth="1"/>
    <col min="20" max="20" width="11" customWidth="1"/>
  </cols>
  <sheetData>
    <row r="1" spans="1:18" s="2" customFormat="1" ht="47.25" customHeight="1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7</v>
      </c>
      <c r="Q1" s="2" t="s">
        <v>18</v>
      </c>
      <c r="R1" s="2" t="s">
        <v>12</v>
      </c>
    </row>
    <row r="2" spans="1:18" ht="21.75" customHeight="1">
      <c r="A2" s="8" t="s">
        <v>11</v>
      </c>
      <c r="B2" s="1" t="s">
        <v>4</v>
      </c>
      <c r="C2" s="2" t="s">
        <v>49</v>
      </c>
      <c r="D2" s="2" t="s">
        <v>101</v>
      </c>
      <c r="E2" s="7" t="s">
        <v>103</v>
      </c>
      <c r="F2" s="2">
        <v>80</v>
      </c>
      <c r="G2" s="2">
        <v>150</v>
      </c>
      <c r="H2" s="2">
        <v>1</v>
      </c>
      <c r="I2" s="2">
        <v>50</v>
      </c>
      <c r="J2" s="2" t="s">
        <v>104</v>
      </c>
      <c r="K2" s="2">
        <v>6</v>
      </c>
      <c r="L2" s="2" t="str">
        <f>D2&amp;" "&amp;E2&amp;" 번지"</f>
        <v>평리 2-36 번지</v>
      </c>
      <c r="M2" s="2">
        <v>80</v>
      </c>
      <c r="N2" s="2">
        <v>150</v>
      </c>
      <c r="O2" s="2">
        <v>1</v>
      </c>
      <c r="P2" s="2">
        <v>6</v>
      </c>
      <c r="Q2" s="2" t="s">
        <v>104</v>
      </c>
      <c r="R2" s="8" t="s">
        <v>30</v>
      </c>
    </row>
    <row r="3" spans="1:18" ht="21.75" customHeight="1"/>
    <row r="4" spans="1:18" ht="21.75" customHeight="1"/>
    <row r="5" spans="1:18" ht="21.75" customHeight="1">
      <c r="J5" s="8" t="s">
        <v>37</v>
      </c>
      <c r="K5" s="15">
        <f>SUM(K2:K4)</f>
        <v>6</v>
      </c>
    </row>
    <row r="6" spans="1:18" ht="18.75" customHeight="1" thickBot="1"/>
    <row r="7" spans="1:18" ht="18.75" customHeight="1">
      <c r="B7" s="31" t="s">
        <v>36</v>
      </c>
      <c r="C7" s="23" t="s">
        <v>22</v>
      </c>
      <c r="D7" s="24" t="s">
        <v>7</v>
      </c>
      <c r="K7" s="4"/>
    </row>
    <row r="8" spans="1:18" ht="18.75" customHeight="1">
      <c r="B8" s="29" t="s">
        <v>20</v>
      </c>
      <c r="C8" s="21">
        <f ca="1">COUNTIF(II_INSIDE_AREA,"O")</f>
        <v>1</v>
      </c>
      <c r="D8" s="26">
        <f ca="1">SUMIF(II_INSIDE_AREA,"O",$K$2:$K$2)</f>
        <v>6</v>
      </c>
      <c r="K8" s="4"/>
    </row>
    <row r="9" spans="1:18" ht="18.75" customHeight="1">
      <c r="B9" s="29" t="s">
        <v>21</v>
      </c>
      <c r="C9" s="21">
        <f ca="1">COUNTIF(II_INSIDE_AREA,"X")</f>
        <v>0</v>
      </c>
      <c r="D9" s="26">
        <f ca="1">SUMIF(II_INSIDE_AREA,"X",$K$2:$K$2)</f>
        <v>0</v>
      </c>
    </row>
    <row r="10" spans="1:18" ht="18.75" customHeight="1" thickBot="1">
      <c r="B10" s="30"/>
      <c r="C10" s="27"/>
      <c r="D10" s="28">
        <f ca="1">D8+D9</f>
        <v>6</v>
      </c>
    </row>
    <row r="11" spans="1:18" ht="18.75" customHeight="1"/>
    <row r="12" spans="1:18" ht="18.75" customHeight="1"/>
    <row r="13" spans="1:18" ht="18.75" customHeight="1"/>
    <row r="14" spans="1:18" ht="18.75" customHeight="1"/>
    <row r="15" spans="1:18" ht="18.75" customHeight="1"/>
    <row r="16" spans="1:18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133350</xdr:colOff>
                <xdr:row>0</xdr:row>
                <xdr:rowOff>133350</xdr:rowOff>
              </from>
              <to>
                <xdr:col>20</xdr:col>
                <xdr:colOff>9525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18</xdr:col>
                <xdr:colOff>133350</xdr:colOff>
                <xdr:row>0</xdr:row>
                <xdr:rowOff>523875</xdr:rowOff>
              </from>
              <to>
                <xdr:col>20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20</xdr:col>
                <xdr:colOff>76200</xdr:colOff>
                <xdr:row>0</xdr:row>
                <xdr:rowOff>276225</xdr:rowOff>
              </from>
              <to>
                <xdr:col>22</xdr:col>
                <xdr:colOff>76200</xdr:colOff>
                <xdr:row>1</xdr:row>
                <xdr:rowOff>38100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2023-02-27T02:05:01Z</dcterms:modified>
</cp:coreProperties>
</file>