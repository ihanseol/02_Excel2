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9_hardRain\09_ihanseol - 2024\17_생활용 - 덕암축구센터 , 1개공 - 동해엔지니어링\"/>
    </mc:Choice>
  </mc:AlternateContent>
  <xr:revisionPtr revIDLastSave="0" documentId="13_ncr:1_{52C34A27-5E8B-493C-91D7-3357020F1F3D}" xr6:coauthVersionLast="47" xr6:coauthVersionMax="47" xr10:uidLastSave="{00000000-0000-0000-0000-000000000000}"/>
  <bookViews>
    <workbookView xWindow="41460" yWindow="180" windowWidth="30900" windowHeight="2034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1" l="1"/>
  <c r="M4" i="11"/>
  <c r="M5" i="11"/>
  <c r="M6" i="11"/>
  <c r="M13" i="8"/>
  <c r="M14" i="8"/>
  <c r="M15" i="8"/>
  <c r="M16" i="8"/>
  <c r="M17" i="8"/>
  <c r="M3" i="8"/>
  <c r="M4" i="8"/>
  <c r="M5" i="8"/>
  <c r="M6" i="8"/>
  <c r="M7" i="8"/>
  <c r="M8" i="8"/>
  <c r="M9" i="8"/>
  <c r="M10" i="8"/>
  <c r="M11" i="8"/>
  <c r="M12" i="8"/>
  <c r="M3" i="10" l="1"/>
  <c r="M4" i="10"/>
  <c r="M5" i="10"/>
  <c r="M6" i="10"/>
  <c r="M7" i="10"/>
  <c r="M8" i="10"/>
  <c r="M9" i="10"/>
  <c r="M10" i="10"/>
  <c r="M11" i="10"/>
  <c r="D16" i="10"/>
  <c r="C16" i="10"/>
  <c r="D15" i="10"/>
  <c r="C15" i="10"/>
  <c r="H22" i="8" l="1"/>
  <c r="D17" i="10"/>
  <c r="L21" i="8"/>
  <c r="M2" i="8" l="1"/>
  <c r="F23" i="8" l="1"/>
  <c r="E23" i="8" s="1"/>
  <c r="F22" i="8"/>
  <c r="E22" i="8" s="1"/>
  <c r="J9" i="12"/>
  <c r="M2" i="10"/>
  <c r="D13" i="11" l="1"/>
  <c r="C13" i="11"/>
  <c r="D12" i="11"/>
  <c r="L9" i="11"/>
  <c r="L22" i="8" s="1"/>
  <c r="M2" i="11"/>
  <c r="C12" i="11" l="1"/>
  <c r="J23" i="8"/>
  <c r="I23" i="8" s="1"/>
  <c r="J22" i="8"/>
  <c r="I22" i="8" s="1"/>
  <c r="D14" i="11"/>
  <c r="H23" i="8" l="1"/>
  <c r="D23" i="8" l="1"/>
  <c r="G23" i="8"/>
  <c r="C23" i="8" s="1"/>
  <c r="D22" i="8"/>
  <c r="L24" i="8" s="1"/>
  <c r="G22" i="8"/>
  <c r="C22" i="8" s="1"/>
  <c r="L25" i="8" s="1"/>
</calcChain>
</file>

<file path=xl/sharedStrings.xml><?xml version="1.0" encoding="utf-8"?>
<sst xmlns="http://schemas.openxmlformats.org/spreadsheetml/2006/main" count="4905" uniqueCount="659">
  <si>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</si>
  <si>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</si>
  <si>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</si>
  <si>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</si>
  <si>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</si>
  <si>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</si>
  <si>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</si>
  <si>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</si>
  <si>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</si>
  <si>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</si>
  <si>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</si>
  <si>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</si>
  <si>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</si>
  <si>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</si>
  <si>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</si>
  <si>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</si>
  <si>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</si>
  <si>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</si>
  <si>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</si>
  <si>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</si>
  <si>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</si>
  <si>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</si>
  <si>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</si>
  <si>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</si>
  <si>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</si>
  <si>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</si>
  <si>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</si>
  <si>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</si>
  <si>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</si>
  <si>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</si>
  <si>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</si>
  <si>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</si>
  <si>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</si>
  <si>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</si>
  <si>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</si>
  <si>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</si>
  <si>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</si>
  <si>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</si>
  <si>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</si>
  <si>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</si>
  <si>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</si>
  <si>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</si>
  <si>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</si>
  <si>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</si>
  <si>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</si>
  <si>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</si>
  <si>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</si>
  <si>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</si>
  <si>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</si>
  <si>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</si>
  <si>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</si>
  <si>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</si>
  <si>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</si>
  <si>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</si>
  <si>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</si>
  <si>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</si>
  <si>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</si>
  <si>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</si>
  <si>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</si>
  <si>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</si>
  <si>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</si>
  <si>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</si>
  <si>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</si>
  <si>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</si>
  <si>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</si>
  <si>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</si>
  <si>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</si>
  <si>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</si>
  <si>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</si>
  <si>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</si>
  <si>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</si>
  <si>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</si>
  <si>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</si>
  <si>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</si>
  <si>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</si>
  <si>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</si>
  <si>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</si>
  <si>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</si>
  <si>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</si>
  <si>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</si>
  <si>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</si>
  <si>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</si>
  <si>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</si>
  <si>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</si>
  <si>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</si>
  <si>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</si>
  <si>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</si>
  <si>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</si>
  <si>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</si>
  <si>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</si>
  <si>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</si>
  <si>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</si>
  <si>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</si>
  <si>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</si>
  <si>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</si>
  <si>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</si>
  <si>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</si>
  <si>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</si>
  <si>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</si>
  <si>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</si>
  <si>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</si>
  <si>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</si>
  <si>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</si>
  <si>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</si>
  <si>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</si>
  <si>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</si>
  <si>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</si>
  <si>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</si>
  <si>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</si>
  <si>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</si>
  <si>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</si>
  <si>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</si>
  <si>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</si>
  <si>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</si>
  <si>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</si>
  <si>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</si>
  <si>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</si>
  <si>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</si>
  <si>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</si>
  <si>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</si>
  <si>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</si>
  <si>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</si>
  <si>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</si>
  <si>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</si>
  <si>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</si>
  <si>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</si>
  <si>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</si>
  <si>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</si>
  <si>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</si>
  <si>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</si>
  <si>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</si>
  <si>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</si>
  <si>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</si>
  <si>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</si>
  <si>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</si>
  <si>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</si>
  <si>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</si>
  <si>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</si>
  <si>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</si>
  <si>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</si>
  <si>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</si>
  <si>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</si>
  <si>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</si>
  <si>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</si>
  <si>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</si>
  <si>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</si>
  <si>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</si>
  <si>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</si>
  <si>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</si>
  <si>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</si>
  <si>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</si>
  <si>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</si>
  <si>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</si>
  <si>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</si>
  <si>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</si>
  <si>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</si>
  <si>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</si>
  <si>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</si>
  <si>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</si>
  <si>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</si>
  <si>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</si>
  <si>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</si>
  <si>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</si>
  <si>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</si>
  <si>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</si>
  <si>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</si>
  <si>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</si>
  <si>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</si>
  <si>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</si>
  <si>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</si>
  <si>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</si>
  <si>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</si>
  <si>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</si>
  <si>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</si>
  <si>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</si>
  <si>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</si>
  <si>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</si>
  <si>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</si>
  <si>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</si>
  <si>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</si>
  <si>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</si>
  <si>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</si>
  <si>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</si>
  <si>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</si>
  <si>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</si>
  <si>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</si>
  <si>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</si>
  <si>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</si>
  <si>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</si>
  <si>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</si>
  <si>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</si>
  <si>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</si>
  <si>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</si>
  <si>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</si>
  <si>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</si>
  <si>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</si>
  <si>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</si>
  <si>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</si>
  <si>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</si>
  <si>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</si>
  <si>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</si>
  <si>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</si>
  <si>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</si>
  <si>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</si>
  <si>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</si>
  <si>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</si>
  <si>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</si>
  <si>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</si>
  <si>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</si>
  <si>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</si>
  <si>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</si>
  <si>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</si>
  <si>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</si>
  <si>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</si>
  <si>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</si>
  <si>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</si>
  <si>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</si>
  <si>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</si>
  <si>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</si>
  <si>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</si>
  <si>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</si>
  <si>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</si>
  <si>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</si>
  <si>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</si>
  <si>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</si>
  <si>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</si>
  <si>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</si>
  <si>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</si>
  <si>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</si>
  <si>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</si>
  <si>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</si>
  <si>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</si>
  <si>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</si>
  <si>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</si>
  <si>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</si>
  <si>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</si>
  <si>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</si>
  <si>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</si>
  <si>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</si>
  <si>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</si>
  <si>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</si>
  <si>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</si>
  <si>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</si>
  <si>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</si>
  <si>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</si>
  <si>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</si>
  <si>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</si>
  <si>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</si>
  <si>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</si>
  <si>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</si>
  <si>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</si>
  <si>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</si>
  <si>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</si>
  <si>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</si>
  <si>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</si>
  <si>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</si>
  <si>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</si>
  <si>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</si>
  <si>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</si>
  <si>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</si>
  <si>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</si>
  <si>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</si>
  <si>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</si>
  <si>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</si>
  <si>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</si>
  <si>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</si>
  <si>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</si>
  <si>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</si>
  <si>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</si>
  <si>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</si>
  <si>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</si>
  <si>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</si>
  <si>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</si>
  <si>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</si>
  <si>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</si>
  <si>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</si>
  <si>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</si>
  <si>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</si>
  <si>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</si>
  <si>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</si>
  <si>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</si>
  <si>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</si>
  <si>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</si>
  <si>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</si>
  <si>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</si>
  <si>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</si>
  <si>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</si>
  <si>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</si>
  <si>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</si>
  <si>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</si>
  <si>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</si>
  <si>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</si>
  <si>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</si>
  <si>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</si>
  <si>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</si>
  <si>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</si>
  <si>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</si>
  <si>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</si>
  <si>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</si>
  <si>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</si>
  <si>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</si>
  <si>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</si>
  <si>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</si>
  <si>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</si>
  <si>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</si>
  <si>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</si>
  <si>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</si>
  <si>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</si>
  <si>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</si>
  <si>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</si>
  <si>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</si>
  <si>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</si>
  <si>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</si>
  <si>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</si>
  <si>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</si>
  <si>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</si>
  <si>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</si>
  <si>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</si>
  <si>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</si>
  <si>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</si>
  <si>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</si>
  <si>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</si>
  <si>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</si>
  <si>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</si>
  <si>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</si>
  <si>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</si>
  <si>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</si>
  <si>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</si>
  <si>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</si>
  <si>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</si>
  <si>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</si>
  <si>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</si>
  <si>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</si>
  <si>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</si>
  <si>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</si>
  <si>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</si>
  <si>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</si>
  <si>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</si>
  <si>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</si>
  <si>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</si>
  <si>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</si>
  <si>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</si>
  <si>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</si>
  <si>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</si>
  <si>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</si>
  <si>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</si>
  <si>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s17</t>
    <phoneticPr fontId="19" type="noConversion"/>
  </si>
  <si>
    <t>s18</t>
    <phoneticPr fontId="19" type="noConversion"/>
  </si>
  <si>
    <t>s19</t>
    <phoneticPr fontId="19" type="noConversion"/>
  </si>
  <si>
    <t>s20</t>
    <phoneticPr fontId="19" type="noConversion"/>
  </si>
  <si>
    <t>s21</t>
    <phoneticPr fontId="19" type="noConversion"/>
  </si>
  <si>
    <t>답작용</t>
  </si>
  <si>
    <t>✔</t>
    <phoneticPr fontId="19" type="noConversion"/>
  </si>
  <si>
    <t>민방위용</t>
  </si>
  <si>
    <t>공사용</t>
  </si>
  <si>
    <t>지열냉난방</t>
  </si>
  <si>
    <t>조경용</t>
  </si>
  <si>
    <t>학교용</t>
  </si>
  <si>
    <t>서울특별시 용산구 서계동 226-3 , s1</t>
  </si>
  <si>
    <t>서울특별시 용산구 서계동 224-32 , s2</t>
  </si>
  <si>
    <t>서울특별시 용산구 서계동 224-10 , s3</t>
  </si>
  <si>
    <t>서울특별시 중구 봉래동2가 122-11 , s4</t>
  </si>
  <si>
    <t>서울특별시 용산구 동자동 12 , s5</t>
  </si>
  <si>
    <t>서울특별시 중구 남대문로5가 395 , s6</t>
  </si>
  <si>
    <t>서울특별시 중구 남대문로5가 267 , s7</t>
  </si>
  <si>
    <t>서울특별시 중구 남대문로5가 526 , s8</t>
  </si>
  <si>
    <t>서울특별시 중구 남대문로5가 174 , s9</t>
  </si>
  <si>
    <t>서울특별시 중구 남대문로5가 84-11 , s10</t>
  </si>
  <si>
    <t>서울특별시 중구 봉래동2가 124 , s11</t>
  </si>
  <si>
    <t>서울특별시 중구 남대문로5가 6-15 , s12</t>
  </si>
  <si>
    <t>서울특별시 중구 남대문로5가 6-1 , s13</t>
  </si>
  <si>
    <t>서울특별시 중구 봉래동1가 5-36 , s14</t>
  </si>
  <si>
    <t>서울특별시 중구 봉래동1가 25 , s15</t>
  </si>
  <si>
    <t>서울특별시 중구 남창동 52-3 , s16</t>
  </si>
  <si>
    <t>서울특별시 중구 회현동1가 181-8 , s17</t>
  </si>
  <si>
    <t>서울특별시 중구 회현동1가 115 , s18</t>
  </si>
  <si>
    <t>서울특별시 중구 회현동1가 142-8 , s19</t>
  </si>
  <si>
    <t>서울특별시 중구 회현동1가 130-1 , s20</t>
  </si>
  <si>
    <t>서울특별시 중구 회현동1가 53-6 , s21</t>
  </si>
  <si>
    <t>s22</t>
    <phoneticPr fontId="19" type="noConversion"/>
  </si>
  <si>
    <t>서울특별시 중구 회현동1가 74-1 , s22</t>
  </si>
  <si>
    <t>s23</t>
    <phoneticPr fontId="19" type="noConversion"/>
  </si>
  <si>
    <t>서울특별시 중구 회현동1가 63-2 , s23</t>
  </si>
  <si>
    <t>s24</t>
    <phoneticPr fontId="19" type="noConversion"/>
  </si>
  <si>
    <t>서울특별시 중구 회현동1가 72-1 , s24</t>
  </si>
  <si>
    <t>s25</t>
    <phoneticPr fontId="19" type="noConversion"/>
  </si>
  <si>
    <t>서울특별시 중구 회현동1가 71-1 , s25</t>
  </si>
  <si>
    <t>s26</t>
    <phoneticPr fontId="19" type="noConversion"/>
  </si>
  <si>
    <t>서울특별시 중구 남창동 9-1 , s26</t>
  </si>
  <si>
    <t>s27</t>
    <phoneticPr fontId="19" type="noConversion"/>
  </si>
  <si>
    <t>서울특별시 중구 회현동1가 202-5 , s27</t>
  </si>
  <si>
    <t>s28</t>
    <phoneticPr fontId="19" type="noConversion"/>
  </si>
  <si>
    <t>서울특별시 중구 남창동 1-1 , s28</t>
  </si>
  <si>
    <t>s29</t>
    <phoneticPr fontId="19" type="noConversion"/>
  </si>
  <si>
    <t>서울특별시 중구 남창동 50-42 , s29</t>
  </si>
  <si>
    <t>s30</t>
    <phoneticPr fontId="19" type="noConversion"/>
  </si>
  <si>
    <t>서울특별시 중구 남창동 50-23 , s30</t>
  </si>
  <si>
    <t>s31</t>
    <phoneticPr fontId="19" type="noConversion"/>
  </si>
  <si>
    <t>서울특별시 중구 남창동 50-57 , s31</t>
  </si>
  <si>
    <t>s32</t>
    <phoneticPr fontId="19" type="noConversion"/>
  </si>
  <si>
    <t>서울특별시 중구 남창동 50-51 , s32</t>
  </si>
  <si>
    <t>s33</t>
    <phoneticPr fontId="19" type="noConversion"/>
  </si>
  <si>
    <t>서울특별시 중구 남창동 34-150 , s33</t>
  </si>
  <si>
    <t>s34</t>
    <phoneticPr fontId="19" type="noConversion"/>
  </si>
  <si>
    <t>서울특별시 중구 남창동 34-147 , s34</t>
  </si>
  <si>
    <t>s35</t>
    <phoneticPr fontId="19" type="noConversion"/>
  </si>
  <si>
    <t>서울특별시 중구 남창동 34-10 , s35</t>
  </si>
  <si>
    <t>s36</t>
    <phoneticPr fontId="19" type="noConversion"/>
  </si>
  <si>
    <t>서울특별시 중구 남대문로4가 18-3 , s36</t>
  </si>
  <si>
    <t>s37</t>
    <phoneticPr fontId="19" type="noConversion"/>
  </si>
  <si>
    <t>서울특별시 중구 남대문로4가 18-2 , s37</t>
  </si>
  <si>
    <t>s38</t>
    <phoneticPr fontId="19" type="noConversion"/>
  </si>
  <si>
    <t>서울특별시 중구 남대문로4가 17-42 , s38</t>
  </si>
  <si>
    <t>s39</t>
    <phoneticPr fontId="19" type="noConversion"/>
  </si>
  <si>
    <t>서울특별시 중구 남대문로4가 17-7 , s39</t>
  </si>
  <si>
    <t>s40</t>
    <phoneticPr fontId="19" type="noConversion"/>
  </si>
  <si>
    <t>서울특별시 중구 남대문로4가 17-19 , s40</t>
  </si>
  <si>
    <t>s41</t>
    <phoneticPr fontId="19" type="noConversion"/>
  </si>
  <si>
    <t>서울특별시 중구 북창동 108-13 , s41</t>
  </si>
  <si>
    <t>s42</t>
    <phoneticPr fontId="19" type="noConversion"/>
  </si>
  <si>
    <t>서울특별시 중구 북창동 95 , s42</t>
  </si>
  <si>
    <t>서울특별시 중구 북창동 93-43 , s43</t>
  </si>
  <si>
    <t>서울특별시 중구 남대문로3가 110 , s44</t>
  </si>
  <si>
    <t>서울특별시 중구 북창동 90-1 , s45</t>
  </si>
  <si>
    <t>서울특별시 중구 북창동 88-2 , s46</t>
  </si>
  <si>
    <t>서울특별시 중구 북창동 19-3 , s47</t>
  </si>
  <si>
    <t>서울특별시 중구 북창동 69-20 , s48</t>
  </si>
  <si>
    <t>서울특별시 중구 북창동 68-6 , s49</t>
  </si>
  <si>
    <t>서울특별시 중구 태평로2가 58-5 , s50</t>
  </si>
  <si>
    <t>서울특별시 중구 북창동 35 , s51</t>
  </si>
  <si>
    <t>서울특별시 중구 북창동 5-2 , s52</t>
  </si>
  <si>
    <t>서울특별시 중구 소공동 110 , s53</t>
  </si>
  <si>
    <t>서울특별시 중구 태평로2가 43 , s54</t>
  </si>
  <si>
    <t>서울특별시 중구 태평로2가 17 , s55</t>
  </si>
  <si>
    <t>서울특별시 중구 태평로2가 120 , s56</t>
  </si>
  <si>
    <t>서울특별시 중구 태평로2가 150 , s57</t>
  </si>
  <si>
    <t>서울특별시 중구 서소문동 120-23 , s58</t>
  </si>
  <si>
    <t>서울특별시 중구 태평로2가 250 , s59</t>
  </si>
  <si>
    <t>서울특별시 중구 서소문동 58-7 , s60</t>
  </si>
  <si>
    <t>서울특별시 중구 서소문동 55-4 , s61</t>
  </si>
  <si>
    <t>서울특별시 중구 서소문동 47-2 , s62</t>
  </si>
  <si>
    <t>서울특별시 중구 서소문동 41-3 , s63</t>
  </si>
  <si>
    <t>서울특별시 중구 정동 34-5 , s64</t>
  </si>
  <si>
    <t>서울특별시 중구 순화동 2-6 , s65</t>
  </si>
  <si>
    <t>서울특별시 중구 정동 34-35 , s66</t>
  </si>
  <si>
    <t>서울특별시 중구 서소문동 39-1 , s67</t>
  </si>
  <si>
    <t>서울특별시 중구 정동 5-1 , s68</t>
  </si>
  <si>
    <t>서울특별시 중구 의주로1가 44-1 , s69</t>
  </si>
  <si>
    <t>서울특별시 중구 순화동 1-1 , s70</t>
  </si>
  <si>
    <t>서울특별시 중구 충정로1가 85 , s71</t>
  </si>
  <si>
    <t>서울특별시 중구 충정로1가 75-1 , s72</t>
  </si>
  <si>
    <t>서울특별시 중구 정동 11-3 , s73</t>
  </si>
  <si>
    <t>서울특별시 중구 정동 1-28 , s74</t>
  </si>
  <si>
    <t>서울특별시 중구 정동 16-1 , s75</t>
  </si>
  <si>
    <t>서울특별시 중구 태평로1가 61-1 , s76</t>
  </si>
  <si>
    <t>서울특별시 중구 태평로1가 61-21 , s77</t>
  </si>
  <si>
    <t>서울특별시 중구 태평로1가 128-104 , s78</t>
  </si>
  <si>
    <t>서울특별시 중구 중림동 129-43 , s79</t>
  </si>
  <si>
    <t>서울특별시 중구 봉래동2가 122-14 , s80</t>
  </si>
  <si>
    <t>서울특별시 중구 중림동 128-3 , s81</t>
  </si>
  <si>
    <t>서울특별시 중구 중림동 128-56 , s82</t>
  </si>
  <si>
    <t>서울특별시 중구 중림동 128-10 , s83</t>
  </si>
  <si>
    <t>서울특별시 중구 중림동 363 , s84</t>
  </si>
  <si>
    <t>서울특별시 중구 중림동 355 , s85</t>
  </si>
  <si>
    <t>서울특별시 중구 중림동 441 , s86</t>
  </si>
  <si>
    <t>서울특별시 중구 만리동1가 54-7 , s87</t>
  </si>
  <si>
    <t>서울특별시 중구 봉래동1가  , a1</t>
  </si>
  <si>
    <t>서울특별시 용산구 서계동 47-15 , i1</t>
  </si>
  <si>
    <t>서울특별시 용산구 동자동 43-205 , i2</t>
  </si>
  <si>
    <t>서울특별시 중구 남대문로5가 84-17 , i3</t>
  </si>
  <si>
    <t xml:space="preserve"> 2024-06-03.</t>
    <phoneticPr fontId="19" type="noConversion"/>
  </si>
  <si>
    <t>서울특별시 용산구 서계동 226-3 , s1</t>
    <phoneticPr fontId="19" type="noConversion"/>
  </si>
  <si>
    <t>서울특별시 용산구 서계동 224-32 , s2</t>
    <phoneticPr fontId="19" type="noConversion"/>
  </si>
  <si>
    <t>서울특별시 용산구 서계동 224-10 , s3</t>
    <phoneticPr fontId="19" type="noConversion"/>
  </si>
  <si>
    <t>서울특별시 중구 봉래동2가 122-11 , s4</t>
    <phoneticPr fontId="19" type="noConversion"/>
  </si>
  <si>
    <t>서울특별시 용산구 동자동 12 , s5</t>
    <phoneticPr fontId="19" type="noConversion"/>
  </si>
  <si>
    <t>서울특별시 중구 남대문로5가 395 , s6</t>
    <phoneticPr fontId="19" type="noConversion"/>
  </si>
  <si>
    <t>서울특별시 중구 남대문로5가 267 , s7</t>
    <phoneticPr fontId="19" type="noConversion"/>
  </si>
  <si>
    <t>서울특별시 중구 남대문로5가 526 , s8</t>
    <phoneticPr fontId="19" type="noConversion"/>
  </si>
  <si>
    <t>서울특별시 중구 남대문로5가 174 , s9</t>
    <phoneticPr fontId="19" type="noConversion"/>
  </si>
  <si>
    <t>서울특별시 중구 남대문로5가 84-11 , s10</t>
    <phoneticPr fontId="19" type="noConversion"/>
  </si>
  <si>
    <t>서울특별시 중구 봉래동2가 124 , s11</t>
    <phoneticPr fontId="19" type="noConversion"/>
  </si>
  <si>
    <t>서울특별시 중구 남대문로5가 6-15 , s12</t>
    <phoneticPr fontId="19" type="noConversion"/>
  </si>
  <si>
    <t>서울특별시 중구 남대문로5가 6-1 , s13</t>
    <phoneticPr fontId="19" type="noConversion"/>
  </si>
  <si>
    <t>서울특별시 중구 봉래동1가 5-36 , s14</t>
    <phoneticPr fontId="19" type="noConversion"/>
  </si>
  <si>
    <t>서울특별시 중구 봉래동1가 25 , s15</t>
    <phoneticPr fontId="19" type="noConversion"/>
  </si>
  <si>
    <t>서울특별시 중구 남창동 52-3 , s16</t>
    <phoneticPr fontId="19" type="noConversion"/>
  </si>
  <si>
    <t>서울특별시 중구 회현동1가 181-8 , s17</t>
    <phoneticPr fontId="19" type="noConversion"/>
  </si>
  <si>
    <t>서울특별시 중구 회현동1가 115 , s18</t>
    <phoneticPr fontId="19" type="noConversion"/>
  </si>
  <si>
    <t>서울특별시 중구 회현동1가 142-8 , s19</t>
    <phoneticPr fontId="19" type="noConversion"/>
  </si>
  <si>
    <t>서울특별시 중구 회현동1가 130-1 , s20</t>
    <phoneticPr fontId="19" type="noConversion"/>
  </si>
  <si>
    <t>서울특별시 중구 회현동1가 53-6 , s21</t>
    <phoneticPr fontId="19" type="noConversion"/>
  </si>
  <si>
    <t>서울특별시 중구 회현동1가 74-1 , s22</t>
    <phoneticPr fontId="19" type="noConversion"/>
  </si>
  <si>
    <t>서울특별시 중구 회현동1가 63-2 , s23</t>
    <phoneticPr fontId="19" type="noConversion"/>
  </si>
  <si>
    <t>서울특별시 중구 회현동1가 72-1 , s24</t>
    <phoneticPr fontId="19" type="noConversion"/>
  </si>
  <si>
    <t>서울특별시 중구 회현동1가 71-1 , s25</t>
    <phoneticPr fontId="19" type="noConversion"/>
  </si>
  <si>
    <t>서울특별시 중구 남창동 9-1 , s26</t>
    <phoneticPr fontId="19" type="noConversion"/>
  </si>
  <si>
    <t>서울특별시 중구 회현동1가 202-5 , s27</t>
    <phoneticPr fontId="19" type="noConversion"/>
  </si>
  <si>
    <t>서울특별시 중구 남창동 1-1 , s28</t>
    <phoneticPr fontId="19" type="noConversion"/>
  </si>
  <si>
    <t>서울특별시 중구 남창동 50-42 , s29</t>
    <phoneticPr fontId="19" type="noConversion"/>
  </si>
  <si>
    <t>서울특별시 중구 남창동 50-23 , s30</t>
    <phoneticPr fontId="19" type="noConversion"/>
  </si>
  <si>
    <t>서울특별시 중구 남창동 50-57 , s31</t>
    <phoneticPr fontId="19" type="noConversion"/>
  </si>
  <si>
    <t>서울특별시 중구 남창동 50-51 , s32</t>
    <phoneticPr fontId="19" type="noConversion"/>
  </si>
  <si>
    <t>서울특별시 중구 남창동 34-150 , s33</t>
    <phoneticPr fontId="19" type="noConversion"/>
  </si>
  <si>
    <t>서울특별시 중구 남창동 34-147 , s34</t>
    <phoneticPr fontId="19" type="noConversion"/>
  </si>
  <si>
    <t>서울특별시 중구 남창동 34-10 , s35</t>
    <phoneticPr fontId="19" type="noConversion"/>
  </si>
  <si>
    <t>서울특별시 중구 남대문로4가 18-3 , s36</t>
    <phoneticPr fontId="19" type="noConversion"/>
  </si>
  <si>
    <t>서울특별시 중구 남대문로4가 18-2 , s37</t>
    <phoneticPr fontId="19" type="noConversion"/>
  </si>
  <si>
    <t>서울특별시 중구 남대문로4가 17-42 , s38</t>
    <phoneticPr fontId="19" type="noConversion"/>
  </si>
  <si>
    <t>서울특별시 중구 남대문로4가 17-7 , s39</t>
    <phoneticPr fontId="19" type="noConversion"/>
  </si>
  <si>
    <t>서울특별시 중구 남대문로4가 17-19 , s40</t>
    <phoneticPr fontId="19" type="noConversion"/>
  </si>
  <si>
    <t>서울특별시 중구 북창동 108-13 , s41</t>
    <phoneticPr fontId="19" type="noConversion"/>
  </si>
  <si>
    <t>서울특별시 중구 북창동 95 , s42</t>
    <phoneticPr fontId="19" type="noConversion"/>
  </si>
  <si>
    <t>서울특별시 중구 북창동 93-43 , s43</t>
    <phoneticPr fontId="19" type="noConversion"/>
  </si>
  <si>
    <t>서울특별시 중구 남대문로3가 110 , s44</t>
    <phoneticPr fontId="19" type="noConversion"/>
  </si>
  <si>
    <t>서울특별시 중구 북창동 90-1 , s45</t>
    <phoneticPr fontId="19" type="noConversion"/>
  </si>
  <si>
    <t>서울특별시 중구 북창동 88-2 , s46</t>
    <phoneticPr fontId="19" type="noConversion"/>
  </si>
  <si>
    <t>서울특별시 중구 북창동 19-3 , s47</t>
    <phoneticPr fontId="19" type="noConversion"/>
  </si>
  <si>
    <t>서울특별시 중구 북창동 69-20 , s48</t>
    <phoneticPr fontId="19" type="noConversion"/>
  </si>
  <si>
    <t>서울특별시 중구 북창동 68-6 , s49</t>
    <phoneticPr fontId="19" type="noConversion"/>
  </si>
  <si>
    <t>서울특별시 중구 태평로2가 58-5 , s50</t>
    <phoneticPr fontId="19" type="noConversion"/>
  </si>
  <si>
    <t>서울특별시 중구 북창동 35 , s51</t>
    <phoneticPr fontId="19" type="noConversion"/>
  </si>
  <si>
    <t>서울특별시 중구 북창동 5-2 , s52</t>
    <phoneticPr fontId="19" type="noConversion"/>
  </si>
  <si>
    <t>서울특별시 중구 소공동 110 , s53</t>
    <phoneticPr fontId="19" type="noConversion"/>
  </si>
  <si>
    <t>서울특별시 중구 태평로2가 43 , s54</t>
    <phoneticPr fontId="19" type="noConversion"/>
  </si>
  <si>
    <t>서울특별시 중구 태평로2가 17 , s55</t>
    <phoneticPr fontId="19" type="noConversion"/>
  </si>
  <si>
    <t>서울특별시 중구 태평로2가 120 , s56</t>
    <phoneticPr fontId="19" type="noConversion"/>
  </si>
  <si>
    <t>서울특별시 중구 태평로2가 150 , s57</t>
    <phoneticPr fontId="19" type="noConversion"/>
  </si>
  <si>
    <t>서울특별시 중구 서소문동 120-23 , s58</t>
    <phoneticPr fontId="19" type="noConversion"/>
  </si>
  <si>
    <t>서울특별시 중구 태평로2가 250 , s59</t>
    <phoneticPr fontId="19" type="noConversion"/>
  </si>
  <si>
    <t>서울특별시 중구 서소문동 58-7 , s60</t>
    <phoneticPr fontId="19" type="noConversion"/>
  </si>
  <si>
    <t>서울특별시 중구 서소문동 55-4 , s61</t>
    <phoneticPr fontId="19" type="noConversion"/>
  </si>
  <si>
    <t>서울특별시 중구 서소문동 47-2 , s62</t>
    <phoneticPr fontId="19" type="noConversion"/>
  </si>
  <si>
    <t>서울특별시 중구 서소문동 41-3 , s63</t>
    <phoneticPr fontId="19" type="noConversion"/>
  </si>
  <si>
    <t>서울특별시 중구 정동 34-5 , s64</t>
    <phoneticPr fontId="19" type="noConversion"/>
  </si>
  <si>
    <t>서울특별시 중구 순화동 2-6 , s65</t>
    <phoneticPr fontId="19" type="noConversion"/>
  </si>
  <si>
    <t>서울특별시 중구 정동 34-35 , s66</t>
    <phoneticPr fontId="19" type="noConversion"/>
  </si>
  <si>
    <t>서울특별시 중구 서소문동 39-1 , s67</t>
    <phoneticPr fontId="19" type="noConversion"/>
  </si>
  <si>
    <t>서울특별시 중구 정동 5-1 , s68</t>
    <phoneticPr fontId="19" type="noConversion"/>
  </si>
  <si>
    <t>서울특별시 중구 의주로1가 44-1 , s69</t>
    <phoneticPr fontId="19" type="noConversion"/>
  </si>
  <si>
    <t>서울특별시 중구 순화동 1-1 , s70</t>
    <phoneticPr fontId="19" type="noConversion"/>
  </si>
  <si>
    <t>서울특별시 중구 충정로1가 85 , s71</t>
    <phoneticPr fontId="19" type="noConversion"/>
  </si>
  <si>
    <t>서울특별시 중구 충정로1가 75-1 , s72</t>
    <phoneticPr fontId="19" type="noConversion"/>
  </si>
  <si>
    <t>서울특별시 중구 정동 11-3 , s73</t>
    <phoneticPr fontId="19" type="noConversion"/>
  </si>
  <si>
    <t>서울특별시 중구 정동 1-28 , s74</t>
    <phoneticPr fontId="19" type="noConversion"/>
  </si>
  <si>
    <t>서울특별시 중구 정동 16-1 , s75</t>
    <phoneticPr fontId="19" type="noConversion"/>
  </si>
  <si>
    <t>서울특별시 중구 태평로1가 61-1 , s76</t>
    <phoneticPr fontId="19" type="noConversion"/>
  </si>
  <si>
    <t>서울특별시 중구 태평로1가 61-21 , s77</t>
    <phoneticPr fontId="19" type="noConversion"/>
  </si>
  <si>
    <t>서울특별시 중구 태평로1가 128-104 , s78</t>
    <phoneticPr fontId="19" type="noConversion"/>
  </si>
  <si>
    <t>서울특별시 중구 중림동 129-43 , s79</t>
    <phoneticPr fontId="19" type="noConversion"/>
  </si>
  <si>
    <t>서울특별시 중구 봉래동2가 122-14 , s80</t>
    <phoneticPr fontId="19" type="noConversion"/>
  </si>
  <si>
    <t>서울특별시 중구 중림동 128-3 , s81</t>
    <phoneticPr fontId="19" type="noConversion"/>
  </si>
  <si>
    <t>서울특별시 중구 중림동 128-56 , s82</t>
    <phoneticPr fontId="19" type="noConversion"/>
  </si>
  <si>
    <t>서울특별시 중구 중림동 128-10 , s83</t>
    <phoneticPr fontId="19" type="noConversion"/>
  </si>
  <si>
    <t>서울특별시 중구 중림동 363 , s84</t>
    <phoneticPr fontId="19" type="noConversion"/>
  </si>
  <si>
    <t>서울특별시 중구 중림동 355 , s85</t>
    <phoneticPr fontId="19" type="noConversion"/>
  </si>
  <si>
    <t>서울특별시 중구 중림동 441 , s86</t>
    <phoneticPr fontId="19" type="noConversion"/>
  </si>
  <si>
    <t>서울특별시 중구 만리동1가 54-7 , s87</t>
    <phoneticPr fontId="19" type="noConversion"/>
  </si>
  <si>
    <t>서울특별시 중구 봉래동1가  , a1</t>
    <phoneticPr fontId="19" type="noConversion"/>
  </si>
  <si>
    <t>서울특별시 용산구 서계동 47-15 , i1</t>
    <phoneticPr fontId="19" type="noConversion"/>
  </si>
  <si>
    <t>서울특별시 용산구 동자동 43-205 , i2</t>
    <phoneticPr fontId="19" type="noConversion"/>
  </si>
  <si>
    <t>서울특별시 중구 남대문로5가 84-17 , i3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</si>
  <si>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</si>
  <si>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</si>
  <si>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</si>
  <si>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</si>
  <si>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</si>
  <si>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</si>
  <si>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</si>
  <si>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</si>
  <si>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</si>
  <si>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</si>
  <si>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</si>
  <si>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</si>
  <si>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</si>
  <si>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</si>
  <si>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</si>
  <si>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</si>
  <si>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</si>
  <si>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</si>
  <si>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</si>
  <si>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</si>
  <si>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</si>
  <si>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</si>
  <si>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</si>
  <si>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</si>
  <si>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</si>
  <si>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</si>
  <si>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</si>
  <si>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</si>
  <si>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</si>
  <si>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</si>
  <si>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</si>
  <si>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</si>
  <si>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</si>
  <si>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</si>
  <si>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</si>
  <si>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</si>
  <si>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</si>
  <si>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</si>
  <si>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</si>
  <si>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</si>
  <si>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</si>
  <si>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</si>
  <si>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</si>
  <si>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</si>
  <si>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</si>
  <si>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</si>
  <si>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</si>
  <si>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</si>
  <si>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</si>
  <si>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</si>
  <si>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</si>
  <si>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</si>
  <si>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</si>
  <si>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</si>
  <si>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</si>
  <si>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</si>
  <si>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</si>
  <si>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목상동</t>
  </si>
  <si>
    <t>목상동</t>
    <phoneticPr fontId="19" type="noConversion"/>
  </si>
  <si>
    <t>신일동</t>
  </si>
  <si>
    <t>신일동</t>
    <phoneticPr fontId="19" type="noConversion"/>
  </si>
  <si>
    <t>54</t>
    <phoneticPr fontId="19" type="noConversion"/>
  </si>
  <si>
    <t>65-4</t>
    <phoneticPr fontId="19" type="noConversion"/>
  </si>
  <si>
    <t>54-2</t>
    <phoneticPr fontId="19" type="noConversion"/>
  </si>
  <si>
    <t>76</t>
    <phoneticPr fontId="19" type="noConversion"/>
  </si>
  <si>
    <t>산9-1</t>
    <phoneticPr fontId="19" type="noConversion"/>
  </si>
  <si>
    <t>89-1</t>
    <phoneticPr fontId="19" type="noConversion"/>
  </si>
  <si>
    <t>95</t>
    <phoneticPr fontId="19" type="noConversion"/>
  </si>
  <si>
    <t>104-4</t>
    <phoneticPr fontId="19" type="noConversion"/>
  </si>
  <si>
    <t>9-1</t>
    <phoneticPr fontId="19" type="noConversion"/>
  </si>
  <si>
    <t>덕암동</t>
  </si>
  <si>
    <t>덕암동</t>
    <phoneticPr fontId="19" type="noConversion"/>
  </si>
  <si>
    <t>203-2</t>
    <phoneticPr fontId="19" type="noConversion"/>
  </si>
  <si>
    <t>84</t>
    <phoneticPr fontId="19" type="noConversion"/>
  </si>
  <si>
    <t>198-1</t>
    <phoneticPr fontId="19" type="noConversion"/>
  </si>
  <si>
    <t>전작용</t>
    <phoneticPr fontId="19" type="noConversion"/>
  </si>
  <si>
    <t>189</t>
    <phoneticPr fontId="19" type="noConversion"/>
  </si>
  <si>
    <t>248</t>
    <phoneticPr fontId="19" type="noConversion"/>
  </si>
  <si>
    <t>267-3</t>
    <phoneticPr fontId="19" type="noConversion"/>
  </si>
  <si>
    <t>268</t>
    <phoneticPr fontId="19" type="noConversion"/>
  </si>
  <si>
    <t>240</t>
    <phoneticPr fontId="19" type="noConversion"/>
  </si>
  <si>
    <t>236</t>
    <phoneticPr fontId="19" type="noConversion"/>
  </si>
  <si>
    <t>224-4</t>
    <phoneticPr fontId="19" type="noConversion"/>
  </si>
  <si>
    <t>223</t>
    <phoneticPr fontId="19" type="noConversion"/>
  </si>
  <si>
    <t>870</t>
    <phoneticPr fontId="19" type="noConversion"/>
  </si>
  <si>
    <t>1688-29</t>
    <phoneticPr fontId="19" type="noConversion"/>
  </si>
  <si>
    <t>허가공</t>
    <phoneticPr fontId="19" type="noConversion"/>
  </si>
  <si>
    <t>1688-8</t>
    <phoneticPr fontId="19" type="noConversion"/>
  </si>
  <si>
    <t>1688-13</t>
    <phoneticPr fontId="19" type="noConversion"/>
  </si>
  <si>
    <t>지방공단</t>
    <phoneticPr fontId="19" type="noConversion"/>
  </si>
  <si>
    <t>1688-26</t>
    <phoneticPr fontId="19" type="noConversion"/>
  </si>
  <si>
    <t>1688-24</t>
    <phoneticPr fontId="19" type="noConversion"/>
  </si>
  <si>
    <t>1688-3</t>
    <phoneticPr fontId="19" type="noConversion"/>
  </si>
  <si>
    <t>1689-1</t>
    <phoneticPr fontId="19" type="noConversion"/>
  </si>
  <si>
    <t>1690-1</t>
    <phoneticPr fontId="19" type="noConversion"/>
  </si>
  <si>
    <t>1687-3</t>
    <phoneticPr fontId="19" type="noConversion"/>
  </si>
  <si>
    <t>1674-2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</si>
</sst>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10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7" Type="http://schemas.openxmlformats.org/officeDocument/2006/relationships/image" Target="../media/image13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4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 x14ac:dyDescent="0.3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 x14ac:dyDescent="0.3">
      <c r="B1" s="31" t="s">
        <v>217</v>
      </c>
    </row>
    <row r="2" spans="1:13" ht="34.5" customHeight="1" x14ac:dyDescent="0.3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 x14ac:dyDescent="0.3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 x14ac:dyDescent="0.3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 x14ac:dyDescent="0.3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 x14ac:dyDescent="0.3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 x14ac:dyDescent="0.3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 x14ac:dyDescent="0.3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 x14ac:dyDescent="0.3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 x14ac:dyDescent="0.3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 x14ac:dyDescent="0.3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 x14ac:dyDescent="0.3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 x14ac:dyDescent="0.3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 x14ac:dyDescent="0.3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 x14ac:dyDescent="0.3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 x14ac:dyDescent="0.3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 x14ac:dyDescent="0.3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 x14ac:dyDescent="0.3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 x14ac:dyDescent="0.3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 x14ac:dyDescent="0.3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 x14ac:dyDescent="0.3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 x14ac:dyDescent="0.3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 x14ac:dyDescent="0.3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 x14ac:dyDescent="0.3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 x14ac:dyDescent="0.3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 x14ac:dyDescent="0.3"/>
    <row r="27" spans="1:13" ht="20.100000000000001" customHeight="1" x14ac:dyDescent="0.3"/>
    <row r="28" spans="1:13" ht="20.100000000000001" customHeight="1" x14ac:dyDescent="0.3"/>
    <row r="29" spans="1:13" ht="20.100000000000001" customHeight="1" x14ac:dyDescent="0.3"/>
    <row r="30" spans="1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 x14ac:dyDescent="0.3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 x14ac:dyDescent="0.3">
      <c r="B1" s="31" t="s">
        <v>216</v>
      </c>
      <c r="C1" s="31"/>
    </row>
    <row r="2" spans="2:12" ht="34.5" customHeight="1" x14ac:dyDescent="0.3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 x14ac:dyDescent="0.3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 x14ac:dyDescent="0.3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 x14ac:dyDescent="0.3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 x14ac:dyDescent="0.3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 x14ac:dyDescent="0.3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 x14ac:dyDescent="0.3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 x14ac:dyDescent="0.3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 x14ac:dyDescent="0.3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 x14ac:dyDescent="0.3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 x14ac:dyDescent="0.3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 x14ac:dyDescent="0.3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 x14ac:dyDescent="0.3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 x14ac:dyDescent="0.3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 x14ac:dyDescent="0.3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 x14ac:dyDescent="0.3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 x14ac:dyDescent="0.3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 x14ac:dyDescent="0.3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 x14ac:dyDescent="0.3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 x14ac:dyDescent="0.3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 x14ac:dyDescent="0.3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 x14ac:dyDescent="0.3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 x14ac:dyDescent="0.3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 x14ac:dyDescent="0.3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 x14ac:dyDescent="0.3"/>
    <row r="27" spans="2:10" ht="20.100000000000001" customHeight="1" x14ac:dyDescent="0.3"/>
    <row r="28" spans="2:10" ht="20.100000000000001" customHeight="1" x14ac:dyDescent="0.3"/>
    <row r="29" spans="2:10" ht="20.100000000000001" customHeight="1" x14ac:dyDescent="0.3"/>
    <row r="30" spans="2:10" ht="20.100000000000001" customHeight="1" x14ac:dyDescent="0.3"/>
    <row r="31" spans="2:10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tabSelected="1" workbookViewId="0">
      <selection activeCell="M13" sqref="M13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618</v>
      </c>
      <c r="D2" s="2" t="s">
        <v>622</v>
      </c>
      <c r="E2" s="4" t="s">
        <v>623</v>
      </c>
      <c r="F2" s="2">
        <v>35</v>
      </c>
      <c r="G2" s="2">
        <v>140</v>
      </c>
      <c r="H2" s="2">
        <v>0.5</v>
      </c>
      <c r="I2" s="2">
        <v>10</v>
      </c>
      <c r="J2" s="2">
        <v>20</v>
      </c>
      <c r="K2" s="2" t="s">
        <v>146</v>
      </c>
      <c r="L2" s="10">
        <v>0.68</v>
      </c>
      <c r="M2" s="2" t="str">
        <f>D2&amp;" " &amp; E2</f>
        <v>신일동 54</v>
      </c>
      <c r="N2" s="2">
        <v>35</v>
      </c>
      <c r="O2" s="2">
        <v>140</v>
      </c>
      <c r="P2" s="2">
        <v>0.5</v>
      </c>
      <c r="Q2" s="2">
        <v>0.68</v>
      </c>
      <c r="R2" s="2" t="s">
        <v>146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617</v>
      </c>
      <c r="D3" s="2" t="s">
        <v>621</v>
      </c>
      <c r="E3" s="4" t="s">
        <v>624</v>
      </c>
      <c r="F3" s="2">
        <v>150</v>
      </c>
      <c r="G3" s="2">
        <v>150</v>
      </c>
      <c r="H3" s="2">
        <v>1</v>
      </c>
      <c r="I3" s="2">
        <v>40</v>
      </c>
      <c r="J3" s="2">
        <v>25</v>
      </c>
      <c r="K3" s="2" t="s">
        <v>147</v>
      </c>
      <c r="L3" s="10">
        <v>2.96</v>
      </c>
      <c r="M3" s="2" t="str">
        <f t="shared" ref="M3:M12" si="0">D3&amp;" " &amp; E3</f>
        <v>신일동 65-4</v>
      </c>
      <c r="N3" s="2">
        <v>150</v>
      </c>
      <c r="O3" s="2">
        <v>150</v>
      </c>
      <c r="P3" s="2">
        <v>1</v>
      </c>
      <c r="Q3" s="2">
        <v>2.96</v>
      </c>
      <c r="R3" s="2" t="s">
        <v>147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617</v>
      </c>
      <c r="D4" s="2" t="s">
        <v>621</v>
      </c>
      <c r="E4" s="4" t="s">
        <v>625</v>
      </c>
      <c r="F4" s="2">
        <v>100</v>
      </c>
      <c r="G4" s="2">
        <v>150</v>
      </c>
      <c r="H4" s="2">
        <v>1</v>
      </c>
      <c r="I4" s="2">
        <v>60</v>
      </c>
      <c r="J4" s="2">
        <v>25</v>
      </c>
      <c r="K4" s="2" t="s">
        <v>146</v>
      </c>
      <c r="L4" s="10">
        <v>0.68</v>
      </c>
      <c r="M4" s="2" t="str">
        <f t="shared" si="0"/>
        <v>신일동 54-2</v>
      </c>
      <c r="N4" s="2">
        <v>100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617</v>
      </c>
      <c r="D5" s="2" t="s">
        <v>621</v>
      </c>
      <c r="E5" s="4" t="s">
        <v>628</v>
      </c>
      <c r="F5" s="2">
        <v>20</v>
      </c>
      <c r="G5" s="2">
        <v>50</v>
      </c>
      <c r="H5" s="2">
        <v>0.5</v>
      </c>
      <c r="I5" s="2">
        <v>25</v>
      </c>
      <c r="J5" s="2">
        <v>16</v>
      </c>
      <c r="K5" s="2" t="s">
        <v>147</v>
      </c>
      <c r="L5" s="10">
        <v>2.64</v>
      </c>
      <c r="M5" s="2" t="str">
        <f t="shared" si="0"/>
        <v>신일동 89-1</v>
      </c>
      <c r="N5" s="2">
        <v>20</v>
      </c>
      <c r="O5" s="2">
        <v>50</v>
      </c>
      <c r="P5" s="2">
        <v>0.5</v>
      </c>
      <c r="Q5" s="2">
        <v>2.64</v>
      </c>
      <c r="R5" s="2" t="s">
        <v>147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617</v>
      </c>
      <c r="D6" s="2" t="s">
        <v>621</v>
      </c>
      <c r="E6" s="4" t="s">
        <v>629</v>
      </c>
      <c r="F6" s="2">
        <v>25</v>
      </c>
      <c r="G6" s="2">
        <v>50</v>
      </c>
      <c r="H6" s="2">
        <v>0.3</v>
      </c>
      <c r="I6" s="2">
        <v>30</v>
      </c>
      <c r="J6" s="2">
        <v>15</v>
      </c>
      <c r="K6" s="2" t="s">
        <v>147</v>
      </c>
      <c r="L6" s="10">
        <v>2.75</v>
      </c>
      <c r="M6" s="2" t="str">
        <f t="shared" si="0"/>
        <v>신일동 95</v>
      </c>
      <c r="N6" s="2">
        <v>25</v>
      </c>
      <c r="O6" s="2">
        <v>50</v>
      </c>
      <c r="P6" s="2">
        <v>0.3</v>
      </c>
      <c r="Q6" s="2">
        <v>2.75</v>
      </c>
      <c r="R6" s="2" t="s">
        <v>147</v>
      </c>
      <c r="S6" s="2" t="s">
        <v>11</v>
      </c>
    </row>
    <row r="7" spans="1:19" ht="21.75" customHeight="1" x14ac:dyDescent="0.3">
      <c r="A7" s="2" t="s">
        <v>261</v>
      </c>
      <c r="B7" s="1" t="s">
        <v>22</v>
      </c>
      <c r="C7" s="2" t="s">
        <v>617</v>
      </c>
      <c r="D7" s="2" t="s">
        <v>621</v>
      </c>
      <c r="E7" s="4" t="s">
        <v>630</v>
      </c>
      <c r="F7" s="2">
        <v>20</v>
      </c>
      <c r="G7" s="2">
        <v>50</v>
      </c>
      <c r="H7" s="2">
        <v>0.3</v>
      </c>
      <c r="I7" s="2">
        <v>25</v>
      </c>
      <c r="J7" s="2">
        <v>15</v>
      </c>
      <c r="K7" s="2" t="s">
        <v>153</v>
      </c>
      <c r="L7" s="10">
        <v>0.68</v>
      </c>
      <c r="M7" s="2" t="str">
        <f t="shared" si="0"/>
        <v>신일동 104-4</v>
      </c>
      <c r="N7" s="2">
        <v>20</v>
      </c>
      <c r="O7" s="2">
        <v>50</v>
      </c>
      <c r="P7" s="2">
        <v>0.3</v>
      </c>
      <c r="Q7" s="2">
        <v>0.68</v>
      </c>
      <c r="R7" s="2" t="s">
        <v>153</v>
      </c>
      <c r="S7" s="2" t="s">
        <v>11</v>
      </c>
    </row>
    <row r="8" spans="1:19" ht="21.75" customHeight="1" x14ac:dyDescent="0.3">
      <c r="A8" s="2" t="s">
        <v>262</v>
      </c>
      <c r="B8" s="1" t="s">
        <v>22</v>
      </c>
      <c r="C8" s="2" t="s">
        <v>617</v>
      </c>
      <c r="D8" s="2" t="s">
        <v>621</v>
      </c>
      <c r="E8" s="4" t="s">
        <v>631</v>
      </c>
      <c r="F8" s="2">
        <v>72</v>
      </c>
      <c r="G8" s="2">
        <v>16</v>
      </c>
      <c r="H8" s="2">
        <v>0.5</v>
      </c>
      <c r="I8" s="2">
        <v>10</v>
      </c>
      <c r="J8" s="2">
        <v>20</v>
      </c>
      <c r="K8" s="2" t="s">
        <v>146</v>
      </c>
      <c r="L8" s="10">
        <v>0.68</v>
      </c>
      <c r="M8" s="2" t="str">
        <f t="shared" si="0"/>
        <v>신일동 9-1</v>
      </c>
      <c r="N8" s="2">
        <v>72</v>
      </c>
      <c r="O8" s="2">
        <v>16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 x14ac:dyDescent="0.3">
      <c r="A9" s="2" t="s">
        <v>263</v>
      </c>
      <c r="B9" s="1" t="s">
        <v>22</v>
      </c>
      <c r="C9" s="2" t="s">
        <v>617</v>
      </c>
      <c r="D9" s="2" t="s">
        <v>633</v>
      </c>
      <c r="E9" s="4" t="s">
        <v>634</v>
      </c>
      <c r="F9" s="2">
        <v>160</v>
      </c>
      <c r="G9" s="2">
        <v>150</v>
      </c>
      <c r="H9" s="2">
        <v>1</v>
      </c>
      <c r="I9" s="2">
        <v>20</v>
      </c>
      <c r="J9" s="2">
        <v>25</v>
      </c>
      <c r="K9" s="2" t="s">
        <v>147</v>
      </c>
      <c r="L9" s="10">
        <v>2.54</v>
      </c>
      <c r="M9" s="2" t="str">
        <f t="shared" si="0"/>
        <v>덕암동 203-2</v>
      </c>
      <c r="N9" s="2">
        <v>160</v>
      </c>
      <c r="O9" s="2">
        <v>150</v>
      </c>
      <c r="P9" s="2">
        <v>1</v>
      </c>
      <c r="Q9" s="2">
        <v>2.54</v>
      </c>
      <c r="R9" s="2" t="s">
        <v>147</v>
      </c>
      <c r="S9" s="2" t="s">
        <v>11</v>
      </c>
    </row>
    <row r="10" spans="1:19" ht="21.75" customHeight="1" x14ac:dyDescent="0.3">
      <c r="A10" s="2" t="s">
        <v>319</v>
      </c>
      <c r="B10" s="1" t="s">
        <v>22</v>
      </c>
      <c r="C10" s="2" t="s">
        <v>617</v>
      </c>
      <c r="D10" s="2" t="s">
        <v>632</v>
      </c>
      <c r="E10" s="4" t="s">
        <v>635</v>
      </c>
      <c r="F10" s="2">
        <v>100</v>
      </c>
      <c r="G10" s="2">
        <v>200</v>
      </c>
      <c r="H10" s="2">
        <v>2</v>
      </c>
      <c r="I10" s="2">
        <v>80</v>
      </c>
      <c r="J10" s="2">
        <v>32</v>
      </c>
      <c r="K10" s="2" t="s">
        <v>153</v>
      </c>
      <c r="L10" s="10">
        <v>0.68</v>
      </c>
      <c r="M10" s="2" t="str">
        <f t="shared" si="0"/>
        <v>덕암동 84</v>
      </c>
      <c r="N10" s="2">
        <v>100</v>
      </c>
      <c r="O10" s="2">
        <v>200</v>
      </c>
      <c r="P10" s="2">
        <v>2</v>
      </c>
      <c r="Q10" s="2">
        <v>0.68</v>
      </c>
      <c r="R10" s="2" t="s">
        <v>153</v>
      </c>
      <c r="S10" s="2" t="s">
        <v>11</v>
      </c>
    </row>
    <row r="11" spans="1:19" ht="21.75" customHeight="1" x14ac:dyDescent="0.3">
      <c r="A11" s="2" t="s">
        <v>320</v>
      </c>
      <c r="B11" s="1" t="s">
        <v>22</v>
      </c>
      <c r="C11" s="2" t="s">
        <v>617</v>
      </c>
      <c r="D11" s="2" t="s">
        <v>632</v>
      </c>
      <c r="E11" s="4" t="s">
        <v>646</v>
      </c>
      <c r="F11" s="2">
        <v>90</v>
      </c>
      <c r="G11" s="2">
        <v>200</v>
      </c>
      <c r="H11" s="2">
        <v>2</v>
      </c>
      <c r="I11" s="2">
        <v>64</v>
      </c>
      <c r="J11" s="2">
        <v>32</v>
      </c>
      <c r="K11" s="2" t="s">
        <v>146</v>
      </c>
      <c r="L11" s="10">
        <v>0.68</v>
      </c>
      <c r="M11" s="2" t="str">
        <f t="shared" si="0"/>
        <v>덕암동 870</v>
      </c>
      <c r="N11" s="2">
        <v>90</v>
      </c>
      <c r="O11" s="2">
        <v>200</v>
      </c>
      <c r="P11" s="2">
        <v>2</v>
      </c>
      <c r="Q11" s="2">
        <v>0.68</v>
      </c>
      <c r="R11" s="2" t="s">
        <v>146</v>
      </c>
      <c r="S11" s="2" t="s">
        <v>11</v>
      </c>
    </row>
    <row r="12" spans="1:19" ht="21.75" customHeight="1" x14ac:dyDescent="0.3">
      <c r="A12" s="2" t="s">
        <v>321</v>
      </c>
      <c r="B12" s="1" t="s">
        <v>22</v>
      </c>
      <c r="C12" s="2" t="s">
        <v>617</v>
      </c>
      <c r="D12" s="2" t="s">
        <v>622</v>
      </c>
      <c r="E12" s="4" t="s">
        <v>647</v>
      </c>
      <c r="F12" s="2">
        <v>100</v>
      </c>
      <c r="G12" s="2">
        <v>150</v>
      </c>
      <c r="H12" s="2">
        <v>1</v>
      </c>
      <c r="I12" s="2">
        <v>90</v>
      </c>
      <c r="J12" s="2">
        <v>32</v>
      </c>
      <c r="K12" s="2" t="s">
        <v>147</v>
      </c>
      <c r="L12" s="10">
        <v>4.01</v>
      </c>
      <c r="M12" s="2" t="str">
        <f t="shared" si="0"/>
        <v>신일동 1688-29</v>
      </c>
      <c r="N12" s="2">
        <v>100</v>
      </c>
      <c r="O12" s="2">
        <v>150</v>
      </c>
      <c r="P12" s="2">
        <v>1</v>
      </c>
      <c r="Q12" s="2">
        <v>4.01</v>
      </c>
      <c r="R12" s="2" t="s">
        <v>147</v>
      </c>
      <c r="S12" s="2" t="s">
        <v>11</v>
      </c>
    </row>
    <row r="13" spans="1:19" ht="21.75" customHeight="1" x14ac:dyDescent="0.3">
      <c r="A13" s="2" t="s">
        <v>322</v>
      </c>
      <c r="B13" s="46" t="s">
        <v>648</v>
      </c>
      <c r="C13" s="2" t="s">
        <v>617</v>
      </c>
      <c r="D13" s="2" t="s">
        <v>621</v>
      </c>
      <c r="E13" s="4" t="s">
        <v>649</v>
      </c>
      <c r="F13" s="2">
        <v>200</v>
      </c>
      <c r="G13" s="2">
        <v>200</v>
      </c>
      <c r="H13" s="2">
        <v>5</v>
      </c>
      <c r="I13" s="2">
        <v>130</v>
      </c>
      <c r="J13" s="2">
        <v>40</v>
      </c>
      <c r="K13" s="2" t="s">
        <v>147</v>
      </c>
      <c r="L13" s="10">
        <v>4.8499999999999996</v>
      </c>
      <c r="M13" s="2" t="str">
        <f t="shared" ref="M13:M17" si="1">D13&amp;" " &amp; E13</f>
        <v>신일동 1688-8</v>
      </c>
      <c r="N13" s="2">
        <v>200</v>
      </c>
      <c r="O13" s="2">
        <v>200</v>
      </c>
      <c r="P13" s="2">
        <v>5</v>
      </c>
      <c r="Q13" s="2">
        <v>4.8499999999999996</v>
      </c>
      <c r="R13" s="2" t="s">
        <v>147</v>
      </c>
      <c r="S13" s="2" t="s">
        <v>11</v>
      </c>
    </row>
    <row r="14" spans="1:19" ht="21.75" customHeight="1" x14ac:dyDescent="0.3">
      <c r="A14" s="2" t="s">
        <v>323</v>
      </c>
      <c r="B14" s="1" t="s">
        <v>22</v>
      </c>
      <c r="C14" s="2" t="s">
        <v>617</v>
      </c>
      <c r="D14" s="2" t="s">
        <v>621</v>
      </c>
      <c r="E14" s="4" t="s">
        <v>652</v>
      </c>
      <c r="F14" s="2">
        <v>100</v>
      </c>
      <c r="G14" s="2">
        <v>150</v>
      </c>
      <c r="H14" s="2">
        <v>1</v>
      </c>
      <c r="I14" s="2">
        <v>63</v>
      </c>
      <c r="J14" s="2">
        <v>25</v>
      </c>
      <c r="K14" s="2" t="s">
        <v>147</v>
      </c>
      <c r="L14" s="10">
        <v>3.44</v>
      </c>
      <c r="M14" s="2" t="str">
        <f t="shared" si="1"/>
        <v>신일동 1688-26</v>
      </c>
      <c r="N14" s="2">
        <v>100</v>
      </c>
      <c r="O14" s="2">
        <v>150</v>
      </c>
      <c r="P14" s="2">
        <v>1</v>
      </c>
      <c r="Q14" s="2">
        <v>3.44</v>
      </c>
      <c r="R14" s="2" t="s">
        <v>147</v>
      </c>
      <c r="S14" s="2" t="s">
        <v>11</v>
      </c>
    </row>
    <row r="15" spans="1:19" ht="21.75" customHeight="1" x14ac:dyDescent="0.3">
      <c r="A15" s="2" t="s">
        <v>324</v>
      </c>
      <c r="B15" s="1" t="s">
        <v>22</v>
      </c>
      <c r="C15" s="2" t="s">
        <v>617</v>
      </c>
      <c r="D15" s="2" t="s">
        <v>621</v>
      </c>
      <c r="E15" s="4" t="s">
        <v>653</v>
      </c>
      <c r="F15" s="2">
        <v>25</v>
      </c>
      <c r="G15" s="2">
        <v>50</v>
      </c>
      <c r="H15" s="2">
        <v>0.5</v>
      </c>
      <c r="I15" s="2">
        <v>35</v>
      </c>
      <c r="J15" s="2">
        <v>25</v>
      </c>
      <c r="K15" s="2" t="s">
        <v>147</v>
      </c>
      <c r="L15" s="10">
        <v>2.85</v>
      </c>
      <c r="M15" s="2" t="str">
        <f t="shared" si="1"/>
        <v>신일동 1688-24</v>
      </c>
      <c r="N15" s="2">
        <v>25</v>
      </c>
      <c r="O15" s="2">
        <v>50</v>
      </c>
      <c r="P15" s="2">
        <v>0.5</v>
      </c>
      <c r="Q15" s="2">
        <v>2.85</v>
      </c>
      <c r="R15" s="2" t="s">
        <v>147</v>
      </c>
      <c r="S15" s="2" t="s">
        <v>11</v>
      </c>
    </row>
    <row r="16" spans="1:19" ht="21.75" customHeight="1" x14ac:dyDescent="0.3">
      <c r="A16" s="2" t="s">
        <v>325</v>
      </c>
      <c r="B16" s="1" t="s">
        <v>22</v>
      </c>
      <c r="C16" s="2" t="s">
        <v>617</v>
      </c>
      <c r="D16" s="2" t="s">
        <v>621</v>
      </c>
      <c r="E16" s="4" t="s">
        <v>655</v>
      </c>
      <c r="F16" s="2">
        <v>100</v>
      </c>
      <c r="G16" s="2">
        <v>200</v>
      </c>
      <c r="H16" s="2">
        <v>5</v>
      </c>
      <c r="I16" s="2">
        <v>150</v>
      </c>
      <c r="J16" s="2">
        <v>40</v>
      </c>
      <c r="K16" s="2" t="s">
        <v>147</v>
      </c>
      <c r="L16" s="10">
        <v>5.27</v>
      </c>
      <c r="M16" s="2" t="str">
        <f t="shared" si="1"/>
        <v>신일동 1689-1</v>
      </c>
      <c r="N16" s="2">
        <v>100</v>
      </c>
      <c r="O16" s="2">
        <v>200</v>
      </c>
      <c r="P16" s="2">
        <v>5</v>
      </c>
      <c r="Q16" s="2">
        <v>5.27</v>
      </c>
      <c r="R16" s="2" t="s">
        <v>147</v>
      </c>
      <c r="S16" s="2" t="s">
        <v>11</v>
      </c>
    </row>
    <row r="17" spans="1:19" ht="21.75" customHeight="1" x14ac:dyDescent="0.3">
      <c r="A17" s="2" t="s">
        <v>326</v>
      </c>
      <c r="B17" s="1" t="s">
        <v>22</v>
      </c>
      <c r="C17" s="2" t="s">
        <v>617</v>
      </c>
      <c r="D17" s="2" t="s">
        <v>621</v>
      </c>
      <c r="E17" s="4" t="s">
        <v>657</v>
      </c>
      <c r="F17" s="2">
        <v>100</v>
      </c>
      <c r="G17" s="2">
        <v>200</v>
      </c>
      <c r="H17" s="2">
        <v>5</v>
      </c>
      <c r="I17" s="2">
        <v>100</v>
      </c>
      <c r="J17" s="2">
        <v>40</v>
      </c>
      <c r="K17" s="2" t="s">
        <v>147</v>
      </c>
      <c r="L17" s="10">
        <v>4.22</v>
      </c>
      <c r="M17" s="2" t="str">
        <f t="shared" si="1"/>
        <v>신일동 1687-3</v>
      </c>
      <c r="N17" s="2">
        <v>100</v>
      </c>
      <c r="O17" s="2">
        <v>200</v>
      </c>
      <c r="P17" s="2">
        <v>5</v>
      </c>
      <c r="Q17" s="2">
        <v>4.22</v>
      </c>
      <c r="R17" s="2" t="s">
        <v>147</v>
      </c>
      <c r="S17" s="2" t="s">
        <v>11</v>
      </c>
    </row>
    <row r="18" spans="1:19" ht="21.75" customHeight="1" x14ac:dyDescent="0.3">
      <c r="B18" s="1"/>
      <c r="I18" s="2"/>
      <c r="J18" s="2"/>
      <c r="L18" s="10"/>
    </row>
    <row r="19" spans="1:19" ht="21.75" customHeight="1" x14ac:dyDescent="0.3">
      <c r="B19" s="1"/>
      <c r="I19" s="2"/>
      <c r="J19" s="2"/>
      <c r="L19" s="10"/>
    </row>
    <row r="20" spans="1:19" ht="21.75" customHeight="1" thickBot="1" x14ac:dyDescent="0.35">
      <c r="B20" s="1"/>
      <c r="I20" s="2"/>
      <c r="J20" s="2"/>
      <c r="L20" s="10"/>
    </row>
    <row r="21" spans="1:19" ht="21.75" customHeight="1" x14ac:dyDescent="0.3">
      <c r="B21" s="11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5">
        <f>SUM(L2:L2)</f>
        <v>0.68</v>
      </c>
    </row>
    <row r="22" spans="1:19" ht="21.75" customHeight="1" x14ac:dyDescent="0.3">
      <c r="B22" s="16" t="s">
        <v>255</v>
      </c>
      <c r="C22" s="13">
        <f ca="1">E22+G22+I22</f>
        <v>31</v>
      </c>
      <c r="D22" s="13">
        <f ca="1">F22+H22+J22</f>
        <v>142.66999999999999</v>
      </c>
      <c r="E22" s="13">
        <f ca="1">IF(F22=0,0,COUNTIF(SS_INSIDE_AREA,"O"))</f>
        <v>16</v>
      </c>
      <c r="F22" s="13">
        <f ca="1">SUMIF(SS_INSIDE_AREA,"O",$L$2:$L$2)</f>
        <v>39.61</v>
      </c>
      <c r="G22" s="13">
        <f ca="1">IF(H22=0,0,COUNTIF(AA_INSIDE_AREA,"O"))</f>
        <v>10</v>
      </c>
      <c r="H22" s="13">
        <f ca="1">aa!$D$15</f>
        <v>52.059999999999995</v>
      </c>
      <c r="I22" s="13">
        <f ca="1">IF(J22=0,0,COUNTIF(II_INSIDE_AREA,"O"))</f>
        <v>5</v>
      </c>
      <c r="J22" s="17">
        <f ca="1">ii!$D$12</f>
        <v>51</v>
      </c>
      <c r="K22" s="2" t="s">
        <v>30</v>
      </c>
      <c r="L22" s="44">
        <f ca="1">L21+aa!D15+ii!L9</f>
        <v>103.74</v>
      </c>
    </row>
    <row r="23" spans="1:19" ht="21.75" customHeight="1" thickBot="1" x14ac:dyDescent="0.35">
      <c r="B23" s="12" t="s">
        <v>256</v>
      </c>
      <c r="C23" s="18">
        <f ca="1">E23+G23+I23</f>
        <v>0</v>
      </c>
      <c r="D23" s="18">
        <f ca="1">F23+H23+J23</f>
        <v>0</v>
      </c>
      <c r="E23" s="18">
        <f ca="1">IF(F23=0,0,COUNTIF(SS_INSIDE_AREA,"X"))</f>
        <v>0</v>
      </c>
      <c r="F23" s="18">
        <f ca="1">SUMIF(SS_INSIDE_AREA,"X",$L$2:$L$2)</f>
        <v>0</v>
      </c>
      <c r="G23" s="18">
        <f ca="1">IF(H23=0,0,COUNTIF(AA_INSIDE_AREA,"X"))</f>
        <v>0</v>
      </c>
      <c r="H23" s="18">
        <f ca="1">aa!$D$16</f>
        <v>0</v>
      </c>
      <c r="I23" s="18">
        <f ca="1">IF(J23=0,0,COUNTIF(II_INSIDE_AREA,"X"))</f>
        <v>0</v>
      </c>
      <c r="J23" s="19">
        <f ca="1">ii!$D$13</f>
        <v>0</v>
      </c>
    </row>
    <row r="24" spans="1:19" ht="21.75" customHeight="1" x14ac:dyDescent="0.3">
      <c r="B24"/>
      <c r="C24"/>
      <c r="D24"/>
      <c r="E24"/>
      <c r="F24"/>
      <c r="G24"/>
      <c r="H24"/>
      <c r="I24"/>
      <c r="K24" s="11" t="s">
        <v>31</v>
      </c>
      <c r="L24" s="33">
        <f ca="1">D22</f>
        <v>142.66999999999999</v>
      </c>
    </row>
    <row r="25" spans="1:19" ht="21.75" customHeight="1" thickBot="1" x14ac:dyDescent="0.35">
      <c r="B25"/>
      <c r="C25"/>
      <c r="D25"/>
      <c r="E25"/>
      <c r="F25"/>
      <c r="G25"/>
      <c r="H25"/>
      <c r="I25"/>
      <c r="K25" s="12" t="s">
        <v>32</v>
      </c>
      <c r="L25" s="34">
        <f ca="1">C22</f>
        <v>31</v>
      </c>
    </row>
    <row r="26" spans="1:19" ht="21.75" customHeight="1" x14ac:dyDescent="0.3">
      <c r="B26"/>
      <c r="C26"/>
      <c r="D26"/>
      <c r="E26"/>
      <c r="F26"/>
      <c r="G26"/>
      <c r="H26"/>
      <c r="I26"/>
    </row>
    <row r="27" spans="1:19" ht="21.75" customHeight="1" x14ac:dyDescent="0.3">
      <c r="B27"/>
      <c r="C27"/>
      <c r="D27"/>
      <c r="E27"/>
      <c r="F27"/>
      <c r="G27"/>
      <c r="H27"/>
      <c r="I27"/>
    </row>
    <row r="28" spans="1:19" ht="21.75" customHeight="1" x14ac:dyDescent="0.3">
      <c r="B28"/>
      <c r="C28"/>
      <c r="D28"/>
      <c r="E28"/>
      <c r="F28"/>
      <c r="G28"/>
      <c r="H28"/>
      <c r="I28"/>
    </row>
    <row r="29" spans="1:19" ht="21.75" customHeight="1" x14ac:dyDescent="0.3">
      <c r="B29"/>
      <c r="C29"/>
      <c r="D29"/>
      <c r="E29"/>
      <c r="F29"/>
      <c r="G29"/>
      <c r="H29"/>
      <c r="I29"/>
    </row>
    <row r="30" spans="1:19" ht="21.75" customHeight="1" x14ac:dyDescent="0.3">
      <c r="B30"/>
      <c r="C30"/>
      <c r="D30"/>
      <c r="E30"/>
      <c r="F30"/>
      <c r="G30"/>
      <c r="H30"/>
      <c r="I30"/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9" spans="2:17" ht="21.75" customHeight="1" x14ac:dyDescent="0.3">
      <c r="K39"/>
      <c r="L39"/>
      <c r="M39"/>
      <c r="N39"/>
      <c r="O39"/>
      <c r="P39"/>
      <c r="Q39"/>
    </row>
    <row r="40" spans="2:17" ht="21.75" customHeight="1" x14ac:dyDescent="0.3">
      <c r="K40"/>
      <c r="L40"/>
      <c r="M40"/>
      <c r="N40"/>
      <c r="O40"/>
      <c r="P40"/>
      <c r="Q40"/>
    </row>
    <row r="41" spans="2:17" ht="21.75" customHeight="1" x14ac:dyDescent="0.3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r:id="rId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workbookViewId="0">
      <selection activeCell="N14" sqref="N14"/>
    </sheetView>
  </sheetViews>
  <sheetFormatPr defaultColWidth="9" defaultRowHeight="21.75" customHeight="1" x14ac:dyDescent="0.3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 x14ac:dyDescent="0.3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 x14ac:dyDescent="0.3">
      <c r="A2" s="1" t="s">
        <v>4</v>
      </c>
      <c r="B2" s="1" t="s">
        <v>2</v>
      </c>
      <c r="C2" s="2" t="s">
        <v>618</v>
      </c>
      <c r="D2" s="2" t="s">
        <v>622</v>
      </c>
      <c r="E2" s="8" t="s">
        <v>626</v>
      </c>
      <c r="F2" s="7">
        <v>25</v>
      </c>
      <c r="G2" s="7">
        <v>20</v>
      </c>
      <c r="H2" s="7">
        <v>0.5</v>
      </c>
      <c r="I2" s="7">
        <v>25</v>
      </c>
      <c r="J2" s="7">
        <v>20</v>
      </c>
      <c r="K2" s="7" t="s">
        <v>329</v>
      </c>
      <c r="L2" s="2">
        <v>3.08</v>
      </c>
      <c r="M2" s="26" t="str">
        <f>D2&amp;" "&amp;E2</f>
        <v>신일동 76</v>
      </c>
      <c r="N2" s="7">
        <v>25</v>
      </c>
      <c r="O2" s="7">
        <v>20</v>
      </c>
      <c r="P2" s="7">
        <v>0.5</v>
      </c>
      <c r="Q2" s="5">
        <v>3.08</v>
      </c>
      <c r="R2" s="7" t="s">
        <v>329</v>
      </c>
      <c r="S2" s="5" t="s">
        <v>11</v>
      </c>
    </row>
    <row r="3" spans="1:19" s="5" customFormat="1" ht="21.75" customHeight="1" x14ac:dyDescent="0.3">
      <c r="A3" s="1" t="s">
        <v>609</v>
      </c>
      <c r="B3" s="1" t="s">
        <v>2</v>
      </c>
      <c r="C3" s="2" t="s">
        <v>617</v>
      </c>
      <c r="D3" s="2" t="s">
        <v>633</v>
      </c>
      <c r="E3" s="8" t="s">
        <v>636</v>
      </c>
      <c r="F3" s="7">
        <v>30</v>
      </c>
      <c r="G3" s="7">
        <v>50</v>
      </c>
      <c r="H3" s="7">
        <v>0.3</v>
      </c>
      <c r="I3" s="7">
        <v>20</v>
      </c>
      <c r="J3" s="7">
        <v>13</v>
      </c>
      <c r="K3" s="7" t="s">
        <v>637</v>
      </c>
      <c r="L3" s="2">
        <v>5.94</v>
      </c>
      <c r="M3" s="26" t="str">
        <f t="shared" ref="M3:M11" si="0">D3&amp;" "&amp;E3</f>
        <v>덕암동 198-1</v>
      </c>
      <c r="N3" s="7">
        <v>30</v>
      </c>
      <c r="O3" s="7">
        <v>50</v>
      </c>
      <c r="P3" s="7">
        <v>0.3</v>
      </c>
      <c r="Q3" s="5">
        <v>5.94</v>
      </c>
      <c r="R3" s="7" t="s">
        <v>637</v>
      </c>
      <c r="S3" s="5" t="s">
        <v>11</v>
      </c>
    </row>
    <row r="4" spans="1:19" s="5" customFormat="1" ht="21.75" customHeight="1" x14ac:dyDescent="0.3">
      <c r="A4" s="1" t="s">
        <v>24</v>
      </c>
      <c r="B4" s="1" t="s">
        <v>2</v>
      </c>
      <c r="C4" s="2" t="s">
        <v>617</v>
      </c>
      <c r="D4" s="2" t="s">
        <v>633</v>
      </c>
      <c r="E4" s="8" t="s">
        <v>638</v>
      </c>
      <c r="F4" s="7">
        <v>100</v>
      </c>
      <c r="G4" s="7">
        <v>150</v>
      </c>
      <c r="H4" s="7">
        <v>0.5</v>
      </c>
      <c r="I4" s="7">
        <v>30</v>
      </c>
      <c r="J4" s="7">
        <v>20</v>
      </c>
      <c r="K4" s="7" t="s">
        <v>637</v>
      </c>
      <c r="L4" s="2">
        <v>6.08</v>
      </c>
      <c r="M4" s="26" t="str">
        <f t="shared" si="0"/>
        <v>덕암동 189</v>
      </c>
      <c r="N4" s="7">
        <v>100</v>
      </c>
      <c r="O4" s="7">
        <v>150</v>
      </c>
      <c r="P4" s="7">
        <v>0.5</v>
      </c>
      <c r="Q4" s="5">
        <v>6.08</v>
      </c>
      <c r="R4" s="7" t="s">
        <v>637</v>
      </c>
      <c r="S4" s="5" t="s">
        <v>11</v>
      </c>
    </row>
    <row r="5" spans="1:19" s="5" customFormat="1" ht="21.75" customHeight="1" x14ac:dyDescent="0.3">
      <c r="A5" s="1" t="s">
        <v>610</v>
      </c>
      <c r="B5" s="1" t="s">
        <v>2</v>
      </c>
      <c r="C5" s="2" t="s">
        <v>617</v>
      </c>
      <c r="D5" s="2" t="s">
        <v>620</v>
      </c>
      <c r="E5" s="8" t="s">
        <v>639</v>
      </c>
      <c r="F5" s="7">
        <v>68</v>
      </c>
      <c r="G5" s="7">
        <v>16</v>
      </c>
      <c r="H5" s="7">
        <v>0.5</v>
      </c>
      <c r="I5" s="7">
        <v>20</v>
      </c>
      <c r="J5" s="7">
        <v>20</v>
      </c>
      <c r="K5" s="7" t="s">
        <v>329</v>
      </c>
      <c r="L5" s="2">
        <v>2.86</v>
      </c>
      <c r="M5" s="26" t="str">
        <f t="shared" si="0"/>
        <v>목상동 248</v>
      </c>
      <c r="N5" s="7">
        <v>68</v>
      </c>
      <c r="O5" s="7">
        <v>16</v>
      </c>
      <c r="P5" s="7">
        <v>0.5</v>
      </c>
      <c r="Q5" s="5">
        <v>2.86</v>
      </c>
      <c r="R5" s="7" t="s">
        <v>329</v>
      </c>
      <c r="S5" s="5" t="s">
        <v>11</v>
      </c>
    </row>
    <row r="6" spans="1:19" s="5" customFormat="1" ht="21.75" customHeight="1" x14ac:dyDescent="0.3">
      <c r="A6" s="1" t="s">
        <v>611</v>
      </c>
      <c r="B6" s="1" t="s">
        <v>2</v>
      </c>
      <c r="C6" s="2" t="s">
        <v>617</v>
      </c>
      <c r="D6" s="2" t="s">
        <v>619</v>
      </c>
      <c r="E6" s="8" t="s">
        <v>640</v>
      </c>
      <c r="F6" s="7">
        <v>175</v>
      </c>
      <c r="G6" s="7">
        <v>150</v>
      </c>
      <c r="H6" s="7">
        <v>3</v>
      </c>
      <c r="I6" s="7">
        <v>95</v>
      </c>
      <c r="J6" s="7">
        <v>32</v>
      </c>
      <c r="K6" s="7" t="s">
        <v>329</v>
      </c>
      <c r="L6" s="2">
        <v>6.16</v>
      </c>
      <c r="M6" s="26" t="str">
        <f t="shared" si="0"/>
        <v>목상동 267-3</v>
      </c>
      <c r="N6" s="7">
        <v>175</v>
      </c>
      <c r="O6" s="7">
        <v>150</v>
      </c>
      <c r="P6" s="7">
        <v>3</v>
      </c>
      <c r="Q6" s="5">
        <v>6.16</v>
      </c>
      <c r="R6" s="7" t="s">
        <v>329</v>
      </c>
      <c r="S6" s="5" t="s">
        <v>11</v>
      </c>
    </row>
    <row r="7" spans="1:19" s="5" customFormat="1" ht="21.75" customHeight="1" x14ac:dyDescent="0.3">
      <c r="A7" s="1" t="s">
        <v>612</v>
      </c>
      <c r="B7" s="1" t="s">
        <v>2</v>
      </c>
      <c r="C7" s="2" t="s">
        <v>617</v>
      </c>
      <c r="D7" s="2" t="s">
        <v>619</v>
      </c>
      <c r="E7" s="8" t="s">
        <v>641</v>
      </c>
      <c r="F7" s="7">
        <v>170</v>
      </c>
      <c r="G7" s="7">
        <v>175</v>
      </c>
      <c r="H7" s="7">
        <v>2</v>
      </c>
      <c r="I7" s="7">
        <v>95</v>
      </c>
      <c r="J7" s="7">
        <v>25</v>
      </c>
      <c r="K7" s="7" t="s">
        <v>329</v>
      </c>
      <c r="L7" s="2">
        <v>6.16</v>
      </c>
      <c r="M7" s="26" t="str">
        <f t="shared" si="0"/>
        <v>목상동 268</v>
      </c>
      <c r="N7" s="7">
        <v>170</v>
      </c>
      <c r="O7" s="7">
        <v>175</v>
      </c>
      <c r="P7" s="7">
        <v>2</v>
      </c>
      <c r="Q7" s="5">
        <v>6.16</v>
      </c>
      <c r="R7" s="7" t="s">
        <v>329</v>
      </c>
      <c r="S7" s="5" t="s">
        <v>11</v>
      </c>
    </row>
    <row r="8" spans="1:19" s="5" customFormat="1" ht="21.75" customHeight="1" x14ac:dyDescent="0.3">
      <c r="A8" s="1" t="s">
        <v>613</v>
      </c>
      <c r="B8" s="1" t="s">
        <v>2</v>
      </c>
      <c r="C8" s="2" t="s">
        <v>617</v>
      </c>
      <c r="D8" s="2" t="s">
        <v>619</v>
      </c>
      <c r="E8" s="8" t="s">
        <v>642</v>
      </c>
      <c r="F8" s="7">
        <v>80</v>
      </c>
      <c r="G8" s="7">
        <v>150</v>
      </c>
      <c r="H8" s="7">
        <v>2</v>
      </c>
      <c r="I8" s="7">
        <v>95</v>
      </c>
      <c r="J8" s="7">
        <v>32</v>
      </c>
      <c r="K8" s="7" t="s">
        <v>329</v>
      </c>
      <c r="L8" s="2">
        <v>6.16</v>
      </c>
      <c r="M8" s="26" t="str">
        <f t="shared" si="0"/>
        <v>목상동 240</v>
      </c>
      <c r="N8" s="7">
        <v>80</v>
      </c>
      <c r="O8" s="7">
        <v>150</v>
      </c>
      <c r="P8" s="7">
        <v>2</v>
      </c>
      <c r="Q8" s="5">
        <v>6.16</v>
      </c>
      <c r="R8" s="7" t="s">
        <v>329</v>
      </c>
      <c r="S8" s="5" t="s">
        <v>11</v>
      </c>
    </row>
    <row r="9" spans="1:19" s="5" customFormat="1" ht="21.75" customHeight="1" x14ac:dyDescent="0.3">
      <c r="A9" s="1" t="s">
        <v>614</v>
      </c>
      <c r="B9" s="1" t="s">
        <v>2</v>
      </c>
      <c r="C9" s="2" t="s">
        <v>617</v>
      </c>
      <c r="D9" s="2" t="s">
        <v>619</v>
      </c>
      <c r="E9" s="8" t="s">
        <v>643</v>
      </c>
      <c r="F9" s="7">
        <v>80</v>
      </c>
      <c r="G9" s="7">
        <v>150</v>
      </c>
      <c r="H9" s="7">
        <v>2</v>
      </c>
      <c r="I9" s="7">
        <v>100</v>
      </c>
      <c r="J9" s="7">
        <v>32</v>
      </c>
      <c r="K9" s="7" t="s">
        <v>329</v>
      </c>
      <c r="L9" s="2">
        <v>6.38</v>
      </c>
      <c r="M9" s="26" t="str">
        <f t="shared" si="0"/>
        <v>목상동 236</v>
      </c>
      <c r="N9" s="7">
        <v>80</v>
      </c>
      <c r="O9" s="7">
        <v>150</v>
      </c>
      <c r="P9" s="7">
        <v>2</v>
      </c>
      <c r="Q9" s="5">
        <v>6.38</v>
      </c>
      <c r="R9" s="7" t="s">
        <v>329</v>
      </c>
      <c r="S9" s="5" t="s">
        <v>11</v>
      </c>
    </row>
    <row r="10" spans="1:19" s="5" customFormat="1" ht="21.75" customHeight="1" x14ac:dyDescent="0.3">
      <c r="A10" s="1" t="s">
        <v>615</v>
      </c>
      <c r="B10" s="1" t="s">
        <v>2</v>
      </c>
      <c r="C10" s="2" t="s">
        <v>617</v>
      </c>
      <c r="D10" s="2" t="s">
        <v>619</v>
      </c>
      <c r="E10" s="8" t="s">
        <v>644</v>
      </c>
      <c r="F10" s="7">
        <v>30</v>
      </c>
      <c r="G10" s="7">
        <v>50</v>
      </c>
      <c r="H10" s="7">
        <v>0.5</v>
      </c>
      <c r="I10" s="7">
        <v>30</v>
      </c>
      <c r="J10" s="7">
        <v>20</v>
      </c>
      <c r="K10" s="7" t="s">
        <v>329</v>
      </c>
      <c r="L10" s="2">
        <v>3.3</v>
      </c>
      <c r="M10" s="26" t="str">
        <f t="shared" si="0"/>
        <v>목상동 224-4</v>
      </c>
      <c r="N10" s="7">
        <v>30</v>
      </c>
      <c r="O10" s="7">
        <v>50</v>
      </c>
      <c r="P10" s="7">
        <v>0.5</v>
      </c>
      <c r="Q10" s="5">
        <v>3.3</v>
      </c>
      <c r="R10" s="7" t="s">
        <v>329</v>
      </c>
      <c r="S10" s="5" t="s">
        <v>11</v>
      </c>
    </row>
    <row r="11" spans="1:19" s="5" customFormat="1" ht="21.75" customHeight="1" x14ac:dyDescent="0.3">
      <c r="A11" s="1" t="s">
        <v>616</v>
      </c>
      <c r="B11" s="1" t="s">
        <v>2</v>
      </c>
      <c r="C11" s="2" t="s">
        <v>617</v>
      </c>
      <c r="D11" s="2" t="s">
        <v>619</v>
      </c>
      <c r="E11" s="8" t="s">
        <v>645</v>
      </c>
      <c r="F11" s="7">
        <v>75</v>
      </c>
      <c r="G11" s="7">
        <v>16</v>
      </c>
      <c r="H11" s="7">
        <v>0.5</v>
      </c>
      <c r="I11" s="7">
        <v>20</v>
      </c>
      <c r="J11" s="7">
        <v>20</v>
      </c>
      <c r="K11" s="7" t="s">
        <v>637</v>
      </c>
      <c r="L11" s="2">
        <v>5.94</v>
      </c>
      <c r="M11" s="26" t="str">
        <f t="shared" si="0"/>
        <v>목상동 223</v>
      </c>
      <c r="N11" s="7">
        <v>75</v>
      </c>
      <c r="O11" s="7">
        <v>16</v>
      </c>
      <c r="P11" s="7">
        <v>0.5</v>
      </c>
      <c r="Q11" s="5">
        <v>5.94</v>
      </c>
      <c r="R11" s="7" t="s">
        <v>637</v>
      </c>
      <c r="S11" s="5" t="s">
        <v>11</v>
      </c>
    </row>
    <row r="12" spans="1:19" s="5" customFormat="1" ht="21.75" customHeight="1" x14ac:dyDescent="0.3">
      <c r="A12" s="1"/>
      <c r="B12" s="1"/>
      <c r="C12" s="2"/>
      <c r="D12" s="2"/>
      <c r="E12" s="8"/>
      <c r="F12" s="7"/>
      <c r="G12" s="7"/>
      <c r="H12" s="7"/>
      <c r="I12" s="7"/>
      <c r="J12" s="7"/>
      <c r="K12" s="7"/>
      <c r="L12" s="2"/>
      <c r="M12" s="26"/>
      <c r="N12" s="7"/>
      <c r="O12" s="7"/>
      <c r="P12" s="7"/>
      <c r="R12" s="7"/>
    </row>
    <row r="13" spans="1:19" s="5" customFormat="1" ht="21.75" customHeight="1" thickBot="1" x14ac:dyDescent="0.35">
      <c r="A13" s="1"/>
      <c r="B13" s="1"/>
      <c r="C13" s="2"/>
      <c r="D13" s="2"/>
      <c r="E13" s="8"/>
      <c r="F13" s="7"/>
      <c r="G13" s="7"/>
      <c r="H13" s="7"/>
      <c r="I13" s="7"/>
      <c r="J13" s="7"/>
      <c r="K13" s="7"/>
      <c r="L13" s="2"/>
      <c r="M13" s="26"/>
      <c r="N13" s="7"/>
      <c r="O13" s="7"/>
      <c r="P13" s="7"/>
      <c r="R13" s="7"/>
    </row>
    <row r="14" spans="1:19" s="5" customFormat="1" ht="21.75" customHeight="1" x14ac:dyDescent="0.3">
      <c r="A14" s="1"/>
      <c r="B14" s="22" t="s">
        <v>21</v>
      </c>
      <c r="C14" s="14" t="s">
        <v>20</v>
      </c>
      <c r="D14" s="15" t="s">
        <v>5</v>
      </c>
      <c r="E14" s="8"/>
      <c r="F14" s="7"/>
      <c r="G14" s="7"/>
      <c r="H14" s="7"/>
      <c r="I14" s="7"/>
      <c r="J14" s="7"/>
      <c r="K14" s="7"/>
      <c r="L14" s="2"/>
      <c r="M14" s="26"/>
      <c r="N14" s="7"/>
      <c r="O14" s="7"/>
      <c r="P14" s="7"/>
      <c r="R14" s="7"/>
    </row>
    <row r="15" spans="1:19" s="5" customFormat="1" ht="21.75" customHeight="1" x14ac:dyDescent="0.3">
      <c r="A15" s="1"/>
      <c r="B15" s="20" t="s">
        <v>18</v>
      </c>
      <c r="C15" s="13">
        <f ca="1">COUNTIF(AA_INSIDE_AREA,"O")</f>
        <v>10</v>
      </c>
      <c r="D15" s="17">
        <f ca="1">SUMIF(AA_INSIDE_AREA,"O",$L$2:$L$2)</f>
        <v>52.059999999999995</v>
      </c>
      <c r="E15" s="8"/>
      <c r="F15" s="7"/>
      <c r="G15" s="7"/>
      <c r="H15" s="7"/>
      <c r="I15" s="7"/>
      <c r="J15" s="7"/>
      <c r="K15" s="7"/>
      <c r="L15" s="2"/>
      <c r="M15" s="26"/>
      <c r="N15" s="7"/>
      <c r="O15" s="7"/>
      <c r="P15" s="7"/>
      <c r="R15" s="7"/>
    </row>
    <row r="16" spans="1:19" ht="21.75" customHeight="1" x14ac:dyDescent="0.3">
      <c r="B16" s="20" t="s">
        <v>19</v>
      </c>
      <c r="C16" s="13">
        <f ca="1">COUNTIF(AA_INSIDE_AREA,"X")</f>
        <v>0</v>
      </c>
      <c r="D16" s="17">
        <f ca="1">SUMIF(AA_INSIDE_AREA,"X",$L$2:$L$2)</f>
        <v>0</v>
      </c>
      <c r="L16" s="3"/>
    </row>
    <row r="17" spans="2:12" ht="21.75" customHeight="1" thickBot="1" x14ac:dyDescent="0.35">
      <c r="B17" s="21"/>
      <c r="C17" s="18"/>
      <c r="D17" s="19">
        <f ca="1">D15+D16</f>
        <v>52.059999999999995</v>
      </c>
      <c r="L17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4"/>
  <sheetViews>
    <sheetView workbookViewId="0">
      <selection activeCell="T12" sqref="T12"/>
    </sheetView>
  </sheetViews>
  <sheetFormatPr defaultRowHeight="16.5" x14ac:dyDescent="0.3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 x14ac:dyDescent="0.3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 x14ac:dyDescent="0.3">
      <c r="A2" s="5" t="s">
        <v>9</v>
      </c>
      <c r="B2" s="1" t="s">
        <v>2</v>
      </c>
      <c r="C2" s="2" t="s">
        <v>618</v>
      </c>
      <c r="D2" s="2" t="s">
        <v>622</v>
      </c>
      <c r="E2" s="4" t="s">
        <v>627</v>
      </c>
      <c r="F2" s="2">
        <v>100</v>
      </c>
      <c r="G2" s="2">
        <v>200</v>
      </c>
      <c r="H2" s="2">
        <v>2</v>
      </c>
      <c r="I2" s="2">
        <v>90</v>
      </c>
      <c r="J2" s="2">
        <v>32</v>
      </c>
      <c r="K2" s="2" t="s">
        <v>153</v>
      </c>
      <c r="L2" s="2">
        <v>6</v>
      </c>
      <c r="M2" s="2" t="str">
        <f>D2&amp;" "&amp;E2&amp;" 번지"</f>
        <v>신일동 산9-1 번지</v>
      </c>
      <c r="N2" s="2">
        <v>100</v>
      </c>
      <c r="O2" s="2">
        <v>200</v>
      </c>
      <c r="P2" s="2">
        <v>2</v>
      </c>
      <c r="Q2" s="2">
        <v>6</v>
      </c>
      <c r="R2" s="2" t="s">
        <v>153</v>
      </c>
      <c r="S2" s="2" t="s">
        <v>11</v>
      </c>
    </row>
    <row r="3" spans="1:19" ht="21.75" customHeight="1" x14ac:dyDescent="0.3">
      <c r="A3" s="5" t="s">
        <v>128</v>
      </c>
      <c r="B3" s="1" t="s">
        <v>2</v>
      </c>
      <c r="C3" s="2" t="s">
        <v>618</v>
      </c>
      <c r="D3" s="2" t="s">
        <v>622</v>
      </c>
      <c r="E3" s="4" t="s">
        <v>650</v>
      </c>
      <c r="F3" s="2">
        <v>100</v>
      </c>
      <c r="G3" s="2">
        <v>150</v>
      </c>
      <c r="H3" s="2">
        <v>2</v>
      </c>
      <c r="I3" s="2">
        <v>85</v>
      </c>
      <c r="J3" s="2">
        <v>32</v>
      </c>
      <c r="K3" s="2" t="s">
        <v>651</v>
      </c>
      <c r="L3" s="2">
        <v>5</v>
      </c>
      <c r="M3" s="2" t="str">
        <f t="shared" ref="M3:M6" si="0">D3&amp;" "&amp;E3&amp;" 번지"</f>
        <v>신일동 1688-13 번지</v>
      </c>
      <c r="N3" s="2">
        <v>100</v>
      </c>
      <c r="O3" s="2">
        <v>150</v>
      </c>
      <c r="P3" s="2">
        <v>2</v>
      </c>
      <c r="Q3" s="2">
        <v>5</v>
      </c>
      <c r="R3" s="2" t="s">
        <v>651</v>
      </c>
      <c r="S3" s="2" t="s">
        <v>11</v>
      </c>
    </row>
    <row r="4" spans="1:19" ht="21.75" customHeight="1" x14ac:dyDescent="0.3">
      <c r="A4" s="5" t="s">
        <v>129</v>
      </c>
      <c r="B4" s="1" t="s">
        <v>2</v>
      </c>
      <c r="C4" s="2" t="s">
        <v>618</v>
      </c>
      <c r="D4" s="2" t="s">
        <v>622</v>
      </c>
      <c r="E4" s="4" t="s">
        <v>654</v>
      </c>
      <c r="F4" s="2">
        <v>150</v>
      </c>
      <c r="G4" s="2">
        <v>200</v>
      </c>
      <c r="H4" s="2">
        <v>5</v>
      </c>
      <c r="I4" s="2">
        <v>200</v>
      </c>
      <c r="J4" s="2">
        <v>50</v>
      </c>
      <c r="K4" s="2" t="s">
        <v>651</v>
      </c>
      <c r="L4" s="2">
        <v>15</v>
      </c>
      <c r="M4" s="2" t="str">
        <f t="shared" si="0"/>
        <v>신일동 1688-3 번지</v>
      </c>
      <c r="N4" s="2">
        <v>150</v>
      </c>
      <c r="O4" s="2">
        <v>200</v>
      </c>
      <c r="P4" s="2">
        <v>5</v>
      </c>
      <c r="Q4" s="2">
        <v>15</v>
      </c>
      <c r="R4" s="2" t="s">
        <v>651</v>
      </c>
      <c r="S4" s="2" t="s">
        <v>11</v>
      </c>
    </row>
    <row r="5" spans="1:19" ht="21.75" customHeight="1" x14ac:dyDescent="0.3">
      <c r="A5" s="5" t="s">
        <v>130</v>
      </c>
      <c r="B5" s="1" t="s">
        <v>2</v>
      </c>
      <c r="C5" s="2" t="s">
        <v>618</v>
      </c>
      <c r="D5" s="2" t="s">
        <v>622</v>
      </c>
      <c r="E5" s="4" t="s">
        <v>656</v>
      </c>
      <c r="F5" s="2">
        <v>150</v>
      </c>
      <c r="G5" s="2">
        <v>200</v>
      </c>
      <c r="H5" s="2">
        <v>7.5</v>
      </c>
      <c r="I5" s="2">
        <v>220</v>
      </c>
      <c r="J5" s="2">
        <v>50</v>
      </c>
      <c r="K5" s="2" t="s">
        <v>158</v>
      </c>
      <c r="L5" s="2">
        <v>15</v>
      </c>
      <c r="M5" s="2" t="str">
        <f t="shared" si="0"/>
        <v>신일동 1690-1 번지</v>
      </c>
      <c r="N5" s="2">
        <v>150</v>
      </c>
      <c r="O5" s="2">
        <v>200</v>
      </c>
      <c r="P5" s="2">
        <v>7.5</v>
      </c>
      <c r="Q5" s="2">
        <v>15</v>
      </c>
      <c r="R5" s="2" t="s">
        <v>158</v>
      </c>
      <c r="S5" s="2" t="s">
        <v>11</v>
      </c>
    </row>
    <row r="6" spans="1:19" ht="21.75" customHeight="1" x14ac:dyDescent="0.3">
      <c r="A6" s="5" t="s">
        <v>131</v>
      </c>
      <c r="B6" s="1" t="s">
        <v>2</v>
      </c>
      <c r="C6" s="2" t="s">
        <v>618</v>
      </c>
      <c r="D6" s="2" t="s">
        <v>622</v>
      </c>
      <c r="E6" s="4" t="s">
        <v>658</v>
      </c>
      <c r="F6" s="2">
        <v>100</v>
      </c>
      <c r="G6" s="2">
        <v>200</v>
      </c>
      <c r="H6" s="2">
        <v>5</v>
      </c>
      <c r="I6" s="2">
        <v>150</v>
      </c>
      <c r="J6" s="2">
        <v>40</v>
      </c>
      <c r="K6" s="2" t="s">
        <v>651</v>
      </c>
      <c r="L6" s="2">
        <v>10</v>
      </c>
      <c r="M6" s="2" t="str">
        <f t="shared" si="0"/>
        <v>신일동 1674-2 번지</v>
      </c>
      <c r="N6" s="2">
        <v>100</v>
      </c>
      <c r="O6" s="2">
        <v>200</v>
      </c>
      <c r="P6" s="2">
        <v>5</v>
      </c>
      <c r="Q6" s="2">
        <v>10</v>
      </c>
      <c r="R6" s="2" t="s">
        <v>651</v>
      </c>
      <c r="S6" s="2" t="s">
        <v>11</v>
      </c>
    </row>
    <row r="7" spans="1:19" ht="21.75" customHeight="1" x14ac:dyDescent="0.3"/>
    <row r="8" spans="1:19" ht="21.75" customHeight="1" x14ac:dyDescent="0.3"/>
    <row r="9" spans="1:19" ht="21.75" customHeight="1" x14ac:dyDescent="0.3">
      <c r="K9" s="5" t="s">
        <v>30</v>
      </c>
      <c r="L9" s="32">
        <f>SUM(L2:L8)</f>
        <v>51</v>
      </c>
      <c r="S9" s="9"/>
    </row>
    <row r="10" spans="1:19" ht="18.75" customHeight="1" thickBot="1" x14ac:dyDescent="0.35"/>
    <row r="11" spans="1:19" ht="18.75" customHeight="1" x14ac:dyDescent="0.3">
      <c r="B11" s="22" t="s">
        <v>29</v>
      </c>
      <c r="C11" s="14" t="s">
        <v>20</v>
      </c>
      <c r="D11" s="15" t="s">
        <v>5</v>
      </c>
      <c r="L11" s="3"/>
      <c r="S11" s="3"/>
    </row>
    <row r="12" spans="1:19" ht="18.75" customHeight="1" x14ac:dyDescent="0.3">
      <c r="B12" s="20" t="s">
        <v>18</v>
      </c>
      <c r="C12" s="13">
        <f ca="1">IF(L9=0,0,COUNTIF(II_INSIDE_AREA,"O"))</f>
        <v>5</v>
      </c>
      <c r="D12" s="17">
        <f ca="1">SUMIF(II_INSIDE_AREA,"O",$L$2:$L$2)</f>
        <v>51</v>
      </c>
      <c r="L12" s="3"/>
      <c r="S12" s="3"/>
    </row>
    <row r="13" spans="1:19" ht="18.75" customHeight="1" x14ac:dyDescent="0.3">
      <c r="B13" s="20" t="s">
        <v>19</v>
      </c>
      <c r="C13" s="13">
        <f ca="1">COUNTIF(II_INSIDE_AREA,"X")</f>
        <v>0</v>
      </c>
      <c r="D13" s="17">
        <f ca="1">SUMIF(II_INSIDE_AREA,"X",$L$2:$L$2)</f>
        <v>0</v>
      </c>
    </row>
    <row r="14" spans="1:19" ht="18.75" customHeight="1" thickBot="1" x14ac:dyDescent="0.35">
      <c r="B14" s="21"/>
      <c r="C14" s="18"/>
      <c r="D14" s="19">
        <f ca="1">D12+D13</f>
        <v>51</v>
      </c>
    </row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  <row r="51" ht="18.75" customHeight="1" x14ac:dyDescent="0.3"/>
    <row r="52" ht="18.75" customHeight="1" x14ac:dyDescent="0.3"/>
    <row r="53" ht="18.75" customHeight="1" x14ac:dyDescent="0.3"/>
    <row r="54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5" customWidth="1"/>
    <col min="4" max="4" width="9" style="5"/>
    <col min="5" max="5" width="28.125" style="26" customWidth="1"/>
  </cols>
  <sheetData>
    <row r="1" spans="1:10" ht="21.75" customHeight="1" x14ac:dyDescent="0.3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 x14ac:dyDescent="0.3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 x14ac:dyDescent="0.3">
      <c r="C3" s="5" t="s">
        <v>88</v>
      </c>
      <c r="D3" s="5" t="s">
        <v>35</v>
      </c>
      <c r="E3" s="26" t="s">
        <v>142</v>
      </c>
    </row>
    <row r="4" spans="1:10" ht="20.100000000000001" customHeight="1" x14ac:dyDescent="0.3">
      <c r="C4" s="5" t="s">
        <v>140</v>
      </c>
      <c r="D4" s="5" t="s">
        <v>36</v>
      </c>
      <c r="E4" s="26" t="s">
        <v>143</v>
      </c>
    </row>
    <row r="5" spans="1:10" ht="20.100000000000001" customHeight="1" x14ac:dyDescent="0.3">
      <c r="C5" s="5" t="s">
        <v>24</v>
      </c>
      <c r="D5" s="5" t="s">
        <v>37</v>
      </c>
      <c r="E5" s="26" t="s">
        <v>144</v>
      </c>
    </row>
    <row r="6" spans="1:10" ht="20.100000000000001" customHeight="1" x14ac:dyDescent="0.3">
      <c r="C6" s="5" t="s">
        <v>89</v>
      </c>
      <c r="D6" s="5" t="s">
        <v>38</v>
      </c>
      <c r="E6" s="26" t="s">
        <v>145</v>
      </c>
    </row>
    <row r="7" spans="1:10" ht="20.100000000000001" customHeight="1" x14ac:dyDescent="0.3">
      <c r="C7" s="5" t="s">
        <v>90</v>
      </c>
      <c r="D7" s="5" t="s">
        <v>39</v>
      </c>
      <c r="E7" s="26" t="s">
        <v>33</v>
      </c>
    </row>
    <row r="8" spans="1:10" ht="20.100000000000001" customHeight="1" x14ac:dyDescent="0.3">
      <c r="C8" s="5" t="s">
        <v>91</v>
      </c>
      <c r="D8" s="5" t="s">
        <v>40</v>
      </c>
      <c r="E8" s="26" t="s">
        <v>146</v>
      </c>
    </row>
    <row r="9" spans="1:10" ht="20.100000000000001" customHeight="1" x14ac:dyDescent="0.3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 x14ac:dyDescent="0.3">
      <c r="C10" s="5" t="s">
        <v>93</v>
      </c>
      <c r="D10" s="5" t="s">
        <v>42</v>
      </c>
      <c r="E10" s="26" t="s">
        <v>148</v>
      </c>
    </row>
    <row r="11" spans="1:10" ht="20.100000000000001" customHeight="1" x14ac:dyDescent="0.3">
      <c r="C11" s="5" t="s">
        <v>94</v>
      </c>
      <c r="D11" s="5" t="s">
        <v>43</v>
      </c>
      <c r="E11" s="26" t="s">
        <v>149</v>
      </c>
    </row>
    <row r="12" spans="1:10" ht="20.100000000000001" customHeight="1" x14ac:dyDescent="0.3">
      <c r="C12" s="5" t="s">
        <v>95</v>
      </c>
      <c r="D12" s="5" t="s">
        <v>44</v>
      </c>
      <c r="E12" s="26" t="s">
        <v>150</v>
      </c>
    </row>
    <row r="13" spans="1:10" ht="20.100000000000001" customHeight="1" x14ac:dyDescent="0.3">
      <c r="C13" s="5" t="s">
        <v>96</v>
      </c>
      <c r="D13" s="5" t="s">
        <v>45</v>
      </c>
      <c r="E13" s="26" t="s">
        <v>151</v>
      </c>
    </row>
    <row r="14" spans="1:10" ht="20.100000000000001" customHeight="1" x14ac:dyDescent="0.3">
      <c r="C14" s="5" t="s">
        <v>97</v>
      </c>
      <c r="D14" s="5" t="s">
        <v>46</v>
      </c>
      <c r="E14" s="26" t="s">
        <v>152</v>
      </c>
    </row>
    <row r="15" spans="1:10" ht="20.100000000000001" customHeight="1" x14ac:dyDescent="0.3">
      <c r="C15" s="5" t="s">
        <v>98</v>
      </c>
      <c r="D15" s="5" t="s">
        <v>47</v>
      </c>
      <c r="E15" s="26" t="s">
        <v>153</v>
      </c>
    </row>
    <row r="16" spans="1:10" ht="20.100000000000001" customHeight="1" x14ac:dyDescent="0.3">
      <c r="C16" s="5" t="s">
        <v>99</v>
      </c>
      <c r="D16" s="5" t="s">
        <v>48</v>
      </c>
      <c r="E16" s="26" t="s">
        <v>154</v>
      </c>
    </row>
    <row r="17" spans="3:5" ht="20.100000000000001" customHeight="1" x14ac:dyDescent="0.3">
      <c r="C17" s="5" t="s">
        <v>100</v>
      </c>
      <c r="D17" s="5" t="s">
        <v>49</v>
      </c>
      <c r="E17" s="26" t="s">
        <v>155</v>
      </c>
    </row>
    <row r="18" spans="3:5" ht="20.100000000000001" customHeight="1" x14ac:dyDescent="0.3">
      <c r="C18" s="5" t="s">
        <v>101</v>
      </c>
      <c r="D18" s="5" t="s">
        <v>50</v>
      </c>
      <c r="E18" s="26" t="s">
        <v>156</v>
      </c>
    </row>
    <row r="19" spans="3:5" ht="20.100000000000001" customHeight="1" x14ac:dyDescent="0.3">
      <c r="C19" s="5" t="s">
        <v>102</v>
      </c>
      <c r="D19" s="5" t="s">
        <v>51</v>
      </c>
      <c r="E19" s="26" t="s">
        <v>157</v>
      </c>
    </row>
    <row r="20" spans="3:5" ht="20.100000000000001" customHeight="1" x14ac:dyDescent="0.3">
      <c r="C20" s="5" t="s">
        <v>103</v>
      </c>
      <c r="D20" s="5" t="s">
        <v>52</v>
      </c>
      <c r="E20" s="26" t="s">
        <v>158</v>
      </c>
    </row>
    <row r="21" spans="3:5" ht="20.100000000000001" customHeight="1" x14ac:dyDescent="0.3">
      <c r="C21" s="5" t="s">
        <v>104</v>
      </c>
      <c r="D21" s="5" t="s">
        <v>53</v>
      </c>
      <c r="E21" s="26" t="s">
        <v>153</v>
      </c>
    </row>
    <row r="22" spans="3:5" ht="20.100000000000001" customHeight="1" x14ac:dyDescent="0.3">
      <c r="C22" s="5" t="s">
        <v>105</v>
      </c>
      <c r="D22" s="5" t="s">
        <v>54</v>
      </c>
      <c r="E22" s="26" t="s">
        <v>159</v>
      </c>
    </row>
    <row r="23" spans="3:5" ht="20.100000000000001" customHeight="1" x14ac:dyDescent="0.3">
      <c r="C23" s="5" t="s">
        <v>106</v>
      </c>
      <c r="D23" s="5" t="s">
        <v>55</v>
      </c>
      <c r="E23" s="26" t="s">
        <v>160</v>
      </c>
    </row>
    <row r="24" spans="3:5" ht="20.100000000000001" customHeight="1" x14ac:dyDescent="0.3">
      <c r="C24" s="5" t="s">
        <v>107</v>
      </c>
      <c r="D24" s="5" t="s">
        <v>56</v>
      </c>
      <c r="E24" s="26" t="s">
        <v>161</v>
      </c>
    </row>
    <row r="25" spans="3:5" ht="20.100000000000001" customHeight="1" x14ac:dyDescent="0.3">
      <c r="C25" s="5" t="s">
        <v>108</v>
      </c>
      <c r="D25" s="5" t="s">
        <v>57</v>
      </c>
      <c r="E25" s="26" t="s">
        <v>162</v>
      </c>
    </row>
    <row r="26" spans="3:5" ht="20.100000000000001" customHeight="1" x14ac:dyDescent="0.3">
      <c r="C26" s="5" t="s">
        <v>109</v>
      </c>
      <c r="D26" s="5" t="s">
        <v>58</v>
      </c>
      <c r="E26" s="26" t="s">
        <v>163</v>
      </c>
    </row>
    <row r="27" spans="3:5" ht="20.100000000000001" customHeight="1" x14ac:dyDescent="0.3">
      <c r="C27" s="5" t="s">
        <v>110</v>
      </c>
      <c r="D27" s="5" t="s">
        <v>59</v>
      </c>
      <c r="E27" s="26" t="s">
        <v>164</v>
      </c>
    </row>
    <row r="28" spans="3:5" ht="20.100000000000001" customHeight="1" x14ac:dyDescent="0.3">
      <c r="C28" s="5" t="s">
        <v>111</v>
      </c>
      <c r="D28" s="5" t="s">
        <v>60</v>
      </c>
      <c r="E28" s="26" t="s">
        <v>153</v>
      </c>
    </row>
    <row r="29" spans="3:5" ht="20.100000000000001" customHeight="1" x14ac:dyDescent="0.3">
      <c r="C29" s="5" t="s">
        <v>112</v>
      </c>
      <c r="D29" s="5" t="s">
        <v>61</v>
      </c>
      <c r="E29" s="26" t="s">
        <v>165</v>
      </c>
    </row>
    <row r="30" spans="3:5" ht="20.100000000000001" customHeight="1" x14ac:dyDescent="0.3">
      <c r="C30" s="5" t="s">
        <v>113</v>
      </c>
      <c r="D30" s="5" t="s">
        <v>62</v>
      </c>
      <c r="E30" s="26" t="s">
        <v>166</v>
      </c>
    </row>
    <row r="31" spans="3:5" ht="20.100000000000001" customHeight="1" x14ac:dyDescent="0.3">
      <c r="C31" s="5" t="s">
        <v>114</v>
      </c>
      <c r="D31" s="5" t="s">
        <v>63</v>
      </c>
      <c r="E31" s="26" t="s">
        <v>167</v>
      </c>
    </row>
    <row r="32" spans="3:5" ht="20.100000000000001" customHeight="1" x14ac:dyDescent="0.3">
      <c r="C32" s="5" t="s">
        <v>115</v>
      </c>
      <c r="D32" s="5" t="s">
        <v>64</v>
      </c>
      <c r="E32" s="28" t="s">
        <v>168</v>
      </c>
    </row>
    <row r="33" spans="3:7" ht="20.100000000000001" customHeight="1" x14ac:dyDescent="0.3">
      <c r="C33" s="5" t="s">
        <v>116</v>
      </c>
      <c r="D33" s="5" t="s">
        <v>65</v>
      </c>
      <c r="E33" s="28" t="s">
        <v>169</v>
      </c>
    </row>
    <row r="34" spans="3:7" ht="20.100000000000001" customHeight="1" x14ac:dyDescent="0.3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 x14ac:dyDescent="0.3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 x14ac:dyDescent="0.3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 x14ac:dyDescent="0.3">
      <c r="C37" s="5" t="s">
        <v>119</v>
      </c>
      <c r="D37" s="5" t="s">
        <v>69</v>
      </c>
      <c r="E37" s="26" t="s">
        <v>172</v>
      </c>
    </row>
    <row r="38" spans="3:7" ht="20.100000000000001" customHeight="1" x14ac:dyDescent="0.3">
      <c r="C38" s="5" t="s">
        <v>120</v>
      </c>
      <c r="D38" s="5" t="s">
        <v>70</v>
      </c>
      <c r="E38" s="26" t="s">
        <v>173</v>
      </c>
    </row>
    <row r="39" spans="3:7" ht="20.100000000000001" customHeight="1" x14ac:dyDescent="0.3">
      <c r="C39" s="5" t="s">
        <v>121</v>
      </c>
      <c r="D39" s="5" t="s">
        <v>71</v>
      </c>
      <c r="E39" s="28" t="s">
        <v>174</v>
      </c>
    </row>
    <row r="40" spans="3:7" ht="20.100000000000001" customHeight="1" x14ac:dyDescent="0.3">
      <c r="C40" s="5" t="s">
        <v>122</v>
      </c>
      <c r="D40" s="5" t="s">
        <v>72</v>
      </c>
      <c r="E40" s="28" t="s">
        <v>175</v>
      </c>
    </row>
    <row r="41" spans="3:7" ht="20.100000000000001" customHeight="1" x14ac:dyDescent="0.3">
      <c r="C41" s="5" t="s">
        <v>123</v>
      </c>
      <c r="D41" s="5" t="s">
        <v>73</v>
      </c>
      <c r="E41" s="28" t="s">
        <v>176</v>
      </c>
    </row>
    <row r="42" spans="3:7" ht="20.100000000000001" customHeight="1" x14ac:dyDescent="0.3">
      <c r="C42" s="5" t="s">
        <v>124</v>
      </c>
      <c r="D42" s="5" t="s">
        <v>74</v>
      </c>
      <c r="E42" s="28" t="s">
        <v>177</v>
      </c>
    </row>
    <row r="43" spans="3:7" ht="20.100000000000001" customHeight="1" x14ac:dyDescent="0.3">
      <c r="C43" s="5" t="s">
        <v>125</v>
      </c>
      <c r="D43" s="5" t="s">
        <v>75</v>
      </c>
      <c r="E43" s="26" t="s">
        <v>178</v>
      </c>
    </row>
    <row r="44" spans="3:7" ht="20.100000000000001" customHeight="1" x14ac:dyDescent="0.3">
      <c r="C44" s="5" t="s">
        <v>126</v>
      </c>
      <c r="D44" s="5" t="s">
        <v>76</v>
      </c>
      <c r="E44" s="26" t="s">
        <v>179</v>
      </c>
    </row>
    <row r="45" spans="3:7" ht="20.100000000000001" customHeight="1" x14ac:dyDescent="0.3">
      <c r="C45" s="5" t="s">
        <v>127</v>
      </c>
      <c r="D45" s="5" t="s">
        <v>77</v>
      </c>
      <c r="E45" s="26" t="s">
        <v>12</v>
      </c>
    </row>
    <row r="46" spans="3:7" ht="20.100000000000001" customHeight="1" x14ac:dyDescent="0.3">
      <c r="C46" s="5" t="s">
        <v>128</v>
      </c>
      <c r="D46" s="5" t="s">
        <v>78</v>
      </c>
      <c r="E46" s="26" t="s">
        <v>13</v>
      </c>
    </row>
    <row r="47" spans="3:7" ht="20.100000000000001" customHeight="1" x14ac:dyDescent="0.3">
      <c r="C47" s="5" t="s">
        <v>129</v>
      </c>
      <c r="D47" s="5" t="s">
        <v>79</v>
      </c>
      <c r="E47" s="26" t="s">
        <v>180</v>
      </c>
    </row>
    <row r="48" spans="3:7" ht="20.100000000000001" customHeight="1" x14ac:dyDescent="0.3">
      <c r="C48" s="5" t="s">
        <v>130</v>
      </c>
      <c r="D48" s="5" t="s">
        <v>80</v>
      </c>
      <c r="E48" s="26" t="s">
        <v>8</v>
      </c>
    </row>
    <row r="49" spans="3:5" ht="20.100000000000001" customHeight="1" x14ac:dyDescent="0.3">
      <c r="C49" s="5" t="s">
        <v>131</v>
      </c>
      <c r="D49" s="5" t="s">
        <v>81</v>
      </c>
      <c r="E49" s="26" t="s">
        <v>181</v>
      </c>
    </row>
    <row r="50" spans="3:5" ht="20.100000000000001" customHeight="1" x14ac:dyDescent="0.3">
      <c r="C50" s="5" t="s">
        <v>132</v>
      </c>
      <c r="D50" s="5" t="s">
        <v>82</v>
      </c>
      <c r="E50" s="28" t="s">
        <v>182</v>
      </c>
    </row>
    <row r="51" spans="3:5" ht="20.100000000000001" customHeight="1" x14ac:dyDescent="0.3">
      <c r="C51" s="5" t="s">
        <v>133</v>
      </c>
      <c r="D51" s="5" t="s">
        <v>83</v>
      </c>
      <c r="E51" s="28" t="s">
        <v>183</v>
      </c>
    </row>
    <row r="52" spans="3:5" ht="20.100000000000001" customHeight="1" x14ac:dyDescent="0.3">
      <c r="C52" s="5" t="s">
        <v>134</v>
      </c>
      <c r="D52" s="5" t="s">
        <v>84</v>
      </c>
      <c r="E52" s="28" t="s">
        <v>184</v>
      </c>
    </row>
    <row r="53" spans="3:5" ht="20.100000000000001" customHeight="1" x14ac:dyDescent="0.3">
      <c r="C53" s="5" t="s">
        <v>135</v>
      </c>
      <c r="D53" s="5" t="s">
        <v>85</v>
      </c>
      <c r="E53" s="28" t="s">
        <v>185</v>
      </c>
    </row>
    <row r="54" spans="3:5" ht="20.100000000000001" customHeight="1" x14ac:dyDescent="0.3">
      <c r="C54" s="5" t="s">
        <v>136</v>
      </c>
      <c r="D54" s="5" t="s">
        <v>86</v>
      </c>
      <c r="E54" s="28" t="s">
        <v>186</v>
      </c>
    </row>
    <row r="55" spans="3:5" ht="20.100000000000001" customHeight="1" x14ac:dyDescent="0.3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2"/>
  <sheetViews>
    <sheetView topLeftCell="A73" workbookViewId="0">
      <selection activeCell="A93" sqref="A93:XFD93"/>
    </sheetView>
  </sheetViews>
  <sheetFormatPr defaultColWidth="9" defaultRowHeight="20.100000000000001" customHeight="1" x14ac:dyDescent="0.3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 x14ac:dyDescent="0.3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328</v>
      </c>
    </row>
    <row r="2" spans="1:11" ht="20.100000000000001" customHeight="1" x14ac:dyDescent="0.3">
      <c r="A2" s="26" t="s">
        <v>23</v>
      </c>
      <c r="B2" s="26" t="s">
        <v>358</v>
      </c>
      <c r="C2" s="26">
        <v>1</v>
      </c>
      <c r="D2" s="26">
        <v>150</v>
      </c>
      <c r="E2" s="26">
        <v>200</v>
      </c>
      <c r="F2" s="26">
        <v>5</v>
      </c>
      <c r="G2" s="26">
        <v>255</v>
      </c>
      <c r="H2" s="26">
        <v>32</v>
      </c>
      <c r="I2" s="26" t="s">
        <v>353</v>
      </c>
      <c r="J2" s="26">
        <v>7.47</v>
      </c>
      <c r="K2" s="26" t="s">
        <v>327</v>
      </c>
    </row>
    <row r="3" spans="1:11" ht="20.100000000000001" customHeight="1" x14ac:dyDescent="0.3">
      <c r="A3" s="26" t="s">
        <v>331</v>
      </c>
      <c r="B3" s="26" t="s">
        <v>359</v>
      </c>
      <c r="C3" s="26">
        <v>1</v>
      </c>
      <c r="D3" s="26">
        <v>30</v>
      </c>
      <c r="E3" s="26">
        <v>150</v>
      </c>
      <c r="F3" s="26">
        <v>0.5</v>
      </c>
      <c r="G3" s="26">
        <v>40</v>
      </c>
      <c r="H3" s="26">
        <v>32</v>
      </c>
      <c r="I3" s="26" t="s">
        <v>330</v>
      </c>
      <c r="J3" s="26">
        <v>0.67</v>
      </c>
      <c r="K3" s="26" t="s">
        <v>327</v>
      </c>
    </row>
    <row r="4" spans="1:11" ht="20.100000000000001" customHeight="1" x14ac:dyDescent="0.3">
      <c r="A4" s="26" t="s">
        <v>332</v>
      </c>
      <c r="B4" s="26" t="s">
        <v>360</v>
      </c>
      <c r="C4" s="26">
        <v>1</v>
      </c>
      <c r="D4" s="26">
        <v>15</v>
      </c>
      <c r="E4" s="26">
        <v>32</v>
      </c>
      <c r="F4" s="26">
        <v>0.7</v>
      </c>
      <c r="G4" s="26">
        <v>30</v>
      </c>
      <c r="H4" s="26">
        <v>20</v>
      </c>
      <c r="I4" s="26" t="s">
        <v>264</v>
      </c>
      <c r="J4" s="26">
        <v>2.75</v>
      </c>
      <c r="K4" s="26" t="s">
        <v>327</v>
      </c>
    </row>
    <row r="5" spans="1:11" ht="20.100000000000001" customHeight="1" x14ac:dyDescent="0.3">
      <c r="A5" s="26" t="s">
        <v>333</v>
      </c>
      <c r="B5" s="26" t="s">
        <v>361</v>
      </c>
      <c r="C5" s="26">
        <v>1</v>
      </c>
      <c r="D5" s="26">
        <v>90</v>
      </c>
      <c r="E5" s="26">
        <v>85</v>
      </c>
      <c r="F5" s="26">
        <v>1</v>
      </c>
      <c r="G5" s="26">
        <v>45</v>
      </c>
      <c r="H5" s="26">
        <v>50</v>
      </c>
      <c r="I5" s="26" t="s">
        <v>264</v>
      </c>
      <c r="J5" s="26">
        <v>3.06</v>
      </c>
      <c r="K5" s="26" t="s">
        <v>327</v>
      </c>
    </row>
    <row r="6" spans="1:11" ht="20.100000000000001" customHeight="1" x14ac:dyDescent="0.3">
      <c r="A6" s="26" t="s">
        <v>334</v>
      </c>
      <c r="B6" s="26" t="s">
        <v>362</v>
      </c>
      <c r="C6" s="26">
        <v>1</v>
      </c>
      <c r="D6" s="26">
        <v>132</v>
      </c>
      <c r="E6" s="26">
        <v>200</v>
      </c>
      <c r="F6" s="26">
        <v>1</v>
      </c>
      <c r="G6" s="26">
        <v>45</v>
      </c>
      <c r="H6" s="26">
        <v>25</v>
      </c>
      <c r="I6" s="26" t="s">
        <v>264</v>
      </c>
      <c r="J6" s="26">
        <v>3.06</v>
      </c>
      <c r="K6" s="26" t="s">
        <v>327</v>
      </c>
    </row>
    <row r="7" spans="1:11" ht="20.100000000000001" customHeight="1" x14ac:dyDescent="0.3">
      <c r="A7" s="26" t="s">
        <v>335</v>
      </c>
      <c r="B7" s="26" t="s">
        <v>363</v>
      </c>
      <c r="C7" s="26">
        <v>1</v>
      </c>
      <c r="D7" s="26">
        <v>300</v>
      </c>
      <c r="E7" s="26">
        <v>200</v>
      </c>
      <c r="F7" s="26">
        <v>3</v>
      </c>
      <c r="G7" s="26">
        <v>86</v>
      </c>
      <c r="H7" s="26">
        <v>32</v>
      </c>
      <c r="I7" s="26" t="s">
        <v>264</v>
      </c>
      <c r="J7" s="26">
        <v>3.92</v>
      </c>
      <c r="K7" s="26" t="s">
        <v>327</v>
      </c>
    </row>
    <row r="8" spans="1:11" ht="20.100000000000001" customHeight="1" x14ac:dyDescent="0.3">
      <c r="A8" s="26" t="s">
        <v>336</v>
      </c>
      <c r="B8" s="26" t="s">
        <v>364</v>
      </c>
      <c r="C8" s="26">
        <v>0</v>
      </c>
      <c r="D8" s="26">
        <v>100</v>
      </c>
      <c r="E8" s="26">
        <v>200</v>
      </c>
      <c r="F8" s="26">
        <v>5</v>
      </c>
      <c r="G8" s="26">
        <v>129</v>
      </c>
      <c r="H8" s="26">
        <v>40</v>
      </c>
      <c r="I8" s="26" t="s">
        <v>264</v>
      </c>
      <c r="J8" s="26">
        <v>4.83</v>
      </c>
      <c r="K8" s="26" t="s">
        <v>327</v>
      </c>
    </row>
    <row r="9" spans="1:11" ht="20.100000000000001" customHeight="1" x14ac:dyDescent="0.3">
      <c r="A9" s="26" t="s">
        <v>337</v>
      </c>
      <c r="B9" s="26" t="s">
        <v>365</v>
      </c>
      <c r="C9" s="26">
        <v>1</v>
      </c>
      <c r="D9" s="26">
        <v>73</v>
      </c>
      <c r="E9" s="26">
        <v>150</v>
      </c>
      <c r="F9" s="26">
        <v>1</v>
      </c>
      <c r="G9" s="26">
        <v>79</v>
      </c>
      <c r="H9" s="26">
        <v>32</v>
      </c>
      <c r="I9" s="26" t="s">
        <v>264</v>
      </c>
      <c r="J9" s="26">
        <v>3.78</v>
      </c>
      <c r="K9" s="26" t="s">
        <v>327</v>
      </c>
    </row>
    <row r="10" spans="1:11" ht="20.100000000000001" customHeight="1" x14ac:dyDescent="0.3">
      <c r="A10" s="26" t="s">
        <v>338</v>
      </c>
      <c r="B10" s="26" t="s">
        <v>366</v>
      </c>
      <c r="C10" s="26">
        <v>1</v>
      </c>
      <c r="D10" s="26">
        <v>100</v>
      </c>
      <c r="E10" s="26">
        <v>200</v>
      </c>
      <c r="F10" s="26">
        <v>2</v>
      </c>
      <c r="G10" s="26">
        <v>100</v>
      </c>
      <c r="H10" s="26">
        <v>32</v>
      </c>
      <c r="I10" s="26" t="s">
        <v>264</v>
      </c>
      <c r="J10" s="26">
        <v>4.22</v>
      </c>
      <c r="K10" s="26" t="s">
        <v>327</v>
      </c>
    </row>
    <row r="11" spans="1:11" ht="20.100000000000001" customHeight="1" x14ac:dyDescent="0.3">
      <c r="A11" s="26" t="s">
        <v>339</v>
      </c>
      <c r="B11" s="26" t="s">
        <v>367</v>
      </c>
      <c r="C11" s="26">
        <v>1</v>
      </c>
      <c r="D11" s="26">
        <v>38</v>
      </c>
      <c r="E11" s="26">
        <v>200</v>
      </c>
      <c r="F11" s="26">
        <v>1</v>
      </c>
      <c r="G11" s="26">
        <v>72</v>
      </c>
      <c r="H11" s="26">
        <v>40</v>
      </c>
      <c r="I11" s="26" t="s">
        <v>264</v>
      </c>
      <c r="J11" s="26">
        <v>3.63</v>
      </c>
      <c r="K11" s="26" t="s">
        <v>327</v>
      </c>
    </row>
    <row r="12" spans="1:11" ht="20.100000000000001" customHeight="1" x14ac:dyDescent="0.3">
      <c r="A12" s="26" t="s">
        <v>340</v>
      </c>
      <c r="B12" s="26" t="s">
        <v>368</v>
      </c>
      <c r="C12" s="26">
        <v>1</v>
      </c>
      <c r="D12" s="26">
        <v>100</v>
      </c>
      <c r="E12" s="26">
        <v>150</v>
      </c>
      <c r="F12" s="26">
        <v>1</v>
      </c>
      <c r="G12" s="26">
        <v>65</v>
      </c>
      <c r="H12" s="26">
        <v>25</v>
      </c>
      <c r="I12" s="26" t="s">
        <v>354</v>
      </c>
      <c r="J12" s="26">
        <v>3.48</v>
      </c>
      <c r="K12" s="26" t="s">
        <v>327</v>
      </c>
    </row>
    <row r="13" spans="1:11" ht="20.100000000000001" customHeight="1" x14ac:dyDescent="0.3">
      <c r="A13" s="26" t="s">
        <v>341</v>
      </c>
      <c r="B13" s="26" t="s">
        <v>369</v>
      </c>
      <c r="C13" s="26">
        <v>0</v>
      </c>
      <c r="D13" s="26">
        <v>100</v>
      </c>
      <c r="E13" s="26">
        <v>200</v>
      </c>
      <c r="F13" s="26">
        <v>2</v>
      </c>
      <c r="G13" s="26">
        <v>45</v>
      </c>
      <c r="H13" s="26">
        <v>32</v>
      </c>
      <c r="I13" s="26" t="s">
        <v>264</v>
      </c>
      <c r="J13" s="26">
        <v>3.06</v>
      </c>
      <c r="K13" s="26" t="s">
        <v>327</v>
      </c>
    </row>
    <row r="14" spans="1:11" ht="20.100000000000001" customHeight="1" x14ac:dyDescent="0.3">
      <c r="A14" s="26" t="s">
        <v>342</v>
      </c>
      <c r="B14" s="26" t="s">
        <v>370</v>
      </c>
      <c r="C14" s="26">
        <v>1</v>
      </c>
      <c r="D14" s="26">
        <v>24</v>
      </c>
      <c r="E14" s="26">
        <v>32</v>
      </c>
      <c r="F14" s="26">
        <v>0.6</v>
      </c>
      <c r="G14" s="26">
        <v>30</v>
      </c>
      <c r="H14" s="26">
        <v>20</v>
      </c>
      <c r="I14" s="26" t="s">
        <v>264</v>
      </c>
      <c r="J14" s="26">
        <v>2.75</v>
      </c>
      <c r="K14" s="26" t="s">
        <v>327</v>
      </c>
    </row>
    <row r="15" spans="1:11" ht="20.100000000000001" customHeight="1" x14ac:dyDescent="0.3">
      <c r="A15" s="26" t="s">
        <v>343</v>
      </c>
      <c r="B15" s="26" t="s">
        <v>371</v>
      </c>
      <c r="C15" s="26">
        <v>1</v>
      </c>
      <c r="D15" s="26">
        <v>100</v>
      </c>
      <c r="E15" s="26">
        <v>200</v>
      </c>
      <c r="F15" s="26">
        <v>2</v>
      </c>
      <c r="G15" s="26">
        <v>100</v>
      </c>
      <c r="H15" s="26">
        <v>32</v>
      </c>
      <c r="I15" s="26" t="s">
        <v>264</v>
      </c>
      <c r="J15" s="26">
        <v>4.22</v>
      </c>
      <c r="K15" s="26" t="s">
        <v>327</v>
      </c>
    </row>
    <row r="16" spans="1:11" ht="20.100000000000001" customHeight="1" x14ac:dyDescent="0.3">
      <c r="A16" s="26" t="s">
        <v>344</v>
      </c>
      <c r="B16" s="26" t="s">
        <v>372</v>
      </c>
      <c r="C16" s="26">
        <v>1</v>
      </c>
      <c r="D16" s="26">
        <v>120</v>
      </c>
      <c r="E16" s="26">
        <v>200</v>
      </c>
      <c r="F16" s="26">
        <v>7.5</v>
      </c>
      <c r="G16" s="26">
        <v>200</v>
      </c>
      <c r="H16" s="26">
        <v>50</v>
      </c>
      <c r="I16" s="26" t="s">
        <v>353</v>
      </c>
      <c r="J16" s="26">
        <v>6.32</v>
      </c>
      <c r="K16" s="26" t="s">
        <v>327</v>
      </c>
    </row>
    <row r="17" spans="1:11" ht="20.100000000000001" customHeight="1" x14ac:dyDescent="0.3">
      <c r="A17" s="26" t="s">
        <v>345</v>
      </c>
      <c r="B17" s="26" t="s">
        <v>373</v>
      </c>
      <c r="C17" s="26">
        <v>1</v>
      </c>
      <c r="D17" s="26">
        <v>90</v>
      </c>
      <c r="E17" s="26">
        <v>150</v>
      </c>
      <c r="F17" s="26">
        <v>1</v>
      </c>
      <c r="G17" s="26">
        <v>45</v>
      </c>
      <c r="H17" s="26">
        <v>32</v>
      </c>
      <c r="I17" s="26" t="s">
        <v>264</v>
      </c>
      <c r="J17" s="26">
        <v>3.06</v>
      </c>
      <c r="K17" s="26" t="s">
        <v>327</v>
      </c>
    </row>
    <row r="18" spans="1:11" ht="20.100000000000001" customHeight="1" x14ac:dyDescent="0.3">
      <c r="A18" s="26" t="s">
        <v>346</v>
      </c>
      <c r="B18" s="26" t="s">
        <v>374</v>
      </c>
      <c r="C18" s="26">
        <v>1</v>
      </c>
      <c r="D18" s="26">
        <v>135</v>
      </c>
      <c r="E18" s="26">
        <v>200</v>
      </c>
      <c r="F18" s="26">
        <v>2</v>
      </c>
      <c r="G18" s="26">
        <v>100</v>
      </c>
      <c r="H18" s="26">
        <v>32</v>
      </c>
      <c r="I18" s="26" t="s">
        <v>264</v>
      </c>
      <c r="J18" s="26">
        <v>4.22</v>
      </c>
      <c r="K18" s="26" t="s">
        <v>327</v>
      </c>
    </row>
    <row r="19" spans="1:11" ht="20.100000000000001" customHeight="1" x14ac:dyDescent="0.3">
      <c r="A19" s="26" t="s">
        <v>347</v>
      </c>
      <c r="B19" s="26" t="s">
        <v>375</v>
      </c>
      <c r="C19" s="26">
        <v>1</v>
      </c>
      <c r="D19" s="26">
        <v>200</v>
      </c>
      <c r="E19" s="26">
        <v>250</v>
      </c>
      <c r="F19" s="26">
        <v>5</v>
      </c>
      <c r="G19" s="26">
        <v>107</v>
      </c>
      <c r="H19" s="26">
        <v>32</v>
      </c>
      <c r="I19" s="26" t="s">
        <v>353</v>
      </c>
      <c r="J19" s="26">
        <v>4.37</v>
      </c>
      <c r="K19" s="26" t="s">
        <v>327</v>
      </c>
    </row>
    <row r="20" spans="1:11" ht="20.100000000000001" customHeight="1" x14ac:dyDescent="0.3">
      <c r="A20" s="26" t="s">
        <v>348</v>
      </c>
      <c r="B20" s="26" t="s">
        <v>376</v>
      </c>
      <c r="C20" s="26">
        <v>1</v>
      </c>
      <c r="D20" s="26">
        <v>10</v>
      </c>
      <c r="E20" s="26">
        <v>40</v>
      </c>
      <c r="F20" s="26">
        <v>2</v>
      </c>
      <c r="G20" s="26">
        <v>90</v>
      </c>
      <c r="H20" s="26">
        <v>40</v>
      </c>
      <c r="I20" s="26" t="s">
        <v>264</v>
      </c>
      <c r="J20" s="26">
        <v>4.01</v>
      </c>
      <c r="K20" s="26" t="s">
        <v>327</v>
      </c>
    </row>
    <row r="21" spans="1:11" ht="20.100000000000001" customHeight="1" x14ac:dyDescent="0.3">
      <c r="A21" s="26" t="s">
        <v>349</v>
      </c>
      <c r="B21" s="26" t="s">
        <v>377</v>
      </c>
      <c r="C21" s="26">
        <v>1</v>
      </c>
      <c r="D21" s="26">
        <v>150</v>
      </c>
      <c r="E21" s="26">
        <v>200</v>
      </c>
      <c r="F21" s="26">
        <v>1.5</v>
      </c>
      <c r="G21" s="26">
        <v>95</v>
      </c>
      <c r="H21" s="26">
        <v>40</v>
      </c>
      <c r="I21" s="26" t="s">
        <v>264</v>
      </c>
      <c r="J21" s="26">
        <v>4.1100000000000003</v>
      </c>
      <c r="K21" s="26" t="s">
        <v>327</v>
      </c>
    </row>
    <row r="22" spans="1:11" ht="20.100000000000001" customHeight="1" x14ac:dyDescent="0.3">
      <c r="A22" s="26" t="s">
        <v>350</v>
      </c>
      <c r="B22" s="26" t="s">
        <v>378</v>
      </c>
      <c r="C22" s="26">
        <v>1</v>
      </c>
      <c r="D22" s="26">
        <v>100</v>
      </c>
      <c r="E22" s="26">
        <v>200</v>
      </c>
      <c r="F22" s="26">
        <v>2</v>
      </c>
      <c r="G22" s="26">
        <v>90</v>
      </c>
      <c r="H22" s="26">
        <v>32</v>
      </c>
      <c r="I22" s="26" t="s">
        <v>264</v>
      </c>
      <c r="J22" s="26">
        <v>4.01</v>
      </c>
      <c r="K22" s="26" t="s">
        <v>327</v>
      </c>
    </row>
    <row r="23" spans="1:11" ht="20.100000000000001" customHeight="1" x14ac:dyDescent="0.3">
      <c r="A23" s="26" t="s">
        <v>379</v>
      </c>
      <c r="B23" s="26" t="s">
        <v>380</v>
      </c>
      <c r="C23" s="26">
        <v>1</v>
      </c>
      <c r="D23" s="26">
        <v>20</v>
      </c>
      <c r="E23" s="26">
        <v>25</v>
      </c>
      <c r="F23" s="26">
        <v>1.2</v>
      </c>
      <c r="G23" s="26">
        <v>65</v>
      </c>
      <c r="H23" s="26">
        <v>16</v>
      </c>
      <c r="I23" s="26" t="s">
        <v>264</v>
      </c>
      <c r="J23" s="26">
        <v>3.48</v>
      </c>
      <c r="K23" s="26" t="s">
        <v>327</v>
      </c>
    </row>
    <row r="24" spans="1:11" ht="20.100000000000001" customHeight="1" x14ac:dyDescent="0.3">
      <c r="A24" s="26" t="s">
        <v>381</v>
      </c>
      <c r="B24" s="26" t="s">
        <v>382</v>
      </c>
      <c r="C24" s="26">
        <v>1</v>
      </c>
      <c r="D24" s="26">
        <v>30</v>
      </c>
      <c r="E24" s="26">
        <v>150</v>
      </c>
      <c r="F24" s="26">
        <v>5</v>
      </c>
      <c r="G24" s="26">
        <v>60</v>
      </c>
      <c r="H24" s="26">
        <v>40</v>
      </c>
      <c r="I24" s="26" t="s">
        <v>264</v>
      </c>
      <c r="J24" s="26">
        <v>3.38</v>
      </c>
      <c r="K24" s="26" t="s">
        <v>327</v>
      </c>
    </row>
    <row r="25" spans="1:11" ht="20.100000000000001" customHeight="1" x14ac:dyDescent="0.3">
      <c r="A25" s="26" t="s">
        <v>383</v>
      </c>
      <c r="B25" s="26" t="s">
        <v>384</v>
      </c>
      <c r="C25" s="26">
        <v>1</v>
      </c>
      <c r="D25" s="26">
        <v>40</v>
      </c>
      <c r="E25" s="26">
        <v>20</v>
      </c>
      <c r="F25" s="26">
        <v>2</v>
      </c>
      <c r="G25" s="26">
        <v>90</v>
      </c>
      <c r="H25" s="26">
        <v>25</v>
      </c>
      <c r="I25" s="26" t="s">
        <v>264</v>
      </c>
      <c r="J25" s="26">
        <v>4.01</v>
      </c>
      <c r="K25" s="26" t="s">
        <v>327</v>
      </c>
    </row>
    <row r="26" spans="1:11" ht="20.100000000000001" customHeight="1" x14ac:dyDescent="0.3">
      <c r="A26" s="26" t="s">
        <v>385</v>
      </c>
      <c r="B26" s="26" t="s">
        <v>386</v>
      </c>
      <c r="C26" s="26">
        <v>1</v>
      </c>
      <c r="D26" s="26">
        <v>60</v>
      </c>
      <c r="E26" s="26">
        <v>25</v>
      </c>
      <c r="F26" s="26">
        <v>0.7</v>
      </c>
      <c r="G26" s="26">
        <v>43</v>
      </c>
      <c r="H26" s="26">
        <v>20</v>
      </c>
      <c r="I26" s="26" t="s">
        <v>264</v>
      </c>
      <c r="J26" s="26">
        <v>3.02</v>
      </c>
      <c r="K26" s="26" t="s">
        <v>327</v>
      </c>
    </row>
    <row r="27" spans="1:11" ht="20.100000000000001" customHeight="1" x14ac:dyDescent="0.3">
      <c r="A27" s="26" t="s">
        <v>387</v>
      </c>
      <c r="B27" s="26" t="s">
        <v>388</v>
      </c>
      <c r="C27" s="26">
        <v>1</v>
      </c>
      <c r="D27" s="26">
        <v>100</v>
      </c>
      <c r="E27" s="26">
        <v>200</v>
      </c>
      <c r="F27" s="26">
        <v>10</v>
      </c>
      <c r="G27" s="26">
        <v>60</v>
      </c>
      <c r="H27" s="26">
        <v>50</v>
      </c>
      <c r="I27" s="26" t="s">
        <v>264</v>
      </c>
      <c r="J27" s="26">
        <v>3.38</v>
      </c>
      <c r="K27" s="26" t="s">
        <v>327</v>
      </c>
    </row>
    <row r="28" spans="1:11" ht="20.100000000000001" customHeight="1" x14ac:dyDescent="0.3">
      <c r="A28" s="26" t="s">
        <v>389</v>
      </c>
      <c r="B28" s="26" t="s">
        <v>390</v>
      </c>
      <c r="C28" s="26">
        <v>1</v>
      </c>
      <c r="D28" s="26">
        <v>50</v>
      </c>
      <c r="E28" s="26">
        <v>150</v>
      </c>
      <c r="F28" s="26">
        <v>5</v>
      </c>
      <c r="G28" s="26">
        <v>50</v>
      </c>
      <c r="H28" s="26">
        <v>32</v>
      </c>
      <c r="I28" s="26" t="s">
        <v>264</v>
      </c>
      <c r="J28" s="26">
        <v>3.17</v>
      </c>
      <c r="K28" s="26" t="s">
        <v>327</v>
      </c>
    </row>
    <row r="29" spans="1:11" ht="20.100000000000001" customHeight="1" x14ac:dyDescent="0.3">
      <c r="A29" s="26" t="s">
        <v>391</v>
      </c>
      <c r="B29" s="26" t="s">
        <v>392</v>
      </c>
      <c r="C29" s="26">
        <v>1</v>
      </c>
      <c r="D29" s="26">
        <v>15</v>
      </c>
      <c r="E29" s="26">
        <v>100</v>
      </c>
      <c r="F29" s="26">
        <v>2</v>
      </c>
      <c r="G29" s="26">
        <v>100</v>
      </c>
      <c r="H29" s="26">
        <v>32</v>
      </c>
      <c r="I29" s="26" t="s">
        <v>264</v>
      </c>
      <c r="J29" s="26">
        <v>4.22</v>
      </c>
      <c r="K29" s="26" t="s">
        <v>327</v>
      </c>
    </row>
    <row r="30" spans="1:11" ht="20.100000000000001" customHeight="1" x14ac:dyDescent="0.3">
      <c r="A30" s="26" t="s">
        <v>393</v>
      </c>
      <c r="B30" s="26" t="s">
        <v>394</v>
      </c>
      <c r="C30" s="26">
        <v>1</v>
      </c>
      <c r="D30" s="26">
        <v>26</v>
      </c>
      <c r="E30" s="26">
        <v>25</v>
      </c>
      <c r="F30" s="26">
        <v>0.7</v>
      </c>
      <c r="G30" s="26">
        <v>36</v>
      </c>
      <c r="H30" s="26">
        <v>15</v>
      </c>
      <c r="I30" s="26" t="s">
        <v>264</v>
      </c>
      <c r="J30" s="26">
        <v>2.88</v>
      </c>
      <c r="K30" s="26" t="s">
        <v>327</v>
      </c>
    </row>
    <row r="31" spans="1:11" ht="20.100000000000001" customHeight="1" x14ac:dyDescent="0.3">
      <c r="A31" s="26" t="s">
        <v>395</v>
      </c>
      <c r="B31" s="26" t="s">
        <v>396</v>
      </c>
      <c r="C31" s="26">
        <v>1</v>
      </c>
      <c r="D31" s="26">
        <v>20</v>
      </c>
      <c r="E31" s="26">
        <v>0</v>
      </c>
      <c r="F31" s="26">
        <v>0.7</v>
      </c>
      <c r="G31" s="26">
        <v>36</v>
      </c>
      <c r="H31" s="26">
        <v>16</v>
      </c>
      <c r="I31" s="26" t="s">
        <v>264</v>
      </c>
      <c r="J31" s="26">
        <v>2.88</v>
      </c>
      <c r="K31" s="26" t="s">
        <v>327</v>
      </c>
    </row>
    <row r="32" spans="1:11" ht="20.100000000000001" customHeight="1" x14ac:dyDescent="0.3">
      <c r="A32" s="26" t="s">
        <v>397</v>
      </c>
      <c r="B32" s="26" t="s">
        <v>398</v>
      </c>
      <c r="C32" s="26">
        <v>1</v>
      </c>
      <c r="D32" s="26">
        <v>70</v>
      </c>
      <c r="E32" s="26">
        <v>32</v>
      </c>
      <c r="F32" s="26">
        <v>2</v>
      </c>
      <c r="G32" s="26">
        <v>66</v>
      </c>
      <c r="H32" s="26">
        <v>20</v>
      </c>
      <c r="I32" s="26" t="s">
        <v>264</v>
      </c>
      <c r="J32" s="26">
        <v>3.51</v>
      </c>
      <c r="K32" s="26" t="s">
        <v>327</v>
      </c>
    </row>
    <row r="33" spans="1:11" ht="20.100000000000001" customHeight="1" x14ac:dyDescent="0.3">
      <c r="A33" s="26" t="s">
        <v>399</v>
      </c>
      <c r="B33" s="26" t="s">
        <v>400</v>
      </c>
      <c r="C33" s="26">
        <v>1</v>
      </c>
      <c r="D33" s="26">
        <v>30</v>
      </c>
      <c r="E33" s="26">
        <v>20</v>
      </c>
      <c r="F33" s="26">
        <v>0.6</v>
      </c>
      <c r="G33" s="26">
        <v>30</v>
      </c>
      <c r="H33" s="26">
        <v>20</v>
      </c>
      <c r="I33" s="26" t="s">
        <v>264</v>
      </c>
      <c r="J33" s="26">
        <v>2.75</v>
      </c>
      <c r="K33" s="26" t="s">
        <v>327</v>
      </c>
    </row>
    <row r="34" spans="1:11" ht="20.100000000000001" customHeight="1" x14ac:dyDescent="0.3">
      <c r="A34" s="26" t="s">
        <v>401</v>
      </c>
      <c r="B34" s="26" t="s">
        <v>402</v>
      </c>
      <c r="C34" s="26">
        <v>1</v>
      </c>
      <c r="D34" s="26">
        <v>30</v>
      </c>
      <c r="E34" s="26">
        <v>32</v>
      </c>
      <c r="F34" s="26">
        <v>0.7</v>
      </c>
      <c r="G34" s="26">
        <v>36</v>
      </c>
      <c r="H34" s="26">
        <v>16</v>
      </c>
      <c r="I34" s="26" t="s">
        <v>264</v>
      </c>
      <c r="J34" s="26">
        <v>2.88</v>
      </c>
      <c r="K34" s="26" t="s">
        <v>327</v>
      </c>
    </row>
    <row r="35" spans="1:11" ht="20.100000000000001" customHeight="1" x14ac:dyDescent="0.3">
      <c r="A35" s="26" t="s">
        <v>403</v>
      </c>
      <c r="B35" s="26" t="s">
        <v>404</v>
      </c>
      <c r="C35" s="26">
        <v>1</v>
      </c>
      <c r="D35" s="26">
        <v>25</v>
      </c>
      <c r="E35" s="26">
        <v>25</v>
      </c>
      <c r="F35" s="26">
        <v>0.7</v>
      </c>
      <c r="G35" s="26">
        <v>36</v>
      </c>
      <c r="H35" s="26">
        <v>16</v>
      </c>
      <c r="I35" s="26" t="s">
        <v>264</v>
      </c>
      <c r="J35" s="26">
        <v>2.88</v>
      </c>
      <c r="K35" s="26" t="s">
        <v>327</v>
      </c>
    </row>
    <row r="36" spans="1:11" ht="20.100000000000001" customHeight="1" x14ac:dyDescent="0.3">
      <c r="A36" s="26" t="s">
        <v>405</v>
      </c>
      <c r="B36" s="26" t="s">
        <v>406</v>
      </c>
      <c r="C36" s="26">
        <v>1</v>
      </c>
      <c r="D36" s="26">
        <v>17</v>
      </c>
      <c r="E36" s="26">
        <v>30</v>
      </c>
      <c r="F36" s="26">
        <v>0.7</v>
      </c>
      <c r="G36" s="26">
        <v>43</v>
      </c>
      <c r="H36" s="26">
        <v>20</v>
      </c>
      <c r="I36" s="26" t="s">
        <v>264</v>
      </c>
      <c r="J36" s="26">
        <v>3.02</v>
      </c>
      <c r="K36" s="26" t="s">
        <v>327</v>
      </c>
    </row>
    <row r="37" spans="1:11" ht="20.100000000000001" customHeight="1" x14ac:dyDescent="0.3">
      <c r="A37" s="26" t="s">
        <v>407</v>
      </c>
      <c r="B37" s="26" t="s">
        <v>408</v>
      </c>
      <c r="C37" s="26">
        <v>1</v>
      </c>
      <c r="D37" s="26">
        <v>20</v>
      </c>
      <c r="E37" s="26">
        <v>32</v>
      </c>
      <c r="F37" s="26">
        <v>2</v>
      </c>
      <c r="G37" s="26">
        <v>43</v>
      </c>
      <c r="H37" s="26">
        <v>20</v>
      </c>
      <c r="I37" s="26" t="s">
        <v>264</v>
      </c>
      <c r="J37" s="26">
        <v>3.02</v>
      </c>
      <c r="K37" s="26" t="s">
        <v>327</v>
      </c>
    </row>
    <row r="38" spans="1:11" ht="20.100000000000001" customHeight="1" x14ac:dyDescent="0.3">
      <c r="A38" s="26" t="s">
        <v>409</v>
      </c>
      <c r="B38" s="26" t="s">
        <v>410</v>
      </c>
      <c r="C38" s="26">
        <v>1</v>
      </c>
      <c r="D38" s="26">
        <v>30</v>
      </c>
      <c r="E38" s="26">
        <v>20</v>
      </c>
      <c r="F38" s="26">
        <v>0.7</v>
      </c>
      <c r="G38" s="26">
        <v>30</v>
      </c>
      <c r="H38" s="26">
        <v>20</v>
      </c>
      <c r="I38" s="26" t="s">
        <v>264</v>
      </c>
      <c r="J38" s="26">
        <v>2.75</v>
      </c>
      <c r="K38" s="26" t="s">
        <v>327</v>
      </c>
    </row>
    <row r="39" spans="1:11" ht="20.100000000000001" customHeight="1" x14ac:dyDescent="0.3">
      <c r="A39" s="26" t="s">
        <v>411</v>
      </c>
      <c r="B39" s="26" t="s">
        <v>412</v>
      </c>
      <c r="C39" s="26">
        <v>0</v>
      </c>
      <c r="D39" s="26">
        <v>75</v>
      </c>
      <c r="E39" s="26">
        <v>65</v>
      </c>
      <c r="F39" s="26">
        <v>7.5</v>
      </c>
      <c r="G39" s="26">
        <v>288</v>
      </c>
      <c r="H39" s="26">
        <v>65</v>
      </c>
      <c r="I39" s="26" t="s">
        <v>264</v>
      </c>
      <c r="J39" s="26">
        <v>8.17</v>
      </c>
      <c r="K39" s="26" t="s">
        <v>327</v>
      </c>
    </row>
    <row r="40" spans="1:11" ht="20.100000000000001" customHeight="1" x14ac:dyDescent="0.3">
      <c r="A40" s="26" t="s">
        <v>413</v>
      </c>
      <c r="B40" s="26" t="s">
        <v>414</v>
      </c>
      <c r="C40" s="26">
        <v>1</v>
      </c>
      <c r="D40" s="26">
        <v>75</v>
      </c>
      <c r="E40" s="26">
        <v>200</v>
      </c>
      <c r="F40" s="26">
        <v>2</v>
      </c>
      <c r="G40" s="26">
        <v>82</v>
      </c>
      <c r="H40" s="26">
        <v>32</v>
      </c>
      <c r="I40" s="26" t="s">
        <v>264</v>
      </c>
      <c r="J40" s="26">
        <v>3.84</v>
      </c>
      <c r="K40" s="26" t="s">
        <v>327</v>
      </c>
    </row>
    <row r="41" spans="1:11" ht="20.100000000000001" customHeight="1" x14ac:dyDescent="0.3">
      <c r="A41" s="26" t="s">
        <v>415</v>
      </c>
      <c r="B41" s="26" t="s">
        <v>416</v>
      </c>
      <c r="C41" s="26">
        <v>1</v>
      </c>
      <c r="D41" s="26">
        <v>18</v>
      </c>
      <c r="E41" s="26">
        <v>100</v>
      </c>
      <c r="F41" s="26">
        <v>2</v>
      </c>
      <c r="G41" s="26">
        <v>80</v>
      </c>
      <c r="H41" s="26">
        <v>32</v>
      </c>
      <c r="I41" s="26" t="s">
        <v>264</v>
      </c>
      <c r="J41" s="26">
        <v>3.8</v>
      </c>
      <c r="K41" s="26" t="s">
        <v>327</v>
      </c>
    </row>
    <row r="42" spans="1:11" ht="20.100000000000001" customHeight="1" x14ac:dyDescent="0.3">
      <c r="A42" s="26" t="s">
        <v>417</v>
      </c>
      <c r="B42" s="26" t="s">
        <v>418</v>
      </c>
      <c r="C42" s="26">
        <v>1</v>
      </c>
      <c r="D42" s="26">
        <v>100</v>
      </c>
      <c r="E42" s="26">
        <v>200</v>
      </c>
      <c r="F42" s="26">
        <v>2</v>
      </c>
      <c r="G42" s="26">
        <v>100</v>
      </c>
      <c r="H42" s="26">
        <v>32</v>
      </c>
      <c r="I42" s="26" t="s">
        <v>264</v>
      </c>
      <c r="J42" s="26">
        <v>4.22</v>
      </c>
      <c r="K42" s="26" t="s">
        <v>327</v>
      </c>
    </row>
    <row r="43" spans="1:11" ht="20.100000000000001" customHeight="1" x14ac:dyDescent="0.3">
      <c r="A43" s="26" t="s">
        <v>419</v>
      </c>
      <c r="B43" s="26" t="s">
        <v>420</v>
      </c>
      <c r="C43" s="26">
        <v>1</v>
      </c>
      <c r="D43" s="26">
        <v>100</v>
      </c>
      <c r="E43" s="26">
        <v>200</v>
      </c>
      <c r="F43" s="26">
        <v>2</v>
      </c>
      <c r="G43" s="26">
        <v>89</v>
      </c>
      <c r="H43" s="26">
        <v>32</v>
      </c>
      <c r="I43" s="26" t="s">
        <v>264</v>
      </c>
      <c r="J43" s="26">
        <v>3.99</v>
      </c>
      <c r="K43" s="26" t="s">
        <v>327</v>
      </c>
    </row>
    <row r="44" spans="1:11" ht="20.100000000000001" customHeight="1" x14ac:dyDescent="0.3">
      <c r="A44" s="26" t="s">
        <v>562</v>
      </c>
      <c r="B44" s="26" t="s">
        <v>421</v>
      </c>
      <c r="C44" s="26">
        <v>1</v>
      </c>
      <c r="D44" s="26">
        <v>23</v>
      </c>
      <c r="E44" s="26">
        <v>100</v>
      </c>
      <c r="F44" s="26">
        <v>1</v>
      </c>
      <c r="G44" s="26">
        <v>28</v>
      </c>
      <c r="H44" s="26">
        <v>25</v>
      </c>
      <c r="I44" s="26" t="s">
        <v>264</v>
      </c>
      <c r="J44" s="26">
        <v>2.71</v>
      </c>
      <c r="K44" s="26" t="s">
        <v>327</v>
      </c>
    </row>
    <row r="45" spans="1:11" ht="20.100000000000001" customHeight="1" x14ac:dyDescent="0.3">
      <c r="A45" s="26" t="s">
        <v>563</v>
      </c>
      <c r="B45" s="26" t="s">
        <v>422</v>
      </c>
      <c r="C45" s="26">
        <v>1</v>
      </c>
      <c r="D45" s="26">
        <v>250</v>
      </c>
      <c r="E45" s="26">
        <v>200</v>
      </c>
      <c r="F45" s="26">
        <v>5</v>
      </c>
      <c r="G45" s="26">
        <v>80</v>
      </c>
      <c r="H45" s="26">
        <v>40</v>
      </c>
      <c r="I45" s="26" t="s">
        <v>264</v>
      </c>
      <c r="J45" s="26">
        <v>3.8</v>
      </c>
      <c r="K45" s="26" t="s">
        <v>327</v>
      </c>
    </row>
    <row r="46" spans="1:11" ht="20.100000000000001" customHeight="1" x14ac:dyDescent="0.3">
      <c r="A46" s="26" t="s">
        <v>564</v>
      </c>
      <c r="B46" s="26" t="s">
        <v>423</v>
      </c>
      <c r="C46" s="26">
        <v>1</v>
      </c>
      <c r="D46" s="26">
        <v>25</v>
      </c>
      <c r="E46" s="26">
        <v>50</v>
      </c>
      <c r="F46" s="26">
        <v>1.2</v>
      </c>
      <c r="G46" s="26">
        <v>45</v>
      </c>
      <c r="H46" s="26">
        <v>20</v>
      </c>
      <c r="I46" s="26" t="s">
        <v>264</v>
      </c>
      <c r="J46" s="26">
        <v>3.06</v>
      </c>
      <c r="K46" s="26" t="s">
        <v>327</v>
      </c>
    </row>
    <row r="47" spans="1:11" ht="20.100000000000001" customHeight="1" x14ac:dyDescent="0.3">
      <c r="A47" s="26" t="s">
        <v>565</v>
      </c>
      <c r="B47" s="26" t="s">
        <v>424</v>
      </c>
      <c r="C47" s="26">
        <v>1</v>
      </c>
      <c r="D47" s="26">
        <v>20</v>
      </c>
      <c r="E47" s="26">
        <v>50</v>
      </c>
      <c r="F47" s="26">
        <v>0.7</v>
      </c>
      <c r="G47" s="26">
        <v>65</v>
      </c>
      <c r="H47" s="26">
        <v>16</v>
      </c>
      <c r="I47" s="26" t="s">
        <v>264</v>
      </c>
      <c r="J47" s="26">
        <v>3.48</v>
      </c>
      <c r="K47" s="26" t="s">
        <v>327</v>
      </c>
    </row>
    <row r="48" spans="1:11" ht="20.100000000000001" customHeight="1" x14ac:dyDescent="0.3">
      <c r="A48" s="26" t="s">
        <v>566</v>
      </c>
      <c r="B48" s="26" t="s">
        <v>425</v>
      </c>
      <c r="C48" s="26">
        <v>1</v>
      </c>
      <c r="D48" s="26">
        <v>20</v>
      </c>
      <c r="E48" s="26">
        <v>30</v>
      </c>
      <c r="F48" s="26">
        <v>0.7</v>
      </c>
      <c r="G48" s="26">
        <v>43</v>
      </c>
      <c r="H48" s="26">
        <v>13</v>
      </c>
      <c r="I48" s="26" t="s">
        <v>264</v>
      </c>
      <c r="J48" s="26">
        <v>3.02</v>
      </c>
      <c r="K48" s="26" t="s">
        <v>327</v>
      </c>
    </row>
    <row r="49" spans="1:11" ht="20.100000000000001" customHeight="1" x14ac:dyDescent="0.3">
      <c r="A49" s="26" t="s">
        <v>567</v>
      </c>
      <c r="B49" s="26" t="s">
        <v>426</v>
      </c>
      <c r="C49" s="26">
        <v>1</v>
      </c>
      <c r="D49" s="26">
        <v>20</v>
      </c>
      <c r="E49" s="26">
        <v>25</v>
      </c>
      <c r="F49" s="26">
        <v>1.2</v>
      </c>
      <c r="G49" s="26">
        <v>65</v>
      </c>
      <c r="H49" s="26">
        <v>25</v>
      </c>
      <c r="I49" s="26" t="s">
        <v>264</v>
      </c>
      <c r="J49" s="26">
        <v>3.48</v>
      </c>
      <c r="K49" s="26" t="s">
        <v>327</v>
      </c>
    </row>
    <row r="50" spans="1:11" ht="20.100000000000001" customHeight="1" x14ac:dyDescent="0.3">
      <c r="A50" s="26" t="s">
        <v>568</v>
      </c>
      <c r="B50" s="26" t="s">
        <v>427</v>
      </c>
      <c r="C50" s="26">
        <v>1</v>
      </c>
      <c r="D50" s="26">
        <v>15</v>
      </c>
      <c r="E50" s="26">
        <v>32</v>
      </c>
      <c r="F50" s="26">
        <v>0.7</v>
      </c>
      <c r="G50" s="26">
        <v>43</v>
      </c>
      <c r="H50" s="26">
        <v>20</v>
      </c>
      <c r="I50" s="26" t="s">
        <v>264</v>
      </c>
      <c r="J50" s="26">
        <v>3.02</v>
      </c>
      <c r="K50" s="26" t="s">
        <v>327</v>
      </c>
    </row>
    <row r="51" spans="1:11" ht="20.100000000000001" customHeight="1" x14ac:dyDescent="0.3">
      <c r="A51" s="26" t="s">
        <v>569</v>
      </c>
      <c r="B51" s="26" t="s">
        <v>428</v>
      </c>
      <c r="C51" s="26">
        <v>1</v>
      </c>
      <c r="D51" s="26">
        <v>15</v>
      </c>
      <c r="E51" s="26">
        <v>25</v>
      </c>
      <c r="F51" s="26">
        <v>0.6</v>
      </c>
      <c r="G51" s="26">
        <v>30</v>
      </c>
      <c r="H51" s="26">
        <v>20</v>
      </c>
      <c r="I51" s="26" t="s">
        <v>264</v>
      </c>
      <c r="J51" s="26">
        <v>2.75</v>
      </c>
      <c r="K51" s="26" t="s">
        <v>327</v>
      </c>
    </row>
    <row r="52" spans="1:11" ht="20.100000000000001" customHeight="1" x14ac:dyDescent="0.3">
      <c r="A52" s="26" t="s">
        <v>570</v>
      </c>
      <c r="B52" s="26" t="s">
        <v>429</v>
      </c>
      <c r="C52" s="26">
        <v>1</v>
      </c>
      <c r="D52" s="26">
        <v>98</v>
      </c>
      <c r="E52" s="26">
        <v>30</v>
      </c>
      <c r="F52" s="26">
        <v>2</v>
      </c>
      <c r="G52" s="26">
        <v>100</v>
      </c>
      <c r="H52" s="26">
        <v>25</v>
      </c>
      <c r="I52" s="26" t="s">
        <v>264</v>
      </c>
      <c r="J52" s="26">
        <v>4.22</v>
      </c>
      <c r="K52" s="26" t="s">
        <v>327</v>
      </c>
    </row>
    <row r="53" spans="1:11" ht="20.100000000000001" customHeight="1" x14ac:dyDescent="0.3">
      <c r="A53" s="26" t="s">
        <v>571</v>
      </c>
      <c r="B53" s="26" t="s">
        <v>430</v>
      </c>
      <c r="C53" s="26">
        <v>1</v>
      </c>
      <c r="D53" s="26">
        <v>60</v>
      </c>
      <c r="E53" s="26">
        <v>200</v>
      </c>
      <c r="F53" s="26">
        <v>1</v>
      </c>
      <c r="G53" s="26">
        <v>63</v>
      </c>
      <c r="H53" s="26">
        <v>32</v>
      </c>
      <c r="I53" s="26" t="s">
        <v>264</v>
      </c>
      <c r="J53" s="26">
        <v>3.44</v>
      </c>
      <c r="K53" s="26" t="s">
        <v>327</v>
      </c>
    </row>
    <row r="54" spans="1:11" ht="20.100000000000001" customHeight="1" x14ac:dyDescent="0.3">
      <c r="A54" s="26" t="s">
        <v>572</v>
      </c>
      <c r="B54" s="26" t="s">
        <v>431</v>
      </c>
      <c r="C54" s="26">
        <v>1</v>
      </c>
      <c r="D54" s="26">
        <v>100</v>
      </c>
      <c r="E54" s="26">
        <v>200</v>
      </c>
      <c r="F54" s="26">
        <v>5</v>
      </c>
      <c r="G54" s="26">
        <v>120</v>
      </c>
      <c r="H54" s="26">
        <v>40</v>
      </c>
      <c r="I54" s="26" t="s">
        <v>353</v>
      </c>
      <c r="J54" s="26">
        <v>4.6399999999999997</v>
      </c>
      <c r="K54" s="26" t="s">
        <v>327</v>
      </c>
    </row>
    <row r="55" spans="1:11" ht="20.100000000000001" customHeight="1" x14ac:dyDescent="0.3">
      <c r="A55" s="26" t="s">
        <v>573</v>
      </c>
      <c r="B55" s="26" t="s">
        <v>432</v>
      </c>
      <c r="C55" s="26">
        <v>1</v>
      </c>
      <c r="D55" s="26">
        <v>150</v>
      </c>
      <c r="E55" s="26">
        <v>200</v>
      </c>
      <c r="F55" s="26">
        <v>1</v>
      </c>
      <c r="G55" s="26">
        <v>43</v>
      </c>
      <c r="H55" s="26">
        <v>25</v>
      </c>
      <c r="I55" s="26" t="s">
        <v>264</v>
      </c>
      <c r="J55" s="26">
        <v>3.02</v>
      </c>
      <c r="K55" s="26" t="s">
        <v>327</v>
      </c>
    </row>
    <row r="56" spans="1:11" ht="20.100000000000001" customHeight="1" x14ac:dyDescent="0.3">
      <c r="A56" s="26" t="s">
        <v>574</v>
      </c>
      <c r="B56" s="26" t="s">
        <v>433</v>
      </c>
      <c r="C56" s="26">
        <v>1</v>
      </c>
      <c r="D56" s="26">
        <v>30</v>
      </c>
      <c r="E56" s="26">
        <v>75</v>
      </c>
      <c r="F56" s="26">
        <v>15</v>
      </c>
      <c r="G56" s="26">
        <v>316</v>
      </c>
      <c r="H56" s="26">
        <v>75</v>
      </c>
      <c r="I56" s="26" t="s">
        <v>264</v>
      </c>
      <c r="J56" s="26">
        <v>8.76</v>
      </c>
      <c r="K56" s="26" t="s">
        <v>327</v>
      </c>
    </row>
    <row r="57" spans="1:11" ht="20.100000000000001" customHeight="1" x14ac:dyDescent="0.3">
      <c r="A57" s="26" t="s">
        <v>575</v>
      </c>
      <c r="B57" s="26" t="s">
        <v>434</v>
      </c>
      <c r="C57" s="26">
        <v>1</v>
      </c>
      <c r="D57" s="26">
        <v>25</v>
      </c>
      <c r="E57" s="26">
        <v>150</v>
      </c>
      <c r="F57" s="26">
        <v>1</v>
      </c>
      <c r="G57" s="26">
        <v>95</v>
      </c>
      <c r="H57" s="26">
        <v>25</v>
      </c>
      <c r="I57" s="26" t="s">
        <v>264</v>
      </c>
      <c r="J57" s="26">
        <v>4.1100000000000003</v>
      </c>
      <c r="K57" s="26" t="s">
        <v>327</v>
      </c>
    </row>
    <row r="58" spans="1:11" ht="20.100000000000001" customHeight="1" x14ac:dyDescent="0.3">
      <c r="A58" s="26" t="s">
        <v>576</v>
      </c>
      <c r="B58" s="26" t="s">
        <v>435</v>
      </c>
      <c r="C58" s="26">
        <v>1</v>
      </c>
      <c r="D58" s="26">
        <v>52</v>
      </c>
      <c r="E58" s="26">
        <v>200</v>
      </c>
      <c r="F58" s="26">
        <v>2</v>
      </c>
      <c r="G58" s="26">
        <v>78</v>
      </c>
      <c r="H58" s="26">
        <v>40</v>
      </c>
      <c r="I58" s="26" t="s">
        <v>264</v>
      </c>
      <c r="J58" s="26">
        <v>3.76</v>
      </c>
      <c r="K58" s="26" t="s">
        <v>327</v>
      </c>
    </row>
    <row r="59" spans="1:11" ht="20.100000000000001" customHeight="1" x14ac:dyDescent="0.3">
      <c r="A59" s="26" t="s">
        <v>577</v>
      </c>
      <c r="B59" s="26" t="s">
        <v>436</v>
      </c>
      <c r="C59" s="26">
        <v>1</v>
      </c>
      <c r="D59" s="26">
        <v>78</v>
      </c>
      <c r="E59" s="26">
        <v>200</v>
      </c>
      <c r="F59" s="26">
        <v>5</v>
      </c>
      <c r="G59" s="26">
        <v>129</v>
      </c>
      <c r="H59" s="26">
        <v>50</v>
      </c>
      <c r="I59" s="26" t="s">
        <v>264</v>
      </c>
      <c r="J59" s="26">
        <v>4.83</v>
      </c>
      <c r="K59" s="26" t="s">
        <v>327</v>
      </c>
    </row>
    <row r="60" spans="1:11" ht="20.100000000000001" customHeight="1" x14ac:dyDescent="0.3">
      <c r="A60" s="26" t="s">
        <v>578</v>
      </c>
      <c r="B60" s="26" t="s">
        <v>437</v>
      </c>
      <c r="C60" s="26">
        <v>1</v>
      </c>
      <c r="D60" s="26">
        <v>120</v>
      </c>
      <c r="E60" s="26">
        <v>200</v>
      </c>
      <c r="F60" s="26">
        <v>3</v>
      </c>
      <c r="G60" s="26">
        <v>112</v>
      </c>
      <c r="H60" s="26">
        <v>50</v>
      </c>
      <c r="I60" s="26" t="s">
        <v>264</v>
      </c>
      <c r="J60" s="26">
        <v>4.47</v>
      </c>
      <c r="K60" s="26" t="s">
        <v>327</v>
      </c>
    </row>
    <row r="61" spans="1:11" ht="20.100000000000001" customHeight="1" x14ac:dyDescent="0.3">
      <c r="A61" s="26" t="s">
        <v>579</v>
      </c>
      <c r="B61" s="26" t="s">
        <v>438</v>
      </c>
      <c r="C61" s="26">
        <v>1</v>
      </c>
      <c r="D61" s="26">
        <v>24</v>
      </c>
      <c r="E61" s="26">
        <v>150</v>
      </c>
      <c r="F61" s="26">
        <v>0.7</v>
      </c>
      <c r="G61" s="26">
        <v>72</v>
      </c>
      <c r="H61" s="26">
        <v>32</v>
      </c>
      <c r="I61" s="26" t="s">
        <v>264</v>
      </c>
      <c r="J61" s="26">
        <v>3.63</v>
      </c>
      <c r="K61" s="26" t="s">
        <v>327</v>
      </c>
    </row>
    <row r="62" spans="1:11" ht="20.100000000000001" customHeight="1" x14ac:dyDescent="0.3">
      <c r="A62" s="26" t="s">
        <v>580</v>
      </c>
      <c r="B62" s="26" t="s">
        <v>439</v>
      </c>
      <c r="C62" s="26">
        <v>1</v>
      </c>
      <c r="D62" s="26">
        <v>155</v>
      </c>
      <c r="E62" s="26">
        <v>200</v>
      </c>
      <c r="F62" s="26">
        <v>3</v>
      </c>
      <c r="G62" s="26">
        <v>60</v>
      </c>
      <c r="H62" s="26">
        <v>32</v>
      </c>
      <c r="I62" s="26" t="s">
        <v>264</v>
      </c>
      <c r="J62" s="26">
        <v>3.38</v>
      </c>
      <c r="K62" s="26" t="s">
        <v>327</v>
      </c>
    </row>
    <row r="63" spans="1:11" ht="20.100000000000001" customHeight="1" x14ac:dyDescent="0.3">
      <c r="A63" s="26" t="s">
        <v>581</v>
      </c>
      <c r="B63" s="26" t="s">
        <v>440</v>
      </c>
      <c r="C63" s="26">
        <v>1</v>
      </c>
      <c r="D63" s="26">
        <v>150</v>
      </c>
      <c r="E63" s="26">
        <v>200</v>
      </c>
      <c r="F63" s="26">
        <v>2</v>
      </c>
      <c r="G63" s="26">
        <v>80</v>
      </c>
      <c r="H63" s="26">
        <v>32</v>
      </c>
      <c r="I63" s="26" t="s">
        <v>264</v>
      </c>
      <c r="J63" s="26">
        <v>3.8</v>
      </c>
      <c r="K63" s="26" t="s">
        <v>327</v>
      </c>
    </row>
    <row r="64" spans="1:11" ht="20.100000000000001" customHeight="1" x14ac:dyDescent="0.3">
      <c r="A64" s="26" t="s">
        <v>582</v>
      </c>
      <c r="B64" s="26" t="s">
        <v>441</v>
      </c>
      <c r="C64" s="26">
        <v>1</v>
      </c>
      <c r="D64" s="26">
        <v>18</v>
      </c>
      <c r="E64" s="26">
        <v>150</v>
      </c>
      <c r="F64" s="26">
        <v>0.5</v>
      </c>
      <c r="G64" s="26">
        <v>72</v>
      </c>
      <c r="H64" s="26">
        <v>25</v>
      </c>
      <c r="I64" s="26" t="s">
        <v>264</v>
      </c>
      <c r="J64" s="26">
        <v>3.63</v>
      </c>
      <c r="K64" s="26" t="s">
        <v>327</v>
      </c>
    </row>
    <row r="65" spans="1:11" ht="20.100000000000001" customHeight="1" x14ac:dyDescent="0.3">
      <c r="A65" s="26" t="s">
        <v>583</v>
      </c>
      <c r="B65" s="26" t="s">
        <v>442</v>
      </c>
      <c r="C65" s="26">
        <v>1</v>
      </c>
      <c r="D65" s="26">
        <v>24</v>
      </c>
      <c r="E65" s="26">
        <v>25</v>
      </c>
      <c r="F65" s="26">
        <v>1</v>
      </c>
      <c r="G65" s="26">
        <v>49</v>
      </c>
      <c r="H65" s="26">
        <v>25</v>
      </c>
      <c r="I65" s="26" t="s">
        <v>264</v>
      </c>
      <c r="J65" s="26">
        <v>3.15</v>
      </c>
      <c r="K65" s="26" t="s">
        <v>327</v>
      </c>
    </row>
    <row r="66" spans="1:11" ht="20.100000000000001" customHeight="1" x14ac:dyDescent="0.3">
      <c r="A66" s="26" t="s">
        <v>584</v>
      </c>
      <c r="B66" s="26" t="s">
        <v>443</v>
      </c>
      <c r="C66" s="26">
        <v>1</v>
      </c>
      <c r="D66" s="26">
        <v>100</v>
      </c>
      <c r="E66" s="26">
        <v>200</v>
      </c>
      <c r="F66" s="26">
        <v>5</v>
      </c>
      <c r="G66" s="26">
        <v>50</v>
      </c>
      <c r="H66" s="26">
        <v>40</v>
      </c>
      <c r="I66" s="26" t="s">
        <v>264</v>
      </c>
      <c r="J66" s="26">
        <v>3.17</v>
      </c>
      <c r="K66" s="26" t="s">
        <v>327</v>
      </c>
    </row>
    <row r="67" spans="1:11" ht="20.100000000000001" customHeight="1" x14ac:dyDescent="0.3">
      <c r="A67" s="26" t="s">
        <v>585</v>
      </c>
      <c r="B67" s="26" t="s">
        <v>444</v>
      </c>
      <c r="C67" s="26">
        <v>1</v>
      </c>
      <c r="D67" s="26">
        <v>95</v>
      </c>
      <c r="E67" s="26">
        <v>200</v>
      </c>
      <c r="F67" s="26">
        <v>2</v>
      </c>
      <c r="G67" s="26">
        <v>80</v>
      </c>
      <c r="H67" s="26">
        <v>32</v>
      </c>
      <c r="I67" s="26" t="s">
        <v>353</v>
      </c>
      <c r="J67" s="26">
        <v>3.8</v>
      </c>
      <c r="K67" s="26" t="s">
        <v>327</v>
      </c>
    </row>
    <row r="68" spans="1:11" ht="20.100000000000001" customHeight="1" x14ac:dyDescent="0.3">
      <c r="A68" s="26" t="s">
        <v>586</v>
      </c>
      <c r="B68" s="26" t="s">
        <v>445</v>
      </c>
      <c r="C68" s="26">
        <v>1</v>
      </c>
      <c r="D68" s="26">
        <v>60</v>
      </c>
      <c r="E68" s="26">
        <v>200</v>
      </c>
      <c r="F68" s="26">
        <v>5</v>
      </c>
      <c r="G68" s="26">
        <v>280</v>
      </c>
      <c r="H68" s="26">
        <v>40</v>
      </c>
      <c r="I68" s="26" t="s">
        <v>264</v>
      </c>
      <c r="J68" s="26">
        <v>8</v>
      </c>
      <c r="K68" s="26" t="s">
        <v>327</v>
      </c>
    </row>
    <row r="69" spans="1:11" ht="20.100000000000001" customHeight="1" x14ac:dyDescent="0.3">
      <c r="A69" s="26" t="s">
        <v>587</v>
      </c>
      <c r="B69" s="26" t="s">
        <v>446</v>
      </c>
      <c r="C69" s="26">
        <v>1</v>
      </c>
      <c r="D69" s="26">
        <v>100</v>
      </c>
      <c r="E69" s="26">
        <v>200</v>
      </c>
      <c r="F69" s="26">
        <v>2</v>
      </c>
      <c r="G69" s="26">
        <v>66</v>
      </c>
      <c r="H69" s="26">
        <v>32</v>
      </c>
      <c r="I69" s="26" t="s">
        <v>264</v>
      </c>
      <c r="J69" s="26">
        <v>3.51</v>
      </c>
      <c r="K69" s="26" t="s">
        <v>327</v>
      </c>
    </row>
    <row r="70" spans="1:11" ht="20.100000000000001" customHeight="1" x14ac:dyDescent="0.3">
      <c r="A70" s="26" t="s">
        <v>588</v>
      </c>
      <c r="B70" s="26" t="s">
        <v>447</v>
      </c>
      <c r="C70" s="26">
        <v>1</v>
      </c>
      <c r="D70" s="26">
        <v>110</v>
      </c>
      <c r="E70" s="26">
        <v>150</v>
      </c>
      <c r="F70" s="26">
        <v>1</v>
      </c>
      <c r="G70" s="26">
        <v>50</v>
      </c>
      <c r="H70" s="26">
        <v>32</v>
      </c>
      <c r="I70" s="26" t="s">
        <v>264</v>
      </c>
      <c r="J70" s="26">
        <v>3.17</v>
      </c>
      <c r="K70" s="26" t="s">
        <v>327</v>
      </c>
    </row>
    <row r="71" spans="1:11" ht="20.100000000000001" customHeight="1" x14ac:dyDescent="0.3">
      <c r="A71" s="26" t="s">
        <v>589</v>
      </c>
      <c r="B71" s="26" t="s">
        <v>448</v>
      </c>
      <c r="C71" s="26">
        <v>1</v>
      </c>
      <c r="D71" s="26">
        <v>120</v>
      </c>
      <c r="E71" s="26">
        <v>150</v>
      </c>
      <c r="F71" s="26">
        <v>1</v>
      </c>
      <c r="G71" s="26">
        <v>39</v>
      </c>
      <c r="H71" s="26">
        <v>25</v>
      </c>
      <c r="I71" s="26" t="s">
        <v>356</v>
      </c>
      <c r="J71" s="26">
        <v>2.94</v>
      </c>
      <c r="K71" s="26" t="s">
        <v>327</v>
      </c>
    </row>
    <row r="72" spans="1:11" ht="20.100000000000001" customHeight="1" x14ac:dyDescent="0.3">
      <c r="A72" s="26" t="s">
        <v>590</v>
      </c>
      <c r="B72" s="26" t="s">
        <v>449</v>
      </c>
      <c r="C72" s="26">
        <v>1</v>
      </c>
      <c r="D72" s="26">
        <v>450</v>
      </c>
      <c r="E72" s="26">
        <v>200</v>
      </c>
      <c r="F72" s="26">
        <v>5</v>
      </c>
      <c r="G72" s="26">
        <v>350</v>
      </c>
      <c r="H72" s="26">
        <v>50</v>
      </c>
      <c r="I72" s="26" t="s">
        <v>355</v>
      </c>
      <c r="J72" s="26">
        <v>3.5</v>
      </c>
      <c r="K72" s="26" t="s">
        <v>327</v>
      </c>
    </row>
    <row r="73" spans="1:11" ht="20.100000000000001" customHeight="1" x14ac:dyDescent="0.3">
      <c r="A73" s="26" t="s">
        <v>591</v>
      </c>
      <c r="B73" s="26" t="s">
        <v>450</v>
      </c>
      <c r="C73" s="26">
        <v>1</v>
      </c>
      <c r="D73" s="26">
        <v>100</v>
      </c>
      <c r="E73" s="26">
        <v>200</v>
      </c>
      <c r="F73" s="26">
        <v>2</v>
      </c>
      <c r="G73" s="26">
        <v>72</v>
      </c>
      <c r="H73" s="26">
        <v>32</v>
      </c>
      <c r="I73" s="26" t="s">
        <v>264</v>
      </c>
      <c r="J73" s="26">
        <v>3.63</v>
      </c>
      <c r="K73" s="26" t="s">
        <v>327</v>
      </c>
    </row>
    <row r="74" spans="1:11" ht="20.100000000000001" customHeight="1" x14ac:dyDescent="0.3">
      <c r="A74" s="26" t="s">
        <v>592</v>
      </c>
      <c r="B74" s="26" t="s">
        <v>451</v>
      </c>
      <c r="C74" s="26">
        <v>1</v>
      </c>
      <c r="D74" s="26">
        <v>30</v>
      </c>
      <c r="E74" s="26">
        <v>100</v>
      </c>
      <c r="F74" s="26">
        <v>0.5</v>
      </c>
      <c r="G74" s="26">
        <v>30</v>
      </c>
      <c r="H74" s="26">
        <v>25</v>
      </c>
      <c r="I74" s="26" t="s">
        <v>264</v>
      </c>
      <c r="J74" s="26">
        <v>2.75</v>
      </c>
      <c r="K74" s="26" t="s">
        <v>327</v>
      </c>
    </row>
    <row r="75" spans="1:11" ht="20.100000000000001" customHeight="1" x14ac:dyDescent="0.3">
      <c r="A75" s="26" t="s">
        <v>593</v>
      </c>
      <c r="B75" s="26" t="s">
        <v>452</v>
      </c>
      <c r="C75" s="26">
        <v>0</v>
      </c>
      <c r="D75" s="26">
        <v>23</v>
      </c>
      <c r="E75" s="26">
        <v>200</v>
      </c>
      <c r="F75" s="26">
        <v>3</v>
      </c>
      <c r="G75" s="26">
        <v>112</v>
      </c>
      <c r="H75" s="26">
        <v>40</v>
      </c>
      <c r="I75" s="26" t="s">
        <v>264</v>
      </c>
      <c r="J75" s="26">
        <v>4.47</v>
      </c>
      <c r="K75" s="26" t="s">
        <v>327</v>
      </c>
    </row>
    <row r="76" spans="1:11" ht="20.100000000000001" customHeight="1" x14ac:dyDescent="0.3">
      <c r="A76" s="26" t="s">
        <v>594</v>
      </c>
      <c r="B76" s="26" t="s">
        <v>453</v>
      </c>
      <c r="C76" s="26">
        <v>1</v>
      </c>
      <c r="D76" s="26">
        <v>7</v>
      </c>
      <c r="E76" s="26">
        <v>40</v>
      </c>
      <c r="F76" s="26">
        <v>2</v>
      </c>
      <c r="G76" s="26">
        <v>30</v>
      </c>
      <c r="H76" s="26">
        <v>40</v>
      </c>
      <c r="I76" s="26" t="s">
        <v>264</v>
      </c>
      <c r="J76" s="26">
        <v>2.75</v>
      </c>
      <c r="K76" s="26" t="s">
        <v>327</v>
      </c>
    </row>
    <row r="77" spans="1:11" ht="20.100000000000001" customHeight="1" x14ac:dyDescent="0.3">
      <c r="A77" s="26" t="s">
        <v>595</v>
      </c>
      <c r="B77" s="26" t="s">
        <v>454</v>
      </c>
      <c r="C77" s="26">
        <v>1</v>
      </c>
      <c r="D77" s="26">
        <v>190</v>
      </c>
      <c r="E77" s="26">
        <v>200</v>
      </c>
      <c r="F77" s="26">
        <v>2</v>
      </c>
      <c r="G77" s="26">
        <v>53</v>
      </c>
      <c r="H77" s="26">
        <v>25</v>
      </c>
      <c r="I77" s="26" t="s">
        <v>264</v>
      </c>
      <c r="J77" s="26">
        <v>3.23</v>
      </c>
      <c r="K77" s="26" t="s">
        <v>327</v>
      </c>
    </row>
    <row r="78" spans="1:11" ht="20.100000000000001" customHeight="1" x14ac:dyDescent="0.3">
      <c r="A78" s="26" t="s">
        <v>596</v>
      </c>
      <c r="B78" s="26" t="s">
        <v>455</v>
      </c>
      <c r="C78" s="26">
        <v>1</v>
      </c>
      <c r="D78" s="26">
        <v>80</v>
      </c>
      <c r="E78" s="26">
        <v>200</v>
      </c>
      <c r="F78" s="26">
        <v>3</v>
      </c>
      <c r="G78" s="26">
        <v>112</v>
      </c>
      <c r="H78" s="26">
        <v>32</v>
      </c>
      <c r="I78" s="26" t="s">
        <v>264</v>
      </c>
      <c r="J78" s="26">
        <v>4.47</v>
      </c>
      <c r="K78" s="26" t="s">
        <v>327</v>
      </c>
    </row>
    <row r="79" spans="1:11" ht="20.100000000000001" customHeight="1" x14ac:dyDescent="0.3">
      <c r="A79" s="26" t="s">
        <v>597</v>
      </c>
      <c r="B79" s="26" t="s">
        <v>456</v>
      </c>
      <c r="C79" s="26">
        <v>1</v>
      </c>
      <c r="D79" s="26">
        <v>250</v>
      </c>
      <c r="E79" s="26">
        <v>200</v>
      </c>
      <c r="F79" s="26">
        <v>5</v>
      </c>
      <c r="G79" s="26">
        <v>90</v>
      </c>
      <c r="H79" s="26">
        <v>40</v>
      </c>
      <c r="I79" s="26" t="s">
        <v>264</v>
      </c>
      <c r="J79" s="26">
        <v>4.01</v>
      </c>
      <c r="K79" s="26" t="s">
        <v>327</v>
      </c>
    </row>
    <row r="80" spans="1:11" ht="20.100000000000001" customHeight="1" x14ac:dyDescent="0.3">
      <c r="A80" s="26" t="s">
        <v>598</v>
      </c>
      <c r="B80" s="26" t="s">
        <v>457</v>
      </c>
      <c r="C80" s="26">
        <v>0</v>
      </c>
      <c r="D80" s="26">
        <v>120</v>
      </c>
      <c r="E80" s="26">
        <v>160</v>
      </c>
      <c r="F80" s="26">
        <v>2</v>
      </c>
      <c r="G80" s="26">
        <v>83</v>
      </c>
      <c r="H80" s="26">
        <v>32</v>
      </c>
      <c r="I80" s="26" t="s">
        <v>264</v>
      </c>
      <c r="J80" s="26">
        <v>3.86</v>
      </c>
      <c r="K80" s="26" t="s">
        <v>327</v>
      </c>
    </row>
    <row r="81" spans="1:11" ht="20.100000000000001" customHeight="1" x14ac:dyDescent="0.3">
      <c r="A81" s="26" t="s">
        <v>599</v>
      </c>
      <c r="B81" s="26" t="s">
        <v>458</v>
      </c>
      <c r="C81" s="26">
        <v>1</v>
      </c>
      <c r="D81" s="26">
        <v>20</v>
      </c>
      <c r="E81" s="26">
        <v>32</v>
      </c>
      <c r="F81" s="26">
        <v>1</v>
      </c>
      <c r="G81" s="26">
        <v>65</v>
      </c>
      <c r="H81" s="26">
        <v>25</v>
      </c>
      <c r="I81" s="26" t="s">
        <v>264</v>
      </c>
      <c r="J81" s="26">
        <v>3.48</v>
      </c>
      <c r="K81" s="26" t="s">
        <v>327</v>
      </c>
    </row>
    <row r="82" spans="1:11" ht="20.100000000000001" customHeight="1" x14ac:dyDescent="0.3">
      <c r="A82" s="26" t="s">
        <v>600</v>
      </c>
      <c r="B82" s="26" t="s">
        <v>459</v>
      </c>
      <c r="C82" s="26">
        <v>0</v>
      </c>
      <c r="D82" s="26">
        <v>80</v>
      </c>
      <c r="E82" s="26">
        <v>50</v>
      </c>
      <c r="F82" s="26">
        <v>5</v>
      </c>
      <c r="G82" s="26">
        <v>30</v>
      </c>
      <c r="H82" s="26">
        <v>50</v>
      </c>
      <c r="I82" s="26" t="s">
        <v>264</v>
      </c>
      <c r="J82" s="26">
        <v>2.75</v>
      </c>
      <c r="K82" s="26" t="s">
        <v>327</v>
      </c>
    </row>
    <row r="83" spans="1:11" ht="20.100000000000001" customHeight="1" x14ac:dyDescent="0.3">
      <c r="A83" s="26" t="s">
        <v>601</v>
      </c>
      <c r="B83" s="26" t="s">
        <v>460</v>
      </c>
      <c r="C83" s="26">
        <v>0</v>
      </c>
      <c r="D83" s="26">
        <v>150</v>
      </c>
      <c r="E83" s="26">
        <v>165</v>
      </c>
      <c r="F83" s="26">
        <v>3</v>
      </c>
      <c r="G83" s="26">
        <v>112</v>
      </c>
      <c r="H83" s="26">
        <v>32</v>
      </c>
      <c r="I83" s="26" t="s">
        <v>264</v>
      </c>
      <c r="J83" s="26">
        <v>4.47</v>
      </c>
      <c r="K83" s="26" t="s">
        <v>327</v>
      </c>
    </row>
    <row r="84" spans="1:11" ht="20.100000000000001" customHeight="1" x14ac:dyDescent="0.3">
      <c r="A84" s="26" t="s">
        <v>602</v>
      </c>
      <c r="B84" s="26" t="s">
        <v>461</v>
      </c>
      <c r="C84" s="26">
        <v>0</v>
      </c>
      <c r="D84" s="26">
        <v>150</v>
      </c>
      <c r="E84" s="26">
        <v>200</v>
      </c>
      <c r="F84" s="26">
        <v>1</v>
      </c>
      <c r="G84" s="26">
        <v>36</v>
      </c>
      <c r="H84" s="26">
        <v>40</v>
      </c>
      <c r="I84" s="26" t="s">
        <v>264</v>
      </c>
      <c r="J84" s="26">
        <v>2.88</v>
      </c>
      <c r="K84" s="26" t="s">
        <v>327</v>
      </c>
    </row>
    <row r="85" spans="1:11" ht="20.100000000000001" customHeight="1" x14ac:dyDescent="0.3">
      <c r="A85" s="26" t="s">
        <v>603</v>
      </c>
      <c r="B85" s="26" t="s">
        <v>462</v>
      </c>
      <c r="C85" s="26">
        <v>1</v>
      </c>
      <c r="D85" s="26">
        <v>200</v>
      </c>
      <c r="E85" s="26">
        <v>200</v>
      </c>
      <c r="F85" s="26">
        <v>3</v>
      </c>
      <c r="G85" s="26">
        <v>90</v>
      </c>
      <c r="H85" s="26">
        <v>32</v>
      </c>
      <c r="I85" s="26" t="s">
        <v>264</v>
      </c>
      <c r="J85" s="26">
        <v>4.01</v>
      </c>
      <c r="K85" s="26" t="s">
        <v>327</v>
      </c>
    </row>
    <row r="86" spans="1:11" ht="20.100000000000001" customHeight="1" x14ac:dyDescent="0.3">
      <c r="A86" s="26" t="s">
        <v>604</v>
      </c>
      <c r="B86" s="26" t="s">
        <v>463</v>
      </c>
      <c r="C86" s="26">
        <v>1</v>
      </c>
      <c r="D86" s="26">
        <v>75</v>
      </c>
      <c r="E86" s="26">
        <v>200</v>
      </c>
      <c r="F86" s="26">
        <v>3</v>
      </c>
      <c r="G86" s="26">
        <v>50</v>
      </c>
      <c r="H86" s="26">
        <v>40</v>
      </c>
      <c r="I86" s="26" t="s">
        <v>264</v>
      </c>
      <c r="J86" s="26">
        <v>3.17</v>
      </c>
      <c r="K86" s="26" t="s">
        <v>327</v>
      </c>
    </row>
    <row r="87" spans="1:11" ht="20.100000000000001" customHeight="1" x14ac:dyDescent="0.3">
      <c r="A87" s="26" t="s">
        <v>605</v>
      </c>
      <c r="B87" s="26" t="s">
        <v>464</v>
      </c>
      <c r="C87" s="26">
        <v>0</v>
      </c>
      <c r="D87" s="26">
        <v>200</v>
      </c>
      <c r="E87" s="26">
        <v>200</v>
      </c>
      <c r="F87" s="26">
        <v>7.5</v>
      </c>
      <c r="G87" s="26">
        <v>158</v>
      </c>
      <c r="H87" s="26">
        <v>40</v>
      </c>
      <c r="I87" s="26" t="s">
        <v>264</v>
      </c>
      <c r="J87" s="26">
        <v>5.44</v>
      </c>
      <c r="K87" s="26" t="s">
        <v>327</v>
      </c>
    </row>
    <row r="88" spans="1:11" ht="20.100000000000001" customHeight="1" x14ac:dyDescent="0.3">
      <c r="A88" s="26" t="s">
        <v>606</v>
      </c>
      <c r="B88" s="26" t="s">
        <v>465</v>
      </c>
      <c r="C88" s="26">
        <v>1</v>
      </c>
      <c r="D88" s="26">
        <v>6</v>
      </c>
      <c r="E88" s="26">
        <v>25</v>
      </c>
      <c r="F88" s="26">
        <v>1</v>
      </c>
      <c r="G88" s="26">
        <v>57</v>
      </c>
      <c r="H88" s="26">
        <v>25</v>
      </c>
      <c r="I88" s="26" t="s">
        <v>357</v>
      </c>
      <c r="J88" s="26">
        <v>8.49</v>
      </c>
      <c r="K88" s="26" t="s">
        <v>327</v>
      </c>
    </row>
    <row r="89" spans="1:11" ht="20.100000000000001" customHeight="1" x14ac:dyDescent="0.3">
      <c r="A89" s="26" t="s">
        <v>4</v>
      </c>
      <c r="B89" s="26" t="s">
        <v>466</v>
      </c>
      <c r="C89" s="26">
        <v>1</v>
      </c>
      <c r="D89" s="26">
        <v>0</v>
      </c>
      <c r="E89" s="26">
        <v>0</v>
      </c>
      <c r="F89" s="26">
        <v>0</v>
      </c>
      <c r="G89" s="26">
        <v>0</v>
      </c>
      <c r="H89" s="26">
        <v>0</v>
      </c>
      <c r="I89" s="26" t="s">
        <v>351</v>
      </c>
      <c r="J89" s="26">
        <v>1.98</v>
      </c>
      <c r="K89" s="26" t="s">
        <v>327</v>
      </c>
    </row>
    <row r="90" spans="1:11" ht="20.100000000000001" customHeight="1" x14ac:dyDescent="0.3">
      <c r="A90" s="26" t="s">
        <v>9</v>
      </c>
      <c r="B90" s="26" t="s">
        <v>467</v>
      </c>
      <c r="C90" s="26">
        <v>1</v>
      </c>
      <c r="D90" s="26">
        <v>100</v>
      </c>
      <c r="E90" s="26">
        <v>200</v>
      </c>
      <c r="F90" s="26">
        <v>2</v>
      </c>
      <c r="G90" s="26">
        <v>88</v>
      </c>
      <c r="H90" s="26">
        <v>25</v>
      </c>
      <c r="I90" s="26" t="s">
        <v>330</v>
      </c>
      <c r="J90" s="26">
        <v>7</v>
      </c>
      <c r="K90" s="26" t="s">
        <v>327</v>
      </c>
    </row>
    <row r="91" spans="1:11" ht="20.100000000000001" customHeight="1" x14ac:dyDescent="0.3">
      <c r="A91" s="26" t="s">
        <v>607</v>
      </c>
      <c r="B91" s="26" t="s">
        <v>468</v>
      </c>
      <c r="C91" s="26">
        <v>1</v>
      </c>
      <c r="D91" s="26">
        <v>140</v>
      </c>
      <c r="E91" s="26">
        <v>165</v>
      </c>
      <c r="F91" s="26">
        <v>1</v>
      </c>
      <c r="G91" s="26">
        <v>80</v>
      </c>
      <c r="H91" s="26">
        <v>25</v>
      </c>
      <c r="I91" s="26" t="s">
        <v>330</v>
      </c>
      <c r="J91" s="26">
        <v>7</v>
      </c>
      <c r="K91" s="26" t="s">
        <v>327</v>
      </c>
    </row>
    <row r="92" spans="1:11" ht="20.100000000000001" customHeight="1" x14ac:dyDescent="0.3">
      <c r="A92" s="26" t="s">
        <v>608</v>
      </c>
      <c r="B92" s="26" t="s">
        <v>469</v>
      </c>
      <c r="C92" s="26">
        <v>1</v>
      </c>
      <c r="D92" s="26">
        <v>100</v>
      </c>
      <c r="E92" s="26">
        <v>200</v>
      </c>
      <c r="F92" s="26">
        <v>1</v>
      </c>
      <c r="G92" s="26">
        <v>68</v>
      </c>
      <c r="H92" s="26">
        <v>25</v>
      </c>
      <c r="I92" s="26" t="s">
        <v>330</v>
      </c>
      <c r="J92" s="26">
        <v>7</v>
      </c>
      <c r="K92" s="26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2"/>
  <sheetViews>
    <sheetView workbookViewId="0">
      <selection activeCell="AO13" sqref="AO13"/>
    </sheetView>
  </sheetViews>
  <sheetFormatPr defaultColWidth="9" defaultRowHeight="20.100000000000001" customHeight="1" x14ac:dyDescent="0.3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 x14ac:dyDescent="0.3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 x14ac:dyDescent="0.3">
      <c r="A2" s="26" t="s">
        <v>470</v>
      </c>
      <c r="B2" s="26" t="s">
        <v>265</v>
      </c>
      <c r="C2" s="26" t="s">
        <v>352</v>
      </c>
      <c r="D2" s="26" t="s">
        <v>265</v>
      </c>
      <c r="E2" s="26" t="s">
        <v>471</v>
      </c>
      <c r="F2" s="26" t="s">
        <v>352</v>
      </c>
      <c r="G2" s="26" t="s">
        <v>265</v>
      </c>
      <c r="H2" s="26" t="s">
        <v>265</v>
      </c>
      <c r="I2" s="26" t="s">
        <v>265</v>
      </c>
      <c r="J2" s="26" t="s">
        <v>352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352</v>
      </c>
      <c r="AC2" s="26" t="s">
        <v>265</v>
      </c>
      <c r="AD2" s="26" t="s">
        <v>352</v>
      </c>
      <c r="AE2" s="26">
        <v>1</v>
      </c>
      <c r="AF2" s="26">
        <v>12</v>
      </c>
      <c r="AG2" s="26">
        <v>365</v>
      </c>
      <c r="AH2" s="26" t="s">
        <v>265</v>
      </c>
      <c r="AI2" s="26" t="s">
        <v>352</v>
      </c>
      <c r="AJ2" s="26" t="s">
        <v>265</v>
      </c>
      <c r="AK2" s="26" t="s">
        <v>265</v>
      </c>
      <c r="AL2" s="26" t="s">
        <v>265</v>
      </c>
      <c r="AM2" s="26">
        <v>7.47</v>
      </c>
      <c r="AN2" s="26">
        <v>217</v>
      </c>
      <c r="AO2" s="37">
        <v>2600</v>
      </c>
      <c r="AP2" s="26" t="s">
        <v>265</v>
      </c>
      <c r="AQ2" s="26" t="s">
        <v>352</v>
      </c>
      <c r="AR2" s="26">
        <v>150</v>
      </c>
      <c r="AS2" s="26">
        <v>200</v>
      </c>
      <c r="AT2" s="26">
        <v>5</v>
      </c>
      <c r="AU2" s="26">
        <v>255</v>
      </c>
      <c r="AV2" s="26">
        <v>32</v>
      </c>
      <c r="AW2" s="26" t="s">
        <v>352</v>
      </c>
      <c r="AX2" s="26" t="s">
        <v>265</v>
      </c>
      <c r="AY2" s="26" t="s">
        <v>352</v>
      </c>
      <c r="AZ2" s="26" t="s">
        <v>265</v>
      </c>
      <c r="BA2" s="26" t="s">
        <v>265</v>
      </c>
      <c r="BB2" s="26" t="s">
        <v>265</v>
      </c>
    </row>
    <row r="3" spans="1:54" ht="20.100000000000001" customHeight="1" x14ac:dyDescent="0.3">
      <c r="A3" s="26" t="s">
        <v>470</v>
      </c>
      <c r="B3" s="26" t="s">
        <v>265</v>
      </c>
      <c r="C3" s="26" t="s">
        <v>352</v>
      </c>
      <c r="D3" s="26" t="s">
        <v>265</v>
      </c>
      <c r="E3" s="26" t="s">
        <v>472</v>
      </c>
      <c r="F3" s="26" t="s">
        <v>352</v>
      </c>
      <c r="G3" s="26" t="s">
        <v>265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352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352</v>
      </c>
      <c r="AD3" s="26" t="s">
        <v>352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352</v>
      </c>
      <c r="AJ3" s="26" t="s">
        <v>265</v>
      </c>
      <c r="AK3" s="26" t="s">
        <v>265</v>
      </c>
      <c r="AL3" s="26" t="s">
        <v>265</v>
      </c>
      <c r="AM3" s="26">
        <v>0.67</v>
      </c>
      <c r="AN3" s="26">
        <v>19</v>
      </c>
      <c r="AO3" s="26">
        <v>233</v>
      </c>
      <c r="AP3" s="26" t="s">
        <v>352</v>
      </c>
      <c r="AQ3" s="26" t="s">
        <v>265</v>
      </c>
      <c r="AR3" s="26">
        <v>30</v>
      </c>
      <c r="AS3" s="26">
        <v>150</v>
      </c>
      <c r="AT3" s="26">
        <v>0.5</v>
      </c>
      <c r="AU3" s="26">
        <v>40</v>
      </c>
      <c r="AV3" s="26">
        <v>32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 x14ac:dyDescent="0.3">
      <c r="A4" s="26" t="s">
        <v>470</v>
      </c>
      <c r="B4" s="26" t="s">
        <v>265</v>
      </c>
      <c r="C4" s="26" t="s">
        <v>352</v>
      </c>
      <c r="D4" s="26" t="s">
        <v>265</v>
      </c>
      <c r="E4" s="26" t="s">
        <v>473</v>
      </c>
      <c r="F4" s="26" t="s">
        <v>352</v>
      </c>
      <c r="G4" s="26" t="s">
        <v>265</v>
      </c>
      <c r="H4" s="26" t="s">
        <v>352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352</v>
      </c>
      <c r="AD4" s="26" t="s">
        <v>352</v>
      </c>
      <c r="AE4" s="26">
        <v>1</v>
      </c>
      <c r="AF4" s="26">
        <v>12</v>
      </c>
      <c r="AG4" s="26">
        <v>365</v>
      </c>
      <c r="AH4" s="26" t="s">
        <v>265</v>
      </c>
      <c r="AI4" s="26" t="s">
        <v>352</v>
      </c>
      <c r="AJ4" s="26" t="s">
        <v>265</v>
      </c>
      <c r="AK4" s="26" t="s">
        <v>265</v>
      </c>
      <c r="AL4" s="26" t="s">
        <v>265</v>
      </c>
      <c r="AM4" s="26">
        <v>2.75</v>
      </c>
      <c r="AN4" s="26">
        <v>80</v>
      </c>
      <c r="AO4" s="26">
        <v>957</v>
      </c>
      <c r="AP4" s="26" t="s">
        <v>352</v>
      </c>
      <c r="AQ4" s="26" t="s">
        <v>265</v>
      </c>
      <c r="AR4" s="26">
        <v>15</v>
      </c>
      <c r="AS4" s="26">
        <v>32</v>
      </c>
      <c r="AT4" s="26">
        <v>0.7</v>
      </c>
      <c r="AU4" s="26">
        <v>30</v>
      </c>
      <c r="AV4" s="26">
        <v>20</v>
      </c>
      <c r="AW4" s="26" t="s">
        <v>352</v>
      </c>
      <c r="AX4" s="26" t="s">
        <v>265</v>
      </c>
      <c r="AY4" s="26" t="s">
        <v>352</v>
      </c>
      <c r="AZ4" s="26" t="s">
        <v>265</v>
      </c>
      <c r="BA4" s="26" t="s">
        <v>265</v>
      </c>
      <c r="BB4" s="26" t="s">
        <v>265</v>
      </c>
    </row>
    <row r="5" spans="1:54" ht="20.100000000000001" customHeight="1" x14ac:dyDescent="0.3">
      <c r="A5" s="26" t="s">
        <v>470</v>
      </c>
      <c r="B5" s="26" t="s">
        <v>265</v>
      </c>
      <c r="C5" s="26" t="s">
        <v>352</v>
      </c>
      <c r="D5" s="26" t="s">
        <v>265</v>
      </c>
      <c r="E5" s="26" t="s">
        <v>474</v>
      </c>
      <c r="F5" s="26" t="s">
        <v>352</v>
      </c>
      <c r="G5" s="26" t="s">
        <v>265</v>
      </c>
      <c r="H5" s="26" t="s">
        <v>352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352</v>
      </c>
      <c r="AD5" s="26" t="s">
        <v>352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352</v>
      </c>
      <c r="AJ5" s="26" t="s">
        <v>265</v>
      </c>
      <c r="AK5" s="26" t="s">
        <v>265</v>
      </c>
      <c r="AL5" s="26" t="s">
        <v>265</v>
      </c>
      <c r="AM5" s="26">
        <v>3.06</v>
      </c>
      <c r="AN5" s="26">
        <v>89</v>
      </c>
      <c r="AO5" s="37">
        <v>1065</v>
      </c>
      <c r="AP5" s="26" t="s">
        <v>352</v>
      </c>
      <c r="AQ5" s="26" t="s">
        <v>265</v>
      </c>
      <c r="AR5" s="26">
        <v>90</v>
      </c>
      <c r="AS5" s="26">
        <v>85</v>
      </c>
      <c r="AT5" s="26">
        <v>1</v>
      </c>
      <c r="AU5" s="26">
        <v>45</v>
      </c>
      <c r="AV5" s="26">
        <v>50</v>
      </c>
      <c r="AW5" s="26" t="s">
        <v>352</v>
      </c>
      <c r="AX5" s="26" t="s">
        <v>265</v>
      </c>
      <c r="AY5" s="26" t="s">
        <v>352</v>
      </c>
      <c r="AZ5" s="26" t="s">
        <v>265</v>
      </c>
      <c r="BA5" s="26" t="s">
        <v>265</v>
      </c>
      <c r="BB5" s="26" t="s">
        <v>265</v>
      </c>
    </row>
    <row r="6" spans="1:54" ht="20.100000000000001" customHeight="1" x14ac:dyDescent="0.3">
      <c r="A6" s="26" t="s">
        <v>470</v>
      </c>
      <c r="B6" s="26" t="s">
        <v>265</v>
      </c>
      <c r="C6" s="26" t="s">
        <v>352</v>
      </c>
      <c r="D6" s="26" t="s">
        <v>265</v>
      </c>
      <c r="E6" s="26" t="s">
        <v>475</v>
      </c>
      <c r="F6" s="26" t="s">
        <v>352</v>
      </c>
      <c r="G6" s="26" t="s">
        <v>265</v>
      </c>
      <c r="H6" s="26" t="s">
        <v>352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352</v>
      </c>
      <c r="AD6" s="26" t="s">
        <v>352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352</v>
      </c>
      <c r="AJ6" s="26" t="s">
        <v>265</v>
      </c>
      <c r="AK6" s="26" t="s">
        <v>265</v>
      </c>
      <c r="AL6" s="26" t="s">
        <v>265</v>
      </c>
      <c r="AM6" s="26">
        <v>3.06</v>
      </c>
      <c r="AN6" s="26">
        <v>89</v>
      </c>
      <c r="AO6" s="37">
        <v>1065</v>
      </c>
      <c r="AP6" s="26" t="s">
        <v>265</v>
      </c>
      <c r="AQ6" s="26" t="s">
        <v>352</v>
      </c>
      <c r="AR6" s="26">
        <v>132</v>
      </c>
      <c r="AS6" s="26">
        <v>200</v>
      </c>
      <c r="AT6" s="26">
        <v>1</v>
      </c>
      <c r="AU6" s="26">
        <v>45</v>
      </c>
      <c r="AV6" s="26">
        <v>25</v>
      </c>
      <c r="AW6" s="26" t="s">
        <v>352</v>
      </c>
      <c r="AX6" s="26" t="s">
        <v>265</v>
      </c>
      <c r="AY6" s="26" t="s">
        <v>352</v>
      </c>
      <c r="AZ6" s="26" t="s">
        <v>265</v>
      </c>
      <c r="BA6" s="26" t="s">
        <v>265</v>
      </c>
      <c r="BB6" s="26" t="s">
        <v>265</v>
      </c>
    </row>
    <row r="7" spans="1:54" ht="20.100000000000001" customHeight="1" x14ac:dyDescent="0.3">
      <c r="A7" s="26" t="s">
        <v>470</v>
      </c>
      <c r="B7" s="26" t="s">
        <v>265</v>
      </c>
      <c r="C7" s="26" t="s">
        <v>352</v>
      </c>
      <c r="D7" s="26" t="s">
        <v>265</v>
      </c>
      <c r="E7" s="26" t="s">
        <v>476</v>
      </c>
      <c r="F7" s="26" t="s">
        <v>352</v>
      </c>
      <c r="G7" s="26" t="s">
        <v>265</v>
      </c>
      <c r="H7" s="26" t="s">
        <v>352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352</v>
      </c>
      <c r="AD7" s="26" t="s">
        <v>352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352</v>
      </c>
      <c r="AJ7" s="26" t="s">
        <v>265</v>
      </c>
      <c r="AK7" s="26" t="s">
        <v>265</v>
      </c>
      <c r="AL7" s="26" t="s">
        <v>265</v>
      </c>
      <c r="AM7" s="26">
        <v>3.92</v>
      </c>
      <c r="AN7" s="26">
        <v>114</v>
      </c>
      <c r="AO7" s="37">
        <v>1364</v>
      </c>
      <c r="AP7" s="26" t="s">
        <v>265</v>
      </c>
      <c r="AQ7" s="26" t="s">
        <v>352</v>
      </c>
      <c r="AR7" s="26">
        <v>300</v>
      </c>
      <c r="AS7" s="26">
        <v>200</v>
      </c>
      <c r="AT7" s="26">
        <v>3</v>
      </c>
      <c r="AU7" s="26">
        <v>86</v>
      </c>
      <c r="AV7" s="26">
        <v>32</v>
      </c>
      <c r="AW7" s="26" t="s">
        <v>352</v>
      </c>
      <c r="AX7" s="26" t="s">
        <v>265</v>
      </c>
      <c r="AY7" s="26" t="s">
        <v>352</v>
      </c>
      <c r="AZ7" s="26" t="s">
        <v>265</v>
      </c>
      <c r="BA7" s="26" t="s">
        <v>265</v>
      </c>
      <c r="BB7" s="26" t="s">
        <v>265</v>
      </c>
    </row>
    <row r="8" spans="1:54" ht="20.100000000000001" customHeight="1" x14ac:dyDescent="0.3">
      <c r="A8" s="26" t="s">
        <v>470</v>
      </c>
      <c r="B8" s="26" t="s">
        <v>352</v>
      </c>
      <c r="C8" s="26" t="s">
        <v>265</v>
      </c>
      <c r="D8" s="26" t="s">
        <v>265</v>
      </c>
      <c r="E8" s="26" t="s">
        <v>477</v>
      </c>
      <c r="F8" s="26" t="s">
        <v>352</v>
      </c>
      <c r="G8" s="26" t="s">
        <v>265</v>
      </c>
      <c r="H8" s="26" t="s">
        <v>352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352</v>
      </c>
      <c r="AD8" s="26" t="s">
        <v>352</v>
      </c>
      <c r="AE8" s="26">
        <v>1</v>
      </c>
      <c r="AF8" s="26">
        <v>12</v>
      </c>
      <c r="AG8" s="26">
        <v>365</v>
      </c>
      <c r="AH8" s="26" t="s">
        <v>265</v>
      </c>
      <c r="AI8" s="26" t="s">
        <v>352</v>
      </c>
      <c r="AJ8" s="26" t="s">
        <v>265</v>
      </c>
      <c r="AK8" s="26" t="s">
        <v>265</v>
      </c>
      <c r="AL8" s="26" t="s">
        <v>265</v>
      </c>
      <c r="AM8" s="26">
        <v>4.83</v>
      </c>
      <c r="AN8" s="26">
        <v>140</v>
      </c>
      <c r="AO8" s="37">
        <v>1681</v>
      </c>
      <c r="AP8" s="26" t="s">
        <v>265</v>
      </c>
      <c r="AQ8" s="26" t="s">
        <v>352</v>
      </c>
      <c r="AR8" s="26">
        <v>100</v>
      </c>
      <c r="AS8" s="26">
        <v>200</v>
      </c>
      <c r="AT8" s="26">
        <v>5</v>
      </c>
      <c r="AU8" s="26">
        <v>129</v>
      </c>
      <c r="AV8" s="26">
        <v>40</v>
      </c>
      <c r="AW8" s="26" t="s">
        <v>352</v>
      </c>
      <c r="AX8" s="26" t="s">
        <v>352</v>
      </c>
      <c r="AY8" s="26" t="s">
        <v>352</v>
      </c>
      <c r="AZ8" s="26" t="s">
        <v>352</v>
      </c>
      <c r="BA8" s="26" t="s">
        <v>352</v>
      </c>
      <c r="BB8" s="26" t="s">
        <v>265</v>
      </c>
    </row>
    <row r="9" spans="1:54" ht="20.100000000000001" customHeight="1" x14ac:dyDescent="0.3">
      <c r="A9" s="26" t="s">
        <v>470</v>
      </c>
      <c r="B9" s="26" t="s">
        <v>265</v>
      </c>
      <c r="C9" s="26" t="s">
        <v>352</v>
      </c>
      <c r="D9" s="26" t="s">
        <v>265</v>
      </c>
      <c r="E9" s="26" t="s">
        <v>478</v>
      </c>
      <c r="F9" s="26" t="s">
        <v>352</v>
      </c>
      <c r="G9" s="26" t="s">
        <v>265</v>
      </c>
      <c r="H9" s="26" t="s">
        <v>352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352</v>
      </c>
      <c r="AD9" s="26" t="s">
        <v>352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352</v>
      </c>
      <c r="AJ9" s="26" t="s">
        <v>265</v>
      </c>
      <c r="AK9" s="26" t="s">
        <v>265</v>
      </c>
      <c r="AL9" s="26" t="s">
        <v>265</v>
      </c>
      <c r="AM9" s="26">
        <v>3.78</v>
      </c>
      <c r="AN9" s="26">
        <v>110</v>
      </c>
      <c r="AO9" s="37">
        <v>1315</v>
      </c>
      <c r="AP9" s="26" t="s">
        <v>265</v>
      </c>
      <c r="AQ9" s="26" t="s">
        <v>352</v>
      </c>
      <c r="AR9" s="26">
        <v>73</v>
      </c>
      <c r="AS9" s="26">
        <v>150</v>
      </c>
      <c r="AT9" s="26">
        <v>1</v>
      </c>
      <c r="AU9" s="26">
        <v>79</v>
      </c>
      <c r="AV9" s="26">
        <v>32</v>
      </c>
      <c r="AW9" s="26" t="s">
        <v>352</v>
      </c>
      <c r="AX9" s="26" t="s">
        <v>265</v>
      </c>
      <c r="AY9" s="26" t="s">
        <v>352</v>
      </c>
      <c r="AZ9" s="26" t="s">
        <v>265</v>
      </c>
      <c r="BA9" s="26" t="s">
        <v>265</v>
      </c>
      <c r="BB9" s="26" t="s">
        <v>265</v>
      </c>
    </row>
    <row r="10" spans="1:54" ht="20.100000000000001" customHeight="1" x14ac:dyDescent="0.3">
      <c r="A10" s="26" t="s">
        <v>470</v>
      </c>
      <c r="B10" s="26" t="s">
        <v>265</v>
      </c>
      <c r="C10" s="26" t="s">
        <v>352</v>
      </c>
      <c r="D10" s="26" t="s">
        <v>265</v>
      </c>
      <c r="E10" s="26" t="s">
        <v>479</v>
      </c>
      <c r="F10" s="26" t="s">
        <v>352</v>
      </c>
      <c r="G10" s="26" t="s">
        <v>265</v>
      </c>
      <c r="H10" s="26" t="s">
        <v>352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352</v>
      </c>
      <c r="AD10" s="26" t="s">
        <v>352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352</v>
      </c>
      <c r="AJ10" s="26" t="s">
        <v>265</v>
      </c>
      <c r="AK10" s="26" t="s">
        <v>265</v>
      </c>
      <c r="AL10" s="26" t="s">
        <v>265</v>
      </c>
      <c r="AM10" s="26">
        <v>4.22</v>
      </c>
      <c r="AN10" s="26">
        <v>122</v>
      </c>
      <c r="AO10" s="37">
        <v>1469</v>
      </c>
      <c r="AP10" s="26" t="s">
        <v>265</v>
      </c>
      <c r="AQ10" s="26" t="s">
        <v>352</v>
      </c>
      <c r="AR10" s="26">
        <v>100</v>
      </c>
      <c r="AS10" s="26">
        <v>200</v>
      </c>
      <c r="AT10" s="26">
        <v>2</v>
      </c>
      <c r="AU10" s="26">
        <v>100</v>
      </c>
      <c r="AV10" s="26">
        <v>32</v>
      </c>
      <c r="AW10" s="26" t="s">
        <v>352</v>
      </c>
      <c r="AX10" s="26" t="s">
        <v>265</v>
      </c>
      <c r="AY10" s="26" t="s">
        <v>352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 x14ac:dyDescent="0.3">
      <c r="A11" s="26" t="s">
        <v>470</v>
      </c>
      <c r="B11" s="26" t="s">
        <v>265</v>
      </c>
      <c r="C11" s="26" t="s">
        <v>352</v>
      </c>
      <c r="D11" s="26" t="s">
        <v>265</v>
      </c>
      <c r="E11" s="26" t="s">
        <v>480</v>
      </c>
      <c r="F11" s="26" t="s">
        <v>352</v>
      </c>
      <c r="G11" s="26" t="s">
        <v>265</v>
      </c>
      <c r="H11" s="26" t="s">
        <v>352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352</v>
      </c>
      <c r="AD11" s="26" t="s">
        <v>352</v>
      </c>
      <c r="AE11" s="26">
        <v>1</v>
      </c>
      <c r="AF11" s="26">
        <v>12</v>
      </c>
      <c r="AG11" s="26">
        <v>365</v>
      </c>
      <c r="AH11" s="26" t="s">
        <v>265</v>
      </c>
      <c r="AI11" s="26" t="s">
        <v>352</v>
      </c>
      <c r="AJ11" s="26" t="s">
        <v>265</v>
      </c>
      <c r="AK11" s="26" t="s">
        <v>265</v>
      </c>
      <c r="AL11" s="26" t="s">
        <v>265</v>
      </c>
      <c r="AM11" s="26">
        <v>3.63</v>
      </c>
      <c r="AN11" s="26">
        <v>105</v>
      </c>
      <c r="AO11" s="37">
        <v>1263</v>
      </c>
      <c r="AP11" s="26" t="s">
        <v>265</v>
      </c>
      <c r="AQ11" s="26" t="s">
        <v>352</v>
      </c>
      <c r="AR11" s="26">
        <v>38</v>
      </c>
      <c r="AS11" s="26">
        <v>200</v>
      </c>
      <c r="AT11" s="26">
        <v>1</v>
      </c>
      <c r="AU11" s="26">
        <v>72</v>
      </c>
      <c r="AV11" s="26">
        <v>40</v>
      </c>
      <c r="AW11" s="26" t="s">
        <v>352</v>
      </c>
      <c r="AX11" s="26" t="s">
        <v>265</v>
      </c>
      <c r="AY11" s="26" t="s">
        <v>352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 x14ac:dyDescent="0.3">
      <c r="A12" s="26" t="s">
        <v>470</v>
      </c>
      <c r="B12" s="26" t="s">
        <v>265</v>
      </c>
      <c r="C12" s="26" t="s">
        <v>352</v>
      </c>
      <c r="D12" s="26" t="s">
        <v>265</v>
      </c>
      <c r="E12" s="26" t="s">
        <v>481</v>
      </c>
      <c r="F12" s="26" t="s">
        <v>352</v>
      </c>
      <c r="G12" s="26" t="s">
        <v>265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352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352</v>
      </c>
      <c r="AD12" s="26" t="s">
        <v>352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352</v>
      </c>
      <c r="AJ12" s="26" t="s">
        <v>265</v>
      </c>
      <c r="AK12" s="26" t="s">
        <v>265</v>
      </c>
      <c r="AL12" s="26" t="s">
        <v>265</v>
      </c>
      <c r="AM12" s="26">
        <v>3.48</v>
      </c>
      <c r="AN12" s="26">
        <v>101</v>
      </c>
      <c r="AO12" s="37">
        <v>1211</v>
      </c>
      <c r="AP12" s="26" t="s">
        <v>265</v>
      </c>
      <c r="AQ12" s="26" t="s">
        <v>352</v>
      </c>
      <c r="AR12" s="26">
        <v>100</v>
      </c>
      <c r="AS12" s="26">
        <v>150</v>
      </c>
      <c r="AT12" s="26">
        <v>1</v>
      </c>
      <c r="AU12" s="26">
        <v>65</v>
      </c>
      <c r="AV12" s="26">
        <v>25</v>
      </c>
      <c r="AW12" s="26" t="s">
        <v>352</v>
      </c>
      <c r="AX12" s="26" t="s">
        <v>265</v>
      </c>
      <c r="AY12" s="26" t="s">
        <v>352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 x14ac:dyDescent="0.3">
      <c r="A13" s="26" t="s">
        <v>470</v>
      </c>
      <c r="B13" s="26" t="s">
        <v>352</v>
      </c>
      <c r="C13" s="26" t="s">
        <v>265</v>
      </c>
      <c r="D13" s="26" t="s">
        <v>265</v>
      </c>
      <c r="E13" s="26" t="s">
        <v>482</v>
      </c>
      <c r="F13" s="26" t="s">
        <v>352</v>
      </c>
      <c r="G13" s="26" t="s">
        <v>265</v>
      </c>
      <c r="H13" s="26" t="s">
        <v>352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352</v>
      </c>
      <c r="AD13" s="26" t="s">
        <v>352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352</v>
      </c>
      <c r="AJ13" s="26" t="s">
        <v>265</v>
      </c>
      <c r="AK13" s="26" t="s">
        <v>265</v>
      </c>
      <c r="AL13" s="26" t="s">
        <v>265</v>
      </c>
      <c r="AM13" s="26">
        <v>3.06</v>
      </c>
      <c r="AN13" s="26">
        <v>89</v>
      </c>
      <c r="AO13" s="37">
        <v>1065</v>
      </c>
      <c r="AP13" s="26" t="s">
        <v>265</v>
      </c>
      <c r="AQ13" s="26" t="s">
        <v>352</v>
      </c>
      <c r="AR13" s="26">
        <v>100</v>
      </c>
      <c r="AS13" s="26">
        <v>200</v>
      </c>
      <c r="AT13" s="26">
        <v>2</v>
      </c>
      <c r="AU13" s="26">
        <v>45</v>
      </c>
      <c r="AV13" s="26">
        <v>32</v>
      </c>
      <c r="AW13" s="26" t="s">
        <v>352</v>
      </c>
      <c r="AX13" s="26" t="s">
        <v>352</v>
      </c>
      <c r="AY13" s="26" t="s">
        <v>352</v>
      </c>
      <c r="AZ13" s="26" t="s">
        <v>352</v>
      </c>
      <c r="BA13" s="26" t="s">
        <v>352</v>
      </c>
      <c r="BB13" s="26" t="s">
        <v>265</v>
      </c>
    </row>
    <row r="14" spans="1:54" ht="20.100000000000001" customHeight="1" x14ac:dyDescent="0.3">
      <c r="A14" s="26" t="s">
        <v>470</v>
      </c>
      <c r="B14" s="26" t="s">
        <v>265</v>
      </c>
      <c r="C14" s="26" t="s">
        <v>352</v>
      </c>
      <c r="D14" s="26" t="s">
        <v>265</v>
      </c>
      <c r="E14" s="26" t="s">
        <v>483</v>
      </c>
      <c r="F14" s="26" t="s">
        <v>352</v>
      </c>
      <c r="G14" s="26" t="s">
        <v>265</v>
      </c>
      <c r="H14" s="26" t="s">
        <v>352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352</v>
      </c>
      <c r="AD14" s="26" t="s">
        <v>352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352</v>
      </c>
      <c r="AJ14" s="26" t="s">
        <v>265</v>
      </c>
      <c r="AK14" s="26" t="s">
        <v>265</v>
      </c>
      <c r="AL14" s="26" t="s">
        <v>265</v>
      </c>
      <c r="AM14" s="26">
        <v>2.75</v>
      </c>
      <c r="AN14" s="26">
        <v>80</v>
      </c>
      <c r="AO14" s="26">
        <v>957</v>
      </c>
      <c r="AP14" s="26" t="s">
        <v>352</v>
      </c>
      <c r="AQ14" s="26" t="s">
        <v>265</v>
      </c>
      <c r="AR14" s="26">
        <v>24</v>
      </c>
      <c r="AS14" s="26">
        <v>32</v>
      </c>
      <c r="AT14" s="26">
        <v>0.6</v>
      </c>
      <c r="AU14" s="26">
        <v>30</v>
      </c>
      <c r="AV14" s="26">
        <v>20</v>
      </c>
      <c r="AW14" s="26" t="s">
        <v>352</v>
      </c>
      <c r="AX14" s="26" t="s">
        <v>265</v>
      </c>
      <c r="AY14" s="26" t="s">
        <v>352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 x14ac:dyDescent="0.3">
      <c r="A15" s="26" t="s">
        <v>470</v>
      </c>
      <c r="B15" s="26" t="s">
        <v>265</v>
      </c>
      <c r="C15" s="26" t="s">
        <v>352</v>
      </c>
      <c r="D15" s="26" t="s">
        <v>265</v>
      </c>
      <c r="E15" s="26" t="s">
        <v>484</v>
      </c>
      <c r="F15" s="26" t="s">
        <v>352</v>
      </c>
      <c r="G15" s="26" t="s">
        <v>265</v>
      </c>
      <c r="H15" s="26" t="s">
        <v>352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352</v>
      </c>
      <c r="AD15" s="26" t="s">
        <v>352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352</v>
      </c>
      <c r="AJ15" s="26" t="s">
        <v>265</v>
      </c>
      <c r="AK15" s="26" t="s">
        <v>265</v>
      </c>
      <c r="AL15" s="26" t="s">
        <v>265</v>
      </c>
      <c r="AM15" s="26">
        <v>4.22</v>
      </c>
      <c r="AN15" s="26">
        <v>122</v>
      </c>
      <c r="AO15" s="37">
        <v>1469</v>
      </c>
      <c r="AP15" s="26" t="s">
        <v>265</v>
      </c>
      <c r="AQ15" s="26" t="s">
        <v>352</v>
      </c>
      <c r="AR15" s="26">
        <v>100</v>
      </c>
      <c r="AS15" s="26">
        <v>200</v>
      </c>
      <c r="AT15" s="26">
        <v>2</v>
      </c>
      <c r="AU15" s="26">
        <v>100</v>
      </c>
      <c r="AV15" s="26">
        <v>32</v>
      </c>
      <c r="AW15" s="26" t="s">
        <v>352</v>
      </c>
      <c r="AX15" s="26" t="s">
        <v>265</v>
      </c>
      <c r="AY15" s="26" t="s">
        <v>352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 x14ac:dyDescent="0.3">
      <c r="A16" s="26" t="s">
        <v>470</v>
      </c>
      <c r="B16" s="26" t="s">
        <v>265</v>
      </c>
      <c r="C16" s="26" t="s">
        <v>352</v>
      </c>
      <c r="D16" s="26" t="s">
        <v>265</v>
      </c>
      <c r="E16" s="26" t="s">
        <v>485</v>
      </c>
      <c r="F16" s="26" t="s">
        <v>352</v>
      </c>
      <c r="G16" s="26" t="s">
        <v>265</v>
      </c>
      <c r="H16" s="26" t="s">
        <v>265</v>
      </c>
      <c r="I16" s="26" t="s">
        <v>265</v>
      </c>
      <c r="J16" s="26" t="s">
        <v>352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352</v>
      </c>
      <c r="AC16" s="26" t="s">
        <v>265</v>
      </c>
      <c r="AD16" s="26" t="s">
        <v>352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352</v>
      </c>
      <c r="AJ16" s="26" t="s">
        <v>265</v>
      </c>
      <c r="AK16" s="26" t="s">
        <v>265</v>
      </c>
      <c r="AL16" s="26" t="s">
        <v>265</v>
      </c>
      <c r="AM16" s="26">
        <v>6.32</v>
      </c>
      <c r="AN16" s="26">
        <v>183</v>
      </c>
      <c r="AO16" s="37">
        <v>2199</v>
      </c>
      <c r="AP16" s="26" t="s">
        <v>265</v>
      </c>
      <c r="AQ16" s="26" t="s">
        <v>352</v>
      </c>
      <c r="AR16" s="26">
        <v>120</v>
      </c>
      <c r="AS16" s="26">
        <v>200</v>
      </c>
      <c r="AT16" s="26">
        <v>7.5</v>
      </c>
      <c r="AU16" s="26">
        <v>200</v>
      </c>
      <c r="AV16" s="26">
        <v>50</v>
      </c>
      <c r="AW16" s="26" t="s">
        <v>352</v>
      </c>
      <c r="AX16" s="26" t="s">
        <v>265</v>
      </c>
      <c r="AY16" s="26" t="s">
        <v>352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 x14ac:dyDescent="0.3">
      <c r="A17" s="26" t="s">
        <v>470</v>
      </c>
      <c r="B17" s="26" t="s">
        <v>265</v>
      </c>
      <c r="C17" s="26" t="s">
        <v>352</v>
      </c>
      <c r="D17" s="26" t="s">
        <v>265</v>
      </c>
      <c r="E17" s="26" t="s">
        <v>486</v>
      </c>
      <c r="F17" s="26" t="s">
        <v>352</v>
      </c>
      <c r="G17" s="26" t="s">
        <v>265</v>
      </c>
      <c r="H17" s="26" t="s">
        <v>352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352</v>
      </c>
      <c r="AD17" s="26" t="s">
        <v>352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352</v>
      </c>
      <c r="AJ17" s="26" t="s">
        <v>265</v>
      </c>
      <c r="AK17" s="26" t="s">
        <v>265</v>
      </c>
      <c r="AL17" s="26" t="s">
        <v>265</v>
      </c>
      <c r="AM17" s="26">
        <v>3.06</v>
      </c>
      <c r="AN17" s="26">
        <v>89</v>
      </c>
      <c r="AO17" s="37">
        <v>1065</v>
      </c>
      <c r="AP17" s="26" t="s">
        <v>265</v>
      </c>
      <c r="AQ17" s="26" t="s">
        <v>352</v>
      </c>
      <c r="AR17" s="26">
        <v>90</v>
      </c>
      <c r="AS17" s="26">
        <v>150</v>
      </c>
      <c r="AT17" s="26">
        <v>1</v>
      </c>
      <c r="AU17" s="26">
        <v>45</v>
      </c>
      <c r="AV17" s="26">
        <v>32</v>
      </c>
      <c r="AW17" s="26" t="s">
        <v>352</v>
      </c>
      <c r="AX17" s="26" t="s">
        <v>265</v>
      </c>
      <c r="AY17" s="26" t="s">
        <v>352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 x14ac:dyDescent="0.3">
      <c r="A18" s="26" t="s">
        <v>470</v>
      </c>
      <c r="B18" s="26" t="s">
        <v>265</v>
      </c>
      <c r="C18" s="26" t="s">
        <v>352</v>
      </c>
      <c r="D18" s="26" t="s">
        <v>265</v>
      </c>
      <c r="E18" s="26" t="s">
        <v>487</v>
      </c>
      <c r="F18" s="26" t="s">
        <v>352</v>
      </c>
      <c r="G18" s="26" t="s">
        <v>265</v>
      </c>
      <c r="H18" s="26" t="s">
        <v>352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352</v>
      </c>
      <c r="AD18" s="26" t="s">
        <v>352</v>
      </c>
      <c r="AE18" s="26">
        <v>1</v>
      </c>
      <c r="AF18" s="26">
        <v>12</v>
      </c>
      <c r="AG18" s="26">
        <v>365</v>
      </c>
      <c r="AH18" s="26" t="s">
        <v>265</v>
      </c>
      <c r="AI18" s="26" t="s">
        <v>352</v>
      </c>
      <c r="AJ18" s="26" t="s">
        <v>265</v>
      </c>
      <c r="AK18" s="26" t="s">
        <v>265</v>
      </c>
      <c r="AL18" s="26" t="s">
        <v>265</v>
      </c>
      <c r="AM18" s="26">
        <v>4.22</v>
      </c>
      <c r="AN18" s="26">
        <v>122</v>
      </c>
      <c r="AO18" s="37">
        <v>1469</v>
      </c>
      <c r="AP18" s="26" t="s">
        <v>265</v>
      </c>
      <c r="AQ18" s="26" t="s">
        <v>352</v>
      </c>
      <c r="AR18" s="26">
        <v>135</v>
      </c>
      <c r="AS18" s="26">
        <v>200</v>
      </c>
      <c r="AT18" s="26">
        <v>2</v>
      </c>
      <c r="AU18" s="26">
        <v>100</v>
      </c>
      <c r="AV18" s="26">
        <v>32</v>
      </c>
      <c r="AW18" s="26" t="s">
        <v>352</v>
      </c>
      <c r="AX18" s="26" t="s">
        <v>265</v>
      </c>
      <c r="AY18" s="26" t="s">
        <v>352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 x14ac:dyDescent="0.3">
      <c r="A19" s="26" t="s">
        <v>470</v>
      </c>
      <c r="B19" s="26" t="s">
        <v>265</v>
      </c>
      <c r="C19" s="26" t="s">
        <v>352</v>
      </c>
      <c r="D19" s="26" t="s">
        <v>265</v>
      </c>
      <c r="E19" s="26" t="s">
        <v>488</v>
      </c>
      <c r="F19" s="26" t="s">
        <v>352</v>
      </c>
      <c r="G19" s="26" t="s">
        <v>265</v>
      </c>
      <c r="H19" s="26" t="s">
        <v>265</v>
      </c>
      <c r="I19" s="26" t="s">
        <v>265</v>
      </c>
      <c r="J19" s="26" t="s">
        <v>352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352</v>
      </c>
      <c r="AC19" s="26" t="s">
        <v>265</v>
      </c>
      <c r="AD19" s="26" t="s">
        <v>352</v>
      </c>
      <c r="AE19" s="26">
        <v>1</v>
      </c>
      <c r="AF19" s="26">
        <v>12</v>
      </c>
      <c r="AG19" s="26">
        <v>365</v>
      </c>
      <c r="AH19" s="26" t="s">
        <v>265</v>
      </c>
      <c r="AI19" s="26" t="s">
        <v>352</v>
      </c>
      <c r="AJ19" s="26" t="s">
        <v>265</v>
      </c>
      <c r="AK19" s="26" t="s">
        <v>265</v>
      </c>
      <c r="AL19" s="26" t="s">
        <v>265</v>
      </c>
      <c r="AM19" s="26">
        <v>4.37</v>
      </c>
      <c r="AN19" s="26">
        <v>127</v>
      </c>
      <c r="AO19" s="37">
        <v>1521</v>
      </c>
      <c r="AP19" s="26" t="s">
        <v>265</v>
      </c>
      <c r="AQ19" s="26" t="s">
        <v>352</v>
      </c>
      <c r="AR19" s="26">
        <v>200</v>
      </c>
      <c r="AS19" s="26">
        <v>250</v>
      </c>
      <c r="AT19" s="26">
        <v>5</v>
      </c>
      <c r="AU19" s="26">
        <v>107</v>
      </c>
      <c r="AV19" s="26">
        <v>32</v>
      </c>
      <c r="AW19" s="26" t="s">
        <v>352</v>
      </c>
      <c r="AX19" s="26" t="s">
        <v>265</v>
      </c>
      <c r="AY19" s="26" t="s">
        <v>352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 x14ac:dyDescent="0.3">
      <c r="A20" s="26" t="s">
        <v>470</v>
      </c>
      <c r="B20" s="26" t="s">
        <v>265</v>
      </c>
      <c r="C20" s="26" t="s">
        <v>352</v>
      </c>
      <c r="D20" s="26" t="s">
        <v>265</v>
      </c>
      <c r="E20" s="26" t="s">
        <v>489</v>
      </c>
      <c r="F20" s="26" t="s">
        <v>352</v>
      </c>
      <c r="G20" s="26" t="s">
        <v>265</v>
      </c>
      <c r="H20" s="26" t="s">
        <v>352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352</v>
      </c>
      <c r="AD20" s="26" t="s">
        <v>352</v>
      </c>
      <c r="AE20" s="26">
        <v>1</v>
      </c>
      <c r="AF20" s="26">
        <v>12</v>
      </c>
      <c r="AG20" s="26">
        <v>365</v>
      </c>
      <c r="AH20" s="26" t="s">
        <v>265</v>
      </c>
      <c r="AI20" s="26" t="s">
        <v>352</v>
      </c>
      <c r="AJ20" s="26" t="s">
        <v>265</v>
      </c>
      <c r="AK20" s="26" t="s">
        <v>265</v>
      </c>
      <c r="AL20" s="26" t="s">
        <v>265</v>
      </c>
      <c r="AM20" s="26">
        <v>4.01</v>
      </c>
      <c r="AN20" s="26">
        <v>116</v>
      </c>
      <c r="AO20" s="37">
        <v>1395</v>
      </c>
      <c r="AP20" s="26" t="s">
        <v>352</v>
      </c>
      <c r="AQ20" s="26" t="s">
        <v>265</v>
      </c>
      <c r="AR20" s="26">
        <v>10</v>
      </c>
      <c r="AS20" s="26">
        <v>40</v>
      </c>
      <c r="AT20" s="26">
        <v>2</v>
      </c>
      <c r="AU20" s="26">
        <v>90</v>
      </c>
      <c r="AV20" s="26">
        <v>40</v>
      </c>
      <c r="AW20" s="26" t="s">
        <v>352</v>
      </c>
      <c r="AX20" s="26" t="s">
        <v>265</v>
      </c>
      <c r="AY20" s="26" t="s">
        <v>352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 x14ac:dyDescent="0.3">
      <c r="A21" s="26" t="s">
        <v>470</v>
      </c>
      <c r="B21" s="26" t="s">
        <v>265</v>
      </c>
      <c r="C21" s="26" t="s">
        <v>352</v>
      </c>
      <c r="D21" s="26" t="s">
        <v>265</v>
      </c>
      <c r="E21" s="26" t="s">
        <v>490</v>
      </c>
      <c r="F21" s="26" t="s">
        <v>352</v>
      </c>
      <c r="G21" s="26" t="s">
        <v>265</v>
      </c>
      <c r="H21" s="26" t="s">
        <v>352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352</v>
      </c>
      <c r="AD21" s="26" t="s">
        <v>352</v>
      </c>
      <c r="AE21" s="26">
        <v>1</v>
      </c>
      <c r="AF21" s="26">
        <v>12</v>
      </c>
      <c r="AG21" s="26">
        <v>365</v>
      </c>
      <c r="AH21" s="26" t="s">
        <v>265</v>
      </c>
      <c r="AI21" s="26" t="s">
        <v>352</v>
      </c>
      <c r="AJ21" s="26" t="s">
        <v>265</v>
      </c>
      <c r="AK21" s="26" t="s">
        <v>265</v>
      </c>
      <c r="AL21" s="26" t="s">
        <v>265</v>
      </c>
      <c r="AM21" s="26">
        <v>4.1100000000000003</v>
      </c>
      <c r="AN21" s="26">
        <v>119</v>
      </c>
      <c r="AO21" s="37">
        <v>1430</v>
      </c>
      <c r="AP21" s="26" t="s">
        <v>265</v>
      </c>
      <c r="AQ21" s="26" t="s">
        <v>352</v>
      </c>
      <c r="AR21" s="26">
        <v>150</v>
      </c>
      <c r="AS21" s="26">
        <v>200</v>
      </c>
      <c r="AT21" s="26">
        <v>1.5</v>
      </c>
      <c r="AU21" s="26">
        <v>95</v>
      </c>
      <c r="AV21" s="26">
        <v>40</v>
      </c>
      <c r="AW21" s="26" t="s">
        <v>352</v>
      </c>
      <c r="AX21" s="26" t="s">
        <v>265</v>
      </c>
      <c r="AY21" s="26" t="s">
        <v>352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 x14ac:dyDescent="0.3">
      <c r="A22" s="26" t="s">
        <v>470</v>
      </c>
      <c r="B22" s="26" t="s">
        <v>265</v>
      </c>
      <c r="C22" s="26" t="s">
        <v>352</v>
      </c>
      <c r="D22" s="26" t="s">
        <v>265</v>
      </c>
      <c r="E22" s="26" t="s">
        <v>491</v>
      </c>
      <c r="F22" s="26" t="s">
        <v>352</v>
      </c>
      <c r="G22" s="26" t="s">
        <v>265</v>
      </c>
      <c r="H22" s="26" t="s">
        <v>352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352</v>
      </c>
      <c r="AD22" s="26" t="s">
        <v>352</v>
      </c>
      <c r="AE22" s="26">
        <v>1</v>
      </c>
      <c r="AF22" s="26">
        <v>12</v>
      </c>
      <c r="AG22" s="26">
        <v>365</v>
      </c>
      <c r="AH22" s="26" t="s">
        <v>265</v>
      </c>
      <c r="AI22" s="26" t="s">
        <v>352</v>
      </c>
      <c r="AJ22" s="26" t="s">
        <v>265</v>
      </c>
      <c r="AK22" s="26" t="s">
        <v>265</v>
      </c>
      <c r="AL22" s="26" t="s">
        <v>265</v>
      </c>
      <c r="AM22" s="26">
        <v>4.01</v>
      </c>
      <c r="AN22" s="26">
        <v>116</v>
      </c>
      <c r="AO22" s="37">
        <v>1395</v>
      </c>
      <c r="AP22" s="26" t="s">
        <v>265</v>
      </c>
      <c r="AQ22" s="26" t="s">
        <v>352</v>
      </c>
      <c r="AR22" s="26">
        <v>100</v>
      </c>
      <c r="AS22" s="26">
        <v>200</v>
      </c>
      <c r="AT22" s="26">
        <v>2</v>
      </c>
      <c r="AU22" s="26">
        <v>90</v>
      </c>
      <c r="AV22" s="26">
        <v>32</v>
      </c>
      <c r="AW22" s="26" t="s">
        <v>352</v>
      </c>
      <c r="AX22" s="26" t="s">
        <v>265</v>
      </c>
      <c r="AY22" s="26" t="s">
        <v>352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 x14ac:dyDescent="0.3">
      <c r="A23" s="26" t="s">
        <v>470</v>
      </c>
      <c r="B23" s="26" t="s">
        <v>265</v>
      </c>
      <c r="C23" s="26" t="s">
        <v>352</v>
      </c>
      <c r="D23" s="26" t="s">
        <v>265</v>
      </c>
      <c r="E23" s="26" t="s">
        <v>492</v>
      </c>
      <c r="F23" s="26" t="s">
        <v>352</v>
      </c>
      <c r="G23" s="26" t="s">
        <v>265</v>
      </c>
      <c r="H23" s="26" t="s">
        <v>352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265</v>
      </c>
      <c r="V23" s="26" t="s">
        <v>265</v>
      </c>
      <c r="W23" s="26" t="s">
        <v>265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352</v>
      </c>
      <c r="AD23" s="26" t="s">
        <v>352</v>
      </c>
      <c r="AE23" s="26">
        <v>1</v>
      </c>
      <c r="AF23" s="26">
        <v>12</v>
      </c>
      <c r="AG23" s="26">
        <v>365</v>
      </c>
      <c r="AH23" s="26" t="s">
        <v>265</v>
      </c>
      <c r="AI23" s="26" t="s">
        <v>352</v>
      </c>
      <c r="AJ23" s="26" t="s">
        <v>265</v>
      </c>
      <c r="AK23" s="26" t="s">
        <v>265</v>
      </c>
      <c r="AL23" s="26" t="s">
        <v>265</v>
      </c>
      <c r="AM23" s="26">
        <v>3.48</v>
      </c>
      <c r="AN23" s="26">
        <v>101</v>
      </c>
      <c r="AO23" s="37">
        <v>1211</v>
      </c>
      <c r="AP23" s="26" t="s">
        <v>352</v>
      </c>
      <c r="AQ23" s="26" t="s">
        <v>265</v>
      </c>
      <c r="AR23" s="26">
        <v>20</v>
      </c>
      <c r="AS23" s="26">
        <v>25</v>
      </c>
      <c r="AT23" s="26">
        <v>1.2</v>
      </c>
      <c r="AU23" s="26">
        <v>65</v>
      </c>
      <c r="AV23" s="26">
        <v>16</v>
      </c>
      <c r="AW23" s="26" t="s">
        <v>352</v>
      </c>
      <c r="AX23" s="26" t="s">
        <v>265</v>
      </c>
      <c r="AY23" s="26" t="s">
        <v>352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 x14ac:dyDescent="0.3">
      <c r="A24" s="26" t="s">
        <v>470</v>
      </c>
      <c r="B24" s="26" t="s">
        <v>265</v>
      </c>
      <c r="C24" s="26" t="s">
        <v>352</v>
      </c>
      <c r="D24" s="26" t="s">
        <v>265</v>
      </c>
      <c r="E24" s="26" t="s">
        <v>493</v>
      </c>
      <c r="F24" s="26" t="s">
        <v>352</v>
      </c>
      <c r="G24" s="26" t="s">
        <v>265</v>
      </c>
      <c r="H24" s="26" t="s">
        <v>352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265</v>
      </c>
      <c r="V24" s="26" t="s">
        <v>265</v>
      </c>
      <c r="W24" s="26" t="s">
        <v>265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352</v>
      </c>
      <c r="AD24" s="26" t="s">
        <v>352</v>
      </c>
      <c r="AE24" s="26">
        <v>1</v>
      </c>
      <c r="AF24" s="26">
        <v>12</v>
      </c>
      <c r="AG24" s="26">
        <v>365</v>
      </c>
      <c r="AH24" s="26" t="s">
        <v>265</v>
      </c>
      <c r="AI24" s="26" t="s">
        <v>352</v>
      </c>
      <c r="AJ24" s="26" t="s">
        <v>265</v>
      </c>
      <c r="AK24" s="26" t="s">
        <v>265</v>
      </c>
      <c r="AL24" s="26" t="s">
        <v>265</v>
      </c>
      <c r="AM24" s="26">
        <v>3.38</v>
      </c>
      <c r="AN24" s="26">
        <v>98</v>
      </c>
      <c r="AO24" s="37">
        <v>1176</v>
      </c>
      <c r="AP24" s="26" t="s">
        <v>265</v>
      </c>
      <c r="AQ24" s="26" t="s">
        <v>352</v>
      </c>
      <c r="AR24" s="26">
        <v>30</v>
      </c>
      <c r="AS24" s="26">
        <v>150</v>
      </c>
      <c r="AT24" s="26">
        <v>5</v>
      </c>
      <c r="AU24" s="26">
        <v>60</v>
      </c>
      <c r="AV24" s="26">
        <v>40</v>
      </c>
      <c r="AW24" s="26" t="s">
        <v>352</v>
      </c>
      <c r="AX24" s="26" t="s">
        <v>265</v>
      </c>
      <c r="AY24" s="26" t="s">
        <v>352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 x14ac:dyDescent="0.3">
      <c r="A25" s="26" t="s">
        <v>470</v>
      </c>
      <c r="B25" s="26" t="s">
        <v>265</v>
      </c>
      <c r="C25" s="26" t="s">
        <v>352</v>
      </c>
      <c r="D25" s="26" t="s">
        <v>265</v>
      </c>
      <c r="E25" s="26" t="s">
        <v>494</v>
      </c>
      <c r="F25" s="26" t="s">
        <v>352</v>
      </c>
      <c r="G25" s="26" t="s">
        <v>265</v>
      </c>
      <c r="H25" s="26" t="s">
        <v>352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265</v>
      </c>
      <c r="V25" s="26" t="s">
        <v>265</v>
      </c>
      <c r="W25" s="26" t="s">
        <v>265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352</v>
      </c>
      <c r="AD25" s="26" t="s">
        <v>352</v>
      </c>
      <c r="AE25" s="26">
        <v>1</v>
      </c>
      <c r="AF25" s="26">
        <v>12</v>
      </c>
      <c r="AG25" s="26">
        <v>365</v>
      </c>
      <c r="AH25" s="26" t="s">
        <v>265</v>
      </c>
      <c r="AI25" s="26" t="s">
        <v>352</v>
      </c>
      <c r="AJ25" s="26" t="s">
        <v>265</v>
      </c>
      <c r="AK25" s="26" t="s">
        <v>265</v>
      </c>
      <c r="AL25" s="26" t="s">
        <v>265</v>
      </c>
      <c r="AM25" s="26">
        <v>4.01</v>
      </c>
      <c r="AN25" s="26">
        <v>116</v>
      </c>
      <c r="AO25" s="37">
        <v>1395</v>
      </c>
      <c r="AP25" s="26" t="s">
        <v>352</v>
      </c>
      <c r="AQ25" s="26" t="s">
        <v>265</v>
      </c>
      <c r="AR25" s="26">
        <v>40</v>
      </c>
      <c r="AS25" s="26">
        <v>20</v>
      </c>
      <c r="AT25" s="26">
        <v>2</v>
      </c>
      <c r="AU25" s="26">
        <v>90</v>
      </c>
      <c r="AV25" s="26">
        <v>25</v>
      </c>
      <c r="AW25" s="26" t="s">
        <v>352</v>
      </c>
      <c r="AX25" s="26" t="s">
        <v>265</v>
      </c>
      <c r="AY25" s="26" t="s">
        <v>352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 x14ac:dyDescent="0.3">
      <c r="A26" s="26" t="s">
        <v>470</v>
      </c>
      <c r="B26" s="26" t="s">
        <v>265</v>
      </c>
      <c r="C26" s="26" t="s">
        <v>352</v>
      </c>
      <c r="D26" s="26" t="s">
        <v>265</v>
      </c>
      <c r="E26" s="26" t="s">
        <v>495</v>
      </c>
      <c r="F26" s="26" t="s">
        <v>352</v>
      </c>
      <c r="G26" s="26" t="s">
        <v>265</v>
      </c>
      <c r="H26" s="26" t="s">
        <v>352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265</v>
      </c>
      <c r="V26" s="26" t="s">
        <v>265</v>
      </c>
      <c r="W26" s="26" t="s">
        <v>265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352</v>
      </c>
      <c r="AD26" s="26" t="s">
        <v>352</v>
      </c>
      <c r="AE26" s="26">
        <v>1</v>
      </c>
      <c r="AF26" s="26">
        <v>12</v>
      </c>
      <c r="AG26" s="26">
        <v>365</v>
      </c>
      <c r="AH26" s="26" t="s">
        <v>265</v>
      </c>
      <c r="AI26" s="26" t="s">
        <v>352</v>
      </c>
      <c r="AJ26" s="26" t="s">
        <v>265</v>
      </c>
      <c r="AK26" s="26" t="s">
        <v>265</v>
      </c>
      <c r="AL26" s="26" t="s">
        <v>265</v>
      </c>
      <c r="AM26" s="26">
        <v>3.02</v>
      </c>
      <c r="AN26" s="26">
        <v>88</v>
      </c>
      <c r="AO26" s="37">
        <v>1051</v>
      </c>
      <c r="AP26" s="26" t="s">
        <v>352</v>
      </c>
      <c r="AQ26" s="26" t="s">
        <v>265</v>
      </c>
      <c r="AR26" s="26">
        <v>60</v>
      </c>
      <c r="AS26" s="26">
        <v>25</v>
      </c>
      <c r="AT26" s="26">
        <v>0.7</v>
      </c>
      <c r="AU26" s="26">
        <v>43</v>
      </c>
      <c r="AV26" s="26">
        <v>20</v>
      </c>
      <c r="AW26" s="26" t="s">
        <v>352</v>
      </c>
      <c r="AX26" s="26" t="s">
        <v>265</v>
      </c>
      <c r="AY26" s="26" t="s">
        <v>352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 x14ac:dyDescent="0.3">
      <c r="A27" s="26" t="s">
        <v>470</v>
      </c>
      <c r="B27" s="26" t="s">
        <v>265</v>
      </c>
      <c r="C27" s="26" t="s">
        <v>352</v>
      </c>
      <c r="D27" s="26" t="s">
        <v>265</v>
      </c>
      <c r="E27" s="26" t="s">
        <v>496</v>
      </c>
      <c r="F27" s="26" t="s">
        <v>352</v>
      </c>
      <c r="G27" s="26" t="s">
        <v>265</v>
      </c>
      <c r="H27" s="26" t="s">
        <v>352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265</v>
      </c>
      <c r="V27" s="26" t="s">
        <v>265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352</v>
      </c>
      <c r="AD27" s="26" t="s">
        <v>352</v>
      </c>
      <c r="AE27" s="26">
        <v>1</v>
      </c>
      <c r="AF27" s="26">
        <v>12</v>
      </c>
      <c r="AG27" s="26">
        <v>365</v>
      </c>
      <c r="AH27" s="26" t="s">
        <v>265</v>
      </c>
      <c r="AI27" s="26" t="s">
        <v>352</v>
      </c>
      <c r="AJ27" s="26" t="s">
        <v>265</v>
      </c>
      <c r="AK27" s="26" t="s">
        <v>265</v>
      </c>
      <c r="AL27" s="26" t="s">
        <v>265</v>
      </c>
      <c r="AM27" s="26">
        <v>3.38</v>
      </c>
      <c r="AN27" s="26">
        <v>98</v>
      </c>
      <c r="AO27" s="37">
        <v>1176</v>
      </c>
      <c r="AP27" s="26" t="s">
        <v>265</v>
      </c>
      <c r="AQ27" s="26" t="s">
        <v>352</v>
      </c>
      <c r="AR27" s="26">
        <v>100</v>
      </c>
      <c r="AS27" s="26">
        <v>200</v>
      </c>
      <c r="AT27" s="26">
        <v>10</v>
      </c>
      <c r="AU27" s="26">
        <v>60</v>
      </c>
      <c r="AV27" s="26">
        <v>50</v>
      </c>
      <c r="AW27" s="26" t="s">
        <v>352</v>
      </c>
      <c r="AX27" s="26" t="s">
        <v>265</v>
      </c>
      <c r="AY27" s="26" t="s">
        <v>352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 x14ac:dyDescent="0.3">
      <c r="A28" s="26" t="s">
        <v>470</v>
      </c>
      <c r="B28" s="26" t="s">
        <v>265</v>
      </c>
      <c r="C28" s="26" t="s">
        <v>352</v>
      </c>
      <c r="D28" s="26" t="s">
        <v>265</v>
      </c>
      <c r="E28" s="26" t="s">
        <v>497</v>
      </c>
      <c r="F28" s="26" t="s">
        <v>352</v>
      </c>
      <c r="G28" s="26" t="s">
        <v>265</v>
      </c>
      <c r="H28" s="26" t="s">
        <v>352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352</v>
      </c>
      <c r="AD28" s="26" t="s">
        <v>352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352</v>
      </c>
      <c r="AJ28" s="26" t="s">
        <v>265</v>
      </c>
      <c r="AK28" s="26" t="s">
        <v>265</v>
      </c>
      <c r="AL28" s="26" t="s">
        <v>265</v>
      </c>
      <c r="AM28" s="26">
        <v>3.17</v>
      </c>
      <c r="AN28" s="26">
        <v>92</v>
      </c>
      <c r="AO28" s="37">
        <v>1103</v>
      </c>
      <c r="AP28" s="26" t="s">
        <v>265</v>
      </c>
      <c r="AQ28" s="26" t="s">
        <v>352</v>
      </c>
      <c r="AR28" s="26">
        <v>50</v>
      </c>
      <c r="AS28" s="26">
        <v>150</v>
      </c>
      <c r="AT28" s="26">
        <v>5</v>
      </c>
      <c r="AU28" s="26">
        <v>50</v>
      </c>
      <c r="AV28" s="26">
        <v>32</v>
      </c>
      <c r="AW28" s="26" t="s">
        <v>352</v>
      </c>
      <c r="AX28" s="26" t="s">
        <v>265</v>
      </c>
      <c r="AY28" s="26" t="s">
        <v>352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 x14ac:dyDescent="0.3">
      <c r="A29" s="26" t="s">
        <v>470</v>
      </c>
      <c r="B29" s="26" t="s">
        <v>265</v>
      </c>
      <c r="C29" s="26" t="s">
        <v>352</v>
      </c>
      <c r="D29" s="26" t="s">
        <v>265</v>
      </c>
      <c r="E29" s="26" t="s">
        <v>498</v>
      </c>
      <c r="F29" s="26" t="s">
        <v>352</v>
      </c>
      <c r="G29" s="26" t="s">
        <v>265</v>
      </c>
      <c r="H29" s="26" t="s">
        <v>352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352</v>
      </c>
      <c r="AD29" s="26" t="s">
        <v>352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352</v>
      </c>
      <c r="AJ29" s="26" t="s">
        <v>265</v>
      </c>
      <c r="AK29" s="26" t="s">
        <v>265</v>
      </c>
      <c r="AL29" s="26" t="s">
        <v>265</v>
      </c>
      <c r="AM29" s="26">
        <v>4.22</v>
      </c>
      <c r="AN29" s="26">
        <v>122</v>
      </c>
      <c r="AO29" s="37">
        <v>1469</v>
      </c>
      <c r="AP29" s="26" t="s">
        <v>352</v>
      </c>
      <c r="AQ29" s="26" t="s">
        <v>265</v>
      </c>
      <c r="AR29" s="26">
        <v>15</v>
      </c>
      <c r="AS29" s="26">
        <v>100</v>
      </c>
      <c r="AT29" s="26">
        <v>2</v>
      </c>
      <c r="AU29" s="26">
        <v>100</v>
      </c>
      <c r="AV29" s="26">
        <v>32</v>
      </c>
      <c r="AW29" s="26" t="s">
        <v>352</v>
      </c>
      <c r="AX29" s="26" t="s">
        <v>265</v>
      </c>
      <c r="AY29" s="26" t="s">
        <v>352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 x14ac:dyDescent="0.3">
      <c r="A30" s="26" t="s">
        <v>470</v>
      </c>
      <c r="B30" s="26" t="s">
        <v>265</v>
      </c>
      <c r="C30" s="26" t="s">
        <v>352</v>
      </c>
      <c r="D30" s="26" t="s">
        <v>265</v>
      </c>
      <c r="E30" s="26" t="s">
        <v>499</v>
      </c>
      <c r="F30" s="26" t="s">
        <v>352</v>
      </c>
      <c r="G30" s="26" t="s">
        <v>265</v>
      </c>
      <c r="H30" s="26" t="s">
        <v>352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352</v>
      </c>
      <c r="AD30" s="26" t="s">
        <v>352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352</v>
      </c>
      <c r="AJ30" s="26" t="s">
        <v>265</v>
      </c>
      <c r="AK30" s="26" t="s">
        <v>265</v>
      </c>
      <c r="AL30" s="26" t="s">
        <v>265</v>
      </c>
      <c r="AM30" s="26">
        <v>2.88</v>
      </c>
      <c r="AN30" s="26">
        <v>84</v>
      </c>
      <c r="AO30" s="37">
        <v>1002</v>
      </c>
      <c r="AP30" s="26" t="s">
        <v>352</v>
      </c>
      <c r="AQ30" s="26" t="s">
        <v>265</v>
      </c>
      <c r="AR30" s="26">
        <v>26</v>
      </c>
      <c r="AS30" s="26">
        <v>25</v>
      </c>
      <c r="AT30" s="26">
        <v>0.7</v>
      </c>
      <c r="AU30" s="26">
        <v>36</v>
      </c>
      <c r="AV30" s="26">
        <v>15</v>
      </c>
      <c r="AW30" s="26" t="s">
        <v>352</v>
      </c>
      <c r="AX30" s="26" t="s">
        <v>265</v>
      </c>
      <c r="AY30" s="26" t="s">
        <v>352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 x14ac:dyDescent="0.3">
      <c r="A31" s="26" t="s">
        <v>470</v>
      </c>
      <c r="B31" s="26" t="s">
        <v>265</v>
      </c>
      <c r="C31" s="26" t="s">
        <v>352</v>
      </c>
      <c r="D31" s="26" t="s">
        <v>265</v>
      </c>
      <c r="E31" s="26" t="s">
        <v>500</v>
      </c>
      <c r="F31" s="26" t="s">
        <v>352</v>
      </c>
      <c r="G31" s="26" t="s">
        <v>265</v>
      </c>
      <c r="H31" s="26" t="s">
        <v>352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265</v>
      </c>
      <c r="AC31" s="26" t="s">
        <v>352</v>
      </c>
      <c r="AD31" s="26" t="s">
        <v>352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352</v>
      </c>
      <c r="AJ31" s="26" t="s">
        <v>265</v>
      </c>
      <c r="AK31" s="26" t="s">
        <v>265</v>
      </c>
      <c r="AL31" s="26" t="s">
        <v>265</v>
      </c>
      <c r="AM31" s="26">
        <v>2.88</v>
      </c>
      <c r="AN31" s="26">
        <v>84</v>
      </c>
      <c r="AO31" s="37">
        <v>1002</v>
      </c>
      <c r="AP31" s="26" t="s">
        <v>352</v>
      </c>
      <c r="AQ31" s="26" t="s">
        <v>265</v>
      </c>
      <c r="AR31" s="26">
        <v>20</v>
      </c>
      <c r="AS31" s="26">
        <v>0</v>
      </c>
      <c r="AT31" s="26">
        <v>0.7</v>
      </c>
      <c r="AU31" s="26">
        <v>36</v>
      </c>
      <c r="AV31" s="26">
        <v>16</v>
      </c>
      <c r="AW31" s="26" t="s">
        <v>352</v>
      </c>
      <c r="AX31" s="26" t="s">
        <v>265</v>
      </c>
      <c r="AY31" s="26" t="s">
        <v>352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 x14ac:dyDescent="0.3">
      <c r="A32" s="26" t="s">
        <v>470</v>
      </c>
      <c r="B32" s="26" t="s">
        <v>265</v>
      </c>
      <c r="C32" s="26" t="s">
        <v>352</v>
      </c>
      <c r="D32" s="26" t="s">
        <v>265</v>
      </c>
      <c r="E32" s="26" t="s">
        <v>501</v>
      </c>
      <c r="F32" s="26" t="s">
        <v>352</v>
      </c>
      <c r="G32" s="26" t="s">
        <v>265</v>
      </c>
      <c r="H32" s="26" t="s">
        <v>352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352</v>
      </c>
      <c r="AD32" s="26" t="s">
        <v>352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352</v>
      </c>
      <c r="AJ32" s="26" t="s">
        <v>265</v>
      </c>
      <c r="AK32" s="26" t="s">
        <v>265</v>
      </c>
      <c r="AL32" s="26" t="s">
        <v>265</v>
      </c>
      <c r="AM32" s="26">
        <v>3.51</v>
      </c>
      <c r="AN32" s="26">
        <v>102</v>
      </c>
      <c r="AO32" s="37">
        <v>1221</v>
      </c>
      <c r="AP32" s="26" t="s">
        <v>352</v>
      </c>
      <c r="AQ32" s="26" t="s">
        <v>265</v>
      </c>
      <c r="AR32" s="26">
        <v>70</v>
      </c>
      <c r="AS32" s="26">
        <v>32</v>
      </c>
      <c r="AT32" s="26">
        <v>2</v>
      </c>
      <c r="AU32" s="26">
        <v>66</v>
      </c>
      <c r="AV32" s="26">
        <v>20</v>
      </c>
      <c r="AW32" s="26" t="s">
        <v>352</v>
      </c>
      <c r="AX32" s="26" t="s">
        <v>265</v>
      </c>
      <c r="AY32" s="26" t="s">
        <v>352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 x14ac:dyDescent="0.3">
      <c r="A33" s="26" t="s">
        <v>470</v>
      </c>
      <c r="B33" s="26" t="s">
        <v>265</v>
      </c>
      <c r="C33" s="26" t="s">
        <v>352</v>
      </c>
      <c r="D33" s="26" t="s">
        <v>265</v>
      </c>
      <c r="E33" s="26" t="s">
        <v>502</v>
      </c>
      <c r="F33" s="26" t="s">
        <v>352</v>
      </c>
      <c r="G33" s="26" t="s">
        <v>265</v>
      </c>
      <c r="H33" s="26" t="s">
        <v>352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265</v>
      </c>
      <c r="V33" s="26" t="s">
        <v>265</v>
      </c>
      <c r="W33" s="26" t="s">
        <v>265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352</v>
      </c>
      <c r="AD33" s="26" t="s">
        <v>352</v>
      </c>
      <c r="AE33" s="26">
        <v>1</v>
      </c>
      <c r="AF33" s="26">
        <v>12</v>
      </c>
      <c r="AG33" s="26">
        <v>365</v>
      </c>
      <c r="AH33" s="26" t="s">
        <v>265</v>
      </c>
      <c r="AI33" s="26" t="s">
        <v>352</v>
      </c>
      <c r="AJ33" s="26" t="s">
        <v>265</v>
      </c>
      <c r="AK33" s="26" t="s">
        <v>265</v>
      </c>
      <c r="AL33" s="26" t="s">
        <v>265</v>
      </c>
      <c r="AM33" s="26">
        <v>2.75</v>
      </c>
      <c r="AN33" s="26">
        <v>80</v>
      </c>
      <c r="AO33" s="26">
        <v>957</v>
      </c>
      <c r="AP33" s="26" t="s">
        <v>352</v>
      </c>
      <c r="AQ33" s="26" t="s">
        <v>265</v>
      </c>
      <c r="AR33" s="26">
        <v>30</v>
      </c>
      <c r="AS33" s="26">
        <v>20</v>
      </c>
      <c r="AT33" s="26">
        <v>0.6</v>
      </c>
      <c r="AU33" s="26">
        <v>30</v>
      </c>
      <c r="AV33" s="26">
        <v>20</v>
      </c>
      <c r="AW33" s="26" t="s">
        <v>352</v>
      </c>
      <c r="AX33" s="26" t="s">
        <v>265</v>
      </c>
      <c r="AY33" s="26" t="s">
        <v>352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 x14ac:dyDescent="0.3">
      <c r="A34" s="26" t="s">
        <v>470</v>
      </c>
      <c r="B34" s="26" t="s">
        <v>265</v>
      </c>
      <c r="C34" s="26" t="s">
        <v>352</v>
      </c>
      <c r="D34" s="26" t="s">
        <v>265</v>
      </c>
      <c r="E34" s="26" t="s">
        <v>503</v>
      </c>
      <c r="F34" s="26" t="s">
        <v>352</v>
      </c>
      <c r="G34" s="26" t="s">
        <v>265</v>
      </c>
      <c r="H34" s="26" t="s">
        <v>352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265</v>
      </c>
      <c r="V34" s="26" t="s">
        <v>265</v>
      </c>
      <c r="W34" s="26" t="s">
        <v>265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352</v>
      </c>
      <c r="AD34" s="26" t="s">
        <v>352</v>
      </c>
      <c r="AE34" s="26">
        <v>1</v>
      </c>
      <c r="AF34" s="26">
        <v>12</v>
      </c>
      <c r="AG34" s="26">
        <v>365</v>
      </c>
      <c r="AH34" s="26" t="s">
        <v>265</v>
      </c>
      <c r="AI34" s="26" t="s">
        <v>352</v>
      </c>
      <c r="AJ34" s="26" t="s">
        <v>265</v>
      </c>
      <c r="AK34" s="26" t="s">
        <v>265</v>
      </c>
      <c r="AL34" s="26" t="s">
        <v>265</v>
      </c>
      <c r="AM34" s="26">
        <v>2.88</v>
      </c>
      <c r="AN34" s="26">
        <v>84</v>
      </c>
      <c r="AO34" s="37">
        <v>1002</v>
      </c>
      <c r="AP34" s="26" t="s">
        <v>352</v>
      </c>
      <c r="AQ34" s="26" t="s">
        <v>265</v>
      </c>
      <c r="AR34" s="26">
        <v>30</v>
      </c>
      <c r="AS34" s="26">
        <v>32</v>
      </c>
      <c r="AT34" s="26">
        <v>0.7</v>
      </c>
      <c r="AU34" s="26">
        <v>36</v>
      </c>
      <c r="AV34" s="26">
        <v>16</v>
      </c>
      <c r="AW34" s="26" t="s">
        <v>352</v>
      </c>
      <c r="AX34" s="26" t="s">
        <v>265</v>
      </c>
      <c r="AY34" s="26" t="s">
        <v>352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 x14ac:dyDescent="0.3">
      <c r="A35" s="26" t="s">
        <v>470</v>
      </c>
      <c r="B35" s="26" t="s">
        <v>265</v>
      </c>
      <c r="C35" s="26" t="s">
        <v>352</v>
      </c>
      <c r="D35" s="26" t="s">
        <v>265</v>
      </c>
      <c r="E35" s="26" t="s">
        <v>504</v>
      </c>
      <c r="F35" s="26" t="s">
        <v>352</v>
      </c>
      <c r="G35" s="26" t="s">
        <v>265</v>
      </c>
      <c r="H35" s="26" t="s">
        <v>352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265</v>
      </c>
      <c r="V35" s="26" t="s">
        <v>265</v>
      </c>
      <c r="W35" s="26" t="s">
        <v>265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352</v>
      </c>
      <c r="AD35" s="26" t="s">
        <v>352</v>
      </c>
      <c r="AE35" s="26">
        <v>1</v>
      </c>
      <c r="AF35" s="26">
        <v>12</v>
      </c>
      <c r="AG35" s="26">
        <v>365</v>
      </c>
      <c r="AH35" s="26" t="s">
        <v>265</v>
      </c>
      <c r="AI35" s="26" t="s">
        <v>352</v>
      </c>
      <c r="AJ35" s="26" t="s">
        <v>265</v>
      </c>
      <c r="AK35" s="26" t="s">
        <v>265</v>
      </c>
      <c r="AL35" s="26" t="s">
        <v>265</v>
      </c>
      <c r="AM35" s="26">
        <v>2.88</v>
      </c>
      <c r="AN35" s="26">
        <v>84</v>
      </c>
      <c r="AO35" s="37">
        <v>1002</v>
      </c>
      <c r="AP35" s="26" t="s">
        <v>352</v>
      </c>
      <c r="AQ35" s="26" t="s">
        <v>265</v>
      </c>
      <c r="AR35" s="26">
        <v>25</v>
      </c>
      <c r="AS35" s="26">
        <v>25</v>
      </c>
      <c r="AT35" s="26">
        <v>0.7</v>
      </c>
      <c r="AU35" s="26">
        <v>36</v>
      </c>
      <c r="AV35" s="26">
        <v>16</v>
      </c>
      <c r="AW35" s="26" t="s">
        <v>352</v>
      </c>
      <c r="AX35" s="26" t="s">
        <v>265</v>
      </c>
      <c r="AY35" s="26" t="s">
        <v>352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 x14ac:dyDescent="0.3">
      <c r="A36" s="26" t="s">
        <v>470</v>
      </c>
      <c r="B36" s="26" t="s">
        <v>265</v>
      </c>
      <c r="C36" s="26" t="s">
        <v>352</v>
      </c>
      <c r="D36" s="26" t="s">
        <v>265</v>
      </c>
      <c r="E36" s="26" t="s">
        <v>505</v>
      </c>
      <c r="F36" s="26" t="s">
        <v>352</v>
      </c>
      <c r="G36" s="26" t="s">
        <v>265</v>
      </c>
      <c r="H36" s="26" t="s">
        <v>352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265</v>
      </c>
      <c r="V36" s="26" t="s">
        <v>265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352</v>
      </c>
      <c r="AD36" s="26" t="s">
        <v>352</v>
      </c>
      <c r="AE36" s="26">
        <v>1</v>
      </c>
      <c r="AF36" s="26">
        <v>12</v>
      </c>
      <c r="AG36" s="26">
        <v>365</v>
      </c>
      <c r="AH36" s="26" t="s">
        <v>265</v>
      </c>
      <c r="AI36" s="26" t="s">
        <v>352</v>
      </c>
      <c r="AJ36" s="26" t="s">
        <v>265</v>
      </c>
      <c r="AK36" s="26" t="s">
        <v>265</v>
      </c>
      <c r="AL36" s="26" t="s">
        <v>265</v>
      </c>
      <c r="AM36" s="26">
        <v>3.02</v>
      </c>
      <c r="AN36" s="26">
        <v>88</v>
      </c>
      <c r="AO36" s="37">
        <v>1051</v>
      </c>
      <c r="AP36" s="26" t="s">
        <v>352</v>
      </c>
      <c r="AQ36" s="26" t="s">
        <v>265</v>
      </c>
      <c r="AR36" s="26">
        <v>17</v>
      </c>
      <c r="AS36" s="26">
        <v>30</v>
      </c>
      <c r="AT36" s="26">
        <v>0.7</v>
      </c>
      <c r="AU36" s="26">
        <v>43</v>
      </c>
      <c r="AV36" s="26">
        <v>20</v>
      </c>
      <c r="AW36" s="26" t="s">
        <v>352</v>
      </c>
      <c r="AX36" s="26" t="s">
        <v>265</v>
      </c>
      <c r="AY36" s="26" t="s">
        <v>352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 x14ac:dyDescent="0.3">
      <c r="A37" s="26" t="s">
        <v>470</v>
      </c>
      <c r="B37" s="26" t="s">
        <v>265</v>
      </c>
      <c r="C37" s="26" t="s">
        <v>352</v>
      </c>
      <c r="D37" s="26" t="s">
        <v>265</v>
      </c>
      <c r="E37" s="26" t="s">
        <v>506</v>
      </c>
      <c r="F37" s="26" t="s">
        <v>352</v>
      </c>
      <c r="G37" s="26" t="s">
        <v>265</v>
      </c>
      <c r="H37" s="26" t="s">
        <v>352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265</v>
      </c>
      <c r="V37" s="26" t="s">
        <v>265</v>
      </c>
      <c r="W37" s="26" t="s">
        <v>265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352</v>
      </c>
      <c r="AD37" s="26" t="s">
        <v>352</v>
      </c>
      <c r="AE37" s="26">
        <v>1</v>
      </c>
      <c r="AF37" s="26">
        <v>12</v>
      </c>
      <c r="AG37" s="26">
        <v>365</v>
      </c>
      <c r="AH37" s="26" t="s">
        <v>265</v>
      </c>
      <c r="AI37" s="26" t="s">
        <v>352</v>
      </c>
      <c r="AJ37" s="26" t="s">
        <v>265</v>
      </c>
      <c r="AK37" s="26" t="s">
        <v>265</v>
      </c>
      <c r="AL37" s="26" t="s">
        <v>265</v>
      </c>
      <c r="AM37" s="26">
        <v>3.02</v>
      </c>
      <c r="AN37" s="26">
        <v>88</v>
      </c>
      <c r="AO37" s="37">
        <v>1051</v>
      </c>
      <c r="AP37" s="26" t="s">
        <v>352</v>
      </c>
      <c r="AQ37" s="26" t="s">
        <v>265</v>
      </c>
      <c r="AR37" s="26">
        <v>20</v>
      </c>
      <c r="AS37" s="26">
        <v>32</v>
      </c>
      <c r="AT37" s="26">
        <v>2</v>
      </c>
      <c r="AU37" s="26">
        <v>43</v>
      </c>
      <c r="AV37" s="26">
        <v>20</v>
      </c>
      <c r="AW37" s="26" t="s">
        <v>352</v>
      </c>
      <c r="AX37" s="26" t="s">
        <v>265</v>
      </c>
      <c r="AY37" s="26" t="s">
        <v>352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 x14ac:dyDescent="0.3">
      <c r="A38" s="26" t="s">
        <v>470</v>
      </c>
      <c r="B38" s="26" t="s">
        <v>265</v>
      </c>
      <c r="C38" s="26" t="s">
        <v>352</v>
      </c>
      <c r="D38" s="26" t="s">
        <v>265</v>
      </c>
      <c r="E38" s="26" t="s">
        <v>507</v>
      </c>
      <c r="F38" s="26" t="s">
        <v>352</v>
      </c>
      <c r="G38" s="26" t="s">
        <v>265</v>
      </c>
      <c r="H38" s="26" t="s">
        <v>352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265</v>
      </c>
      <c r="V38" s="26" t="s">
        <v>265</v>
      </c>
      <c r="W38" s="26" t="s">
        <v>265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352</v>
      </c>
      <c r="AD38" s="26" t="s">
        <v>352</v>
      </c>
      <c r="AE38" s="26">
        <v>1</v>
      </c>
      <c r="AF38" s="26">
        <v>12</v>
      </c>
      <c r="AG38" s="26">
        <v>365</v>
      </c>
      <c r="AH38" s="26" t="s">
        <v>265</v>
      </c>
      <c r="AI38" s="26" t="s">
        <v>352</v>
      </c>
      <c r="AJ38" s="26" t="s">
        <v>265</v>
      </c>
      <c r="AK38" s="26" t="s">
        <v>265</v>
      </c>
      <c r="AL38" s="26" t="s">
        <v>265</v>
      </c>
      <c r="AM38" s="26">
        <v>2.75</v>
      </c>
      <c r="AN38" s="26">
        <v>80</v>
      </c>
      <c r="AO38" s="26">
        <v>957</v>
      </c>
      <c r="AP38" s="26" t="s">
        <v>352</v>
      </c>
      <c r="AQ38" s="26" t="s">
        <v>265</v>
      </c>
      <c r="AR38" s="26">
        <v>30</v>
      </c>
      <c r="AS38" s="26">
        <v>20</v>
      </c>
      <c r="AT38" s="26">
        <v>0.7</v>
      </c>
      <c r="AU38" s="26">
        <v>30</v>
      </c>
      <c r="AV38" s="26">
        <v>20</v>
      </c>
      <c r="AW38" s="26" t="s">
        <v>352</v>
      </c>
      <c r="AX38" s="26" t="s">
        <v>265</v>
      </c>
      <c r="AY38" s="26" t="s">
        <v>352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 x14ac:dyDescent="0.3">
      <c r="A39" s="26" t="s">
        <v>470</v>
      </c>
      <c r="B39" s="26" t="s">
        <v>352</v>
      </c>
      <c r="C39" s="26" t="s">
        <v>265</v>
      </c>
      <c r="D39" s="26" t="s">
        <v>265</v>
      </c>
      <c r="E39" s="26" t="s">
        <v>508</v>
      </c>
      <c r="F39" s="26" t="s">
        <v>352</v>
      </c>
      <c r="G39" s="26" t="s">
        <v>265</v>
      </c>
      <c r="H39" s="26" t="s">
        <v>352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265</v>
      </c>
      <c r="V39" s="26" t="s">
        <v>265</v>
      </c>
      <c r="W39" s="26" t="s">
        <v>265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352</v>
      </c>
      <c r="AD39" s="26" t="s">
        <v>352</v>
      </c>
      <c r="AE39" s="26">
        <v>1</v>
      </c>
      <c r="AF39" s="26">
        <v>12</v>
      </c>
      <c r="AG39" s="26">
        <v>365</v>
      </c>
      <c r="AH39" s="26" t="s">
        <v>265</v>
      </c>
      <c r="AI39" s="26" t="s">
        <v>352</v>
      </c>
      <c r="AJ39" s="26" t="s">
        <v>265</v>
      </c>
      <c r="AK39" s="26" t="s">
        <v>265</v>
      </c>
      <c r="AL39" s="26" t="s">
        <v>265</v>
      </c>
      <c r="AM39" s="26">
        <v>8.17</v>
      </c>
      <c r="AN39" s="26">
        <v>237</v>
      </c>
      <c r="AO39" s="37">
        <v>2843</v>
      </c>
      <c r="AP39" s="26" t="s">
        <v>352</v>
      </c>
      <c r="AQ39" s="26" t="s">
        <v>265</v>
      </c>
      <c r="AR39" s="26">
        <v>75</v>
      </c>
      <c r="AS39" s="26">
        <v>65</v>
      </c>
      <c r="AT39" s="26">
        <v>7.5</v>
      </c>
      <c r="AU39" s="26">
        <v>288</v>
      </c>
      <c r="AV39" s="26">
        <v>65</v>
      </c>
      <c r="AW39" s="26" t="s">
        <v>352</v>
      </c>
      <c r="AX39" s="26" t="s">
        <v>352</v>
      </c>
      <c r="AY39" s="26" t="s">
        <v>352</v>
      </c>
      <c r="AZ39" s="26" t="s">
        <v>352</v>
      </c>
      <c r="BA39" s="26" t="s">
        <v>352</v>
      </c>
      <c r="BB39" s="26" t="s">
        <v>265</v>
      </c>
    </row>
    <row r="40" spans="1:54" ht="20.100000000000001" customHeight="1" x14ac:dyDescent="0.3">
      <c r="A40" s="26" t="s">
        <v>470</v>
      </c>
      <c r="B40" s="26" t="s">
        <v>265</v>
      </c>
      <c r="C40" s="26" t="s">
        <v>352</v>
      </c>
      <c r="D40" s="26" t="s">
        <v>265</v>
      </c>
      <c r="E40" s="26" t="s">
        <v>509</v>
      </c>
      <c r="F40" s="26" t="s">
        <v>352</v>
      </c>
      <c r="G40" s="26" t="s">
        <v>265</v>
      </c>
      <c r="H40" s="26" t="s">
        <v>352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265</v>
      </c>
      <c r="V40" s="26" t="s">
        <v>265</v>
      </c>
      <c r="W40" s="26" t="s">
        <v>265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352</v>
      </c>
      <c r="AD40" s="26" t="s">
        <v>352</v>
      </c>
      <c r="AE40" s="26">
        <v>1</v>
      </c>
      <c r="AF40" s="26">
        <v>12</v>
      </c>
      <c r="AG40" s="26">
        <v>365</v>
      </c>
      <c r="AH40" s="26" t="s">
        <v>265</v>
      </c>
      <c r="AI40" s="26" t="s">
        <v>352</v>
      </c>
      <c r="AJ40" s="26" t="s">
        <v>265</v>
      </c>
      <c r="AK40" s="26" t="s">
        <v>265</v>
      </c>
      <c r="AL40" s="26" t="s">
        <v>265</v>
      </c>
      <c r="AM40" s="26">
        <v>3.84</v>
      </c>
      <c r="AN40" s="26">
        <v>111</v>
      </c>
      <c r="AO40" s="37">
        <v>1336</v>
      </c>
      <c r="AP40" s="26" t="s">
        <v>265</v>
      </c>
      <c r="AQ40" s="26" t="s">
        <v>352</v>
      </c>
      <c r="AR40" s="26">
        <v>75</v>
      </c>
      <c r="AS40" s="26">
        <v>200</v>
      </c>
      <c r="AT40" s="26">
        <v>2</v>
      </c>
      <c r="AU40" s="26">
        <v>82</v>
      </c>
      <c r="AV40" s="26">
        <v>32</v>
      </c>
      <c r="AW40" s="26" t="s">
        <v>352</v>
      </c>
      <c r="AX40" s="26" t="s">
        <v>265</v>
      </c>
      <c r="AY40" s="26" t="s">
        <v>352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 x14ac:dyDescent="0.3">
      <c r="A41" s="26" t="s">
        <v>470</v>
      </c>
      <c r="B41" s="26" t="s">
        <v>265</v>
      </c>
      <c r="C41" s="26" t="s">
        <v>352</v>
      </c>
      <c r="D41" s="26" t="s">
        <v>265</v>
      </c>
      <c r="E41" s="26" t="s">
        <v>510</v>
      </c>
      <c r="F41" s="26" t="s">
        <v>352</v>
      </c>
      <c r="G41" s="26" t="s">
        <v>265</v>
      </c>
      <c r="H41" s="26" t="s">
        <v>352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265</v>
      </c>
      <c r="V41" s="26" t="s">
        <v>265</v>
      </c>
      <c r="W41" s="26" t="s">
        <v>265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352</v>
      </c>
      <c r="AD41" s="26" t="s">
        <v>352</v>
      </c>
      <c r="AE41" s="26">
        <v>1</v>
      </c>
      <c r="AF41" s="26">
        <v>12</v>
      </c>
      <c r="AG41" s="26">
        <v>365</v>
      </c>
      <c r="AH41" s="26" t="s">
        <v>265</v>
      </c>
      <c r="AI41" s="26" t="s">
        <v>352</v>
      </c>
      <c r="AJ41" s="26" t="s">
        <v>265</v>
      </c>
      <c r="AK41" s="26" t="s">
        <v>265</v>
      </c>
      <c r="AL41" s="26" t="s">
        <v>265</v>
      </c>
      <c r="AM41" s="26">
        <v>3.8</v>
      </c>
      <c r="AN41" s="26">
        <v>110</v>
      </c>
      <c r="AO41" s="37">
        <v>1322</v>
      </c>
      <c r="AP41" s="26" t="s">
        <v>352</v>
      </c>
      <c r="AQ41" s="26" t="s">
        <v>265</v>
      </c>
      <c r="AR41" s="26">
        <v>18</v>
      </c>
      <c r="AS41" s="26">
        <v>100</v>
      </c>
      <c r="AT41" s="26">
        <v>2</v>
      </c>
      <c r="AU41" s="26">
        <v>80</v>
      </c>
      <c r="AV41" s="26">
        <v>32</v>
      </c>
      <c r="AW41" s="26" t="s">
        <v>352</v>
      </c>
      <c r="AX41" s="26" t="s">
        <v>265</v>
      </c>
      <c r="AY41" s="26" t="s">
        <v>352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 x14ac:dyDescent="0.3">
      <c r="A42" s="26" t="s">
        <v>470</v>
      </c>
      <c r="B42" s="26" t="s">
        <v>265</v>
      </c>
      <c r="C42" s="26" t="s">
        <v>352</v>
      </c>
      <c r="D42" s="26" t="s">
        <v>265</v>
      </c>
      <c r="E42" s="26" t="s">
        <v>511</v>
      </c>
      <c r="F42" s="26" t="s">
        <v>352</v>
      </c>
      <c r="G42" s="26" t="s">
        <v>265</v>
      </c>
      <c r="H42" s="26" t="s">
        <v>352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265</v>
      </c>
      <c r="V42" s="26" t="s">
        <v>265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352</v>
      </c>
      <c r="AD42" s="26" t="s">
        <v>352</v>
      </c>
      <c r="AE42" s="26">
        <v>1</v>
      </c>
      <c r="AF42" s="26">
        <v>12</v>
      </c>
      <c r="AG42" s="26">
        <v>365</v>
      </c>
      <c r="AH42" s="26" t="s">
        <v>265</v>
      </c>
      <c r="AI42" s="26" t="s">
        <v>352</v>
      </c>
      <c r="AJ42" s="26" t="s">
        <v>265</v>
      </c>
      <c r="AK42" s="26" t="s">
        <v>265</v>
      </c>
      <c r="AL42" s="26" t="s">
        <v>265</v>
      </c>
      <c r="AM42" s="26">
        <v>4.22</v>
      </c>
      <c r="AN42" s="26">
        <v>122</v>
      </c>
      <c r="AO42" s="37">
        <v>1469</v>
      </c>
      <c r="AP42" s="26" t="s">
        <v>265</v>
      </c>
      <c r="AQ42" s="26" t="s">
        <v>352</v>
      </c>
      <c r="AR42" s="26">
        <v>100</v>
      </c>
      <c r="AS42" s="26">
        <v>200</v>
      </c>
      <c r="AT42" s="26">
        <v>2</v>
      </c>
      <c r="AU42" s="26">
        <v>100</v>
      </c>
      <c r="AV42" s="26">
        <v>32</v>
      </c>
      <c r="AW42" s="26" t="s">
        <v>352</v>
      </c>
      <c r="AX42" s="26" t="s">
        <v>265</v>
      </c>
      <c r="AY42" s="26" t="s">
        <v>352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 x14ac:dyDescent="0.3">
      <c r="A43" s="26" t="s">
        <v>470</v>
      </c>
      <c r="B43" s="26" t="s">
        <v>265</v>
      </c>
      <c r="C43" s="26" t="s">
        <v>352</v>
      </c>
      <c r="D43" s="26" t="s">
        <v>265</v>
      </c>
      <c r="E43" s="26" t="s">
        <v>512</v>
      </c>
      <c r="F43" s="26" t="s">
        <v>352</v>
      </c>
      <c r="G43" s="26" t="s">
        <v>265</v>
      </c>
      <c r="H43" s="26" t="s">
        <v>352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265</v>
      </c>
      <c r="V43" s="26" t="s">
        <v>265</v>
      </c>
      <c r="W43" s="26" t="s">
        <v>265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352</v>
      </c>
      <c r="AD43" s="26" t="s">
        <v>352</v>
      </c>
      <c r="AE43" s="26">
        <v>1</v>
      </c>
      <c r="AF43" s="26">
        <v>12</v>
      </c>
      <c r="AG43" s="26">
        <v>365</v>
      </c>
      <c r="AH43" s="26" t="s">
        <v>265</v>
      </c>
      <c r="AI43" s="26" t="s">
        <v>352</v>
      </c>
      <c r="AJ43" s="26" t="s">
        <v>265</v>
      </c>
      <c r="AK43" s="26" t="s">
        <v>265</v>
      </c>
      <c r="AL43" s="26" t="s">
        <v>265</v>
      </c>
      <c r="AM43" s="26">
        <v>3.99</v>
      </c>
      <c r="AN43" s="26">
        <v>116</v>
      </c>
      <c r="AO43" s="37">
        <v>1389</v>
      </c>
      <c r="AP43" s="26" t="s">
        <v>265</v>
      </c>
      <c r="AQ43" s="26" t="s">
        <v>352</v>
      </c>
      <c r="AR43" s="26">
        <v>100</v>
      </c>
      <c r="AS43" s="26">
        <v>200</v>
      </c>
      <c r="AT43" s="26">
        <v>2</v>
      </c>
      <c r="AU43" s="26">
        <v>89</v>
      </c>
      <c r="AV43" s="26">
        <v>32</v>
      </c>
      <c r="AW43" s="26" t="s">
        <v>352</v>
      </c>
      <c r="AX43" s="26" t="s">
        <v>265</v>
      </c>
      <c r="AY43" s="26" t="s">
        <v>352</v>
      </c>
      <c r="AZ43" s="26" t="s">
        <v>265</v>
      </c>
      <c r="BA43" s="26" t="s">
        <v>265</v>
      </c>
      <c r="BB43" s="26" t="s">
        <v>265</v>
      </c>
    </row>
    <row r="44" spans="1:54" ht="20.100000000000001" customHeight="1" x14ac:dyDescent="0.3">
      <c r="A44" s="26" t="s">
        <v>470</v>
      </c>
      <c r="B44" s="26" t="s">
        <v>265</v>
      </c>
      <c r="C44" s="26" t="s">
        <v>352</v>
      </c>
      <c r="D44" s="26" t="s">
        <v>265</v>
      </c>
      <c r="E44" s="26" t="s">
        <v>513</v>
      </c>
      <c r="F44" s="26" t="s">
        <v>352</v>
      </c>
      <c r="G44" s="26" t="s">
        <v>265</v>
      </c>
      <c r="H44" s="26" t="s">
        <v>352</v>
      </c>
      <c r="I44" s="26" t="s">
        <v>265</v>
      </c>
      <c r="J44" s="26" t="s">
        <v>265</v>
      </c>
      <c r="K44" s="26" t="s">
        <v>265</v>
      </c>
      <c r="L44" s="26" t="s">
        <v>265</v>
      </c>
      <c r="M44" s="26" t="s">
        <v>265</v>
      </c>
      <c r="N44" s="26" t="s">
        <v>265</v>
      </c>
      <c r="O44" s="26" t="s">
        <v>265</v>
      </c>
      <c r="P44" s="26" t="s">
        <v>265</v>
      </c>
      <c r="Q44" s="26" t="s">
        <v>265</v>
      </c>
      <c r="R44" s="26" t="s">
        <v>265</v>
      </c>
      <c r="S44" s="26" t="s">
        <v>265</v>
      </c>
      <c r="T44" s="26" t="s">
        <v>265</v>
      </c>
      <c r="U44" s="26" t="s">
        <v>265</v>
      </c>
      <c r="V44" s="26" t="s">
        <v>265</v>
      </c>
      <c r="W44" s="26" t="s">
        <v>265</v>
      </c>
      <c r="X44" s="26" t="s">
        <v>265</v>
      </c>
      <c r="Y44" s="26" t="s">
        <v>265</v>
      </c>
      <c r="Z44" s="26" t="s">
        <v>265</v>
      </c>
      <c r="AA44" s="26" t="s">
        <v>265</v>
      </c>
      <c r="AB44" s="26" t="s">
        <v>265</v>
      </c>
      <c r="AC44" s="26" t="s">
        <v>352</v>
      </c>
      <c r="AD44" s="26" t="s">
        <v>352</v>
      </c>
      <c r="AE44" s="26">
        <v>1</v>
      </c>
      <c r="AF44" s="26">
        <v>12</v>
      </c>
      <c r="AG44" s="26">
        <v>365</v>
      </c>
      <c r="AH44" s="26" t="s">
        <v>265</v>
      </c>
      <c r="AI44" s="26" t="s">
        <v>352</v>
      </c>
      <c r="AJ44" s="26" t="s">
        <v>265</v>
      </c>
      <c r="AK44" s="26" t="s">
        <v>265</v>
      </c>
      <c r="AL44" s="26" t="s">
        <v>265</v>
      </c>
      <c r="AM44" s="26">
        <v>2.71</v>
      </c>
      <c r="AN44" s="26">
        <v>79</v>
      </c>
      <c r="AO44" s="26">
        <v>943</v>
      </c>
      <c r="AP44" s="26" t="s">
        <v>352</v>
      </c>
      <c r="AQ44" s="26" t="s">
        <v>265</v>
      </c>
      <c r="AR44" s="26">
        <v>23</v>
      </c>
      <c r="AS44" s="26">
        <v>100</v>
      </c>
      <c r="AT44" s="26">
        <v>1</v>
      </c>
      <c r="AU44" s="26">
        <v>28</v>
      </c>
      <c r="AV44" s="26">
        <v>25</v>
      </c>
      <c r="AW44" s="26" t="s">
        <v>352</v>
      </c>
      <c r="AX44" s="26" t="s">
        <v>265</v>
      </c>
      <c r="AY44" s="26" t="s">
        <v>352</v>
      </c>
      <c r="AZ44" s="26" t="s">
        <v>265</v>
      </c>
      <c r="BA44" s="26" t="s">
        <v>265</v>
      </c>
      <c r="BB44" s="26" t="s">
        <v>265</v>
      </c>
    </row>
    <row r="45" spans="1:54" ht="20.100000000000001" customHeight="1" x14ac:dyDescent="0.3">
      <c r="A45" s="26" t="s">
        <v>470</v>
      </c>
      <c r="B45" s="26" t="s">
        <v>265</v>
      </c>
      <c r="C45" s="26" t="s">
        <v>352</v>
      </c>
      <c r="D45" s="26" t="s">
        <v>265</v>
      </c>
      <c r="E45" s="26" t="s">
        <v>514</v>
      </c>
      <c r="F45" s="26" t="s">
        <v>352</v>
      </c>
      <c r="G45" s="26" t="s">
        <v>265</v>
      </c>
      <c r="H45" s="26" t="s">
        <v>352</v>
      </c>
      <c r="I45" s="26" t="s">
        <v>265</v>
      </c>
      <c r="J45" s="26" t="s">
        <v>265</v>
      </c>
      <c r="K45" s="26" t="s">
        <v>265</v>
      </c>
      <c r="L45" s="26" t="s">
        <v>265</v>
      </c>
      <c r="M45" s="26" t="s">
        <v>265</v>
      </c>
      <c r="N45" s="26" t="s">
        <v>265</v>
      </c>
      <c r="O45" s="26" t="s">
        <v>265</v>
      </c>
      <c r="P45" s="26" t="s">
        <v>265</v>
      </c>
      <c r="Q45" s="26" t="s">
        <v>265</v>
      </c>
      <c r="R45" s="26" t="s">
        <v>265</v>
      </c>
      <c r="S45" s="26" t="s">
        <v>265</v>
      </c>
      <c r="T45" s="26" t="s">
        <v>265</v>
      </c>
      <c r="U45" s="26" t="s">
        <v>265</v>
      </c>
      <c r="V45" s="26" t="s">
        <v>265</v>
      </c>
      <c r="W45" s="26" t="s">
        <v>265</v>
      </c>
      <c r="X45" s="26" t="s">
        <v>265</v>
      </c>
      <c r="Y45" s="26" t="s">
        <v>265</v>
      </c>
      <c r="Z45" s="26" t="s">
        <v>265</v>
      </c>
      <c r="AA45" s="26" t="s">
        <v>265</v>
      </c>
      <c r="AB45" s="26" t="s">
        <v>265</v>
      </c>
      <c r="AC45" s="26" t="s">
        <v>352</v>
      </c>
      <c r="AD45" s="26" t="s">
        <v>352</v>
      </c>
      <c r="AE45" s="26">
        <v>1</v>
      </c>
      <c r="AF45" s="26">
        <v>12</v>
      </c>
      <c r="AG45" s="26">
        <v>365</v>
      </c>
      <c r="AH45" s="26" t="s">
        <v>265</v>
      </c>
      <c r="AI45" s="26" t="s">
        <v>352</v>
      </c>
      <c r="AJ45" s="26" t="s">
        <v>265</v>
      </c>
      <c r="AK45" s="26" t="s">
        <v>265</v>
      </c>
      <c r="AL45" s="26" t="s">
        <v>265</v>
      </c>
      <c r="AM45" s="26">
        <v>3.8</v>
      </c>
      <c r="AN45" s="26">
        <v>110</v>
      </c>
      <c r="AO45" s="37">
        <v>1322</v>
      </c>
      <c r="AP45" s="26" t="s">
        <v>265</v>
      </c>
      <c r="AQ45" s="26" t="s">
        <v>352</v>
      </c>
      <c r="AR45" s="26">
        <v>250</v>
      </c>
      <c r="AS45" s="26">
        <v>200</v>
      </c>
      <c r="AT45" s="26">
        <v>5</v>
      </c>
      <c r="AU45" s="26">
        <v>80</v>
      </c>
      <c r="AV45" s="26">
        <v>40</v>
      </c>
      <c r="AW45" s="26" t="s">
        <v>352</v>
      </c>
      <c r="AX45" s="26" t="s">
        <v>265</v>
      </c>
      <c r="AY45" s="26" t="s">
        <v>352</v>
      </c>
      <c r="AZ45" s="26" t="s">
        <v>265</v>
      </c>
      <c r="BA45" s="26" t="s">
        <v>265</v>
      </c>
      <c r="BB45" s="26" t="s">
        <v>265</v>
      </c>
    </row>
    <row r="46" spans="1:54" ht="20.100000000000001" customHeight="1" x14ac:dyDescent="0.3">
      <c r="A46" s="26" t="s">
        <v>470</v>
      </c>
      <c r="B46" s="26" t="s">
        <v>265</v>
      </c>
      <c r="C46" s="26" t="s">
        <v>352</v>
      </c>
      <c r="D46" s="26" t="s">
        <v>265</v>
      </c>
      <c r="E46" s="26" t="s">
        <v>515</v>
      </c>
      <c r="F46" s="26" t="s">
        <v>352</v>
      </c>
      <c r="G46" s="26" t="s">
        <v>265</v>
      </c>
      <c r="H46" s="26" t="s">
        <v>352</v>
      </c>
      <c r="I46" s="26" t="s">
        <v>265</v>
      </c>
      <c r="J46" s="26" t="s">
        <v>265</v>
      </c>
      <c r="K46" s="26" t="s">
        <v>265</v>
      </c>
      <c r="L46" s="26" t="s">
        <v>265</v>
      </c>
      <c r="M46" s="26" t="s">
        <v>265</v>
      </c>
      <c r="N46" s="26" t="s">
        <v>265</v>
      </c>
      <c r="O46" s="26" t="s">
        <v>265</v>
      </c>
      <c r="P46" s="26" t="s">
        <v>265</v>
      </c>
      <c r="Q46" s="26" t="s">
        <v>265</v>
      </c>
      <c r="R46" s="26" t="s">
        <v>265</v>
      </c>
      <c r="S46" s="26" t="s">
        <v>265</v>
      </c>
      <c r="T46" s="26" t="s">
        <v>265</v>
      </c>
      <c r="U46" s="26" t="s">
        <v>265</v>
      </c>
      <c r="V46" s="26" t="s">
        <v>265</v>
      </c>
      <c r="W46" s="26" t="s">
        <v>265</v>
      </c>
      <c r="X46" s="26" t="s">
        <v>265</v>
      </c>
      <c r="Y46" s="26" t="s">
        <v>265</v>
      </c>
      <c r="Z46" s="26" t="s">
        <v>265</v>
      </c>
      <c r="AA46" s="26" t="s">
        <v>265</v>
      </c>
      <c r="AB46" s="26" t="s">
        <v>265</v>
      </c>
      <c r="AC46" s="26" t="s">
        <v>352</v>
      </c>
      <c r="AD46" s="26" t="s">
        <v>352</v>
      </c>
      <c r="AE46" s="26">
        <v>1</v>
      </c>
      <c r="AF46" s="26">
        <v>12</v>
      </c>
      <c r="AG46" s="26">
        <v>365</v>
      </c>
      <c r="AH46" s="26" t="s">
        <v>265</v>
      </c>
      <c r="AI46" s="26" t="s">
        <v>352</v>
      </c>
      <c r="AJ46" s="26" t="s">
        <v>265</v>
      </c>
      <c r="AK46" s="26" t="s">
        <v>265</v>
      </c>
      <c r="AL46" s="26" t="s">
        <v>265</v>
      </c>
      <c r="AM46" s="26">
        <v>3.06</v>
      </c>
      <c r="AN46" s="26">
        <v>89</v>
      </c>
      <c r="AO46" s="37">
        <v>1065</v>
      </c>
      <c r="AP46" s="26" t="s">
        <v>352</v>
      </c>
      <c r="AQ46" s="26" t="s">
        <v>265</v>
      </c>
      <c r="AR46" s="26">
        <v>25</v>
      </c>
      <c r="AS46" s="26">
        <v>50</v>
      </c>
      <c r="AT46" s="26">
        <v>1.2</v>
      </c>
      <c r="AU46" s="26">
        <v>45</v>
      </c>
      <c r="AV46" s="26">
        <v>20</v>
      </c>
      <c r="AW46" s="26" t="s">
        <v>352</v>
      </c>
      <c r="AX46" s="26" t="s">
        <v>265</v>
      </c>
      <c r="AY46" s="26" t="s">
        <v>352</v>
      </c>
      <c r="AZ46" s="26" t="s">
        <v>265</v>
      </c>
      <c r="BA46" s="26" t="s">
        <v>265</v>
      </c>
      <c r="BB46" s="26" t="s">
        <v>265</v>
      </c>
    </row>
    <row r="47" spans="1:54" ht="20.100000000000001" customHeight="1" x14ac:dyDescent="0.3">
      <c r="A47" s="26" t="s">
        <v>470</v>
      </c>
      <c r="B47" s="26" t="s">
        <v>265</v>
      </c>
      <c r="C47" s="26" t="s">
        <v>352</v>
      </c>
      <c r="D47" s="26" t="s">
        <v>265</v>
      </c>
      <c r="E47" s="26" t="s">
        <v>516</v>
      </c>
      <c r="F47" s="26" t="s">
        <v>352</v>
      </c>
      <c r="G47" s="26" t="s">
        <v>265</v>
      </c>
      <c r="H47" s="26" t="s">
        <v>352</v>
      </c>
      <c r="I47" s="26" t="s">
        <v>265</v>
      </c>
      <c r="J47" s="26" t="s">
        <v>265</v>
      </c>
      <c r="K47" s="26" t="s">
        <v>265</v>
      </c>
      <c r="L47" s="26" t="s">
        <v>265</v>
      </c>
      <c r="M47" s="26" t="s">
        <v>265</v>
      </c>
      <c r="N47" s="26" t="s">
        <v>265</v>
      </c>
      <c r="O47" s="26" t="s">
        <v>265</v>
      </c>
      <c r="P47" s="26" t="s">
        <v>265</v>
      </c>
      <c r="Q47" s="26" t="s">
        <v>265</v>
      </c>
      <c r="R47" s="26" t="s">
        <v>265</v>
      </c>
      <c r="S47" s="26" t="s">
        <v>265</v>
      </c>
      <c r="T47" s="26" t="s">
        <v>265</v>
      </c>
      <c r="U47" s="26" t="s">
        <v>265</v>
      </c>
      <c r="V47" s="26" t="s">
        <v>265</v>
      </c>
      <c r="W47" s="26" t="s">
        <v>265</v>
      </c>
      <c r="X47" s="26" t="s">
        <v>265</v>
      </c>
      <c r="Y47" s="26" t="s">
        <v>265</v>
      </c>
      <c r="Z47" s="26" t="s">
        <v>265</v>
      </c>
      <c r="AA47" s="26" t="s">
        <v>265</v>
      </c>
      <c r="AB47" s="26" t="s">
        <v>265</v>
      </c>
      <c r="AC47" s="26" t="s">
        <v>352</v>
      </c>
      <c r="AD47" s="26" t="s">
        <v>352</v>
      </c>
      <c r="AE47" s="26">
        <v>1</v>
      </c>
      <c r="AF47" s="26">
        <v>12</v>
      </c>
      <c r="AG47" s="26">
        <v>365</v>
      </c>
      <c r="AH47" s="26" t="s">
        <v>265</v>
      </c>
      <c r="AI47" s="26" t="s">
        <v>352</v>
      </c>
      <c r="AJ47" s="26" t="s">
        <v>265</v>
      </c>
      <c r="AK47" s="26" t="s">
        <v>265</v>
      </c>
      <c r="AL47" s="26" t="s">
        <v>265</v>
      </c>
      <c r="AM47" s="26">
        <v>3.48</v>
      </c>
      <c r="AN47" s="26">
        <v>101</v>
      </c>
      <c r="AO47" s="37">
        <v>1211</v>
      </c>
      <c r="AP47" s="26" t="s">
        <v>352</v>
      </c>
      <c r="AQ47" s="26" t="s">
        <v>265</v>
      </c>
      <c r="AR47" s="26">
        <v>20</v>
      </c>
      <c r="AS47" s="26">
        <v>50</v>
      </c>
      <c r="AT47" s="26">
        <v>0.7</v>
      </c>
      <c r="AU47" s="26">
        <v>65</v>
      </c>
      <c r="AV47" s="26">
        <v>16</v>
      </c>
      <c r="AW47" s="26" t="s">
        <v>352</v>
      </c>
      <c r="AX47" s="26" t="s">
        <v>265</v>
      </c>
      <c r="AY47" s="26" t="s">
        <v>352</v>
      </c>
      <c r="AZ47" s="26" t="s">
        <v>265</v>
      </c>
      <c r="BA47" s="26" t="s">
        <v>265</v>
      </c>
      <c r="BB47" s="26" t="s">
        <v>265</v>
      </c>
    </row>
    <row r="48" spans="1:54" ht="20.100000000000001" customHeight="1" x14ac:dyDescent="0.3">
      <c r="A48" s="26" t="s">
        <v>470</v>
      </c>
      <c r="B48" s="26" t="s">
        <v>265</v>
      </c>
      <c r="C48" s="26" t="s">
        <v>352</v>
      </c>
      <c r="D48" s="26" t="s">
        <v>265</v>
      </c>
      <c r="E48" s="26" t="s">
        <v>517</v>
      </c>
      <c r="F48" s="26" t="s">
        <v>352</v>
      </c>
      <c r="G48" s="26" t="s">
        <v>265</v>
      </c>
      <c r="H48" s="26" t="s">
        <v>352</v>
      </c>
      <c r="I48" s="26" t="s">
        <v>265</v>
      </c>
      <c r="J48" s="26" t="s">
        <v>265</v>
      </c>
      <c r="K48" s="26" t="s">
        <v>265</v>
      </c>
      <c r="L48" s="26" t="s">
        <v>265</v>
      </c>
      <c r="M48" s="26" t="s">
        <v>265</v>
      </c>
      <c r="N48" s="26" t="s">
        <v>265</v>
      </c>
      <c r="O48" s="26" t="s">
        <v>265</v>
      </c>
      <c r="P48" s="26" t="s">
        <v>265</v>
      </c>
      <c r="Q48" s="26" t="s">
        <v>265</v>
      </c>
      <c r="R48" s="26" t="s">
        <v>265</v>
      </c>
      <c r="S48" s="26" t="s">
        <v>265</v>
      </c>
      <c r="T48" s="26" t="s">
        <v>265</v>
      </c>
      <c r="U48" s="26" t="s">
        <v>265</v>
      </c>
      <c r="V48" s="26" t="s">
        <v>265</v>
      </c>
      <c r="W48" s="26" t="s">
        <v>265</v>
      </c>
      <c r="X48" s="26" t="s">
        <v>265</v>
      </c>
      <c r="Y48" s="26" t="s">
        <v>265</v>
      </c>
      <c r="Z48" s="26" t="s">
        <v>265</v>
      </c>
      <c r="AA48" s="26" t="s">
        <v>265</v>
      </c>
      <c r="AB48" s="26" t="s">
        <v>265</v>
      </c>
      <c r="AC48" s="26" t="s">
        <v>352</v>
      </c>
      <c r="AD48" s="26" t="s">
        <v>352</v>
      </c>
      <c r="AE48" s="26">
        <v>1</v>
      </c>
      <c r="AF48" s="26">
        <v>12</v>
      </c>
      <c r="AG48" s="26">
        <v>365</v>
      </c>
      <c r="AH48" s="26" t="s">
        <v>265</v>
      </c>
      <c r="AI48" s="26" t="s">
        <v>352</v>
      </c>
      <c r="AJ48" s="26" t="s">
        <v>265</v>
      </c>
      <c r="AK48" s="26" t="s">
        <v>265</v>
      </c>
      <c r="AL48" s="26" t="s">
        <v>265</v>
      </c>
      <c r="AM48" s="26">
        <v>3.02</v>
      </c>
      <c r="AN48" s="26">
        <v>88</v>
      </c>
      <c r="AO48" s="37">
        <v>1051</v>
      </c>
      <c r="AP48" s="26" t="s">
        <v>352</v>
      </c>
      <c r="AQ48" s="26" t="s">
        <v>265</v>
      </c>
      <c r="AR48" s="26">
        <v>20</v>
      </c>
      <c r="AS48" s="26">
        <v>30</v>
      </c>
      <c r="AT48" s="26">
        <v>0.7</v>
      </c>
      <c r="AU48" s="26">
        <v>43</v>
      </c>
      <c r="AV48" s="26">
        <v>13</v>
      </c>
      <c r="AW48" s="26" t="s">
        <v>352</v>
      </c>
      <c r="AX48" s="26" t="s">
        <v>265</v>
      </c>
      <c r="AY48" s="26" t="s">
        <v>352</v>
      </c>
      <c r="AZ48" s="26" t="s">
        <v>265</v>
      </c>
      <c r="BA48" s="26" t="s">
        <v>265</v>
      </c>
      <c r="BB48" s="26" t="s">
        <v>265</v>
      </c>
    </row>
    <row r="49" spans="1:54" ht="20.100000000000001" customHeight="1" x14ac:dyDescent="0.3">
      <c r="A49" s="26" t="s">
        <v>470</v>
      </c>
      <c r="B49" s="26" t="s">
        <v>265</v>
      </c>
      <c r="C49" s="26" t="s">
        <v>352</v>
      </c>
      <c r="D49" s="26" t="s">
        <v>265</v>
      </c>
      <c r="E49" s="26" t="s">
        <v>518</v>
      </c>
      <c r="F49" s="26" t="s">
        <v>352</v>
      </c>
      <c r="G49" s="26" t="s">
        <v>265</v>
      </c>
      <c r="H49" s="26" t="s">
        <v>352</v>
      </c>
      <c r="I49" s="26" t="s">
        <v>265</v>
      </c>
      <c r="J49" s="26" t="s">
        <v>265</v>
      </c>
      <c r="K49" s="26" t="s">
        <v>265</v>
      </c>
      <c r="L49" s="26" t="s">
        <v>265</v>
      </c>
      <c r="M49" s="26" t="s">
        <v>265</v>
      </c>
      <c r="N49" s="26" t="s">
        <v>265</v>
      </c>
      <c r="O49" s="26" t="s">
        <v>265</v>
      </c>
      <c r="P49" s="26" t="s">
        <v>265</v>
      </c>
      <c r="Q49" s="26" t="s">
        <v>265</v>
      </c>
      <c r="R49" s="26" t="s">
        <v>265</v>
      </c>
      <c r="S49" s="26" t="s">
        <v>265</v>
      </c>
      <c r="T49" s="26" t="s">
        <v>265</v>
      </c>
      <c r="U49" s="26" t="s">
        <v>265</v>
      </c>
      <c r="V49" s="26" t="s">
        <v>265</v>
      </c>
      <c r="W49" s="26" t="s">
        <v>265</v>
      </c>
      <c r="X49" s="26" t="s">
        <v>265</v>
      </c>
      <c r="Y49" s="26" t="s">
        <v>265</v>
      </c>
      <c r="Z49" s="26" t="s">
        <v>265</v>
      </c>
      <c r="AA49" s="26" t="s">
        <v>265</v>
      </c>
      <c r="AB49" s="26" t="s">
        <v>265</v>
      </c>
      <c r="AC49" s="26" t="s">
        <v>352</v>
      </c>
      <c r="AD49" s="26" t="s">
        <v>352</v>
      </c>
      <c r="AE49" s="26">
        <v>1</v>
      </c>
      <c r="AF49" s="26">
        <v>12</v>
      </c>
      <c r="AG49" s="26">
        <v>365</v>
      </c>
      <c r="AH49" s="26" t="s">
        <v>265</v>
      </c>
      <c r="AI49" s="26" t="s">
        <v>352</v>
      </c>
      <c r="AJ49" s="26" t="s">
        <v>265</v>
      </c>
      <c r="AK49" s="26" t="s">
        <v>265</v>
      </c>
      <c r="AL49" s="26" t="s">
        <v>265</v>
      </c>
      <c r="AM49" s="26">
        <v>3.48</v>
      </c>
      <c r="AN49" s="26">
        <v>101</v>
      </c>
      <c r="AO49" s="37">
        <v>1211</v>
      </c>
      <c r="AP49" s="26" t="s">
        <v>352</v>
      </c>
      <c r="AQ49" s="26" t="s">
        <v>265</v>
      </c>
      <c r="AR49" s="26">
        <v>20</v>
      </c>
      <c r="AS49" s="26">
        <v>25</v>
      </c>
      <c r="AT49" s="26">
        <v>1.2</v>
      </c>
      <c r="AU49" s="26">
        <v>65</v>
      </c>
      <c r="AV49" s="26">
        <v>25</v>
      </c>
      <c r="AW49" s="26" t="s">
        <v>352</v>
      </c>
      <c r="AX49" s="26" t="s">
        <v>265</v>
      </c>
      <c r="AY49" s="26" t="s">
        <v>352</v>
      </c>
      <c r="AZ49" s="26" t="s">
        <v>265</v>
      </c>
      <c r="BA49" s="26" t="s">
        <v>265</v>
      </c>
      <c r="BB49" s="26" t="s">
        <v>265</v>
      </c>
    </row>
    <row r="50" spans="1:54" ht="20.100000000000001" customHeight="1" x14ac:dyDescent="0.3">
      <c r="A50" s="26" t="s">
        <v>470</v>
      </c>
      <c r="B50" s="26" t="s">
        <v>265</v>
      </c>
      <c r="C50" s="26" t="s">
        <v>352</v>
      </c>
      <c r="D50" s="26" t="s">
        <v>265</v>
      </c>
      <c r="E50" s="26" t="s">
        <v>519</v>
      </c>
      <c r="F50" s="26" t="s">
        <v>352</v>
      </c>
      <c r="G50" s="26" t="s">
        <v>265</v>
      </c>
      <c r="H50" s="26" t="s">
        <v>352</v>
      </c>
      <c r="I50" s="26" t="s">
        <v>265</v>
      </c>
      <c r="J50" s="26" t="s">
        <v>265</v>
      </c>
      <c r="K50" s="26" t="s">
        <v>265</v>
      </c>
      <c r="L50" s="26" t="s">
        <v>265</v>
      </c>
      <c r="M50" s="26" t="s">
        <v>265</v>
      </c>
      <c r="N50" s="26" t="s">
        <v>265</v>
      </c>
      <c r="O50" s="26" t="s">
        <v>265</v>
      </c>
      <c r="P50" s="26" t="s">
        <v>265</v>
      </c>
      <c r="Q50" s="26" t="s">
        <v>265</v>
      </c>
      <c r="R50" s="26" t="s">
        <v>265</v>
      </c>
      <c r="S50" s="26" t="s">
        <v>265</v>
      </c>
      <c r="T50" s="26" t="s">
        <v>265</v>
      </c>
      <c r="U50" s="26" t="s">
        <v>265</v>
      </c>
      <c r="V50" s="26" t="s">
        <v>265</v>
      </c>
      <c r="W50" s="26" t="s">
        <v>265</v>
      </c>
      <c r="X50" s="26" t="s">
        <v>265</v>
      </c>
      <c r="Y50" s="26" t="s">
        <v>265</v>
      </c>
      <c r="Z50" s="26" t="s">
        <v>265</v>
      </c>
      <c r="AA50" s="26" t="s">
        <v>265</v>
      </c>
      <c r="AB50" s="26" t="s">
        <v>265</v>
      </c>
      <c r="AC50" s="26" t="s">
        <v>352</v>
      </c>
      <c r="AD50" s="26" t="s">
        <v>352</v>
      </c>
      <c r="AE50" s="26">
        <v>1</v>
      </c>
      <c r="AF50" s="26">
        <v>12</v>
      </c>
      <c r="AG50" s="26">
        <v>365</v>
      </c>
      <c r="AH50" s="26" t="s">
        <v>265</v>
      </c>
      <c r="AI50" s="26" t="s">
        <v>352</v>
      </c>
      <c r="AJ50" s="26" t="s">
        <v>265</v>
      </c>
      <c r="AK50" s="26" t="s">
        <v>265</v>
      </c>
      <c r="AL50" s="26" t="s">
        <v>265</v>
      </c>
      <c r="AM50" s="26">
        <v>3.02</v>
      </c>
      <c r="AN50" s="26">
        <v>88</v>
      </c>
      <c r="AO50" s="37">
        <v>1051</v>
      </c>
      <c r="AP50" s="26" t="s">
        <v>352</v>
      </c>
      <c r="AQ50" s="26" t="s">
        <v>265</v>
      </c>
      <c r="AR50" s="26">
        <v>15</v>
      </c>
      <c r="AS50" s="26">
        <v>32</v>
      </c>
      <c r="AT50" s="26">
        <v>0.7</v>
      </c>
      <c r="AU50" s="26">
        <v>43</v>
      </c>
      <c r="AV50" s="26">
        <v>20</v>
      </c>
      <c r="AW50" s="26" t="s">
        <v>352</v>
      </c>
      <c r="AX50" s="26" t="s">
        <v>265</v>
      </c>
      <c r="AY50" s="26" t="s">
        <v>352</v>
      </c>
      <c r="AZ50" s="26" t="s">
        <v>265</v>
      </c>
      <c r="BA50" s="26" t="s">
        <v>265</v>
      </c>
      <c r="BB50" s="26" t="s">
        <v>265</v>
      </c>
    </row>
    <row r="51" spans="1:54" ht="20.100000000000001" customHeight="1" x14ac:dyDescent="0.3">
      <c r="A51" s="26" t="s">
        <v>470</v>
      </c>
      <c r="B51" s="26" t="s">
        <v>265</v>
      </c>
      <c r="C51" s="26" t="s">
        <v>352</v>
      </c>
      <c r="D51" s="26" t="s">
        <v>265</v>
      </c>
      <c r="E51" s="26" t="s">
        <v>520</v>
      </c>
      <c r="F51" s="26" t="s">
        <v>352</v>
      </c>
      <c r="G51" s="26" t="s">
        <v>265</v>
      </c>
      <c r="H51" s="26" t="s">
        <v>352</v>
      </c>
      <c r="I51" s="26" t="s">
        <v>265</v>
      </c>
      <c r="J51" s="26" t="s">
        <v>265</v>
      </c>
      <c r="K51" s="26" t="s">
        <v>265</v>
      </c>
      <c r="L51" s="26" t="s">
        <v>265</v>
      </c>
      <c r="M51" s="26" t="s">
        <v>265</v>
      </c>
      <c r="N51" s="26" t="s">
        <v>265</v>
      </c>
      <c r="O51" s="26" t="s">
        <v>265</v>
      </c>
      <c r="P51" s="26" t="s">
        <v>265</v>
      </c>
      <c r="Q51" s="26" t="s">
        <v>265</v>
      </c>
      <c r="R51" s="26" t="s">
        <v>265</v>
      </c>
      <c r="S51" s="26" t="s">
        <v>265</v>
      </c>
      <c r="T51" s="26" t="s">
        <v>265</v>
      </c>
      <c r="U51" s="26" t="s">
        <v>265</v>
      </c>
      <c r="V51" s="26" t="s">
        <v>265</v>
      </c>
      <c r="W51" s="26" t="s">
        <v>265</v>
      </c>
      <c r="X51" s="26" t="s">
        <v>265</v>
      </c>
      <c r="Y51" s="26" t="s">
        <v>265</v>
      </c>
      <c r="Z51" s="26" t="s">
        <v>265</v>
      </c>
      <c r="AA51" s="26" t="s">
        <v>265</v>
      </c>
      <c r="AB51" s="26" t="s">
        <v>265</v>
      </c>
      <c r="AC51" s="26" t="s">
        <v>352</v>
      </c>
      <c r="AD51" s="26" t="s">
        <v>352</v>
      </c>
      <c r="AE51" s="26">
        <v>1</v>
      </c>
      <c r="AF51" s="26">
        <v>12</v>
      </c>
      <c r="AG51" s="26">
        <v>365</v>
      </c>
      <c r="AH51" s="26" t="s">
        <v>265</v>
      </c>
      <c r="AI51" s="26" t="s">
        <v>352</v>
      </c>
      <c r="AJ51" s="26" t="s">
        <v>265</v>
      </c>
      <c r="AK51" s="26" t="s">
        <v>265</v>
      </c>
      <c r="AL51" s="26" t="s">
        <v>265</v>
      </c>
      <c r="AM51" s="26">
        <v>2.75</v>
      </c>
      <c r="AN51" s="26">
        <v>80</v>
      </c>
      <c r="AO51" s="26">
        <v>957</v>
      </c>
      <c r="AP51" s="26" t="s">
        <v>352</v>
      </c>
      <c r="AQ51" s="26" t="s">
        <v>265</v>
      </c>
      <c r="AR51" s="26">
        <v>15</v>
      </c>
      <c r="AS51" s="26">
        <v>25</v>
      </c>
      <c r="AT51" s="26">
        <v>0.6</v>
      </c>
      <c r="AU51" s="26">
        <v>30</v>
      </c>
      <c r="AV51" s="26">
        <v>20</v>
      </c>
      <c r="AW51" s="26" t="s">
        <v>352</v>
      </c>
      <c r="AX51" s="26" t="s">
        <v>265</v>
      </c>
      <c r="AY51" s="26" t="s">
        <v>352</v>
      </c>
      <c r="AZ51" s="26" t="s">
        <v>265</v>
      </c>
      <c r="BA51" s="26" t="s">
        <v>265</v>
      </c>
      <c r="BB51" s="26" t="s">
        <v>265</v>
      </c>
    </row>
    <row r="52" spans="1:54" ht="20.100000000000001" customHeight="1" x14ac:dyDescent="0.3">
      <c r="A52" s="26" t="s">
        <v>470</v>
      </c>
      <c r="B52" s="26" t="s">
        <v>265</v>
      </c>
      <c r="C52" s="26" t="s">
        <v>352</v>
      </c>
      <c r="D52" s="26" t="s">
        <v>265</v>
      </c>
      <c r="E52" s="26" t="s">
        <v>521</v>
      </c>
      <c r="F52" s="26" t="s">
        <v>352</v>
      </c>
      <c r="G52" s="26" t="s">
        <v>265</v>
      </c>
      <c r="H52" s="26" t="s">
        <v>352</v>
      </c>
      <c r="I52" s="26" t="s">
        <v>265</v>
      </c>
      <c r="J52" s="26" t="s">
        <v>265</v>
      </c>
      <c r="K52" s="26" t="s">
        <v>265</v>
      </c>
      <c r="L52" s="26" t="s">
        <v>265</v>
      </c>
      <c r="M52" s="26" t="s">
        <v>265</v>
      </c>
      <c r="N52" s="26" t="s">
        <v>265</v>
      </c>
      <c r="O52" s="26" t="s">
        <v>265</v>
      </c>
      <c r="P52" s="26" t="s">
        <v>265</v>
      </c>
      <c r="Q52" s="26" t="s">
        <v>265</v>
      </c>
      <c r="R52" s="26" t="s">
        <v>265</v>
      </c>
      <c r="S52" s="26" t="s">
        <v>265</v>
      </c>
      <c r="T52" s="26" t="s">
        <v>265</v>
      </c>
      <c r="U52" s="26" t="s">
        <v>265</v>
      </c>
      <c r="V52" s="26" t="s">
        <v>265</v>
      </c>
      <c r="W52" s="26" t="s">
        <v>265</v>
      </c>
      <c r="X52" s="26" t="s">
        <v>265</v>
      </c>
      <c r="Y52" s="26" t="s">
        <v>265</v>
      </c>
      <c r="Z52" s="26" t="s">
        <v>265</v>
      </c>
      <c r="AA52" s="26" t="s">
        <v>265</v>
      </c>
      <c r="AB52" s="26" t="s">
        <v>265</v>
      </c>
      <c r="AC52" s="26" t="s">
        <v>352</v>
      </c>
      <c r="AD52" s="26" t="s">
        <v>352</v>
      </c>
      <c r="AE52" s="26">
        <v>1</v>
      </c>
      <c r="AF52" s="26">
        <v>12</v>
      </c>
      <c r="AG52" s="26">
        <v>365</v>
      </c>
      <c r="AH52" s="26" t="s">
        <v>265</v>
      </c>
      <c r="AI52" s="26" t="s">
        <v>352</v>
      </c>
      <c r="AJ52" s="26" t="s">
        <v>265</v>
      </c>
      <c r="AK52" s="26" t="s">
        <v>265</v>
      </c>
      <c r="AL52" s="26" t="s">
        <v>265</v>
      </c>
      <c r="AM52" s="26">
        <v>4.22</v>
      </c>
      <c r="AN52" s="26">
        <v>122</v>
      </c>
      <c r="AO52" s="37">
        <v>1469</v>
      </c>
      <c r="AP52" s="26" t="s">
        <v>352</v>
      </c>
      <c r="AQ52" s="26" t="s">
        <v>265</v>
      </c>
      <c r="AR52" s="26">
        <v>98</v>
      </c>
      <c r="AS52" s="26">
        <v>30</v>
      </c>
      <c r="AT52" s="26">
        <v>2</v>
      </c>
      <c r="AU52" s="26">
        <v>100</v>
      </c>
      <c r="AV52" s="26">
        <v>25</v>
      </c>
      <c r="AW52" s="26" t="s">
        <v>352</v>
      </c>
      <c r="AX52" s="26" t="s">
        <v>265</v>
      </c>
      <c r="AY52" s="26" t="s">
        <v>352</v>
      </c>
      <c r="AZ52" s="26" t="s">
        <v>265</v>
      </c>
      <c r="BA52" s="26" t="s">
        <v>265</v>
      </c>
      <c r="BB52" s="26" t="s">
        <v>265</v>
      </c>
    </row>
    <row r="53" spans="1:54" ht="20.100000000000001" customHeight="1" x14ac:dyDescent="0.3">
      <c r="A53" s="26" t="s">
        <v>470</v>
      </c>
      <c r="B53" s="26" t="s">
        <v>265</v>
      </c>
      <c r="C53" s="26" t="s">
        <v>352</v>
      </c>
      <c r="D53" s="26" t="s">
        <v>265</v>
      </c>
      <c r="E53" s="26" t="s">
        <v>522</v>
      </c>
      <c r="F53" s="26" t="s">
        <v>352</v>
      </c>
      <c r="G53" s="26" t="s">
        <v>265</v>
      </c>
      <c r="H53" s="26" t="s">
        <v>352</v>
      </c>
      <c r="I53" s="26" t="s">
        <v>265</v>
      </c>
      <c r="J53" s="26" t="s">
        <v>265</v>
      </c>
      <c r="K53" s="26" t="s">
        <v>265</v>
      </c>
      <c r="L53" s="26" t="s">
        <v>265</v>
      </c>
      <c r="M53" s="26" t="s">
        <v>265</v>
      </c>
      <c r="N53" s="26" t="s">
        <v>265</v>
      </c>
      <c r="O53" s="26" t="s">
        <v>265</v>
      </c>
      <c r="P53" s="26" t="s">
        <v>265</v>
      </c>
      <c r="Q53" s="26" t="s">
        <v>265</v>
      </c>
      <c r="R53" s="26" t="s">
        <v>265</v>
      </c>
      <c r="S53" s="26" t="s">
        <v>265</v>
      </c>
      <c r="T53" s="26" t="s">
        <v>265</v>
      </c>
      <c r="U53" s="26" t="s">
        <v>265</v>
      </c>
      <c r="V53" s="26" t="s">
        <v>265</v>
      </c>
      <c r="W53" s="26" t="s">
        <v>265</v>
      </c>
      <c r="X53" s="26" t="s">
        <v>265</v>
      </c>
      <c r="Y53" s="26" t="s">
        <v>265</v>
      </c>
      <c r="Z53" s="26" t="s">
        <v>265</v>
      </c>
      <c r="AA53" s="26" t="s">
        <v>265</v>
      </c>
      <c r="AB53" s="26" t="s">
        <v>265</v>
      </c>
      <c r="AC53" s="26" t="s">
        <v>352</v>
      </c>
      <c r="AD53" s="26" t="s">
        <v>352</v>
      </c>
      <c r="AE53" s="26">
        <v>1</v>
      </c>
      <c r="AF53" s="26">
        <v>12</v>
      </c>
      <c r="AG53" s="26">
        <v>365</v>
      </c>
      <c r="AH53" s="26" t="s">
        <v>265</v>
      </c>
      <c r="AI53" s="26" t="s">
        <v>352</v>
      </c>
      <c r="AJ53" s="26" t="s">
        <v>265</v>
      </c>
      <c r="AK53" s="26" t="s">
        <v>265</v>
      </c>
      <c r="AL53" s="26" t="s">
        <v>265</v>
      </c>
      <c r="AM53" s="26">
        <v>3.44</v>
      </c>
      <c r="AN53" s="26">
        <v>100</v>
      </c>
      <c r="AO53" s="37">
        <v>1197</v>
      </c>
      <c r="AP53" s="26" t="s">
        <v>265</v>
      </c>
      <c r="AQ53" s="26" t="s">
        <v>352</v>
      </c>
      <c r="AR53" s="26">
        <v>60</v>
      </c>
      <c r="AS53" s="26">
        <v>200</v>
      </c>
      <c r="AT53" s="26">
        <v>1</v>
      </c>
      <c r="AU53" s="26">
        <v>63</v>
      </c>
      <c r="AV53" s="26">
        <v>32</v>
      </c>
      <c r="AW53" s="26" t="s">
        <v>352</v>
      </c>
      <c r="AX53" s="26" t="s">
        <v>265</v>
      </c>
      <c r="AY53" s="26" t="s">
        <v>352</v>
      </c>
      <c r="AZ53" s="26" t="s">
        <v>265</v>
      </c>
      <c r="BA53" s="26" t="s">
        <v>265</v>
      </c>
      <c r="BB53" s="26" t="s">
        <v>265</v>
      </c>
    </row>
    <row r="54" spans="1:54" ht="20.100000000000001" customHeight="1" x14ac:dyDescent="0.3">
      <c r="A54" s="26" t="s">
        <v>470</v>
      </c>
      <c r="B54" s="26" t="s">
        <v>265</v>
      </c>
      <c r="C54" s="26" t="s">
        <v>352</v>
      </c>
      <c r="D54" s="26" t="s">
        <v>265</v>
      </c>
      <c r="E54" s="26" t="s">
        <v>523</v>
      </c>
      <c r="F54" s="26" t="s">
        <v>352</v>
      </c>
      <c r="G54" s="26" t="s">
        <v>265</v>
      </c>
      <c r="H54" s="26" t="s">
        <v>265</v>
      </c>
      <c r="I54" s="26" t="s">
        <v>265</v>
      </c>
      <c r="J54" s="26" t="s">
        <v>352</v>
      </c>
      <c r="K54" s="26" t="s">
        <v>265</v>
      </c>
      <c r="L54" s="26" t="s">
        <v>265</v>
      </c>
      <c r="M54" s="26" t="s">
        <v>265</v>
      </c>
      <c r="N54" s="26" t="s">
        <v>265</v>
      </c>
      <c r="O54" s="26" t="s">
        <v>265</v>
      </c>
      <c r="P54" s="26" t="s">
        <v>265</v>
      </c>
      <c r="Q54" s="26" t="s">
        <v>265</v>
      </c>
      <c r="R54" s="26" t="s">
        <v>265</v>
      </c>
      <c r="S54" s="26" t="s">
        <v>265</v>
      </c>
      <c r="T54" s="26" t="s">
        <v>265</v>
      </c>
      <c r="U54" s="26" t="s">
        <v>265</v>
      </c>
      <c r="V54" s="26" t="s">
        <v>265</v>
      </c>
      <c r="W54" s="26" t="s">
        <v>265</v>
      </c>
      <c r="X54" s="26" t="s">
        <v>265</v>
      </c>
      <c r="Y54" s="26" t="s">
        <v>265</v>
      </c>
      <c r="Z54" s="26" t="s">
        <v>265</v>
      </c>
      <c r="AA54" s="26" t="s">
        <v>265</v>
      </c>
      <c r="AB54" s="26" t="s">
        <v>352</v>
      </c>
      <c r="AC54" s="26" t="s">
        <v>265</v>
      </c>
      <c r="AD54" s="26" t="s">
        <v>352</v>
      </c>
      <c r="AE54" s="26">
        <v>1</v>
      </c>
      <c r="AF54" s="26">
        <v>12</v>
      </c>
      <c r="AG54" s="26">
        <v>365</v>
      </c>
      <c r="AH54" s="26" t="s">
        <v>265</v>
      </c>
      <c r="AI54" s="26" t="s">
        <v>352</v>
      </c>
      <c r="AJ54" s="26" t="s">
        <v>265</v>
      </c>
      <c r="AK54" s="26" t="s">
        <v>265</v>
      </c>
      <c r="AL54" s="26" t="s">
        <v>265</v>
      </c>
      <c r="AM54" s="26">
        <v>4.6399999999999997</v>
      </c>
      <c r="AN54" s="26">
        <v>135</v>
      </c>
      <c r="AO54" s="37">
        <v>1615</v>
      </c>
      <c r="AP54" s="26" t="s">
        <v>265</v>
      </c>
      <c r="AQ54" s="26" t="s">
        <v>352</v>
      </c>
      <c r="AR54" s="26">
        <v>100</v>
      </c>
      <c r="AS54" s="26">
        <v>200</v>
      </c>
      <c r="AT54" s="26">
        <v>5</v>
      </c>
      <c r="AU54" s="26">
        <v>120</v>
      </c>
      <c r="AV54" s="26">
        <v>40</v>
      </c>
      <c r="AW54" s="26" t="s">
        <v>352</v>
      </c>
      <c r="AX54" s="26" t="s">
        <v>265</v>
      </c>
      <c r="AY54" s="26" t="s">
        <v>352</v>
      </c>
      <c r="AZ54" s="26" t="s">
        <v>265</v>
      </c>
      <c r="BA54" s="26" t="s">
        <v>265</v>
      </c>
      <c r="BB54" s="26" t="s">
        <v>265</v>
      </c>
    </row>
    <row r="55" spans="1:54" ht="20.100000000000001" customHeight="1" x14ac:dyDescent="0.3">
      <c r="A55" s="26" t="s">
        <v>470</v>
      </c>
      <c r="B55" s="26" t="s">
        <v>265</v>
      </c>
      <c r="C55" s="26" t="s">
        <v>352</v>
      </c>
      <c r="D55" s="26" t="s">
        <v>265</v>
      </c>
      <c r="E55" s="26" t="s">
        <v>524</v>
      </c>
      <c r="F55" s="26" t="s">
        <v>352</v>
      </c>
      <c r="G55" s="26" t="s">
        <v>265</v>
      </c>
      <c r="H55" s="26" t="s">
        <v>352</v>
      </c>
      <c r="I55" s="26" t="s">
        <v>265</v>
      </c>
      <c r="J55" s="26" t="s">
        <v>265</v>
      </c>
      <c r="K55" s="26" t="s">
        <v>265</v>
      </c>
      <c r="L55" s="26" t="s">
        <v>265</v>
      </c>
      <c r="M55" s="26" t="s">
        <v>265</v>
      </c>
      <c r="N55" s="26" t="s">
        <v>265</v>
      </c>
      <c r="O55" s="26" t="s">
        <v>265</v>
      </c>
      <c r="P55" s="26" t="s">
        <v>265</v>
      </c>
      <c r="Q55" s="26" t="s">
        <v>265</v>
      </c>
      <c r="R55" s="26" t="s">
        <v>265</v>
      </c>
      <c r="S55" s="26" t="s">
        <v>265</v>
      </c>
      <c r="T55" s="26" t="s">
        <v>265</v>
      </c>
      <c r="U55" s="26" t="s">
        <v>265</v>
      </c>
      <c r="V55" s="26" t="s">
        <v>265</v>
      </c>
      <c r="W55" s="26" t="s">
        <v>265</v>
      </c>
      <c r="X55" s="26" t="s">
        <v>265</v>
      </c>
      <c r="Y55" s="26" t="s">
        <v>265</v>
      </c>
      <c r="Z55" s="26" t="s">
        <v>265</v>
      </c>
      <c r="AA55" s="26" t="s">
        <v>265</v>
      </c>
      <c r="AB55" s="26" t="s">
        <v>265</v>
      </c>
      <c r="AC55" s="26" t="s">
        <v>352</v>
      </c>
      <c r="AD55" s="26" t="s">
        <v>352</v>
      </c>
      <c r="AE55" s="26">
        <v>1</v>
      </c>
      <c r="AF55" s="26">
        <v>12</v>
      </c>
      <c r="AG55" s="26">
        <v>365</v>
      </c>
      <c r="AH55" s="26" t="s">
        <v>265</v>
      </c>
      <c r="AI55" s="26" t="s">
        <v>352</v>
      </c>
      <c r="AJ55" s="26" t="s">
        <v>265</v>
      </c>
      <c r="AK55" s="26" t="s">
        <v>265</v>
      </c>
      <c r="AL55" s="26" t="s">
        <v>265</v>
      </c>
      <c r="AM55" s="26">
        <v>3.02</v>
      </c>
      <c r="AN55" s="26">
        <v>88</v>
      </c>
      <c r="AO55" s="37">
        <v>1051</v>
      </c>
      <c r="AP55" s="26" t="s">
        <v>265</v>
      </c>
      <c r="AQ55" s="26" t="s">
        <v>352</v>
      </c>
      <c r="AR55" s="26">
        <v>150</v>
      </c>
      <c r="AS55" s="26">
        <v>200</v>
      </c>
      <c r="AT55" s="26">
        <v>1</v>
      </c>
      <c r="AU55" s="26">
        <v>43</v>
      </c>
      <c r="AV55" s="26">
        <v>25</v>
      </c>
      <c r="AW55" s="26" t="s">
        <v>352</v>
      </c>
      <c r="AX55" s="26" t="s">
        <v>265</v>
      </c>
      <c r="AY55" s="26" t="s">
        <v>352</v>
      </c>
      <c r="AZ55" s="26" t="s">
        <v>265</v>
      </c>
      <c r="BA55" s="26" t="s">
        <v>265</v>
      </c>
      <c r="BB55" s="26" t="s">
        <v>265</v>
      </c>
    </row>
    <row r="56" spans="1:54" ht="20.100000000000001" customHeight="1" x14ac:dyDescent="0.3">
      <c r="A56" s="26" t="s">
        <v>470</v>
      </c>
      <c r="B56" s="26" t="s">
        <v>265</v>
      </c>
      <c r="C56" s="26" t="s">
        <v>352</v>
      </c>
      <c r="D56" s="26" t="s">
        <v>265</v>
      </c>
      <c r="E56" s="26" t="s">
        <v>525</v>
      </c>
      <c r="F56" s="26" t="s">
        <v>352</v>
      </c>
      <c r="G56" s="26" t="s">
        <v>265</v>
      </c>
      <c r="H56" s="26" t="s">
        <v>352</v>
      </c>
      <c r="I56" s="26" t="s">
        <v>265</v>
      </c>
      <c r="J56" s="26" t="s">
        <v>265</v>
      </c>
      <c r="K56" s="26" t="s">
        <v>265</v>
      </c>
      <c r="L56" s="26" t="s">
        <v>265</v>
      </c>
      <c r="M56" s="26" t="s">
        <v>265</v>
      </c>
      <c r="N56" s="26" t="s">
        <v>265</v>
      </c>
      <c r="O56" s="26" t="s">
        <v>265</v>
      </c>
      <c r="P56" s="26" t="s">
        <v>265</v>
      </c>
      <c r="Q56" s="26" t="s">
        <v>265</v>
      </c>
      <c r="R56" s="26" t="s">
        <v>265</v>
      </c>
      <c r="S56" s="26" t="s">
        <v>265</v>
      </c>
      <c r="T56" s="26" t="s">
        <v>265</v>
      </c>
      <c r="U56" s="26" t="s">
        <v>265</v>
      </c>
      <c r="V56" s="26" t="s">
        <v>265</v>
      </c>
      <c r="W56" s="26" t="s">
        <v>265</v>
      </c>
      <c r="X56" s="26" t="s">
        <v>265</v>
      </c>
      <c r="Y56" s="26" t="s">
        <v>265</v>
      </c>
      <c r="Z56" s="26" t="s">
        <v>265</v>
      </c>
      <c r="AA56" s="26" t="s">
        <v>265</v>
      </c>
      <c r="AB56" s="26" t="s">
        <v>265</v>
      </c>
      <c r="AC56" s="26" t="s">
        <v>352</v>
      </c>
      <c r="AD56" s="26" t="s">
        <v>352</v>
      </c>
      <c r="AE56" s="26">
        <v>1</v>
      </c>
      <c r="AF56" s="26">
        <v>12</v>
      </c>
      <c r="AG56" s="26">
        <v>365</v>
      </c>
      <c r="AH56" s="26" t="s">
        <v>265</v>
      </c>
      <c r="AI56" s="26" t="s">
        <v>352</v>
      </c>
      <c r="AJ56" s="26" t="s">
        <v>265</v>
      </c>
      <c r="AK56" s="26" t="s">
        <v>265</v>
      </c>
      <c r="AL56" s="26" t="s">
        <v>265</v>
      </c>
      <c r="AM56" s="26">
        <v>8.76</v>
      </c>
      <c r="AN56" s="26">
        <v>254</v>
      </c>
      <c r="AO56" s="37">
        <v>3048</v>
      </c>
      <c r="AP56" s="26" t="s">
        <v>352</v>
      </c>
      <c r="AQ56" s="26" t="s">
        <v>265</v>
      </c>
      <c r="AR56" s="26">
        <v>30</v>
      </c>
      <c r="AS56" s="26">
        <v>75</v>
      </c>
      <c r="AT56" s="26">
        <v>15</v>
      </c>
      <c r="AU56" s="26">
        <v>316</v>
      </c>
      <c r="AV56" s="26">
        <v>75</v>
      </c>
      <c r="AW56" s="26" t="s">
        <v>352</v>
      </c>
      <c r="AX56" s="26" t="s">
        <v>265</v>
      </c>
      <c r="AY56" s="26" t="s">
        <v>352</v>
      </c>
      <c r="AZ56" s="26" t="s">
        <v>265</v>
      </c>
      <c r="BA56" s="26" t="s">
        <v>265</v>
      </c>
      <c r="BB56" s="26" t="s">
        <v>265</v>
      </c>
    </row>
    <row r="57" spans="1:54" ht="20.100000000000001" customHeight="1" x14ac:dyDescent="0.3">
      <c r="A57" s="26" t="s">
        <v>470</v>
      </c>
      <c r="B57" s="26" t="s">
        <v>265</v>
      </c>
      <c r="C57" s="26" t="s">
        <v>352</v>
      </c>
      <c r="D57" s="26" t="s">
        <v>265</v>
      </c>
      <c r="E57" s="26" t="s">
        <v>526</v>
      </c>
      <c r="F57" s="26" t="s">
        <v>352</v>
      </c>
      <c r="G57" s="26" t="s">
        <v>265</v>
      </c>
      <c r="H57" s="26" t="s">
        <v>352</v>
      </c>
      <c r="I57" s="26" t="s">
        <v>265</v>
      </c>
      <c r="J57" s="26" t="s">
        <v>265</v>
      </c>
      <c r="K57" s="26" t="s">
        <v>265</v>
      </c>
      <c r="L57" s="26" t="s">
        <v>265</v>
      </c>
      <c r="M57" s="26" t="s">
        <v>265</v>
      </c>
      <c r="N57" s="26" t="s">
        <v>265</v>
      </c>
      <c r="O57" s="26" t="s">
        <v>265</v>
      </c>
      <c r="P57" s="26" t="s">
        <v>265</v>
      </c>
      <c r="Q57" s="26" t="s">
        <v>265</v>
      </c>
      <c r="R57" s="26" t="s">
        <v>265</v>
      </c>
      <c r="S57" s="26" t="s">
        <v>265</v>
      </c>
      <c r="T57" s="26" t="s">
        <v>265</v>
      </c>
      <c r="U57" s="26" t="s">
        <v>265</v>
      </c>
      <c r="V57" s="26" t="s">
        <v>265</v>
      </c>
      <c r="W57" s="26" t="s">
        <v>265</v>
      </c>
      <c r="X57" s="26" t="s">
        <v>265</v>
      </c>
      <c r="Y57" s="26" t="s">
        <v>265</v>
      </c>
      <c r="Z57" s="26" t="s">
        <v>265</v>
      </c>
      <c r="AA57" s="26" t="s">
        <v>265</v>
      </c>
      <c r="AB57" s="26" t="s">
        <v>265</v>
      </c>
      <c r="AC57" s="26" t="s">
        <v>352</v>
      </c>
      <c r="AD57" s="26" t="s">
        <v>352</v>
      </c>
      <c r="AE57" s="26">
        <v>1</v>
      </c>
      <c r="AF57" s="26">
        <v>12</v>
      </c>
      <c r="AG57" s="26">
        <v>365</v>
      </c>
      <c r="AH57" s="26" t="s">
        <v>265</v>
      </c>
      <c r="AI57" s="26" t="s">
        <v>352</v>
      </c>
      <c r="AJ57" s="26" t="s">
        <v>265</v>
      </c>
      <c r="AK57" s="26" t="s">
        <v>265</v>
      </c>
      <c r="AL57" s="26" t="s">
        <v>265</v>
      </c>
      <c r="AM57" s="26">
        <v>4.1100000000000003</v>
      </c>
      <c r="AN57" s="26">
        <v>119</v>
      </c>
      <c r="AO57" s="37">
        <v>1430</v>
      </c>
      <c r="AP57" s="26" t="s">
        <v>265</v>
      </c>
      <c r="AQ57" s="26" t="s">
        <v>352</v>
      </c>
      <c r="AR57" s="26">
        <v>25</v>
      </c>
      <c r="AS57" s="26">
        <v>150</v>
      </c>
      <c r="AT57" s="26">
        <v>1</v>
      </c>
      <c r="AU57" s="26">
        <v>95</v>
      </c>
      <c r="AV57" s="26">
        <v>25</v>
      </c>
      <c r="AW57" s="26" t="s">
        <v>352</v>
      </c>
      <c r="AX57" s="26" t="s">
        <v>265</v>
      </c>
      <c r="AY57" s="26" t="s">
        <v>352</v>
      </c>
      <c r="AZ57" s="26" t="s">
        <v>265</v>
      </c>
      <c r="BA57" s="26" t="s">
        <v>265</v>
      </c>
      <c r="BB57" s="26" t="s">
        <v>265</v>
      </c>
    </row>
    <row r="58" spans="1:54" ht="20.100000000000001" customHeight="1" x14ac:dyDescent="0.3">
      <c r="A58" s="26" t="s">
        <v>470</v>
      </c>
      <c r="B58" s="26" t="s">
        <v>265</v>
      </c>
      <c r="C58" s="26" t="s">
        <v>352</v>
      </c>
      <c r="D58" s="26" t="s">
        <v>265</v>
      </c>
      <c r="E58" s="26" t="s">
        <v>527</v>
      </c>
      <c r="F58" s="26" t="s">
        <v>352</v>
      </c>
      <c r="G58" s="26" t="s">
        <v>265</v>
      </c>
      <c r="H58" s="26" t="s">
        <v>352</v>
      </c>
      <c r="I58" s="26" t="s">
        <v>265</v>
      </c>
      <c r="J58" s="26" t="s">
        <v>265</v>
      </c>
      <c r="K58" s="26" t="s">
        <v>265</v>
      </c>
      <c r="L58" s="26" t="s">
        <v>265</v>
      </c>
      <c r="M58" s="26" t="s">
        <v>265</v>
      </c>
      <c r="N58" s="26" t="s">
        <v>265</v>
      </c>
      <c r="O58" s="26" t="s">
        <v>265</v>
      </c>
      <c r="P58" s="26" t="s">
        <v>265</v>
      </c>
      <c r="Q58" s="26" t="s">
        <v>265</v>
      </c>
      <c r="R58" s="26" t="s">
        <v>265</v>
      </c>
      <c r="S58" s="26" t="s">
        <v>265</v>
      </c>
      <c r="T58" s="26" t="s">
        <v>265</v>
      </c>
      <c r="U58" s="26" t="s">
        <v>265</v>
      </c>
      <c r="V58" s="26" t="s">
        <v>265</v>
      </c>
      <c r="W58" s="26" t="s">
        <v>265</v>
      </c>
      <c r="X58" s="26" t="s">
        <v>265</v>
      </c>
      <c r="Y58" s="26" t="s">
        <v>265</v>
      </c>
      <c r="Z58" s="26" t="s">
        <v>265</v>
      </c>
      <c r="AA58" s="26" t="s">
        <v>265</v>
      </c>
      <c r="AB58" s="26" t="s">
        <v>265</v>
      </c>
      <c r="AC58" s="26" t="s">
        <v>352</v>
      </c>
      <c r="AD58" s="26" t="s">
        <v>352</v>
      </c>
      <c r="AE58" s="26">
        <v>1</v>
      </c>
      <c r="AF58" s="26">
        <v>12</v>
      </c>
      <c r="AG58" s="26">
        <v>365</v>
      </c>
      <c r="AH58" s="26" t="s">
        <v>265</v>
      </c>
      <c r="AI58" s="26" t="s">
        <v>352</v>
      </c>
      <c r="AJ58" s="26" t="s">
        <v>265</v>
      </c>
      <c r="AK58" s="26" t="s">
        <v>265</v>
      </c>
      <c r="AL58" s="26" t="s">
        <v>265</v>
      </c>
      <c r="AM58" s="26">
        <v>3.76</v>
      </c>
      <c r="AN58" s="26">
        <v>109</v>
      </c>
      <c r="AO58" s="37">
        <v>1308</v>
      </c>
      <c r="AP58" s="26" t="s">
        <v>265</v>
      </c>
      <c r="AQ58" s="26" t="s">
        <v>352</v>
      </c>
      <c r="AR58" s="26">
        <v>52</v>
      </c>
      <c r="AS58" s="26">
        <v>200</v>
      </c>
      <c r="AT58" s="26">
        <v>2</v>
      </c>
      <c r="AU58" s="26">
        <v>78</v>
      </c>
      <c r="AV58" s="26">
        <v>40</v>
      </c>
      <c r="AW58" s="26" t="s">
        <v>352</v>
      </c>
      <c r="AX58" s="26" t="s">
        <v>265</v>
      </c>
      <c r="AY58" s="26" t="s">
        <v>352</v>
      </c>
      <c r="AZ58" s="26" t="s">
        <v>265</v>
      </c>
      <c r="BA58" s="26" t="s">
        <v>265</v>
      </c>
      <c r="BB58" s="26" t="s">
        <v>265</v>
      </c>
    </row>
    <row r="59" spans="1:54" ht="20.100000000000001" customHeight="1" x14ac:dyDescent="0.3">
      <c r="A59" s="26" t="s">
        <v>470</v>
      </c>
      <c r="B59" s="26" t="s">
        <v>265</v>
      </c>
      <c r="C59" s="26" t="s">
        <v>352</v>
      </c>
      <c r="D59" s="26" t="s">
        <v>265</v>
      </c>
      <c r="E59" s="26" t="s">
        <v>528</v>
      </c>
      <c r="F59" s="26" t="s">
        <v>352</v>
      </c>
      <c r="G59" s="26" t="s">
        <v>265</v>
      </c>
      <c r="H59" s="26" t="s">
        <v>352</v>
      </c>
      <c r="I59" s="26" t="s">
        <v>265</v>
      </c>
      <c r="J59" s="26" t="s">
        <v>265</v>
      </c>
      <c r="K59" s="26" t="s">
        <v>265</v>
      </c>
      <c r="L59" s="26" t="s">
        <v>265</v>
      </c>
      <c r="M59" s="26" t="s">
        <v>265</v>
      </c>
      <c r="N59" s="26" t="s">
        <v>265</v>
      </c>
      <c r="O59" s="26" t="s">
        <v>265</v>
      </c>
      <c r="P59" s="26" t="s">
        <v>265</v>
      </c>
      <c r="Q59" s="26" t="s">
        <v>265</v>
      </c>
      <c r="R59" s="26" t="s">
        <v>265</v>
      </c>
      <c r="S59" s="26" t="s">
        <v>265</v>
      </c>
      <c r="T59" s="26" t="s">
        <v>265</v>
      </c>
      <c r="U59" s="26" t="s">
        <v>265</v>
      </c>
      <c r="V59" s="26" t="s">
        <v>265</v>
      </c>
      <c r="W59" s="26" t="s">
        <v>265</v>
      </c>
      <c r="X59" s="26" t="s">
        <v>265</v>
      </c>
      <c r="Y59" s="26" t="s">
        <v>265</v>
      </c>
      <c r="Z59" s="26" t="s">
        <v>265</v>
      </c>
      <c r="AA59" s="26" t="s">
        <v>265</v>
      </c>
      <c r="AB59" s="26" t="s">
        <v>265</v>
      </c>
      <c r="AC59" s="26" t="s">
        <v>352</v>
      </c>
      <c r="AD59" s="26" t="s">
        <v>352</v>
      </c>
      <c r="AE59" s="26">
        <v>1</v>
      </c>
      <c r="AF59" s="26">
        <v>12</v>
      </c>
      <c r="AG59" s="26">
        <v>365</v>
      </c>
      <c r="AH59" s="26" t="s">
        <v>265</v>
      </c>
      <c r="AI59" s="26" t="s">
        <v>352</v>
      </c>
      <c r="AJ59" s="26" t="s">
        <v>265</v>
      </c>
      <c r="AK59" s="26" t="s">
        <v>265</v>
      </c>
      <c r="AL59" s="26" t="s">
        <v>265</v>
      </c>
      <c r="AM59" s="26">
        <v>4.83</v>
      </c>
      <c r="AN59" s="26">
        <v>140</v>
      </c>
      <c r="AO59" s="37">
        <v>1681</v>
      </c>
      <c r="AP59" s="26" t="s">
        <v>265</v>
      </c>
      <c r="AQ59" s="26" t="s">
        <v>352</v>
      </c>
      <c r="AR59" s="26">
        <v>78</v>
      </c>
      <c r="AS59" s="26">
        <v>200</v>
      </c>
      <c r="AT59" s="26">
        <v>5</v>
      </c>
      <c r="AU59" s="26">
        <v>129</v>
      </c>
      <c r="AV59" s="26">
        <v>50</v>
      </c>
      <c r="AW59" s="26" t="s">
        <v>352</v>
      </c>
      <c r="AX59" s="26" t="s">
        <v>265</v>
      </c>
      <c r="AY59" s="26" t="s">
        <v>352</v>
      </c>
      <c r="AZ59" s="26" t="s">
        <v>265</v>
      </c>
      <c r="BA59" s="26" t="s">
        <v>265</v>
      </c>
      <c r="BB59" s="26" t="s">
        <v>265</v>
      </c>
    </row>
    <row r="60" spans="1:54" ht="20.100000000000001" customHeight="1" x14ac:dyDescent="0.3">
      <c r="A60" s="26" t="s">
        <v>470</v>
      </c>
      <c r="B60" s="26" t="s">
        <v>265</v>
      </c>
      <c r="C60" s="26" t="s">
        <v>352</v>
      </c>
      <c r="D60" s="26" t="s">
        <v>265</v>
      </c>
      <c r="E60" s="26" t="s">
        <v>529</v>
      </c>
      <c r="F60" s="26" t="s">
        <v>352</v>
      </c>
      <c r="G60" s="26" t="s">
        <v>265</v>
      </c>
      <c r="H60" s="26" t="s">
        <v>352</v>
      </c>
      <c r="I60" s="26" t="s">
        <v>265</v>
      </c>
      <c r="J60" s="26" t="s">
        <v>265</v>
      </c>
      <c r="K60" s="26" t="s">
        <v>265</v>
      </c>
      <c r="L60" s="26" t="s">
        <v>265</v>
      </c>
      <c r="M60" s="26" t="s">
        <v>265</v>
      </c>
      <c r="N60" s="26" t="s">
        <v>265</v>
      </c>
      <c r="O60" s="26" t="s">
        <v>265</v>
      </c>
      <c r="P60" s="26" t="s">
        <v>265</v>
      </c>
      <c r="Q60" s="26" t="s">
        <v>265</v>
      </c>
      <c r="R60" s="26" t="s">
        <v>265</v>
      </c>
      <c r="S60" s="26" t="s">
        <v>265</v>
      </c>
      <c r="T60" s="26" t="s">
        <v>265</v>
      </c>
      <c r="U60" s="26" t="s">
        <v>265</v>
      </c>
      <c r="V60" s="26" t="s">
        <v>265</v>
      </c>
      <c r="W60" s="26" t="s">
        <v>265</v>
      </c>
      <c r="X60" s="26" t="s">
        <v>265</v>
      </c>
      <c r="Y60" s="26" t="s">
        <v>265</v>
      </c>
      <c r="Z60" s="26" t="s">
        <v>265</v>
      </c>
      <c r="AA60" s="26" t="s">
        <v>265</v>
      </c>
      <c r="AB60" s="26" t="s">
        <v>265</v>
      </c>
      <c r="AC60" s="26" t="s">
        <v>352</v>
      </c>
      <c r="AD60" s="26" t="s">
        <v>352</v>
      </c>
      <c r="AE60" s="26">
        <v>1</v>
      </c>
      <c r="AF60" s="26">
        <v>12</v>
      </c>
      <c r="AG60" s="26">
        <v>365</v>
      </c>
      <c r="AH60" s="26" t="s">
        <v>265</v>
      </c>
      <c r="AI60" s="26" t="s">
        <v>352</v>
      </c>
      <c r="AJ60" s="26" t="s">
        <v>265</v>
      </c>
      <c r="AK60" s="26" t="s">
        <v>265</v>
      </c>
      <c r="AL60" s="26" t="s">
        <v>265</v>
      </c>
      <c r="AM60" s="26">
        <v>4.47</v>
      </c>
      <c r="AN60" s="26">
        <v>130</v>
      </c>
      <c r="AO60" s="37">
        <v>1556</v>
      </c>
      <c r="AP60" s="26" t="s">
        <v>265</v>
      </c>
      <c r="AQ60" s="26" t="s">
        <v>352</v>
      </c>
      <c r="AR60" s="26">
        <v>120</v>
      </c>
      <c r="AS60" s="26">
        <v>200</v>
      </c>
      <c r="AT60" s="26">
        <v>3</v>
      </c>
      <c r="AU60" s="26">
        <v>112</v>
      </c>
      <c r="AV60" s="26">
        <v>50</v>
      </c>
      <c r="AW60" s="26" t="s">
        <v>352</v>
      </c>
      <c r="AX60" s="26" t="s">
        <v>265</v>
      </c>
      <c r="AY60" s="26" t="s">
        <v>352</v>
      </c>
      <c r="AZ60" s="26" t="s">
        <v>265</v>
      </c>
      <c r="BA60" s="26" t="s">
        <v>265</v>
      </c>
      <c r="BB60" s="26" t="s">
        <v>265</v>
      </c>
    </row>
    <row r="61" spans="1:54" ht="20.100000000000001" customHeight="1" x14ac:dyDescent="0.3">
      <c r="A61" s="26" t="s">
        <v>470</v>
      </c>
      <c r="B61" s="26" t="s">
        <v>265</v>
      </c>
      <c r="C61" s="26" t="s">
        <v>352</v>
      </c>
      <c r="D61" s="26" t="s">
        <v>265</v>
      </c>
      <c r="E61" s="26" t="s">
        <v>530</v>
      </c>
      <c r="F61" s="26" t="s">
        <v>352</v>
      </c>
      <c r="G61" s="26" t="s">
        <v>265</v>
      </c>
      <c r="H61" s="26" t="s">
        <v>352</v>
      </c>
      <c r="I61" s="26" t="s">
        <v>265</v>
      </c>
      <c r="J61" s="26" t="s">
        <v>265</v>
      </c>
      <c r="K61" s="26" t="s">
        <v>265</v>
      </c>
      <c r="L61" s="26" t="s">
        <v>265</v>
      </c>
      <c r="M61" s="26" t="s">
        <v>265</v>
      </c>
      <c r="N61" s="26" t="s">
        <v>265</v>
      </c>
      <c r="O61" s="26" t="s">
        <v>265</v>
      </c>
      <c r="P61" s="26" t="s">
        <v>265</v>
      </c>
      <c r="Q61" s="26" t="s">
        <v>265</v>
      </c>
      <c r="R61" s="26" t="s">
        <v>265</v>
      </c>
      <c r="S61" s="26" t="s">
        <v>265</v>
      </c>
      <c r="T61" s="26" t="s">
        <v>265</v>
      </c>
      <c r="U61" s="26" t="s">
        <v>265</v>
      </c>
      <c r="V61" s="26" t="s">
        <v>265</v>
      </c>
      <c r="W61" s="26" t="s">
        <v>265</v>
      </c>
      <c r="X61" s="26" t="s">
        <v>265</v>
      </c>
      <c r="Y61" s="26" t="s">
        <v>265</v>
      </c>
      <c r="Z61" s="26" t="s">
        <v>265</v>
      </c>
      <c r="AA61" s="26" t="s">
        <v>265</v>
      </c>
      <c r="AB61" s="26" t="s">
        <v>265</v>
      </c>
      <c r="AC61" s="26" t="s">
        <v>352</v>
      </c>
      <c r="AD61" s="26" t="s">
        <v>352</v>
      </c>
      <c r="AE61" s="26">
        <v>1</v>
      </c>
      <c r="AF61" s="26">
        <v>12</v>
      </c>
      <c r="AG61" s="26">
        <v>365</v>
      </c>
      <c r="AH61" s="26" t="s">
        <v>265</v>
      </c>
      <c r="AI61" s="26" t="s">
        <v>352</v>
      </c>
      <c r="AJ61" s="26" t="s">
        <v>265</v>
      </c>
      <c r="AK61" s="26" t="s">
        <v>265</v>
      </c>
      <c r="AL61" s="26" t="s">
        <v>265</v>
      </c>
      <c r="AM61" s="26">
        <v>3.63</v>
      </c>
      <c r="AN61" s="26">
        <v>105</v>
      </c>
      <c r="AO61" s="37">
        <v>1263</v>
      </c>
      <c r="AP61" s="26" t="s">
        <v>352</v>
      </c>
      <c r="AQ61" s="26" t="s">
        <v>265</v>
      </c>
      <c r="AR61" s="26">
        <v>24</v>
      </c>
      <c r="AS61" s="26">
        <v>150</v>
      </c>
      <c r="AT61" s="26">
        <v>0.7</v>
      </c>
      <c r="AU61" s="26">
        <v>72</v>
      </c>
      <c r="AV61" s="26">
        <v>32</v>
      </c>
      <c r="AW61" s="26" t="s">
        <v>352</v>
      </c>
      <c r="AX61" s="26" t="s">
        <v>265</v>
      </c>
      <c r="AY61" s="26" t="s">
        <v>352</v>
      </c>
      <c r="AZ61" s="26" t="s">
        <v>265</v>
      </c>
      <c r="BA61" s="26" t="s">
        <v>265</v>
      </c>
      <c r="BB61" s="26" t="s">
        <v>265</v>
      </c>
    </row>
    <row r="62" spans="1:54" ht="20.100000000000001" customHeight="1" x14ac:dyDescent="0.3">
      <c r="A62" s="26" t="s">
        <v>470</v>
      </c>
      <c r="B62" s="26" t="s">
        <v>265</v>
      </c>
      <c r="C62" s="26" t="s">
        <v>352</v>
      </c>
      <c r="D62" s="26" t="s">
        <v>265</v>
      </c>
      <c r="E62" s="26" t="s">
        <v>531</v>
      </c>
      <c r="F62" s="26" t="s">
        <v>352</v>
      </c>
      <c r="G62" s="26" t="s">
        <v>265</v>
      </c>
      <c r="H62" s="26" t="s">
        <v>352</v>
      </c>
      <c r="I62" s="26" t="s">
        <v>265</v>
      </c>
      <c r="J62" s="26" t="s">
        <v>265</v>
      </c>
      <c r="K62" s="26" t="s">
        <v>265</v>
      </c>
      <c r="L62" s="26" t="s">
        <v>265</v>
      </c>
      <c r="M62" s="26" t="s">
        <v>265</v>
      </c>
      <c r="N62" s="26" t="s">
        <v>265</v>
      </c>
      <c r="O62" s="26" t="s">
        <v>265</v>
      </c>
      <c r="P62" s="26" t="s">
        <v>265</v>
      </c>
      <c r="Q62" s="26" t="s">
        <v>265</v>
      </c>
      <c r="R62" s="26" t="s">
        <v>265</v>
      </c>
      <c r="S62" s="26" t="s">
        <v>265</v>
      </c>
      <c r="T62" s="26" t="s">
        <v>265</v>
      </c>
      <c r="U62" s="26" t="s">
        <v>265</v>
      </c>
      <c r="V62" s="26" t="s">
        <v>265</v>
      </c>
      <c r="W62" s="26" t="s">
        <v>265</v>
      </c>
      <c r="X62" s="26" t="s">
        <v>265</v>
      </c>
      <c r="Y62" s="26" t="s">
        <v>265</v>
      </c>
      <c r="Z62" s="26" t="s">
        <v>265</v>
      </c>
      <c r="AA62" s="26" t="s">
        <v>265</v>
      </c>
      <c r="AB62" s="26" t="s">
        <v>265</v>
      </c>
      <c r="AC62" s="26" t="s">
        <v>352</v>
      </c>
      <c r="AD62" s="26" t="s">
        <v>352</v>
      </c>
      <c r="AE62" s="26">
        <v>1</v>
      </c>
      <c r="AF62" s="26">
        <v>12</v>
      </c>
      <c r="AG62" s="26">
        <v>365</v>
      </c>
      <c r="AH62" s="26" t="s">
        <v>265</v>
      </c>
      <c r="AI62" s="26" t="s">
        <v>352</v>
      </c>
      <c r="AJ62" s="26" t="s">
        <v>265</v>
      </c>
      <c r="AK62" s="26" t="s">
        <v>265</v>
      </c>
      <c r="AL62" s="26" t="s">
        <v>265</v>
      </c>
      <c r="AM62" s="26">
        <v>3.38</v>
      </c>
      <c r="AN62" s="26">
        <v>98</v>
      </c>
      <c r="AO62" s="37">
        <v>1176</v>
      </c>
      <c r="AP62" s="26" t="s">
        <v>265</v>
      </c>
      <c r="AQ62" s="26" t="s">
        <v>352</v>
      </c>
      <c r="AR62" s="26">
        <v>155</v>
      </c>
      <c r="AS62" s="26">
        <v>200</v>
      </c>
      <c r="AT62" s="26">
        <v>3</v>
      </c>
      <c r="AU62" s="26">
        <v>60</v>
      </c>
      <c r="AV62" s="26">
        <v>32</v>
      </c>
      <c r="AW62" s="26" t="s">
        <v>352</v>
      </c>
      <c r="AX62" s="26" t="s">
        <v>265</v>
      </c>
      <c r="AY62" s="26" t="s">
        <v>352</v>
      </c>
      <c r="AZ62" s="26" t="s">
        <v>265</v>
      </c>
      <c r="BA62" s="26" t="s">
        <v>265</v>
      </c>
      <c r="BB62" s="26" t="s">
        <v>265</v>
      </c>
    </row>
    <row r="63" spans="1:54" ht="20.100000000000001" customHeight="1" x14ac:dyDescent="0.3">
      <c r="A63" s="26" t="s">
        <v>470</v>
      </c>
      <c r="B63" s="26" t="s">
        <v>265</v>
      </c>
      <c r="C63" s="26" t="s">
        <v>352</v>
      </c>
      <c r="D63" s="26" t="s">
        <v>265</v>
      </c>
      <c r="E63" s="26" t="s">
        <v>532</v>
      </c>
      <c r="F63" s="26" t="s">
        <v>352</v>
      </c>
      <c r="G63" s="26" t="s">
        <v>265</v>
      </c>
      <c r="H63" s="26" t="s">
        <v>352</v>
      </c>
      <c r="I63" s="26" t="s">
        <v>265</v>
      </c>
      <c r="J63" s="26" t="s">
        <v>265</v>
      </c>
      <c r="K63" s="26" t="s">
        <v>265</v>
      </c>
      <c r="L63" s="26" t="s">
        <v>265</v>
      </c>
      <c r="M63" s="26" t="s">
        <v>265</v>
      </c>
      <c r="N63" s="26" t="s">
        <v>265</v>
      </c>
      <c r="O63" s="26" t="s">
        <v>265</v>
      </c>
      <c r="P63" s="26" t="s">
        <v>265</v>
      </c>
      <c r="Q63" s="26" t="s">
        <v>265</v>
      </c>
      <c r="R63" s="26" t="s">
        <v>265</v>
      </c>
      <c r="S63" s="26" t="s">
        <v>265</v>
      </c>
      <c r="T63" s="26" t="s">
        <v>265</v>
      </c>
      <c r="U63" s="26" t="s">
        <v>265</v>
      </c>
      <c r="V63" s="26" t="s">
        <v>265</v>
      </c>
      <c r="W63" s="26" t="s">
        <v>265</v>
      </c>
      <c r="X63" s="26" t="s">
        <v>265</v>
      </c>
      <c r="Y63" s="26" t="s">
        <v>265</v>
      </c>
      <c r="Z63" s="26" t="s">
        <v>265</v>
      </c>
      <c r="AA63" s="26" t="s">
        <v>265</v>
      </c>
      <c r="AB63" s="26" t="s">
        <v>265</v>
      </c>
      <c r="AC63" s="26" t="s">
        <v>352</v>
      </c>
      <c r="AD63" s="26" t="s">
        <v>352</v>
      </c>
      <c r="AE63" s="26">
        <v>1</v>
      </c>
      <c r="AF63" s="26">
        <v>12</v>
      </c>
      <c r="AG63" s="26">
        <v>365</v>
      </c>
      <c r="AH63" s="26" t="s">
        <v>265</v>
      </c>
      <c r="AI63" s="26" t="s">
        <v>352</v>
      </c>
      <c r="AJ63" s="26" t="s">
        <v>265</v>
      </c>
      <c r="AK63" s="26" t="s">
        <v>265</v>
      </c>
      <c r="AL63" s="26" t="s">
        <v>265</v>
      </c>
      <c r="AM63" s="26">
        <v>3.8</v>
      </c>
      <c r="AN63" s="26">
        <v>110</v>
      </c>
      <c r="AO63" s="37">
        <v>1322</v>
      </c>
      <c r="AP63" s="26" t="s">
        <v>265</v>
      </c>
      <c r="AQ63" s="26" t="s">
        <v>352</v>
      </c>
      <c r="AR63" s="26">
        <v>150</v>
      </c>
      <c r="AS63" s="26">
        <v>200</v>
      </c>
      <c r="AT63" s="26">
        <v>2</v>
      </c>
      <c r="AU63" s="26">
        <v>80</v>
      </c>
      <c r="AV63" s="26">
        <v>32</v>
      </c>
      <c r="AW63" s="26" t="s">
        <v>352</v>
      </c>
      <c r="AX63" s="26" t="s">
        <v>265</v>
      </c>
      <c r="AY63" s="26" t="s">
        <v>352</v>
      </c>
      <c r="AZ63" s="26" t="s">
        <v>265</v>
      </c>
      <c r="BA63" s="26" t="s">
        <v>265</v>
      </c>
      <c r="BB63" s="26" t="s">
        <v>265</v>
      </c>
    </row>
    <row r="64" spans="1:54" ht="20.100000000000001" customHeight="1" x14ac:dyDescent="0.3">
      <c r="A64" s="26" t="s">
        <v>470</v>
      </c>
      <c r="B64" s="26" t="s">
        <v>265</v>
      </c>
      <c r="C64" s="26" t="s">
        <v>352</v>
      </c>
      <c r="D64" s="26" t="s">
        <v>265</v>
      </c>
      <c r="E64" s="26" t="s">
        <v>533</v>
      </c>
      <c r="F64" s="26" t="s">
        <v>352</v>
      </c>
      <c r="G64" s="26" t="s">
        <v>265</v>
      </c>
      <c r="H64" s="26" t="s">
        <v>352</v>
      </c>
      <c r="I64" s="26" t="s">
        <v>265</v>
      </c>
      <c r="J64" s="26" t="s">
        <v>265</v>
      </c>
      <c r="K64" s="26" t="s">
        <v>265</v>
      </c>
      <c r="L64" s="26" t="s">
        <v>265</v>
      </c>
      <c r="M64" s="26" t="s">
        <v>265</v>
      </c>
      <c r="N64" s="26" t="s">
        <v>265</v>
      </c>
      <c r="O64" s="26" t="s">
        <v>265</v>
      </c>
      <c r="P64" s="26" t="s">
        <v>265</v>
      </c>
      <c r="Q64" s="26" t="s">
        <v>265</v>
      </c>
      <c r="R64" s="26" t="s">
        <v>265</v>
      </c>
      <c r="S64" s="26" t="s">
        <v>265</v>
      </c>
      <c r="T64" s="26" t="s">
        <v>265</v>
      </c>
      <c r="U64" s="26" t="s">
        <v>265</v>
      </c>
      <c r="V64" s="26" t="s">
        <v>265</v>
      </c>
      <c r="W64" s="26" t="s">
        <v>265</v>
      </c>
      <c r="X64" s="26" t="s">
        <v>265</v>
      </c>
      <c r="Y64" s="26" t="s">
        <v>265</v>
      </c>
      <c r="Z64" s="26" t="s">
        <v>265</v>
      </c>
      <c r="AA64" s="26" t="s">
        <v>265</v>
      </c>
      <c r="AB64" s="26" t="s">
        <v>265</v>
      </c>
      <c r="AC64" s="26" t="s">
        <v>352</v>
      </c>
      <c r="AD64" s="26" t="s">
        <v>352</v>
      </c>
      <c r="AE64" s="26">
        <v>1</v>
      </c>
      <c r="AF64" s="26">
        <v>12</v>
      </c>
      <c r="AG64" s="26">
        <v>365</v>
      </c>
      <c r="AH64" s="26" t="s">
        <v>265</v>
      </c>
      <c r="AI64" s="26" t="s">
        <v>352</v>
      </c>
      <c r="AJ64" s="26" t="s">
        <v>265</v>
      </c>
      <c r="AK64" s="26" t="s">
        <v>265</v>
      </c>
      <c r="AL64" s="26" t="s">
        <v>265</v>
      </c>
      <c r="AM64" s="26">
        <v>3.63</v>
      </c>
      <c r="AN64" s="26">
        <v>105</v>
      </c>
      <c r="AO64" s="37">
        <v>1263</v>
      </c>
      <c r="AP64" s="26" t="s">
        <v>352</v>
      </c>
      <c r="AQ64" s="26" t="s">
        <v>265</v>
      </c>
      <c r="AR64" s="26">
        <v>18</v>
      </c>
      <c r="AS64" s="26">
        <v>150</v>
      </c>
      <c r="AT64" s="26">
        <v>0.5</v>
      </c>
      <c r="AU64" s="26">
        <v>72</v>
      </c>
      <c r="AV64" s="26">
        <v>25</v>
      </c>
      <c r="AW64" s="26" t="s">
        <v>352</v>
      </c>
      <c r="AX64" s="26" t="s">
        <v>265</v>
      </c>
      <c r="AY64" s="26" t="s">
        <v>352</v>
      </c>
      <c r="AZ64" s="26" t="s">
        <v>265</v>
      </c>
      <c r="BA64" s="26" t="s">
        <v>265</v>
      </c>
      <c r="BB64" s="26" t="s">
        <v>265</v>
      </c>
    </row>
    <row r="65" spans="1:54" ht="20.100000000000001" customHeight="1" x14ac:dyDescent="0.3">
      <c r="A65" s="26" t="s">
        <v>470</v>
      </c>
      <c r="B65" s="26" t="s">
        <v>265</v>
      </c>
      <c r="C65" s="26" t="s">
        <v>352</v>
      </c>
      <c r="D65" s="26" t="s">
        <v>265</v>
      </c>
      <c r="E65" s="26" t="s">
        <v>534</v>
      </c>
      <c r="F65" s="26" t="s">
        <v>352</v>
      </c>
      <c r="G65" s="26" t="s">
        <v>265</v>
      </c>
      <c r="H65" s="26" t="s">
        <v>352</v>
      </c>
      <c r="I65" s="26" t="s">
        <v>265</v>
      </c>
      <c r="J65" s="26" t="s">
        <v>265</v>
      </c>
      <c r="K65" s="26" t="s">
        <v>265</v>
      </c>
      <c r="L65" s="26" t="s">
        <v>265</v>
      </c>
      <c r="M65" s="26" t="s">
        <v>265</v>
      </c>
      <c r="N65" s="26" t="s">
        <v>265</v>
      </c>
      <c r="O65" s="26" t="s">
        <v>265</v>
      </c>
      <c r="P65" s="26" t="s">
        <v>265</v>
      </c>
      <c r="Q65" s="26" t="s">
        <v>265</v>
      </c>
      <c r="R65" s="26" t="s">
        <v>265</v>
      </c>
      <c r="S65" s="26" t="s">
        <v>265</v>
      </c>
      <c r="T65" s="26" t="s">
        <v>265</v>
      </c>
      <c r="U65" s="26" t="s">
        <v>265</v>
      </c>
      <c r="V65" s="26" t="s">
        <v>265</v>
      </c>
      <c r="W65" s="26" t="s">
        <v>265</v>
      </c>
      <c r="X65" s="26" t="s">
        <v>265</v>
      </c>
      <c r="Y65" s="26" t="s">
        <v>265</v>
      </c>
      <c r="Z65" s="26" t="s">
        <v>265</v>
      </c>
      <c r="AA65" s="26" t="s">
        <v>265</v>
      </c>
      <c r="AB65" s="26" t="s">
        <v>265</v>
      </c>
      <c r="AC65" s="26" t="s">
        <v>352</v>
      </c>
      <c r="AD65" s="26" t="s">
        <v>352</v>
      </c>
      <c r="AE65" s="26">
        <v>1</v>
      </c>
      <c r="AF65" s="26">
        <v>12</v>
      </c>
      <c r="AG65" s="26">
        <v>365</v>
      </c>
      <c r="AH65" s="26" t="s">
        <v>265</v>
      </c>
      <c r="AI65" s="26" t="s">
        <v>352</v>
      </c>
      <c r="AJ65" s="26" t="s">
        <v>265</v>
      </c>
      <c r="AK65" s="26" t="s">
        <v>265</v>
      </c>
      <c r="AL65" s="26" t="s">
        <v>265</v>
      </c>
      <c r="AM65" s="26">
        <v>3.15</v>
      </c>
      <c r="AN65" s="26">
        <v>91</v>
      </c>
      <c r="AO65" s="37">
        <v>1096</v>
      </c>
      <c r="AP65" s="26" t="s">
        <v>352</v>
      </c>
      <c r="AQ65" s="26" t="s">
        <v>265</v>
      </c>
      <c r="AR65" s="26">
        <v>24</v>
      </c>
      <c r="AS65" s="26">
        <v>25</v>
      </c>
      <c r="AT65" s="26">
        <v>1</v>
      </c>
      <c r="AU65" s="26">
        <v>49</v>
      </c>
      <c r="AV65" s="26">
        <v>25</v>
      </c>
      <c r="AW65" s="26" t="s">
        <v>352</v>
      </c>
      <c r="AX65" s="26" t="s">
        <v>265</v>
      </c>
      <c r="AY65" s="26" t="s">
        <v>352</v>
      </c>
      <c r="AZ65" s="26" t="s">
        <v>265</v>
      </c>
      <c r="BA65" s="26" t="s">
        <v>265</v>
      </c>
      <c r="BB65" s="26" t="s">
        <v>265</v>
      </c>
    </row>
    <row r="66" spans="1:54" ht="20.100000000000001" customHeight="1" x14ac:dyDescent="0.3">
      <c r="A66" s="26" t="s">
        <v>470</v>
      </c>
      <c r="B66" s="26" t="s">
        <v>265</v>
      </c>
      <c r="C66" s="26" t="s">
        <v>352</v>
      </c>
      <c r="D66" s="26" t="s">
        <v>265</v>
      </c>
      <c r="E66" s="26" t="s">
        <v>535</v>
      </c>
      <c r="F66" s="26" t="s">
        <v>352</v>
      </c>
      <c r="G66" s="26" t="s">
        <v>265</v>
      </c>
      <c r="H66" s="26" t="s">
        <v>352</v>
      </c>
      <c r="I66" s="26" t="s">
        <v>265</v>
      </c>
      <c r="J66" s="26" t="s">
        <v>265</v>
      </c>
      <c r="K66" s="26" t="s">
        <v>265</v>
      </c>
      <c r="L66" s="26" t="s">
        <v>265</v>
      </c>
      <c r="M66" s="26" t="s">
        <v>265</v>
      </c>
      <c r="N66" s="26" t="s">
        <v>265</v>
      </c>
      <c r="O66" s="26" t="s">
        <v>265</v>
      </c>
      <c r="P66" s="26" t="s">
        <v>265</v>
      </c>
      <c r="Q66" s="26" t="s">
        <v>265</v>
      </c>
      <c r="R66" s="26" t="s">
        <v>265</v>
      </c>
      <c r="S66" s="26" t="s">
        <v>265</v>
      </c>
      <c r="T66" s="26" t="s">
        <v>265</v>
      </c>
      <c r="U66" s="26" t="s">
        <v>265</v>
      </c>
      <c r="V66" s="26" t="s">
        <v>265</v>
      </c>
      <c r="W66" s="26" t="s">
        <v>265</v>
      </c>
      <c r="X66" s="26" t="s">
        <v>265</v>
      </c>
      <c r="Y66" s="26" t="s">
        <v>265</v>
      </c>
      <c r="Z66" s="26" t="s">
        <v>265</v>
      </c>
      <c r="AA66" s="26" t="s">
        <v>265</v>
      </c>
      <c r="AB66" s="26" t="s">
        <v>265</v>
      </c>
      <c r="AC66" s="26" t="s">
        <v>352</v>
      </c>
      <c r="AD66" s="26" t="s">
        <v>352</v>
      </c>
      <c r="AE66" s="26">
        <v>1</v>
      </c>
      <c r="AF66" s="26">
        <v>12</v>
      </c>
      <c r="AG66" s="26">
        <v>365</v>
      </c>
      <c r="AH66" s="26" t="s">
        <v>265</v>
      </c>
      <c r="AI66" s="26" t="s">
        <v>352</v>
      </c>
      <c r="AJ66" s="26" t="s">
        <v>265</v>
      </c>
      <c r="AK66" s="26" t="s">
        <v>265</v>
      </c>
      <c r="AL66" s="26" t="s">
        <v>265</v>
      </c>
      <c r="AM66" s="26">
        <v>3.17</v>
      </c>
      <c r="AN66" s="26">
        <v>92</v>
      </c>
      <c r="AO66" s="37">
        <v>1103</v>
      </c>
      <c r="AP66" s="26" t="s">
        <v>265</v>
      </c>
      <c r="AQ66" s="26" t="s">
        <v>352</v>
      </c>
      <c r="AR66" s="26">
        <v>100</v>
      </c>
      <c r="AS66" s="26">
        <v>200</v>
      </c>
      <c r="AT66" s="26">
        <v>5</v>
      </c>
      <c r="AU66" s="26">
        <v>50</v>
      </c>
      <c r="AV66" s="26">
        <v>40</v>
      </c>
      <c r="AW66" s="26" t="s">
        <v>352</v>
      </c>
      <c r="AX66" s="26" t="s">
        <v>265</v>
      </c>
      <c r="AY66" s="26" t="s">
        <v>352</v>
      </c>
      <c r="AZ66" s="26" t="s">
        <v>265</v>
      </c>
      <c r="BA66" s="26" t="s">
        <v>265</v>
      </c>
      <c r="BB66" s="26" t="s">
        <v>265</v>
      </c>
    </row>
    <row r="67" spans="1:54" ht="20.100000000000001" customHeight="1" x14ac:dyDescent="0.3">
      <c r="A67" s="26" t="s">
        <v>470</v>
      </c>
      <c r="B67" s="26" t="s">
        <v>265</v>
      </c>
      <c r="C67" s="26" t="s">
        <v>352</v>
      </c>
      <c r="D67" s="26" t="s">
        <v>265</v>
      </c>
      <c r="E67" s="26" t="s">
        <v>536</v>
      </c>
      <c r="F67" s="26" t="s">
        <v>352</v>
      </c>
      <c r="G67" s="26" t="s">
        <v>265</v>
      </c>
      <c r="H67" s="26" t="s">
        <v>265</v>
      </c>
      <c r="I67" s="26" t="s">
        <v>265</v>
      </c>
      <c r="J67" s="26" t="s">
        <v>352</v>
      </c>
      <c r="K67" s="26" t="s">
        <v>265</v>
      </c>
      <c r="L67" s="26" t="s">
        <v>265</v>
      </c>
      <c r="M67" s="26" t="s">
        <v>265</v>
      </c>
      <c r="N67" s="26" t="s">
        <v>265</v>
      </c>
      <c r="O67" s="26" t="s">
        <v>265</v>
      </c>
      <c r="P67" s="26" t="s">
        <v>265</v>
      </c>
      <c r="Q67" s="26" t="s">
        <v>265</v>
      </c>
      <c r="R67" s="26" t="s">
        <v>265</v>
      </c>
      <c r="S67" s="26" t="s">
        <v>265</v>
      </c>
      <c r="T67" s="26" t="s">
        <v>265</v>
      </c>
      <c r="U67" s="26" t="s">
        <v>265</v>
      </c>
      <c r="V67" s="26" t="s">
        <v>265</v>
      </c>
      <c r="W67" s="26" t="s">
        <v>265</v>
      </c>
      <c r="X67" s="26" t="s">
        <v>265</v>
      </c>
      <c r="Y67" s="26" t="s">
        <v>265</v>
      </c>
      <c r="Z67" s="26" t="s">
        <v>265</v>
      </c>
      <c r="AA67" s="26" t="s">
        <v>265</v>
      </c>
      <c r="AB67" s="26" t="s">
        <v>352</v>
      </c>
      <c r="AC67" s="26" t="s">
        <v>265</v>
      </c>
      <c r="AD67" s="26" t="s">
        <v>352</v>
      </c>
      <c r="AE67" s="26">
        <v>1</v>
      </c>
      <c r="AF67" s="26">
        <v>12</v>
      </c>
      <c r="AG67" s="26">
        <v>365</v>
      </c>
      <c r="AH67" s="26" t="s">
        <v>265</v>
      </c>
      <c r="AI67" s="26" t="s">
        <v>352</v>
      </c>
      <c r="AJ67" s="26" t="s">
        <v>265</v>
      </c>
      <c r="AK67" s="26" t="s">
        <v>265</v>
      </c>
      <c r="AL67" s="26" t="s">
        <v>265</v>
      </c>
      <c r="AM67" s="26">
        <v>3.8</v>
      </c>
      <c r="AN67" s="26">
        <v>110</v>
      </c>
      <c r="AO67" s="37">
        <v>1322</v>
      </c>
      <c r="AP67" s="26" t="s">
        <v>265</v>
      </c>
      <c r="AQ67" s="26" t="s">
        <v>352</v>
      </c>
      <c r="AR67" s="26">
        <v>95</v>
      </c>
      <c r="AS67" s="26">
        <v>200</v>
      </c>
      <c r="AT67" s="26">
        <v>2</v>
      </c>
      <c r="AU67" s="26">
        <v>80</v>
      </c>
      <c r="AV67" s="26">
        <v>32</v>
      </c>
      <c r="AW67" s="26" t="s">
        <v>352</v>
      </c>
      <c r="AX67" s="26" t="s">
        <v>265</v>
      </c>
      <c r="AY67" s="26" t="s">
        <v>352</v>
      </c>
      <c r="AZ67" s="26" t="s">
        <v>265</v>
      </c>
      <c r="BA67" s="26" t="s">
        <v>265</v>
      </c>
      <c r="BB67" s="26" t="s">
        <v>265</v>
      </c>
    </row>
    <row r="68" spans="1:54" ht="20.100000000000001" customHeight="1" x14ac:dyDescent="0.3">
      <c r="A68" s="26" t="s">
        <v>470</v>
      </c>
      <c r="B68" s="26" t="s">
        <v>265</v>
      </c>
      <c r="C68" s="26" t="s">
        <v>352</v>
      </c>
      <c r="D68" s="26" t="s">
        <v>265</v>
      </c>
      <c r="E68" s="26" t="s">
        <v>537</v>
      </c>
      <c r="F68" s="26" t="s">
        <v>352</v>
      </c>
      <c r="G68" s="26" t="s">
        <v>265</v>
      </c>
      <c r="H68" s="26" t="s">
        <v>352</v>
      </c>
      <c r="I68" s="26" t="s">
        <v>265</v>
      </c>
      <c r="J68" s="26" t="s">
        <v>265</v>
      </c>
      <c r="K68" s="26" t="s">
        <v>265</v>
      </c>
      <c r="L68" s="26" t="s">
        <v>265</v>
      </c>
      <c r="M68" s="26" t="s">
        <v>265</v>
      </c>
      <c r="N68" s="26" t="s">
        <v>265</v>
      </c>
      <c r="O68" s="26" t="s">
        <v>265</v>
      </c>
      <c r="P68" s="26" t="s">
        <v>265</v>
      </c>
      <c r="Q68" s="26" t="s">
        <v>265</v>
      </c>
      <c r="R68" s="26" t="s">
        <v>265</v>
      </c>
      <c r="S68" s="26" t="s">
        <v>265</v>
      </c>
      <c r="T68" s="26" t="s">
        <v>265</v>
      </c>
      <c r="U68" s="26" t="s">
        <v>265</v>
      </c>
      <c r="V68" s="26" t="s">
        <v>265</v>
      </c>
      <c r="W68" s="26" t="s">
        <v>265</v>
      </c>
      <c r="X68" s="26" t="s">
        <v>265</v>
      </c>
      <c r="Y68" s="26" t="s">
        <v>265</v>
      </c>
      <c r="Z68" s="26" t="s">
        <v>265</v>
      </c>
      <c r="AA68" s="26" t="s">
        <v>265</v>
      </c>
      <c r="AB68" s="26" t="s">
        <v>265</v>
      </c>
      <c r="AC68" s="26" t="s">
        <v>352</v>
      </c>
      <c r="AD68" s="26" t="s">
        <v>352</v>
      </c>
      <c r="AE68" s="26">
        <v>1</v>
      </c>
      <c r="AF68" s="26">
        <v>12</v>
      </c>
      <c r="AG68" s="26">
        <v>365</v>
      </c>
      <c r="AH68" s="26" t="s">
        <v>265</v>
      </c>
      <c r="AI68" s="26" t="s">
        <v>352</v>
      </c>
      <c r="AJ68" s="26" t="s">
        <v>265</v>
      </c>
      <c r="AK68" s="26" t="s">
        <v>265</v>
      </c>
      <c r="AL68" s="26" t="s">
        <v>265</v>
      </c>
      <c r="AM68" s="26">
        <v>8</v>
      </c>
      <c r="AN68" s="26">
        <v>232</v>
      </c>
      <c r="AO68" s="37">
        <v>2784</v>
      </c>
      <c r="AP68" s="26" t="s">
        <v>265</v>
      </c>
      <c r="AQ68" s="26" t="s">
        <v>352</v>
      </c>
      <c r="AR68" s="26">
        <v>60</v>
      </c>
      <c r="AS68" s="26">
        <v>200</v>
      </c>
      <c r="AT68" s="26">
        <v>5</v>
      </c>
      <c r="AU68" s="26">
        <v>280</v>
      </c>
      <c r="AV68" s="26">
        <v>40</v>
      </c>
      <c r="AW68" s="26" t="s">
        <v>352</v>
      </c>
      <c r="AX68" s="26" t="s">
        <v>265</v>
      </c>
      <c r="AY68" s="26" t="s">
        <v>352</v>
      </c>
      <c r="AZ68" s="26" t="s">
        <v>265</v>
      </c>
      <c r="BA68" s="26" t="s">
        <v>265</v>
      </c>
      <c r="BB68" s="26" t="s">
        <v>265</v>
      </c>
    </row>
    <row r="69" spans="1:54" ht="20.100000000000001" customHeight="1" x14ac:dyDescent="0.3">
      <c r="A69" s="26" t="s">
        <v>470</v>
      </c>
      <c r="B69" s="26" t="s">
        <v>265</v>
      </c>
      <c r="C69" s="26" t="s">
        <v>352</v>
      </c>
      <c r="D69" s="26" t="s">
        <v>265</v>
      </c>
      <c r="E69" s="26" t="s">
        <v>538</v>
      </c>
      <c r="F69" s="26" t="s">
        <v>352</v>
      </c>
      <c r="G69" s="26" t="s">
        <v>265</v>
      </c>
      <c r="H69" s="26" t="s">
        <v>352</v>
      </c>
      <c r="I69" s="26" t="s">
        <v>265</v>
      </c>
      <c r="J69" s="26" t="s">
        <v>265</v>
      </c>
      <c r="K69" s="26" t="s">
        <v>265</v>
      </c>
      <c r="L69" s="26" t="s">
        <v>265</v>
      </c>
      <c r="M69" s="26" t="s">
        <v>265</v>
      </c>
      <c r="N69" s="26" t="s">
        <v>265</v>
      </c>
      <c r="O69" s="26" t="s">
        <v>265</v>
      </c>
      <c r="P69" s="26" t="s">
        <v>265</v>
      </c>
      <c r="Q69" s="26" t="s">
        <v>265</v>
      </c>
      <c r="R69" s="26" t="s">
        <v>265</v>
      </c>
      <c r="S69" s="26" t="s">
        <v>265</v>
      </c>
      <c r="T69" s="26" t="s">
        <v>265</v>
      </c>
      <c r="U69" s="26" t="s">
        <v>265</v>
      </c>
      <c r="V69" s="26" t="s">
        <v>265</v>
      </c>
      <c r="W69" s="26" t="s">
        <v>265</v>
      </c>
      <c r="X69" s="26" t="s">
        <v>265</v>
      </c>
      <c r="Y69" s="26" t="s">
        <v>265</v>
      </c>
      <c r="Z69" s="26" t="s">
        <v>265</v>
      </c>
      <c r="AA69" s="26" t="s">
        <v>265</v>
      </c>
      <c r="AB69" s="26" t="s">
        <v>265</v>
      </c>
      <c r="AC69" s="26" t="s">
        <v>352</v>
      </c>
      <c r="AD69" s="26" t="s">
        <v>352</v>
      </c>
      <c r="AE69" s="26">
        <v>1</v>
      </c>
      <c r="AF69" s="26">
        <v>12</v>
      </c>
      <c r="AG69" s="26">
        <v>365</v>
      </c>
      <c r="AH69" s="26" t="s">
        <v>265</v>
      </c>
      <c r="AI69" s="26" t="s">
        <v>352</v>
      </c>
      <c r="AJ69" s="26" t="s">
        <v>265</v>
      </c>
      <c r="AK69" s="26" t="s">
        <v>265</v>
      </c>
      <c r="AL69" s="26" t="s">
        <v>265</v>
      </c>
      <c r="AM69" s="26">
        <v>3.51</v>
      </c>
      <c r="AN69" s="26">
        <v>102</v>
      </c>
      <c r="AO69" s="37">
        <v>1221</v>
      </c>
      <c r="AP69" s="26" t="s">
        <v>265</v>
      </c>
      <c r="AQ69" s="26" t="s">
        <v>352</v>
      </c>
      <c r="AR69" s="26">
        <v>100</v>
      </c>
      <c r="AS69" s="26">
        <v>200</v>
      </c>
      <c r="AT69" s="26">
        <v>2</v>
      </c>
      <c r="AU69" s="26">
        <v>66</v>
      </c>
      <c r="AV69" s="26">
        <v>32</v>
      </c>
      <c r="AW69" s="26" t="s">
        <v>352</v>
      </c>
      <c r="AX69" s="26" t="s">
        <v>265</v>
      </c>
      <c r="AY69" s="26" t="s">
        <v>352</v>
      </c>
      <c r="AZ69" s="26" t="s">
        <v>265</v>
      </c>
      <c r="BA69" s="26" t="s">
        <v>265</v>
      </c>
      <c r="BB69" s="26" t="s">
        <v>265</v>
      </c>
    </row>
    <row r="70" spans="1:54" ht="20.100000000000001" customHeight="1" x14ac:dyDescent="0.3">
      <c r="A70" s="26" t="s">
        <v>470</v>
      </c>
      <c r="B70" s="26" t="s">
        <v>265</v>
      </c>
      <c r="C70" s="26" t="s">
        <v>352</v>
      </c>
      <c r="D70" s="26" t="s">
        <v>265</v>
      </c>
      <c r="E70" s="26" t="s">
        <v>539</v>
      </c>
      <c r="F70" s="26" t="s">
        <v>352</v>
      </c>
      <c r="G70" s="26" t="s">
        <v>265</v>
      </c>
      <c r="H70" s="26" t="s">
        <v>352</v>
      </c>
      <c r="I70" s="26" t="s">
        <v>265</v>
      </c>
      <c r="J70" s="26" t="s">
        <v>265</v>
      </c>
      <c r="K70" s="26" t="s">
        <v>265</v>
      </c>
      <c r="L70" s="26" t="s">
        <v>265</v>
      </c>
      <c r="M70" s="26" t="s">
        <v>265</v>
      </c>
      <c r="N70" s="26" t="s">
        <v>265</v>
      </c>
      <c r="O70" s="26" t="s">
        <v>265</v>
      </c>
      <c r="P70" s="26" t="s">
        <v>265</v>
      </c>
      <c r="Q70" s="26" t="s">
        <v>265</v>
      </c>
      <c r="R70" s="26" t="s">
        <v>265</v>
      </c>
      <c r="S70" s="26" t="s">
        <v>265</v>
      </c>
      <c r="T70" s="26" t="s">
        <v>265</v>
      </c>
      <c r="U70" s="26" t="s">
        <v>265</v>
      </c>
      <c r="V70" s="26" t="s">
        <v>265</v>
      </c>
      <c r="W70" s="26" t="s">
        <v>265</v>
      </c>
      <c r="X70" s="26" t="s">
        <v>265</v>
      </c>
      <c r="Y70" s="26" t="s">
        <v>265</v>
      </c>
      <c r="Z70" s="26" t="s">
        <v>265</v>
      </c>
      <c r="AA70" s="26" t="s">
        <v>265</v>
      </c>
      <c r="AB70" s="26" t="s">
        <v>265</v>
      </c>
      <c r="AC70" s="26" t="s">
        <v>352</v>
      </c>
      <c r="AD70" s="26" t="s">
        <v>352</v>
      </c>
      <c r="AE70" s="26">
        <v>1</v>
      </c>
      <c r="AF70" s="26">
        <v>12</v>
      </c>
      <c r="AG70" s="26">
        <v>365</v>
      </c>
      <c r="AH70" s="26" t="s">
        <v>265</v>
      </c>
      <c r="AI70" s="26" t="s">
        <v>352</v>
      </c>
      <c r="AJ70" s="26" t="s">
        <v>265</v>
      </c>
      <c r="AK70" s="26" t="s">
        <v>265</v>
      </c>
      <c r="AL70" s="26" t="s">
        <v>265</v>
      </c>
      <c r="AM70" s="26">
        <v>3.17</v>
      </c>
      <c r="AN70" s="26">
        <v>92</v>
      </c>
      <c r="AO70" s="37">
        <v>1103</v>
      </c>
      <c r="AP70" s="26" t="s">
        <v>265</v>
      </c>
      <c r="AQ70" s="26" t="s">
        <v>352</v>
      </c>
      <c r="AR70" s="26">
        <v>110</v>
      </c>
      <c r="AS70" s="26">
        <v>150</v>
      </c>
      <c r="AT70" s="26">
        <v>1</v>
      </c>
      <c r="AU70" s="26">
        <v>50</v>
      </c>
      <c r="AV70" s="26">
        <v>32</v>
      </c>
      <c r="AW70" s="26" t="s">
        <v>352</v>
      </c>
      <c r="AX70" s="26" t="s">
        <v>265</v>
      </c>
      <c r="AY70" s="26" t="s">
        <v>352</v>
      </c>
      <c r="AZ70" s="26" t="s">
        <v>265</v>
      </c>
      <c r="BA70" s="26" t="s">
        <v>265</v>
      </c>
      <c r="BB70" s="26" t="s">
        <v>265</v>
      </c>
    </row>
    <row r="71" spans="1:54" ht="20.100000000000001" customHeight="1" x14ac:dyDescent="0.3">
      <c r="A71" s="26" t="s">
        <v>470</v>
      </c>
      <c r="B71" s="26" t="s">
        <v>265</v>
      </c>
      <c r="C71" s="26" t="s">
        <v>352</v>
      </c>
      <c r="D71" s="26" t="s">
        <v>265</v>
      </c>
      <c r="E71" s="26" t="s">
        <v>540</v>
      </c>
      <c r="F71" s="26" t="s">
        <v>352</v>
      </c>
      <c r="G71" s="26" t="s">
        <v>265</v>
      </c>
      <c r="H71" s="26" t="s">
        <v>265</v>
      </c>
      <c r="I71" s="26" t="s">
        <v>265</v>
      </c>
      <c r="J71" s="26" t="s">
        <v>265</v>
      </c>
      <c r="K71" s="26" t="s">
        <v>265</v>
      </c>
      <c r="L71" s="26" t="s">
        <v>265</v>
      </c>
      <c r="M71" s="26" t="s">
        <v>265</v>
      </c>
      <c r="N71" s="26" t="s">
        <v>352</v>
      </c>
      <c r="O71" s="26" t="s">
        <v>265</v>
      </c>
      <c r="P71" s="26" t="s">
        <v>265</v>
      </c>
      <c r="Q71" s="26" t="s">
        <v>265</v>
      </c>
      <c r="R71" s="26" t="s">
        <v>265</v>
      </c>
      <c r="S71" s="26" t="s">
        <v>265</v>
      </c>
      <c r="T71" s="26" t="s">
        <v>265</v>
      </c>
      <c r="U71" s="26" t="s">
        <v>265</v>
      </c>
      <c r="V71" s="26" t="s">
        <v>265</v>
      </c>
      <c r="W71" s="26" t="s">
        <v>265</v>
      </c>
      <c r="X71" s="26" t="s">
        <v>265</v>
      </c>
      <c r="Y71" s="26" t="s">
        <v>265</v>
      </c>
      <c r="Z71" s="26" t="s">
        <v>265</v>
      </c>
      <c r="AA71" s="26" t="s">
        <v>265</v>
      </c>
      <c r="AB71" s="26" t="s">
        <v>265</v>
      </c>
      <c r="AC71" s="26" t="s">
        <v>352</v>
      </c>
      <c r="AD71" s="26" t="s">
        <v>352</v>
      </c>
      <c r="AE71" s="26">
        <v>1</v>
      </c>
      <c r="AF71" s="26">
        <v>12</v>
      </c>
      <c r="AG71" s="26">
        <v>365</v>
      </c>
      <c r="AH71" s="26" t="s">
        <v>265</v>
      </c>
      <c r="AI71" s="26" t="s">
        <v>352</v>
      </c>
      <c r="AJ71" s="26" t="s">
        <v>265</v>
      </c>
      <c r="AK71" s="26" t="s">
        <v>265</v>
      </c>
      <c r="AL71" s="26" t="s">
        <v>265</v>
      </c>
      <c r="AM71" s="26">
        <v>2.94</v>
      </c>
      <c r="AN71" s="26">
        <v>85</v>
      </c>
      <c r="AO71" s="37">
        <v>1023</v>
      </c>
      <c r="AP71" s="26" t="s">
        <v>265</v>
      </c>
      <c r="AQ71" s="26" t="s">
        <v>352</v>
      </c>
      <c r="AR71" s="26">
        <v>120</v>
      </c>
      <c r="AS71" s="26">
        <v>150</v>
      </c>
      <c r="AT71" s="26">
        <v>1</v>
      </c>
      <c r="AU71" s="26">
        <v>39</v>
      </c>
      <c r="AV71" s="26">
        <v>25</v>
      </c>
      <c r="AW71" s="26" t="s">
        <v>265</v>
      </c>
      <c r="AX71" s="26" t="s">
        <v>265</v>
      </c>
      <c r="AY71" s="26" t="s">
        <v>265</v>
      </c>
      <c r="AZ71" s="26" t="s">
        <v>265</v>
      </c>
      <c r="BA71" s="26" t="s">
        <v>265</v>
      </c>
      <c r="BB71" s="26" t="s">
        <v>265</v>
      </c>
    </row>
    <row r="72" spans="1:54" ht="20.100000000000001" customHeight="1" x14ac:dyDescent="0.3">
      <c r="A72" s="26" t="s">
        <v>470</v>
      </c>
      <c r="B72" s="26" t="s">
        <v>265</v>
      </c>
      <c r="C72" s="26" t="s">
        <v>352</v>
      </c>
      <c r="D72" s="26" t="s">
        <v>265</v>
      </c>
      <c r="E72" s="26" t="s">
        <v>541</v>
      </c>
      <c r="F72" s="26" t="s">
        <v>352</v>
      </c>
      <c r="G72" s="26" t="s">
        <v>265</v>
      </c>
      <c r="H72" s="26" t="s">
        <v>265</v>
      </c>
      <c r="I72" s="26" t="s">
        <v>265</v>
      </c>
      <c r="J72" s="26" t="s">
        <v>265</v>
      </c>
      <c r="K72" s="26" t="s">
        <v>265</v>
      </c>
      <c r="L72" s="26" t="s">
        <v>265</v>
      </c>
      <c r="M72" s="26" t="s">
        <v>265</v>
      </c>
      <c r="N72" s="26" t="s">
        <v>352</v>
      </c>
      <c r="O72" s="26" t="s">
        <v>265</v>
      </c>
      <c r="P72" s="26" t="s">
        <v>265</v>
      </c>
      <c r="Q72" s="26" t="s">
        <v>265</v>
      </c>
      <c r="R72" s="26" t="s">
        <v>265</v>
      </c>
      <c r="S72" s="26" t="s">
        <v>265</v>
      </c>
      <c r="T72" s="26" t="s">
        <v>265</v>
      </c>
      <c r="U72" s="26" t="s">
        <v>265</v>
      </c>
      <c r="V72" s="26" t="s">
        <v>265</v>
      </c>
      <c r="W72" s="26" t="s">
        <v>265</v>
      </c>
      <c r="X72" s="26" t="s">
        <v>265</v>
      </c>
      <c r="Y72" s="26" t="s">
        <v>265</v>
      </c>
      <c r="Z72" s="26" t="s">
        <v>265</v>
      </c>
      <c r="AA72" s="26" t="s">
        <v>265</v>
      </c>
      <c r="AB72" s="26" t="s">
        <v>265</v>
      </c>
      <c r="AC72" s="26" t="s">
        <v>352</v>
      </c>
      <c r="AD72" s="26" t="s">
        <v>352</v>
      </c>
      <c r="AE72" s="26">
        <v>1</v>
      </c>
      <c r="AF72" s="26">
        <v>12</v>
      </c>
      <c r="AG72" s="26">
        <v>365</v>
      </c>
      <c r="AH72" s="26" t="s">
        <v>265</v>
      </c>
      <c r="AI72" s="26" t="s">
        <v>352</v>
      </c>
      <c r="AJ72" s="26" t="s">
        <v>265</v>
      </c>
      <c r="AK72" s="26" t="s">
        <v>265</v>
      </c>
      <c r="AL72" s="26" t="s">
        <v>265</v>
      </c>
      <c r="AM72" s="26">
        <v>3.5</v>
      </c>
      <c r="AN72" s="26">
        <v>102</v>
      </c>
      <c r="AO72" s="37">
        <v>1218</v>
      </c>
      <c r="AP72" s="26" t="s">
        <v>265</v>
      </c>
      <c r="AQ72" s="26" t="s">
        <v>352</v>
      </c>
      <c r="AR72" s="26">
        <v>450</v>
      </c>
      <c r="AS72" s="26">
        <v>200</v>
      </c>
      <c r="AT72" s="26">
        <v>5</v>
      </c>
      <c r="AU72" s="26">
        <v>350</v>
      </c>
      <c r="AV72" s="26">
        <v>50</v>
      </c>
      <c r="AW72" s="26" t="s">
        <v>265</v>
      </c>
      <c r="AX72" s="26" t="s">
        <v>265</v>
      </c>
      <c r="AY72" s="26" t="s">
        <v>265</v>
      </c>
      <c r="AZ72" s="26" t="s">
        <v>265</v>
      </c>
      <c r="BA72" s="26" t="s">
        <v>265</v>
      </c>
      <c r="BB72" s="26" t="s">
        <v>265</v>
      </c>
    </row>
    <row r="73" spans="1:54" ht="20.100000000000001" customHeight="1" x14ac:dyDescent="0.3">
      <c r="A73" s="26" t="s">
        <v>470</v>
      </c>
      <c r="B73" s="26" t="s">
        <v>265</v>
      </c>
      <c r="C73" s="26" t="s">
        <v>352</v>
      </c>
      <c r="D73" s="26" t="s">
        <v>265</v>
      </c>
      <c r="E73" s="26" t="s">
        <v>542</v>
      </c>
      <c r="F73" s="26" t="s">
        <v>352</v>
      </c>
      <c r="G73" s="26" t="s">
        <v>265</v>
      </c>
      <c r="H73" s="26" t="s">
        <v>352</v>
      </c>
      <c r="I73" s="26" t="s">
        <v>265</v>
      </c>
      <c r="J73" s="26" t="s">
        <v>265</v>
      </c>
      <c r="K73" s="26" t="s">
        <v>265</v>
      </c>
      <c r="L73" s="26" t="s">
        <v>265</v>
      </c>
      <c r="M73" s="26" t="s">
        <v>265</v>
      </c>
      <c r="N73" s="26" t="s">
        <v>265</v>
      </c>
      <c r="O73" s="26" t="s">
        <v>265</v>
      </c>
      <c r="P73" s="26" t="s">
        <v>265</v>
      </c>
      <c r="Q73" s="26" t="s">
        <v>265</v>
      </c>
      <c r="R73" s="26" t="s">
        <v>265</v>
      </c>
      <c r="S73" s="26" t="s">
        <v>265</v>
      </c>
      <c r="T73" s="26" t="s">
        <v>265</v>
      </c>
      <c r="U73" s="26" t="s">
        <v>265</v>
      </c>
      <c r="V73" s="26" t="s">
        <v>265</v>
      </c>
      <c r="W73" s="26" t="s">
        <v>265</v>
      </c>
      <c r="X73" s="26" t="s">
        <v>265</v>
      </c>
      <c r="Y73" s="26" t="s">
        <v>265</v>
      </c>
      <c r="Z73" s="26" t="s">
        <v>265</v>
      </c>
      <c r="AA73" s="26" t="s">
        <v>265</v>
      </c>
      <c r="AB73" s="26" t="s">
        <v>265</v>
      </c>
      <c r="AC73" s="26" t="s">
        <v>352</v>
      </c>
      <c r="AD73" s="26" t="s">
        <v>352</v>
      </c>
      <c r="AE73" s="26">
        <v>1</v>
      </c>
      <c r="AF73" s="26">
        <v>12</v>
      </c>
      <c r="AG73" s="26">
        <v>365</v>
      </c>
      <c r="AH73" s="26" t="s">
        <v>265</v>
      </c>
      <c r="AI73" s="26" t="s">
        <v>352</v>
      </c>
      <c r="AJ73" s="26" t="s">
        <v>265</v>
      </c>
      <c r="AK73" s="26" t="s">
        <v>265</v>
      </c>
      <c r="AL73" s="26" t="s">
        <v>265</v>
      </c>
      <c r="AM73" s="26">
        <v>3.63</v>
      </c>
      <c r="AN73" s="26">
        <v>105</v>
      </c>
      <c r="AO73" s="37">
        <v>1263</v>
      </c>
      <c r="AP73" s="26" t="s">
        <v>265</v>
      </c>
      <c r="AQ73" s="26" t="s">
        <v>352</v>
      </c>
      <c r="AR73" s="26">
        <v>100</v>
      </c>
      <c r="AS73" s="26">
        <v>200</v>
      </c>
      <c r="AT73" s="26">
        <v>2</v>
      </c>
      <c r="AU73" s="26">
        <v>72</v>
      </c>
      <c r="AV73" s="26">
        <v>32</v>
      </c>
      <c r="AW73" s="26" t="s">
        <v>352</v>
      </c>
      <c r="AX73" s="26" t="s">
        <v>265</v>
      </c>
      <c r="AY73" s="26" t="s">
        <v>352</v>
      </c>
      <c r="AZ73" s="26" t="s">
        <v>265</v>
      </c>
      <c r="BA73" s="26" t="s">
        <v>265</v>
      </c>
      <c r="BB73" s="26" t="s">
        <v>265</v>
      </c>
    </row>
    <row r="74" spans="1:54" ht="20.100000000000001" customHeight="1" x14ac:dyDescent="0.3">
      <c r="A74" s="26" t="s">
        <v>470</v>
      </c>
      <c r="B74" s="26" t="s">
        <v>265</v>
      </c>
      <c r="C74" s="26" t="s">
        <v>352</v>
      </c>
      <c r="D74" s="26" t="s">
        <v>265</v>
      </c>
      <c r="E74" s="26" t="s">
        <v>543</v>
      </c>
      <c r="F74" s="26" t="s">
        <v>352</v>
      </c>
      <c r="G74" s="26" t="s">
        <v>265</v>
      </c>
      <c r="H74" s="26" t="s">
        <v>352</v>
      </c>
      <c r="I74" s="26" t="s">
        <v>265</v>
      </c>
      <c r="J74" s="26" t="s">
        <v>265</v>
      </c>
      <c r="K74" s="26" t="s">
        <v>265</v>
      </c>
      <c r="L74" s="26" t="s">
        <v>265</v>
      </c>
      <c r="M74" s="26" t="s">
        <v>265</v>
      </c>
      <c r="N74" s="26" t="s">
        <v>265</v>
      </c>
      <c r="O74" s="26" t="s">
        <v>265</v>
      </c>
      <c r="P74" s="26" t="s">
        <v>265</v>
      </c>
      <c r="Q74" s="26" t="s">
        <v>265</v>
      </c>
      <c r="R74" s="26" t="s">
        <v>265</v>
      </c>
      <c r="S74" s="26" t="s">
        <v>265</v>
      </c>
      <c r="T74" s="26" t="s">
        <v>265</v>
      </c>
      <c r="U74" s="26" t="s">
        <v>265</v>
      </c>
      <c r="V74" s="26" t="s">
        <v>265</v>
      </c>
      <c r="W74" s="26" t="s">
        <v>265</v>
      </c>
      <c r="X74" s="26" t="s">
        <v>265</v>
      </c>
      <c r="Y74" s="26" t="s">
        <v>265</v>
      </c>
      <c r="Z74" s="26" t="s">
        <v>265</v>
      </c>
      <c r="AA74" s="26" t="s">
        <v>265</v>
      </c>
      <c r="AB74" s="26" t="s">
        <v>265</v>
      </c>
      <c r="AC74" s="26" t="s">
        <v>352</v>
      </c>
      <c r="AD74" s="26" t="s">
        <v>352</v>
      </c>
      <c r="AE74" s="26">
        <v>1</v>
      </c>
      <c r="AF74" s="26">
        <v>12</v>
      </c>
      <c r="AG74" s="26">
        <v>365</v>
      </c>
      <c r="AH74" s="26" t="s">
        <v>265</v>
      </c>
      <c r="AI74" s="26" t="s">
        <v>352</v>
      </c>
      <c r="AJ74" s="26" t="s">
        <v>265</v>
      </c>
      <c r="AK74" s="26" t="s">
        <v>265</v>
      </c>
      <c r="AL74" s="26" t="s">
        <v>265</v>
      </c>
      <c r="AM74" s="26">
        <v>2.75</v>
      </c>
      <c r="AN74" s="26">
        <v>80</v>
      </c>
      <c r="AO74" s="26">
        <v>957</v>
      </c>
      <c r="AP74" s="26" t="s">
        <v>352</v>
      </c>
      <c r="AQ74" s="26" t="s">
        <v>265</v>
      </c>
      <c r="AR74" s="26">
        <v>30</v>
      </c>
      <c r="AS74" s="26">
        <v>100</v>
      </c>
      <c r="AT74" s="26">
        <v>0.5</v>
      </c>
      <c r="AU74" s="26">
        <v>30</v>
      </c>
      <c r="AV74" s="26">
        <v>25</v>
      </c>
      <c r="AW74" s="26" t="s">
        <v>352</v>
      </c>
      <c r="AX74" s="26" t="s">
        <v>265</v>
      </c>
      <c r="AY74" s="26" t="s">
        <v>352</v>
      </c>
      <c r="AZ74" s="26" t="s">
        <v>265</v>
      </c>
      <c r="BA74" s="26" t="s">
        <v>265</v>
      </c>
      <c r="BB74" s="26" t="s">
        <v>265</v>
      </c>
    </row>
    <row r="75" spans="1:54" ht="20.100000000000001" customHeight="1" x14ac:dyDescent="0.3">
      <c r="A75" s="26" t="s">
        <v>470</v>
      </c>
      <c r="B75" s="26" t="s">
        <v>352</v>
      </c>
      <c r="C75" s="26" t="s">
        <v>265</v>
      </c>
      <c r="D75" s="26" t="s">
        <v>265</v>
      </c>
      <c r="E75" s="26" t="s">
        <v>544</v>
      </c>
      <c r="F75" s="26" t="s">
        <v>352</v>
      </c>
      <c r="G75" s="26" t="s">
        <v>265</v>
      </c>
      <c r="H75" s="26" t="s">
        <v>352</v>
      </c>
      <c r="I75" s="26" t="s">
        <v>265</v>
      </c>
      <c r="J75" s="26" t="s">
        <v>265</v>
      </c>
      <c r="K75" s="26" t="s">
        <v>265</v>
      </c>
      <c r="L75" s="26" t="s">
        <v>265</v>
      </c>
      <c r="M75" s="26" t="s">
        <v>265</v>
      </c>
      <c r="N75" s="26" t="s">
        <v>265</v>
      </c>
      <c r="O75" s="26" t="s">
        <v>265</v>
      </c>
      <c r="P75" s="26" t="s">
        <v>265</v>
      </c>
      <c r="Q75" s="26" t="s">
        <v>265</v>
      </c>
      <c r="R75" s="26" t="s">
        <v>265</v>
      </c>
      <c r="S75" s="26" t="s">
        <v>265</v>
      </c>
      <c r="T75" s="26" t="s">
        <v>265</v>
      </c>
      <c r="U75" s="26" t="s">
        <v>265</v>
      </c>
      <c r="V75" s="26" t="s">
        <v>265</v>
      </c>
      <c r="W75" s="26" t="s">
        <v>265</v>
      </c>
      <c r="X75" s="26" t="s">
        <v>265</v>
      </c>
      <c r="Y75" s="26" t="s">
        <v>265</v>
      </c>
      <c r="Z75" s="26" t="s">
        <v>265</v>
      </c>
      <c r="AA75" s="26" t="s">
        <v>265</v>
      </c>
      <c r="AB75" s="26" t="s">
        <v>265</v>
      </c>
      <c r="AC75" s="26" t="s">
        <v>352</v>
      </c>
      <c r="AD75" s="26" t="s">
        <v>352</v>
      </c>
      <c r="AE75" s="26">
        <v>1</v>
      </c>
      <c r="AF75" s="26">
        <v>12</v>
      </c>
      <c r="AG75" s="26">
        <v>365</v>
      </c>
      <c r="AH75" s="26" t="s">
        <v>265</v>
      </c>
      <c r="AI75" s="26" t="s">
        <v>352</v>
      </c>
      <c r="AJ75" s="26" t="s">
        <v>265</v>
      </c>
      <c r="AK75" s="26" t="s">
        <v>265</v>
      </c>
      <c r="AL75" s="26" t="s">
        <v>265</v>
      </c>
      <c r="AM75" s="26">
        <v>4.47</v>
      </c>
      <c r="AN75" s="26">
        <v>130</v>
      </c>
      <c r="AO75" s="37">
        <v>1556</v>
      </c>
      <c r="AP75" s="26" t="s">
        <v>265</v>
      </c>
      <c r="AQ75" s="26" t="s">
        <v>352</v>
      </c>
      <c r="AR75" s="26">
        <v>23</v>
      </c>
      <c r="AS75" s="26">
        <v>200</v>
      </c>
      <c r="AT75" s="26">
        <v>3</v>
      </c>
      <c r="AU75" s="26">
        <v>112</v>
      </c>
      <c r="AV75" s="26">
        <v>40</v>
      </c>
      <c r="AW75" s="26" t="s">
        <v>352</v>
      </c>
      <c r="AX75" s="26" t="s">
        <v>352</v>
      </c>
      <c r="AY75" s="26" t="s">
        <v>352</v>
      </c>
      <c r="AZ75" s="26" t="s">
        <v>352</v>
      </c>
      <c r="BA75" s="26" t="s">
        <v>352</v>
      </c>
      <c r="BB75" s="26" t="s">
        <v>265</v>
      </c>
    </row>
    <row r="76" spans="1:54" ht="20.100000000000001" customHeight="1" x14ac:dyDescent="0.3">
      <c r="A76" s="26" t="s">
        <v>470</v>
      </c>
      <c r="B76" s="26" t="s">
        <v>265</v>
      </c>
      <c r="C76" s="26" t="s">
        <v>352</v>
      </c>
      <c r="D76" s="26" t="s">
        <v>265</v>
      </c>
      <c r="E76" s="26" t="s">
        <v>545</v>
      </c>
      <c r="F76" s="26" t="s">
        <v>352</v>
      </c>
      <c r="G76" s="26" t="s">
        <v>265</v>
      </c>
      <c r="H76" s="26" t="s">
        <v>352</v>
      </c>
      <c r="I76" s="26" t="s">
        <v>265</v>
      </c>
      <c r="J76" s="26" t="s">
        <v>265</v>
      </c>
      <c r="K76" s="26" t="s">
        <v>265</v>
      </c>
      <c r="L76" s="26" t="s">
        <v>265</v>
      </c>
      <c r="M76" s="26" t="s">
        <v>265</v>
      </c>
      <c r="N76" s="26" t="s">
        <v>265</v>
      </c>
      <c r="O76" s="26" t="s">
        <v>265</v>
      </c>
      <c r="P76" s="26" t="s">
        <v>265</v>
      </c>
      <c r="Q76" s="26" t="s">
        <v>265</v>
      </c>
      <c r="R76" s="26" t="s">
        <v>265</v>
      </c>
      <c r="S76" s="26" t="s">
        <v>265</v>
      </c>
      <c r="T76" s="26" t="s">
        <v>265</v>
      </c>
      <c r="U76" s="26" t="s">
        <v>265</v>
      </c>
      <c r="V76" s="26" t="s">
        <v>265</v>
      </c>
      <c r="W76" s="26" t="s">
        <v>265</v>
      </c>
      <c r="X76" s="26" t="s">
        <v>265</v>
      </c>
      <c r="Y76" s="26" t="s">
        <v>265</v>
      </c>
      <c r="Z76" s="26" t="s">
        <v>265</v>
      </c>
      <c r="AA76" s="26" t="s">
        <v>265</v>
      </c>
      <c r="AB76" s="26" t="s">
        <v>265</v>
      </c>
      <c r="AC76" s="26" t="s">
        <v>352</v>
      </c>
      <c r="AD76" s="26" t="s">
        <v>352</v>
      </c>
      <c r="AE76" s="26">
        <v>1</v>
      </c>
      <c r="AF76" s="26">
        <v>12</v>
      </c>
      <c r="AG76" s="26">
        <v>365</v>
      </c>
      <c r="AH76" s="26" t="s">
        <v>265</v>
      </c>
      <c r="AI76" s="26" t="s">
        <v>352</v>
      </c>
      <c r="AJ76" s="26" t="s">
        <v>265</v>
      </c>
      <c r="AK76" s="26" t="s">
        <v>265</v>
      </c>
      <c r="AL76" s="26" t="s">
        <v>265</v>
      </c>
      <c r="AM76" s="26">
        <v>2.75</v>
      </c>
      <c r="AN76" s="26">
        <v>80</v>
      </c>
      <c r="AO76" s="26">
        <v>957</v>
      </c>
      <c r="AP76" s="26" t="s">
        <v>352</v>
      </c>
      <c r="AQ76" s="26" t="s">
        <v>265</v>
      </c>
      <c r="AR76" s="26">
        <v>7</v>
      </c>
      <c r="AS76" s="26">
        <v>40</v>
      </c>
      <c r="AT76" s="26">
        <v>2</v>
      </c>
      <c r="AU76" s="26">
        <v>30</v>
      </c>
      <c r="AV76" s="26">
        <v>40</v>
      </c>
      <c r="AW76" s="26" t="s">
        <v>352</v>
      </c>
      <c r="AX76" s="26" t="s">
        <v>265</v>
      </c>
      <c r="AY76" s="26" t="s">
        <v>352</v>
      </c>
      <c r="AZ76" s="26" t="s">
        <v>265</v>
      </c>
      <c r="BA76" s="26" t="s">
        <v>265</v>
      </c>
      <c r="BB76" s="26" t="s">
        <v>265</v>
      </c>
    </row>
    <row r="77" spans="1:54" ht="20.100000000000001" customHeight="1" x14ac:dyDescent="0.3">
      <c r="A77" s="26" t="s">
        <v>470</v>
      </c>
      <c r="B77" s="26" t="s">
        <v>265</v>
      </c>
      <c r="C77" s="26" t="s">
        <v>352</v>
      </c>
      <c r="D77" s="26" t="s">
        <v>265</v>
      </c>
      <c r="E77" s="26" t="s">
        <v>546</v>
      </c>
      <c r="F77" s="26" t="s">
        <v>352</v>
      </c>
      <c r="G77" s="26" t="s">
        <v>265</v>
      </c>
      <c r="H77" s="26" t="s">
        <v>352</v>
      </c>
      <c r="I77" s="26" t="s">
        <v>265</v>
      </c>
      <c r="J77" s="26" t="s">
        <v>265</v>
      </c>
      <c r="K77" s="26" t="s">
        <v>265</v>
      </c>
      <c r="L77" s="26" t="s">
        <v>265</v>
      </c>
      <c r="M77" s="26" t="s">
        <v>265</v>
      </c>
      <c r="N77" s="26" t="s">
        <v>265</v>
      </c>
      <c r="O77" s="26" t="s">
        <v>265</v>
      </c>
      <c r="P77" s="26" t="s">
        <v>265</v>
      </c>
      <c r="Q77" s="26" t="s">
        <v>265</v>
      </c>
      <c r="R77" s="26" t="s">
        <v>265</v>
      </c>
      <c r="S77" s="26" t="s">
        <v>265</v>
      </c>
      <c r="T77" s="26" t="s">
        <v>265</v>
      </c>
      <c r="U77" s="26" t="s">
        <v>265</v>
      </c>
      <c r="V77" s="26" t="s">
        <v>265</v>
      </c>
      <c r="W77" s="26" t="s">
        <v>265</v>
      </c>
      <c r="X77" s="26" t="s">
        <v>265</v>
      </c>
      <c r="Y77" s="26" t="s">
        <v>265</v>
      </c>
      <c r="Z77" s="26" t="s">
        <v>265</v>
      </c>
      <c r="AA77" s="26" t="s">
        <v>265</v>
      </c>
      <c r="AB77" s="26" t="s">
        <v>265</v>
      </c>
      <c r="AC77" s="26" t="s">
        <v>352</v>
      </c>
      <c r="AD77" s="26" t="s">
        <v>352</v>
      </c>
      <c r="AE77" s="26">
        <v>1</v>
      </c>
      <c r="AF77" s="26">
        <v>12</v>
      </c>
      <c r="AG77" s="26">
        <v>365</v>
      </c>
      <c r="AH77" s="26" t="s">
        <v>265</v>
      </c>
      <c r="AI77" s="26" t="s">
        <v>352</v>
      </c>
      <c r="AJ77" s="26" t="s">
        <v>265</v>
      </c>
      <c r="AK77" s="26" t="s">
        <v>265</v>
      </c>
      <c r="AL77" s="26" t="s">
        <v>265</v>
      </c>
      <c r="AM77" s="26">
        <v>3.23</v>
      </c>
      <c r="AN77" s="26">
        <v>94</v>
      </c>
      <c r="AO77" s="37">
        <v>1124</v>
      </c>
      <c r="AP77" s="26" t="s">
        <v>265</v>
      </c>
      <c r="AQ77" s="26" t="s">
        <v>352</v>
      </c>
      <c r="AR77" s="26">
        <v>190</v>
      </c>
      <c r="AS77" s="26">
        <v>200</v>
      </c>
      <c r="AT77" s="26">
        <v>2</v>
      </c>
      <c r="AU77" s="26">
        <v>53</v>
      </c>
      <c r="AV77" s="26">
        <v>25</v>
      </c>
      <c r="AW77" s="26" t="s">
        <v>352</v>
      </c>
      <c r="AX77" s="26" t="s">
        <v>265</v>
      </c>
      <c r="AY77" s="26" t="s">
        <v>352</v>
      </c>
      <c r="AZ77" s="26" t="s">
        <v>265</v>
      </c>
      <c r="BA77" s="26" t="s">
        <v>265</v>
      </c>
      <c r="BB77" s="26" t="s">
        <v>265</v>
      </c>
    </row>
    <row r="78" spans="1:54" ht="20.100000000000001" customHeight="1" x14ac:dyDescent="0.3">
      <c r="A78" s="26" t="s">
        <v>470</v>
      </c>
      <c r="B78" s="26" t="s">
        <v>265</v>
      </c>
      <c r="C78" s="26" t="s">
        <v>352</v>
      </c>
      <c r="D78" s="26" t="s">
        <v>265</v>
      </c>
      <c r="E78" s="26" t="s">
        <v>547</v>
      </c>
      <c r="F78" s="26" t="s">
        <v>352</v>
      </c>
      <c r="G78" s="26" t="s">
        <v>265</v>
      </c>
      <c r="H78" s="26" t="s">
        <v>352</v>
      </c>
      <c r="I78" s="26" t="s">
        <v>265</v>
      </c>
      <c r="J78" s="26" t="s">
        <v>265</v>
      </c>
      <c r="K78" s="26" t="s">
        <v>265</v>
      </c>
      <c r="L78" s="26" t="s">
        <v>265</v>
      </c>
      <c r="M78" s="26" t="s">
        <v>265</v>
      </c>
      <c r="N78" s="26" t="s">
        <v>265</v>
      </c>
      <c r="O78" s="26" t="s">
        <v>265</v>
      </c>
      <c r="P78" s="26" t="s">
        <v>265</v>
      </c>
      <c r="Q78" s="26" t="s">
        <v>265</v>
      </c>
      <c r="R78" s="26" t="s">
        <v>265</v>
      </c>
      <c r="S78" s="26" t="s">
        <v>265</v>
      </c>
      <c r="T78" s="26" t="s">
        <v>265</v>
      </c>
      <c r="U78" s="26" t="s">
        <v>265</v>
      </c>
      <c r="V78" s="26" t="s">
        <v>265</v>
      </c>
      <c r="W78" s="26" t="s">
        <v>265</v>
      </c>
      <c r="X78" s="26" t="s">
        <v>265</v>
      </c>
      <c r="Y78" s="26" t="s">
        <v>265</v>
      </c>
      <c r="Z78" s="26" t="s">
        <v>265</v>
      </c>
      <c r="AA78" s="26" t="s">
        <v>265</v>
      </c>
      <c r="AB78" s="26" t="s">
        <v>265</v>
      </c>
      <c r="AC78" s="26" t="s">
        <v>352</v>
      </c>
      <c r="AD78" s="26" t="s">
        <v>352</v>
      </c>
      <c r="AE78" s="26">
        <v>1</v>
      </c>
      <c r="AF78" s="26">
        <v>12</v>
      </c>
      <c r="AG78" s="26">
        <v>365</v>
      </c>
      <c r="AH78" s="26" t="s">
        <v>265</v>
      </c>
      <c r="AI78" s="26" t="s">
        <v>352</v>
      </c>
      <c r="AJ78" s="26" t="s">
        <v>265</v>
      </c>
      <c r="AK78" s="26" t="s">
        <v>265</v>
      </c>
      <c r="AL78" s="26" t="s">
        <v>265</v>
      </c>
      <c r="AM78" s="26">
        <v>4.47</v>
      </c>
      <c r="AN78" s="26">
        <v>130</v>
      </c>
      <c r="AO78" s="37">
        <v>1556</v>
      </c>
      <c r="AP78" s="26" t="s">
        <v>265</v>
      </c>
      <c r="AQ78" s="26" t="s">
        <v>352</v>
      </c>
      <c r="AR78" s="26">
        <v>80</v>
      </c>
      <c r="AS78" s="26">
        <v>200</v>
      </c>
      <c r="AT78" s="26">
        <v>3</v>
      </c>
      <c r="AU78" s="26">
        <v>112</v>
      </c>
      <c r="AV78" s="26">
        <v>32</v>
      </c>
      <c r="AW78" s="26" t="s">
        <v>352</v>
      </c>
      <c r="AX78" s="26" t="s">
        <v>265</v>
      </c>
      <c r="AY78" s="26" t="s">
        <v>352</v>
      </c>
      <c r="AZ78" s="26" t="s">
        <v>265</v>
      </c>
      <c r="BA78" s="26" t="s">
        <v>265</v>
      </c>
      <c r="BB78" s="26" t="s">
        <v>265</v>
      </c>
    </row>
    <row r="79" spans="1:54" ht="20.100000000000001" customHeight="1" x14ac:dyDescent="0.3">
      <c r="A79" s="26" t="s">
        <v>470</v>
      </c>
      <c r="B79" s="26" t="s">
        <v>265</v>
      </c>
      <c r="C79" s="26" t="s">
        <v>352</v>
      </c>
      <c r="D79" s="26" t="s">
        <v>265</v>
      </c>
      <c r="E79" s="26" t="s">
        <v>548</v>
      </c>
      <c r="F79" s="26" t="s">
        <v>352</v>
      </c>
      <c r="G79" s="26" t="s">
        <v>265</v>
      </c>
      <c r="H79" s="26" t="s">
        <v>352</v>
      </c>
      <c r="I79" s="26" t="s">
        <v>265</v>
      </c>
      <c r="J79" s="26" t="s">
        <v>265</v>
      </c>
      <c r="K79" s="26" t="s">
        <v>265</v>
      </c>
      <c r="L79" s="26" t="s">
        <v>265</v>
      </c>
      <c r="M79" s="26" t="s">
        <v>265</v>
      </c>
      <c r="N79" s="26" t="s">
        <v>265</v>
      </c>
      <c r="O79" s="26" t="s">
        <v>265</v>
      </c>
      <c r="P79" s="26" t="s">
        <v>265</v>
      </c>
      <c r="Q79" s="26" t="s">
        <v>265</v>
      </c>
      <c r="R79" s="26" t="s">
        <v>265</v>
      </c>
      <c r="S79" s="26" t="s">
        <v>265</v>
      </c>
      <c r="T79" s="26" t="s">
        <v>265</v>
      </c>
      <c r="U79" s="26" t="s">
        <v>265</v>
      </c>
      <c r="V79" s="26" t="s">
        <v>265</v>
      </c>
      <c r="W79" s="26" t="s">
        <v>265</v>
      </c>
      <c r="X79" s="26" t="s">
        <v>265</v>
      </c>
      <c r="Y79" s="26" t="s">
        <v>265</v>
      </c>
      <c r="Z79" s="26" t="s">
        <v>265</v>
      </c>
      <c r="AA79" s="26" t="s">
        <v>265</v>
      </c>
      <c r="AB79" s="26" t="s">
        <v>265</v>
      </c>
      <c r="AC79" s="26" t="s">
        <v>352</v>
      </c>
      <c r="AD79" s="26" t="s">
        <v>352</v>
      </c>
      <c r="AE79" s="26">
        <v>1</v>
      </c>
      <c r="AF79" s="26">
        <v>12</v>
      </c>
      <c r="AG79" s="26">
        <v>365</v>
      </c>
      <c r="AH79" s="26" t="s">
        <v>265</v>
      </c>
      <c r="AI79" s="26" t="s">
        <v>352</v>
      </c>
      <c r="AJ79" s="26" t="s">
        <v>265</v>
      </c>
      <c r="AK79" s="26" t="s">
        <v>265</v>
      </c>
      <c r="AL79" s="26" t="s">
        <v>265</v>
      </c>
      <c r="AM79" s="26">
        <v>4.01</v>
      </c>
      <c r="AN79" s="26">
        <v>116</v>
      </c>
      <c r="AO79" s="37">
        <v>1395</v>
      </c>
      <c r="AP79" s="26" t="s">
        <v>265</v>
      </c>
      <c r="AQ79" s="26" t="s">
        <v>352</v>
      </c>
      <c r="AR79" s="26">
        <v>250</v>
      </c>
      <c r="AS79" s="26">
        <v>200</v>
      </c>
      <c r="AT79" s="26">
        <v>5</v>
      </c>
      <c r="AU79" s="26">
        <v>90</v>
      </c>
      <c r="AV79" s="26">
        <v>40</v>
      </c>
      <c r="AW79" s="26" t="s">
        <v>352</v>
      </c>
      <c r="AX79" s="26" t="s">
        <v>265</v>
      </c>
      <c r="AY79" s="26" t="s">
        <v>352</v>
      </c>
      <c r="AZ79" s="26" t="s">
        <v>265</v>
      </c>
      <c r="BA79" s="26" t="s">
        <v>265</v>
      </c>
      <c r="BB79" s="26" t="s">
        <v>265</v>
      </c>
    </row>
    <row r="80" spans="1:54" ht="20.100000000000001" customHeight="1" x14ac:dyDescent="0.3">
      <c r="A80" s="26" t="s">
        <v>470</v>
      </c>
      <c r="B80" s="26" t="s">
        <v>352</v>
      </c>
      <c r="C80" s="26" t="s">
        <v>265</v>
      </c>
      <c r="D80" s="26" t="s">
        <v>265</v>
      </c>
      <c r="E80" s="26" t="s">
        <v>549</v>
      </c>
      <c r="F80" s="26" t="s">
        <v>352</v>
      </c>
      <c r="G80" s="26" t="s">
        <v>265</v>
      </c>
      <c r="H80" s="26" t="s">
        <v>352</v>
      </c>
      <c r="I80" s="26" t="s">
        <v>265</v>
      </c>
      <c r="J80" s="26" t="s">
        <v>265</v>
      </c>
      <c r="K80" s="26" t="s">
        <v>265</v>
      </c>
      <c r="L80" s="26" t="s">
        <v>265</v>
      </c>
      <c r="M80" s="26" t="s">
        <v>265</v>
      </c>
      <c r="N80" s="26" t="s">
        <v>265</v>
      </c>
      <c r="O80" s="26" t="s">
        <v>265</v>
      </c>
      <c r="P80" s="26" t="s">
        <v>265</v>
      </c>
      <c r="Q80" s="26" t="s">
        <v>265</v>
      </c>
      <c r="R80" s="26" t="s">
        <v>265</v>
      </c>
      <c r="S80" s="26" t="s">
        <v>265</v>
      </c>
      <c r="T80" s="26" t="s">
        <v>265</v>
      </c>
      <c r="U80" s="26" t="s">
        <v>265</v>
      </c>
      <c r="V80" s="26" t="s">
        <v>265</v>
      </c>
      <c r="W80" s="26" t="s">
        <v>265</v>
      </c>
      <c r="X80" s="26" t="s">
        <v>265</v>
      </c>
      <c r="Y80" s="26" t="s">
        <v>265</v>
      </c>
      <c r="Z80" s="26" t="s">
        <v>265</v>
      </c>
      <c r="AA80" s="26" t="s">
        <v>265</v>
      </c>
      <c r="AB80" s="26" t="s">
        <v>265</v>
      </c>
      <c r="AC80" s="26" t="s">
        <v>352</v>
      </c>
      <c r="AD80" s="26" t="s">
        <v>352</v>
      </c>
      <c r="AE80" s="26">
        <v>1</v>
      </c>
      <c r="AF80" s="26">
        <v>12</v>
      </c>
      <c r="AG80" s="26">
        <v>365</v>
      </c>
      <c r="AH80" s="26" t="s">
        <v>265</v>
      </c>
      <c r="AI80" s="26" t="s">
        <v>352</v>
      </c>
      <c r="AJ80" s="26" t="s">
        <v>265</v>
      </c>
      <c r="AK80" s="26" t="s">
        <v>265</v>
      </c>
      <c r="AL80" s="26" t="s">
        <v>265</v>
      </c>
      <c r="AM80" s="26">
        <v>3.86</v>
      </c>
      <c r="AN80" s="26">
        <v>112</v>
      </c>
      <c r="AO80" s="37">
        <v>1343</v>
      </c>
      <c r="AP80" s="26" t="s">
        <v>265</v>
      </c>
      <c r="AQ80" s="26" t="s">
        <v>352</v>
      </c>
      <c r="AR80" s="26">
        <v>120</v>
      </c>
      <c r="AS80" s="26">
        <v>160</v>
      </c>
      <c r="AT80" s="26">
        <v>2</v>
      </c>
      <c r="AU80" s="26">
        <v>83</v>
      </c>
      <c r="AV80" s="26">
        <v>32</v>
      </c>
      <c r="AW80" s="26" t="s">
        <v>352</v>
      </c>
      <c r="AX80" s="26" t="s">
        <v>352</v>
      </c>
      <c r="AY80" s="26" t="s">
        <v>352</v>
      </c>
      <c r="AZ80" s="26" t="s">
        <v>352</v>
      </c>
      <c r="BA80" s="26" t="s">
        <v>352</v>
      </c>
      <c r="BB80" s="26" t="s">
        <v>265</v>
      </c>
    </row>
    <row r="81" spans="1:54" ht="20.100000000000001" customHeight="1" x14ac:dyDescent="0.3">
      <c r="A81" s="26" t="s">
        <v>470</v>
      </c>
      <c r="B81" s="26" t="s">
        <v>265</v>
      </c>
      <c r="C81" s="26" t="s">
        <v>352</v>
      </c>
      <c r="D81" s="26" t="s">
        <v>265</v>
      </c>
      <c r="E81" s="26" t="s">
        <v>550</v>
      </c>
      <c r="F81" s="26" t="s">
        <v>352</v>
      </c>
      <c r="G81" s="26" t="s">
        <v>265</v>
      </c>
      <c r="H81" s="26" t="s">
        <v>352</v>
      </c>
      <c r="I81" s="26" t="s">
        <v>265</v>
      </c>
      <c r="J81" s="26" t="s">
        <v>265</v>
      </c>
      <c r="K81" s="26" t="s">
        <v>265</v>
      </c>
      <c r="L81" s="26" t="s">
        <v>265</v>
      </c>
      <c r="M81" s="26" t="s">
        <v>265</v>
      </c>
      <c r="N81" s="26" t="s">
        <v>265</v>
      </c>
      <c r="O81" s="26" t="s">
        <v>265</v>
      </c>
      <c r="P81" s="26" t="s">
        <v>265</v>
      </c>
      <c r="Q81" s="26" t="s">
        <v>265</v>
      </c>
      <c r="R81" s="26" t="s">
        <v>265</v>
      </c>
      <c r="S81" s="26" t="s">
        <v>265</v>
      </c>
      <c r="T81" s="26" t="s">
        <v>265</v>
      </c>
      <c r="U81" s="26" t="s">
        <v>265</v>
      </c>
      <c r="V81" s="26" t="s">
        <v>265</v>
      </c>
      <c r="W81" s="26" t="s">
        <v>265</v>
      </c>
      <c r="X81" s="26" t="s">
        <v>265</v>
      </c>
      <c r="Y81" s="26" t="s">
        <v>265</v>
      </c>
      <c r="Z81" s="26" t="s">
        <v>265</v>
      </c>
      <c r="AA81" s="26" t="s">
        <v>265</v>
      </c>
      <c r="AB81" s="26" t="s">
        <v>265</v>
      </c>
      <c r="AC81" s="26" t="s">
        <v>352</v>
      </c>
      <c r="AD81" s="26" t="s">
        <v>352</v>
      </c>
      <c r="AE81" s="26">
        <v>1</v>
      </c>
      <c r="AF81" s="26">
        <v>12</v>
      </c>
      <c r="AG81" s="26">
        <v>365</v>
      </c>
      <c r="AH81" s="26" t="s">
        <v>265</v>
      </c>
      <c r="AI81" s="26" t="s">
        <v>352</v>
      </c>
      <c r="AJ81" s="26" t="s">
        <v>265</v>
      </c>
      <c r="AK81" s="26" t="s">
        <v>265</v>
      </c>
      <c r="AL81" s="26" t="s">
        <v>265</v>
      </c>
      <c r="AM81" s="26">
        <v>3.48</v>
      </c>
      <c r="AN81" s="26">
        <v>101</v>
      </c>
      <c r="AO81" s="37">
        <v>1211</v>
      </c>
      <c r="AP81" s="26" t="s">
        <v>352</v>
      </c>
      <c r="AQ81" s="26" t="s">
        <v>265</v>
      </c>
      <c r="AR81" s="26">
        <v>20</v>
      </c>
      <c r="AS81" s="26">
        <v>32</v>
      </c>
      <c r="AT81" s="26">
        <v>1</v>
      </c>
      <c r="AU81" s="26">
        <v>65</v>
      </c>
      <c r="AV81" s="26">
        <v>25</v>
      </c>
      <c r="AW81" s="26" t="s">
        <v>352</v>
      </c>
      <c r="AX81" s="26" t="s">
        <v>265</v>
      </c>
      <c r="AY81" s="26" t="s">
        <v>352</v>
      </c>
      <c r="AZ81" s="26" t="s">
        <v>265</v>
      </c>
      <c r="BA81" s="26" t="s">
        <v>265</v>
      </c>
      <c r="BB81" s="26" t="s">
        <v>265</v>
      </c>
    </row>
    <row r="82" spans="1:54" ht="20.100000000000001" customHeight="1" x14ac:dyDescent="0.3">
      <c r="A82" s="26" t="s">
        <v>470</v>
      </c>
      <c r="B82" s="26" t="s">
        <v>352</v>
      </c>
      <c r="C82" s="26" t="s">
        <v>265</v>
      </c>
      <c r="D82" s="26" t="s">
        <v>265</v>
      </c>
      <c r="E82" s="26" t="s">
        <v>551</v>
      </c>
      <c r="F82" s="26" t="s">
        <v>352</v>
      </c>
      <c r="G82" s="26" t="s">
        <v>265</v>
      </c>
      <c r="H82" s="26" t="s">
        <v>352</v>
      </c>
      <c r="I82" s="26" t="s">
        <v>265</v>
      </c>
      <c r="J82" s="26" t="s">
        <v>265</v>
      </c>
      <c r="K82" s="26" t="s">
        <v>265</v>
      </c>
      <c r="L82" s="26" t="s">
        <v>265</v>
      </c>
      <c r="M82" s="26" t="s">
        <v>265</v>
      </c>
      <c r="N82" s="26" t="s">
        <v>265</v>
      </c>
      <c r="O82" s="26" t="s">
        <v>265</v>
      </c>
      <c r="P82" s="26" t="s">
        <v>265</v>
      </c>
      <c r="Q82" s="26" t="s">
        <v>265</v>
      </c>
      <c r="R82" s="26" t="s">
        <v>265</v>
      </c>
      <c r="S82" s="26" t="s">
        <v>265</v>
      </c>
      <c r="T82" s="26" t="s">
        <v>265</v>
      </c>
      <c r="U82" s="26" t="s">
        <v>265</v>
      </c>
      <c r="V82" s="26" t="s">
        <v>265</v>
      </c>
      <c r="W82" s="26" t="s">
        <v>265</v>
      </c>
      <c r="X82" s="26" t="s">
        <v>265</v>
      </c>
      <c r="Y82" s="26" t="s">
        <v>265</v>
      </c>
      <c r="Z82" s="26" t="s">
        <v>265</v>
      </c>
      <c r="AA82" s="26" t="s">
        <v>265</v>
      </c>
      <c r="AB82" s="26" t="s">
        <v>265</v>
      </c>
      <c r="AC82" s="26" t="s">
        <v>352</v>
      </c>
      <c r="AD82" s="26" t="s">
        <v>352</v>
      </c>
      <c r="AE82" s="26">
        <v>1</v>
      </c>
      <c r="AF82" s="26">
        <v>12</v>
      </c>
      <c r="AG82" s="26">
        <v>365</v>
      </c>
      <c r="AH82" s="26" t="s">
        <v>265</v>
      </c>
      <c r="AI82" s="26" t="s">
        <v>352</v>
      </c>
      <c r="AJ82" s="26" t="s">
        <v>265</v>
      </c>
      <c r="AK82" s="26" t="s">
        <v>265</v>
      </c>
      <c r="AL82" s="26" t="s">
        <v>265</v>
      </c>
      <c r="AM82" s="26">
        <v>2.75</v>
      </c>
      <c r="AN82" s="26">
        <v>80</v>
      </c>
      <c r="AO82" s="26">
        <v>957</v>
      </c>
      <c r="AP82" s="26" t="s">
        <v>352</v>
      </c>
      <c r="AQ82" s="26" t="s">
        <v>265</v>
      </c>
      <c r="AR82" s="26">
        <v>80</v>
      </c>
      <c r="AS82" s="26">
        <v>50</v>
      </c>
      <c r="AT82" s="26">
        <v>5</v>
      </c>
      <c r="AU82" s="26">
        <v>30</v>
      </c>
      <c r="AV82" s="26">
        <v>50</v>
      </c>
      <c r="AW82" s="26" t="s">
        <v>352</v>
      </c>
      <c r="AX82" s="26" t="s">
        <v>352</v>
      </c>
      <c r="AY82" s="26" t="s">
        <v>352</v>
      </c>
      <c r="AZ82" s="26" t="s">
        <v>352</v>
      </c>
      <c r="BA82" s="26" t="s">
        <v>352</v>
      </c>
      <c r="BB82" s="26" t="s">
        <v>265</v>
      </c>
    </row>
    <row r="83" spans="1:54" ht="20.100000000000001" customHeight="1" x14ac:dyDescent="0.3">
      <c r="A83" s="26" t="s">
        <v>470</v>
      </c>
      <c r="B83" s="26" t="s">
        <v>352</v>
      </c>
      <c r="C83" s="26" t="s">
        <v>265</v>
      </c>
      <c r="D83" s="26" t="s">
        <v>265</v>
      </c>
      <c r="E83" s="26" t="s">
        <v>552</v>
      </c>
      <c r="F83" s="26" t="s">
        <v>352</v>
      </c>
      <c r="G83" s="26" t="s">
        <v>265</v>
      </c>
      <c r="H83" s="26" t="s">
        <v>352</v>
      </c>
      <c r="I83" s="26" t="s">
        <v>265</v>
      </c>
      <c r="J83" s="26" t="s">
        <v>265</v>
      </c>
      <c r="K83" s="26" t="s">
        <v>265</v>
      </c>
      <c r="L83" s="26" t="s">
        <v>265</v>
      </c>
      <c r="M83" s="26" t="s">
        <v>265</v>
      </c>
      <c r="N83" s="26" t="s">
        <v>265</v>
      </c>
      <c r="O83" s="26" t="s">
        <v>265</v>
      </c>
      <c r="P83" s="26" t="s">
        <v>265</v>
      </c>
      <c r="Q83" s="26" t="s">
        <v>265</v>
      </c>
      <c r="R83" s="26" t="s">
        <v>265</v>
      </c>
      <c r="S83" s="26" t="s">
        <v>265</v>
      </c>
      <c r="T83" s="26" t="s">
        <v>265</v>
      </c>
      <c r="U83" s="26" t="s">
        <v>265</v>
      </c>
      <c r="V83" s="26" t="s">
        <v>265</v>
      </c>
      <c r="W83" s="26" t="s">
        <v>265</v>
      </c>
      <c r="X83" s="26" t="s">
        <v>265</v>
      </c>
      <c r="Y83" s="26" t="s">
        <v>265</v>
      </c>
      <c r="Z83" s="26" t="s">
        <v>265</v>
      </c>
      <c r="AA83" s="26" t="s">
        <v>265</v>
      </c>
      <c r="AB83" s="26" t="s">
        <v>265</v>
      </c>
      <c r="AC83" s="26" t="s">
        <v>352</v>
      </c>
      <c r="AD83" s="26" t="s">
        <v>352</v>
      </c>
      <c r="AE83" s="26">
        <v>1</v>
      </c>
      <c r="AF83" s="26">
        <v>12</v>
      </c>
      <c r="AG83" s="26">
        <v>365</v>
      </c>
      <c r="AH83" s="26" t="s">
        <v>265</v>
      </c>
      <c r="AI83" s="26" t="s">
        <v>352</v>
      </c>
      <c r="AJ83" s="26" t="s">
        <v>265</v>
      </c>
      <c r="AK83" s="26" t="s">
        <v>265</v>
      </c>
      <c r="AL83" s="26" t="s">
        <v>265</v>
      </c>
      <c r="AM83" s="26">
        <v>4.47</v>
      </c>
      <c r="AN83" s="26">
        <v>130</v>
      </c>
      <c r="AO83" s="37">
        <v>1556</v>
      </c>
      <c r="AP83" s="26" t="s">
        <v>265</v>
      </c>
      <c r="AQ83" s="26" t="s">
        <v>352</v>
      </c>
      <c r="AR83" s="26">
        <v>150</v>
      </c>
      <c r="AS83" s="26">
        <v>165</v>
      </c>
      <c r="AT83" s="26">
        <v>3</v>
      </c>
      <c r="AU83" s="26">
        <v>112</v>
      </c>
      <c r="AV83" s="26">
        <v>32</v>
      </c>
      <c r="AW83" s="26" t="s">
        <v>352</v>
      </c>
      <c r="AX83" s="26" t="s">
        <v>352</v>
      </c>
      <c r="AY83" s="26" t="s">
        <v>352</v>
      </c>
      <c r="AZ83" s="26" t="s">
        <v>352</v>
      </c>
      <c r="BA83" s="26" t="s">
        <v>352</v>
      </c>
      <c r="BB83" s="26" t="s">
        <v>265</v>
      </c>
    </row>
    <row r="84" spans="1:54" ht="20.100000000000001" customHeight="1" x14ac:dyDescent="0.3">
      <c r="A84" s="26" t="s">
        <v>470</v>
      </c>
      <c r="B84" s="26" t="s">
        <v>352</v>
      </c>
      <c r="C84" s="26" t="s">
        <v>265</v>
      </c>
      <c r="D84" s="26" t="s">
        <v>265</v>
      </c>
      <c r="E84" s="26" t="s">
        <v>553</v>
      </c>
      <c r="F84" s="26" t="s">
        <v>352</v>
      </c>
      <c r="G84" s="26" t="s">
        <v>265</v>
      </c>
      <c r="H84" s="26" t="s">
        <v>352</v>
      </c>
      <c r="I84" s="26" t="s">
        <v>265</v>
      </c>
      <c r="J84" s="26" t="s">
        <v>265</v>
      </c>
      <c r="K84" s="26" t="s">
        <v>265</v>
      </c>
      <c r="L84" s="26" t="s">
        <v>265</v>
      </c>
      <c r="M84" s="26" t="s">
        <v>265</v>
      </c>
      <c r="N84" s="26" t="s">
        <v>265</v>
      </c>
      <c r="O84" s="26" t="s">
        <v>265</v>
      </c>
      <c r="P84" s="26" t="s">
        <v>265</v>
      </c>
      <c r="Q84" s="26" t="s">
        <v>265</v>
      </c>
      <c r="R84" s="26" t="s">
        <v>265</v>
      </c>
      <c r="S84" s="26" t="s">
        <v>265</v>
      </c>
      <c r="T84" s="26" t="s">
        <v>265</v>
      </c>
      <c r="U84" s="26" t="s">
        <v>265</v>
      </c>
      <c r="V84" s="26" t="s">
        <v>265</v>
      </c>
      <c r="W84" s="26" t="s">
        <v>265</v>
      </c>
      <c r="X84" s="26" t="s">
        <v>265</v>
      </c>
      <c r="Y84" s="26" t="s">
        <v>265</v>
      </c>
      <c r="Z84" s="26" t="s">
        <v>265</v>
      </c>
      <c r="AA84" s="26" t="s">
        <v>265</v>
      </c>
      <c r="AB84" s="26" t="s">
        <v>265</v>
      </c>
      <c r="AC84" s="26" t="s">
        <v>352</v>
      </c>
      <c r="AD84" s="26" t="s">
        <v>352</v>
      </c>
      <c r="AE84" s="26">
        <v>1</v>
      </c>
      <c r="AF84" s="26">
        <v>12</v>
      </c>
      <c r="AG84" s="26">
        <v>365</v>
      </c>
      <c r="AH84" s="26" t="s">
        <v>265</v>
      </c>
      <c r="AI84" s="26" t="s">
        <v>352</v>
      </c>
      <c r="AJ84" s="26" t="s">
        <v>265</v>
      </c>
      <c r="AK84" s="26" t="s">
        <v>265</v>
      </c>
      <c r="AL84" s="26" t="s">
        <v>265</v>
      </c>
      <c r="AM84" s="26">
        <v>2.88</v>
      </c>
      <c r="AN84" s="26">
        <v>84</v>
      </c>
      <c r="AO84" s="37">
        <v>1002</v>
      </c>
      <c r="AP84" s="26" t="s">
        <v>265</v>
      </c>
      <c r="AQ84" s="26" t="s">
        <v>352</v>
      </c>
      <c r="AR84" s="26">
        <v>150</v>
      </c>
      <c r="AS84" s="26">
        <v>200</v>
      </c>
      <c r="AT84" s="26">
        <v>1</v>
      </c>
      <c r="AU84" s="26">
        <v>36</v>
      </c>
      <c r="AV84" s="26">
        <v>40</v>
      </c>
      <c r="AW84" s="26" t="s">
        <v>352</v>
      </c>
      <c r="AX84" s="26" t="s">
        <v>352</v>
      </c>
      <c r="AY84" s="26" t="s">
        <v>352</v>
      </c>
      <c r="AZ84" s="26" t="s">
        <v>352</v>
      </c>
      <c r="BA84" s="26" t="s">
        <v>352</v>
      </c>
      <c r="BB84" s="26" t="s">
        <v>265</v>
      </c>
    </row>
    <row r="85" spans="1:54" ht="20.100000000000001" customHeight="1" x14ac:dyDescent="0.3">
      <c r="A85" s="26" t="s">
        <v>470</v>
      </c>
      <c r="B85" s="26" t="s">
        <v>265</v>
      </c>
      <c r="C85" s="26" t="s">
        <v>352</v>
      </c>
      <c r="D85" s="26" t="s">
        <v>265</v>
      </c>
      <c r="E85" s="26" t="s">
        <v>554</v>
      </c>
      <c r="F85" s="26" t="s">
        <v>352</v>
      </c>
      <c r="G85" s="26" t="s">
        <v>265</v>
      </c>
      <c r="H85" s="26" t="s">
        <v>352</v>
      </c>
      <c r="I85" s="26" t="s">
        <v>265</v>
      </c>
      <c r="J85" s="26" t="s">
        <v>265</v>
      </c>
      <c r="K85" s="26" t="s">
        <v>265</v>
      </c>
      <c r="L85" s="26" t="s">
        <v>265</v>
      </c>
      <c r="M85" s="26" t="s">
        <v>265</v>
      </c>
      <c r="N85" s="26" t="s">
        <v>265</v>
      </c>
      <c r="O85" s="26" t="s">
        <v>265</v>
      </c>
      <c r="P85" s="26" t="s">
        <v>265</v>
      </c>
      <c r="Q85" s="26" t="s">
        <v>265</v>
      </c>
      <c r="R85" s="26" t="s">
        <v>265</v>
      </c>
      <c r="S85" s="26" t="s">
        <v>265</v>
      </c>
      <c r="T85" s="26" t="s">
        <v>265</v>
      </c>
      <c r="U85" s="26" t="s">
        <v>265</v>
      </c>
      <c r="V85" s="26" t="s">
        <v>265</v>
      </c>
      <c r="W85" s="26" t="s">
        <v>265</v>
      </c>
      <c r="X85" s="26" t="s">
        <v>265</v>
      </c>
      <c r="Y85" s="26" t="s">
        <v>265</v>
      </c>
      <c r="Z85" s="26" t="s">
        <v>265</v>
      </c>
      <c r="AA85" s="26" t="s">
        <v>265</v>
      </c>
      <c r="AB85" s="26" t="s">
        <v>265</v>
      </c>
      <c r="AC85" s="26" t="s">
        <v>352</v>
      </c>
      <c r="AD85" s="26" t="s">
        <v>352</v>
      </c>
      <c r="AE85" s="26">
        <v>1</v>
      </c>
      <c r="AF85" s="26">
        <v>12</v>
      </c>
      <c r="AG85" s="26">
        <v>365</v>
      </c>
      <c r="AH85" s="26" t="s">
        <v>265</v>
      </c>
      <c r="AI85" s="26" t="s">
        <v>352</v>
      </c>
      <c r="AJ85" s="26" t="s">
        <v>265</v>
      </c>
      <c r="AK85" s="26" t="s">
        <v>265</v>
      </c>
      <c r="AL85" s="26" t="s">
        <v>265</v>
      </c>
      <c r="AM85" s="26">
        <v>4.01</v>
      </c>
      <c r="AN85" s="26">
        <v>116</v>
      </c>
      <c r="AO85" s="37">
        <v>1395</v>
      </c>
      <c r="AP85" s="26" t="s">
        <v>265</v>
      </c>
      <c r="AQ85" s="26" t="s">
        <v>352</v>
      </c>
      <c r="AR85" s="26">
        <v>200</v>
      </c>
      <c r="AS85" s="26">
        <v>200</v>
      </c>
      <c r="AT85" s="26">
        <v>3</v>
      </c>
      <c r="AU85" s="26">
        <v>90</v>
      </c>
      <c r="AV85" s="26">
        <v>32</v>
      </c>
      <c r="AW85" s="26" t="s">
        <v>352</v>
      </c>
      <c r="AX85" s="26" t="s">
        <v>265</v>
      </c>
      <c r="AY85" s="26" t="s">
        <v>352</v>
      </c>
      <c r="AZ85" s="26" t="s">
        <v>265</v>
      </c>
      <c r="BA85" s="26" t="s">
        <v>265</v>
      </c>
      <c r="BB85" s="26" t="s">
        <v>265</v>
      </c>
    </row>
    <row r="86" spans="1:54" ht="20.100000000000001" customHeight="1" x14ac:dyDescent="0.3">
      <c r="A86" s="26" t="s">
        <v>470</v>
      </c>
      <c r="B86" s="26" t="s">
        <v>265</v>
      </c>
      <c r="C86" s="26" t="s">
        <v>352</v>
      </c>
      <c r="D86" s="26" t="s">
        <v>265</v>
      </c>
      <c r="E86" s="26" t="s">
        <v>555</v>
      </c>
      <c r="F86" s="26" t="s">
        <v>352</v>
      </c>
      <c r="G86" s="26" t="s">
        <v>265</v>
      </c>
      <c r="H86" s="26" t="s">
        <v>352</v>
      </c>
      <c r="I86" s="26" t="s">
        <v>265</v>
      </c>
      <c r="J86" s="26" t="s">
        <v>265</v>
      </c>
      <c r="K86" s="26" t="s">
        <v>265</v>
      </c>
      <c r="L86" s="26" t="s">
        <v>265</v>
      </c>
      <c r="M86" s="26" t="s">
        <v>265</v>
      </c>
      <c r="N86" s="26" t="s">
        <v>265</v>
      </c>
      <c r="O86" s="26" t="s">
        <v>265</v>
      </c>
      <c r="P86" s="26" t="s">
        <v>265</v>
      </c>
      <c r="Q86" s="26" t="s">
        <v>265</v>
      </c>
      <c r="R86" s="26" t="s">
        <v>265</v>
      </c>
      <c r="S86" s="26" t="s">
        <v>265</v>
      </c>
      <c r="T86" s="26" t="s">
        <v>265</v>
      </c>
      <c r="U86" s="26" t="s">
        <v>265</v>
      </c>
      <c r="V86" s="26" t="s">
        <v>265</v>
      </c>
      <c r="W86" s="26" t="s">
        <v>265</v>
      </c>
      <c r="X86" s="26" t="s">
        <v>265</v>
      </c>
      <c r="Y86" s="26" t="s">
        <v>265</v>
      </c>
      <c r="Z86" s="26" t="s">
        <v>265</v>
      </c>
      <c r="AA86" s="26" t="s">
        <v>265</v>
      </c>
      <c r="AB86" s="26" t="s">
        <v>265</v>
      </c>
      <c r="AC86" s="26" t="s">
        <v>352</v>
      </c>
      <c r="AD86" s="26" t="s">
        <v>352</v>
      </c>
      <c r="AE86" s="26">
        <v>1</v>
      </c>
      <c r="AF86" s="26">
        <v>12</v>
      </c>
      <c r="AG86" s="26">
        <v>365</v>
      </c>
      <c r="AH86" s="26" t="s">
        <v>265</v>
      </c>
      <c r="AI86" s="26" t="s">
        <v>352</v>
      </c>
      <c r="AJ86" s="26" t="s">
        <v>265</v>
      </c>
      <c r="AK86" s="26" t="s">
        <v>265</v>
      </c>
      <c r="AL86" s="26" t="s">
        <v>265</v>
      </c>
      <c r="AM86" s="26">
        <v>3.17</v>
      </c>
      <c r="AN86" s="26">
        <v>92</v>
      </c>
      <c r="AO86" s="37">
        <v>1103</v>
      </c>
      <c r="AP86" s="26" t="s">
        <v>265</v>
      </c>
      <c r="AQ86" s="26" t="s">
        <v>352</v>
      </c>
      <c r="AR86" s="26">
        <v>75</v>
      </c>
      <c r="AS86" s="26">
        <v>200</v>
      </c>
      <c r="AT86" s="26">
        <v>3</v>
      </c>
      <c r="AU86" s="26">
        <v>50</v>
      </c>
      <c r="AV86" s="26">
        <v>40</v>
      </c>
      <c r="AW86" s="26" t="s">
        <v>352</v>
      </c>
      <c r="AX86" s="26" t="s">
        <v>265</v>
      </c>
      <c r="AY86" s="26" t="s">
        <v>352</v>
      </c>
      <c r="AZ86" s="26" t="s">
        <v>265</v>
      </c>
      <c r="BA86" s="26" t="s">
        <v>265</v>
      </c>
      <c r="BB86" s="26" t="s">
        <v>265</v>
      </c>
    </row>
    <row r="87" spans="1:54" ht="20.100000000000001" customHeight="1" x14ac:dyDescent="0.3">
      <c r="A87" s="26" t="s">
        <v>470</v>
      </c>
      <c r="B87" s="26" t="s">
        <v>352</v>
      </c>
      <c r="C87" s="26" t="s">
        <v>265</v>
      </c>
      <c r="D87" s="26" t="s">
        <v>265</v>
      </c>
      <c r="E87" s="26" t="s">
        <v>556</v>
      </c>
      <c r="F87" s="26" t="s">
        <v>352</v>
      </c>
      <c r="G87" s="26" t="s">
        <v>265</v>
      </c>
      <c r="H87" s="26" t="s">
        <v>352</v>
      </c>
      <c r="I87" s="26" t="s">
        <v>265</v>
      </c>
      <c r="J87" s="26" t="s">
        <v>265</v>
      </c>
      <c r="K87" s="26" t="s">
        <v>265</v>
      </c>
      <c r="L87" s="26" t="s">
        <v>265</v>
      </c>
      <c r="M87" s="26" t="s">
        <v>265</v>
      </c>
      <c r="N87" s="26" t="s">
        <v>265</v>
      </c>
      <c r="O87" s="26" t="s">
        <v>265</v>
      </c>
      <c r="P87" s="26" t="s">
        <v>265</v>
      </c>
      <c r="Q87" s="26" t="s">
        <v>265</v>
      </c>
      <c r="R87" s="26" t="s">
        <v>265</v>
      </c>
      <c r="S87" s="26" t="s">
        <v>265</v>
      </c>
      <c r="T87" s="26" t="s">
        <v>265</v>
      </c>
      <c r="U87" s="26" t="s">
        <v>265</v>
      </c>
      <c r="V87" s="26" t="s">
        <v>265</v>
      </c>
      <c r="W87" s="26" t="s">
        <v>265</v>
      </c>
      <c r="X87" s="26" t="s">
        <v>265</v>
      </c>
      <c r="Y87" s="26" t="s">
        <v>265</v>
      </c>
      <c r="Z87" s="26" t="s">
        <v>265</v>
      </c>
      <c r="AA87" s="26" t="s">
        <v>265</v>
      </c>
      <c r="AB87" s="26" t="s">
        <v>265</v>
      </c>
      <c r="AC87" s="26" t="s">
        <v>352</v>
      </c>
      <c r="AD87" s="26" t="s">
        <v>352</v>
      </c>
      <c r="AE87" s="26">
        <v>1</v>
      </c>
      <c r="AF87" s="26">
        <v>12</v>
      </c>
      <c r="AG87" s="26">
        <v>365</v>
      </c>
      <c r="AH87" s="26" t="s">
        <v>265</v>
      </c>
      <c r="AI87" s="26" t="s">
        <v>352</v>
      </c>
      <c r="AJ87" s="26" t="s">
        <v>265</v>
      </c>
      <c r="AK87" s="26" t="s">
        <v>265</v>
      </c>
      <c r="AL87" s="26" t="s">
        <v>265</v>
      </c>
      <c r="AM87" s="26">
        <v>5.44</v>
      </c>
      <c r="AN87" s="26">
        <v>158</v>
      </c>
      <c r="AO87" s="37">
        <v>1893</v>
      </c>
      <c r="AP87" s="26" t="s">
        <v>265</v>
      </c>
      <c r="AQ87" s="26" t="s">
        <v>352</v>
      </c>
      <c r="AR87" s="26">
        <v>200</v>
      </c>
      <c r="AS87" s="26">
        <v>200</v>
      </c>
      <c r="AT87" s="26">
        <v>7.5</v>
      </c>
      <c r="AU87" s="26">
        <v>158</v>
      </c>
      <c r="AV87" s="26">
        <v>40</v>
      </c>
      <c r="AW87" s="26" t="s">
        <v>352</v>
      </c>
      <c r="AX87" s="26" t="s">
        <v>352</v>
      </c>
      <c r="AY87" s="26" t="s">
        <v>352</v>
      </c>
      <c r="AZ87" s="26" t="s">
        <v>352</v>
      </c>
      <c r="BA87" s="26" t="s">
        <v>352</v>
      </c>
      <c r="BB87" s="26" t="s">
        <v>265</v>
      </c>
    </row>
    <row r="88" spans="1:54" ht="20.100000000000001" customHeight="1" x14ac:dyDescent="0.3">
      <c r="A88" s="26" t="s">
        <v>470</v>
      </c>
      <c r="B88" s="26" t="s">
        <v>265</v>
      </c>
      <c r="C88" s="26" t="s">
        <v>352</v>
      </c>
      <c r="D88" s="26" t="s">
        <v>265</v>
      </c>
      <c r="E88" s="26" t="s">
        <v>557</v>
      </c>
      <c r="F88" s="26" t="s">
        <v>352</v>
      </c>
      <c r="G88" s="26" t="s">
        <v>265</v>
      </c>
      <c r="H88" s="26" t="s">
        <v>265</v>
      </c>
      <c r="I88" s="26" t="s">
        <v>352</v>
      </c>
      <c r="J88" s="26" t="s">
        <v>265</v>
      </c>
      <c r="K88" s="26" t="s">
        <v>265</v>
      </c>
      <c r="L88" s="26" t="s">
        <v>265</v>
      </c>
      <c r="M88" s="26" t="s">
        <v>265</v>
      </c>
      <c r="N88" s="26" t="s">
        <v>265</v>
      </c>
      <c r="O88" s="26" t="s">
        <v>265</v>
      </c>
      <c r="P88" s="26" t="s">
        <v>265</v>
      </c>
      <c r="Q88" s="26" t="s">
        <v>265</v>
      </c>
      <c r="R88" s="26" t="s">
        <v>265</v>
      </c>
      <c r="S88" s="26" t="s">
        <v>265</v>
      </c>
      <c r="T88" s="26" t="s">
        <v>265</v>
      </c>
      <c r="U88" s="26" t="s">
        <v>265</v>
      </c>
      <c r="V88" s="26" t="s">
        <v>265</v>
      </c>
      <c r="W88" s="26" t="s">
        <v>265</v>
      </c>
      <c r="X88" s="26" t="s">
        <v>265</v>
      </c>
      <c r="Y88" s="26" t="s">
        <v>265</v>
      </c>
      <c r="Z88" s="26" t="s">
        <v>265</v>
      </c>
      <c r="AA88" s="26" t="s">
        <v>265</v>
      </c>
      <c r="AB88" s="26" t="s">
        <v>352</v>
      </c>
      <c r="AC88" s="26" t="s">
        <v>265</v>
      </c>
      <c r="AD88" s="26" t="s">
        <v>352</v>
      </c>
      <c r="AE88" s="26">
        <v>1</v>
      </c>
      <c r="AF88" s="26">
        <v>12</v>
      </c>
      <c r="AG88" s="26">
        <v>365</v>
      </c>
      <c r="AH88" s="26" t="s">
        <v>352</v>
      </c>
      <c r="AI88" s="26" t="s">
        <v>265</v>
      </c>
      <c r="AJ88" s="26">
        <v>0</v>
      </c>
      <c r="AK88" s="26">
        <v>0</v>
      </c>
      <c r="AL88" s="26">
        <v>0</v>
      </c>
      <c r="AM88" s="26">
        <v>8.49</v>
      </c>
      <c r="AN88" s="26">
        <v>246</v>
      </c>
      <c r="AO88" s="37">
        <v>2955</v>
      </c>
      <c r="AP88" s="26" t="s">
        <v>352</v>
      </c>
      <c r="AQ88" s="26" t="s">
        <v>265</v>
      </c>
      <c r="AR88" s="26">
        <v>6</v>
      </c>
      <c r="AS88" s="26">
        <v>25</v>
      </c>
      <c r="AT88" s="26">
        <v>1</v>
      </c>
      <c r="AU88" s="26">
        <v>57</v>
      </c>
      <c r="AV88" s="26">
        <v>25</v>
      </c>
      <c r="AW88" s="26" t="s">
        <v>352</v>
      </c>
      <c r="AX88" s="26" t="s">
        <v>265</v>
      </c>
      <c r="AY88" s="26" t="s">
        <v>352</v>
      </c>
      <c r="AZ88" s="26" t="s">
        <v>265</v>
      </c>
      <c r="BA88" s="26" t="s">
        <v>265</v>
      </c>
      <c r="BB88" s="26" t="s">
        <v>265</v>
      </c>
    </row>
    <row r="89" spans="1:54" ht="20.100000000000001" customHeight="1" x14ac:dyDescent="0.3">
      <c r="A89" s="26" t="s">
        <v>470</v>
      </c>
      <c r="B89" s="26" t="s">
        <v>265</v>
      </c>
      <c r="C89" s="26" t="s">
        <v>352</v>
      </c>
      <c r="D89" s="26" t="s">
        <v>265</v>
      </c>
      <c r="E89" s="26" t="s">
        <v>558</v>
      </c>
      <c r="F89" s="26" t="s">
        <v>265</v>
      </c>
      <c r="G89" s="26" t="s">
        <v>265</v>
      </c>
      <c r="H89" s="26" t="s">
        <v>265</v>
      </c>
      <c r="I89" s="26" t="s">
        <v>265</v>
      </c>
      <c r="J89" s="26" t="s">
        <v>265</v>
      </c>
      <c r="K89" s="26" t="s">
        <v>265</v>
      </c>
      <c r="L89" s="26" t="s">
        <v>265</v>
      </c>
      <c r="M89" s="26" t="s">
        <v>265</v>
      </c>
      <c r="N89" s="26" t="s">
        <v>265</v>
      </c>
      <c r="O89" s="26" t="s">
        <v>265</v>
      </c>
      <c r="P89" s="26" t="s">
        <v>265</v>
      </c>
      <c r="Q89" s="26" t="s">
        <v>265</v>
      </c>
      <c r="R89" s="26" t="s">
        <v>265</v>
      </c>
      <c r="S89" s="26" t="s">
        <v>265</v>
      </c>
      <c r="T89" s="26" t="s">
        <v>265</v>
      </c>
      <c r="U89" s="26" t="s">
        <v>352</v>
      </c>
      <c r="V89" s="26" t="s">
        <v>265</v>
      </c>
      <c r="W89" s="26" t="s">
        <v>352</v>
      </c>
      <c r="X89" s="26" t="s">
        <v>265</v>
      </c>
      <c r="Y89" s="26" t="s">
        <v>265</v>
      </c>
      <c r="Z89" s="26" t="s">
        <v>265</v>
      </c>
      <c r="AA89" s="26" t="s">
        <v>265</v>
      </c>
      <c r="AB89" s="26" t="s">
        <v>265</v>
      </c>
      <c r="AC89" s="26" t="s">
        <v>352</v>
      </c>
      <c r="AD89" s="26" t="s">
        <v>265</v>
      </c>
      <c r="AE89" s="26">
        <v>3</v>
      </c>
      <c r="AF89" s="26">
        <v>11</v>
      </c>
      <c r="AG89" s="26">
        <v>274</v>
      </c>
      <c r="AH89" s="26" t="s">
        <v>265</v>
      </c>
      <c r="AI89" s="26" t="s">
        <v>352</v>
      </c>
      <c r="AJ89" s="26" t="s">
        <v>265</v>
      </c>
      <c r="AK89" s="26" t="s">
        <v>265</v>
      </c>
      <c r="AL89" s="26" t="s">
        <v>265</v>
      </c>
      <c r="AM89" s="26">
        <v>1.98</v>
      </c>
      <c r="AN89" s="26">
        <v>57</v>
      </c>
      <c r="AO89" s="26">
        <v>459</v>
      </c>
      <c r="AP89" s="26" t="s">
        <v>352</v>
      </c>
      <c r="AQ89" s="26" t="s">
        <v>265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 t="s">
        <v>352</v>
      </c>
      <c r="AX89" s="26" t="s">
        <v>265</v>
      </c>
      <c r="AY89" s="26" t="s">
        <v>352</v>
      </c>
      <c r="AZ89" s="26" t="s">
        <v>265</v>
      </c>
      <c r="BA89" s="26" t="s">
        <v>265</v>
      </c>
      <c r="BB89" s="26" t="s">
        <v>265</v>
      </c>
    </row>
    <row r="90" spans="1:54" ht="20.100000000000001" customHeight="1" x14ac:dyDescent="0.3">
      <c r="A90" s="26" t="s">
        <v>470</v>
      </c>
      <c r="B90" s="26" t="s">
        <v>265</v>
      </c>
      <c r="C90" s="26" t="s">
        <v>352</v>
      </c>
      <c r="D90" s="26" t="s">
        <v>265</v>
      </c>
      <c r="E90" s="26" t="s">
        <v>559</v>
      </c>
      <c r="F90" s="26" t="s">
        <v>265</v>
      </c>
      <c r="G90" s="26" t="s">
        <v>265</v>
      </c>
      <c r="H90" s="26" t="s">
        <v>265</v>
      </c>
      <c r="I90" s="26" t="s">
        <v>265</v>
      </c>
      <c r="J90" s="26" t="s">
        <v>265</v>
      </c>
      <c r="K90" s="26" t="s">
        <v>265</v>
      </c>
      <c r="L90" s="26" t="s">
        <v>265</v>
      </c>
      <c r="M90" s="26" t="s">
        <v>265</v>
      </c>
      <c r="N90" s="26" t="s">
        <v>265</v>
      </c>
      <c r="O90" s="26" t="s">
        <v>352</v>
      </c>
      <c r="P90" s="26" t="s">
        <v>265</v>
      </c>
      <c r="Q90" s="26" t="s">
        <v>265</v>
      </c>
      <c r="R90" s="26" t="s">
        <v>265</v>
      </c>
      <c r="S90" s="26" t="s">
        <v>265</v>
      </c>
      <c r="T90" s="26" t="s">
        <v>352</v>
      </c>
      <c r="U90" s="26" t="s">
        <v>265</v>
      </c>
      <c r="V90" s="26" t="s">
        <v>265</v>
      </c>
      <c r="W90" s="26" t="s">
        <v>265</v>
      </c>
      <c r="X90" s="26" t="s">
        <v>265</v>
      </c>
      <c r="Y90" s="26" t="s">
        <v>265</v>
      </c>
      <c r="Z90" s="26" t="s">
        <v>265</v>
      </c>
      <c r="AA90" s="26" t="s">
        <v>265</v>
      </c>
      <c r="AB90" s="26" t="s">
        <v>265</v>
      </c>
      <c r="AC90" s="26" t="s">
        <v>352</v>
      </c>
      <c r="AD90" s="26" t="s">
        <v>352</v>
      </c>
      <c r="AE90" s="26">
        <v>1</v>
      </c>
      <c r="AF90" s="26">
        <v>12</v>
      </c>
      <c r="AG90" s="26">
        <v>365</v>
      </c>
      <c r="AH90" s="26" t="s">
        <v>265</v>
      </c>
      <c r="AI90" s="26" t="s">
        <v>352</v>
      </c>
      <c r="AJ90" s="26" t="s">
        <v>265</v>
      </c>
      <c r="AK90" s="26" t="s">
        <v>265</v>
      </c>
      <c r="AL90" s="26" t="s">
        <v>265</v>
      </c>
      <c r="AM90" s="26">
        <v>7</v>
      </c>
      <c r="AN90" s="26">
        <v>203</v>
      </c>
      <c r="AO90" s="37">
        <v>1624</v>
      </c>
      <c r="AP90" s="26" t="s">
        <v>265</v>
      </c>
      <c r="AQ90" s="26" t="s">
        <v>352</v>
      </c>
      <c r="AR90" s="26">
        <v>100</v>
      </c>
      <c r="AS90" s="26">
        <v>200</v>
      </c>
      <c r="AT90" s="26">
        <v>2</v>
      </c>
      <c r="AU90" s="26">
        <v>88</v>
      </c>
      <c r="AV90" s="26">
        <v>25</v>
      </c>
      <c r="AW90" s="26" t="s">
        <v>352</v>
      </c>
      <c r="AX90" s="26" t="s">
        <v>265</v>
      </c>
      <c r="AY90" s="26" t="s">
        <v>352</v>
      </c>
      <c r="AZ90" s="26" t="s">
        <v>265</v>
      </c>
      <c r="BA90" s="26" t="s">
        <v>265</v>
      </c>
      <c r="BB90" s="26" t="s">
        <v>265</v>
      </c>
    </row>
    <row r="91" spans="1:54" ht="20.100000000000001" customHeight="1" x14ac:dyDescent="0.3">
      <c r="A91" s="26" t="s">
        <v>470</v>
      </c>
      <c r="B91" s="26" t="s">
        <v>265</v>
      </c>
      <c r="C91" s="26" t="s">
        <v>352</v>
      </c>
      <c r="D91" s="26" t="s">
        <v>265</v>
      </c>
      <c r="E91" s="26" t="s">
        <v>560</v>
      </c>
      <c r="F91" s="26" t="s">
        <v>265</v>
      </c>
      <c r="G91" s="26" t="s">
        <v>265</v>
      </c>
      <c r="H91" s="26" t="s">
        <v>265</v>
      </c>
      <c r="I91" s="26" t="s">
        <v>265</v>
      </c>
      <c r="J91" s="26" t="s">
        <v>265</v>
      </c>
      <c r="K91" s="26" t="s">
        <v>265</v>
      </c>
      <c r="L91" s="26" t="s">
        <v>265</v>
      </c>
      <c r="M91" s="26" t="s">
        <v>265</v>
      </c>
      <c r="N91" s="26" t="s">
        <v>265</v>
      </c>
      <c r="O91" s="26" t="s">
        <v>352</v>
      </c>
      <c r="P91" s="26" t="s">
        <v>265</v>
      </c>
      <c r="Q91" s="26" t="s">
        <v>265</v>
      </c>
      <c r="R91" s="26" t="s">
        <v>265</v>
      </c>
      <c r="S91" s="26" t="s">
        <v>265</v>
      </c>
      <c r="T91" s="26" t="s">
        <v>352</v>
      </c>
      <c r="U91" s="26" t="s">
        <v>265</v>
      </c>
      <c r="V91" s="26" t="s">
        <v>265</v>
      </c>
      <c r="W91" s="26" t="s">
        <v>265</v>
      </c>
      <c r="X91" s="26" t="s">
        <v>265</v>
      </c>
      <c r="Y91" s="26" t="s">
        <v>265</v>
      </c>
      <c r="Z91" s="26" t="s">
        <v>265</v>
      </c>
      <c r="AA91" s="26" t="s">
        <v>265</v>
      </c>
      <c r="AB91" s="26" t="s">
        <v>265</v>
      </c>
      <c r="AC91" s="26" t="s">
        <v>352</v>
      </c>
      <c r="AD91" s="26" t="s">
        <v>352</v>
      </c>
      <c r="AE91" s="26">
        <v>1</v>
      </c>
      <c r="AF91" s="26">
        <v>12</v>
      </c>
      <c r="AG91" s="26">
        <v>365</v>
      </c>
      <c r="AH91" s="26" t="s">
        <v>265</v>
      </c>
      <c r="AI91" s="26" t="s">
        <v>352</v>
      </c>
      <c r="AJ91" s="26" t="s">
        <v>265</v>
      </c>
      <c r="AK91" s="26" t="s">
        <v>265</v>
      </c>
      <c r="AL91" s="26" t="s">
        <v>265</v>
      </c>
      <c r="AM91" s="26">
        <v>7</v>
      </c>
      <c r="AN91" s="26">
        <v>203</v>
      </c>
      <c r="AO91" s="37">
        <v>1624</v>
      </c>
      <c r="AP91" s="26" t="s">
        <v>265</v>
      </c>
      <c r="AQ91" s="26" t="s">
        <v>352</v>
      </c>
      <c r="AR91" s="26">
        <v>140</v>
      </c>
      <c r="AS91" s="26">
        <v>165</v>
      </c>
      <c r="AT91" s="26">
        <v>1</v>
      </c>
      <c r="AU91" s="26">
        <v>80</v>
      </c>
      <c r="AV91" s="26">
        <v>25</v>
      </c>
      <c r="AW91" s="26" t="s">
        <v>352</v>
      </c>
      <c r="AX91" s="26" t="s">
        <v>265</v>
      </c>
      <c r="AY91" s="26" t="s">
        <v>352</v>
      </c>
      <c r="AZ91" s="26" t="s">
        <v>265</v>
      </c>
      <c r="BA91" s="26" t="s">
        <v>265</v>
      </c>
      <c r="BB91" s="26" t="s">
        <v>265</v>
      </c>
    </row>
    <row r="92" spans="1:54" ht="20.100000000000001" customHeight="1" x14ac:dyDescent="0.3">
      <c r="A92" s="26" t="s">
        <v>470</v>
      </c>
      <c r="B92" s="26" t="s">
        <v>265</v>
      </c>
      <c r="C92" s="26" t="s">
        <v>352</v>
      </c>
      <c r="D92" s="26" t="s">
        <v>265</v>
      </c>
      <c r="E92" s="26" t="s">
        <v>561</v>
      </c>
      <c r="F92" s="26" t="s">
        <v>265</v>
      </c>
      <c r="G92" s="26" t="s">
        <v>265</v>
      </c>
      <c r="H92" s="26" t="s">
        <v>265</v>
      </c>
      <c r="I92" s="26" t="s">
        <v>265</v>
      </c>
      <c r="J92" s="26" t="s">
        <v>265</v>
      </c>
      <c r="K92" s="26" t="s">
        <v>265</v>
      </c>
      <c r="L92" s="26" t="s">
        <v>265</v>
      </c>
      <c r="M92" s="26" t="s">
        <v>265</v>
      </c>
      <c r="N92" s="26" t="s">
        <v>265</v>
      </c>
      <c r="O92" s="26" t="s">
        <v>352</v>
      </c>
      <c r="P92" s="26" t="s">
        <v>265</v>
      </c>
      <c r="Q92" s="26" t="s">
        <v>265</v>
      </c>
      <c r="R92" s="26" t="s">
        <v>265</v>
      </c>
      <c r="S92" s="26" t="s">
        <v>265</v>
      </c>
      <c r="T92" s="26" t="s">
        <v>352</v>
      </c>
      <c r="U92" s="26" t="s">
        <v>265</v>
      </c>
      <c r="V92" s="26" t="s">
        <v>265</v>
      </c>
      <c r="W92" s="26" t="s">
        <v>265</v>
      </c>
      <c r="X92" s="26" t="s">
        <v>265</v>
      </c>
      <c r="Y92" s="26" t="s">
        <v>265</v>
      </c>
      <c r="Z92" s="26" t="s">
        <v>265</v>
      </c>
      <c r="AA92" s="26" t="s">
        <v>265</v>
      </c>
      <c r="AB92" s="26" t="s">
        <v>265</v>
      </c>
      <c r="AC92" s="26" t="s">
        <v>352</v>
      </c>
      <c r="AD92" s="26" t="s">
        <v>352</v>
      </c>
      <c r="AE92" s="26">
        <v>1</v>
      </c>
      <c r="AF92" s="26">
        <v>12</v>
      </c>
      <c r="AG92" s="26">
        <v>365</v>
      </c>
      <c r="AH92" s="26" t="s">
        <v>265</v>
      </c>
      <c r="AI92" s="26" t="s">
        <v>352</v>
      </c>
      <c r="AJ92" s="26" t="s">
        <v>265</v>
      </c>
      <c r="AK92" s="26" t="s">
        <v>265</v>
      </c>
      <c r="AL92" s="26" t="s">
        <v>265</v>
      </c>
      <c r="AM92" s="26">
        <v>7</v>
      </c>
      <c r="AN92" s="26">
        <v>203</v>
      </c>
      <c r="AO92" s="37">
        <v>1624</v>
      </c>
      <c r="AP92" s="26" t="s">
        <v>265</v>
      </c>
      <c r="AQ92" s="26" t="s">
        <v>352</v>
      </c>
      <c r="AR92" s="26">
        <v>100</v>
      </c>
      <c r="AS92" s="26">
        <v>200</v>
      </c>
      <c r="AT92" s="26">
        <v>1</v>
      </c>
      <c r="AU92" s="26">
        <v>68</v>
      </c>
      <c r="AV92" s="26">
        <v>25</v>
      </c>
      <c r="AW92" s="26" t="s">
        <v>352</v>
      </c>
      <c r="AX92" s="26" t="s">
        <v>265</v>
      </c>
      <c r="AY92" s="26" t="s">
        <v>352</v>
      </c>
      <c r="AZ92" s="26" t="s">
        <v>265</v>
      </c>
      <c r="BA92" s="26" t="s">
        <v>265</v>
      </c>
      <c r="BB9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2024-06-10T00:25:31Z</dcterms:modified>
</cp:coreProperties>
</file>