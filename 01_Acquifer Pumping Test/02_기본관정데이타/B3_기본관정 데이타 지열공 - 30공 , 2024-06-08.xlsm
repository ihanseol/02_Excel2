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2.xml" ContentType="application/vnd.openxmlformats-officedocument.spreadsheetml.comments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tables/table11.xml" ContentType="application/vnd.openxmlformats-officedocument.spreadsheetml.table+xml"/>
  <Override PartName="/xl/drawings/drawing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6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drawings/drawing7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drawings/drawing9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drawings/drawing10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drawings/drawing11.xml" ContentType="application/vnd.openxmlformats-officedocument.drawing+xml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drawings/drawing12.xml" ContentType="application/vnd.openxmlformats-officedocument.drawing+xml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comments4.xml" ContentType="application/vnd.openxmlformats-officedocument.spreadsheetml.comments+xml"/>
  <Override PartName="/xl/drawings/drawing13.xml" ContentType="application/vnd.openxmlformats-officedocument.drawing+xml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comments5.xml" ContentType="application/vnd.openxmlformats-officedocument.spreadsheetml.comments+xml"/>
  <Override PartName="/xl/drawings/drawing14.xml" ContentType="application/vnd.openxmlformats-officedocument.drawing+xml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comments6.xml" ContentType="application/vnd.openxmlformats-officedocument.spreadsheetml.comments+xml"/>
  <Override PartName="/xl/drawings/drawing15.xml" ContentType="application/vnd.openxmlformats-officedocument.drawing+xml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comments7.xml" ContentType="application/vnd.openxmlformats-officedocument.spreadsheetml.comments+xml"/>
  <Override PartName="/xl/drawings/drawing16.xml" ContentType="application/vnd.openxmlformats-officedocument.drawing+xml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comments8.xml" ContentType="application/vnd.openxmlformats-officedocument.spreadsheetml.comments+xml"/>
  <Override PartName="/xl/drawings/drawing17.xml" ContentType="application/vnd.openxmlformats-officedocument.drawing+xml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drawings/drawing18.xml" ContentType="application/vnd.openxmlformats-officedocument.drawing+xml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drawings/drawing19.xml" ContentType="application/vnd.openxmlformats-officedocument.drawing+xml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12_dev\02_Excel2\01_Acquifer Pumping Test\02_기본관정데이타\"/>
    </mc:Choice>
  </mc:AlternateContent>
  <xr:revisionPtr revIDLastSave="0" documentId="13_ncr:1_{311DE090-7B32-4CE5-BDE5-1668B6BF77F7}" xr6:coauthVersionLast="47" xr6:coauthVersionMax="47" xr10:uidLastSave="{00000000-0000-0000-0000-000000000000}"/>
  <bookViews>
    <workbookView xWindow="-120" yWindow="-120" windowWidth="29040" windowHeight="17520" tabRatio="690" firstSheet="1" activeTab="14" xr2:uid="{00000000-000D-0000-FFFF-FFFF00000000}"/>
  </bookViews>
  <sheets>
    <sheet name="AREA" sheetId="191" state="hidden" r:id="rId1"/>
    <sheet name="All" sheetId="54" r:id="rId2"/>
    <sheet name="Y" sheetId="25" r:id="rId3"/>
    <sheet name="Recharge" sheetId="23" r:id="rId4"/>
    <sheet name="drastic" sheetId="84" state="hidden" r:id="rId5"/>
    <sheet name="location" sheetId="121" state="hidden" r:id="rId6"/>
    <sheet name="AggStep" sheetId="187" state="hidden" r:id="rId7"/>
    <sheet name="AggChart" sheetId="188" state="hidden" r:id="rId8"/>
    <sheet name="YangSoo" sheetId="189" state="hidden" r:id="rId9"/>
    <sheet name="water" sheetId="190" state="hidden" r:id="rId10"/>
    <sheet name="Aggregate1" sheetId="148" state="hidden" r:id="rId11"/>
    <sheet name="Aggregate2" sheetId="157" state="hidden" r:id="rId12"/>
    <sheet name="aggWhpa" sheetId="172" state="hidden" r:id="rId13"/>
    <sheet name="AggSum" sheetId="175" state="hidden" r:id="rId14"/>
    <sheet name="Well" sheetId="52" r:id="rId15"/>
    <sheet name="1" sheetId="55" r:id="rId16"/>
    <sheet name="2" sheetId="214" r:id="rId17"/>
    <sheet name="3" sheetId="215" r:id="rId18"/>
    <sheet name="Q1" sheetId="100" r:id="rId19"/>
    <sheet name="Q2" sheetId="117" r:id="rId20"/>
    <sheet name="Q3" sheetId="115" r:id="rId21"/>
  </sheets>
  <functionGroups builtInGroupCount="19"/>
  <definedNames>
    <definedName name="Agg1_Tentative_Water_Intake">Aggregate1!$F$43</definedName>
    <definedName name="agg2_34_skinfactor">Aggregate2!$P$48</definedName>
    <definedName name="agg2_36_surisangsoo">Aggregate2!$C$48</definedName>
    <definedName name="agg2_37_roi">Aggregate2!$E$37</definedName>
    <definedName name="agg2_38_roi_result">Aggregate2!$H$48</definedName>
    <definedName name="AggSum_26_AC">AggSum!$D$12</definedName>
    <definedName name="AggSum_26_RightAC">AggSum!$L$12</definedName>
    <definedName name="AggSum_CasingDepth">AggSum!$D$103</definedName>
    <definedName name="AggSum_DI">AggSum!$I$45</definedName>
    <definedName name="AggSum_Intake">AggSum!$D$78</definedName>
    <definedName name="AggSum_MotorHP">AggSum!$D$108</definedName>
    <definedName name="AggSum_MotorSimdo">AggSum!$D$113</definedName>
    <definedName name="AggSum_NaturalLevel">AggSum!$D$93</definedName>
    <definedName name="AggSum_ROI">AggSum!$D$45</definedName>
    <definedName name="AggSum_ROI_Stat">AggSum!$M$45</definedName>
    <definedName name="AggSum_Simdo">AggSum!$D$83</definedName>
    <definedName name="AggSum_StableLevel">AggSum!$D$98</definedName>
    <definedName name="AggSum_Statistic_DrasticIndex">AggSum!$Q$45</definedName>
    <definedName name="AggSum_ToChool">AggSum!$D$118</definedName>
    <definedName name="AggSum_WellDiameter">AggSum!$D$88</definedName>
    <definedName name="allow_ratio">Recharge!$C$26</definedName>
    <definedName name="allow_ratio2">Recharge!$D$26</definedName>
    <definedName name="allow_ratio3">Recharge!$E$26</definedName>
    <definedName name="Area1">Recharge!$C$27</definedName>
    <definedName name="baseTemp" localSheetId="18">'Q1'!$C$7</definedName>
    <definedName name="baseTemp" localSheetId="19">'Q2'!$C$7</definedName>
    <definedName name="baseTemp" localSheetId="20">'Q3'!$C$7</definedName>
    <definedName name="baseTemp2">'Q2'!$D$7</definedName>
    <definedName name="bTemp2">'Q3'!$D$7</definedName>
    <definedName name="bTemp3">'Q3'!$E$7</definedName>
    <definedName name="max">Recharge!$C$25</definedName>
    <definedName name="min">Recharge!$C$24</definedName>
    <definedName name="rf_1">Recharge!$C$28</definedName>
    <definedName name="rf_2">Recharge!$D$28</definedName>
    <definedName name="rf_3">Recharge!$E$28</definedName>
    <definedName name="SumWater">Well!$I$8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1" i="55" l="1"/>
  <c r="F21" i="215"/>
  <c r="E17" i="215"/>
  <c r="C19" i="215"/>
  <c r="C18" i="215"/>
  <c r="C17" i="215"/>
  <c r="C16" i="215"/>
  <c r="C15" i="215"/>
  <c r="C8" i="215"/>
  <c r="C7" i="215"/>
  <c r="C6" i="215"/>
  <c r="C5" i="215"/>
  <c r="C4" i="215"/>
  <c r="C3" i="215"/>
  <c r="C2" i="215"/>
  <c r="F21" i="214"/>
  <c r="E17" i="214"/>
  <c r="C19" i="214"/>
  <c r="C18" i="214"/>
  <c r="C17" i="214"/>
  <c r="C16" i="214"/>
  <c r="C15" i="214"/>
  <c r="C8" i="214"/>
  <c r="C7" i="214"/>
  <c r="C14" i="214" s="1"/>
  <c r="C6" i="214"/>
  <c r="C5" i="214"/>
  <c r="C4" i="214"/>
  <c r="C3" i="214"/>
  <c r="C2" i="214"/>
  <c r="F21" i="55"/>
  <c r="E17" i="55"/>
  <c r="C19" i="55"/>
  <c r="C18" i="55"/>
  <c r="C17" i="55"/>
  <c r="C16" i="55"/>
  <c r="C15" i="55"/>
  <c r="C8" i="55"/>
  <c r="C7" i="55"/>
  <c r="C6" i="55"/>
  <c r="C5" i="55"/>
  <c r="C4" i="55"/>
  <c r="C3" i="55"/>
  <c r="C2" i="55"/>
  <c r="C14" i="215"/>
  <c r="J31" i="215"/>
  <c r="K31" i="215" s="1"/>
  <c r="I31" i="215"/>
  <c r="H31" i="215"/>
  <c r="G31" i="215"/>
  <c r="F31" i="215"/>
  <c r="E31" i="215"/>
  <c r="D31" i="215"/>
  <c r="J30" i="215"/>
  <c r="I30" i="215"/>
  <c r="H30" i="215"/>
  <c r="G30" i="215"/>
  <c r="F30" i="215"/>
  <c r="E30" i="215"/>
  <c r="D30" i="215"/>
  <c r="K30" i="215" s="1"/>
  <c r="D26" i="215"/>
  <c r="C22" i="215"/>
  <c r="E19" i="215"/>
  <c r="F19" i="215" s="1"/>
  <c r="G19" i="215" s="1"/>
  <c r="F17" i="215"/>
  <c r="G17" i="215" s="1"/>
  <c r="K16" i="215"/>
  <c r="K17" i="215" s="1"/>
  <c r="K18" i="215" s="1"/>
  <c r="L18" i="215" s="1"/>
  <c r="H26" i="215" s="1"/>
  <c r="G14" i="215"/>
  <c r="G13" i="215"/>
  <c r="F13" i="215"/>
  <c r="E13" i="215"/>
  <c r="D13" i="215"/>
  <c r="L12" i="215"/>
  <c r="H11" i="215"/>
  <c r="F11" i="215"/>
  <c r="E11" i="215"/>
  <c r="H10" i="215"/>
  <c r="H9" i="215"/>
  <c r="C9" i="215"/>
  <c r="C12" i="215" s="1"/>
  <c r="A13" i="215" s="1"/>
  <c r="A12" i="215" s="1"/>
  <c r="G7" i="215"/>
  <c r="E7" i="215"/>
  <c r="F7" i="215" s="1"/>
  <c r="O6" i="52"/>
  <c r="F6" i="52"/>
  <c r="E6" i="52"/>
  <c r="E19" i="214"/>
  <c r="F19" i="214" s="1"/>
  <c r="G19" i="214" s="1"/>
  <c r="J31" i="214"/>
  <c r="I31" i="214"/>
  <c r="H31" i="214"/>
  <c r="K31" i="214" s="1"/>
  <c r="G31" i="214"/>
  <c r="F31" i="214"/>
  <c r="E31" i="214"/>
  <c r="D31" i="214"/>
  <c r="J30" i="214"/>
  <c r="I30" i="214"/>
  <c r="H30" i="214"/>
  <c r="G30" i="214"/>
  <c r="F30" i="214"/>
  <c r="E30" i="214"/>
  <c r="D30" i="214"/>
  <c r="K30" i="214" s="1"/>
  <c r="D26" i="214"/>
  <c r="C22" i="214"/>
  <c r="K16" i="214"/>
  <c r="K17" i="214" s="1"/>
  <c r="K18" i="214" s="1"/>
  <c r="L18" i="214" s="1"/>
  <c r="H26" i="214" s="1"/>
  <c r="G14" i="214"/>
  <c r="G13" i="214"/>
  <c r="F13" i="214"/>
  <c r="E13" i="214"/>
  <c r="D13" i="214"/>
  <c r="L12" i="214"/>
  <c r="H11" i="214"/>
  <c r="F11" i="214"/>
  <c r="E11" i="214"/>
  <c r="H10" i="214"/>
  <c r="H9" i="214"/>
  <c r="C9" i="214"/>
  <c r="C12" i="214" s="1"/>
  <c r="A13" i="214" s="1"/>
  <c r="A12" i="214" s="1"/>
  <c r="G7" i="214"/>
  <c r="E7" i="214"/>
  <c r="O5" i="52"/>
  <c r="F5" i="52"/>
  <c r="E5" i="52"/>
  <c r="Q46" i="175"/>
  <c r="Q45" i="175"/>
  <c r="F6" i="214" l="1"/>
  <c r="F7" i="214"/>
  <c r="H19" i="215"/>
  <c r="F6" i="215"/>
  <c r="F5" i="215"/>
  <c r="J26" i="215"/>
  <c r="H19" i="214"/>
  <c r="F17" i="214"/>
  <c r="G17" i="214" s="1"/>
  <c r="J26" i="214"/>
  <c r="F5" i="214"/>
  <c r="O4" i="52"/>
  <c r="F4" i="52"/>
  <c r="E4" i="52"/>
  <c r="C9" i="55" l="1"/>
  <c r="O5" i="148" l="1"/>
  <c r="N5" i="148"/>
  <c r="O4" i="148"/>
  <c r="N4" i="148"/>
  <c r="O3" i="148"/>
  <c r="N3" i="148"/>
  <c r="F92" i="175" l="1"/>
  <c r="E92" i="175"/>
  <c r="F97" i="175"/>
  <c r="E97" i="175"/>
  <c r="R51" i="175" l="1"/>
  <c r="J15" i="115" l="1"/>
  <c r="J16" i="115"/>
  <c r="J17" i="115"/>
  <c r="J18" i="115"/>
  <c r="J19" i="115"/>
  <c r="J20" i="115"/>
  <c r="J14" i="115"/>
  <c r="G15" i="115"/>
  <c r="G16" i="115"/>
  <c r="G17" i="115"/>
  <c r="G18" i="115"/>
  <c r="G19" i="115"/>
  <c r="G20" i="115"/>
  <c r="G14" i="115"/>
  <c r="G21" i="117"/>
  <c r="G23" i="117"/>
  <c r="G15" i="117"/>
  <c r="G16" i="117"/>
  <c r="G17" i="117"/>
  <c r="G18" i="117"/>
  <c r="G19" i="117"/>
  <c r="G20" i="117"/>
  <c r="G22" i="117"/>
  <c r="G14" i="117"/>
  <c r="R52" i="175"/>
  <c r="R49" i="175"/>
  <c r="R48" i="175"/>
  <c r="G21" i="115" l="1"/>
  <c r="G22" i="115"/>
  <c r="G23" i="115"/>
  <c r="J22" i="115"/>
  <c r="J23" i="115"/>
  <c r="J21" i="115"/>
  <c r="E13" i="55"/>
  <c r="D13" i="55"/>
  <c r="B2" i="23"/>
  <c r="S6" i="54"/>
  <c r="T6" i="54"/>
  <c r="E7" i="55" l="1"/>
  <c r="H9" i="55" l="1"/>
  <c r="H11" i="55" l="1"/>
  <c r="H10" i="55"/>
  <c r="S4" i="175"/>
  <c r="R4" i="175"/>
  <c r="Q4" i="175"/>
  <c r="P4" i="175"/>
  <c r="O4" i="175"/>
  <c r="N4" i="175"/>
  <c r="M4" i="175"/>
  <c r="K16" i="55" l="1"/>
  <c r="K17" i="55" s="1"/>
  <c r="K18" i="55" s="1"/>
  <c r="L18" i="55" s="1"/>
  <c r="I8" i="52" l="1"/>
  <c r="E21" i="215" s="1"/>
  <c r="E22" i="215" l="1"/>
  <c r="G21" i="215"/>
  <c r="E21" i="214"/>
  <c r="D14" i="117"/>
  <c r="D20" i="117"/>
  <c r="D23" i="117"/>
  <c r="D22" i="117"/>
  <c r="D21" i="117"/>
  <c r="D19" i="117"/>
  <c r="D18" i="117"/>
  <c r="D17" i="117"/>
  <c r="D16" i="117"/>
  <c r="D15" i="117"/>
  <c r="D35" i="54"/>
  <c r="E35" i="54"/>
  <c r="F35" i="54"/>
  <c r="G35" i="54"/>
  <c r="H35" i="54"/>
  <c r="I35" i="54"/>
  <c r="J35" i="54"/>
  <c r="K35" i="54"/>
  <c r="L35" i="54"/>
  <c r="M35" i="54"/>
  <c r="N35" i="54"/>
  <c r="C35" i="54"/>
  <c r="E22" i="214" l="1"/>
  <c r="G21" i="214"/>
  <c r="D24" i="117"/>
  <c r="D25" i="117"/>
  <c r="D26" i="117" l="1"/>
  <c r="L25" i="23"/>
  <c r="L26" i="23"/>
  <c r="K25" i="23"/>
  <c r="K26" i="23"/>
  <c r="L24" i="23"/>
  <c r="K24" i="23"/>
  <c r="L4" i="121"/>
  <c r="K4" i="121"/>
  <c r="E50" i="54" l="1"/>
  <c r="B42" i="54"/>
  <c r="C42" i="54"/>
  <c r="D42" i="54"/>
  <c r="E42" i="54"/>
  <c r="F42" i="54"/>
  <c r="G42" i="54"/>
  <c r="H42" i="54"/>
  <c r="I42" i="54"/>
  <c r="J42" i="54"/>
  <c r="K42" i="54"/>
  <c r="L42" i="54"/>
  <c r="M42" i="54"/>
  <c r="N42" i="54"/>
  <c r="B43" i="54"/>
  <c r="C43" i="54"/>
  <c r="D43" i="54"/>
  <c r="E43" i="54"/>
  <c r="F43" i="54"/>
  <c r="G43" i="54"/>
  <c r="H43" i="54"/>
  <c r="I43" i="54"/>
  <c r="J43" i="54"/>
  <c r="K43" i="54"/>
  <c r="L43" i="54"/>
  <c r="M43" i="54"/>
  <c r="N43" i="54"/>
  <c r="B44" i="54"/>
  <c r="C44" i="54"/>
  <c r="D44" i="54"/>
  <c r="E44" i="54"/>
  <c r="F44" i="54"/>
  <c r="G44" i="54"/>
  <c r="H44" i="54"/>
  <c r="I44" i="54"/>
  <c r="J44" i="54"/>
  <c r="K44" i="54"/>
  <c r="L44" i="54"/>
  <c r="M44" i="54"/>
  <c r="N44" i="54"/>
  <c r="B45" i="54"/>
  <c r="C45" i="54"/>
  <c r="D45" i="54"/>
  <c r="E45" i="54"/>
  <c r="F45" i="54"/>
  <c r="G45" i="54"/>
  <c r="H45" i="54"/>
  <c r="I45" i="54"/>
  <c r="J45" i="54"/>
  <c r="K45" i="54"/>
  <c r="L45" i="54"/>
  <c r="M45" i="54"/>
  <c r="N45" i="54"/>
  <c r="B46" i="54"/>
  <c r="C46" i="54"/>
  <c r="D46" i="54"/>
  <c r="E46" i="54"/>
  <c r="F46" i="54"/>
  <c r="G46" i="54"/>
  <c r="H46" i="54"/>
  <c r="I46" i="54"/>
  <c r="J46" i="54"/>
  <c r="K46" i="54"/>
  <c r="L46" i="54"/>
  <c r="M46" i="54"/>
  <c r="N46" i="54"/>
  <c r="B47" i="54"/>
  <c r="C47" i="54"/>
  <c r="D47" i="54"/>
  <c r="E47" i="54"/>
  <c r="F47" i="54"/>
  <c r="G47" i="54"/>
  <c r="H47" i="54"/>
  <c r="I47" i="54"/>
  <c r="J47" i="54"/>
  <c r="K47" i="54"/>
  <c r="L47" i="54"/>
  <c r="M47" i="54"/>
  <c r="N47" i="54"/>
  <c r="B48" i="54"/>
  <c r="C48" i="54"/>
  <c r="D48" i="54"/>
  <c r="E48" i="54"/>
  <c r="F48" i="54"/>
  <c r="G48" i="54"/>
  <c r="H48" i="54"/>
  <c r="I48" i="54"/>
  <c r="J48" i="54"/>
  <c r="K48" i="54"/>
  <c r="L48" i="54"/>
  <c r="M48" i="54"/>
  <c r="N48" i="54"/>
  <c r="B49" i="54"/>
  <c r="C49" i="54"/>
  <c r="D49" i="54"/>
  <c r="E49" i="54"/>
  <c r="F49" i="54"/>
  <c r="G49" i="54"/>
  <c r="H49" i="54"/>
  <c r="I49" i="54"/>
  <c r="J49" i="54"/>
  <c r="K49" i="54"/>
  <c r="L49" i="54"/>
  <c r="M49" i="54"/>
  <c r="N49" i="54"/>
  <c r="B50" i="54"/>
  <c r="C50" i="54"/>
  <c r="D50" i="54"/>
  <c r="F50" i="54"/>
  <c r="G50" i="54"/>
  <c r="H50" i="54"/>
  <c r="I50" i="54"/>
  <c r="J50" i="54"/>
  <c r="K50" i="54"/>
  <c r="L50" i="54"/>
  <c r="M50" i="54"/>
  <c r="N50" i="54"/>
  <c r="C41" i="54"/>
  <c r="D41" i="54"/>
  <c r="E41" i="54"/>
  <c r="F41" i="54"/>
  <c r="G41" i="54"/>
  <c r="H41" i="54"/>
  <c r="I41" i="54"/>
  <c r="J41" i="54"/>
  <c r="K41" i="54"/>
  <c r="L41" i="54"/>
  <c r="M41" i="54"/>
  <c r="N41" i="54"/>
  <c r="B41" i="54"/>
  <c r="E26" i="23" l="1"/>
  <c r="E28" i="23"/>
  <c r="E30" i="55"/>
  <c r="F30" i="55"/>
  <c r="G30" i="55"/>
  <c r="H30" i="55"/>
  <c r="I30" i="55"/>
  <c r="J30" i="55"/>
  <c r="D30" i="55"/>
  <c r="D28" i="23"/>
  <c r="C28" i="23"/>
  <c r="D26" i="23"/>
  <c r="C26" i="23"/>
  <c r="D26" i="55"/>
  <c r="F13" i="55" l="1"/>
  <c r="G13" i="55"/>
  <c r="K30" i="55"/>
  <c r="F11" i="55" l="1"/>
  <c r="B82" i="25" l="1"/>
  <c r="B48" i="25"/>
  <c r="B4" i="25"/>
  <c r="B53" i="25" s="1"/>
  <c r="C4" i="25"/>
  <c r="D4" i="25"/>
  <c r="E4" i="25"/>
  <c r="F4" i="25"/>
  <c r="G4" i="25"/>
  <c r="H4" i="25"/>
  <c r="I4" i="25"/>
  <c r="J4" i="25"/>
  <c r="K4" i="25"/>
  <c r="L4" i="25"/>
  <c r="M4" i="25"/>
  <c r="N4" i="25"/>
  <c r="B5" i="25"/>
  <c r="B54" i="25" s="1"/>
  <c r="C5" i="25"/>
  <c r="D5" i="25"/>
  <c r="E5" i="25"/>
  <c r="F5" i="25"/>
  <c r="G5" i="25"/>
  <c r="H5" i="25"/>
  <c r="I5" i="25"/>
  <c r="J5" i="25"/>
  <c r="K5" i="25"/>
  <c r="L5" i="25"/>
  <c r="M5" i="25"/>
  <c r="N5" i="25"/>
  <c r="B6" i="25"/>
  <c r="B55" i="25" s="1"/>
  <c r="C6" i="25"/>
  <c r="D6" i="25"/>
  <c r="E6" i="25"/>
  <c r="F6" i="25"/>
  <c r="G6" i="25"/>
  <c r="H6" i="25"/>
  <c r="I6" i="25"/>
  <c r="J6" i="25"/>
  <c r="K6" i="25"/>
  <c r="L6" i="25"/>
  <c r="M6" i="25"/>
  <c r="N6" i="25"/>
  <c r="B7" i="25"/>
  <c r="B56" i="25" s="1"/>
  <c r="C7" i="25"/>
  <c r="D7" i="25"/>
  <c r="E7" i="25"/>
  <c r="F7" i="25"/>
  <c r="G7" i="25"/>
  <c r="H7" i="25"/>
  <c r="I7" i="25"/>
  <c r="J7" i="25"/>
  <c r="K7" i="25"/>
  <c r="L7" i="25"/>
  <c r="M7" i="25"/>
  <c r="N7" i="25"/>
  <c r="B8" i="25"/>
  <c r="B57" i="25" s="1"/>
  <c r="C8" i="25"/>
  <c r="D8" i="25"/>
  <c r="E8" i="25"/>
  <c r="F8" i="25"/>
  <c r="G8" i="25"/>
  <c r="H8" i="25"/>
  <c r="I8" i="25"/>
  <c r="J8" i="25"/>
  <c r="K8" i="25"/>
  <c r="L8" i="25"/>
  <c r="M8" i="25"/>
  <c r="N8" i="25"/>
  <c r="B9" i="25"/>
  <c r="B58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59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60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61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62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63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64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65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66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B18" i="25"/>
  <c r="B67" i="25" s="1"/>
  <c r="C18" i="25"/>
  <c r="D18" i="25"/>
  <c r="E18" i="25"/>
  <c r="F18" i="25"/>
  <c r="G18" i="25"/>
  <c r="H18" i="25"/>
  <c r="I18" i="25"/>
  <c r="J18" i="25"/>
  <c r="K18" i="25"/>
  <c r="L18" i="25"/>
  <c r="M18" i="25"/>
  <c r="N18" i="25"/>
  <c r="B19" i="25"/>
  <c r="B68" i="25" s="1"/>
  <c r="C19" i="25"/>
  <c r="D19" i="25"/>
  <c r="E19" i="25"/>
  <c r="F19" i="25"/>
  <c r="G19" i="25"/>
  <c r="H19" i="25"/>
  <c r="I19" i="25"/>
  <c r="J19" i="25"/>
  <c r="K19" i="25"/>
  <c r="L19" i="25"/>
  <c r="M19" i="25"/>
  <c r="N19" i="25"/>
  <c r="B20" i="25"/>
  <c r="B69" i="25" s="1"/>
  <c r="C20" i="25"/>
  <c r="D20" i="25"/>
  <c r="E20" i="25"/>
  <c r="F20" i="25"/>
  <c r="G20" i="25"/>
  <c r="H20" i="25"/>
  <c r="I20" i="25"/>
  <c r="J20" i="25"/>
  <c r="K20" i="25"/>
  <c r="L20" i="25"/>
  <c r="M20" i="25"/>
  <c r="N20" i="25"/>
  <c r="B21" i="25"/>
  <c r="B70" i="25" s="1"/>
  <c r="C21" i="25"/>
  <c r="D21" i="25"/>
  <c r="E21" i="25"/>
  <c r="F21" i="25"/>
  <c r="G21" i="25"/>
  <c r="H21" i="25"/>
  <c r="I21" i="25"/>
  <c r="J21" i="25"/>
  <c r="K21" i="25"/>
  <c r="L21" i="25"/>
  <c r="M21" i="25"/>
  <c r="N21" i="25"/>
  <c r="B22" i="25"/>
  <c r="B71" i="25" s="1"/>
  <c r="C22" i="25"/>
  <c r="D22" i="25"/>
  <c r="E22" i="25"/>
  <c r="F22" i="25"/>
  <c r="G22" i="25"/>
  <c r="H22" i="25"/>
  <c r="I22" i="25"/>
  <c r="J22" i="25"/>
  <c r="K22" i="25"/>
  <c r="L22" i="25"/>
  <c r="M22" i="25"/>
  <c r="N22" i="25"/>
  <c r="B23" i="25"/>
  <c r="B38" i="25" s="1"/>
  <c r="C23" i="25"/>
  <c r="D23" i="25"/>
  <c r="E23" i="25"/>
  <c r="F23" i="25"/>
  <c r="G23" i="25"/>
  <c r="H23" i="25"/>
  <c r="I23" i="25"/>
  <c r="J23" i="25"/>
  <c r="K23" i="25"/>
  <c r="L23" i="25"/>
  <c r="M23" i="25"/>
  <c r="N23" i="25"/>
  <c r="B24" i="25"/>
  <c r="B39" i="25" s="1"/>
  <c r="C24" i="25"/>
  <c r="D24" i="25"/>
  <c r="E24" i="25"/>
  <c r="F24" i="25"/>
  <c r="G24" i="25"/>
  <c r="H24" i="25"/>
  <c r="I24" i="25"/>
  <c r="J24" i="25"/>
  <c r="K24" i="25"/>
  <c r="L24" i="25"/>
  <c r="M24" i="25"/>
  <c r="N24" i="25"/>
  <c r="B25" i="25"/>
  <c r="B40" i="25" s="1"/>
  <c r="C25" i="25"/>
  <c r="D25" i="25"/>
  <c r="E25" i="25"/>
  <c r="F25" i="25"/>
  <c r="G25" i="25"/>
  <c r="H25" i="25"/>
  <c r="I25" i="25"/>
  <c r="J25" i="25"/>
  <c r="K25" i="25"/>
  <c r="L25" i="25"/>
  <c r="M25" i="25"/>
  <c r="N25" i="25"/>
  <c r="B26" i="25"/>
  <c r="B41" i="25" s="1"/>
  <c r="C26" i="25"/>
  <c r="D26" i="25"/>
  <c r="E26" i="25"/>
  <c r="F26" i="25"/>
  <c r="G26" i="25"/>
  <c r="H26" i="25"/>
  <c r="I26" i="25"/>
  <c r="J26" i="25"/>
  <c r="K26" i="25"/>
  <c r="L26" i="25"/>
  <c r="M26" i="25"/>
  <c r="N26" i="25"/>
  <c r="B27" i="25"/>
  <c r="B42" i="25" s="1"/>
  <c r="C27" i="25"/>
  <c r="D27" i="25"/>
  <c r="E27" i="25"/>
  <c r="F27" i="25"/>
  <c r="G27" i="25"/>
  <c r="H27" i="25"/>
  <c r="I27" i="25"/>
  <c r="J27" i="25"/>
  <c r="K27" i="25"/>
  <c r="L27" i="25"/>
  <c r="M27" i="25"/>
  <c r="N27" i="25"/>
  <c r="B28" i="25"/>
  <c r="B77" i="25" s="1"/>
  <c r="C28" i="25"/>
  <c r="D28" i="25"/>
  <c r="E28" i="25"/>
  <c r="F28" i="25"/>
  <c r="G28" i="25"/>
  <c r="H28" i="25"/>
  <c r="I28" i="25"/>
  <c r="J28" i="25"/>
  <c r="K28" i="25"/>
  <c r="L28" i="25"/>
  <c r="M28" i="25"/>
  <c r="N28" i="25"/>
  <c r="B29" i="25"/>
  <c r="B44" i="25" s="1"/>
  <c r="C29" i="25"/>
  <c r="D29" i="25"/>
  <c r="E29" i="25"/>
  <c r="F29" i="25"/>
  <c r="G29" i="25"/>
  <c r="H29" i="25"/>
  <c r="I29" i="25"/>
  <c r="J29" i="25"/>
  <c r="K29" i="25"/>
  <c r="L29" i="25"/>
  <c r="M29" i="25"/>
  <c r="N29" i="25"/>
  <c r="B30" i="25"/>
  <c r="B45" i="25" s="1"/>
  <c r="C30" i="25"/>
  <c r="D30" i="25"/>
  <c r="E30" i="25"/>
  <c r="F30" i="25"/>
  <c r="G30" i="25"/>
  <c r="H30" i="25"/>
  <c r="I30" i="25"/>
  <c r="J30" i="25"/>
  <c r="K30" i="25"/>
  <c r="L30" i="25"/>
  <c r="M30" i="25"/>
  <c r="N30" i="25"/>
  <c r="B31" i="25"/>
  <c r="B46" i="25" s="1"/>
  <c r="C31" i="25"/>
  <c r="D31" i="25"/>
  <c r="E31" i="25"/>
  <c r="F31" i="25"/>
  <c r="G31" i="25"/>
  <c r="H31" i="25"/>
  <c r="I31" i="25"/>
  <c r="J31" i="25"/>
  <c r="K31" i="25"/>
  <c r="L31" i="25"/>
  <c r="M31" i="25"/>
  <c r="N31" i="25"/>
  <c r="B32" i="25"/>
  <c r="B47" i="25" s="1"/>
  <c r="C32" i="25"/>
  <c r="D32" i="25"/>
  <c r="E32" i="25"/>
  <c r="F32" i="25"/>
  <c r="G32" i="25"/>
  <c r="H32" i="25"/>
  <c r="I32" i="25"/>
  <c r="J32" i="25"/>
  <c r="K32" i="25"/>
  <c r="L32" i="25"/>
  <c r="M32" i="25"/>
  <c r="N32" i="25"/>
  <c r="C3" i="25"/>
  <c r="D3" i="25"/>
  <c r="E3" i="25"/>
  <c r="F3" i="25"/>
  <c r="G3" i="25"/>
  <c r="H3" i="25"/>
  <c r="I3" i="25"/>
  <c r="J3" i="25"/>
  <c r="K3" i="25"/>
  <c r="L3" i="25"/>
  <c r="M3" i="25"/>
  <c r="N3" i="25"/>
  <c r="B3" i="25"/>
  <c r="B52" i="25" s="1"/>
  <c r="E11" i="55"/>
  <c r="E22" i="55" l="1"/>
  <c r="E33" i="25"/>
  <c r="C33" i="25"/>
  <c r="F33" i="25"/>
  <c r="L33" i="25"/>
  <c r="K33" i="25"/>
  <c r="J33" i="25"/>
  <c r="I33" i="25"/>
  <c r="B81" i="25"/>
  <c r="M33" i="25"/>
  <c r="H33" i="25"/>
  <c r="G33" i="25"/>
  <c r="D33" i="25"/>
  <c r="B43" i="25"/>
  <c r="N33" i="25"/>
  <c r="B76" i="25"/>
  <c r="B75" i="25"/>
  <c r="B80" i="25"/>
  <c r="B74" i="25"/>
  <c r="B79" i="25"/>
  <c r="B73" i="25"/>
  <c r="B78" i="25"/>
  <c r="B72" i="25"/>
  <c r="K5" i="23"/>
  <c r="K6" i="23"/>
  <c r="J5" i="23"/>
  <c r="J6" i="23"/>
  <c r="I5" i="23"/>
  <c r="I6" i="23"/>
  <c r="J31" i="55" l="1"/>
  <c r="B23" i="117" l="1"/>
  <c r="B22" i="117"/>
  <c r="B21" i="117"/>
  <c r="B20" i="117"/>
  <c r="B19" i="117"/>
  <c r="B18" i="117"/>
  <c r="B17" i="117"/>
  <c r="B16" i="117"/>
  <c r="B15" i="117"/>
  <c r="B14" i="117"/>
  <c r="H14" i="117" l="1"/>
  <c r="F17" i="117"/>
  <c r="H18" i="117"/>
  <c r="I14" i="117"/>
  <c r="E16" i="117"/>
  <c r="I18" i="117"/>
  <c r="E20" i="117"/>
  <c r="H17" i="117"/>
  <c r="E19" i="117"/>
  <c r="F15" i="117"/>
  <c r="H16" i="117"/>
  <c r="F19" i="117"/>
  <c r="H20" i="117"/>
  <c r="I17" i="117"/>
  <c r="E14" i="117"/>
  <c r="I16" i="117"/>
  <c r="E18" i="117"/>
  <c r="I20" i="117"/>
  <c r="F14" i="117"/>
  <c r="H15" i="117"/>
  <c r="F18" i="117"/>
  <c r="H19" i="117"/>
  <c r="F16" i="117"/>
  <c r="F20" i="117"/>
  <c r="E15" i="117"/>
  <c r="I15" i="117"/>
  <c r="E17" i="117"/>
  <c r="I19" i="117"/>
  <c r="I21" i="117" l="1"/>
  <c r="I23" i="117"/>
  <c r="I22" i="117"/>
  <c r="H21" i="117"/>
  <c r="H22" i="117"/>
  <c r="H23" i="117"/>
  <c r="F21" i="117"/>
  <c r="F23" i="117"/>
  <c r="F22" i="117"/>
  <c r="E21" i="117"/>
  <c r="E23" i="117"/>
  <c r="E22" i="117"/>
  <c r="C22" i="55"/>
  <c r="H25" i="117" l="1"/>
  <c r="I24" i="117"/>
  <c r="G25" i="117"/>
  <c r="H24" i="117"/>
  <c r="F24" i="117"/>
  <c r="I25" i="117"/>
  <c r="G24" i="117"/>
  <c r="F25" i="117"/>
  <c r="E24" i="117"/>
  <c r="E25" i="117"/>
  <c r="B6" i="23"/>
  <c r="B7" i="23"/>
  <c r="B8" i="23"/>
  <c r="B9" i="23"/>
  <c r="B10" i="23"/>
  <c r="B11" i="23"/>
  <c r="B12" i="23"/>
  <c r="B13" i="23"/>
  <c r="B14" i="23"/>
  <c r="B5" i="23"/>
  <c r="I26" i="117" l="1"/>
  <c r="H26" i="117"/>
  <c r="E26" i="117"/>
  <c r="G26" i="117"/>
  <c r="F26" i="117"/>
  <c r="B23" i="115"/>
  <c r="B22" i="115"/>
  <c r="B21" i="115"/>
  <c r="B20" i="115"/>
  <c r="B19" i="115"/>
  <c r="B18" i="115"/>
  <c r="B17" i="115"/>
  <c r="B16" i="115"/>
  <c r="B15" i="115"/>
  <c r="B14" i="115"/>
  <c r="E15" i="115" l="1"/>
  <c r="H16" i="115"/>
  <c r="D20" i="115"/>
  <c r="L20" i="115"/>
  <c r="K14" i="115"/>
  <c r="F15" i="115"/>
  <c r="E16" i="115"/>
  <c r="I16" i="115"/>
  <c r="D17" i="115"/>
  <c r="H17" i="115"/>
  <c r="L17" i="115"/>
  <c r="K18" i="115"/>
  <c r="F19" i="115"/>
  <c r="E20" i="115"/>
  <c r="I20" i="115"/>
  <c r="D16" i="115"/>
  <c r="K17" i="115"/>
  <c r="I19" i="115"/>
  <c r="D14" i="115"/>
  <c r="H14" i="115"/>
  <c r="L14" i="115"/>
  <c r="K15" i="115"/>
  <c r="F16" i="115"/>
  <c r="E17" i="115"/>
  <c r="I17" i="115"/>
  <c r="D18" i="115"/>
  <c r="H18" i="115"/>
  <c r="L18" i="115"/>
  <c r="K19" i="115"/>
  <c r="F20" i="115"/>
  <c r="F14" i="115"/>
  <c r="I15" i="115"/>
  <c r="L16" i="115"/>
  <c r="F18" i="115"/>
  <c r="E19" i="115"/>
  <c r="H20" i="115"/>
  <c r="E14" i="115"/>
  <c r="I14" i="115"/>
  <c r="D15" i="115"/>
  <c r="H15" i="115"/>
  <c r="L15" i="115"/>
  <c r="K16" i="115"/>
  <c r="F17" i="115"/>
  <c r="E18" i="115"/>
  <c r="I18" i="115"/>
  <c r="D19" i="115"/>
  <c r="H19" i="115"/>
  <c r="L19" i="115"/>
  <c r="K20" i="115"/>
  <c r="K21" i="115" l="1"/>
  <c r="K22" i="115"/>
  <c r="K23" i="115"/>
  <c r="E21" i="115"/>
  <c r="E23" i="115"/>
  <c r="E22" i="115"/>
  <c r="E25" i="115" s="1"/>
  <c r="H21" i="115"/>
  <c r="H22" i="115"/>
  <c r="H23" i="115"/>
  <c r="H25" i="115" s="1"/>
  <c r="F21" i="115"/>
  <c r="F22" i="115"/>
  <c r="F23" i="115"/>
  <c r="L22" i="115"/>
  <c r="L23" i="115"/>
  <c r="L21" i="115"/>
  <c r="I22" i="115"/>
  <c r="I23" i="115"/>
  <c r="I21" i="115"/>
  <c r="D21" i="115"/>
  <c r="D22" i="115"/>
  <c r="D23" i="115"/>
  <c r="D24" i="115" s="1"/>
  <c r="K25" i="115"/>
  <c r="K24" i="115"/>
  <c r="L24" i="115" l="1"/>
  <c r="H24" i="115"/>
  <c r="H26" i="115" s="1"/>
  <c r="F25" i="115"/>
  <c r="F24" i="115"/>
  <c r="F26" i="115" s="1"/>
  <c r="E24" i="115"/>
  <c r="E26" i="115" s="1"/>
  <c r="I24" i="115"/>
  <c r="G25" i="115"/>
  <c r="G24" i="115"/>
  <c r="I25" i="115"/>
  <c r="I26" i="115" s="1"/>
  <c r="L25" i="115"/>
  <c r="L26" i="115" s="1"/>
  <c r="D25" i="115"/>
  <c r="D26" i="115" s="1"/>
  <c r="J25" i="115"/>
  <c r="J24" i="115"/>
  <c r="K26" i="115"/>
  <c r="G26" i="115" l="1"/>
  <c r="J26" i="115"/>
  <c r="D53" i="54"/>
  <c r="F38" i="25" s="1"/>
  <c r="E53" i="54"/>
  <c r="G38" i="25" s="1"/>
  <c r="F53" i="54"/>
  <c r="H38" i="25" s="1"/>
  <c r="G53" i="54"/>
  <c r="I38" i="25" s="1"/>
  <c r="H53" i="54"/>
  <c r="J38" i="25" s="1"/>
  <c r="I53" i="54"/>
  <c r="K38" i="25" s="1"/>
  <c r="J53" i="54"/>
  <c r="L38" i="25" s="1"/>
  <c r="K53" i="54"/>
  <c r="M38" i="25" s="1"/>
  <c r="L53" i="54"/>
  <c r="N38" i="25" s="1"/>
  <c r="M53" i="54"/>
  <c r="O38" i="25" s="1"/>
  <c r="N53" i="54"/>
  <c r="P38" i="25" s="1"/>
  <c r="C53" i="54"/>
  <c r="E38" i="25" s="1"/>
  <c r="O6" i="54" l="1"/>
  <c r="O7" i="54"/>
  <c r="O8" i="54"/>
  <c r="O9" i="54"/>
  <c r="O10" i="54"/>
  <c r="O11" i="54"/>
  <c r="O12" i="54"/>
  <c r="O13" i="54"/>
  <c r="O14" i="54"/>
  <c r="O15" i="54"/>
  <c r="O16" i="54"/>
  <c r="O17" i="54"/>
  <c r="O18" i="54"/>
  <c r="O19" i="54"/>
  <c r="O20" i="54"/>
  <c r="O21" i="54"/>
  <c r="O22" i="54"/>
  <c r="O23" i="54"/>
  <c r="O24" i="54"/>
  <c r="O25" i="54"/>
  <c r="O26" i="54"/>
  <c r="O27" i="54"/>
  <c r="O28" i="54"/>
  <c r="O29" i="54"/>
  <c r="O30" i="54"/>
  <c r="O31" i="54"/>
  <c r="O32" i="54"/>
  <c r="O33" i="54"/>
  <c r="O34" i="54"/>
  <c r="O5" i="54"/>
  <c r="O42" i="54"/>
  <c r="P42" i="54" s="1"/>
  <c r="O43" i="54"/>
  <c r="O44" i="54"/>
  <c r="O45" i="54"/>
  <c r="P45" i="54" s="1"/>
  <c r="O46" i="54"/>
  <c r="O47" i="54"/>
  <c r="O48" i="54"/>
  <c r="O49" i="54"/>
  <c r="O13" i="23" s="1"/>
  <c r="O50" i="54"/>
  <c r="O41" i="54"/>
  <c r="D37" i="54"/>
  <c r="E37" i="54"/>
  <c r="F37" i="54"/>
  <c r="F34" i="25" s="1"/>
  <c r="G37" i="54"/>
  <c r="G34" i="25" s="1"/>
  <c r="H37" i="54"/>
  <c r="H34" i="25" s="1"/>
  <c r="I37" i="54"/>
  <c r="I34" i="25" s="1"/>
  <c r="J37" i="54"/>
  <c r="J34" i="25" s="1"/>
  <c r="K37" i="54"/>
  <c r="L37" i="54"/>
  <c r="L34" i="25" s="1"/>
  <c r="M37" i="54"/>
  <c r="N37" i="54"/>
  <c r="N34" i="25" s="1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C6" i="23"/>
  <c r="D6" i="23"/>
  <c r="E6" i="23"/>
  <c r="F6" i="23"/>
  <c r="G6" i="23"/>
  <c r="H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D5" i="23"/>
  <c r="E5" i="23"/>
  <c r="F5" i="23"/>
  <c r="G5" i="23"/>
  <c r="H5" i="23"/>
  <c r="L5" i="23"/>
  <c r="M5" i="23"/>
  <c r="N5" i="23"/>
  <c r="C5" i="23"/>
  <c r="O37" i="54" l="1"/>
  <c r="O35" i="54"/>
  <c r="O4" i="25"/>
  <c r="C53" i="25" s="1"/>
  <c r="P29" i="54"/>
  <c r="P27" i="25" s="1"/>
  <c r="O27" i="25"/>
  <c r="P17" i="54"/>
  <c r="P15" i="25" s="1"/>
  <c r="O15" i="25"/>
  <c r="C64" i="25" s="1"/>
  <c r="M18" i="23"/>
  <c r="M34" i="25"/>
  <c r="P28" i="54"/>
  <c r="P26" i="25" s="1"/>
  <c r="O26" i="25"/>
  <c r="P16" i="54"/>
  <c r="P14" i="25" s="1"/>
  <c r="O14" i="25"/>
  <c r="C63" i="25" s="1"/>
  <c r="P27" i="54"/>
  <c r="P25" i="25" s="1"/>
  <c r="O25" i="25"/>
  <c r="P15" i="54"/>
  <c r="P13" i="25" s="1"/>
  <c r="O13" i="25"/>
  <c r="C62" i="25" s="1"/>
  <c r="K18" i="23"/>
  <c r="K34" i="25"/>
  <c r="P26" i="54"/>
  <c r="P24" i="25" s="1"/>
  <c r="O24" i="25"/>
  <c r="P14" i="54"/>
  <c r="P12" i="25" s="1"/>
  <c r="O12" i="25"/>
  <c r="C61" i="25" s="1"/>
  <c r="P25" i="54"/>
  <c r="P23" i="25" s="1"/>
  <c r="O23" i="25"/>
  <c r="P24" i="54"/>
  <c r="P22" i="25" s="1"/>
  <c r="O22" i="25"/>
  <c r="C71" i="25" s="1"/>
  <c r="P12" i="54"/>
  <c r="P10" i="25" s="1"/>
  <c r="O10" i="25"/>
  <c r="C59" i="25" s="1"/>
  <c r="P5" i="54"/>
  <c r="O3" i="25"/>
  <c r="C52" i="25" s="1"/>
  <c r="P23" i="54"/>
  <c r="P21" i="25" s="1"/>
  <c r="O21" i="25"/>
  <c r="C70" i="25" s="1"/>
  <c r="P11" i="54"/>
  <c r="P9" i="25" s="1"/>
  <c r="O9" i="25"/>
  <c r="C58" i="25" s="1"/>
  <c r="P34" i="54"/>
  <c r="P32" i="25" s="1"/>
  <c r="O32" i="25"/>
  <c r="P22" i="54"/>
  <c r="P20" i="25" s="1"/>
  <c r="O20" i="25"/>
  <c r="C69" i="25" s="1"/>
  <c r="P10" i="54"/>
  <c r="P8" i="25" s="1"/>
  <c r="O8" i="25"/>
  <c r="C57" i="25" s="1"/>
  <c r="P13" i="54"/>
  <c r="P11" i="25" s="1"/>
  <c r="O11" i="25"/>
  <c r="C60" i="25" s="1"/>
  <c r="P33" i="54"/>
  <c r="P31" i="25" s="1"/>
  <c r="O31" i="25"/>
  <c r="P21" i="54"/>
  <c r="P19" i="25" s="1"/>
  <c r="O19" i="25"/>
  <c r="C68" i="25" s="1"/>
  <c r="P9" i="54"/>
  <c r="P7" i="25" s="1"/>
  <c r="O7" i="25"/>
  <c r="C56" i="25" s="1"/>
  <c r="E18" i="23"/>
  <c r="E34" i="25"/>
  <c r="P32" i="54"/>
  <c r="P30" i="25" s="1"/>
  <c r="O30" i="25"/>
  <c r="P20" i="54"/>
  <c r="P18" i="25" s="1"/>
  <c r="O18" i="25"/>
  <c r="C67" i="25" s="1"/>
  <c r="P8" i="54"/>
  <c r="P6" i="25" s="1"/>
  <c r="O6" i="25"/>
  <c r="C55" i="25" s="1"/>
  <c r="D18" i="23"/>
  <c r="D34" i="25"/>
  <c r="P31" i="54"/>
  <c r="P29" i="25" s="1"/>
  <c r="O29" i="25"/>
  <c r="P19" i="54"/>
  <c r="P17" i="25" s="1"/>
  <c r="O17" i="25"/>
  <c r="C66" i="25" s="1"/>
  <c r="P7" i="54"/>
  <c r="P5" i="25" s="1"/>
  <c r="O5" i="25"/>
  <c r="C54" i="25" s="1"/>
  <c r="C18" i="23"/>
  <c r="C34" i="25"/>
  <c r="P30" i="54"/>
  <c r="P28" i="25" s="1"/>
  <c r="O28" i="25"/>
  <c r="P18" i="54"/>
  <c r="P16" i="25" s="1"/>
  <c r="O16" i="25"/>
  <c r="C65" i="25" s="1"/>
  <c r="O12" i="23"/>
  <c r="O14" i="23"/>
  <c r="J18" i="23"/>
  <c r="O11" i="23"/>
  <c r="O7" i="23"/>
  <c r="O10" i="23"/>
  <c r="O8" i="23"/>
  <c r="N18" i="23"/>
  <c r="F18" i="23"/>
  <c r="P41" i="54"/>
  <c r="P46" i="54"/>
  <c r="I18" i="23"/>
  <c r="G18" i="23"/>
  <c r="H18" i="23"/>
  <c r="D20" i="23"/>
  <c r="O9" i="23"/>
  <c r="L18" i="23"/>
  <c r="P6" i="23"/>
  <c r="P9" i="23"/>
  <c r="P50" i="54"/>
  <c r="O53" i="54"/>
  <c r="P49" i="54"/>
  <c r="P48" i="54"/>
  <c r="O6" i="23"/>
  <c r="P47" i="54"/>
  <c r="P6" i="54"/>
  <c r="P44" i="54"/>
  <c r="P43" i="54"/>
  <c r="O36" i="54"/>
  <c r="O5" i="23"/>
  <c r="P3" i="25" l="1"/>
  <c r="P35" i="54"/>
  <c r="C74" i="25"/>
  <c r="C40" i="25"/>
  <c r="C81" i="25"/>
  <c r="C47" i="25"/>
  <c r="C79" i="25"/>
  <c r="C45" i="25"/>
  <c r="P4" i="25"/>
  <c r="C38" i="25"/>
  <c r="O33" i="25"/>
  <c r="C48" i="25" s="1"/>
  <c r="C72" i="25"/>
  <c r="P33" i="25"/>
  <c r="C80" i="25"/>
  <c r="C46" i="25"/>
  <c r="C39" i="25"/>
  <c r="C73" i="25"/>
  <c r="C44" i="25"/>
  <c r="C78" i="25"/>
  <c r="C77" i="25"/>
  <c r="C43" i="25"/>
  <c r="O18" i="23"/>
  <c r="O34" i="25"/>
  <c r="C82" i="25" s="1"/>
  <c r="C75" i="25"/>
  <c r="C41" i="25"/>
  <c r="C76" i="25"/>
  <c r="C42" i="25"/>
  <c r="P5" i="23"/>
  <c r="P53" i="54"/>
  <c r="Q38" i="25" s="1"/>
  <c r="P10" i="23"/>
  <c r="P37" i="54"/>
  <c r="P36" i="54"/>
  <c r="P8" i="23"/>
  <c r="P13" i="23"/>
  <c r="P12" i="23"/>
  <c r="P14" i="23"/>
  <c r="P11" i="23"/>
  <c r="P7" i="23"/>
  <c r="B23" i="100"/>
  <c r="B22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E21" i="100" l="1"/>
  <c r="E22" i="100"/>
  <c r="E23" i="100"/>
  <c r="F23" i="100"/>
  <c r="F22" i="100"/>
  <c r="F21" i="100"/>
  <c r="F25" i="100" s="1"/>
  <c r="D22" i="100"/>
  <c r="D21" i="100"/>
  <c r="D23" i="100"/>
  <c r="P18" i="23"/>
  <c r="P34" i="25"/>
  <c r="E25" i="100" l="1"/>
  <c r="E24" i="100"/>
  <c r="E26" i="100" s="1"/>
  <c r="F24" i="100"/>
  <c r="F26" i="100" s="1"/>
  <c r="D25" i="100"/>
  <c r="D24" i="100"/>
  <c r="D26" i="100" l="1"/>
  <c r="O17" i="23"/>
  <c r="D21" i="23" s="1"/>
  <c r="O52" i="54"/>
  <c r="O16" i="23" s="1"/>
  <c r="D52" i="54"/>
  <c r="D16" i="23" s="1"/>
  <c r="E52" i="54"/>
  <c r="E16" i="23" s="1"/>
  <c r="F52" i="54"/>
  <c r="F16" i="23" s="1"/>
  <c r="G52" i="54"/>
  <c r="G16" i="23" s="1"/>
  <c r="H52" i="54"/>
  <c r="H16" i="23" s="1"/>
  <c r="I52" i="54"/>
  <c r="I16" i="23" s="1"/>
  <c r="J52" i="54"/>
  <c r="J16" i="23" s="1"/>
  <c r="K52" i="54"/>
  <c r="K16" i="23" s="1"/>
  <c r="L52" i="54"/>
  <c r="L16" i="23" s="1"/>
  <c r="M52" i="54"/>
  <c r="M16" i="23" s="1"/>
  <c r="N52" i="54"/>
  <c r="N16" i="23" s="1"/>
  <c r="C52" i="54"/>
  <c r="C16" i="23" s="1"/>
  <c r="D51" i="54"/>
  <c r="D15" i="23" s="1"/>
  <c r="E51" i="54"/>
  <c r="E15" i="23" s="1"/>
  <c r="F51" i="54"/>
  <c r="F15" i="23" s="1"/>
  <c r="G51" i="54"/>
  <c r="G15" i="23" s="1"/>
  <c r="H51" i="54"/>
  <c r="H15" i="23" s="1"/>
  <c r="I51" i="54"/>
  <c r="I15" i="23" s="1"/>
  <c r="J51" i="54"/>
  <c r="J15" i="23" s="1"/>
  <c r="K51" i="54"/>
  <c r="K15" i="23" s="1"/>
  <c r="L51" i="54"/>
  <c r="L15" i="23" s="1"/>
  <c r="M51" i="54"/>
  <c r="M15" i="23" s="1"/>
  <c r="N51" i="54"/>
  <c r="N15" i="23" s="1"/>
  <c r="O51" i="54"/>
  <c r="O15" i="23" s="1"/>
  <c r="P51" i="54"/>
  <c r="P15" i="23" s="1"/>
  <c r="C51" i="54"/>
  <c r="C15" i="23" s="1"/>
  <c r="P17" i="23"/>
  <c r="P52" i="54" l="1"/>
  <c r="P16" i="23" s="1"/>
  <c r="F31" i="55"/>
  <c r="L12" i="55" l="1"/>
  <c r="H26" i="55" l="1"/>
  <c r="C27" i="23" l="1"/>
  <c r="I31" i="55" l="1"/>
  <c r="H31" i="55"/>
  <c r="G31" i="55"/>
  <c r="E31" i="55"/>
  <c r="D31" i="55"/>
  <c r="K31" i="55" l="1"/>
  <c r="E19" i="55" l="1"/>
  <c r="C12" i="55" l="1"/>
  <c r="A13" i="55" s="1"/>
  <c r="A12" i="55" l="1"/>
  <c r="C14" i="55"/>
  <c r="G7" i="55"/>
  <c r="J26" i="55" l="1"/>
  <c r="F5" i="55"/>
  <c r="F7" i="55"/>
  <c r="F6" i="55"/>
  <c r="C25" i="23"/>
  <c r="F19" i="55" l="1"/>
  <c r="G19" i="55" s="1"/>
  <c r="F17" i="55"/>
  <c r="G17" i="55" s="1"/>
  <c r="E30" i="23"/>
  <c r="G14" i="55"/>
  <c r="D30" i="23"/>
  <c r="C30" i="23"/>
  <c r="E26" i="214" l="1"/>
  <c r="E26" i="215"/>
  <c r="E26" i="55"/>
  <c r="C24" i="23"/>
  <c r="H19" i="55" l="1"/>
  <c r="G21" i="55"/>
  <c r="D2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S2" authorId="0" shapeId="0" xr:uid="{9D8A6746-B2A6-471D-BA41-74E1AB8C7A8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충청남도에서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세종과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홍성은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없다</t>
        </r>
        <r>
          <rPr>
            <sz val="9"/>
            <color indexed="81"/>
            <rFont val="Tahoma"/>
            <family val="2"/>
          </rPr>
          <t>.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찾을수가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빼놓았다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T2" authorId="0" shapeId="0" xr:uid="{9A3251C8-E2D2-4F0B-8F07-8EDAF07FCE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2023/4/8
</t>
        </r>
        <r>
          <rPr>
            <sz val="9"/>
            <color indexed="81"/>
            <rFont val="돋움"/>
            <family val="3"/>
            <charset val="129"/>
          </rPr>
          <t>전체적인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디자인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파인튜닝</t>
        </r>
        <r>
          <rPr>
            <sz val="9"/>
            <color indexed="81"/>
            <rFont val="Tahoma"/>
            <family val="2"/>
          </rPr>
          <t xml:space="preserve">
2023/3/17
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서두부분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집계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추가
</t>
        </r>
        <r>
          <rPr>
            <sz val="9"/>
            <color indexed="81"/>
            <rFont val="Tahoma"/>
            <family val="2"/>
          </rPr>
          <t xml:space="preserve">2023/3/15
</t>
        </r>
        <r>
          <rPr>
            <sz val="9"/>
            <color indexed="81"/>
            <rFont val="돋움"/>
            <family val="3"/>
            <charset val="129"/>
          </rPr>
          <t>집계하는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수정하고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추가해줌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, Q2, Q3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서머리페이지를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</t>
        </r>
        <r>
          <rPr>
            <sz val="9"/>
            <color indexed="81"/>
            <rFont val="Tahoma"/>
            <family val="2"/>
          </rPr>
          <t>, (</t>
        </r>
        <r>
          <rPr>
            <sz val="9"/>
            <color indexed="81"/>
            <rFont val="돋움"/>
            <family val="3"/>
            <charset val="129"/>
          </rPr>
          <t>간이수질검사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내역등록을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 xml:space="preserve"> …)
2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>, 3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페이지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자동생성
</t>
        </r>
        <r>
          <rPr>
            <sz val="9"/>
            <color indexed="81"/>
            <rFont val="Tahoma"/>
            <family val="2"/>
          </rPr>
          <t xml:space="preserve">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sum ,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드라스틱인덱스와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앞부분에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셀지워주는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
그리고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 xml:space="preserve">주석달아줌
</t>
        </r>
        <r>
          <rPr>
            <sz val="9"/>
            <color indexed="81"/>
            <rFont val="Tahoma"/>
            <family val="2"/>
          </rPr>
          <t>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>일
기상청</t>
        </r>
        <r>
          <rPr>
            <sz val="9"/>
            <color indexed="81"/>
            <rFont val="Tahoma"/>
            <family val="2"/>
          </rPr>
          <t xml:space="preserve"> data validation
</t>
        </r>
        <r>
          <rPr>
            <sz val="9"/>
            <color indexed="81"/>
            <rFont val="돋움"/>
            <family val="3"/>
            <charset val="129"/>
          </rPr>
          <t>중권역</t>
        </r>
        <r>
          <rPr>
            <sz val="9"/>
            <color indexed="81"/>
            <rFont val="Tahoma"/>
            <family val="2"/>
          </rPr>
          <t xml:space="preserve"> data validation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16</t>
        </r>
        <r>
          <rPr>
            <sz val="9"/>
            <color indexed="81"/>
            <rFont val="돋움"/>
            <family val="3"/>
            <charset val="129"/>
          </rPr>
          <t>일
기사용관정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오픈할때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다른탭이메인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되어있으면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에러나는것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</t>
        </r>
        <r>
          <rPr>
            <sz val="9"/>
            <color indexed="81"/>
            <rFont val="Tahoma"/>
            <family val="2"/>
          </rPr>
          <t xml:space="preserve">, All </t>
        </r>
        <r>
          <rPr>
            <sz val="9"/>
            <color indexed="81"/>
            <rFont val="돋움"/>
            <family val="3"/>
            <charset val="129"/>
          </rPr>
          <t xml:space="preserve">탭
</t>
        </r>
        <r>
          <rPr>
            <sz val="9"/>
            <color indexed="81"/>
            <rFont val="Tahoma"/>
            <family val="2"/>
          </rPr>
          <t xml:space="preserve">=Recharge!$I$24
=All!$B$2
</t>
        </r>
        <r>
          <rPr>
            <sz val="9"/>
            <color indexed="81"/>
            <rFont val="돋움"/>
            <family val="3"/>
            <charset val="129"/>
          </rPr>
          <t>양수영향반경에서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포맷지정</t>
        </r>
        <r>
          <rPr>
            <sz val="9"/>
            <color indexed="81"/>
            <rFont val="Tahoma"/>
            <family val="2"/>
          </rPr>
          <t>, 4</t>
        </r>
        <r>
          <rPr>
            <sz val="9"/>
            <color indexed="81"/>
            <rFont val="돋움"/>
            <family val="3"/>
            <charset val="129"/>
          </rPr>
          <t>자리로</t>
        </r>
        <r>
          <rPr>
            <sz val="9"/>
            <color indexed="81"/>
            <rFont val="Tahoma"/>
            <family val="2"/>
          </rPr>
          <t xml:space="preserve"> ... K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  <r>
          <rPr>
            <sz val="9"/>
            <color indexed="81"/>
            <rFont val="Tahoma"/>
            <family val="2"/>
          </rPr>
          <t xml:space="preserve">K = CStr(Format(Cells(4 + i, "t").value, "0.0000"))
time_ = CStr(Format(Cells(4 + i, "u").value, "0.0000"))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>2024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13</t>
        </r>
        <r>
          <rPr>
            <sz val="9"/>
            <color indexed="81"/>
            <rFont val="돋움"/>
            <family val="3"/>
            <charset val="129"/>
          </rPr>
          <t>일
함양계수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함양량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개발가능량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</t>
        </r>
        <r>
          <rPr>
            <sz val="9"/>
            <color indexed="81"/>
            <rFont val="Tahoma"/>
            <family val="2"/>
          </rPr>
          <t xml:space="preserve">, 2022~2031 </t>
        </r>
        <r>
          <rPr>
            <sz val="9"/>
            <color indexed="81"/>
            <rFont val="돋움"/>
            <family val="3"/>
            <charset val="129"/>
          </rPr>
          <t>환경부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지하수관리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기본계획
</t>
        </r>
        <r>
          <rPr>
            <sz val="9"/>
            <color indexed="81"/>
            <rFont val="Tahoma"/>
            <family val="2"/>
          </rPr>
          <t>2024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26</t>
        </r>
        <r>
          <rPr>
            <sz val="9"/>
            <color indexed="81"/>
            <rFont val="돋움"/>
            <family val="3"/>
            <charset val="129"/>
          </rPr>
          <t>일
파일로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출력시에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보니까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맞지않아서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해주었다</t>
        </r>
        <r>
          <rPr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I24" authorId="0" shapeId="0" xr:uid="{C1AF6A76-96EF-4FA4-B2A3-1E31D05B33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B25" authorId="0" shapeId="0" xr:uid="{E9C6EBF2-6F29-42D4-9ACE-14631A7782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강수량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단위</t>
        </r>
        <r>
          <rPr>
            <sz val="9"/>
            <color indexed="81"/>
            <rFont val="Tahoma"/>
            <family val="2"/>
          </rPr>
          <t xml:space="preserve"> mm</t>
        </r>
      </text>
    </comment>
    <comment ref="I25" authorId="0" shapeId="0" xr:uid="{1015DB7B-864F-4E48-97C8-858E1D8252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6" authorId="0" shapeId="0" xr:uid="{77A09C97-87CB-455E-8D3E-44015ED0C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B27" authorId="0" shapeId="0" xr:uid="{D779AB71-2835-4F16-97DB-63083694675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단위</t>
        </r>
        <r>
          <rPr>
            <sz val="9"/>
            <color indexed="81"/>
            <rFont val="Tahoma"/>
            <family val="2"/>
          </rPr>
          <t xml:space="preserve"> m^2</t>
        </r>
      </text>
    </comment>
    <comment ref="C30" authorId="1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
RF_1
cm/year
= max * rf_1 / 10
</t>
        </r>
      </text>
    </comment>
    <comment ref="D3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RF_2
cm/year</t>
        </r>
      </text>
    </comment>
    <comment ref="E30" authorId="0" shapeId="0" xr:uid="{AD295D6B-119D-41A6-AC70-37FC6DE6BA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RF_3, </t>
        </r>
        <r>
          <rPr>
            <sz val="9"/>
            <color indexed="81"/>
            <rFont val="돋움"/>
            <family val="3"/>
            <charset val="129"/>
          </rPr>
          <t xml:space="preserve">함양량
</t>
        </r>
        <r>
          <rPr>
            <sz val="9"/>
            <color indexed="81"/>
            <rFont val="Tahoma"/>
            <family val="2"/>
          </rPr>
          <t xml:space="preserve">cm/year
</t>
        </r>
      </text>
    </comment>
    <comment ref="I31" authorId="0" shapeId="0" xr:uid="{3F9B8B66-8695-4F78-945B-174C07F37CD5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A33" authorId="0" shapeId="0" xr:uid="{19A30002-8C21-4737-A3EE-5E3782661A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= </t>
        </r>
        <r>
          <rPr>
            <sz val="9"/>
            <color indexed="81"/>
            <rFont val="돋움"/>
            <family val="3"/>
            <charset val="129"/>
          </rPr>
          <t>물량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  <r>
          <rPr>
            <sz val="9"/>
            <color indexed="81"/>
            <rFont val="Tahoma"/>
            <family val="2"/>
          </rPr>
          <t xml:space="preserve">depth = </t>
        </r>
        <r>
          <rPr>
            <sz val="9"/>
            <color indexed="81"/>
            <rFont val="돋움"/>
            <family val="3"/>
            <charset val="129"/>
          </rPr>
          <t xml:space="preserve">설치심도
</t>
        </r>
        <r>
          <rPr>
            <sz val="9"/>
            <color indexed="81"/>
            <rFont val="Tahoma"/>
            <family val="2"/>
          </rPr>
          <t xml:space="preserve">height = </t>
        </r>
        <r>
          <rPr>
            <sz val="9"/>
            <color indexed="81"/>
            <rFont val="돋움"/>
            <family val="3"/>
            <charset val="129"/>
          </rPr>
          <t xml:space="preserve">양정고
</t>
        </r>
        <r>
          <rPr>
            <sz val="9"/>
            <color indexed="81"/>
            <rFont val="Tahoma"/>
            <family val="2"/>
          </rPr>
          <t xml:space="preserve">sum = depth + height
e = </t>
        </r>
        <r>
          <rPr>
            <sz val="9"/>
            <color indexed="81"/>
            <rFont val="돋움"/>
            <family val="3"/>
            <charset val="129"/>
          </rPr>
          <t xml:space="preserve">효율값
</t>
        </r>
        <r>
          <rPr>
            <sz val="9"/>
            <color indexed="81"/>
            <rFont val="Tahoma"/>
            <family val="2"/>
          </rPr>
          <t xml:space="preserve">1, 2, 3, 5, 7.5 </t>
        </r>
        <r>
          <rPr>
            <sz val="9"/>
            <color indexed="81"/>
            <rFont val="돋움"/>
            <family val="3"/>
            <charset val="129"/>
          </rPr>
          <t>마력
결국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결정하는것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가지고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F33" authorId="0" shapeId="0" xr:uid="{AFC52BCD-6C61-43F6-98A7-1E86D86AB7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2022/6/24
ChaeSoo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체크하면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채수계획량
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풀면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양수량으로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산정함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AI4" authorId="0" shapeId="0" xr:uid="{536A4FB5-0205-4B5A-BEA9-6AAEC32761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T0
</t>
        </r>
        <r>
          <rPr>
            <sz val="9"/>
            <color indexed="81"/>
            <rFont val="돋움"/>
            <family val="3"/>
            <charset val="129"/>
          </rPr>
          <t>단계양수시험의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AJ4" authorId="0" shapeId="0" xr:uid="{5F31BAD3-DDE3-44DA-AE71-87A5D0918CE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S0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Q44" authorId="0" shapeId="0" xr:uid="{4BC3995B-3064-4561-AE5A-F2EA5298EAFB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Q48" authorId="0" shapeId="0" xr:uid="{12A80FA2-4F5A-4D99-A595-229C1110CC8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양수영향반경의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최소값을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B4" authorId="0" shapeId="0" xr:uid="{CEA90A17-186F-4819-AB1F-0EE0CD867EA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4" authorId="0" shapeId="0" xr:uid="{F7BF61A2-9227-4BD3-B53E-DA1F9497E90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4" authorId="0" shapeId="0" xr:uid="{4795F2F9-55A2-4AED-BD8C-8A2492499BC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4" authorId="0" shapeId="0" xr:uid="{F78FF08A-A2E9-4BEF-8C2A-6B1B835CCB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5" authorId="0" shapeId="0" xr:uid="{3233A713-A464-40BC-AC97-41FF37DE43B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5" authorId="0" shapeId="0" xr:uid="{F3F8A57A-C0B7-48DA-BA53-43FB8A3DFC7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5" authorId="0" shapeId="0" xr:uid="{35C43CEC-E989-42F1-BA68-4E42643EB3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5" authorId="0" shapeId="0" xr:uid="{EB875FF3-2EAF-4383-A8B9-AD8C692802E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6" authorId="0" shapeId="0" xr:uid="{5F1483B9-65DB-4E60-B87B-BE36615B4EE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6" authorId="0" shapeId="0" xr:uid="{2E81C254-C2E9-4686-8D85-F511C3D172E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6" authorId="0" shapeId="0" xr:uid="{A445FF58-15C7-4A43-B7C6-9BE62B43333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6" authorId="0" shapeId="0" xr:uid="{37F3C828-CBC3-48E5-BB26-CF649EE1D62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61C10846-217E-44BB-8167-A490C56F08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5" authorId="0" shapeId="0" xr:uid="{8E12DE9A-D7C7-47E2-B9FE-401C56577CB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DC0B804E-DD3C-42BD-8D6B-7DB2F5486B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31011E78-AB10-4159-BC07-9D6FBF3437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61AFB3D1-0E7A-4268-8C47-CCBAD21E49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C092EC72-BEA4-4197-846A-2BA228AA62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C70393B0-D5FB-49E1-BFA9-68C62FF4CB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36B4A1A6-65AE-4CEF-98BC-2A2702939E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F1532A43-C565-436E-BAC5-60657A6F3C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5AEB2CD9-7178-40E4-A87B-58A9B68F5C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900F1C3F-E687-45B9-B8B8-DF9F47463E1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92467686-D0CC-4AE8-B3C5-12B9BFFE4EF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208F7FCE-1AF7-45F4-9AFE-58C5C9CCBC3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24C55E6D-B2C9-4A7E-A9BB-A2932C0C07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2D04D86-5A3F-4DAB-AA90-308F178C29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A361DAE7-6024-4FA9-994B-96DA369B00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03E1DDBE-E124-4A6D-8E2F-F65468F2C2C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5" authorId="0" shapeId="0" xr:uid="{1675CD0B-DB07-430E-8627-7321F5AFCFC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3AB890C0-E24F-4DD3-BC39-751FFC97AF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DF0577A0-DD5D-4DF6-B155-2A182EFF3C9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6082F1E8-EFB1-4A26-92D2-742E3CC813D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C2053CB9-B864-4D22-B8AC-35B3AC5F54C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C79CA2A9-8A28-48B9-A7AC-127259CD427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E292A324-8639-4B4F-8CE3-59F1B794DF3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4B5A6BD9-CF23-46A2-B9BE-34601A06E90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0A9218CF-ABF6-46B6-AC26-3A0C3DCF13C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799B1B66-9D3A-4B68-AFB7-6D479A18A514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D7A2B36D-168F-4508-9E13-A665D7F28DB4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44632273-E8AB-4835-95EF-4FF1AAE56A9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07247044-C1FA-41EF-95E9-B1B60364A88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D8931A91-B358-422B-8EE0-0000F2A204B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82752F0E-CCD6-47F4-8BE1-6BA9F285805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4B9A68D8-1DC0-4D47-B6EC-83966D8D77B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E6479613-5685-4844-A057-133FC271FF6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3764D0C7-061A-4EAC-AE37-AC3526AD3DD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7B0D0775-9592-482B-80D4-47745C837DD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4B3A697D-57D4-48F4-A8DF-B2A3173BF0F0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4BAF2C03-3CEE-4483-A737-FECDE04A7E8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87376E07-DE73-464E-BC38-5A6436B78ED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025B35F0-EFBE-4D7F-A3F0-0C042B3E1F8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D257754F-EF7E-4781-9305-C1E63CA45FC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5" authorId="0" shapeId="0" xr:uid="{0207415B-82AC-4239-B77F-7FEC4D8D47D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69FDEEEE-435E-4E59-B5FA-A3A36B84CA4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CBC54D73-3976-4ACE-B497-FD7A8533AA2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07FA16D3-C761-4300-A286-E4A42FE530F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2E3163A2-F0E1-45E1-9BBC-AEFB562C469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55C00771-D007-4C94-971F-8C758116F2E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2B38CED7-DAF5-4579-988C-B6D049B9D7F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FCBAADB3-AD9B-4A61-A034-30669694422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A272C6A2-FD0E-4CD6-BB38-F1B4BF69553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C6C09A23-975A-4A7C-A2B3-1740E3E24A9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DC83DEC2-E495-4964-916A-02DB65496182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07576DB8-ADDF-4D6C-BDCB-3CF6EF18C6F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FC0DBF1E-AD5E-4937-8AF8-F1FD8C5396D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CD7506A4-8787-44E9-9A12-4A15B034529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99D70B33-78B0-418A-92A1-98714B91762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DCC543E8-35DC-424B-B90B-A2FAE34E3C7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B3827830-6331-407E-B0AC-BD9E73A45FC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AE4871DB-8C36-4B2F-87A7-839D0ABCBCB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61A3BA9E-6D22-4B1A-962E-57E1AC29A54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E9D8DB02-43A5-4D2F-907B-CB393A8FE3AB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50A72E25-17D0-44C0-9123-E7E3380FC7D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C56C4EF3-79B3-4015-A2AD-0209D7B16A6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5238A3-C404-4C8E-B743-574AEF018B65}" keepAlive="1" name="쿼리 - 표2" description="통합 문서의 '표2' 쿼리에 대한 연결입니다." type="5" refreshedVersion="0" background="1">
    <dbPr connection="Provider=Microsoft.Mashup.OleDb.1;Data Source=$Workbook$;Location=표2;Extended Properties=&quot;&quot;" command="SELECT * FROM [표2]"/>
  </connection>
</connections>
</file>

<file path=xl/sharedStrings.xml><?xml version="1.0" encoding="utf-8"?>
<sst xmlns="http://schemas.openxmlformats.org/spreadsheetml/2006/main" count="1355" uniqueCount="742">
  <si>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</si>
  <si>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</si>
  <si>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</si>
  <si>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</si>
  <si>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</si>
  <si>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</si>
  <si>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</si>
  <si>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</si>
  <si>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</si>
  <si>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</si>
  <si>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</si>
  <si>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</si>
  <si>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</si>
  <si>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</si>
  <si>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</si>
  <si>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</si>
  <si>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</si>
  <si>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</si>
  <si>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</si>
  <si>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</si>
  <si>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</si>
  <si>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</si>
  <si>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</si>
  <si>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</si>
  <si>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</si>
  <si>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30년 평균강우량</t>
    <phoneticPr fontId="7" type="noConversion"/>
  </si>
  <si>
    <t>유역면적</t>
    <phoneticPr fontId="7" type="noConversion"/>
  </si>
  <si>
    <t>적용함양계수</t>
    <phoneticPr fontId="7" type="noConversion"/>
  </si>
  <si>
    <t>강우량(mm)</t>
    <phoneticPr fontId="14" type="noConversion"/>
  </si>
  <si>
    <t>년도</t>
    <phoneticPr fontId="14" type="noConversion"/>
  </si>
  <si>
    <t>평균</t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</si>
  <si>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</si>
  <si>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</si>
  <si>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</si>
  <si>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</si>
  <si>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</si>
  <si>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</si>
  <si>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</si>
  <si>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</si>
  <si>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회사명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</si>
  <si>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</si>
  <si>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</si>
  <si>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</si>
  <si>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</si>
  <si>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</si>
  <si>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</si>
  <si>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</si>
  <si>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</si>
  <si>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허가번호</t>
    <phoneticPr fontId="7" type="noConversion"/>
  </si>
  <si>
    <t>W-1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</si>
  <si>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</si>
  <si>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</si>
  <si>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</si>
  <si>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</si>
  <si>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</si>
  <si>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</si>
  <si>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</si>
  <si>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</si>
  <si>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</si>
  <si>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</si>
  <si>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</si>
  <si>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</si>
  <si>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</si>
  <si>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</si>
  <si>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</si>
  <si>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</si>
  <si>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</si>
  <si>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</si>
  <si>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</si>
  <si>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</si>
  <si>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</si>
  <si>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</si>
  <si>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함양량(㎥/day)</t>
    <phoneticPr fontId="14" type="noConversion"/>
  </si>
  <si>
    <t>개발가능량(㎥/day)</t>
    <phoneticPr fontId="7" type="noConversion"/>
  </si>
  <si>
    <t>토출관</t>
    <phoneticPr fontId="14" type="noConversion"/>
  </si>
  <si>
    <t>자연수위</t>
    <phoneticPr fontId="14" type="noConversion"/>
  </si>
  <si>
    <t>기사용량(㎥/day)</t>
    <phoneticPr fontId="14" type="noConversion"/>
  </si>
  <si>
    <t>잔량(㎥/day)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</si>
  <si>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</si>
  <si>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</si>
  <si>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</si>
  <si>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</si>
  <si>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</si>
  <si>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</si>
  <si>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</si>
  <si>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</si>
  <si>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</si>
  <si>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</si>
  <si>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</si>
  <si>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</si>
  <si>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</si>
  <si>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</si>
  <si>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금회채수계획(㎥/day)</t>
    <phoneticPr fontId="14" type="noConversion"/>
  </si>
  <si>
    <t>10년빈도시최소강수량</t>
    <phoneticPr fontId="7" type="noConversion"/>
  </si>
  <si>
    <t>개발가능량(㎥/year)</t>
    <phoneticPr fontId="7" type="noConversion"/>
  </si>
  <si>
    <t>년함양량(㎥/year)</t>
    <phoneticPr fontId="14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</si>
  <si>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</si>
  <si>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</si>
  <si>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</si>
  <si>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</si>
  <si>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</si>
  <si>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Range</t>
    <phoneticPr fontId="14" type="noConversion"/>
  </si>
  <si>
    <t>Rating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</si>
  <si>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</si>
  <si>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</si>
  <si>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</si>
  <si>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</si>
  <si>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</si>
  <si>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</si>
  <si>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</si>
  <si>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</si>
  <si>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</si>
  <si>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</si>
  <si>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</si>
  <si>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</si>
  <si>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</si>
  <si>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</si>
  <si>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</si>
  <si>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</si>
  <si>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</si>
  <si>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</si>
  <si>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</si>
  <si>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</si>
  <si>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</si>
  <si>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</si>
  <si>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</si>
  <si>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</si>
  <si>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</si>
  <si>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</si>
  <si>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</si>
  <si>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</si>
  <si>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</si>
  <si>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</si>
  <si>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</si>
  <si>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</si>
  <si>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</si>
  <si>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</si>
  <si>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</si>
  <si>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</si>
  <si>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</si>
  <si>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</si>
  <si>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</si>
  <si>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</si>
  <si>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</si>
  <si>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</si>
  <si>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</si>
  <si>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</si>
  <si>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</si>
  <si>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</si>
  <si>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</si>
  <si>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</si>
  <si>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</si>
  <si>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</si>
  <si>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W-1</t>
    <phoneticPr fontId="7" type="noConversion"/>
  </si>
  <si>
    <t>W-2</t>
    <phoneticPr fontId="7" type="noConversion"/>
  </si>
  <si>
    <t>W-3</t>
    <phoneticPr fontId="7" type="noConversion"/>
  </si>
  <si>
    <t xml:space="preserve">위도 </t>
    <phoneticPr fontId="7" type="noConversion"/>
  </si>
  <si>
    <t>강우량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</si>
  <si>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</si>
  <si>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</si>
  <si>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</si>
  <si>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수위강하량</t>
    <phoneticPr fontId="7" type="noConversion"/>
  </si>
  <si>
    <t>함양량대비개발가능량</t>
    <phoneticPr fontId="7" type="noConversion"/>
  </si>
  <si>
    <t>10년간 평균강수량</t>
  </si>
  <si>
    <t>30년평균함양량</t>
  </si>
  <si>
    <t>결국 양정고를 결정하는것,</t>
  </si>
  <si>
    <t>양정고를 가지고 모터마력을 맟춘다.</t>
  </si>
  <si>
    <t>EC(μs/㎝)</t>
  </si>
  <si>
    <t>신규개발가능량</t>
    <phoneticPr fontId="7" type="noConversion"/>
  </si>
  <si>
    <t>채수계획
(㎥/일)</t>
    <phoneticPr fontId="7" type="noConversion"/>
  </si>
  <si>
    <t>30년평균</t>
    <phoneticPr fontId="7" type="noConversion"/>
  </si>
  <si>
    <t>10년평균</t>
    <phoneticPr fontId="7" type="noConversion"/>
  </si>
  <si>
    <t>년도</t>
    <phoneticPr fontId="7" type="noConversion"/>
  </si>
  <si>
    <t>Weight(일반)</t>
    <phoneticPr fontId="7" type="noConversion"/>
  </si>
  <si>
    <t>Weight(농약)</t>
    <phoneticPr fontId="14" type="noConversion"/>
  </si>
  <si>
    <t>Index(일반)</t>
    <phoneticPr fontId="14" type="noConversion"/>
  </si>
  <si>
    <t>Index(농약)</t>
    <phoneticPr fontId="14" type="noConversion"/>
  </si>
  <si>
    <t>금강/대청댐하류</t>
    <phoneticPr fontId="7" type="noConversion"/>
  </si>
  <si>
    <t>금강/미호천</t>
    <phoneticPr fontId="7" type="noConversion"/>
  </si>
  <si>
    <t>삽교천/삽교천</t>
    <phoneticPr fontId="7" type="noConversion"/>
  </si>
  <si>
    <t>Metamorphic/Igneous</t>
  </si>
  <si>
    <t>RF1 :</t>
    <phoneticPr fontId="7" type="noConversion"/>
  </si>
  <si>
    <t>RF2 :</t>
    <phoneticPr fontId="7" type="noConversion"/>
  </si>
  <si>
    <t>RF3 :</t>
    <phoneticPr fontId="7" type="noConversion"/>
  </si>
  <si>
    <t>RF1</t>
    <phoneticPr fontId="7" type="noConversion"/>
  </si>
  <si>
    <t>RF2</t>
    <phoneticPr fontId="7" type="noConversion"/>
  </si>
  <si>
    <t>RF3</t>
    <phoneticPr fontId="7" type="noConversion"/>
  </si>
  <si>
    <t>금강/갑천</t>
    <phoneticPr fontId="7" type="noConversion"/>
  </si>
  <si>
    <t>금강/금강공주</t>
    <phoneticPr fontId="7" type="noConversion"/>
  </si>
  <si>
    <t>금강/논산천</t>
  </si>
  <si>
    <t>금강/논산천</t>
    <phoneticPr fontId="7" type="noConversion"/>
  </si>
  <si>
    <t>금강/금강하구언</t>
    <phoneticPr fontId="7" type="noConversion"/>
  </si>
  <si>
    <t>금강서해/대호방조제</t>
    <phoneticPr fontId="7" type="noConversion"/>
  </si>
  <si>
    <t>금강서해/부남방조제</t>
    <phoneticPr fontId="7" type="noConversion"/>
  </si>
  <si>
    <t>금강서해/금강서해</t>
    <phoneticPr fontId="7" type="noConversion"/>
  </si>
  <si>
    <t>금강/대청댐</t>
    <phoneticPr fontId="7" type="noConversion"/>
  </si>
  <si>
    <t>name</t>
    <phoneticPr fontId="7" type="noConversion"/>
  </si>
  <si>
    <t>recharge</t>
    <phoneticPr fontId="7" type="noConversion"/>
  </si>
  <si>
    <t>ratio</t>
    <phoneticPr fontId="7" type="noConversion"/>
  </si>
  <si>
    <t>데이터는 그때, 그때 필요할때 입력해 놓으면 된다.</t>
    <phoneticPr fontId="7" type="noConversion"/>
  </si>
  <si>
    <t>기상청</t>
    <phoneticPr fontId="7" type="noConversion"/>
  </si>
  <si>
    <t>중권역</t>
    <phoneticPr fontId="7" type="noConversion"/>
  </si>
  <si>
    <t>A1_ge_OriginalSaveFile.xlsm</t>
    <phoneticPr fontId="7" type="noConversion"/>
  </si>
  <si>
    <t>한계양수량</t>
    <phoneticPr fontId="7" type="noConversion"/>
  </si>
  <si>
    <t>취수계획량</t>
    <phoneticPr fontId="7" type="noConversion"/>
  </si>
  <si>
    <t>Ratio</t>
    <phoneticPr fontId="7" type="noConversion"/>
  </si>
  <si>
    <t>Well</t>
    <phoneticPr fontId="7" type="noConversion"/>
  </si>
  <si>
    <t>한강/한강서울</t>
    <phoneticPr fontId="7" type="noConversion"/>
  </si>
  <si>
    <t>한강/한강고양</t>
    <phoneticPr fontId="7" type="noConversion"/>
  </si>
  <si>
    <t>회야수영/회야강</t>
    <phoneticPr fontId="7" type="noConversion"/>
  </si>
  <si>
    <t>Min</t>
    <phoneticPr fontId="7" type="noConversion"/>
  </si>
  <si>
    <t>Max</t>
    <phoneticPr fontId="7" type="noConversion"/>
  </si>
  <si>
    <t>적정취수량</t>
    <phoneticPr fontId="7" type="noConversion"/>
  </si>
  <si>
    <t>양수량</t>
    <phoneticPr fontId="7" type="noConversion"/>
  </si>
  <si>
    <t>우물손실계수(C)</t>
    <phoneticPr fontId="7" type="noConversion"/>
  </si>
  <si>
    <t>대수층손실계수 (B)</t>
    <phoneticPr fontId="7" type="noConversion"/>
  </si>
  <si>
    <t>공번</t>
    <phoneticPr fontId="7" type="noConversion"/>
  </si>
  <si>
    <t>케이싱</t>
    <phoneticPr fontId="7" type="noConversion"/>
  </si>
  <si>
    <t>우물</t>
    <phoneticPr fontId="7" type="noConversion"/>
  </si>
  <si>
    <t>대수층두께</t>
    <phoneticPr fontId="7" type="noConversion"/>
  </si>
  <si>
    <t>자연수위</t>
    <phoneticPr fontId="7" type="noConversion"/>
  </si>
  <si>
    <t>안정수위</t>
    <phoneticPr fontId="7" type="noConversion"/>
  </si>
  <si>
    <t>Rw</t>
    <phoneticPr fontId="7" type="noConversion"/>
  </si>
  <si>
    <t>Ds</t>
    <phoneticPr fontId="7" type="noConversion"/>
  </si>
  <si>
    <t>회복수위</t>
    <phoneticPr fontId="7" type="noConversion"/>
  </si>
  <si>
    <t>수위회복량</t>
    <phoneticPr fontId="7" type="noConversion"/>
  </si>
  <si>
    <t>W-1</t>
  </si>
  <si>
    <t>W-2</t>
  </si>
  <si>
    <t>W-3</t>
  </si>
  <si>
    <t>△s</t>
    <phoneticPr fontId="8" type="noConversion"/>
  </si>
  <si>
    <t>3-6, 조사공의 적정취수량및 취수계획량</t>
    <phoneticPr fontId="7" type="noConversion"/>
  </si>
  <si>
    <t>수리전도도, K</t>
    <phoneticPr fontId="7" type="noConversion"/>
  </si>
  <si>
    <t>저류계수, S</t>
    <phoneticPr fontId="7" type="noConversion"/>
  </si>
  <si>
    <t>3-4, aqtesolv 해석결과</t>
    <phoneticPr fontId="7" type="noConversion"/>
  </si>
  <si>
    <t>3-5, 수위회복시험 결과</t>
    <phoneticPr fontId="7" type="noConversion"/>
  </si>
  <si>
    <t>투수량계수T1</t>
    <phoneticPr fontId="7" type="noConversion"/>
  </si>
  <si>
    <t>저류계수S1</t>
    <phoneticPr fontId="7" type="noConversion"/>
  </si>
  <si>
    <t>적정취수량의 계산</t>
    <phoneticPr fontId="7" type="noConversion"/>
  </si>
  <si>
    <t>무경계조건</t>
  </si>
  <si>
    <t>WHPA 입력자료</t>
    <phoneticPr fontId="7" type="noConversion"/>
  </si>
  <si>
    <t>3-7, 조사공별 수리상수</t>
    <phoneticPr fontId="7" type="noConversion"/>
  </si>
  <si>
    <t>대수층두께, B</t>
    <phoneticPr fontId="7" type="noConversion"/>
  </si>
  <si>
    <t>수위강하량, delta h</t>
    <phoneticPr fontId="7" type="noConversion"/>
  </si>
  <si>
    <t>투수량계수, T</t>
    <phoneticPr fontId="7" type="noConversion"/>
  </si>
  <si>
    <t>금강서해/대호방조제</t>
  </si>
  <si>
    <t>낙동강/낙동강</t>
  </si>
  <si>
    <t>장기양수시험</t>
  </si>
  <si>
    <t>수위회복시험</t>
  </si>
  <si>
    <t>선택치</t>
  </si>
  <si>
    <t>취수계획량</t>
  </si>
  <si>
    <t>2.3 지하수 함양량 및 개발가능량 산정</t>
  </si>
  <si>
    <t>유역면적
(㎡)</t>
  </si>
  <si>
    <t>기사용량
(㎥/일)</t>
  </si>
  <si>
    <t>양수능력
(㎥/일)</t>
  </si>
  <si>
    <t>양수량
(㎥/일)</t>
  </si>
  <si>
    <t>유역면적(㎡)</t>
  </si>
  <si>
    <t>취수계획량
(㎥/일)</t>
  </si>
  <si>
    <t>잔량
(㎥/일)</t>
  </si>
  <si>
    <t>양수영향반경</t>
  </si>
  <si>
    <t>장축부</t>
  </si>
  <si>
    <t>구분</t>
  </si>
  <si>
    <t>굴착심도</t>
  </si>
  <si>
    <t>공   번</t>
  </si>
  <si>
    <t>펌프마력(HP)</t>
    <phoneticPr fontId="7" type="noConversion"/>
  </si>
  <si>
    <t>Well</t>
  </si>
  <si>
    <t>SkinFactor</t>
  </si>
  <si>
    <t>면적(㎡)</t>
  </si>
  <si>
    <t>30년평균
강우량(mm)</t>
  </si>
  <si>
    <t>함양량
(㎥/일)</t>
  </si>
  <si>
    <t>함양량대비
개발가능량(%)</t>
  </si>
  <si>
    <t>개발가능량
(㎥/일)</t>
  </si>
  <si>
    <t>기이용량
(㎥/일)</t>
  </si>
  <si>
    <t>신규
개발가능량
(㎥/일)</t>
  </si>
  <si>
    <t>공  번</t>
  </si>
  <si>
    <t>심  도</t>
  </si>
  <si>
    <t>양수량</t>
  </si>
  <si>
    <t>자연수위</t>
  </si>
  <si>
    <t>안정수위</t>
  </si>
  <si>
    <t>투수량계수</t>
  </si>
  <si>
    <t>저류계수</t>
  </si>
  <si>
    <t>2.6 대수층 특성 및 적정채수량 분석</t>
  </si>
  <si>
    <t>일반가중치</t>
  </si>
  <si>
    <t>농약가중치</t>
  </si>
  <si>
    <t>공번</t>
  </si>
  <si>
    <t>양수시작(분)</t>
  </si>
  <si>
    <t>지하수위</t>
  </si>
  <si>
    <t>수위강하량</t>
  </si>
  <si>
    <t>비양수량</t>
  </si>
  <si>
    <t>비수위강하량</t>
  </si>
  <si>
    <t>양수지속
시간(분)</t>
  </si>
  <si>
    <t xml:space="preserve">  표3-1, 단계양수시험일보</t>
  </si>
  <si>
    <t>1
2
3
4
5</t>
  </si>
  <si>
    <t>0
120
240
360
480</t>
  </si>
  <si>
    <t>120
120
120
120
120</t>
  </si>
  <si>
    <t>3-3, 장기양수시험결과 (Collect from yangsoo data)</t>
    <phoneticPr fontId="7" type="noConversion"/>
  </si>
  <si>
    <t>Rw</t>
  </si>
  <si>
    <t>T1</t>
  </si>
  <si>
    <t>T2</t>
  </si>
  <si>
    <t>shultze</t>
  </si>
  <si>
    <t>webber</t>
  </si>
  <si>
    <t>K</t>
  </si>
  <si>
    <t>대수층두께
daesoo</t>
  </si>
  <si>
    <t>jacob</t>
  </si>
  <si>
    <t>자연수위
natural level</t>
  </si>
  <si>
    <t>안정수위
stable level</t>
  </si>
  <si>
    <t>우물직경
radius</t>
  </si>
  <si>
    <t>관정심도
well depth</t>
  </si>
  <si>
    <t>케이싱
casing</t>
  </si>
  <si>
    <t>모터
hp</t>
  </si>
  <si>
    <t>T 평균
TA</t>
  </si>
  <si>
    <t>delta s</t>
  </si>
  <si>
    <t>취수계획량
Q</t>
  </si>
  <si>
    <t>안정수위
도달시간
time_</t>
  </si>
  <si>
    <t>회복수위
recover</t>
  </si>
  <si>
    <t>저류계수 
1단계
S1</t>
  </si>
  <si>
    <t>저류계수
2단계
S2</t>
  </si>
  <si>
    <t>1단계,
강하량
sd1</t>
  </si>
  <si>
    <t>4단계,
강하량
sd2</t>
  </si>
  <si>
    <t>스킨계수
skin</t>
  </si>
  <si>
    <t>유효
우물반경
er</t>
  </si>
  <si>
    <t>수위
강하량
delta h</t>
  </si>
  <si>
    <t>수위회복량
Sw</t>
  </si>
  <si>
    <t>1단계
양수량
q1</t>
  </si>
  <si>
    <t>C</t>
  </si>
  <si>
    <t>B</t>
  </si>
  <si>
    <t>Ratio</t>
  </si>
  <si>
    <t>한계
양수량
qh</t>
  </si>
  <si>
    <t>가채수량
qg</t>
  </si>
  <si>
    <t xml:space="preserve"> ㎥/일</t>
  </si>
  <si>
    <t>Q1, 수질 1번</t>
  </si>
  <si>
    <t>Q2, 수질 1번</t>
  </si>
  <si>
    <t>Q3, 수질 1번</t>
  </si>
  <si>
    <t>W-4</t>
  </si>
  <si>
    <t>W-5</t>
  </si>
  <si>
    <t>W-6</t>
  </si>
  <si>
    <t>영산강서해/와탄천</t>
  </si>
  <si>
    <t>조사지역의 월평균 강수량 , 10년 데이터 정리</t>
    <phoneticPr fontId="7" type="noConversion"/>
  </si>
  <si>
    <t>S2</t>
    <phoneticPr fontId="14" type="noConversion"/>
  </si>
  <si>
    <t>장축부</t>
    <phoneticPr fontId="7" type="noConversion"/>
  </si>
  <si>
    <t>단축부</t>
    <phoneticPr fontId="7" type="noConversion"/>
  </si>
  <si>
    <t>WHPA</t>
    <phoneticPr fontId="7" type="noConversion"/>
  </si>
  <si>
    <t>통계</t>
  </si>
  <si>
    <t>생활용</t>
  </si>
  <si>
    <t>농업용</t>
  </si>
  <si>
    <t>공업용</t>
  </si>
  <si>
    <t>유역내</t>
  </si>
  <si>
    <t>유역외</t>
  </si>
  <si>
    <t>효율표,</t>
  </si>
  <si>
    <t>DrasticIndex</t>
  </si>
  <si>
    <t>조사자</t>
  </si>
  <si>
    <t xml:space="preserve">산수개발(주) </t>
  </si>
  <si>
    <t>주식회사 한일지하수</t>
  </si>
  <si>
    <t>(주)현윤이앤씨</t>
  </si>
  <si>
    <t>(주)동해엔지니어링</t>
  </si>
  <si>
    <t>마인지오주식회사</t>
  </si>
  <si>
    <t>(주)나우</t>
  </si>
  <si>
    <t xml:space="preserve">삼원개발(주) </t>
  </si>
  <si>
    <t>(주)태양이엔지</t>
  </si>
  <si>
    <t>부여지하수개발주식회사</t>
  </si>
  <si>
    <t>(주)전일</t>
  </si>
  <si>
    <t>(주)세기</t>
  </si>
  <si>
    <t>보령기상청</t>
    <phoneticPr fontId="7" type="noConversion"/>
  </si>
  <si>
    <t>부여기상청</t>
    <phoneticPr fontId="7" type="noConversion"/>
  </si>
  <si>
    <t>대전기상청</t>
    <phoneticPr fontId="7" type="noConversion"/>
  </si>
  <si>
    <t>세종기상청</t>
    <phoneticPr fontId="7" type="noConversion"/>
  </si>
  <si>
    <t>서산기상청</t>
    <phoneticPr fontId="7" type="noConversion"/>
  </si>
  <si>
    <t>금산기상청</t>
    <phoneticPr fontId="7" type="noConversion"/>
  </si>
  <si>
    <t>청주기상청</t>
    <phoneticPr fontId="7" type="noConversion"/>
  </si>
  <si>
    <t>Area</t>
    <phoneticPr fontId="7" type="noConversion"/>
  </si>
  <si>
    <t>Clay Loam</t>
  </si>
  <si>
    <t>HapCheon</t>
    <phoneticPr fontId="7" type="noConversion"/>
  </si>
  <si>
    <t>합천</t>
    <phoneticPr fontId="7" type="noConversion"/>
  </si>
  <si>
    <t>HamYang</t>
    <phoneticPr fontId="7" type="noConversion"/>
  </si>
  <si>
    <t>함양군</t>
    <phoneticPr fontId="7" type="noConversion"/>
  </si>
  <si>
    <t>TongYeong</t>
    <phoneticPr fontId="7" type="noConversion"/>
  </si>
  <si>
    <t>통영</t>
    <phoneticPr fontId="7" type="noConversion"/>
  </si>
  <si>
    <t>ChangWon</t>
    <phoneticPr fontId="7" type="noConversion"/>
  </si>
  <si>
    <t>창원</t>
    <phoneticPr fontId="7" type="noConversion"/>
  </si>
  <si>
    <t>JinJu</t>
    <phoneticPr fontId="7" type="noConversion"/>
  </si>
  <si>
    <t>진주</t>
    <phoneticPr fontId="7" type="noConversion"/>
  </si>
  <si>
    <t>UiRyung</t>
    <phoneticPr fontId="7" type="noConversion"/>
  </si>
  <si>
    <t>의령군</t>
    <phoneticPr fontId="7" type="noConversion"/>
  </si>
  <si>
    <t>HeukSanDo</t>
    <phoneticPr fontId="7" type="noConversion"/>
  </si>
  <si>
    <t>흑산도</t>
    <phoneticPr fontId="7" type="noConversion"/>
  </si>
  <si>
    <t>YangSan</t>
    <phoneticPr fontId="7" type="noConversion"/>
  </si>
  <si>
    <t>양산시</t>
    <phoneticPr fontId="7" type="noConversion"/>
  </si>
  <si>
    <t>HaeNam</t>
    <phoneticPr fontId="7" type="noConversion"/>
  </si>
  <si>
    <t>해남</t>
    <phoneticPr fontId="7" type="noConversion"/>
  </si>
  <si>
    <t>SanCheong</t>
    <phoneticPr fontId="7" type="noConversion"/>
  </si>
  <si>
    <t>산청</t>
    <phoneticPr fontId="7" type="noConversion"/>
  </si>
  <si>
    <t>JinDoGun</t>
    <phoneticPr fontId="7" type="noConversion"/>
  </si>
  <si>
    <t>진도군</t>
    <phoneticPr fontId="7" type="noConversion"/>
  </si>
  <si>
    <t>BukChangWon</t>
    <phoneticPr fontId="7" type="noConversion"/>
  </si>
  <si>
    <t>북창원</t>
    <phoneticPr fontId="7" type="noConversion"/>
  </si>
  <si>
    <t>JinDo</t>
    <phoneticPr fontId="7" type="noConversion"/>
  </si>
  <si>
    <t>진도(첨철산)</t>
    <phoneticPr fontId="7" type="noConversion"/>
  </si>
  <si>
    <t>MilYang</t>
    <phoneticPr fontId="7" type="noConversion"/>
  </si>
  <si>
    <t>밀양</t>
    <phoneticPr fontId="7" type="noConversion"/>
  </si>
  <si>
    <t>JuAm</t>
    <phoneticPr fontId="7" type="noConversion"/>
  </si>
  <si>
    <t>주암</t>
    <phoneticPr fontId="7" type="noConversion"/>
  </si>
  <si>
    <t>NamHae</t>
    <phoneticPr fontId="7" type="noConversion"/>
  </si>
  <si>
    <t>남해</t>
    <phoneticPr fontId="7" type="noConversion"/>
  </si>
  <si>
    <t>JangHeung</t>
    <phoneticPr fontId="7" type="noConversion"/>
  </si>
  <si>
    <t>장흥</t>
    <phoneticPr fontId="7" type="noConversion"/>
  </si>
  <si>
    <t>KimHaeSi</t>
    <phoneticPr fontId="7" type="noConversion"/>
  </si>
  <si>
    <t>김해시</t>
    <phoneticPr fontId="7" type="noConversion"/>
  </si>
  <si>
    <t>WanDo</t>
    <phoneticPr fontId="7" type="noConversion"/>
  </si>
  <si>
    <t>완도</t>
    <phoneticPr fontId="7" type="noConversion"/>
  </si>
  <si>
    <t>GeoChang</t>
    <phoneticPr fontId="7" type="noConversion"/>
  </si>
  <si>
    <t>거창</t>
    <phoneticPr fontId="7" type="noConversion"/>
  </si>
  <si>
    <t>YeongGwangGun</t>
    <phoneticPr fontId="7" type="noConversion"/>
  </si>
  <si>
    <t>영광군</t>
    <phoneticPr fontId="7" type="noConversion"/>
  </si>
  <si>
    <t>GeoJae</t>
    <phoneticPr fontId="7" type="noConversion"/>
  </si>
  <si>
    <t>거제</t>
    <phoneticPr fontId="7" type="noConversion"/>
  </si>
  <si>
    <t>Yeosu</t>
    <phoneticPr fontId="7" type="noConversion"/>
  </si>
  <si>
    <t>여수</t>
    <phoneticPr fontId="7" type="noConversion"/>
  </si>
  <si>
    <t>PoHang</t>
    <phoneticPr fontId="7" type="noConversion"/>
  </si>
  <si>
    <t>포항</t>
    <phoneticPr fontId="7" type="noConversion"/>
  </si>
  <si>
    <t>Suncheon</t>
    <phoneticPr fontId="7" type="noConversion"/>
  </si>
  <si>
    <t>순천</t>
    <phoneticPr fontId="7" type="noConversion"/>
  </si>
  <si>
    <t>CheongSongGun</t>
    <phoneticPr fontId="7" type="noConversion"/>
  </si>
  <si>
    <t>청송군</t>
    <phoneticPr fontId="7" type="noConversion"/>
  </si>
  <si>
    <t>BosungGun</t>
    <phoneticPr fontId="7" type="noConversion"/>
  </si>
  <si>
    <t>보성군</t>
    <phoneticPr fontId="7" type="noConversion"/>
  </si>
  <si>
    <t>UiSeong</t>
    <phoneticPr fontId="7" type="noConversion"/>
  </si>
  <si>
    <t>의성</t>
    <phoneticPr fontId="7" type="noConversion"/>
  </si>
  <si>
    <t>MuAn</t>
    <phoneticPr fontId="7" type="noConversion"/>
  </si>
  <si>
    <t>무안</t>
    <phoneticPr fontId="7" type="noConversion"/>
  </si>
  <si>
    <t>UlJin</t>
    <phoneticPr fontId="7" type="noConversion"/>
  </si>
  <si>
    <t>울진</t>
    <phoneticPr fontId="7" type="noConversion"/>
  </si>
  <si>
    <t>MokPo</t>
    <phoneticPr fontId="7" type="noConversion"/>
  </si>
  <si>
    <t>목포</t>
    <phoneticPr fontId="7" type="noConversion"/>
  </si>
  <si>
    <t>UlLeungDo</t>
    <phoneticPr fontId="7" type="noConversion"/>
  </si>
  <si>
    <t>울릉도</t>
    <phoneticPr fontId="7" type="noConversion"/>
  </si>
  <si>
    <t>Gwangyang</t>
    <phoneticPr fontId="7" type="noConversion"/>
  </si>
  <si>
    <t>광양시</t>
    <phoneticPr fontId="7" type="noConversion"/>
  </si>
  <si>
    <t>YeongCheon</t>
    <phoneticPr fontId="7" type="noConversion"/>
  </si>
  <si>
    <t>영천</t>
    <phoneticPr fontId="7" type="noConversion"/>
  </si>
  <si>
    <t>Goheung</t>
    <phoneticPr fontId="7" type="noConversion"/>
  </si>
  <si>
    <t>고흥</t>
    <phoneticPr fontId="7" type="noConversion"/>
  </si>
  <si>
    <t>YeongJu</t>
    <phoneticPr fontId="7" type="noConversion"/>
  </si>
  <si>
    <t>영주</t>
    <phoneticPr fontId="7" type="noConversion"/>
  </si>
  <si>
    <t>Gangjingun</t>
    <phoneticPr fontId="7" type="noConversion"/>
  </si>
  <si>
    <t>강진군</t>
    <phoneticPr fontId="7" type="noConversion"/>
  </si>
  <si>
    <t>YeongDeok</t>
    <phoneticPr fontId="7" type="noConversion"/>
  </si>
  <si>
    <t>영덕</t>
    <phoneticPr fontId="7" type="noConversion"/>
  </si>
  <si>
    <t>Jungeup</t>
    <phoneticPr fontId="7" type="noConversion"/>
  </si>
  <si>
    <t>정읍</t>
    <phoneticPr fontId="7" type="noConversion"/>
  </si>
  <si>
    <t>AnDong</t>
    <phoneticPr fontId="7" type="noConversion"/>
  </si>
  <si>
    <t>안동</t>
    <phoneticPr fontId="7" type="noConversion"/>
  </si>
  <si>
    <t>JeonJu</t>
    <phoneticPr fontId="7" type="noConversion"/>
  </si>
  <si>
    <t>전주</t>
    <phoneticPr fontId="7" type="noConversion"/>
  </si>
  <si>
    <t>SangJu</t>
    <phoneticPr fontId="7" type="noConversion"/>
  </si>
  <si>
    <t>상주</t>
    <phoneticPr fontId="7" type="noConversion"/>
  </si>
  <si>
    <t>JangSsoo</t>
    <phoneticPr fontId="7" type="noConversion"/>
  </si>
  <si>
    <t>장수</t>
    <phoneticPr fontId="7" type="noConversion"/>
  </si>
  <si>
    <t>BongHwa</t>
    <phoneticPr fontId="7" type="noConversion"/>
  </si>
  <si>
    <t>봉화</t>
    <phoneticPr fontId="7" type="noConversion"/>
  </si>
  <si>
    <t>ImSil</t>
    <phoneticPr fontId="7" type="noConversion"/>
  </si>
  <si>
    <t>임실</t>
    <phoneticPr fontId="7" type="noConversion"/>
  </si>
  <si>
    <t>MunGyung</t>
    <phoneticPr fontId="7" type="noConversion"/>
  </si>
  <si>
    <t>문경</t>
    <phoneticPr fontId="7" type="noConversion"/>
  </si>
  <si>
    <t>SunchangGun</t>
    <phoneticPr fontId="7" type="noConversion"/>
  </si>
  <si>
    <t>순창군</t>
    <phoneticPr fontId="7" type="noConversion"/>
  </si>
  <si>
    <t>JaeJu</t>
    <phoneticPr fontId="7" type="noConversion"/>
  </si>
  <si>
    <t>제주</t>
    <phoneticPr fontId="7" type="noConversion"/>
  </si>
  <si>
    <t>GuMi</t>
    <phoneticPr fontId="7" type="noConversion"/>
  </si>
  <si>
    <t>구미</t>
    <phoneticPr fontId="7" type="noConversion"/>
  </si>
  <si>
    <t>BuAn</t>
    <phoneticPr fontId="7" type="noConversion"/>
  </si>
  <si>
    <t>부안</t>
    <phoneticPr fontId="7" type="noConversion"/>
  </si>
  <si>
    <t>SungSanPo</t>
    <phoneticPr fontId="7" type="noConversion"/>
  </si>
  <si>
    <t>성산포</t>
    <phoneticPr fontId="7" type="noConversion"/>
  </si>
  <si>
    <t>GyungJuSi</t>
    <phoneticPr fontId="7" type="noConversion"/>
  </si>
  <si>
    <t>경주시</t>
    <phoneticPr fontId="7" type="noConversion"/>
  </si>
  <si>
    <t>NamWon</t>
    <phoneticPr fontId="7" type="noConversion"/>
  </si>
  <si>
    <t>남원</t>
    <phoneticPr fontId="7" type="noConversion"/>
  </si>
  <si>
    <t>SungSan2</t>
    <phoneticPr fontId="7" type="noConversion"/>
  </si>
  <si>
    <t>성산</t>
    <phoneticPr fontId="7" type="noConversion"/>
  </si>
  <si>
    <t>BuSan</t>
    <phoneticPr fontId="7" type="noConversion"/>
  </si>
  <si>
    <t>부산</t>
    <phoneticPr fontId="7" type="noConversion"/>
  </si>
  <si>
    <t>GunSan</t>
    <phoneticPr fontId="7" type="noConversion"/>
  </si>
  <si>
    <t>군산</t>
    <phoneticPr fontId="7" type="noConversion"/>
  </si>
  <si>
    <t>SungSan</t>
    <phoneticPr fontId="7" type="noConversion"/>
  </si>
  <si>
    <t>WoolSan</t>
    <phoneticPr fontId="7" type="noConversion"/>
  </si>
  <si>
    <t>울산</t>
    <phoneticPr fontId="7" type="noConversion"/>
  </si>
  <si>
    <t>GochangGun</t>
    <phoneticPr fontId="7" type="noConversion"/>
  </si>
  <si>
    <t>고창군</t>
    <phoneticPr fontId="7" type="noConversion"/>
  </si>
  <si>
    <t>SeoGuiPo</t>
    <phoneticPr fontId="7" type="noConversion"/>
  </si>
  <si>
    <t>서귀포</t>
    <phoneticPr fontId="7" type="noConversion"/>
  </si>
  <si>
    <t>DaeGuGi</t>
    <phoneticPr fontId="7" type="noConversion"/>
  </si>
  <si>
    <t>대구(기)</t>
    <phoneticPr fontId="7" type="noConversion"/>
  </si>
  <si>
    <t>GoChang</t>
    <phoneticPr fontId="7" type="noConversion"/>
  </si>
  <si>
    <t>고창</t>
    <phoneticPr fontId="7" type="noConversion"/>
  </si>
  <si>
    <t>GoSan</t>
    <phoneticPr fontId="7" type="noConversion"/>
  </si>
  <si>
    <t>고산</t>
    <phoneticPr fontId="7" type="noConversion"/>
  </si>
  <si>
    <t>DaeGu</t>
    <phoneticPr fontId="7" type="noConversion"/>
  </si>
  <si>
    <t>대구</t>
    <phoneticPr fontId="7" type="noConversion"/>
  </si>
  <si>
    <t>GwangJu</t>
    <phoneticPr fontId="7" type="noConversion"/>
  </si>
  <si>
    <t>광주</t>
    <phoneticPr fontId="7" type="noConversion"/>
  </si>
  <si>
    <t>Switch</t>
    <phoneticPr fontId="7" type="noConversion"/>
  </si>
  <si>
    <t>Code</t>
    <phoneticPr fontId="7" type="noConversion"/>
  </si>
  <si>
    <t>HongCheon</t>
    <phoneticPr fontId="7" type="noConversion"/>
  </si>
  <si>
    <t>홍천</t>
    <phoneticPr fontId="7" type="noConversion"/>
  </si>
  <si>
    <t>TaeBaeg</t>
    <phoneticPr fontId="7" type="noConversion"/>
  </si>
  <si>
    <t>태백</t>
    <phoneticPr fontId="7" type="noConversion"/>
  </si>
  <si>
    <t>HongSung</t>
    <phoneticPr fontId="7" type="noConversion"/>
  </si>
  <si>
    <t>홍성</t>
    <phoneticPr fontId="7" type="noConversion"/>
  </si>
  <si>
    <t>ChunCheon</t>
    <phoneticPr fontId="7" type="noConversion"/>
  </si>
  <si>
    <t>춘천</t>
    <phoneticPr fontId="7" type="noConversion"/>
  </si>
  <si>
    <t>CheonAn</t>
    <phoneticPr fontId="7" type="noConversion"/>
  </si>
  <si>
    <t>천안</t>
    <phoneticPr fontId="7" type="noConversion"/>
  </si>
  <si>
    <t>CheolWon</t>
    <phoneticPr fontId="7" type="noConversion"/>
  </si>
  <si>
    <t>철원</t>
    <phoneticPr fontId="7" type="noConversion"/>
  </si>
  <si>
    <t>SeoSan</t>
    <phoneticPr fontId="7" type="noConversion"/>
  </si>
  <si>
    <t>서산</t>
    <phoneticPr fontId="7" type="noConversion"/>
  </si>
  <si>
    <t>JungSeonGun</t>
    <phoneticPr fontId="7" type="noConversion"/>
  </si>
  <si>
    <t>정선군</t>
    <phoneticPr fontId="7" type="noConversion"/>
  </si>
  <si>
    <t>BuYeo</t>
    <phoneticPr fontId="7" type="noConversion"/>
  </si>
  <si>
    <t>부여</t>
    <phoneticPr fontId="7" type="noConversion"/>
  </si>
  <si>
    <t>InJae</t>
    <phoneticPr fontId="7" type="noConversion"/>
  </si>
  <si>
    <t>인제</t>
    <phoneticPr fontId="7" type="noConversion"/>
  </si>
  <si>
    <t>PaJu</t>
    <phoneticPr fontId="7" type="noConversion"/>
  </si>
  <si>
    <t>파주</t>
    <phoneticPr fontId="7" type="noConversion"/>
  </si>
  <si>
    <t>BoRyung</t>
    <phoneticPr fontId="7" type="noConversion"/>
  </si>
  <si>
    <t>보령</t>
    <phoneticPr fontId="7" type="noConversion"/>
  </si>
  <si>
    <t>WonJu</t>
    <phoneticPr fontId="7" type="noConversion"/>
  </si>
  <si>
    <t>원주</t>
    <phoneticPr fontId="7" type="noConversion"/>
  </si>
  <si>
    <t>LeeCheon</t>
    <phoneticPr fontId="7" type="noConversion"/>
  </si>
  <si>
    <t>이천</t>
    <phoneticPr fontId="7" type="noConversion"/>
  </si>
  <si>
    <t>GeumSan</t>
    <phoneticPr fontId="7" type="noConversion"/>
  </si>
  <si>
    <t>금산</t>
    <phoneticPr fontId="7" type="noConversion"/>
  </si>
  <si>
    <t>YoungWol</t>
    <phoneticPr fontId="7" type="noConversion"/>
  </si>
  <si>
    <t>영월</t>
    <phoneticPr fontId="7" type="noConversion"/>
  </si>
  <si>
    <t>YangPyung</t>
    <phoneticPr fontId="7" type="noConversion"/>
  </si>
  <si>
    <t>양평</t>
    <phoneticPr fontId="7" type="noConversion"/>
  </si>
  <si>
    <t>SeJong</t>
    <phoneticPr fontId="7" type="noConversion"/>
  </si>
  <si>
    <t>세종</t>
    <phoneticPr fontId="7" type="noConversion"/>
  </si>
  <si>
    <t>SokCho</t>
    <phoneticPr fontId="7" type="noConversion"/>
  </si>
  <si>
    <t>속초</t>
    <phoneticPr fontId="7" type="noConversion"/>
  </si>
  <si>
    <t>SuWon</t>
    <phoneticPr fontId="7" type="noConversion"/>
  </si>
  <si>
    <t>수원</t>
    <phoneticPr fontId="7" type="noConversion"/>
  </si>
  <si>
    <t>Table6</t>
  </si>
  <si>
    <t>제주도</t>
    <phoneticPr fontId="7" type="noConversion"/>
  </si>
  <si>
    <t>DaeJeon</t>
    <phoneticPr fontId="7" type="noConversion"/>
  </si>
  <si>
    <t>대전</t>
    <phoneticPr fontId="7" type="noConversion"/>
  </si>
  <si>
    <t>Samcheok</t>
  </si>
  <si>
    <t>삼척</t>
    <phoneticPr fontId="7" type="noConversion"/>
  </si>
  <si>
    <t>DongDuCheon</t>
    <phoneticPr fontId="7" type="noConversion"/>
  </si>
  <si>
    <t>동두천</t>
    <phoneticPr fontId="7" type="noConversion"/>
  </si>
  <si>
    <t>Table5</t>
  </si>
  <si>
    <t>경상도</t>
    <phoneticPr fontId="7" type="noConversion"/>
  </si>
  <si>
    <t>ChungJu</t>
    <phoneticPr fontId="7" type="noConversion"/>
  </si>
  <si>
    <t>충주</t>
    <phoneticPr fontId="7" type="noConversion"/>
  </si>
  <si>
    <t>BukChunCheon</t>
    <phoneticPr fontId="7" type="noConversion"/>
  </si>
  <si>
    <t>북춘천</t>
    <phoneticPr fontId="7" type="noConversion"/>
  </si>
  <si>
    <t>InCheon</t>
    <phoneticPr fontId="7" type="noConversion"/>
  </si>
  <si>
    <t>인천</t>
    <phoneticPr fontId="7" type="noConversion"/>
  </si>
  <si>
    <t>Table4</t>
  </si>
  <si>
    <t>전라도</t>
    <phoneticPr fontId="7" type="noConversion"/>
  </si>
  <si>
    <t>ChuPungNyeong</t>
    <phoneticPr fontId="7" type="noConversion"/>
  </si>
  <si>
    <t>추풍령</t>
    <phoneticPr fontId="7" type="noConversion"/>
  </si>
  <si>
    <t xml:space="preserve">NorthGangNeung </t>
    <phoneticPr fontId="7" type="noConversion"/>
  </si>
  <si>
    <t>북강릉</t>
    <phoneticPr fontId="7" type="noConversion"/>
  </si>
  <si>
    <t>BaengNyeongDo</t>
    <phoneticPr fontId="7" type="noConversion"/>
  </si>
  <si>
    <t>백령도</t>
    <phoneticPr fontId="7" type="noConversion"/>
  </si>
  <si>
    <t>Table3</t>
  </si>
  <si>
    <t>충청도</t>
    <phoneticPr fontId="7" type="noConversion"/>
  </si>
  <si>
    <t>CheongJu</t>
    <phoneticPr fontId="7" type="noConversion"/>
  </si>
  <si>
    <t>청주</t>
    <phoneticPr fontId="7" type="noConversion"/>
  </si>
  <si>
    <t>DongHae</t>
    <phoneticPr fontId="7" type="noConversion"/>
  </si>
  <si>
    <t>동해</t>
    <phoneticPr fontId="7" type="noConversion"/>
  </si>
  <si>
    <t>GangHwa</t>
    <phoneticPr fontId="7" type="noConversion"/>
  </si>
  <si>
    <t>강화</t>
    <phoneticPr fontId="7" type="noConversion"/>
  </si>
  <si>
    <t>Table2</t>
  </si>
  <si>
    <t>강원도</t>
    <phoneticPr fontId="7" type="noConversion"/>
  </si>
  <si>
    <t>JaeCheon</t>
    <phoneticPr fontId="7" type="noConversion"/>
  </si>
  <si>
    <t>제천</t>
    <phoneticPr fontId="7" type="noConversion"/>
  </si>
  <si>
    <t>DaeGwallYeong</t>
    <phoneticPr fontId="7" type="noConversion"/>
  </si>
  <si>
    <t>대관령</t>
    <phoneticPr fontId="7" type="noConversion"/>
  </si>
  <si>
    <t>Seoul</t>
    <phoneticPr fontId="7" type="noConversion"/>
  </si>
  <si>
    <t>서울</t>
    <phoneticPr fontId="7" type="noConversion"/>
  </si>
  <si>
    <t>Table1</t>
    <phoneticPr fontId="7" type="noConversion"/>
  </si>
  <si>
    <t>서울경기</t>
    <phoneticPr fontId="7" type="noConversion"/>
  </si>
  <si>
    <t>BoEun</t>
    <phoneticPr fontId="7" type="noConversion"/>
  </si>
  <si>
    <t>보은</t>
    <phoneticPr fontId="7" type="noConversion"/>
  </si>
  <si>
    <t>GangNeung</t>
    <phoneticPr fontId="7" type="noConversion"/>
  </si>
  <si>
    <t>강릉</t>
    <phoneticPr fontId="7" type="noConversion"/>
  </si>
  <si>
    <t>GwanAkSan</t>
    <phoneticPr fontId="7" type="noConversion"/>
  </si>
  <si>
    <t>관악산</t>
    <phoneticPr fontId="7" type="noConversion"/>
  </si>
  <si>
    <t>행정구역</t>
    <phoneticPr fontId="7" type="noConversion"/>
  </si>
  <si>
    <t>지역구분</t>
    <phoneticPr fontId="7" type="noConversion"/>
  </si>
  <si>
    <t>Radius</t>
    <phoneticPr fontId="7" type="noConversion"/>
  </si>
  <si>
    <t>구 분</t>
    <phoneticPr fontId="14" type="noConversion"/>
  </si>
  <si>
    <t>2월</t>
    <phoneticPr fontId="7" type="noConversion"/>
  </si>
  <si>
    <t>3월</t>
    <phoneticPr fontId="7" type="noConversion"/>
  </si>
  <si>
    <t>4월</t>
    <phoneticPr fontId="7" type="noConversion"/>
  </si>
  <si>
    <t>5월</t>
    <phoneticPr fontId="7" type="noConversion"/>
  </si>
  <si>
    <t>6월</t>
    <phoneticPr fontId="7" type="noConversion"/>
  </si>
  <si>
    <t>7월</t>
    <phoneticPr fontId="7" type="noConversion"/>
  </si>
  <si>
    <t>8월</t>
    <phoneticPr fontId="7" type="noConversion"/>
  </si>
  <si>
    <t>9월</t>
    <phoneticPr fontId="7" type="noConversion"/>
  </si>
  <si>
    <t>10월</t>
    <phoneticPr fontId="7" type="noConversion"/>
  </si>
  <si>
    <t>11월</t>
    <phoneticPr fontId="7" type="noConversion"/>
  </si>
  <si>
    <t>12월</t>
    <phoneticPr fontId="7" type="noConversion"/>
  </si>
  <si>
    <t>S0</t>
    <phoneticPr fontId="7" type="noConversion"/>
  </si>
  <si>
    <t>T0</t>
    <phoneticPr fontId="7" type="noConversion"/>
  </si>
  <si>
    <t>ER Mode</t>
    <phoneticPr fontId="7" type="noConversion"/>
  </si>
  <si>
    <t>ER1</t>
    <phoneticPr fontId="7" type="noConversion"/>
  </si>
  <si>
    <t>ER2</t>
    <phoneticPr fontId="7" type="noConversion"/>
  </si>
  <si>
    <t>ER3</t>
    <phoneticPr fontId="7" type="noConversion"/>
  </si>
  <si>
    <t>성산2</t>
    <phoneticPr fontId="7" type="noConversion"/>
  </si>
  <si>
    <t>(합)수도건설</t>
    <phoneticPr fontId="7" type="noConversion"/>
  </si>
  <si>
    <t>토출구경</t>
    <phoneticPr fontId="7" type="noConversion"/>
  </si>
  <si>
    <t>모터심도</t>
    <phoneticPr fontId="7" type="noConversion"/>
  </si>
  <si>
    <t>2024년</t>
    <phoneticPr fontId="7" type="noConversion"/>
  </si>
  <si>
    <t>W-7</t>
  </si>
  <si>
    <t>W-8</t>
  </si>
  <si>
    <t>W-9</t>
  </si>
  <si>
    <t>안정수위 최대, 최소값 확인</t>
    <phoneticPr fontId="7" type="noConversion"/>
  </si>
  <si>
    <t>비교적낮음</t>
    <phoneticPr fontId="7" type="noConversion"/>
  </si>
  <si>
    <t>영향반경최대</t>
    <phoneticPr fontId="7" type="noConversion"/>
  </si>
  <si>
    <t>영향반경최소</t>
    <phoneticPr fontId="7" type="noConversion"/>
  </si>
  <si>
    <t>장축부 최대</t>
    <phoneticPr fontId="7" type="noConversion"/>
  </si>
  <si>
    <t>장축부 최소</t>
    <phoneticPr fontId="7" type="noConversion"/>
  </si>
  <si>
    <t>(주)우경엔지니어링</t>
    <phoneticPr fontId="7" type="noConversion"/>
  </si>
  <si>
    <r>
      <t>(</t>
    </r>
    <r>
      <rPr>
        <sz val="11"/>
        <rFont val="맑은 고딕"/>
        <family val="3"/>
        <charset val="129"/>
      </rPr>
      <t>합</t>
    </r>
    <r>
      <rPr>
        <sz val="11"/>
        <rFont val="Consolas"/>
        <family val="3"/>
      </rPr>
      <t>)</t>
    </r>
    <r>
      <rPr>
        <sz val="11"/>
        <rFont val="맑은 고딕"/>
        <family val="3"/>
        <charset val="129"/>
      </rPr>
      <t>청대개발</t>
    </r>
    <phoneticPr fontId="7" type="noConversion"/>
  </si>
  <si>
    <t>최대</t>
    <phoneticPr fontId="7" type="noConversion"/>
  </si>
  <si>
    <t>최소</t>
    <phoneticPr fontId="7" type="noConversion"/>
  </si>
  <si>
    <t>평균</t>
    <phoneticPr fontId="7" type="noConversion"/>
  </si>
  <si>
    <r>
      <rPr>
        <b/>
        <sz val="12"/>
        <rFont val="돋움"/>
        <family val="3"/>
        <charset val="129"/>
      </rPr>
      <t>영향반경의</t>
    </r>
    <r>
      <rPr>
        <b/>
        <sz val="12"/>
        <rFont val="Consolas"/>
        <family val="3"/>
      </rPr>
      <t xml:space="preserve"> </t>
    </r>
    <r>
      <rPr>
        <b/>
        <sz val="12"/>
        <rFont val="돋움"/>
        <family val="3"/>
        <charset val="129"/>
      </rPr>
      <t>최대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최소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평균값</t>
    </r>
    <phoneticPr fontId="7" type="noConversion"/>
  </si>
  <si>
    <t>서두 보고서 요약부분에 ...</t>
    <phoneticPr fontId="7" type="noConversion"/>
  </si>
  <si>
    <t>양수지속시간</t>
    <phoneticPr fontId="7" type="noConversion"/>
  </si>
  <si>
    <t>안정수위도달시간</t>
    <phoneticPr fontId="7" type="noConversion"/>
  </si>
  <si>
    <t>3-6, 수리상수산정결과</t>
  </si>
  <si>
    <t>대웅엔지니어링 주식회사</t>
    <phoneticPr fontId="7" type="noConversion"/>
  </si>
  <si>
    <t>Write_RadiusOfInfluence</t>
  </si>
  <si>
    <t>Write_DrasticIndex</t>
  </si>
  <si>
    <t>Write26_AquiferCharacterization</t>
  </si>
  <si>
    <t>Write26_Right_AquiferCharacterization</t>
  </si>
  <si>
    <t>WriteData37_RadiusOfInfluence</t>
  </si>
  <si>
    <t>WriteWellData</t>
  </si>
  <si>
    <t>Write_Tentative_water_intake</t>
  </si>
  <si>
    <t>WriteWellData36</t>
  </si>
  <si>
    <t>W-4</t>
    <phoneticPr fontId="7" type="noConversion"/>
  </si>
  <si>
    <t>W-5</t>
    <phoneticPr fontId="7" type="noConversion"/>
  </si>
  <si>
    <t>W-10</t>
  </si>
  <si>
    <t>W-11</t>
  </si>
  <si>
    <t>W-12</t>
  </si>
  <si>
    <t>W-13</t>
  </si>
  <si>
    <t>W-14</t>
  </si>
  <si>
    <t>W-15</t>
  </si>
  <si>
    <t>W-16</t>
  </si>
  <si>
    <t>W-17</t>
  </si>
  <si>
    <t>W-18</t>
  </si>
  <si>
    <t>W-19</t>
  </si>
  <si>
    <t>W-20</t>
  </si>
  <si>
    <t>W-21</t>
  </si>
  <si>
    <t>W-22</t>
  </si>
  <si>
    <t>W-23</t>
  </si>
  <si>
    <t>W-24</t>
  </si>
  <si>
    <t>W-25</t>
  </si>
  <si>
    <t>W-26</t>
  </si>
  <si>
    <t>W-27</t>
  </si>
  <si>
    <t>W-28</t>
  </si>
  <si>
    <t>W-29</t>
  </si>
  <si>
    <t>W-30</t>
  </si>
  <si>
    <t>수리상수산정결과</t>
  </si>
  <si>
    <t>장기양수시험</t>
    <phoneticPr fontId="7" type="noConversion"/>
  </si>
  <si>
    <t>수위회복시험</t>
    <phoneticPr fontId="7" type="noConversion"/>
  </si>
  <si>
    <t>선택치</t>
    <phoneticPr fontId="7" type="noConversion"/>
  </si>
  <si>
    <t>포획기간</t>
  </si>
  <si>
    <t>투수량계수,평균</t>
  </si>
  <si>
    <t>공극율</t>
  </si>
  <si>
    <t>대수층두께</t>
  </si>
  <si>
    <t>대수층두께평균</t>
  </si>
  <si>
    <t>유향</t>
  </si>
  <si>
    <t>유향평균</t>
  </si>
  <si>
    <t>동수경사</t>
  </si>
  <si>
    <t>동수경사평균</t>
  </si>
  <si>
    <t>비고</t>
  </si>
  <si>
    <t>T</t>
    <phoneticPr fontId="7" type="noConversion"/>
  </si>
  <si>
    <t>S</t>
    <phoneticPr fontId="7" type="noConversion"/>
  </si>
  <si>
    <t>Schultze</t>
    <phoneticPr fontId="7" type="noConversion"/>
  </si>
  <si>
    <t>Avg</t>
    <phoneticPr fontId="7" type="noConversion"/>
  </si>
  <si>
    <t>Skin</t>
    <phoneticPr fontId="7" type="noConversion"/>
  </si>
  <si>
    <t>R.O.I</t>
    <phoneticPr fontId="7" type="noConversion"/>
  </si>
  <si>
    <t>Jcob</t>
    <phoneticPr fontId="7" type="noConversion"/>
  </si>
  <si>
    <t>Recover T</t>
    <phoneticPr fontId="7" type="noConversion"/>
  </si>
  <si>
    <t>중간정도</t>
    <phoneticPr fontId="7" type="noConversion"/>
  </si>
  <si>
    <t>A2_ge_OriginalSaveFile.xlsm</t>
    <phoneticPr fontId="7" type="noConversion"/>
  </si>
  <si>
    <t>W-2</t>
    <phoneticPr fontId="14" type="noConversion"/>
  </si>
  <si>
    <t>W-6</t>
    <phoneticPr fontId="7" type="noConversion"/>
  </si>
  <si>
    <t>W-7</t>
    <phoneticPr fontId="7" type="noConversion"/>
  </si>
  <si>
    <t xml:space="preserve"> 전의면 유천리 227번지 </t>
  </si>
  <si>
    <t>50
63
77
91
105</t>
  </si>
  <si>
    <t>16.77
21.96
27.79
34.30
44.23</t>
  </si>
  <si>
    <t>15.57
20.76
26.59
33.10
43.03</t>
  </si>
  <si>
    <t>3.211
3.035
2.909
2.749
2.432</t>
  </si>
  <si>
    <t>0.311
0.330
0.344
0.364
0.411</t>
  </si>
  <si>
    <t>94
120
146
172
198</t>
  </si>
  <si>
    <t>22.58
28.01
34.12
40.92
51.30</t>
  </si>
  <si>
    <t>16.28
21.71
27.82
34.62
45.00</t>
  </si>
  <si>
    <t>5.774
5.527
5.255
4.968
4.396</t>
  </si>
  <si>
    <t>0.173
0.181
0.190
0.201
0.228</t>
  </si>
  <si>
    <t>157
200
244
287
330</t>
  </si>
  <si>
    <t>25.61
32.61
40.49
49.27
62.67</t>
  </si>
  <si>
    <t>21.01
28.01
35.89
44.67
58.07</t>
  </si>
  <si>
    <t>7.473
7.140
6.797
6.425
5.684</t>
  </si>
  <si>
    <t>0.134
0.140
0.147
0.156
0.176</t>
  </si>
  <si>
    <t>20.99
26.83
33.39
40.70
51.86</t>
  </si>
  <si>
    <t>17.49
23.33
29.89
37.20
48.36</t>
  </si>
  <si>
    <t>5.374
5.144
4.891
4.624
4.090</t>
  </si>
  <si>
    <t>0.186
0.194
0.204
0.216
0.244</t>
  </si>
  <si>
    <t>221
281
342
402
462</t>
  </si>
  <si>
    <t>189
240
292
344
396</t>
  </si>
  <si>
    <t>높음</t>
    <phoneticPr fontId="7" type="noConversion"/>
  </si>
  <si>
    <t>5.54
6.39
7.35
8.42
10.04</t>
  </si>
  <si>
    <t>2.54
3.39
4.35
5.42
7.04</t>
  </si>
  <si>
    <t>87.008
82.891
78.552
74.170
65.668</t>
  </si>
  <si>
    <t>0.011
0.012
0.013
0.013
0.015</t>
  </si>
  <si>
    <t>6.72
7.39
8.15
9.00
10.29</t>
  </si>
  <si>
    <t>2.02
2.69
3.45
4.30
5.59</t>
  </si>
  <si>
    <t>93.564
89.219
84.754
80.000
70.769</t>
  </si>
  <si>
    <t>0.011
0.011
0.012
0.013
0.014</t>
  </si>
  <si>
    <t>6.96
7.62
8.35
9.18
10.43</t>
  </si>
  <si>
    <t>1.96
2.62
3.35
4.18
5.43</t>
  </si>
  <si>
    <t>96.429
91.603
87.284
82.297
72.855</t>
  </si>
  <si>
    <t>0.010
0.011
0.011
0.012
0.014</t>
  </si>
  <si>
    <t>5년</t>
    <phoneticPr fontId="7" type="noConversion"/>
  </si>
  <si>
    <t>굴착직경</t>
    <phoneticPr fontId="7" type="noConversion"/>
  </si>
  <si>
    <t>케이싱심도</t>
    <phoneticPr fontId="7" type="noConversion"/>
  </si>
  <si>
    <t>2024 경도빌딩(한미사)  지열시스템공사</t>
    <phoneticPr fontId="7" type="noConversion"/>
  </si>
  <si>
    <t>W1</t>
    <phoneticPr fontId="7" type="noConversion"/>
  </si>
  <si>
    <t>W2</t>
    <phoneticPr fontId="7" type="noConversion"/>
  </si>
  <si>
    <t>서울경기</t>
  </si>
  <si>
    <t>서울</t>
  </si>
  <si>
    <t>서울기상청</t>
    <phoneticPr fontId="7" type="noConversion"/>
  </si>
  <si>
    <t>한강/한강서울</t>
  </si>
  <si>
    <t>2024/06/09일</t>
    <phoneticPr fontId="7" type="noConversion"/>
  </si>
  <si>
    <t>A3_ge_OriginalSaveFile.xlsm</t>
    <phoneticPr fontId="7" type="noConversion"/>
  </si>
  <si>
    <t>W3</t>
    <phoneticPr fontId="7" type="noConversion"/>
  </si>
  <si>
    <t>W-3</t>
    <phoneticPr fontId="1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</si>
</sst>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4">
    <numFmt numFmtId="41" formatCode="_-* #,##0_-;\-* #,##0_-;_-* &quot;-&quot;_-;_-@_-"/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#,##0.0_);[Red]\(#,##0.0\)"/>
    <numFmt numFmtId="185" formatCode="#,##0.0_ "/>
    <numFmt numFmtId="186" formatCode="0.0_ "/>
    <numFmt numFmtId="187" formatCode="#,##0_ "/>
    <numFmt numFmtId="188" formatCode="0.0"/>
    <numFmt numFmtId="189" formatCode="_(* #,##0.0_);_(* \(#,##0.0\);_(* &quot;-&quot;??_);_(@_)"/>
    <numFmt numFmtId="190" formatCode="#,##0_ ;[Red]\-#,##0\ "/>
    <numFmt numFmtId="191" formatCode="yy&quot;-&quot;m&quot;-&quot;d\ h:mm;@"/>
    <numFmt numFmtId="192" formatCode="#,##0.00_ "/>
    <numFmt numFmtId="193" formatCode="0.0000"/>
    <numFmt numFmtId="194" formatCode="0.00_ "/>
    <numFmt numFmtId="195" formatCode="0.0\ &quot;도&quot;"/>
    <numFmt numFmtId="196" formatCode="0.000\ &quot;%&quot;"/>
    <numFmt numFmtId="197" formatCode="yyyy&quot;-&quot;mm&quot;-&quot;dd\ h:mm;@"/>
    <numFmt numFmtId="198" formatCode="0_);[Red]\(0\)"/>
    <numFmt numFmtId="199" formatCode="0.0%"/>
    <numFmt numFmtId="200" formatCode="#,##0.0"/>
    <numFmt numFmtId="201" formatCode="#,##0.0;\-#,##0.0"/>
    <numFmt numFmtId="202" formatCode="0.000"/>
    <numFmt numFmtId="203" formatCode="000\-000"/>
    <numFmt numFmtId="204" formatCode="0.0000000"/>
    <numFmt numFmtId="205" formatCode="0.0000.E+00"/>
    <numFmt numFmtId="206" formatCode="0."/>
  </numFmts>
  <fonts count="67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i/>
      <sz val="14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0"/>
      <name val="맑은 고딕"/>
      <family val="3"/>
      <charset val="129"/>
    </font>
    <font>
      <b/>
      <i/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i/>
      <sz val="11"/>
      <color rgb="FF00000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sz val="11"/>
      <name val="Consolas"/>
      <family val="3"/>
    </font>
    <font>
      <b/>
      <sz val="10"/>
      <color theme="0"/>
      <name val="맑은 고딕"/>
      <family val="3"/>
      <charset val="129"/>
    </font>
    <font>
      <b/>
      <i/>
      <sz val="11"/>
      <color theme="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b/>
      <sz val="11"/>
      <name val="돋움"/>
      <family val="3"/>
      <charset val="129"/>
    </font>
    <font>
      <b/>
      <i/>
      <sz val="11"/>
      <name val="맑은 고딕"/>
      <family val="3"/>
      <charset val="129"/>
    </font>
    <font>
      <i/>
      <sz val="11"/>
      <name val="맑은 고딕"/>
      <family val="3"/>
      <charset val="129"/>
    </font>
    <font>
      <i/>
      <sz val="12"/>
      <name val="맑은 고딕"/>
      <family val="3"/>
      <charset val="129"/>
    </font>
    <font>
      <i/>
      <sz val="11"/>
      <color theme="1"/>
      <name val="맑은 고딕"/>
      <family val="3"/>
      <charset val="129"/>
    </font>
    <font>
      <b/>
      <i/>
      <sz val="10"/>
      <color theme="1"/>
      <name val="맑은 고딕"/>
      <family val="3"/>
      <charset val="129"/>
    </font>
    <font>
      <b/>
      <sz val="12"/>
      <color rgb="FF000000"/>
      <name val="HY신명조"/>
      <family val="1"/>
      <charset val="129"/>
    </font>
    <font>
      <b/>
      <sz val="12"/>
      <color theme="1"/>
      <name val="Arial"/>
      <family val="2"/>
    </font>
    <font>
      <b/>
      <i/>
      <sz val="12"/>
      <name val="맑은 고딕"/>
      <family val="3"/>
      <charset val="129"/>
    </font>
    <font>
      <sz val="10.5"/>
      <name val="맑은 고딕"/>
      <family val="3"/>
      <charset val="129"/>
    </font>
    <font>
      <sz val="12"/>
      <color theme="1"/>
      <name val="맑은 고딕"/>
      <family val="3"/>
      <charset val="129"/>
    </font>
    <font>
      <b/>
      <i/>
      <sz val="20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2"/>
      <color theme="0"/>
      <name val="맑은 고딕"/>
      <family val="3"/>
      <charset val="129"/>
    </font>
    <font>
      <b/>
      <sz val="12"/>
      <name val="돋움"/>
      <family val="3"/>
      <charset val="129"/>
    </font>
    <font>
      <b/>
      <sz val="11"/>
      <color rgb="FFFF0000"/>
      <name val="돋움"/>
      <family val="3"/>
      <charset val="129"/>
    </font>
    <font>
      <b/>
      <sz val="12"/>
      <name val="Consolas"/>
      <family val="3"/>
    </font>
    <font>
      <i/>
      <sz val="11"/>
      <name val="맑은 고딕"/>
      <family val="3"/>
      <charset val="129"/>
      <scheme val="major"/>
    </font>
    <font>
      <b/>
      <i/>
      <sz val="11"/>
      <name val="맑은 고딕"/>
      <family val="3"/>
      <charset val="129"/>
      <scheme val="major"/>
    </font>
    <font>
      <b/>
      <sz val="11"/>
      <color theme="2" tint="-0.499984740745262"/>
      <name val="맑은 고딕"/>
      <family val="3"/>
      <charset val="129"/>
    </font>
    <font>
      <b/>
      <sz val="11"/>
      <name val="맑은 고딕"/>
      <family val="3"/>
      <charset val="129"/>
      <scheme val="major"/>
    </font>
    <font>
      <i/>
      <sz val="12"/>
      <name val="맑은 고딕"/>
      <family val="3"/>
      <charset val="129"/>
      <scheme val="major"/>
    </font>
  </fonts>
  <fills count="34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</fills>
  <borders count="11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medium">
        <color indexed="64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/>
      <right style="dashed">
        <color auto="1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ashed">
        <color auto="1"/>
      </top>
      <bottom style="dotted">
        <color indexed="64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</borders>
  <cellStyleXfs count="25">
    <xf numFmtId="0" fontId="0" fillId="0" borderId="0"/>
    <xf numFmtId="24" fontId="8" fillId="0" borderId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80" fontId="9" fillId="0" borderId="0" applyFont="0" applyFill="0" applyBorder="0" applyAlignment="0" applyProtection="0"/>
    <xf numFmtId="183" fontId="11" fillId="0" borderId="0" applyFont="0" applyFill="0" applyBorder="0" applyAlignment="0" applyProtection="0"/>
    <xf numFmtId="182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77" fontId="9" fillId="0" borderId="0" applyFont="0" applyFill="0" applyBorder="0" applyAlignment="0" applyProtection="0"/>
    <xf numFmtId="181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0" borderId="0">
      <alignment vertical="center"/>
    </xf>
    <xf numFmtId="176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" fillId="0" borderId="0">
      <alignment vertical="center"/>
    </xf>
    <xf numFmtId="9" fontId="6" fillId="0" borderId="0" applyFont="0" applyFill="0" applyBorder="0" applyAlignment="0" applyProtection="0">
      <alignment vertical="center"/>
    </xf>
  </cellStyleXfs>
  <cellXfs count="760">
    <xf numFmtId="0" fontId="0" fillId="0" borderId="0" xfId="0"/>
    <xf numFmtId="0" fontId="15" fillId="0" borderId="0" xfId="18" applyFont="1">
      <alignment vertical="center"/>
    </xf>
    <xf numFmtId="0" fontId="15" fillId="0" borderId="27" xfId="18" applyFont="1" applyBorder="1" applyAlignment="1">
      <alignment horizontal="center" vertical="center"/>
    </xf>
    <xf numFmtId="0" fontId="15" fillId="0" borderId="28" xfId="18" applyFont="1" applyBorder="1" applyAlignment="1">
      <alignment horizontal="center" vertical="center"/>
    </xf>
    <xf numFmtId="0" fontId="15" fillId="0" borderId="29" xfId="18" applyFont="1" applyBorder="1" applyAlignment="1">
      <alignment horizontal="center" vertical="center"/>
    </xf>
    <xf numFmtId="190" fontId="15" fillId="0" borderId="13" xfId="18" applyNumberFormat="1" applyFont="1" applyBorder="1" applyAlignment="1">
      <alignment horizontal="center" vertical="center"/>
    </xf>
    <xf numFmtId="0" fontId="15" fillId="0" borderId="30" xfId="18" applyFont="1" applyBorder="1" applyAlignment="1">
      <alignment horizontal="center" vertical="center"/>
    </xf>
    <xf numFmtId="0" fontId="16" fillId="0" borderId="31" xfId="18" applyFont="1" applyBorder="1" applyAlignment="1">
      <alignment horizontal="center" vertical="center" wrapText="1"/>
    </xf>
    <xf numFmtId="0" fontId="16" fillId="0" borderId="12" xfId="18" applyFont="1" applyBorder="1" applyAlignment="1">
      <alignment horizontal="center" vertical="center" wrapText="1"/>
    </xf>
    <xf numFmtId="0" fontId="16" fillId="0" borderId="7" xfId="18" applyFont="1" applyBorder="1" applyAlignment="1">
      <alignment horizontal="center" vertical="center" wrapText="1"/>
    </xf>
    <xf numFmtId="0" fontId="16" fillId="0" borderId="30" xfId="18" applyFont="1" applyBorder="1" applyAlignment="1">
      <alignment horizontal="center" vertical="center" wrapText="1"/>
    </xf>
    <xf numFmtId="0" fontId="15" fillId="0" borderId="32" xfId="18" applyFont="1" applyBorder="1">
      <alignment vertical="center"/>
    </xf>
    <xf numFmtId="0" fontId="15" fillId="0" borderId="0" xfId="19" applyFont="1" applyFill="1">
      <alignment vertical="center"/>
    </xf>
    <xf numFmtId="0" fontId="15" fillId="0" borderId="0" xfId="18" applyFont="1" applyAlignment="1">
      <alignment horizontal="center" vertical="center"/>
    </xf>
    <xf numFmtId="184" fontId="15" fillId="0" borderId="0" xfId="18" applyNumberFormat="1" applyFont="1">
      <alignment vertical="center"/>
    </xf>
    <xf numFmtId="185" fontId="15" fillId="0" borderId="0" xfId="18" applyNumberFormat="1" applyFont="1">
      <alignment vertical="center"/>
    </xf>
    <xf numFmtId="0" fontId="16" fillId="0" borderId="0" xfId="18" applyFont="1" applyAlignment="1">
      <alignment horizontal="center" vertical="center" wrapText="1"/>
    </xf>
    <xf numFmtId="0" fontId="15" fillId="0" borderId="38" xfId="18" applyFont="1" applyBorder="1" applyAlignment="1">
      <alignment horizontal="center" vertical="center"/>
    </xf>
    <xf numFmtId="0" fontId="15" fillId="0" borderId="39" xfId="18" applyFont="1" applyBorder="1" applyAlignment="1">
      <alignment horizontal="center" vertical="center"/>
    </xf>
    <xf numFmtId="0" fontId="17" fillId="0" borderId="0" xfId="18" applyFont="1" applyAlignment="1">
      <alignment horizontal="center" vertical="center" wrapText="1"/>
    </xf>
    <xf numFmtId="0" fontId="20" fillId="0" borderId="0" xfId="18" applyFont="1" applyAlignment="1">
      <alignment horizontal="center" vertical="center"/>
    </xf>
    <xf numFmtId="0" fontId="15" fillId="0" borderId="10" xfId="18" applyFont="1" applyBorder="1" applyAlignment="1">
      <alignment horizontal="center" vertical="center"/>
    </xf>
    <xf numFmtId="0" fontId="15" fillId="0" borderId="8" xfId="18" applyFont="1" applyBorder="1" applyAlignment="1">
      <alignment horizontal="center" vertical="center"/>
    </xf>
    <xf numFmtId="0" fontId="15" fillId="0" borderId="9" xfId="18" applyFont="1" applyBorder="1" applyAlignment="1">
      <alignment horizontal="center" vertical="center"/>
    </xf>
    <xf numFmtId="181" fontId="15" fillId="0" borderId="0" xfId="13" applyFont="1" applyAlignment="1">
      <alignment vertical="center"/>
    </xf>
    <xf numFmtId="0" fontId="15" fillId="6" borderId="10" xfId="18" applyFont="1" applyFill="1" applyBorder="1" applyAlignment="1">
      <alignment horizontal="center" vertical="center"/>
    </xf>
    <xf numFmtId="0" fontId="15" fillId="7" borderId="10" xfId="18" applyFont="1" applyFill="1" applyBorder="1" applyAlignment="1">
      <alignment horizontal="center" vertical="center"/>
    </xf>
    <xf numFmtId="0" fontId="15" fillId="0" borderId="35" xfId="18" applyFont="1" applyBorder="1" applyAlignment="1">
      <alignment horizontal="center" vertical="center"/>
    </xf>
    <xf numFmtId="193" fontId="16" fillId="0" borderId="7" xfId="18" applyNumberFormat="1" applyFont="1" applyBorder="1" applyAlignment="1">
      <alignment horizontal="center" vertical="center" wrapText="1"/>
    </xf>
    <xf numFmtId="193" fontId="17" fillId="0" borderId="42" xfId="18" applyNumberFormat="1" applyFont="1" applyBorder="1" applyAlignment="1">
      <alignment horizontal="center" vertical="center" wrapText="1"/>
    </xf>
    <xf numFmtId="0" fontId="25" fillId="0" borderId="0" xfId="0" applyFont="1" applyAlignment="1">
      <alignment horizontal="center" vertical="center"/>
    </xf>
    <xf numFmtId="0" fontId="25" fillId="0" borderId="0" xfId="0" applyFont="1" applyAlignment="1">
      <alignment vertical="center"/>
    </xf>
    <xf numFmtId="0" fontId="26" fillId="0" borderId="0" xfId="0" applyFont="1" applyAlignment="1">
      <alignment horizontal="left" vertical="center"/>
    </xf>
    <xf numFmtId="41" fontId="25" fillId="0" borderId="0" xfId="20" applyFont="1" applyAlignment="1">
      <alignment horizontal="center" vertical="center"/>
    </xf>
    <xf numFmtId="0" fontId="27" fillId="0" borderId="0" xfId="18" applyFont="1">
      <alignment vertical="center"/>
    </xf>
    <xf numFmtId="0" fontId="25" fillId="0" borderId="0" xfId="0" applyFont="1"/>
    <xf numFmtId="0" fontId="25" fillId="0" borderId="0" xfId="0" applyFont="1" applyAlignment="1">
      <alignment horizontal="center"/>
    </xf>
    <xf numFmtId="0" fontId="25" fillId="0" borderId="43" xfId="0" applyFont="1" applyBorder="1"/>
    <xf numFmtId="0" fontId="25" fillId="0" borderId="45" xfId="0" applyFont="1" applyBorder="1"/>
    <xf numFmtId="0" fontId="25" fillId="7" borderId="1" xfId="0" applyFont="1" applyFill="1" applyBorder="1"/>
    <xf numFmtId="0" fontId="25" fillId="7" borderId="0" xfId="0" applyFont="1" applyFill="1"/>
    <xf numFmtId="0" fontId="25" fillId="7" borderId="43" xfId="0" applyFont="1" applyFill="1" applyBorder="1"/>
    <xf numFmtId="0" fontId="25" fillId="7" borderId="0" xfId="0" applyFont="1" applyFill="1" applyAlignment="1">
      <alignment horizontal="center" vertical="center"/>
    </xf>
    <xf numFmtId="0" fontId="25" fillId="7" borderId="45" xfId="0" applyFont="1" applyFill="1" applyBorder="1"/>
    <xf numFmtId="0" fontId="28" fillId="0" borderId="0" xfId="0" applyFont="1"/>
    <xf numFmtId="0" fontId="28" fillId="0" borderId="0" xfId="0" applyFont="1" applyAlignment="1">
      <alignment horizontal="center" vertical="center"/>
    </xf>
    <xf numFmtId="0" fontId="28" fillId="0" borderId="0" xfId="0" applyFont="1" applyAlignment="1">
      <alignment horizontal="center"/>
    </xf>
    <xf numFmtId="0" fontId="28" fillId="7" borderId="6" xfId="0" applyFont="1" applyFill="1" applyBorder="1" applyAlignment="1">
      <alignment horizontal="center" vertical="center"/>
    </xf>
    <xf numFmtId="0" fontId="28" fillId="0" borderId="44" xfId="0" applyFont="1" applyBorder="1" applyAlignment="1">
      <alignment horizontal="center" vertical="center"/>
    </xf>
    <xf numFmtId="0" fontId="28" fillId="7" borderId="44" xfId="0" applyFont="1" applyFill="1" applyBorder="1" applyAlignment="1">
      <alignment horizontal="center" vertical="center"/>
    </xf>
    <xf numFmtId="0" fontId="28" fillId="0" borderId="15" xfId="0" applyFont="1" applyBorder="1" applyAlignment="1">
      <alignment horizontal="center" vertical="center"/>
    </xf>
    <xf numFmtId="0" fontId="28" fillId="7" borderId="6" xfId="0" applyFont="1" applyFill="1" applyBorder="1" applyAlignment="1">
      <alignment horizontal="center"/>
    </xf>
    <xf numFmtId="0" fontId="28" fillId="0" borderId="44" xfId="0" applyFont="1" applyBorder="1" applyAlignment="1">
      <alignment horizontal="center"/>
    </xf>
    <xf numFmtId="0" fontId="28" fillId="7" borderId="44" xfId="0" applyFont="1" applyFill="1" applyBorder="1" applyAlignment="1">
      <alignment horizontal="center"/>
    </xf>
    <xf numFmtId="0" fontId="28" fillId="7" borderId="15" xfId="0" applyFont="1" applyFill="1" applyBorder="1" applyAlignment="1">
      <alignment horizontal="center"/>
    </xf>
    <xf numFmtId="0" fontId="28" fillId="7" borderId="6" xfId="0" applyFont="1" applyFill="1" applyBorder="1"/>
    <xf numFmtId="0" fontId="28" fillId="0" borderId="44" xfId="0" applyFont="1" applyBorder="1"/>
    <xf numFmtId="0" fontId="28" fillId="7" borderId="44" xfId="0" applyFont="1" applyFill="1" applyBorder="1"/>
    <xf numFmtId="0" fontId="28" fillId="7" borderId="15" xfId="0" applyFont="1" applyFill="1" applyBorder="1"/>
    <xf numFmtId="0" fontId="26" fillId="0" borderId="0" xfId="0" applyFont="1" applyAlignment="1">
      <alignment horizontal="center" vertical="center"/>
    </xf>
    <xf numFmtId="0" fontId="3" fillId="10" borderId="0" xfId="21" applyFill="1" applyAlignment="1">
      <alignment horizontal="center" vertical="center"/>
    </xf>
    <xf numFmtId="0" fontId="25" fillId="0" borderId="49" xfId="0" applyFont="1" applyBorder="1" applyAlignment="1">
      <alignment horizontal="center" vertical="center"/>
    </xf>
    <xf numFmtId="0" fontId="25" fillId="0" borderId="19" xfId="0" applyFont="1" applyBorder="1" applyAlignment="1">
      <alignment horizontal="center" vertical="center"/>
    </xf>
    <xf numFmtId="0" fontId="25" fillId="0" borderId="50" xfId="0" applyFont="1" applyBorder="1" applyAlignment="1">
      <alignment horizontal="center" vertical="center"/>
    </xf>
    <xf numFmtId="0" fontId="25" fillId="0" borderId="21" xfId="0" applyFont="1" applyBorder="1" applyAlignment="1">
      <alignment horizontal="center" vertical="center"/>
    </xf>
    <xf numFmtId="0" fontId="25" fillId="0" borderId="58" xfId="0" applyFont="1" applyBorder="1" applyAlignment="1">
      <alignment horizontal="center" vertical="center"/>
    </xf>
    <xf numFmtId="0" fontId="25" fillId="0" borderId="57" xfId="0" applyFont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44" fontId="25" fillId="0" borderId="0" xfId="0" applyNumberFormat="1" applyFont="1" applyAlignment="1">
      <alignment vertical="center"/>
    </xf>
    <xf numFmtId="0" fontId="18" fillId="0" borderId="0" xfId="16" applyFont="1">
      <alignment vertical="center"/>
    </xf>
    <xf numFmtId="0" fontId="18" fillId="0" borderId="0" xfId="16" applyFont="1" applyAlignment="1">
      <alignment horizontal="left" vertical="center"/>
    </xf>
    <xf numFmtId="0" fontId="18" fillId="12" borderId="54" xfId="23" applyFont="1" applyFill="1" applyBorder="1" applyAlignment="1">
      <alignment horizontal="center" vertical="center"/>
    </xf>
    <xf numFmtId="0" fontId="18" fillId="12" borderId="55" xfId="23" applyFont="1" applyFill="1" applyBorder="1" applyAlignment="1">
      <alignment horizontal="center" vertical="center"/>
    </xf>
    <xf numFmtId="0" fontId="18" fillId="12" borderId="56" xfId="23" applyFont="1" applyFill="1" applyBorder="1" applyAlignment="1">
      <alignment horizontal="center" vertical="center"/>
    </xf>
    <xf numFmtId="0" fontId="18" fillId="0" borderId="49" xfId="23" applyFont="1" applyBorder="1" applyAlignment="1">
      <alignment horizontal="center" vertical="center"/>
    </xf>
    <xf numFmtId="0" fontId="18" fillId="0" borderId="19" xfId="23" applyFont="1" applyBorder="1" applyAlignment="1">
      <alignment horizontal="center" vertical="center"/>
    </xf>
    <xf numFmtId="0" fontId="18" fillId="0" borderId="50" xfId="23" applyFont="1" applyBorder="1" applyAlignment="1">
      <alignment horizontal="center" vertical="center"/>
    </xf>
    <xf numFmtId="0" fontId="18" fillId="12" borderId="49" xfId="23" applyFont="1" applyFill="1" applyBorder="1" applyAlignment="1">
      <alignment horizontal="center" vertical="center"/>
    </xf>
    <xf numFmtId="0" fontId="18" fillId="12" borderId="19" xfId="23" applyFont="1" applyFill="1" applyBorder="1" applyAlignment="1">
      <alignment horizontal="center" vertical="center"/>
    </xf>
    <xf numFmtId="0" fontId="18" fillId="12" borderId="50" xfId="23" applyFont="1" applyFill="1" applyBorder="1" applyAlignment="1">
      <alignment horizontal="center" vertical="center"/>
    </xf>
    <xf numFmtId="0" fontId="18" fillId="12" borderId="21" xfId="23" applyFont="1" applyFill="1" applyBorder="1" applyAlignment="1">
      <alignment horizontal="center" vertical="center"/>
    </xf>
    <xf numFmtId="0" fontId="18" fillId="12" borderId="58" xfId="23" applyFont="1" applyFill="1" applyBorder="1" applyAlignment="1">
      <alignment horizontal="center" vertical="center"/>
    </xf>
    <xf numFmtId="0" fontId="18" fillId="0" borderId="57" xfId="23" applyFont="1" applyBorder="1" applyAlignment="1">
      <alignment horizontal="center" vertical="center"/>
    </xf>
    <xf numFmtId="0" fontId="18" fillId="0" borderId="58" xfId="23" applyFont="1" applyBorder="1" applyAlignment="1">
      <alignment horizontal="center" vertical="center"/>
    </xf>
    <xf numFmtId="0" fontId="18" fillId="13" borderId="54" xfId="16" applyFont="1" applyFill="1" applyBorder="1" applyAlignment="1">
      <alignment horizontal="center" vertical="center"/>
    </xf>
    <xf numFmtId="0" fontId="18" fillId="13" borderId="55" xfId="16" applyFont="1" applyFill="1" applyBorder="1" applyAlignment="1">
      <alignment horizontal="center" vertical="center"/>
    </xf>
    <xf numFmtId="0" fontId="18" fillId="13" borderId="56" xfId="16" applyFont="1" applyFill="1" applyBorder="1" applyAlignment="1">
      <alignment horizontal="center" vertical="center"/>
    </xf>
    <xf numFmtId="0" fontId="18" fillId="0" borderId="0" xfId="16" applyFont="1" applyAlignment="1">
      <alignment horizontal="center" vertical="center"/>
    </xf>
    <xf numFmtId="0" fontId="18" fillId="0" borderId="57" xfId="16" applyFont="1" applyBorder="1" applyAlignment="1">
      <alignment horizontal="center" vertical="center"/>
    </xf>
    <xf numFmtId="0" fontId="18" fillId="0" borderId="21" xfId="17" applyNumberFormat="1" applyFont="1" applyBorder="1" applyAlignment="1">
      <alignment horizontal="center" vertical="center"/>
    </xf>
    <xf numFmtId="0" fontId="18" fillId="13" borderId="55" xfId="23" applyFont="1" applyFill="1" applyBorder="1" applyAlignment="1">
      <alignment horizontal="center" vertical="center"/>
    </xf>
    <xf numFmtId="0" fontId="18" fillId="13" borderId="18" xfId="23" applyFont="1" applyFill="1" applyBorder="1" applyAlignment="1">
      <alignment horizontal="center" vertical="center"/>
    </xf>
    <xf numFmtId="189" fontId="18" fillId="0" borderId="0" xfId="16" applyNumberFormat="1" applyFont="1">
      <alignment vertical="center"/>
    </xf>
    <xf numFmtId="10" fontId="18" fillId="0" borderId="0" xfId="16" applyNumberFormat="1" applyFont="1">
      <alignment vertical="center"/>
    </xf>
    <xf numFmtId="191" fontId="25" fillId="3" borderId="0" xfId="0" applyNumberFormat="1" applyFont="1" applyFill="1" applyAlignment="1">
      <alignment horizontal="center" vertical="center"/>
    </xf>
    <xf numFmtId="0" fontId="25" fillId="3" borderId="0" xfId="0" applyFont="1" applyFill="1" applyAlignment="1">
      <alignment horizontal="center" vertical="center"/>
    </xf>
    <xf numFmtId="184" fontId="25" fillId="3" borderId="0" xfId="0" applyNumberFormat="1" applyFont="1" applyFill="1" applyAlignment="1">
      <alignment horizontal="center" vertical="center"/>
    </xf>
    <xf numFmtId="0" fontId="25" fillId="13" borderId="49" xfId="0" applyFont="1" applyFill="1" applyBorder="1" applyAlignment="1">
      <alignment horizontal="center" vertical="center"/>
    </xf>
    <xf numFmtId="0" fontId="25" fillId="13" borderId="50" xfId="0" applyFont="1" applyFill="1" applyBorder="1" applyAlignment="1">
      <alignment horizontal="center" vertical="center"/>
    </xf>
    <xf numFmtId="0" fontId="25" fillId="13" borderId="19" xfId="0" applyFont="1" applyFill="1" applyBorder="1" applyAlignment="1">
      <alignment horizontal="center" vertical="center"/>
    </xf>
    <xf numFmtId="188" fontId="25" fillId="0" borderId="49" xfId="0" applyNumberFormat="1" applyFont="1" applyBorder="1" applyAlignment="1">
      <alignment horizontal="center" vertical="center"/>
    </xf>
    <xf numFmtId="2" fontId="25" fillId="0" borderId="50" xfId="0" applyNumberFormat="1" applyFont="1" applyBorder="1" applyAlignment="1">
      <alignment horizontal="center" vertical="center"/>
    </xf>
    <xf numFmtId="188" fontId="25" fillId="0" borderId="57" xfId="0" applyNumberFormat="1" applyFont="1" applyBorder="1" applyAlignment="1">
      <alignment horizontal="center" vertical="center"/>
    </xf>
    <xf numFmtId="2" fontId="25" fillId="0" borderId="58" xfId="0" applyNumberFormat="1" applyFont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33" fillId="0" borderId="0" xfId="0" applyFont="1" applyAlignment="1">
      <alignment vertical="center"/>
    </xf>
    <xf numFmtId="0" fontId="3" fillId="0" borderId="0" xfId="21" applyFill="1" applyAlignment="1">
      <alignment horizontal="center" vertical="center"/>
    </xf>
    <xf numFmtId="0" fontId="19" fillId="0" borderId="27" xfId="18" applyFont="1" applyBorder="1" applyAlignment="1">
      <alignment horizontal="center" vertical="center"/>
    </xf>
    <xf numFmtId="0" fontId="19" fillId="7" borderId="10" xfId="18" applyFont="1" applyFill="1" applyBorder="1" applyAlignment="1">
      <alignment horizontal="center" vertical="center"/>
    </xf>
    <xf numFmtId="0" fontId="19" fillId="6" borderId="10" xfId="18" applyFont="1" applyFill="1" applyBorder="1" applyAlignment="1">
      <alignment horizontal="center" vertical="center"/>
    </xf>
    <xf numFmtId="0" fontId="18" fillId="0" borderId="49" xfId="16" applyFont="1" applyBorder="1" applyAlignment="1">
      <alignment horizontal="center" vertical="center"/>
    </xf>
    <xf numFmtId="0" fontId="18" fillId="0" borderId="50" xfId="16" applyFont="1" applyBorder="1" applyAlignment="1">
      <alignment horizontal="center" vertical="center"/>
    </xf>
    <xf numFmtId="0" fontId="18" fillId="0" borderId="58" xfId="16" applyFont="1" applyBorder="1" applyAlignment="1">
      <alignment horizontal="center" vertical="center"/>
    </xf>
    <xf numFmtId="0" fontId="18" fillId="14" borderId="54" xfId="16" applyFont="1" applyFill="1" applyBorder="1" applyAlignment="1">
      <alignment horizontal="center" vertical="center"/>
    </xf>
    <xf numFmtId="0" fontId="18" fillId="14" borderId="56" xfId="16" applyFont="1" applyFill="1" applyBorder="1" applyAlignment="1">
      <alignment horizontal="center" vertical="center"/>
    </xf>
    <xf numFmtId="0" fontId="18" fillId="12" borderId="57" xfId="23" applyFont="1" applyFill="1" applyBorder="1" applyAlignment="1">
      <alignment horizontal="center" vertical="center"/>
    </xf>
    <xf numFmtId="0" fontId="19" fillId="4" borderId="10" xfId="18" applyFont="1" applyFill="1" applyBorder="1" applyAlignment="1">
      <alignment horizontal="center" vertical="center"/>
    </xf>
    <xf numFmtId="185" fontId="21" fillId="4" borderId="26" xfId="18" applyNumberFormat="1" applyFont="1" applyFill="1" applyBorder="1">
      <alignment vertical="center"/>
    </xf>
    <xf numFmtId="0" fontId="39" fillId="5" borderId="37" xfId="18" applyFont="1" applyFill="1" applyBorder="1" applyAlignment="1">
      <alignment horizontal="center" vertical="center" wrapText="1"/>
    </xf>
    <xf numFmtId="0" fontId="39" fillId="5" borderId="34" xfId="18" applyFont="1" applyFill="1" applyBorder="1" applyAlignment="1">
      <alignment horizontal="center" vertical="center" wrapText="1"/>
    </xf>
    <xf numFmtId="188" fontId="31" fillId="0" borderId="35" xfId="18" applyNumberFormat="1" applyFont="1" applyBorder="1" applyAlignment="1">
      <alignment horizontal="center" vertical="center"/>
    </xf>
    <xf numFmtId="0" fontId="18" fillId="0" borderId="0" xfId="18" applyFont="1" applyAlignment="1">
      <alignment horizontal="center" vertical="center"/>
    </xf>
    <xf numFmtId="188" fontId="30" fillId="0" borderId="69" xfId="16" applyNumberFormat="1" applyFont="1" applyBorder="1" applyAlignment="1">
      <alignment horizontal="center" vertical="center"/>
    </xf>
    <xf numFmtId="188" fontId="30" fillId="0" borderId="70" xfId="16" applyNumberFormat="1" applyFont="1" applyBorder="1" applyAlignment="1">
      <alignment horizontal="center" vertical="center"/>
    </xf>
    <xf numFmtId="0" fontId="18" fillId="0" borderId="65" xfId="16" applyFont="1" applyBorder="1">
      <alignment vertical="center"/>
    </xf>
    <xf numFmtId="0" fontId="18" fillId="0" borderId="72" xfId="16" applyFont="1" applyBorder="1">
      <alignment vertical="center"/>
    </xf>
    <xf numFmtId="0" fontId="18" fillId="0" borderId="66" xfId="16" applyFont="1" applyBorder="1">
      <alignment vertical="center"/>
    </xf>
    <xf numFmtId="184" fontId="18" fillId="0" borderId="16" xfId="16" applyNumberFormat="1" applyFont="1" applyBorder="1">
      <alignment vertical="center"/>
    </xf>
    <xf numFmtId="184" fontId="30" fillId="0" borderId="73" xfId="16" applyNumberFormat="1" applyFont="1" applyBorder="1">
      <alignment vertical="center"/>
    </xf>
    <xf numFmtId="10" fontId="18" fillId="0" borderId="17" xfId="16" applyNumberFormat="1" applyFont="1" applyBorder="1">
      <alignment vertical="center"/>
    </xf>
    <xf numFmtId="0" fontId="19" fillId="0" borderId="0" xfId="18" applyFont="1" applyAlignment="1">
      <alignment horizontal="center" vertical="center"/>
    </xf>
    <xf numFmtId="189" fontId="25" fillId="0" borderId="0" xfId="0" applyNumberFormat="1" applyFont="1" applyAlignment="1">
      <alignment horizontal="center" vertical="center"/>
    </xf>
    <xf numFmtId="198" fontId="28" fillId="0" borderId="0" xfId="0" applyNumberFormat="1" applyFont="1" applyAlignment="1">
      <alignment horizontal="center" vertical="center"/>
    </xf>
    <xf numFmtId="185" fontId="37" fillId="7" borderId="26" xfId="18" applyNumberFormat="1" applyFont="1" applyFill="1" applyBorder="1">
      <alignment vertical="center"/>
    </xf>
    <xf numFmtId="185" fontId="37" fillId="6" borderId="26" xfId="18" applyNumberFormat="1" applyFont="1" applyFill="1" applyBorder="1">
      <alignment vertical="center"/>
    </xf>
    <xf numFmtId="185" fontId="21" fillId="6" borderId="26" xfId="18" applyNumberFormat="1" applyFont="1" applyFill="1" applyBorder="1">
      <alignment vertical="center"/>
    </xf>
    <xf numFmtId="185" fontId="21" fillId="7" borderId="26" xfId="18" applyNumberFormat="1" applyFont="1" applyFill="1" applyBorder="1">
      <alignment vertical="center"/>
    </xf>
    <xf numFmtId="0" fontId="41" fillId="0" borderId="0" xfId="0" applyFont="1"/>
    <xf numFmtId="0" fontId="42" fillId="20" borderId="41" xfId="18" applyFont="1" applyFill="1" applyBorder="1" applyAlignment="1">
      <alignment horizontal="center" vertical="center" wrapText="1"/>
    </xf>
    <xf numFmtId="0" fontId="18" fillId="0" borderId="58" xfId="17" applyNumberFormat="1" applyFont="1" applyBorder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17" fillId="0" borderId="32" xfId="18" applyFont="1" applyBorder="1" applyAlignment="1">
      <alignment horizontal="center" vertical="center" wrapText="1"/>
    </xf>
    <xf numFmtId="0" fontId="15" fillId="0" borderId="36" xfId="18" applyFont="1" applyBorder="1" applyAlignment="1">
      <alignment horizontal="center" vertical="center"/>
    </xf>
    <xf numFmtId="10" fontId="34" fillId="0" borderId="0" xfId="0" applyNumberFormat="1" applyFont="1" applyAlignment="1">
      <alignment horizontal="center" vertical="center"/>
    </xf>
    <xf numFmtId="0" fontId="34" fillId="0" borderId="0" xfId="0" applyFont="1"/>
    <xf numFmtId="0" fontId="28" fillId="0" borderId="0" xfId="0" applyFont="1" applyAlignment="1">
      <alignment horizontal="left" vertical="center"/>
    </xf>
    <xf numFmtId="0" fontId="28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45" fillId="0" borderId="0" xfId="0" applyFont="1" applyAlignment="1">
      <alignment horizontal="left" vertical="center"/>
    </xf>
    <xf numFmtId="0" fontId="46" fillId="0" borderId="0" xfId="0" applyFont="1" applyAlignment="1">
      <alignment horizontal="center" vertical="center"/>
    </xf>
    <xf numFmtId="3" fontId="46" fillId="0" borderId="24" xfId="20" applyNumberFormat="1" applyFont="1" applyBorder="1" applyAlignment="1">
      <alignment horizontal="center" vertical="center"/>
    </xf>
    <xf numFmtId="201" fontId="46" fillId="0" borderId="25" xfId="0" applyNumberFormat="1" applyFont="1" applyBorder="1" applyAlignment="1">
      <alignment horizontal="center" vertical="center"/>
    </xf>
    <xf numFmtId="0" fontId="46" fillId="0" borderId="25" xfId="0" applyFont="1" applyBorder="1" applyAlignment="1">
      <alignment horizontal="center" vertical="center"/>
    </xf>
    <xf numFmtId="201" fontId="46" fillId="0" borderId="26" xfId="0" applyNumberFormat="1" applyFont="1" applyBorder="1" applyAlignment="1">
      <alignment horizontal="center" vertical="center"/>
    </xf>
    <xf numFmtId="0" fontId="25" fillId="0" borderId="67" xfId="0" applyFont="1" applyBorder="1" applyAlignment="1">
      <alignment horizontal="center" vertical="center"/>
    </xf>
    <xf numFmtId="0" fontId="25" fillId="0" borderId="24" xfId="0" applyFont="1" applyBorder="1" applyAlignment="1">
      <alignment horizontal="center" vertical="center"/>
    </xf>
    <xf numFmtId="0" fontId="3" fillId="0" borderId="0" xfId="21" applyFill="1" applyBorder="1" applyAlignment="1">
      <alignment horizontal="center" vertical="center"/>
    </xf>
    <xf numFmtId="41" fontId="25" fillId="0" borderId="0" xfId="20" applyFont="1" applyBorder="1" applyAlignment="1">
      <alignment horizontal="center" vertical="center"/>
    </xf>
    <xf numFmtId="0" fontId="25" fillId="3" borderId="8" xfId="0" applyFont="1" applyFill="1" applyBorder="1" applyAlignment="1">
      <alignment horizontal="center" vertical="center"/>
    </xf>
    <xf numFmtId="184" fontId="25" fillId="3" borderId="9" xfId="0" applyNumberFormat="1" applyFont="1" applyFill="1" applyBorder="1" applyAlignment="1">
      <alignment horizontal="center" vertical="center"/>
    </xf>
    <xf numFmtId="0" fontId="25" fillId="3" borderId="10" xfId="0" applyFont="1" applyFill="1" applyBorder="1" applyAlignment="1">
      <alignment horizontal="center" vertical="center"/>
    </xf>
    <xf numFmtId="0" fontId="25" fillId="3" borderId="24" xfId="0" applyFont="1" applyFill="1" applyBorder="1" applyAlignment="1">
      <alignment horizontal="center" vertical="center"/>
    </xf>
    <xf numFmtId="184" fontId="25" fillId="3" borderId="25" xfId="0" applyNumberFormat="1" applyFont="1" applyFill="1" applyBorder="1" applyAlignment="1">
      <alignment horizontal="center" vertical="center"/>
    </xf>
    <xf numFmtId="0" fontId="25" fillId="3" borderId="26" xfId="0" applyFont="1" applyFill="1" applyBorder="1" applyAlignment="1">
      <alignment horizontal="center" vertical="center"/>
    </xf>
    <xf numFmtId="0" fontId="18" fillId="3" borderId="8" xfId="0" applyFont="1" applyFill="1" applyBorder="1" applyAlignment="1">
      <alignment horizontal="center" vertical="center"/>
    </xf>
    <xf numFmtId="191" fontId="18" fillId="3" borderId="10" xfId="0" applyNumberFormat="1" applyFont="1" applyFill="1" applyBorder="1" applyAlignment="1">
      <alignment horizontal="center" vertical="center"/>
    </xf>
    <xf numFmtId="184" fontId="25" fillId="3" borderId="26" xfId="0" applyNumberFormat="1" applyFont="1" applyFill="1" applyBorder="1" applyAlignment="1">
      <alignment horizontal="center" vertical="center"/>
    </xf>
    <xf numFmtId="0" fontId="25" fillId="3" borderId="11" xfId="0" applyFont="1" applyFill="1" applyBorder="1" applyAlignment="1">
      <alignment horizontal="center" vertical="center"/>
    </xf>
    <xf numFmtId="0" fontId="25" fillId="3" borderId="9" xfId="0" applyFont="1" applyFill="1" applyBorder="1" applyAlignment="1">
      <alignment horizontal="center" vertical="center"/>
    </xf>
    <xf numFmtId="0" fontId="25" fillId="3" borderId="25" xfId="0" applyFont="1" applyFill="1" applyBorder="1" applyAlignment="1">
      <alignment horizontal="center" vertical="center"/>
    </xf>
    <xf numFmtId="191" fontId="25" fillId="3" borderId="10" xfId="0" applyNumberFormat="1" applyFont="1" applyFill="1" applyBorder="1" applyAlignment="1">
      <alignment horizontal="center" vertical="center"/>
    </xf>
    <xf numFmtId="184" fontId="25" fillId="3" borderId="10" xfId="0" applyNumberFormat="1" applyFont="1" applyFill="1" applyBorder="1" applyAlignment="1">
      <alignment horizontal="center" vertical="center"/>
    </xf>
    <xf numFmtId="40" fontId="25" fillId="3" borderId="26" xfId="0" applyNumberFormat="1" applyFont="1" applyFill="1" applyBorder="1" applyAlignment="1">
      <alignment horizontal="center" vertical="center"/>
    </xf>
    <xf numFmtId="0" fontId="47" fillId="0" borderId="25" xfId="0" applyFont="1" applyBorder="1" applyAlignment="1">
      <alignment horizontal="center" vertical="center"/>
    </xf>
    <xf numFmtId="0" fontId="47" fillId="0" borderId="26" xfId="0" applyFont="1" applyBorder="1" applyAlignment="1">
      <alignment horizontal="center" vertical="center"/>
    </xf>
    <xf numFmtId="0" fontId="47" fillId="0" borderId="0" xfId="0" applyFont="1" applyAlignment="1">
      <alignment horizontal="center" vertical="center"/>
    </xf>
    <xf numFmtId="0" fontId="48" fillId="0" borderId="24" xfId="0" applyFont="1" applyBorder="1" applyAlignment="1">
      <alignment horizontal="center" vertical="center"/>
    </xf>
    <xf numFmtId="0" fontId="48" fillId="0" borderId="25" xfId="0" applyFont="1" applyBorder="1" applyAlignment="1">
      <alignment horizontal="center" vertical="center"/>
    </xf>
    <xf numFmtId="0" fontId="48" fillId="0" borderId="67" xfId="0" applyFont="1" applyBorder="1" applyAlignment="1">
      <alignment horizontal="center" vertical="center"/>
    </xf>
    <xf numFmtId="0" fontId="48" fillId="0" borderId="4" xfId="0" applyFont="1" applyBorder="1" applyAlignment="1">
      <alignment horizontal="center" vertical="center"/>
    </xf>
    <xf numFmtId="0" fontId="28" fillId="17" borderId="8" xfId="0" applyFont="1" applyFill="1" applyBorder="1" applyAlignment="1">
      <alignment horizontal="center" vertical="center"/>
    </xf>
    <xf numFmtId="0" fontId="28" fillId="17" borderId="9" xfId="0" applyFont="1" applyFill="1" applyBorder="1" applyAlignment="1">
      <alignment horizontal="center" vertical="center"/>
    </xf>
    <xf numFmtId="0" fontId="28" fillId="17" borderId="10" xfId="0" applyFont="1" applyFill="1" applyBorder="1" applyAlignment="1">
      <alignment horizontal="center" vertical="center"/>
    </xf>
    <xf numFmtId="0" fontId="25" fillId="0" borderId="4" xfId="0" applyFont="1" applyBorder="1" applyAlignment="1">
      <alignment horizontal="center" vertical="center"/>
    </xf>
    <xf numFmtId="0" fontId="25" fillId="0" borderId="25" xfId="0" applyFont="1" applyBorder="1" applyAlignment="1">
      <alignment horizontal="center" vertical="center"/>
    </xf>
    <xf numFmtId="0" fontId="25" fillId="0" borderId="68" xfId="0" applyFont="1" applyBorder="1" applyAlignment="1">
      <alignment horizontal="center" vertical="center"/>
    </xf>
    <xf numFmtId="0" fontId="25" fillId="0" borderId="26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 vertical="center" wrapText="1"/>
    </xf>
    <xf numFmtId="0" fontId="25" fillId="0" borderId="68" xfId="0" applyFont="1" applyBorder="1" applyAlignment="1">
      <alignment horizontal="center" vertical="center" wrapText="1"/>
    </xf>
    <xf numFmtId="0" fontId="28" fillId="13" borderId="35" xfId="18" applyFont="1" applyFill="1" applyBorder="1" applyAlignment="1">
      <alignment horizontal="center" vertical="center"/>
    </xf>
    <xf numFmtId="193" fontId="25" fillId="0" borderId="4" xfId="0" applyNumberFormat="1" applyFont="1" applyBorder="1" applyAlignment="1">
      <alignment horizontal="center" vertical="center"/>
    </xf>
    <xf numFmtId="2" fontId="25" fillId="0" borderId="4" xfId="0" applyNumberFormat="1" applyFont="1" applyBorder="1" applyAlignment="1">
      <alignment horizontal="center" vertical="center"/>
    </xf>
    <xf numFmtId="204" fontId="25" fillId="0" borderId="4" xfId="0" applyNumberFormat="1" applyFont="1" applyBorder="1" applyAlignment="1">
      <alignment horizontal="center" vertical="center"/>
    </xf>
    <xf numFmtId="0" fontId="51" fillId="0" borderId="0" xfId="0" applyFont="1" applyAlignment="1">
      <alignment horizontal="justify" vertical="center"/>
    </xf>
    <xf numFmtId="0" fontId="6" fillId="0" borderId="0" xfId="0" applyFont="1"/>
    <xf numFmtId="0" fontId="52" fillId="0" borderId="0" xfId="16" applyFont="1">
      <alignment vertical="center"/>
    </xf>
    <xf numFmtId="0" fontId="54" fillId="13" borderId="49" xfId="0" applyFont="1" applyFill="1" applyBorder="1" applyAlignment="1">
      <alignment horizontal="center" vertical="center"/>
    </xf>
    <xf numFmtId="0" fontId="54" fillId="13" borderId="50" xfId="0" applyFont="1" applyFill="1" applyBorder="1" applyAlignment="1">
      <alignment horizontal="center" vertical="center"/>
    </xf>
    <xf numFmtId="0" fontId="54" fillId="13" borderId="77" xfId="0" applyFont="1" applyFill="1" applyBorder="1" applyAlignment="1">
      <alignment horizontal="center" vertical="center"/>
    </xf>
    <xf numFmtId="0" fontId="54" fillId="13" borderId="78" xfId="0" applyFont="1" applyFill="1" applyBorder="1" applyAlignment="1">
      <alignment horizontal="center" vertical="center"/>
    </xf>
    <xf numFmtId="0" fontId="54" fillId="13" borderId="79" xfId="0" applyFont="1" applyFill="1" applyBorder="1" applyAlignment="1">
      <alignment horizontal="center" vertical="center"/>
    </xf>
    <xf numFmtId="191" fontId="54" fillId="0" borderId="61" xfId="0" applyNumberFormat="1" applyFont="1" applyBorder="1" applyAlignment="1">
      <alignment horizontal="center" vertical="center"/>
    </xf>
    <xf numFmtId="0" fontId="54" fillId="0" borderId="62" xfId="0" applyFont="1" applyBorder="1" applyAlignment="1">
      <alignment horizontal="center" vertical="center"/>
    </xf>
    <xf numFmtId="0" fontId="54" fillId="0" borderId="77" xfId="0" applyFont="1" applyBorder="1" applyAlignment="1">
      <alignment horizontal="center" vertical="center"/>
    </xf>
    <xf numFmtId="184" fontId="54" fillId="0" borderId="78" xfId="0" applyNumberFormat="1" applyFont="1" applyBorder="1" applyAlignment="1">
      <alignment horizontal="center" vertical="center"/>
    </xf>
    <xf numFmtId="192" fontId="54" fillId="0" borderId="79" xfId="0" applyNumberFormat="1" applyFont="1" applyBorder="1" applyAlignment="1">
      <alignment horizontal="center" vertical="center"/>
    </xf>
    <xf numFmtId="186" fontId="54" fillId="0" borderId="77" xfId="0" applyNumberFormat="1" applyFont="1" applyBorder="1" applyAlignment="1">
      <alignment horizontal="center" vertical="center"/>
    </xf>
    <xf numFmtId="191" fontId="54" fillId="0" borderId="49" xfId="0" applyNumberFormat="1" applyFont="1" applyBorder="1" applyAlignment="1">
      <alignment horizontal="center" vertical="center"/>
    </xf>
    <xf numFmtId="0" fontId="54" fillId="0" borderId="50" xfId="0" applyFont="1" applyBorder="1" applyAlignment="1">
      <alignment horizontal="center" vertical="center"/>
    </xf>
    <xf numFmtId="191" fontId="54" fillId="0" borderId="51" xfId="0" applyNumberFormat="1" applyFont="1" applyBorder="1" applyAlignment="1">
      <alignment horizontal="center" vertical="center"/>
    </xf>
    <xf numFmtId="0" fontId="54" fillId="0" borderId="53" xfId="0" applyFont="1" applyBorder="1" applyAlignment="1">
      <alignment horizontal="center" vertical="center"/>
    </xf>
    <xf numFmtId="0" fontId="54" fillId="13" borderId="58" xfId="0" applyFont="1" applyFill="1" applyBorder="1" applyAlignment="1">
      <alignment horizontal="center" vertical="center"/>
    </xf>
    <xf numFmtId="0" fontId="54" fillId="13" borderId="80" xfId="0" applyFont="1" applyFill="1" applyBorder="1" applyAlignment="1">
      <alignment horizontal="center" vertical="center"/>
    </xf>
    <xf numFmtId="0" fontId="54" fillId="13" borderId="81" xfId="0" applyFont="1" applyFill="1" applyBorder="1" applyAlignment="1">
      <alignment horizontal="center" vertical="center"/>
    </xf>
    <xf numFmtId="0" fontId="54" fillId="13" borderId="82" xfId="0" applyFont="1" applyFill="1" applyBorder="1" applyAlignment="1">
      <alignment horizontal="center" vertical="center"/>
    </xf>
    <xf numFmtId="0" fontId="54" fillId="13" borderId="84" xfId="0" applyFont="1" applyFill="1" applyBorder="1" applyAlignment="1">
      <alignment horizontal="center" vertical="center"/>
    </xf>
    <xf numFmtId="0" fontId="54" fillId="13" borderId="85" xfId="0" applyFont="1" applyFill="1" applyBorder="1" applyAlignment="1">
      <alignment horizontal="center" vertical="center"/>
    </xf>
    <xf numFmtId="0" fontId="54" fillId="13" borderId="86" xfId="0" applyFont="1" applyFill="1" applyBorder="1" applyAlignment="1">
      <alignment horizontal="center" vertical="center"/>
    </xf>
    <xf numFmtId="2" fontId="54" fillId="13" borderId="79" xfId="0" applyNumberFormat="1" applyFont="1" applyFill="1" applyBorder="1" applyAlignment="1">
      <alignment horizontal="center" vertical="center"/>
    </xf>
    <xf numFmtId="0" fontId="54" fillId="13" borderId="20" xfId="0" applyFont="1" applyFill="1" applyBorder="1" applyAlignment="1">
      <alignment horizontal="center" vertical="center"/>
    </xf>
    <xf numFmtId="0" fontId="54" fillId="13" borderId="19" xfId="0" applyFont="1" applyFill="1" applyBorder="1" applyAlignment="1">
      <alignment horizontal="center" vertical="center"/>
    </xf>
    <xf numFmtId="197" fontId="54" fillId="0" borderId="61" xfId="0" applyNumberFormat="1" applyFont="1" applyBorder="1" applyAlignment="1">
      <alignment horizontal="center" vertical="center"/>
    </xf>
    <xf numFmtId="0" fontId="54" fillId="0" borderId="22" xfId="0" applyFont="1" applyBorder="1" applyAlignment="1">
      <alignment horizontal="center" vertical="center"/>
    </xf>
    <xf numFmtId="38" fontId="54" fillId="0" borderId="63" xfId="0" applyNumberFormat="1" applyFont="1" applyBorder="1" applyAlignment="1">
      <alignment horizontal="center" vertical="center"/>
    </xf>
    <xf numFmtId="192" fontId="54" fillId="0" borderId="62" xfId="0" applyNumberFormat="1" applyFont="1" applyBorder="1" applyAlignment="1">
      <alignment horizontal="center" vertical="center"/>
    </xf>
    <xf numFmtId="197" fontId="54" fillId="0" borderId="49" xfId="0" applyNumberFormat="1" applyFont="1" applyBorder="1" applyAlignment="1">
      <alignment horizontal="center" vertical="center"/>
    </xf>
    <xf numFmtId="0" fontId="54" fillId="0" borderId="20" xfId="0" applyFont="1" applyBorder="1" applyAlignment="1">
      <alignment horizontal="center" vertical="center"/>
    </xf>
    <xf numFmtId="38" fontId="54" fillId="0" borderId="19" xfId="0" applyNumberFormat="1" applyFont="1" applyBorder="1" applyAlignment="1">
      <alignment horizontal="center" vertical="center"/>
    </xf>
    <xf numFmtId="192" fontId="54" fillId="0" borderId="50" xfId="0" applyNumberFormat="1" applyFont="1" applyBorder="1" applyAlignment="1">
      <alignment horizontal="center" vertical="center"/>
    </xf>
    <xf numFmtId="188" fontId="54" fillId="0" borderId="20" xfId="0" applyNumberFormat="1" applyFont="1" applyBorder="1" applyAlignment="1">
      <alignment horizontal="center" vertical="center"/>
    </xf>
    <xf numFmtId="0" fontId="54" fillId="13" borderId="23" xfId="0" applyFont="1" applyFill="1" applyBorder="1" applyAlignment="1">
      <alignment horizontal="center" vertical="center"/>
    </xf>
    <xf numFmtId="0" fontId="54" fillId="13" borderId="21" xfId="0" applyFont="1" applyFill="1" applyBorder="1" applyAlignment="1">
      <alignment horizontal="center" vertical="center"/>
    </xf>
    <xf numFmtId="187" fontId="21" fillId="25" borderId="38" xfId="18" applyNumberFormat="1" applyFont="1" applyFill="1" applyBorder="1">
      <alignment vertical="center"/>
    </xf>
    <xf numFmtId="0" fontId="21" fillId="25" borderId="11" xfId="18" applyFont="1" applyFill="1" applyBorder="1">
      <alignment vertical="center"/>
    </xf>
    <xf numFmtId="188" fontId="21" fillId="25" borderId="5" xfId="18" applyNumberFormat="1" applyFont="1" applyFill="1" applyBorder="1">
      <alignment vertical="center"/>
    </xf>
    <xf numFmtId="0" fontId="29" fillId="0" borderId="9" xfId="0" applyFont="1" applyBorder="1" applyAlignment="1">
      <alignment horizontal="center" vertical="center" wrapText="1"/>
    </xf>
    <xf numFmtId="0" fontId="28" fillId="0" borderId="4" xfId="0" applyFont="1" applyBorder="1" applyAlignment="1">
      <alignment horizontal="center" vertical="center"/>
    </xf>
    <xf numFmtId="0" fontId="18" fillId="13" borderId="4" xfId="0" applyFont="1" applyFill="1" applyBorder="1" applyAlignment="1">
      <alignment horizontal="center" vertical="center"/>
    </xf>
    <xf numFmtId="0" fontId="31" fillId="13" borderId="68" xfId="0" applyFont="1" applyFill="1" applyBorder="1" applyAlignment="1">
      <alignment horizontal="center" vertical="center"/>
    </xf>
    <xf numFmtId="0" fontId="18" fillId="13" borderId="25" xfId="0" applyFont="1" applyFill="1" applyBorder="1" applyAlignment="1">
      <alignment horizontal="center" vertical="center"/>
    </xf>
    <xf numFmtId="0" fontId="31" fillId="13" borderId="26" xfId="0" applyFont="1" applyFill="1" applyBorder="1" applyAlignment="1">
      <alignment horizontal="center" vertical="center"/>
    </xf>
    <xf numFmtId="0" fontId="31" fillId="0" borderId="0" xfId="16" applyFont="1" applyAlignment="1">
      <alignment horizontal="center"/>
    </xf>
    <xf numFmtId="0" fontId="15" fillId="0" borderId="8" xfId="16" applyFont="1" applyBorder="1" applyAlignment="1">
      <alignment horizontal="center" vertical="center"/>
    </xf>
    <xf numFmtId="0" fontId="15" fillId="0" borderId="67" xfId="16" applyFont="1" applyBorder="1" applyAlignment="1">
      <alignment horizontal="center" vertical="center"/>
    </xf>
    <xf numFmtId="0" fontId="19" fillId="0" borderId="67" xfId="16" applyFont="1" applyBorder="1" applyAlignment="1">
      <alignment horizontal="center" vertical="center"/>
    </xf>
    <xf numFmtId="0" fontId="19" fillId="0" borderId="24" xfId="16" applyFont="1" applyBorder="1" applyAlignment="1">
      <alignment horizontal="center" vertical="center"/>
    </xf>
    <xf numFmtId="0" fontId="19" fillId="0" borderId="33" xfId="16" applyFont="1" applyBorder="1" applyAlignment="1">
      <alignment horizontal="center" vertical="center"/>
    </xf>
    <xf numFmtId="0" fontId="18" fillId="0" borderId="4" xfId="23" applyFont="1" applyBorder="1" applyAlignment="1">
      <alignment horizontal="center" vertical="center"/>
    </xf>
    <xf numFmtId="0" fontId="18" fillId="0" borderId="68" xfId="23" applyFont="1" applyBorder="1" applyAlignment="1">
      <alignment horizontal="center" vertical="center"/>
    </xf>
    <xf numFmtId="0" fontId="18" fillId="0" borderId="25" xfId="23" applyFont="1" applyBorder="1" applyAlignment="1">
      <alignment horizontal="center" vertical="center"/>
    </xf>
    <xf numFmtId="0" fontId="18" fillId="0" borderId="26" xfId="23" applyFont="1" applyBorder="1" applyAlignment="1">
      <alignment horizontal="center" vertical="center"/>
    </xf>
    <xf numFmtId="0" fontId="18" fillId="0" borderId="89" xfId="23" applyFont="1" applyBorder="1" applyAlignment="1">
      <alignment horizontal="center" vertical="center"/>
    </xf>
    <xf numFmtId="0" fontId="18" fillId="0" borderId="90" xfId="23" applyFont="1" applyBorder="1" applyAlignment="1">
      <alignment horizontal="center" vertical="center"/>
    </xf>
    <xf numFmtId="185" fontId="18" fillId="0" borderId="94" xfId="23" applyNumberFormat="1" applyFont="1" applyBorder="1" applyAlignment="1">
      <alignment horizontal="center" vertical="center"/>
    </xf>
    <xf numFmtId="0" fontId="18" fillId="0" borderId="94" xfId="23" applyFont="1" applyBorder="1" applyAlignment="1">
      <alignment horizontal="center" vertical="center"/>
    </xf>
    <xf numFmtId="0" fontId="18" fillId="0" borderId="95" xfId="23" applyFont="1" applyBorder="1" applyAlignment="1">
      <alignment horizontal="center" vertical="center"/>
    </xf>
    <xf numFmtId="0" fontId="30" fillId="0" borderId="25" xfId="23" applyFont="1" applyBorder="1" applyAlignment="1">
      <alignment horizontal="center" vertical="center"/>
    </xf>
    <xf numFmtId="0" fontId="18" fillId="9" borderId="25" xfId="22" applyFont="1" applyBorder="1" applyAlignment="1">
      <alignment horizontal="center" vertical="center"/>
    </xf>
    <xf numFmtId="0" fontId="30" fillId="0" borderId="26" xfId="23" applyFont="1" applyBorder="1" applyAlignment="1">
      <alignment horizontal="center" vertical="center"/>
    </xf>
    <xf numFmtId="0" fontId="18" fillId="0" borderId="12" xfId="23" applyFont="1" applyBorder="1" applyAlignment="1">
      <alignment horizontal="center" vertical="center"/>
    </xf>
    <xf numFmtId="0" fontId="18" fillId="0" borderId="41" xfId="23" applyFont="1" applyBorder="1" applyAlignment="1">
      <alignment horizontal="center" vertical="center"/>
    </xf>
    <xf numFmtId="0" fontId="18" fillId="0" borderId="15" xfId="23" applyFont="1" applyBorder="1" applyAlignment="1">
      <alignment horizontal="center" vertical="center"/>
    </xf>
    <xf numFmtId="185" fontId="18" fillId="0" borderId="96" xfId="23" applyNumberFormat="1" applyFont="1" applyBorder="1" applyAlignment="1">
      <alignment horizontal="center" vertical="center"/>
    </xf>
    <xf numFmtId="0" fontId="18" fillId="13" borderId="27" xfId="23" applyFont="1" applyFill="1" applyBorder="1" applyAlignment="1">
      <alignment horizontal="center" vertical="center"/>
    </xf>
    <xf numFmtId="0" fontId="18" fillId="13" borderId="30" xfId="23" applyFont="1" applyFill="1" applyBorder="1" applyAlignment="1">
      <alignment horizontal="center" vertical="center"/>
    </xf>
    <xf numFmtId="0" fontId="30" fillId="13" borderId="30" xfId="23" applyFont="1" applyFill="1" applyBorder="1" applyAlignment="1">
      <alignment horizontal="center" vertical="center"/>
    </xf>
    <xf numFmtId="0" fontId="18" fillId="13" borderId="38" xfId="23" applyFont="1" applyFill="1" applyBorder="1" applyAlignment="1">
      <alignment horizontal="center" vertical="center"/>
    </xf>
    <xf numFmtId="0" fontId="18" fillId="13" borderId="39" xfId="23" applyFont="1" applyFill="1" applyBorder="1" applyAlignment="1">
      <alignment horizontal="center" vertical="center"/>
    </xf>
    <xf numFmtId="0" fontId="15" fillId="0" borderId="14" xfId="16" applyFont="1" applyBorder="1" applyAlignment="1">
      <alignment horizontal="center" vertical="center"/>
    </xf>
    <xf numFmtId="0" fontId="15" fillId="0" borderId="71" xfId="16" applyFont="1" applyBorder="1" applyAlignment="1">
      <alignment horizontal="center" vertical="center"/>
    </xf>
    <xf numFmtId="0" fontId="15" fillId="0" borderId="0" xfId="16" applyFont="1">
      <alignment vertical="center"/>
    </xf>
    <xf numFmtId="0" fontId="31" fillId="0" borderId="0" xfId="16" applyFont="1" applyAlignment="1">
      <alignment horizontal="right" vertical="center"/>
    </xf>
    <xf numFmtId="0" fontId="18" fillId="10" borderId="49" xfId="23" applyFont="1" applyFill="1" applyBorder="1" applyAlignment="1">
      <alignment horizontal="center" vertical="center"/>
    </xf>
    <xf numFmtId="0" fontId="18" fillId="10" borderId="19" xfId="23" applyFont="1" applyFill="1" applyBorder="1" applyAlignment="1">
      <alignment horizontal="center" vertical="center"/>
    </xf>
    <xf numFmtId="0" fontId="18" fillId="10" borderId="50" xfId="23" applyFont="1" applyFill="1" applyBorder="1" applyAlignment="1">
      <alignment horizontal="center" vertical="center"/>
    </xf>
    <xf numFmtId="0" fontId="18" fillId="10" borderId="0" xfId="16" applyFont="1" applyFill="1">
      <alignment vertical="center"/>
    </xf>
    <xf numFmtId="0" fontId="25" fillId="10" borderId="4" xfId="0" applyFont="1" applyFill="1" applyBorder="1" applyAlignment="1">
      <alignment horizontal="center" vertical="center"/>
    </xf>
    <xf numFmtId="0" fontId="18" fillId="10" borderId="68" xfId="0" applyFont="1" applyFill="1" applyBorder="1" applyAlignment="1">
      <alignment horizontal="center" vertical="center"/>
    </xf>
    <xf numFmtId="0" fontId="18" fillId="10" borderId="4" xfId="0" applyFont="1" applyFill="1" applyBorder="1" applyAlignment="1">
      <alignment horizontal="center" vertical="center"/>
    </xf>
    <xf numFmtId="0" fontId="43" fillId="16" borderId="68" xfId="0" applyFont="1" applyFill="1" applyBorder="1" applyAlignment="1">
      <alignment horizontal="center" vertical="center"/>
    </xf>
    <xf numFmtId="0" fontId="30" fillId="13" borderId="4" xfId="0" applyFont="1" applyFill="1" applyBorder="1" applyAlignment="1">
      <alignment horizontal="center" vertical="center"/>
    </xf>
    <xf numFmtId="188" fontId="30" fillId="13" borderId="4" xfId="0" applyNumberFormat="1" applyFont="1" applyFill="1" applyBorder="1" applyAlignment="1">
      <alignment horizontal="center" vertical="center"/>
    </xf>
    <xf numFmtId="0" fontId="19" fillId="13" borderId="4" xfId="0" applyFont="1" applyFill="1" applyBorder="1" applyAlignment="1">
      <alignment horizontal="center" vertical="center" wrapText="1"/>
    </xf>
    <xf numFmtId="196" fontId="30" fillId="13" borderId="4" xfId="0" applyNumberFormat="1" applyFont="1" applyFill="1" applyBorder="1" applyAlignment="1">
      <alignment horizontal="center" vertical="center"/>
    </xf>
    <xf numFmtId="205" fontId="30" fillId="13" borderId="4" xfId="0" applyNumberFormat="1" applyFont="1" applyFill="1" applyBorder="1" applyAlignment="1">
      <alignment horizontal="center" vertical="center"/>
    </xf>
    <xf numFmtId="0" fontId="36" fillId="16" borderId="0" xfId="18" applyFont="1" applyFill="1" applyAlignment="1">
      <alignment horizontal="center" vertical="center"/>
    </xf>
    <xf numFmtId="0" fontId="42" fillId="26" borderId="35" xfId="18" applyFont="1" applyFill="1" applyBorder="1" applyAlignment="1">
      <alignment horizontal="center" vertical="center" wrapText="1"/>
    </xf>
    <xf numFmtId="0" fontId="17" fillId="10" borderId="33" xfId="18" applyFont="1" applyFill="1" applyBorder="1" applyAlignment="1">
      <alignment horizontal="center" vertical="center" wrapText="1"/>
    </xf>
    <xf numFmtId="0" fontId="17" fillId="10" borderId="34" xfId="18" applyFont="1" applyFill="1" applyBorder="1" applyAlignment="1">
      <alignment horizontal="center" vertical="center" wrapText="1"/>
    </xf>
    <xf numFmtId="0" fontId="16" fillId="10" borderId="36" xfId="18" applyFont="1" applyFill="1" applyBorder="1" applyAlignment="1">
      <alignment horizontal="center" vertical="center" wrapText="1"/>
    </xf>
    <xf numFmtId="193" fontId="42" fillId="16" borderId="35" xfId="18" applyNumberFormat="1" applyFont="1" applyFill="1" applyBorder="1" applyAlignment="1">
      <alignment horizontal="center" vertical="center" wrapText="1"/>
    </xf>
    <xf numFmtId="0" fontId="42" fillId="16" borderId="38" xfId="18" applyFont="1" applyFill="1" applyBorder="1" applyAlignment="1">
      <alignment horizontal="center" vertical="center" wrapText="1"/>
    </xf>
    <xf numFmtId="184" fontId="18" fillId="10" borderId="9" xfId="16" applyNumberFormat="1" applyFont="1" applyFill="1" applyBorder="1" applyAlignment="1">
      <alignment horizontal="center" vertical="center"/>
    </xf>
    <xf numFmtId="0" fontId="18" fillId="0" borderId="9" xfId="16" applyFont="1" applyBorder="1" applyAlignment="1">
      <alignment horizontal="center" vertical="center"/>
    </xf>
    <xf numFmtId="0" fontId="18" fillId="0" borderId="10" xfId="16" applyFont="1" applyBorder="1" applyAlignment="1">
      <alignment horizontal="center" vertical="center"/>
    </xf>
    <xf numFmtId="185" fontId="18" fillId="10" borderId="4" xfId="16" applyNumberFormat="1" applyFont="1" applyFill="1" applyBorder="1" applyAlignment="1">
      <alignment horizontal="center" vertical="center"/>
    </xf>
    <xf numFmtId="0" fontId="18" fillId="0" borderId="4" xfId="16" applyFont="1" applyBorder="1" applyAlignment="1">
      <alignment horizontal="center" vertical="center"/>
    </xf>
    <xf numFmtId="0" fontId="18" fillId="0" borderId="68" xfId="16" applyFont="1" applyBorder="1" applyAlignment="1">
      <alignment horizontal="center" vertical="center"/>
    </xf>
    <xf numFmtId="10" fontId="31" fillId="17" borderId="4" xfId="24" applyNumberFormat="1" applyFont="1" applyFill="1" applyBorder="1" applyAlignment="1">
      <alignment horizontal="center" vertical="center"/>
    </xf>
    <xf numFmtId="10" fontId="31" fillId="17" borderId="4" xfId="16" applyNumberFormat="1" applyFont="1" applyFill="1" applyBorder="1" applyAlignment="1">
      <alignment horizontal="center" vertical="center"/>
    </xf>
    <xf numFmtId="10" fontId="31" fillId="17" borderId="68" xfId="16" applyNumberFormat="1" applyFont="1" applyFill="1" applyBorder="1" applyAlignment="1">
      <alignment horizontal="center" vertical="center"/>
    </xf>
    <xf numFmtId="187" fontId="18" fillId="10" borderId="4" xfId="16" applyNumberFormat="1" applyFont="1" applyFill="1" applyBorder="1" applyAlignment="1">
      <alignment horizontal="center" vertical="center"/>
    </xf>
    <xf numFmtId="199" fontId="18" fillId="0" borderId="68" xfId="16" applyNumberFormat="1" applyFont="1" applyBorder="1" applyAlignment="1">
      <alignment horizontal="center" vertical="center"/>
    </xf>
    <xf numFmtId="10" fontId="31" fillId="18" borderId="25" xfId="24" applyNumberFormat="1" applyFont="1" applyFill="1" applyBorder="1" applyAlignment="1">
      <alignment horizontal="center" vertical="center"/>
    </xf>
    <xf numFmtId="10" fontId="31" fillId="18" borderId="25" xfId="16" applyNumberFormat="1" applyFont="1" applyFill="1" applyBorder="1" applyAlignment="1">
      <alignment horizontal="center" vertical="center"/>
    </xf>
    <xf numFmtId="10" fontId="31" fillId="18" borderId="26" xfId="16" applyNumberFormat="1" applyFont="1" applyFill="1" applyBorder="1" applyAlignment="1">
      <alignment horizontal="center" vertical="center"/>
    </xf>
    <xf numFmtId="0" fontId="34" fillId="0" borderId="49" xfId="16" applyFont="1" applyBorder="1" applyAlignment="1">
      <alignment horizontal="center" vertical="center"/>
    </xf>
    <xf numFmtId="0" fontId="34" fillId="0" borderId="57" xfId="16" applyFont="1" applyBorder="1" applyAlignment="1">
      <alignment horizontal="center" vertical="center"/>
    </xf>
    <xf numFmtId="0" fontId="17" fillId="10" borderId="40" xfId="18" applyFont="1" applyFill="1" applyBorder="1" applyAlignment="1">
      <alignment horizontal="center" vertical="center" wrapText="1"/>
    </xf>
    <xf numFmtId="0" fontId="39" fillId="5" borderId="40" xfId="18" applyFont="1" applyFill="1" applyBorder="1" applyAlignment="1">
      <alignment horizontal="center" vertical="center" wrapText="1"/>
    </xf>
    <xf numFmtId="0" fontId="46" fillId="0" borderId="0" xfId="16" applyFont="1">
      <alignment vertical="center"/>
    </xf>
    <xf numFmtId="0" fontId="46" fillId="0" borderId="58" xfId="16" applyFont="1" applyBorder="1" applyAlignment="1">
      <alignment horizontal="center" vertical="center"/>
    </xf>
    <xf numFmtId="196" fontId="46" fillId="0" borderId="35" xfId="16" applyNumberFormat="1" applyFont="1" applyBorder="1" applyAlignment="1">
      <alignment horizontal="center" vertical="center"/>
    </xf>
    <xf numFmtId="0" fontId="47" fillId="7" borderId="50" xfId="16" applyFont="1" applyFill="1" applyBorder="1" applyAlignment="1">
      <alignment horizontal="center" vertical="center"/>
    </xf>
    <xf numFmtId="194" fontId="47" fillId="0" borderId="50" xfId="16" applyNumberFormat="1" applyFont="1" applyBorder="1" applyAlignment="1">
      <alignment horizontal="center" vertical="center"/>
    </xf>
    <xf numFmtId="0" fontId="31" fillId="10" borderId="10" xfId="18" applyFont="1" applyFill="1" applyBorder="1" applyAlignment="1">
      <alignment horizontal="center" vertical="center"/>
    </xf>
    <xf numFmtId="0" fontId="31" fillId="10" borderId="26" xfId="18" applyFont="1" applyFill="1" applyBorder="1" applyAlignment="1">
      <alignment horizontal="center" vertical="center"/>
    </xf>
    <xf numFmtId="0" fontId="53" fillId="0" borderId="0" xfId="0" applyFont="1" applyAlignment="1">
      <alignment horizontal="center" vertical="center"/>
    </xf>
    <xf numFmtId="0" fontId="19" fillId="10" borderId="8" xfId="18" applyFont="1" applyFill="1" applyBorder="1" applyAlignment="1">
      <alignment horizontal="center" vertical="center"/>
    </xf>
    <xf numFmtId="0" fontId="19" fillId="10" borderId="24" xfId="18" applyFont="1" applyFill="1" applyBorder="1" applyAlignment="1">
      <alignment horizontal="center" vertical="center"/>
    </xf>
    <xf numFmtId="0" fontId="34" fillId="25" borderId="8" xfId="0" applyFont="1" applyFill="1" applyBorder="1" applyAlignment="1">
      <alignment horizontal="center" vertical="center"/>
    </xf>
    <xf numFmtId="0" fontId="34" fillId="25" borderId="9" xfId="0" applyFont="1" applyFill="1" applyBorder="1" applyAlignment="1">
      <alignment horizontal="center" vertical="center"/>
    </xf>
    <xf numFmtId="0" fontId="34" fillId="25" borderId="10" xfId="0" applyFont="1" applyFill="1" applyBorder="1" applyAlignment="1">
      <alignment horizontal="center" vertical="center"/>
    </xf>
    <xf numFmtId="0" fontId="34" fillId="25" borderId="67" xfId="0" applyFont="1" applyFill="1" applyBorder="1" applyAlignment="1">
      <alignment horizontal="center" vertical="center"/>
    </xf>
    <xf numFmtId="0" fontId="34" fillId="25" borderId="4" xfId="0" applyFont="1" applyFill="1" applyBorder="1" applyAlignment="1">
      <alignment horizontal="center" vertical="center"/>
    </xf>
    <xf numFmtId="0" fontId="34" fillId="25" borderId="68" xfId="0" applyFont="1" applyFill="1" applyBorder="1" applyAlignment="1">
      <alignment horizontal="center" vertical="center"/>
    </xf>
    <xf numFmtId="0" fontId="34" fillId="25" borderId="24" xfId="0" applyFont="1" applyFill="1" applyBorder="1" applyAlignment="1">
      <alignment horizontal="center" vertical="center"/>
    </xf>
    <xf numFmtId="0" fontId="34" fillId="25" borderId="25" xfId="0" applyFont="1" applyFill="1" applyBorder="1" applyAlignment="1">
      <alignment horizontal="center" vertical="center"/>
    </xf>
    <xf numFmtId="0" fontId="34" fillId="25" borderId="26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31" fillId="0" borderId="0" xfId="18" applyFont="1" applyAlignment="1">
      <alignment horizontal="left" vertical="center"/>
    </xf>
    <xf numFmtId="0" fontId="28" fillId="0" borderId="9" xfId="0" applyFont="1" applyBorder="1" applyAlignment="1">
      <alignment horizontal="center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13" borderId="4" xfId="0" applyFont="1" applyFill="1" applyBorder="1" applyAlignment="1">
      <alignment horizontal="center" vertical="center"/>
    </xf>
    <xf numFmtId="0" fontId="28" fillId="10" borderId="4" xfId="0" applyFont="1" applyFill="1" applyBorder="1" applyAlignment="1">
      <alignment horizontal="center" vertical="center"/>
    </xf>
    <xf numFmtId="0" fontId="28" fillId="13" borderId="25" xfId="0" applyFont="1" applyFill="1" applyBorder="1" applyAlignment="1">
      <alignment horizontal="center" vertical="center"/>
    </xf>
    <xf numFmtId="0" fontId="55" fillId="0" borderId="0" xfId="16" applyFont="1" applyAlignment="1">
      <alignment horizontal="center" vertical="center"/>
    </xf>
    <xf numFmtId="0" fontId="36" fillId="27" borderId="0" xfId="16" applyFont="1" applyFill="1" applyAlignment="1">
      <alignment horizontal="center" vertical="center"/>
    </xf>
    <xf numFmtId="0" fontId="25" fillId="0" borderId="8" xfId="0" applyFont="1" applyBorder="1" applyAlignment="1">
      <alignment horizontal="center" vertical="center"/>
    </xf>
    <xf numFmtId="0" fontId="25" fillId="0" borderId="10" xfId="0" applyFont="1" applyBorder="1" applyAlignment="1">
      <alignment horizontal="center" vertical="center"/>
    </xf>
    <xf numFmtId="0" fontId="41" fillId="0" borderId="0" xfId="16" applyFont="1" applyAlignment="1">
      <alignment horizontal="center" vertical="center"/>
    </xf>
    <xf numFmtId="0" fontId="57" fillId="0" borderId="0" xfId="0" applyFont="1"/>
    <xf numFmtId="0" fontId="25" fillId="0" borderId="100" xfId="0" applyFont="1" applyBorder="1" applyAlignment="1">
      <alignment horizontal="center" vertical="center"/>
    </xf>
    <xf numFmtId="0" fontId="25" fillId="0" borderId="30" xfId="0" applyFont="1" applyBorder="1" applyAlignment="1">
      <alignment horizontal="center" vertical="center"/>
    </xf>
    <xf numFmtId="0" fontId="25" fillId="10" borderId="83" xfId="0" applyFont="1" applyFill="1" applyBorder="1" applyAlignment="1">
      <alignment horizontal="center" vertical="center"/>
    </xf>
    <xf numFmtId="0" fontId="25" fillId="10" borderId="48" xfId="0" applyFont="1" applyFill="1" applyBorder="1" applyAlignment="1">
      <alignment horizontal="center" vertical="center"/>
    </xf>
    <xf numFmtId="0" fontId="25" fillId="10" borderId="20" xfId="0" applyFont="1" applyFill="1" applyBorder="1" applyAlignment="1">
      <alignment horizontal="center" vertical="center"/>
    </xf>
    <xf numFmtId="0" fontId="25" fillId="10" borderId="50" xfId="0" applyFont="1" applyFill="1" applyBorder="1" applyAlignment="1">
      <alignment horizontal="center" vertical="center"/>
    </xf>
    <xf numFmtId="0" fontId="25" fillId="10" borderId="60" xfId="0" applyFont="1" applyFill="1" applyBorder="1" applyAlignment="1">
      <alignment horizontal="center" vertical="center"/>
    </xf>
    <xf numFmtId="0" fontId="25" fillId="10" borderId="53" xfId="0" applyFont="1" applyFill="1" applyBorder="1" applyAlignment="1">
      <alignment horizontal="center" vertical="center"/>
    </xf>
    <xf numFmtId="0" fontId="25" fillId="10" borderId="59" xfId="0" applyFont="1" applyFill="1" applyBorder="1" applyAlignment="1">
      <alignment horizontal="center" vertical="center"/>
    </xf>
    <xf numFmtId="0" fontId="25" fillId="10" borderId="56" xfId="0" applyFont="1" applyFill="1" applyBorder="1" applyAlignment="1">
      <alignment horizontal="center" vertical="center"/>
    </xf>
    <xf numFmtId="0" fontId="25" fillId="10" borderId="20" xfId="17" applyNumberFormat="1" applyFont="1" applyFill="1" applyBorder="1" applyAlignment="1">
      <alignment horizontal="center" vertical="center"/>
    </xf>
    <xf numFmtId="0" fontId="25" fillId="10" borderId="50" xfId="17" applyNumberFormat="1" applyFont="1" applyFill="1" applyBorder="1" applyAlignment="1">
      <alignment horizontal="center" vertical="center"/>
    </xf>
    <xf numFmtId="0" fontId="25" fillId="10" borderId="23" xfId="17" applyNumberFormat="1" applyFont="1" applyFill="1" applyBorder="1" applyAlignment="1">
      <alignment horizontal="center" vertical="center"/>
    </xf>
    <xf numFmtId="0" fontId="25" fillId="10" borderId="58" xfId="17" applyNumberFormat="1" applyFont="1" applyFill="1" applyBorder="1" applyAlignment="1">
      <alignment horizontal="center" vertical="center"/>
    </xf>
    <xf numFmtId="0" fontId="25" fillId="10" borderId="22" xfId="17" applyNumberFormat="1" applyFont="1" applyFill="1" applyBorder="1" applyAlignment="1">
      <alignment horizontal="center" vertical="center"/>
    </xf>
    <xf numFmtId="0" fontId="25" fillId="10" borderId="62" xfId="17" applyNumberFormat="1" applyFont="1" applyFill="1" applyBorder="1" applyAlignment="1">
      <alignment horizontal="center" vertical="center"/>
    </xf>
    <xf numFmtId="0" fontId="56" fillId="0" borderId="0" xfId="0" applyFont="1" applyAlignment="1">
      <alignment horizontal="center" vertical="center"/>
    </xf>
    <xf numFmtId="0" fontId="35" fillId="0" borderId="0" xfId="0" applyFont="1" applyAlignment="1">
      <alignment horizontal="center" vertical="center"/>
    </xf>
    <xf numFmtId="0" fontId="25" fillId="0" borderId="46" xfId="0" applyFont="1" applyBorder="1" applyAlignment="1">
      <alignment horizontal="center" vertical="center"/>
    </xf>
    <xf numFmtId="0" fontId="25" fillId="0" borderId="47" xfId="17" applyNumberFormat="1" applyFont="1" applyBorder="1" applyAlignment="1">
      <alignment horizontal="center" vertical="center"/>
    </xf>
    <xf numFmtId="0" fontId="25" fillId="0" borderId="47" xfId="17" applyNumberFormat="1" applyFont="1" applyBorder="1" applyAlignment="1">
      <alignment horizontal="center" vertical="center" wrapText="1"/>
    </xf>
    <xf numFmtId="0" fontId="25" fillId="0" borderId="48" xfId="17" applyNumberFormat="1" applyFont="1" applyBorder="1" applyAlignment="1">
      <alignment horizontal="center" vertical="center"/>
    </xf>
    <xf numFmtId="0" fontId="25" fillId="0" borderId="19" xfId="17" applyNumberFormat="1" applyFont="1" applyBorder="1" applyAlignment="1">
      <alignment horizontal="center" vertical="center"/>
    </xf>
    <xf numFmtId="0" fontId="25" fillId="0" borderId="19" xfId="17" applyNumberFormat="1" applyFont="1" applyBorder="1" applyAlignment="1">
      <alignment horizontal="center" vertical="center" wrapText="1"/>
    </xf>
    <xf numFmtId="0" fontId="25" fillId="0" borderId="50" xfId="17" applyNumberFormat="1" applyFont="1" applyBorder="1" applyAlignment="1">
      <alignment horizontal="center" vertical="center"/>
    </xf>
    <xf numFmtId="0" fontId="25" fillId="0" borderId="51" xfId="0" applyFont="1" applyBorder="1" applyAlignment="1">
      <alignment horizontal="center" vertical="center"/>
    </xf>
    <xf numFmtId="0" fontId="25" fillId="0" borderId="52" xfId="17" applyNumberFormat="1" applyFont="1" applyBorder="1" applyAlignment="1">
      <alignment horizontal="center" vertical="center"/>
    </xf>
    <xf numFmtId="0" fontId="25" fillId="0" borderId="53" xfId="17" applyNumberFormat="1" applyFont="1" applyBorder="1" applyAlignment="1">
      <alignment horizontal="center" vertical="center"/>
    </xf>
    <xf numFmtId="0" fontId="25" fillId="10" borderId="54" xfId="0" applyFont="1" applyFill="1" applyBorder="1" applyAlignment="1">
      <alignment horizontal="center" vertical="center"/>
    </xf>
    <xf numFmtId="0" fontId="25" fillId="10" borderId="55" xfId="0" applyFont="1" applyFill="1" applyBorder="1" applyAlignment="1">
      <alignment horizontal="center" vertical="center"/>
    </xf>
    <xf numFmtId="0" fontId="25" fillId="10" borderId="49" xfId="0" applyFont="1" applyFill="1" applyBorder="1" applyAlignment="1">
      <alignment horizontal="center" vertical="center"/>
    </xf>
    <xf numFmtId="0" fontId="25" fillId="10" borderId="19" xfId="0" applyFont="1" applyFill="1" applyBorder="1" applyAlignment="1">
      <alignment horizontal="center" vertical="center"/>
    </xf>
    <xf numFmtId="0" fontId="25" fillId="10" borderId="57" xfId="0" applyFont="1" applyFill="1" applyBorder="1" applyAlignment="1">
      <alignment horizontal="center" vertical="center"/>
    </xf>
    <xf numFmtId="0" fontId="25" fillId="10" borderId="21" xfId="0" applyFont="1" applyFill="1" applyBorder="1" applyAlignment="1">
      <alignment horizontal="center" vertical="center"/>
    </xf>
    <xf numFmtId="0" fontId="25" fillId="10" borderId="58" xfId="0" applyFont="1" applyFill="1" applyBorder="1" applyAlignment="1">
      <alignment horizontal="center" vertical="center"/>
    </xf>
    <xf numFmtId="0" fontId="25" fillId="10" borderId="49" xfId="17" applyNumberFormat="1" applyFont="1" applyFill="1" applyBorder="1" applyAlignment="1">
      <alignment horizontal="center" vertical="center"/>
    </xf>
    <xf numFmtId="0" fontId="25" fillId="10" borderId="19" xfId="17" applyNumberFormat="1" applyFont="1" applyFill="1" applyBorder="1" applyAlignment="1">
      <alignment horizontal="center" vertical="center"/>
    </xf>
    <xf numFmtId="0" fontId="25" fillId="10" borderId="57" xfId="17" applyNumberFormat="1" applyFont="1" applyFill="1" applyBorder="1" applyAlignment="1">
      <alignment horizontal="center" vertical="center"/>
    </xf>
    <xf numFmtId="0" fontId="25" fillId="10" borderId="21" xfId="17" applyNumberFormat="1" applyFont="1" applyFill="1" applyBorder="1" applyAlignment="1">
      <alignment horizontal="center" vertical="center"/>
    </xf>
    <xf numFmtId="0" fontId="25" fillId="10" borderId="61" xfId="17" applyNumberFormat="1" applyFont="1" applyFill="1" applyBorder="1" applyAlignment="1">
      <alignment horizontal="center" vertical="center"/>
    </xf>
    <xf numFmtId="0" fontId="25" fillId="10" borderId="63" xfId="17" applyNumberFormat="1" applyFont="1" applyFill="1" applyBorder="1" applyAlignment="1">
      <alignment horizontal="center" vertical="center"/>
    </xf>
    <xf numFmtId="0" fontId="56" fillId="0" borderId="0" xfId="0" applyFont="1" applyAlignment="1">
      <alignment horizontal="left" vertical="center"/>
    </xf>
    <xf numFmtId="0" fontId="20" fillId="0" borderId="0" xfId="16" applyFont="1" applyAlignment="1">
      <alignment horizontal="center" vertical="center"/>
    </xf>
    <xf numFmtId="0" fontId="30" fillId="13" borderId="29" xfId="23" applyFont="1" applyFill="1" applyBorder="1" applyAlignment="1">
      <alignment horizontal="center" vertical="center"/>
    </xf>
    <xf numFmtId="0" fontId="30" fillId="13" borderId="9" xfId="23" applyFont="1" applyFill="1" applyBorder="1" applyAlignment="1">
      <alignment horizontal="center" vertical="center"/>
    </xf>
    <xf numFmtId="0" fontId="30" fillId="13" borderId="10" xfId="23" applyFont="1" applyFill="1" applyBorder="1" applyAlignment="1">
      <alignment horizontal="center" vertical="center"/>
    </xf>
    <xf numFmtId="0" fontId="18" fillId="0" borderId="0" xfId="20" applyNumberFormat="1" applyFont="1">
      <alignment vertical="center"/>
    </xf>
    <xf numFmtId="0" fontId="30" fillId="13" borderId="29" xfId="20" applyNumberFormat="1" applyFont="1" applyFill="1" applyBorder="1" applyAlignment="1">
      <alignment horizontal="center" vertical="center"/>
    </xf>
    <xf numFmtId="0" fontId="30" fillId="0" borderId="12" xfId="20" applyNumberFormat="1" applyFont="1" applyBorder="1" applyAlignment="1">
      <alignment horizontal="center" vertical="center"/>
    </xf>
    <xf numFmtId="0" fontId="18" fillId="0" borderId="12" xfId="20" applyNumberFormat="1" applyFont="1" applyBorder="1" applyAlignment="1">
      <alignment horizontal="center" vertical="center"/>
    </xf>
    <xf numFmtId="0" fontId="30" fillId="0" borderId="15" xfId="20" applyNumberFormat="1" applyFont="1" applyBorder="1" applyAlignment="1">
      <alignment horizontal="center" vertical="center"/>
    </xf>
    <xf numFmtId="0" fontId="30" fillId="9" borderId="12" xfId="20" applyNumberFormat="1" applyFont="1" applyFill="1" applyBorder="1" applyAlignment="1">
      <alignment horizontal="center" vertical="center"/>
    </xf>
    <xf numFmtId="0" fontId="30" fillId="0" borderId="41" xfId="20" applyNumberFormat="1" applyFont="1" applyBorder="1" applyAlignment="1">
      <alignment horizontal="center" vertical="center"/>
    </xf>
    <xf numFmtId="0" fontId="55" fillId="0" borderId="0" xfId="20" applyNumberFormat="1" applyFont="1" applyAlignment="1">
      <alignment horizontal="center" vertical="center"/>
    </xf>
    <xf numFmtId="0" fontId="30" fillId="11" borderId="96" xfId="20" applyNumberFormat="1" applyFont="1" applyFill="1" applyBorder="1" applyAlignment="1">
      <alignment horizontal="center" vertical="center"/>
    </xf>
    <xf numFmtId="0" fontId="28" fillId="7" borderId="38" xfId="0" applyFont="1" applyFill="1" applyBorder="1" applyAlignment="1">
      <alignment horizontal="center" vertical="center"/>
    </xf>
    <xf numFmtId="10" fontId="30" fillId="12" borderId="4" xfId="16" applyNumberFormat="1" applyFont="1" applyFill="1" applyBorder="1" applyAlignment="1">
      <alignment horizontal="center" vertical="center"/>
    </xf>
    <xf numFmtId="10" fontId="30" fillId="12" borderId="68" xfId="16" applyNumberFormat="1" applyFont="1" applyFill="1" applyBorder="1" applyAlignment="1">
      <alignment horizontal="center" vertical="center"/>
    </xf>
    <xf numFmtId="10" fontId="36" fillId="29" borderId="9" xfId="16" applyNumberFormat="1" applyFont="1" applyFill="1" applyBorder="1" applyAlignment="1">
      <alignment horizontal="center" vertical="center"/>
    </xf>
    <xf numFmtId="10" fontId="36" fillId="29" borderId="10" xfId="16" applyNumberFormat="1" applyFont="1" applyFill="1" applyBorder="1" applyAlignment="1">
      <alignment horizontal="center" vertical="center"/>
    </xf>
    <xf numFmtId="10" fontId="36" fillId="30" borderId="25" xfId="16" applyNumberFormat="1" applyFont="1" applyFill="1" applyBorder="1" applyAlignment="1">
      <alignment horizontal="center" vertical="center"/>
    </xf>
    <xf numFmtId="10" fontId="36" fillId="30" borderId="26" xfId="16" applyNumberFormat="1" applyFont="1" applyFill="1" applyBorder="1" applyAlignment="1">
      <alignment horizontal="center" vertical="center"/>
    </xf>
    <xf numFmtId="185" fontId="38" fillId="19" borderId="27" xfId="18" applyNumberFormat="1" applyFont="1" applyFill="1" applyBorder="1" applyAlignment="1">
      <alignment horizontal="center" vertical="center"/>
    </xf>
    <xf numFmtId="185" fontId="38" fillId="19" borderId="38" xfId="18" applyNumberFormat="1" applyFont="1" applyFill="1" applyBorder="1" applyAlignment="1">
      <alignment horizontal="center" vertical="center"/>
    </xf>
    <xf numFmtId="185" fontId="38" fillId="28" borderId="30" xfId="18" applyNumberFormat="1" applyFont="1" applyFill="1" applyBorder="1" applyAlignment="1">
      <alignment horizontal="center" vertical="center"/>
    </xf>
    <xf numFmtId="0" fontId="28" fillId="3" borderId="8" xfId="0" applyFont="1" applyFill="1" applyBorder="1" applyAlignment="1">
      <alignment horizontal="center" vertical="center"/>
    </xf>
    <xf numFmtId="0" fontId="28" fillId="3" borderId="9" xfId="0" applyFont="1" applyFill="1" applyBorder="1" applyAlignment="1">
      <alignment horizontal="center" vertical="center"/>
    </xf>
    <xf numFmtId="0" fontId="28" fillId="3" borderId="9" xfId="0" applyFont="1" applyFill="1" applyBorder="1" applyAlignment="1">
      <alignment horizontal="center" vertical="center" wrapText="1"/>
    </xf>
    <xf numFmtId="0" fontId="28" fillId="3" borderId="10" xfId="0" applyFont="1" applyFill="1" applyBorder="1" applyAlignment="1">
      <alignment horizontal="center" vertical="center"/>
    </xf>
    <xf numFmtId="0" fontId="28" fillId="3" borderId="91" xfId="0" applyFont="1" applyFill="1" applyBorder="1" applyAlignment="1">
      <alignment horizontal="center" vertical="center"/>
    </xf>
    <xf numFmtId="0" fontId="28" fillId="3" borderId="92" xfId="0" applyFont="1" applyFill="1" applyBorder="1" applyAlignment="1">
      <alignment horizontal="center" vertical="center"/>
    </xf>
    <xf numFmtId="0" fontId="28" fillId="3" borderId="93" xfId="0" applyFont="1" applyFill="1" applyBorder="1" applyAlignment="1">
      <alignment horizontal="center" vertical="center"/>
    </xf>
    <xf numFmtId="0" fontId="29" fillId="7" borderId="97" xfId="0" applyFont="1" applyFill="1" applyBorder="1" applyAlignment="1">
      <alignment horizontal="center" vertical="center"/>
    </xf>
    <xf numFmtId="0" fontId="29" fillId="7" borderId="98" xfId="0" applyFont="1" applyFill="1" applyBorder="1" applyAlignment="1">
      <alignment horizontal="center" vertical="center"/>
    </xf>
    <xf numFmtId="0" fontId="29" fillId="7" borderId="99" xfId="0" applyFont="1" applyFill="1" applyBorder="1" applyAlignment="1">
      <alignment horizontal="center" vertical="center"/>
    </xf>
    <xf numFmtId="0" fontId="29" fillId="7" borderId="102" xfId="0" applyFont="1" applyFill="1" applyBorder="1" applyAlignment="1">
      <alignment horizontal="center" vertical="center"/>
    </xf>
    <xf numFmtId="0" fontId="28" fillId="7" borderId="54" xfId="17" applyNumberFormat="1" applyFont="1" applyFill="1" applyBorder="1" applyAlignment="1">
      <alignment horizontal="center" vertical="center"/>
    </xf>
    <xf numFmtId="0" fontId="28" fillId="7" borderId="55" xfId="17" applyNumberFormat="1" applyFont="1" applyFill="1" applyBorder="1" applyAlignment="1">
      <alignment horizontal="center" vertical="center"/>
    </xf>
    <xf numFmtId="0" fontId="28" fillId="7" borderId="56" xfId="17" applyNumberFormat="1" applyFont="1" applyFill="1" applyBorder="1" applyAlignment="1">
      <alignment horizontal="center" vertical="center"/>
    </xf>
    <xf numFmtId="0" fontId="28" fillId="7" borderId="59" xfId="17" applyNumberFormat="1" applyFont="1" applyFill="1" applyBorder="1" applyAlignment="1">
      <alignment horizontal="center" vertical="center"/>
    </xf>
    <xf numFmtId="198" fontId="46" fillId="24" borderId="0" xfId="0" applyNumberFormat="1" applyFont="1" applyFill="1" applyAlignment="1">
      <alignment horizontal="center" vertical="center"/>
    </xf>
    <xf numFmtId="0" fontId="58" fillId="31" borderId="64" xfId="0" applyFont="1" applyFill="1" applyBorder="1" applyAlignment="1">
      <alignment horizontal="center" vertical="center"/>
    </xf>
    <xf numFmtId="0" fontId="58" fillId="31" borderId="27" xfId="0" applyFont="1" applyFill="1" applyBorder="1" applyAlignment="1">
      <alignment horizontal="center" vertical="center"/>
    </xf>
    <xf numFmtId="199" fontId="25" fillId="0" borderId="4" xfId="0" applyNumberFormat="1" applyFont="1" applyBorder="1" applyAlignment="1">
      <alignment horizontal="center" vertical="center"/>
    </xf>
    <xf numFmtId="0" fontId="25" fillId="3" borderId="9" xfId="0" applyFont="1" applyFill="1" applyBorder="1" applyAlignment="1">
      <alignment horizontal="center" vertical="center" wrapText="1"/>
    </xf>
    <xf numFmtId="0" fontId="28" fillId="10" borderId="23" xfId="17" applyNumberFormat="1" applyFont="1" applyFill="1" applyBorder="1" applyAlignment="1">
      <alignment horizontal="center" vertical="center"/>
    </xf>
    <xf numFmtId="0" fontId="57" fillId="0" borderId="0" xfId="16" applyFont="1" applyAlignment="1">
      <alignment horizontal="center" vertical="center"/>
    </xf>
    <xf numFmtId="0" fontId="25" fillId="4" borderId="35" xfId="0" applyFont="1" applyFill="1" applyBorder="1" applyAlignment="1">
      <alignment horizontal="center" vertical="center"/>
    </xf>
    <xf numFmtId="193" fontId="16" fillId="25" borderId="12" xfId="18" applyNumberFormat="1" applyFont="1" applyFill="1" applyBorder="1" applyAlignment="1">
      <alignment horizontal="center" vertical="center" wrapText="1"/>
    </xf>
    <xf numFmtId="193" fontId="16" fillId="0" borderId="12" xfId="18" applyNumberFormat="1" applyFont="1" applyBorder="1" applyAlignment="1">
      <alignment horizontal="center" vertical="center" wrapText="1"/>
    </xf>
    <xf numFmtId="204" fontId="16" fillId="0" borderId="30" xfId="18" applyNumberFormat="1" applyFont="1" applyBorder="1" applyAlignment="1">
      <alignment horizontal="center" vertical="center" wrapText="1"/>
    </xf>
    <xf numFmtId="0" fontId="47" fillId="13" borderId="67" xfId="0" applyFont="1" applyFill="1" applyBorder="1" applyAlignment="1">
      <alignment horizontal="center" vertical="center"/>
    </xf>
    <xf numFmtId="0" fontId="47" fillId="13" borderId="4" xfId="0" applyFont="1" applyFill="1" applyBorder="1" applyAlignment="1">
      <alignment horizontal="center" vertical="center"/>
    </xf>
    <xf numFmtId="2" fontId="47" fillId="13" borderId="68" xfId="0" applyNumberFormat="1" applyFont="1" applyFill="1" applyBorder="1" applyAlignment="1">
      <alignment horizontal="center" vertical="center"/>
    </xf>
    <xf numFmtId="0" fontId="47" fillId="13" borderId="25" xfId="0" applyFont="1" applyFill="1" applyBorder="1" applyAlignment="1">
      <alignment horizontal="center" vertical="center"/>
    </xf>
    <xf numFmtId="0" fontId="47" fillId="13" borderId="68" xfId="0" applyFont="1" applyFill="1" applyBorder="1" applyAlignment="1">
      <alignment horizontal="center" vertical="center"/>
    </xf>
    <xf numFmtId="193" fontId="47" fillId="13" borderId="4" xfId="0" applyNumberFormat="1" applyFont="1" applyFill="1" applyBorder="1" applyAlignment="1">
      <alignment horizontal="center" vertical="center"/>
    </xf>
    <xf numFmtId="204" fontId="47" fillId="13" borderId="4" xfId="0" applyNumberFormat="1" applyFont="1" applyFill="1" applyBorder="1" applyAlignment="1">
      <alignment horizontal="center" vertical="center"/>
    </xf>
    <xf numFmtId="2" fontId="47" fillId="13" borderId="4" xfId="0" applyNumberFormat="1" applyFont="1" applyFill="1" applyBorder="1" applyAlignment="1">
      <alignment horizontal="center" vertical="center"/>
    </xf>
    <xf numFmtId="193" fontId="47" fillId="13" borderId="4" xfId="0" applyNumberFormat="1" applyFont="1" applyFill="1" applyBorder="1" applyAlignment="1">
      <alignment horizontal="center"/>
    </xf>
    <xf numFmtId="204" fontId="47" fillId="13" borderId="4" xfId="0" applyNumberFormat="1" applyFont="1" applyFill="1" applyBorder="1" applyAlignment="1">
      <alignment horizontal="center"/>
    </xf>
    <xf numFmtId="2" fontId="47" fillId="13" borderId="4" xfId="0" applyNumberFormat="1" applyFont="1" applyFill="1" applyBorder="1" applyAlignment="1">
      <alignment horizontal="center"/>
    </xf>
    <xf numFmtId="0" fontId="47" fillId="13" borderId="25" xfId="0" applyFont="1" applyFill="1" applyBorder="1" applyAlignment="1">
      <alignment horizontal="center"/>
    </xf>
    <xf numFmtId="0" fontId="25" fillId="13" borderId="4" xfId="0" applyFont="1" applyFill="1" applyBorder="1" applyAlignment="1">
      <alignment horizontal="center" vertical="center"/>
    </xf>
    <xf numFmtId="204" fontId="47" fillId="13" borderId="68" xfId="0" applyNumberFormat="1" applyFont="1" applyFill="1" applyBorder="1" applyAlignment="1">
      <alignment horizontal="center" vertical="center"/>
    </xf>
    <xf numFmtId="193" fontId="46" fillId="13" borderId="4" xfId="0" applyNumberFormat="1" applyFont="1" applyFill="1" applyBorder="1" applyAlignment="1">
      <alignment horizontal="center" vertical="center"/>
    </xf>
    <xf numFmtId="204" fontId="46" fillId="13" borderId="68" xfId="0" applyNumberFormat="1" applyFont="1" applyFill="1" applyBorder="1" applyAlignment="1">
      <alignment horizontal="center" vertical="center"/>
    </xf>
    <xf numFmtId="188" fontId="25" fillId="13" borderId="67" xfId="0" applyNumberFormat="1" applyFont="1" applyFill="1" applyBorder="1" applyAlignment="1">
      <alignment horizontal="center" vertical="center"/>
    </xf>
    <xf numFmtId="188" fontId="47" fillId="13" borderId="4" xfId="0" applyNumberFormat="1" applyFont="1" applyFill="1" applyBorder="1" applyAlignment="1">
      <alignment horizontal="center" vertical="center"/>
    </xf>
    <xf numFmtId="188" fontId="25" fillId="13" borderId="68" xfId="0" applyNumberFormat="1" applyFont="1" applyFill="1" applyBorder="1" applyAlignment="1">
      <alignment horizontal="center" vertical="center"/>
    </xf>
    <xf numFmtId="0" fontId="25" fillId="13" borderId="67" xfId="0" applyFont="1" applyFill="1" applyBorder="1" applyAlignment="1">
      <alignment horizontal="center" vertical="center"/>
    </xf>
    <xf numFmtId="202" fontId="47" fillId="13" borderId="68" xfId="0" applyNumberFormat="1" applyFont="1" applyFill="1" applyBorder="1" applyAlignment="1">
      <alignment horizontal="center" vertical="center"/>
    </xf>
    <xf numFmtId="199" fontId="47" fillId="13" borderId="68" xfId="0" applyNumberFormat="1" applyFont="1" applyFill="1" applyBorder="1" applyAlignment="1">
      <alignment horizontal="center" vertical="center"/>
    </xf>
    <xf numFmtId="199" fontId="47" fillId="13" borderId="68" xfId="24" applyNumberFormat="1" applyFont="1" applyFill="1" applyBorder="1" applyAlignment="1">
      <alignment horizontal="center" vertical="center"/>
    </xf>
    <xf numFmtId="199" fontId="49" fillId="13" borderId="67" xfId="24" applyNumberFormat="1" applyFont="1" applyFill="1" applyBorder="1" applyAlignment="1">
      <alignment horizontal="center" vertical="center"/>
    </xf>
    <xf numFmtId="0" fontId="49" fillId="13" borderId="4" xfId="24" applyNumberFormat="1" applyFont="1" applyFill="1" applyBorder="1" applyAlignment="1">
      <alignment horizontal="center" vertical="center"/>
    </xf>
    <xf numFmtId="0" fontId="49" fillId="13" borderId="68" xfId="24" applyNumberFormat="1" applyFont="1" applyFill="1" applyBorder="1" applyAlignment="1">
      <alignment horizontal="center" vertical="center"/>
    </xf>
    <xf numFmtId="195" fontId="43" fillId="21" borderId="50" xfId="16" applyNumberFormat="1" applyFont="1" applyFill="1" applyBorder="1" applyAlignment="1">
      <alignment horizontal="center" vertical="center"/>
    </xf>
    <xf numFmtId="195" fontId="49" fillId="22" borderId="35" xfId="16" applyNumberFormat="1" applyFont="1" applyFill="1" applyBorder="1">
      <alignment vertical="center"/>
    </xf>
    <xf numFmtId="0" fontId="60" fillId="0" borderId="0" xfId="0" applyFont="1" applyAlignment="1">
      <alignment horizontal="center" vertical="center"/>
    </xf>
    <xf numFmtId="0" fontId="30" fillId="13" borderId="38" xfId="23" applyFont="1" applyFill="1" applyBorder="1" applyAlignment="1">
      <alignment horizontal="center" vertical="center"/>
    </xf>
    <xf numFmtId="191" fontId="18" fillId="3" borderId="13" xfId="0" applyNumberFormat="1" applyFont="1" applyFill="1" applyBorder="1" applyAlignment="1">
      <alignment horizontal="center" vertical="center"/>
    </xf>
    <xf numFmtId="184" fontId="25" fillId="3" borderId="42" xfId="0" applyNumberFormat="1" applyFont="1" applyFill="1" applyBorder="1" applyAlignment="1">
      <alignment horizontal="center" vertical="center"/>
    </xf>
    <xf numFmtId="0" fontId="25" fillId="3" borderId="90" xfId="0" applyFont="1" applyFill="1" applyBorder="1" applyAlignment="1">
      <alignment horizontal="center" vertical="center"/>
    </xf>
    <xf numFmtId="191" fontId="25" fillId="3" borderId="27" xfId="0" applyNumberFormat="1" applyFont="1" applyFill="1" applyBorder="1" applyAlignment="1">
      <alignment horizontal="center" vertical="center"/>
    </xf>
    <xf numFmtId="188" fontId="25" fillId="3" borderId="38" xfId="0" applyNumberFormat="1" applyFont="1" applyFill="1" applyBorder="1" applyAlignment="1">
      <alignment horizontal="center" vertical="center"/>
    </xf>
    <xf numFmtId="184" fontId="25" fillId="3" borderId="1" xfId="0" applyNumberFormat="1" applyFont="1" applyFill="1" applyBorder="1" applyAlignment="1">
      <alignment horizontal="center" vertical="center"/>
    </xf>
    <xf numFmtId="0" fontId="25" fillId="3" borderId="89" xfId="0" applyFont="1" applyFill="1" applyBorder="1" applyAlignment="1">
      <alignment horizontal="center" vertical="center"/>
    </xf>
    <xf numFmtId="0" fontId="25" fillId="3" borderId="33" xfId="0" applyFont="1" applyFill="1" applyBorder="1" applyAlignment="1">
      <alignment horizontal="center" vertical="center"/>
    </xf>
    <xf numFmtId="0" fontId="25" fillId="3" borderId="70" xfId="0" applyFont="1" applyFill="1" applyBorder="1" applyAlignment="1">
      <alignment horizontal="center" vertical="center"/>
    </xf>
    <xf numFmtId="0" fontId="59" fillId="0" borderId="0" xfId="0" applyFont="1" applyAlignment="1">
      <alignment horizontal="left" vertical="center"/>
    </xf>
    <xf numFmtId="0" fontId="48" fillId="0" borderId="89" xfId="0" applyFont="1" applyBorder="1" applyAlignment="1">
      <alignment horizontal="center" vertical="center"/>
    </xf>
    <xf numFmtId="0" fontId="45" fillId="0" borderId="0" xfId="0" applyFont="1" applyAlignment="1">
      <alignment vertical="center"/>
    </xf>
    <xf numFmtId="0" fontId="25" fillId="13" borderId="24" xfId="0" applyFont="1" applyFill="1" applyBorder="1" applyAlignment="1">
      <alignment horizontal="center" vertical="center"/>
    </xf>
    <xf numFmtId="193" fontId="46" fillId="10" borderId="4" xfId="0" applyNumberFormat="1" applyFont="1" applyFill="1" applyBorder="1" applyAlignment="1">
      <alignment horizontal="center" vertical="center"/>
    </xf>
    <xf numFmtId="204" fontId="46" fillId="10" borderId="68" xfId="0" applyNumberFormat="1" applyFont="1" applyFill="1" applyBorder="1" applyAlignment="1">
      <alignment horizontal="center" vertical="center"/>
    </xf>
    <xf numFmtId="0" fontId="47" fillId="10" borderId="67" xfId="0" applyFont="1" applyFill="1" applyBorder="1" applyAlignment="1">
      <alignment horizontal="center" vertical="center"/>
    </xf>
    <xf numFmtId="0" fontId="47" fillId="10" borderId="4" xfId="0" applyFont="1" applyFill="1" applyBorder="1" applyAlignment="1">
      <alignment horizontal="center" vertical="center"/>
    </xf>
    <xf numFmtId="188" fontId="47" fillId="10" borderId="4" xfId="0" applyNumberFormat="1" applyFont="1" applyFill="1" applyBorder="1" applyAlignment="1">
      <alignment horizontal="center" vertical="center"/>
    </xf>
    <xf numFmtId="199" fontId="47" fillId="10" borderId="68" xfId="24" applyNumberFormat="1" applyFont="1" applyFill="1" applyBorder="1" applyAlignment="1">
      <alignment horizontal="center" vertical="center"/>
    </xf>
    <xf numFmtId="0" fontId="47" fillId="10" borderId="68" xfId="0" applyFont="1" applyFill="1" applyBorder="1" applyAlignment="1">
      <alignment horizontal="center" vertical="center"/>
    </xf>
    <xf numFmtId="0" fontId="47" fillId="10" borderId="24" xfId="0" applyFont="1" applyFill="1" applyBorder="1" applyAlignment="1">
      <alignment horizontal="center" vertical="center"/>
    </xf>
    <xf numFmtId="0" fontId="47" fillId="10" borderId="25" xfId="0" applyFont="1" applyFill="1" applyBorder="1" applyAlignment="1">
      <alignment horizontal="center" vertical="center"/>
    </xf>
    <xf numFmtId="0" fontId="0" fillId="10" borderId="4" xfId="0" applyFill="1" applyBorder="1"/>
    <xf numFmtId="0" fontId="0" fillId="10" borderId="67" xfId="0" applyFill="1" applyBorder="1"/>
    <xf numFmtId="0" fontId="0" fillId="10" borderId="68" xfId="0" applyFill="1" applyBorder="1"/>
    <xf numFmtId="188" fontId="25" fillId="13" borderId="24" xfId="0" applyNumberFormat="1" applyFont="1" applyFill="1" applyBorder="1" applyAlignment="1">
      <alignment horizontal="center" vertical="center"/>
    </xf>
    <xf numFmtId="188" fontId="47" fillId="13" borderId="68" xfId="0" applyNumberFormat="1" applyFont="1" applyFill="1" applyBorder="1" applyAlignment="1">
      <alignment horizontal="center" vertical="center"/>
    </xf>
    <xf numFmtId="188" fontId="47" fillId="13" borderId="25" xfId="0" applyNumberFormat="1" applyFont="1" applyFill="1" applyBorder="1" applyAlignment="1">
      <alignment horizontal="center" vertical="center"/>
    </xf>
    <xf numFmtId="188" fontId="47" fillId="13" borderId="26" xfId="0" applyNumberFormat="1" applyFont="1" applyFill="1" applyBorder="1" applyAlignment="1">
      <alignment horizontal="center" vertical="center"/>
    </xf>
    <xf numFmtId="193" fontId="47" fillId="13" borderId="25" xfId="0" applyNumberFormat="1" applyFont="1" applyFill="1" applyBorder="1" applyAlignment="1">
      <alignment horizontal="center" vertical="center"/>
    </xf>
    <xf numFmtId="202" fontId="47" fillId="13" borderId="26" xfId="0" applyNumberFormat="1" applyFont="1" applyFill="1" applyBorder="1" applyAlignment="1">
      <alignment horizontal="center" vertical="center"/>
    </xf>
    <xf numFmtId="2" fontId="47" fillId="13" borderId="67" xfId="0" applyNumberFormat="1" applyFont="1" applyFill="1" applyBorder="1" applyAlignment="1">
      <alignment horizontal="center" vertical="center"/>
    </xf>
    <xf numFmtId="193" fontId="47" fillId="13" borderId="68" xfId="0" applyNumberFormat="1" applyFont="1" applyFill="1" applyBorder="1" applyAlignment="1">
      <alignment horizontal="center" vertical="center"/>
    </xf>
    <xf numFmtId="2" fontId="47" fillId="13" borderId="25" xfId="0" applyNumberFormat="1" applyFont="1" applyFill="1" applyBorder="1" applyAlignment="1">
      <alignment horizontal="center" vertical="center"/>
    </xf>
    <xf numFmtId="0" fontId="47" fillId="13" borderId="26" xfId="0" applyFont="1" applyFill="1" applyBorder="1" applyAlignment="1">
      <alignment horizontal="center" vertical="center"/>
    </xf>
    <xf numFmtId="0" fontId="63" fillId="0" borderId="25" xfId="0" applyFont="1" applyBorder="1" applyAlignment="1">
      <alignment horizontal="center" vertical="center"/>
    </xf>
    <xf numFmtId="0" fontId="62" fillId="0" borderId="25" xfId="0" applyFont="1" applyBorder="1" applyAlignment="1">
      <alignment horizontal="center" vertical="center"/>
    </xf>
    <xf numFmtId="0" fontId="62" fillId="0" borderId="26" xfId="0" applyFont="1" applyBorder="1" applyAlignment="1">
      <alignment horizontal="center" vertical="center"/>
    </xf>
    <xf numFmtId="0" fontId="48" fillId="0" borderId="103" xfId="0" applyFont="1" applyBorder="1" applyAlignment="1">
      <alignment horizontal="center" vertical="center"/>
    </xf>
    <xf numFmtId="0" fontId="62" fillId="13" borderId="67" xfId="0" applyFont="1" applyFill="1" applyBorder="1" applyAlignment="1">
      <alignment horizontal="center" vertical="center"/>
    </xf>
    <xf numFmtId="0" fontId="62" fillId="13" borderId="4" xfId="0" applyFont="1" applyFill="1" applyBorder="1" applyAlignment="1">
      <alignment horizontal="center" vertical="center"/>
    </xf>
    <xf numFmtId="0" fontId="62" fillId="13" borderId="68" xfId="0" applyFont="1" applyFill="1" applyBorder="1" applyAlignment="1">
      <alignment horizontal="center" vertical="center"/>
    </xf>
    <xf numFmtId="0" fontId="62" fillId="10" borderId="67" xfId="0" applyFont="1" applyFill="1" applyBorder="1" applyAlignment="1">
      <alignment horizontal="center" vertical="center"/>
    </xf>
    <xf numFmtId="0" fontId="62" fillId="10" borderId="4" xfId="0" applyFont="1" applyFill="1" applyBorder="1" applyAlignment="1">
      <alignment horizontal="center" vertical="center"/>
    </xf>
    <xf numFmtId="0" fontId="62" fillId="10" borderId="68" xfId="0" applyFont="1" applyFill="1" applyBorder="1" applyAlignment="1">
      <alignment horizontal="center" vertical="center"/>
    </xf>
    <xf numFmtId="9" fontId="47" fillId="13" borderId="68" xfId="0" applyNumberFormat="1" applyFont="1" applyFill="1" applyBorder="1" applyAlignment="1">
      <alignment horizontal="center" vertical="center"/>
    </xf>
    <xf numFmtId="9" fontId="47" fillId="10" borderId="68" xfId="0" applyNumberFormat="1" applyFont="1" applyFill="1" applyBorder="1" applyAlignment="1">
      <alignment horizontal="center" vertical="center"/>
    </xf>
    <xf numFmtId="9" fontId="47" fillId="10" borderId="26" xfId="0" applyNumberFormat="1" applyFont="1" applyFill="1" applyBorder="1" applyAlignment="1">
      <alignment horizontal="center" vertical="center"/>
    </xf>
    <xf numFmtId="0" fontId="48" fillId="13" borderId="67" xfId="0" applyFont="1" applyFill="1" applyBorder="1" applyAlignment="1">
      <alignment horizontal="center" vertical="center"/>
    </xf>
    <xf numFmtId="0" fontId="48" fillId="13" borderId="4" xfId="0" applyFont="1" applyFill="1" applyBorder="1" applyAlignment="1">
      <alignment horizontal="center" vertical="center"/>
    </xf>
    <xf numFmtId="0" fontId="48" fillId="13" borderId="68" xfId="0" applyFont="1" applyFill="1" applyBorder="1" applyAlignment="1">
      <alignment horizontal="center" vertical="center"/>
    </xf>
    <xf numFmtId="0" fontId="48" fillId="10" borderId="67" xfId="0" applyFont="1" applyFill="1" applyBorder="1" applyAlignment="1">
      <alignment horizontal="center" vertical="center"/>
    </xf>
    <xf numFmtId="0" fontId="48" fillId="10" borderId="4" xfId="0" applyFont="1" applyFill="1" applyBorder="1" applyAlignment="1">
      <alignment horizontal="center" vertical="center"/>
    </xf>
    <xf numFmtId="0" fontId="48" fillId="10" borderId="68" xfId="0" applyFont="1" applyFill="1" applyBorder="1" applyAlignment="1">
      <alignment horizontal="center" vertical="center"/>
    </xf>
    <xf numFmtId="2" fontId="48" fillId="10" borderId="4" xfId="0" applyNumberFormat="1" applyFont="1" applyFill="1" applyBorder="1" applyAlignment="1">
      <alignment horizontal="center" vertical="center"/>
    </xf>
    <xf numFmtId="193" fontId="48" fillId="10" borderId="4" xfId="0" applyNumberFormat="1" applyFont="1" applyFill="1" applyBorder="1" applyAlignment="1">
      <alignment horizontal="center" vertical="center"/>
    </xf>
    <xf numFmtId="204" fontId="48" fillId="10" borderId="68" xfId="0" applyNumberFormat="1" applyFont="1" applyFill="1" applyBorder="1" applyAlignment="1">
      <alignment horizontal="center" vertical="center"/>
    </xf>
    <xf numFmtId="0" fontId="48" fillId="10" borderId="11" xfId="0" applyFont="1" applyFill="1" applyBorder="1" applyAlignment="1">
      <alignment horizontal="center" vertical="center"/>
    </xf>
    <xf numFmtId="0" fontId="48" fillId="10" borderId="5" xfId="0" applyFont="1" applyFill="1" applyBorder="1" applyAlignment="1">
      <alignment horizontal="center" vertical="center"/>
    </xf>
    <xf numFmtId="2" fontId="48" fillId="10" borderId="5" xfId="0" applyNumberFormat="1" applyFont="1" applyFill="1" applyBorder="1" applyAlignment="1">
      <alignment horizontal="center" vertical="center"/>
    </xf>
    <xf numFmtId="193" fontId="48" fillId="10" borderId="5" xfId="0" applyNumberFormat="1" applyFont="1" applyFill="1" applyBorder="1" applyAlignment="1">
      <alignment horizontal="center" vertical="center"/>
    </xf>
    <xf numFmtId="204" fontId="48" fillId="10" borderId="88" xfId="0" applyNumberFormat="1" applyFont="1" applyFill="1" applyBorder="1" applyAlignment="1">
      <alignment horizontal="center" vertical="center"/>
    </xf>
    <xf numFmtId="2" fontId="47" fillId="10" borderId="4" xfId="0" applyNumberFormat="1" applyFont="1" applyFill="1" applyBorder="1" applyAlignment="1">
      <alignment horizontal="center" vertical="center"/>
    </xf>
    <xf numFmtId="2" fontId="25" fillId="10" borderId="4" xfId="0" applyNumberFormat="1" applyFont="1" applyFill="1" applyBorder="1" applyAlignment="1">
      <alignment horizontal="center" vertical="center"/>
    </xf>
    <xf numFmtId="2" fontId="25" fillId="10" borderId="5" xfId="0" applyNumberFormat="1" applyFont="1" applyFill="1" applyBorder="1" applyAlignment="1">
      <alignment horizontal="center" vertical="center"/>
    </xf>
    <xf numFmtId="0" fontId="48" fillId="10" borderId="0" xfId="0" applyFont="1" applyFill="1" applyAlignment="1">
      <alignment horizontal="center" vertical="center"/>
    </xf>
    <xf numFmtId="0" fontId="45" fillId="10" borderId="0" xfId="0" applyFont="1" applyFill="1" applyAlignment="1">
      <alignment vertical="center"/>
    </xf>
    <xf numFmtId="0" fontId="0" fillId="10" borderId="0" xfId="0" applyFill="1"/>
    <xf numFmtId="0" fontId="25" fillId="10" borderId="0" xfId="0" applyFont="1" applyFill="1" applyAlignment="1">
      <alignment horizontal="center" vertical="center"/>
    </xf>
    <xf numFmtId="0" fontId="61" fillId="10" borderId="0" xfId="0" applyFont="1" applyFill="1" applyAlignment="1">
      <alignment vertical="center"/>
    </xf>
    <xf numFmtId="2" fontId="48" fillId="13" borderId="4" xfId="0" applyNumberFormat="1" applyFont="1" applyFill="1" applyBorder="1" applyAlignment="1">
      <alignment horizontal="center" vertical="center"/>
    </xf>
    <xf numFmtId="0" fontId="48" fillId="10" borderId="88" xfId="0" applyFont="1" applyFill="1" applyBorder="1" applyAlignment="1">
      <alignment horizontal="center" vertical="center"/>
    </xf>
    <xf numFmtId="0" fontId="48" fillId="13" borderId="24" xfId="0" applyFont="1" applyFill="1" applyBorder="1" applyAlignment="1">
      <alignment horizontal="center" vertical="center"/>
    </xf>
    <xf numFmtId="0" fontId="48" fillId="13" borderId="25" xfId="0" applyFont="1" applyFill="1" applyBorder="1" applyAlignment="1">
      <alignment horizontal="center" vertical="center"/>
    </xf>
    <xf numFmtId="0" fontId="48" fillId="13" borderId="26" xfId="0" applyFont="1" applyFill="1" applyBorder="1" applyAlignment="1">
      <alignment horizontal="center" vertical="center"/>
    </xf>
    <xf numFmtId="2" fontId="47" fillId="10" borderId="68" xfId="0" applyNumberFormat="1" applyFont="1" applyFill="1" applyBorder="1" applyAlignment="1">
      <alignment horizontal="center" vertical="center"/>
    </xf>
    <xf numFmtId="0" fontId="25" fillId="10" borderId="25" xfId="0" applyFont="1" applyFill="1" applyBorder="1" applyAlignment="1">
      <alignment horizontal="center" vertical="center"/>
    </xf>
    <xf numFmtId="2" fontId="25" fillId="10" borderId="26" xfId="0" applyNumberFormat="1" applyFont="1" applyFill="1" applyBorder="1" applyAlignment="1">
      <alignment horizontal="center" vertical="center"/>
    </xf>
    <xf numFmtId="0" fontId="25" fillId="10" borderId="24" xfId="0" applyFont="1" applyFill="1" applyBorder="1" applyAlignment="1">
      <alignment horizontal="center" vertical="center"/>
    </xf>
    <xf numFmtId="0" fontId="25" fillId="10" borderId="26" xfId="0" applyFont="1" applyFill="1" applyBorder="1" applyAlignment="1">
      <alignment horizontal="center" vertical="center"/>
    </xf>
    <xf numFmtId="2" fontId="47" fillId="10" borderId="67" xfId="0" applyNumberFormat="1" applyFont="1" applyFill="1" applyBorder="1" applyAlignment="1">
      <alignment horizontal="center" vertical="center"/>
    </xf>
    <xf numFmtId="2" fontId="25" fillId="10" borderId="25" xfId="0" applyNumberFormat="1" applyFont="1" applyFill="1" applyBorder="1" applyAlignment="1">
      <alignment horizontal="center" vertical="center"/>
    </xf>
    <xf numFmtId="0" fontId="46" fillId="10" borderId="67" xfId="0" applyFont="1" applyFill="1" applyBorder="1" applyAlignment="1">
      <alignment horizontal="center" vertical="center"/>
    </xf>
    <xf numFmtId="193" fontId="47" fillId="10" borderId="4" xfId="0" applyNumberFormat="1" applyFont="1" applyFill="1" applyBorder="1" applyAlignment="1">
      <alignment horizontal="center" vertical="center"/>
    </xf>
    <xf numFmtId="193" fontId="47" fillId="10" borderId="4" xfId="0" applyNumberFormat="1" applyFont="1" applyFill="1" applyBorder="1" applyAlignment="1">
      <alignment horizontal="center"/>
    </xf>
    <xf numFmtId="204" fontId="47" fillId="10" borderId="4" xfId="0" applyNumberFormat="1" applyFont="1" applyFill="1" applyBorder="1" applyAlignment="1">
      <alignment horizontal="center" vertical="center"/>
    </xf>
    <xf numFmtId="204" fontId="47" fillId="10" borderId="4" xfId="0" applyNumberFormat="1" applyFont="1" applyFill="1" applyBorder="1" applyAlignment="1">
      <alignment horizontal="center"/>
    </xf>
    <xf numFmtId="204" fontId="47" fillId="10" borderId="68" xfId="0" applyNumberFormat="1" applyFont="1" applyFill="1" applyBorder="1" applyAlignment="1">
      <alignment horizontal="center" vertical="center"/>
    </xf>
    <xf numFmtId="2" fontId="47" fillId="10" borderId="4" xfId="0" applyNumberFormat="1" applyFont="1" applyFill="1" applyBorder="1" applyAlignment="1">
      <alignment horizontal="center"/>
    </xf>
    <xf numFmtId="0" fontId="46" fillId="10" borderId="24" xfId="0" applyFont="1" applyFill="1" applyBorder="1" applyAlignment="1">
      <alignment horizontal="center" vertical="center"/>
    </xf>
    <xf numFmtId="0" fontId="47" fillId="10" borderId="25" xfId="0" applyFont="1" applyFill="1" applyBorder="1" applyAlignment="1">
      <alignment horizontal="center"/>
    </xf>
    <xf numFmtId="2" fontId="47" fillId="10" borderId="25" xfId="0" applyNumberFormat="1" applyFont="1" applyFill="1" applyBorder="1" applyAlignment="1">
      <alignment horizontal="center" vertical="center"/>
    </xf>
    <xf numFmtId="0" fontId="47" fillId="10" borderId="26" xfId="0" applyFont="1" applyFill="1" applyBorder="1" applyAlignment="1">
      <alignment horizontal="center" vertical="center"/>
    </xf>
    <xf numFmtId="193" fontId="25" fillId="10" borderId="4" xfId="0" applyNumberFormat="1" applyFont="1" applyFill="1" applyBorder="1" applyAlignment="1">
      <alignment horizontal="center" vertical="center"/>
    </xf>
    <xf numFmtId="204" fontId="25" fillId="10" borderId="68" xfId="0" applyNumberFormat="1" applyFont="1" applyFill="1" applyBorder="1" applyAlignment="1">
      <alignment horizontal="center" vertical="center"/>
    </xf>
    <xf numFmtId="0" fontId="25" fillId="10" borderId="68" xfId="0" applyFont="1" applyFill="1" applyBorder="1" applyAlignment="1">
      <alignment horizontal="center" vertical="center"/>
    </xf>
    <xf numFmtId="193" fontId="28" fillId="10" borderId="4" xfId="0" applyNumberFormat="1" applyFont="1" applyFill="1" applyBorder="1" applyAlignment="1">
      <alignment horizontal="center" vertical="center"/>
    </xf>
    <xf numFmtId="204" fontId="28" fillId="10" borderId="68" xfId="0" applyNumberFormat="1" applyFont="1" applyFill="1" applyBorder="1" applyAlignment="1">
      <alignment horizontal="center" vertical="center"/>
    </xf>
    <xf numFmtId="193" fontId="25" fillId="13" borderId="4" xfId="0" applyNumberFormat="1" applyFont="1" applyFill="1" applyBorder="1" applyAlignment="1">
      <alignment horizontal="center" vertical="center"/>
    </xf>
    <xf numFmtId="204" fontId="25" fillId="13" borderId="68" xfId="0" applyNumberFormat="1" applyFont="1" applyFill="1" applyBorder="1" applyAlignment="1">
      <alignment horizontal="center" vertical="center"/>
    </xf>
    <xf numFmtId="0" fontId="25" fillId="13" borderId="68" xfId="0" applyFont="1" applyFill="1" applyBorder="1" applyAlignment="1">
      <alignment horizontal="center" vertical="center"/>
    </xf>
    <xf numFmtId="193" fontId="28" fillId="13" borderId="4" xfId="0" applyNumberFormat="1" applyFont="1" applyFill="1" applyBorder="1" applyAlignment="1">
      <alignment horizontal="center" vertical="center"/>
    </xf>
    <xf numFmtId="204" fontId="28" fillId="13" borderId="68" xfId="0" applyNumberFormat="1" applyFont="1" applyFill="1" applyBorder="1" applyAlignment="1">
      <alignment horizontal="center" vertical="center"/>
    </xf>
    <xf numFmtId="0" fontId="25" fillId="13" borderId="25" xfId="0" applyFont="1" applyFill="1" applyBorder="1" applyAlignment="1">
      <alignment horizontal="center" vertical="center"/>
    </xf>
    <xf numFmtId="193" fontId="28" fillId="13" borderId="25" xfId="0" applyNumberFormat="1" applyFont="1" applyFill="1" applyBorder="1" applyAlignment="1">
      <alignment horizontal="center" vertical="center"/>
    </xf>
    <xf numFmtId="204" fontId="28" fillId="13" borderId="26" xfId="0" applyNumberFormat="1" applyFont="1" applyFill="1" applyBorder="1" applyAlignment="1">
      <alignment horizontal="center" vertical="center"/>
    </xf>
    <xf numFmtId="188" fontId="25" fillId="10" borderId="67" xfId="0" applyNumberFormat="1" applyFont="1" applyFill="1" applyBorder="1" applyAlignment="1">
      <alignment horizontal="center" vertical="center"/>
    </xf>
    <xf numFmtId="188" fontId="25" fillId="10" borderId="68" xfId="0" applyNumberFormat="1" applyFont="1" applyFill="1" applyBorder="1" applyAlignment="1">
      <alignment horizontal="center" vertical="center"/>
    </xf>
    <xf numFmtId="188" fontId="25" fillId="10" borderId="4" xfId="0" applyNumberFormat="1" applyFont="1" applyFill="1" applyBorder="1" applyAlignment="1">
      <alignment horizontal="center" vertical="center"/>
    </xf>
    <xf numFmtId="188" fontId="47" fillId="10" borderId="68" xfId="0" applyNumberFormat="1" applyFont="1" applyFill="1" applyBorder="1" applyAlignment="1">
      <alignment horizontal="center" vertical="center"/>
    </xf>
    <xf numFmtId="0" fontId="25" fillId="10" borderId="67" xfId="0" applyFont="1" applyFill="1" applyBorder="1" applyAlignment="1">
      <alignment horizontal="center" vertical="center"/>
    </xf>
    <xf numFmtId="202" fontId="47" fillId="10" borderId="68" xfId="0" applyNumberFormat="1" applyFont="1" applyFill="1" applyBorder="1" applyAlignment="1">
      <alignment horizontal="center" vertical="center"/>
    </xf>
    <xf numFmtId="0" fontId="47" fillId="10" borderId="9" xfId="0" applyFont="1" applyFill="1" applyBorder="1" applyAlignment="1">
      <alignment horizontal="center" vertical="center"/>
    </xf>
    <xf numFmtId="199" fontId="47" fillId="10" borderId="68" xfId="0" applyNumberFormat="1" applyFont="1" applyFill="1" applyBorder="1" applyAlignment="1">
      <alignment horizontal="center" vertical="center"/>
    </xf>
    <xf numFmtId="199" fontId="49" fillId="10" borderId="67" xfId="24" applyNumberFormat="1" applyFont="1" applyFill="1" applyBorder="1" applyAlignment="1">
      <alignment horizontal="center" vertical="center"/>
    </xf>
    <xf numFmtId="0" fontId="49" fillId="10" borderId="4" xfId="24" applyNumberFormat="1" applyFont="1" applyFill="1" applyBorder="1" applyAlignment="1">
      <alignment horizontal="center" vertical="center"/>
    </xf>
    <xf numFmtId="0" fontId="49" fillId="10" borderId="68" xfId="24" applyNumberFormat="1" applyFont="1" applyFill="1" applyBorder="1" applyAlignment="1">
      <alignment horizontal="center" vertical="center"/>
    </xf>
    <xf numFmtId="0" fontId="28" fillId="10" borderId="0" xfId="0" applyFont="1" applyFill="1" applyAlignment="1">
      <alignment horizontal="left" vertical="center"/>
    </xf>
    <xf numFmtId="200" fontId="25" fillId="10" borderId="0" xfId="0" applyNumberFormat="1" applyFont="1" applyFill="1" applyAlignment="1">
      <alignment horizontal="center" vertical="center"/>
    </xf>
    <xf numFmtId="200" fontId="28" fillId="10" borderId="0" xfId="0" applyNumberFormat="1" applyFont="1" applyFill="1" applyAlignment="1">
      <alignment horizontal="left" vertical="center"/>
    </xf>
    <xf numFmtId="199" fontId="25" fillId="10" borderId="0" xfId="24" applyNumberFormat="1" applyFont="1" applyFill="1" applyAlignment="1">
      <alignment horizontal="center" vertical="center"/>
    </xf>
    <xf numFmtId="199" fontId="49" fillId="10" borderId="4" xfId="24" applyNumberFormat="1" applyFont="1" applyFill="1" applyBorder="1" applyAlignment="1">
      <alignment horizontal="center" vertical="center"/>
    </xf>
    <xf numFmtId="199" fontId="49" fillId="10" borderId="68" xfId="24" applyNumberFormat="1" applyFont="1" applyFill="1" applyBorder="1" applyAlignment="1">
      <alignment horizontal="center" vertical="center"/>
    </xf>
    <xf numFmtId="200" fontId="49" fillId="10" borderId="4" xfId="0" applyNumberFormat="1" applyFont="1" applyFill="1" applyBorder="1" applyAlignment="1">
      <alignment horizontal="center" vertical="center"/>
    </xf>
    <xf numFmtId="200" fontId="49" fillId="10" borderId="68" xfId="0" applyNumberFormat="1" applyFont="1" applyFill="1" applyBorder="1" applyAlignment="1">
      <alignment horizontal="center" vertical="center"/>
    </xf>
    <xf numFmtId="0" fontId="49" fillId="10" borderId="25" xfId="0" applyFont="1" applyFill="1" applyBorder="1" applyAlignment="1">
      <alignment horizontal="center" vertical="center"/>
    </xf>
    <xf numFmtId="0" fontId="49" fillId="10" borderId="26" xfId="0" applyFont="1" applyFill="1" applyBorder="1" applyAlignment="1">
      <alignment horizontal="center" vertical="center"/>
    </xf>
    <xf numFmtId="0" fontId="42" fillId="28" borderId="8" xfId="16" applyFont="1" applyFill="1" applyBorder="1" applyAlignment="1">
      <alignment horizontal="center" vertical="center"/>
    </xf>
    <xf numFmtId="0" fontId="42" fillId="28" borderId="9" xfId="16" applyFont="1" applyFill="1" applyBorder="1" applyAlignment="1">
      <alignment horizontal="center" vertical="center"/>
    </xf>
    <xf numFmtId="200" fontId="42" fillId="28" borderId="9" xfId="16" applyNumberFormat="1" applyFont="1" applyFill="1" applyBorder="1" applyAlignment="1">
      <alignment horizontal="center" vertical="center"/>
    </xf>
    <xf numFmtId="199" fontId="42" fillId="28" borderId="10" xfId="24" applyNumberFormat="1" applyFont="1" applyFill="1" applyBorder="1" applyAlignment="1">
      <alignment horizontal="center" vertical="center"/>
    </xf>
    <xf numFmtId="199" fontId="42" fillId="28" borderId="8" xfId="24" applyNumberFormat="1" applyFont="1" applyFill="1" applyBorder="1" applyAlignment="1">
      <alignment horizontal="center" vertical="center"/>
    </xf>
    <xf numFmtId="199" fontId="42" fillId="28" borderId="9" xfId="24" applyNumberFormat="1" applyFont="1" applyFill="1" applyBorder="1" applyAlignment="1">
      <alignment horizontal="center" vertical="center"/>
    </xf>
    <xf numFmtId="199" fontId="42" fillId="28" borderId="67" xfId="24" applyNumberFormat="1" applyFont="1" applyFill="1" applyBorder="1" applyAlignment="1">
      <alignment horizontal="center" vertical="center"/>
    </xf>
    <xf numFmtId="199" fontId="42" fillId="28" borderId="24" xfId="24" applyNumberFormat="1" applyFont="1" applyFill="1" applyBorder="1" applyAlignment="1">
      <alignment horizontal="center" vertical="center"/>
    </xf>
    <xf numFmtId="0" fontId="42" fillId="28" borderId="14" xfId="16" applyFont="1" applyFill="1" applyBorder="1" applyAlignment="1">
      <alignment horizontal="center" vertical="center"/>
    </xf>
    <xf numFmtId="0" fontId="42" fillId="28" borderId="65" xfId="16" applyFont="1" applyFill="1" applyBorder="1" applyAlignment="1">
      <alignment horizontal="center" vertical="center"/>
    </xf>
    <xf numFmtId="0" fontId="42" fillId="28" borderId="16" xfId="16" applyFont="1" applyFill="1" applyBorder="1" applyAlignment="1">
      <alignment horizontal="center" vertical="center"/>
    </xf>
    <xf numFmtId="0" fontId="25" fillId="10" borderId="0" xfId="0" applyFont="1" applyFill="1"/>
    <xf numFmtId="2" fontId="25" fillId="10" borderId="0" xfId="0" applyNumberFormat="1" applyFont="1" applyFill="1" applyAlignment="1">
      <alignment horizontal="center" vertical="center"/>
    </xf>
    <xf numFmtId="199" fontId="25" fillId="10" borderId="0" xfId="24" applyNumberFormat="1" applyFont="1" applyFill="1" applyAlignment="1">
      <alignment horizontal="center"/>
    </xf>
    <xf numFmtId="200" fontId="25" fillId="10" borderId="0" xfId="0" applyNumberFormat="1" applyFont="1" applyFill="1" applyAlignment="1">
      <alignment horizontal="center"/>
    </xf>
    <xf numFmtId="0" fontId="28" fillId="10" borderId="0" xfId="0" applyFont="1" applyFill="1" applyAlignment="1">
      <alignment horizontal="center"/>
    </xf>
    <xf numFmtId="0" fontId="25" fillId="10" borderId="0" xfId="0" applyFont="1" applyFill="1" applyAlignment="1">
      <alignment horizontal="center"/>
    </xf>
    <xf numFmtId="2" fontId="25" fillId="10" borderId="0" xfId="0" applyNumberFormat="1" applyFont="1" applyFill="1"/>
    <xf numFmtId="0" fontId="28" fillId="10" borderId="0" xfId="0" applyFont="1" applyFill="1" applyAlignment="1">
      <alignment horizontal="center" vertical="center"/>
    </xf>
    <xf numFmtId="2" fontId="28" fillId="10" borderId="0" xfId="0" applyNumberFormat="1" applyFont="1" applyFill="1" applyAlignment="1">
      <alignment horizontal="left" vertical="center"/>
    </xf>
    <xf numFmtId="204" fontId="25" fillId="10" borderId="0" xfId="0" applyNumberFormat="1" applyFont="1" applyFill="1"/>
    <xf numFmtId="203" fontId="28" fillId="32" borderId="8" xfId="0" applyNumberFormat="1" applyFont="1" applyFill="1" applyBorder="1" applyAlignment="1">
      <alignment horizontal="center" vertical="center"/>
    </xf>
    <xf numFmtId="203" fontId="28" fillId="32" borderId="9" xfId="0" applyNumberFormat="1" applyFont="1" applyFill="1" applyBorder="1" applyAlignment="1">
      <alignment horizontal="center" vertical="center"/>
    </xf>
    <xf numFmtId="203" fontId="28" fillId="32" borderId="10" xfId="0" applyNumberFormat="1" applyFont="1" applyFill="1" applyBorder="1" applyAlignment="1">
      <alignment horizontal="center" vertical="center"/>
    </xf>
    <xf numFmtId="0" fontId="28" fillId="23" borderId="8" xfId="0" applyFont="1" applyFill="1" applyBorder="1" applyAlignment="1">
      <alignment horizontal="center" vertical="center"/>
    </xf>
    <xf numFmtId="0" fontId="28" fillId="23" borderId="9" xfId="0" applyFont="1" applyFill="1" applyBorder="1" applyAlignment="1">
      <alignment horizontal="center" vertical="center"/>
    </xf>
    <xf numFmtId="0" fontId="28" fillId="23" borderId="10" xfId="0" applyFont="1" applyFill="1" applyBorder="1" applyAlignment="1">
      <alignment horizontal="center" vertical="center"/>
    </xf>
    <xf numFmtId="0" fontId="28" fillId="5" borderId="8" xfId="0" applyFont="1" applyFill="1" applyBorder="1" applyAlignment="1">
      <alignment horizontal="center" vertical="center"/>
    </xf>
    <xf numFmtId="0" fontId="28" fillId="5" borderId="9" xfId="0" applyFont="1" applyFill="1" applyBorder="1" applyAlignment="1">
      <alignment horizontal="center" vertical="center"/>
    </xf>
    <xf numFmtId="0" fontId="28" fillId="5" borderId="10" xfId="0" applyFont="1" applyFill="1" applyBorder="1" applyAlignment="1">
      <alignment horizontal="center" vertical="center"/>
    </xf>
    <xf numFmtId="2" fontId="28" fillId="5" borderId="9" xfId="0" applyNumberFormat="1" applyFont="1" applyFill="1" applyBorder="1" applyAlignment="1">
      <alignment horizontal="center" vertical="center"/>
    </xf>
    <xf numFmtId="0" fontId="28" fillId="5" borderId="9" xfId="0" applyFont="1" applyFill="1" applyBorder="1" applyAlignment="1">
      <alignment horizontal="center" vertical="center" wrapText="1"/>
    </xf>
    <xf numFmtId="0" fontId="28" fillId="5" borderId="10" xfId="0" applyFont="1" applyFill="1" applyBorder="1" applyAlignment="1">
      <alignment horizontal="center" vertical="center" wrapText="1"/>
    </xf>
    <xf numFmtId="193" fontId="48" fillId="13" borderId="4" xfId="0" applyNumberFormat="1" applyFont="1" applyFill="1" applyBorder="1" applyAlignment="1">
      <alignment horizontal="center" vertical="center"/>
    </xf>
    <xf numFmtId="204" fontId="48" fillId="13" borderId="68" xfId="0" applyNumberFormat="1" applyFont="1" applyFill="1" applyBorder="1" applyAlignment="1">
      <alignment horizontal="center" vertical="center"/>
    </xf>
    <xf numFmtId="2" fontId="48" fillId="13" borderId="25" xfId="0" applyNumberFormat="1" applyFont="1" applyFill="1" applyBorder="1" applyAlignment="1">
      <alignment horizontal="center" vertical="center"/>
    </xf>
    <xf numFmtId="193" fontId="48" fillId="13" borderId="25" xfId="0" applyNumberFormat="1" applyFont="1" applyFill="1" applyBorder="1" applyAlignment="1">
      <alignment horizontal="center" vertical="center"/>
    </xf>
    <xf numFmtId="204" fontId="48" fillId="13" borderId="26" xfId="0" applyNumberFormat="1" applyFont="1" applyFill="1" applyBorder="1" applyAlignment="1">
      <alignment horizontal="center" vertical="center"/>
    </xf>
    <xf numFmtId="2" fontId="25" fillId="13" borderId="4" xfId="0" applyNumberFormat="1" applyFont="1" applyFill="1" applyBorder="1" applyAlignment="1">
      <alignment horizontal="center" vertical="center"/>
    </xf>
    <xf numFmtId="2" fontId="25" fillId="13" borderId="25" xfId="0" applyNumberFormat="1" applyFont="1" applyFill="1" applyBorder="1" applyAlignment="1">
      <alignment horizontal="center" vertical="center"/>
    </xf>
    <xf numFmtId="0" fontId="28" fillId="23" borderId="9" xfId="24" applyNumberFormat="1" applyFont="1" applyFill="1" applyBorder="1" applyAlignment="1">
      <alignment horizontal="center" vertical="center"/>
    </xf>
    <xf numFmtId="0" fontId="28" fillId="0" borderId="8" xfId="0" applyFont="1" applyBorder="1" applyAlignment="1">
      <alignment horizontal="center" vertical="center"/>
    </xf>
    <xf numFmtId="0" fontId="28" fillId="0" borderId="9" xfId="0" applyFont="1" applyBorder="1" applyAlignment="1">
      <alignment horizontal="center" vertical="center"/>
    </xf>
    <xf numFmtId="0" fontId="42" fillId="16" borderId="54" xfId="16" applyFont="1" applyFill="1" applyBorder="1" applyAlignment="1">
      <alignment horizontal="center" vertical="center"/>
    </xf>
    <xf numFmtId="0" fontId="42" fillId="16" borderId="56" xfId="16" applyFont="1" applyFill="1" applyBorder="1" applyAlignment="1">
      <alignment horizontal="center" vertical="center"/>
    </xf>
    <xf numFmtId="0" fontId="38" fillId="15" borderId="40" xfId="18" applyFont="1" applyFill="1" applyBorder="1" applyAlignment="1">
      <alignment horizontal="center" vertical="center" wrapText="1"/>
    </xf>
    <xf numFmtId="0" fontId="38" fillId="15" borderId="36" xfId="18" applyFont="1" applyFill="1" applyBorder="1" applyAlignment="1">
      <alignment horizontal="center" vertical="center" wrapText="1"/>
    </xf>
    <xf numFmtId="193" fontId="48" fillId="0" borderId="89" xfId="0" applyNumberFormat="1" applyFont="1" applyBorder="1" applyAlignment="1">
      <alignment horizontal="center" vertical="center"/>
    </xf>
    <xf numFmtId="188" fontId="48" fillId="0" borderId="89" xfId="0" applyNumberFormat="1" applyFont="1" applyBorder="1" applyAlignment="1">
      <alignment horizontal="center" vertical="center"/>
    </xf>
    <xf numFmtId="0" fontId="48" fillId="0" borderId="90" xfId="0" applyFont="1" applyBorder="1" applyAlignment="1">
      <alignment horizontal="center" vertical="center"/>
    </xf>
    <xf numFmtId="193" fontId="48" fillId="0" borderId="4" xfId="0" applyNumberFormat="1" applyFont="1" applyBorder="1" applyAlignment="1">
      <alignment horizontal="center" vertical="center"/>
    </xf>
    <xf numFmtId="188" fontId="48" fillId="0" borderId="4" xfId="0" applyNumberFormat="1" applyFont="1" applyBorder="1" applyAlignment="1">
      <alignment horizontal="center" vertical="center"/>
    </xf>
    <xf numFmtId="0" fontId="48" fillId="0" borderId="68" xfId="0" applyFont="1" applyBorder="1" applyAlignment="1">
      <alignment horizontal="center" vertical="center"/>
    </xf>
    <xf numFmtId="0" fontId="48" fillId="0" borderId="25" xfId="0" applyFont="1" applyBorder="1" applyAlignment="1">
      <alignment vertical="center"/>
    </xf>
    <xf numFmtId="0" fontId="48" fillId="0" borderId="26" xfId="0" applyFont="1" applyBorder="1" applyAlignment="1">
      <alignment vertical="center"/>
    </xf>
    <xf numFmtId="206" fontId="25" fillId="0" borderId="4" xfId="0" applyNumberFormat="1" applyFont="1" applyBorder="1" applyAlignment="1">
      <alignment horizontal="center" vertical="center"/>
    </xf>
    <xf numFmtId="0" fontId="64" fillId="0" borderId="101" xfId="0" applyFont="1" applyBorder="1" applyAlignment="1">
      <alignment horizontal="center" vertical="center"/>
    </xf>
    <xf numFmtId="188" fontId="25" fillId="13" borderId="100" xfId="0" applyNumberFormat="1" applyFont="1" applyFill="1" applyBorder="1" applyAlignment="1">
      <alignment horizontal="center" vertical="center"/>
    </xf>
    <xf numFmtId="193" fontId="66" fillId="10" borderId="4" xfId="0" applyNumberFormat="1" applyFont="1" applyFill="1" applyBorder="1" applyAlignment="1">
      <alignment horizontal="center" vertical="center"/>
    </xf>
    <xf numFmtId="0" fontId="66" fillId="10" borderId="68" xfId="0" applyFont="1" applyFill="1" applyBorder="1" applyAlignment="1">
      <alignment horizontal="center" vertical="center"/>
    </xf>
    <xf numFmtId="193" fontId="66" fillId="10" borderId="5" xfId="0" applyNumberFormat="1" applyFont="1" applyFill="1" applyBorder="1" applyAlignment="1">
      <alignment horizontal="center" vertical="center"/>
    </xf>
    <xf numFmtId="193" fontId="66" fillId="10" borderId="89" xfId="0" applyNumberFormat="1" applyFont="1" applyFill="1" applyBorder="1" applyAlignment="1">
      <alignment horizontal="center" vertical="center"/>
    </xf>
    <xf numFmtId="193" fontId="66" fillId="13" borderId="4" xfId="0" applyNumberFormat="1" applyFont="1" applyFill="1" applyBorder="1" applyAlignment="1">
      <alignment horizontal="center" vertical="center"/>
    </xf>
    <xf numFmtId="0" fontId="66" fillId="13" borderId="68" xfId="0" applyFont="1" applyFill="1" applyBorder="1" applyAlignment="1">
      <alignment horizontal="center" vertical="center"/>
    </xf>
    <xf numFmtId="193" fontId="66" fillId="13" borderId="35" xfId="0" applyNumberFormat="1" applyFont="1" applyFill="1" applyBorder="1" applyAlignment="1">
      <alignment horizontal="center" vertical="center"/>
    </xf>
    <xf numFmtId="0" fontId="66" fillId="13" borderId="31" xfId="0" applyFont="1" applyFill="1" applyBorder="1" applyAlignment="1">
      <alignment horizontal="center" vertical="center"/>
    </xf>
    <xf numFmtId="193" fontId="66" fillId="13" borderId="25" xfId="0" applyNumberFormat="1" applyFont="1" applyFill="1" applyBorder="1" applyAlignment="1">
      <alignment horizontal="center" vertical="center"/>
    </xf>
    <xf numFmtId="0" fontId="65" fillId="7" borderId="8" xfId="0" applyFont="1" applyFill="1" applyBorder="1" applyAlignment="1">
      <alignment horizontal="center" vertical="center"/>
    </xf>
    <xf numFmtId="0" fontId="65" fillId="7" borderId="9" xfId="0" applyFont="1" applyFill="1" applyBorder="1" applyAlignment="1">
      <alignment horizontal="center" vertical="center"/>
    </xf>
    <xf numFmtId="0" fontId="65" fillId="7" borderId="10" xfId="0" applyFont="1" applyFill="1" applyBorder="1" applyAlignment="1">
      <alignment horizontal="center" vertical="center"/>
    </xf>
    <xf numFmtId="199" fontId="46" fillId="0" borderId="25" xfId="0" applyNumberFormat="1" applyFont="1" applyBorder="1" applyAlignment="1">
      <alignment horizontal="center" vertical="center"/>
    </xf>
    <xf numFmtId="193" fontId="42" fillId="33" borderId="35" xfId="18" applyNumberFormat="1" applyFont="1" applyFill="1" applyBorder="1" applyAlignment="1">
      <alignment horizontal="center" vertical="center" wrapText="1"/>
    </xf>
    <xf numFmtId="0" fontId="42" fillId="29" borderId="8" xfId="16" applyFont="1" applyFill="1" applyBorder="1" applyAlignment="1">
      <alignment horizontal="center" vertical="center"/>
    </xf>
    <xf numFmtId="0" fontId="42" fillId="29" borderId="9" xfId="16" applyFont="1" applyFill="1" applyBorder="1" applyAlignment="1">
      <alignment horizontal="center" vertical="center"/>
    </xf>
    <xf numFmtId="0" fontId="19" fillId="12" borderId="67" xfId="16" applyFont="1" applyFill="1" applyBorder="1" applyAlignment="1">
      <alignment horizontal="center" vertical="center"/>
    </xf>
    <xf numFmtId="0" fontId="19" fillId="12" borderId="4" xfId="16" applyFont="1" applyFill="1" applyBorder="1" applyAlignment="1">
      <alignment horizontal="center" vertical="center"/>
    </xf>
    <xf numFmtId="0" fontId="42" fillId="30" borderId="24" xfId="16" applyFont="1" applyFill="1" applyBorder="1" applyAlignment="1">
      <alignment horizontal="center" vertical="center"/>
    </xf>
    <xf numFmtId="0" fontId="42" fillId="30" borderId="25" xfId="16" applyFont="1" applyFill="1" applyBorder="1" applyAlignment="1">
      <alignment horizontal="center" vertical="center"/>
    </xf>
    <xf numFmtId="0" fontId="47" fillId="10" borderId="9" xfId="0" applyFont="1" applyFill="1" applyBorder="1" applyAlignment="1">
      <alignment horizontal="center" vertical="center"/>
    </xf>
    <xf numFmtId="0" fontId="47" fillId="10" borderId="4" xfId="0" applyFont="1" applyFill="1" applyBorder="1" applyAlignment="1">
      <alignment horizontal="center" vertical="center"/>
    </xf>
    <xf numFmtId="200" fontId="47" fillId="10" borderId="10" xfId="0" applyNumberFormat="1" applyFont="1" applyFill="1" applyBorder="1" applyAlignment="1">
      <alignment horizontal="center" vertical="center"/>
    </xf>
    <xf numFmtId="200" fontId="47" fillId="10" borderId="68" xfId="0" applyNumberFormat="1" applyFont="1" applyFill="1" applyBorder="1" applyAlignment="1">
      <alignment horizontal="center" vertical="center"/>
    </xf>
    <xf numFmtId="0" fontId="46" fillId="10" borderId="8" xfId="0" applyFont="1" applyFill="1" applyBorder="1" applyAlignment="1">
      <alignment horizontal="center" vertical="center"/>
    </xf>
    <xf numFmtId="0" fontId="46" fillId="10" borderId="67" xfId="0" applyFont="1" applyFill="1" applyBorder="1" applyAlignment="1">
      <alignment horizontal="center" vertical="center"/>
    </xf>
    <xf numFmtId="0" fontId="46" fillId="13" borderId="67" xfId="0" applyFont="1" applyFill="1" applyBorder="1" applyAlignment="1">
      <alignment horizontal="center" vertical="center"/>
    </xf>
    <xf numFmtId="0" fontId="47" fillId="13" borderId="4" xfId="0" applyFont="1" applyFill="1" applyBorder="1" applyAlignment="1">
      <alignment horizontal="center" vertical="center"/>
    </xf>
    <xf numFmtId="200" fontId="47" fillId="13" borderId="68" xfId="0" applyNumberFormat="1" applyFont="1" applyFill="1" applyBorder="1" applyAlignment="1">
      <alignment horizontal="center" vertical="center"/>
    </xf>
    <xf numFmtId="0" fontId="25" fillId="10" borderId="4" xfId="0" applyFont="1" applyFill="1" applyBorder="1" applyAlignment="1">
      <alignment horizontal="center" vertical="center"/>
    </xf>
    <xf numFmtId="200" fontId="25" fillId="10" borderId="68" xfId="0" applyNumberFormat="1" applyFont="1" applyFill="1" applyBorder="1" applyAlignment="1">
      <alignment horizontal="center" vertical="center"/>
    </xf>
    <xf numFmtId="0" fontId="28" fillId="10" borderId="67" xfId="0" applyFont="1" applyFill="1" applyBorder="1" applyAlignment="1">
      <alignment horizontal="center" vertical="center"/>
    </xf>
    <xf numFmtId="0" fontId="28" fillId="13" borderId="67" xfId="0" applyFont="1" applyFill="1" applyBorder="1" applyAlignment="1">
      <alignment horizontal="center" vertical="center"/>
    </xf>
    <xf numFmtId="0" fontId="28" fillId="13" borderId="24" xfId="0" applyFont="1" applyFill="1" applyBorder="1" applyAlignment="1">
      <alignment horizontal="center" vertical="center"/>
    </xf>
    <xf numFmtId="0" fontId="25" fillId="13" borderId="4" xfId="0" applyFont="1" applyFill="1" applyBorder="1" applyAlignment="1">
      <alignment horizontal="center" vertical="center"/>
    </xf>
    <xf numFmtId="0" fontId="25" fillId="13" borderId="25" xfId="0" applyFont="1" applyFill="1" applyBorder="1" applyAlignment="1">
      <alignment horizontal="center" vertical="center"/>
    </xf>
    <xf numFmtId="200" fontId="25" fillId="13" borderId="68" xfId="0" applyNumberFormat="1" applyFont="1" applyFill="1" applyBorder="1" applyAlignment="1">
      <alignment horizontal="center" vertical="center"/>
    </xf>
    <xf numFmtId="200" fontId="25" fillId="13" borderId="26" xfId="0" applyNumberFormat="1" applyFont="1" applyFill="1" applyBorder="1" applyAlignment="1">
      <alignment horizontal="center" vertical="center"/>
    </xf>
    <xf numFmtId="0" fontId="28" fillId="10" borderId="11" xfId="0" applyFont="1" applyFill="1" applyBorder="1" applyAlignment="1">
      <alignment horizontal="center" vertical="center"/>
    </xf>
    <xf numFmtId="0" fontId="28" fillId="10" borderId="104" xfId="0" applyFont="1" applyFill="1" applyBorder="1" applyAlignment="1">
      <alignment horizontal="center" vertical="center"/>
    </xf>
    <xf numFmtId="0" fontId="28" fillId="10" borderId="103" xfId="0" applyFont="1" applyFill="1" applyBorder="1" applyAlignment="1">
      <alignment horizontal="center" vertical="center"/>
    </xf>
    <xf numFmtId="0" fontId="48" fillId="0" borderId="88" xfId="0" applyFont="1" applyBorder="1" applyAlignment="1">
      <alignment horizontal="center" vertical="center"/>
    </xf>
    <xf numFmtId="0" fontId="48" fillId="0" borderId="107" xfId="0" applyFont="1" applyBorder="1" applyAlignment="1">
      <alignment horizontal="center" vertical="center"/>
    </xf>
    <xf numFmtId="0" fontId="48" fillId="0" borderId="90" xfId="0" applyFont="1" applyBorder="1" applyAlignment="1">
      <alignment horizontal="center" vertical="center"/>
    </xf>
    <xf numFmtId="0" fontId="48" fillId="0" borderId="5" xfId="0" applyFont="1" applyBorder="1" applyAlignment="1">
      <alignment horizontal="center" vertical="center"/>
    </xf>
    <xf numFmtId="0" fontId="48" fillId="0" borderId="106" xfId="0" applyFont="1" applyBorder="1" applyAlignment="1">
      <alignment horizontal="center" vertical="center"/>
    </xf>
    <xf numFmtId="0" fontId="48" fillId="0" borderId="89" xfId="0" applyFont="1" applyBorder="1" applyAlignment="1">
      <alignment horizontal="center" vertical="center"/>
    </xf>
    <xf numFmtId="193" fontId="48" fillId="0" borderId="5" xfId="0" applyNumberFormat="1" applyFont="1" applyBorder="1" applyAlignment="1">
      <alignment horizontal="center" vertical="center"/>
    </xf>
    <xf numFmtId="193" fontId="48" fillId="0" borderId="106" xfId="0" applyNumberFormat="1" applyFont="1" applyBorder="1" applyAlignment="1">
      <alignment horizontal="center" vertical="center"/>
    </xf>
    <xf numFmtId="193" fontId="48" fillId="0" borderId="89" xfId="0" applyNumberFormat="1" applyFont="1" applyBorder="1" applyAlignment="1">
      <alignment horizontal="center" vertical="center"/>
    </xf>
    <xf numFmtId="188" fontId="48" fillId="0" borderId="5" xfId="0" applyNumberFormat="1" applyFont="1" applyBorder="1" applyAlignment="1">
      <alignment horizontal="center" vertical="center"/>
    </xf>
    <xf numFmtId="188" fontId="48" fillId="0" borderId="106" xfId="0" applyNumberFormat="1" applyFont="1" applyBorder="1" applyAlignment="1">
      <alignment horizontal="center" vertical="center"/>
    </xf>
    <xf numFmtId="188" fontId="48" fillId="0" borderId="89" xfId="0" applyNumberFormat="1" applyFont="1" applyBorder="1" applyAlignment="1">
      <alignment horizontal="center" vertical="center"/>
    </xf>
    <xf numFmtId="0" fontId="25" fillId="0" borderId="11" xfId="0" applyFont="1" applyBorder="1" applyAlignment="1">
      <alignment horizontal="center" vertical="center"/>
    </xf>
    <xf numFmtId="0" fontId="25" fillId="0" borderId="104" xfId="0" applyFont="1" applyBorder="1" applyAlignment="1">
      <alignment horizontal="center" vertical="center"/>
    </xf>
    <xf numFmtId="0" fontId="25" fillId="0" borderId="105" xfId="0" applyFont="1" applyBorder="1" applyAlignment="1">
      <alignment horizontal="center" vertical="center"/>
    </xf>
    <xf numFmtId="0" fontId="54" fillId="13" borderId="57" xfId="0" applyFont="1" applyFill="1" applyBorder="1" applyAlignment="1">
      <alignment horizontal="center" vertical="center"/>
    </xf>
    <xf numFmtId="0" fontId="54" fillId="13" borderId="58" xfId="0" applyFont="1" applyFill="1" applyBorder="1" applyAlignment="1">
      <alignment horizontal="center" vertical="center"/>
    </xf>
    <xf numFmtId="0" fontId="28" fillId="13" borderId="54" xfId="0" applyFont="1" applyFill="1" applyBorder="1" applyAlignment="1">
      <alignment horizontal="center" vertical="center"/>
    </xf>
    <xf numFmtId="0" fontId="28" fillId="13" borderId="56" xfId="0" applyFont="1" applyFill="1" applyBorder="1" applyAlignment="1">
      <alignment horizontal="center" vertical="center"/>
    </xf>
    <xf numFmtId="0" fontId="28" fillId="13" borderId="59" xfId="0" applyFont="1" applyFill="1" applyBorder="1" applyAlignment="1">
      <alignment horizontal="center" vertical="center"/>
    </xf>
    <xf numFmtId="0" fontId="28" fillId="13" borderId="55" xfId="0" applyFont="1" applyFill="1" applyBorder="1" applyAlignment="1">
      <alignment horizontal="center" vertical="center"/>
    </xf>
    <xf numFmtId="0" fontId="54" fillId="13" borderId="49" xfId="0" applyFont="1" applyFill="1" applyBorder="1" applyAlignment="1">
      <alignment horizontal="center" vertical="center"/>
    </xf>
    <xf numFmtId="0" fontId="54" fillId="13" borderId="50" xfId="0" applyFont="1" applyFill="1" applyBorder="1" applyAlignment="1">
      <alignment horizontal="center" vertical="center"/>
    </xf>
    <xf numFmtId="0" fontId="28" fillId="13" borderId="74" xfId="0" applyFont="1" applyFill="1" applyBorder="1" applyAlignment="1">
      <alignment horizontal="center" vertical="center"/>
    </xf>
    <xf numFmtId="0" fontId="28" fillId="13" borderId="75" xfId="0" applyFont="1" applyFill="1" applyBorder="1" applyAlignment="1">
      <alignment horizontal="center" vertical="center"/>
    </xf>
    <xf numFmtId="0" fontId="28" fillId="13" borderId="76" xfId="0" applyFont="1" applyFill="1" applyBorder="1" applyAlignment="1">
      <alignment horizontal="center" vertical="center"/>
    </xf>
    <xf numFmtId="2" fontId="42" fillId="33" borderId="35" xfId="18" applyNumberFormat="1" applyFont="1" applyFill="1" applyBorder="1" applyAlignment="1">
      <alignment horizontal="center" vertical="center" wrapText="1"/>
    </xf>
    <xf numFmtId="0" fontId="15" fillId="25" borderId="28" xfId="18" applyNumberFormat="1" applyFont="1" applyFill="1" applyBorder="1" applyAlignment="1">
      <alignment horizontal="center" vertical="center"/>
    </xf>
    <xf numFmtId="0" fontId="15" fillId="25" borderId="31" xfId="18" applyNumberFormat="1" applyFont="1" applyFill="1" applyBorder="1" applyAlignment="1">
      <alignment horizontal="center" vertical="center"/>
    </xf>
    <xf numFmtId="0" fontId="50" fillId="25" borderId="31" xfId="18" applyNumberFormat="1" applyFont="1" applyFill="1" applyBorder="1" applyAlignment="1">
      <alignment horizontal="center" vertical="center"/>
    </xf>
    <xf numFmtId="0" fontId="19" fillId="0" borderId="31" xfId="18" applyNumberFormat="1" applyFont="1" applyBorder="1" applyAlignment="1">
      <alignment horizontal="center" vertical="center"/>
    </xf>
    <xf numFmtId="0" fontId="15" fillId="4" borderId="31" xfId="18" applyNumberFormat="1" applyFont="1" applyFill="1" applyBorder="1" applyAlignment="1">
      <alignment horizontal="center" vertical="center"/>
    </xf>
    <xf numFmtId="0" fontId="19" fillId="6" borderId="31" xfId="18" applyNumberFormat="1" applyFont="1" applyFill="1" applyBorder="1" applyAlignment="1">
      <alignment horizontal="center" vertical="center"/>
    </xf>
    <xf numFmtId="0" fontId="19" fillId="25" borderId="31" xfId="18" applyNumberFormat="1" applyFont="1" applyFill="1" applyBorder="1" applyAlignment="1">
      <alignment horizontal="center" vertical="center"/>
    </xf>
    <xf numFmtId="0" fontId="15" fillId="10" borderId="31" xfId="18" applyNumberFormat="1" applyFont="1" applyFill="1" applyBorder="1" applyAlignment="1">
      <alignment horizontal="center" vertical="center"/>
    </xf>
    <xf numFmtId="0" fontId="15" fillId="0" borderId="31" xfId="18" applyNumberFormat="1" applyFont="1" applyBorder="1" applyAlignment="1">
      <alignment horizontal="center" vertical="center"/>
    </xf>
    <xf numFmtId="0" fontId="19" fillId="4" borderId="31" xfId="18" applyNumberFormat="1" applyFont="1" applyFill="1" applyBorder="1" applyAlignment="1">
      <alignment horizontal="center" vertical="center"/>
    </xf>
    <xf numFmtId="0" fontId="15" fillId="0" borderId="32" xfId="18" applyNumberFormat="1" applyFont="1" applyBorder="1" applyAlignment="1">
      <alignment horizontal="center" vertical="center"/>
    </xf>
    <xf numFmtId="0" fontId="15" fillId="25" borderId="87" xfId="18" applyNumberFormat="1" applyFont="1" applyFill="1" applyBorder="1" applyAlignment="1">
      <alignment horizontal="center" vertical="center"/>
    </xf>
    <xf numFmtId="0" fontId="15" fillId="25" borderId="32" xfId="18" applyNumberFormat="1" applyFont="1" applyFill="1" applyBorder="1" applyAlignment="1">
      <alignment horizontal="center" vertical="center"/>
    </xf>
    <xf numFmtId="0" fontId="15" fillId="7" borderId="36" xfId="18" applyNumberFormat="1" applyFont="1" applyFill="1" applyBorder="1" applyAlignment="1">
      <alignment horizontal="center" vertical="center"/>
    </xf>
    <xf numFmtId="0" fontId="29" fillId="6" borderId="108" xfId="0" applyFont="1" applyFill="1" applyBorder="1" applyAlignment="1">
      <alignment horizontal="center" vertical="center"/>
    </xf>
    <xf numFmtId="0" fontId="29" fillId="6" borderId="109" xfId="0" applyFont="1" applyFill="1" applyBorder="1" applyAlignment="1">
      <alignment horizontal="center" vertical="center"/>
    </xf>
    <xf numFmtId="0" fontId="29" fillId="6" borderId="109" xfId="0" applyFont="1" applyFill="1" applyBorder="1" applyAlignment="1">
      <alignment horizontal="center" vertical="center" wrapText="1"/>
    </xf>
    <xf numFmtId="0" fontId="44" fillId="6" borderId="109" xfId="21" applyFont="1" applyFill="1" applyBorder="1" applyAlignment="1">
      <alignment horizontal="center" vertical="center" wrapText="1"/>
    </xf>
    <xf numFmtId="41" fontId="29" fillId="6" borderId="109" xfId="20" applyFont="1" applyFill="1" applyBorder="1" applyAlignment="1">
      <alignment horizontal="center" vertical="center" wrapText="1"/>
    </xf>
    <xf numFmtId="0" fontId="29" fillId="6" borderId="110" xfId="0" applyFont="1" applyFill="1" applyBorder="1" applyAlignment="1">
      <alignment horizontal="center" vertical="center"/>
    </xf>
    <xf numFmtId="0" fontId="29" fillId="6" borderId="111" xfId="0" applyFont="1" applyFill="1" applyBorder="1" applyAlignment="1">
      <alignment horizontal="center" vertical="center"/>
    </xf>
    <xf numFmtId="0" fontId="29" fillId="6" borderId="112" xfId="0" applyFont="1" applyFill="1" applyBorder="1" applyAlignment="1">
      <alignment horizontal="center" vertical="center"/>
    </xf>
    <xf numFmtId="0" fontId="29" fillId="6" borderId="112" xfId="0" applyFont="1" applyFill="1" applyBorder="1" applyAlignment="1">
      <alignment horizontal="center" vertical="center" wrapText="1"/>
    </xf>
    <xf numFmtId="0" fontId="44" fillId="6" borderId="112" xfId="21" applyFont="1" applyFill="1" applyBorder="1" applyAlignment="1">
      <alignment horizontal="center" vertical="center" wrapText="1"/>
    </xf>
    <xf numFmtId="41" fontId="29" fillId="6" borderId="112" xfId="20" applyFont="1" applyFill="1" applyBorder="1" applyAlignment="1">
      <alignment horizontal="center" vertical="center" wrapText="1"/>
    </xf>
    <xf numFmtId="0" fontId="29" fillId="6" borderId="113" xfId="0" applyFont="1" applyFill="1" applyBorder="1" applyAlignment="1">
      <alignment horizontal="center" vertical="center"/>
    </xf>
    <xf numFmtId="0" fontId="34" fillId="0" borderId="111" xfId="0" applyFont="1" applyBorder="1" applyAlignment="1">
      <alignment horizontal="center" vertical="center"/>
    </xf>
    <xf numFmtId="0" fontId="29" fillId="0" borderId="112" xfId="0" applyFont="1" applyBorder="1" applyAlignment="1">
      <alignment horizontal="center" vertical="center"/>
    </xf>
    <xf numFmtId="17" fontId="34" fillId="0" borderId="112" xfId="0" applyNumberFormat="1" applyFont="1" applyBorder="1" applyAlignment="1">
      <alignment horizontal="center" vertical="center"/>
    </xf>
    <xf numFmtId="0" fontId="34" fillId="0" borderId="112" xfId="0" applyFont="1" applyBorder="1" applyAlignment="1">
      <alignment horizontal="center" vertical="center"/>
    </xf>
    <xf numFmtId="0" fontId="15" fillId="0" borderId="112" xfId="0" applyFont="1" applyBorder="1" applyAlignment="1">
      <alignment horizontal="center" vertical="center" wrapText="1"/>
    </xf>
    <xf numFmtId="188" fontId="15" fillId="0" borderId="112" xfId="0" applyNumberFormat="1" applyFont="1" applyBorder="1" applyAlignment="1">
      <alignment horizontal="center" vertical="center"/>
    </xf>
    <xf numFmtId="41" fontId="34" fillId="0" borderId="112" xfId="20" applyFont="1" applyBorder="1">
      <alignment vertical="center"/>
    </xf>
    <xf numFmtId="0" fontId="34" fillId="0" borderId="113" xfId="0" applyFont="1" applyBorder="1" applyAlignment="1">
      <alignment horizontal="center" vertical="center"/>
    </xf>
    <xf numFmtId="0" fontId="34" fillId="0" borderId="114" xfId="0" applyFont="1" applyBorder="1" applyAlignment="1">
      <alignment horizontal="center" vertical="center"/>
    </xf>
    <xf numFmtId="0" fontId="29" fillId="0" borderId="115" xfId="0" applyFont="1" applyBorder="1" applyAlignment="1">
      <alignment horizontal="center" vertical="center"/>
    </xf>
    <xf numFmtId="17" fontId="34" fillId="0" borderId="115" xfId="0" applyNumberFormat="1" applyFont="1" applyBorder="1" applyAlignment="1">
      <alignment horizontal="center" vertical="center"/>
    </xf>
    <xf numFmtId="0" fontId="34" fillId="0" borderId="115" xfId="0" applyFont="1" applyBorder="1" applyAlignment="1">
      <alignment horizontal="center" vertical="center"/>
    </xf>
    <xf numFmtId="0" fontId="15" fillId="0" borderId="115" xfId="0" applyFont="1" applyBorder="1" applyAlignment="1">
      <alignment horizontal="center" vertical="center" wrapText="1"/>
    </xf>
    <xf numFmtId="188" fontId="15" fillId="0" borderId="115" xfId="0" applyNumberFormat="1" applyFont="1" applyBorder="1" applyAlignment="1">
      <alignment horizontal="center" vertical="center"/>
    </xf>
    <xf numFmtId="41" fontId="34" fillId="0" borderId="115" xfId="20" applyFont="1" applyBorder="1">
      <alignment vertical="center"/>
    </xf>
    <xf numFmtId="0" fontId="34" fillId="0" borderId="116" xfId="0" applyFont="1" applyBorder="1" applyAlignment="1">
      <alignment horizontal="center" vertical="center"/>
    </xf>
  </cellXfs>
  <cellStyles count="25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1" xfId="21" builtinId="30"/>
    <cellStyle name="20% - 강조색4 2" xfId="19" xr:uid="{00000000-0005-0000-0000-000006000000}"/>
    <cellStyle name="20% - 강조색6" xfId="22" builtinId="50"/>
    <cellStyle name="Header1" xfId="14" xr:uid="{00000000-0005-0000-0000-000007000000}"/>
    <cellStyle name="Header2" xfId="15" xr:uid="{00000000-0005-0000-0000-000008000000}"/>
    <cellStyle name="백분율" xfId="24" builtinId="5"/>
    <cellStyle name="쉼표" xfId="17" builtinId="3"/>
    <cellStyle name="쉼표 [0]" xfId="20" builtinId="6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3" xr:uid="{A7DBD823-682A-4501-80AC-3335D0232F49}"/>
  </cellStyles>
  <dxfs count="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</dxfs>
  <tableStyles count="0" defaultTableStyle="TableStyleMedium9" defaultPivotStyle="PivotStyleLight16"/>
  <colors>
    <mruColors>
      <color rgb="FFF69240"/>
      <color rgb="FFFFFFCC"/>
      <color rgb="FFEDDFEF"/>
      <color rgb="FFCCCCFF"/>
      <color rgb="FF9E0E1C"/>
      <color rgb="FFE3DE00"/>
      <color rgb="FF00506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onnections" Target="connections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7.474466280310374E-2"/>
          <c:w val="0.91972937775338648"/>
          <c:h val="0.77699877192061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Y!$C$37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dk1">
                <a:tint val="885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Y!$B$38:$B$48</c:f>
              <c:strCache>
                <c:ptCount val="11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  <c:pt idx="8">
                  <c:v>2022</c:v>
                </c:pt>
                <c:pt idx="9">
                  <c:v>2023</c:v>
                </c:pt>
                <c:pt idx="10">
                  <c:v>10년평균</c:v>
                </c:pt>
              </c:strCache>
            </c:strRef>
          </c:cat>
          <c:val>
            <c:numRef>
              <c:f>Y!$C$38:$C$48</c:f>
              <c:numCache>
                <c:formatCode>General</c:formatCode>
                <c:ptCount val="11"/>
                <c:pt idx="0">
                  <c:v>808.9</c:v>
                </c:pt>
                <c:pt idx="1">
                  <c:v>792.1</c:v>
                </c:pt>
                <c:pt idx="2">
                  <c:v>991.7</c:v>
                </c:pt>
                <c:pt idx="3">
                  <c:v>1233.2</c:v>
                </c:pt>
                <c:pt idx="4">
                  <c:v>1284.0999999999999</c:v>
                </c:pt>
                <c:pt idx="5">
                  <c:v>891.3</c:v>
                </c:pt>
                <c:pt idx="6">
                  <c:v>1651.1</c:v>
                </c:pt>
                <c:pt idx="7">
                  <c:v>1186.5</c:v>
                </c:pt>
                <c:pt idx="8">
                  <c:v>1775.3</c:v>
                </c:pt>
                <c:pt idx="9">
                  <c:v>1598.8</c:v>
                </c:pt>
                <c:pt idx="10">
                  <c:v>1221.3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1425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Y!$C$51</c:f>
              <c:strCache>
                <c:ptCount val="1"/>
                <c:pt idx="0">
                  <c:v>강우량</c:v>
                </c:pt>
              </c:strCache>
            </c:strRef>
          </c:tx>
          <c:spPr>
            <a:gradFill flip="none" rotWithShape="1">
              <a:gsLst>
                <a:gs pos="0">
                  <a:schemeClr val="dk1">
                    <a:tint val="88500"/>
                  </a:schemeClr>
                </a:gs>
                <a:gs pos="75000">
                  <a:schemeClr val="dk1">
                    <a:tint val="88500"/>
                    <a:lumMod val="60000"/>
                    <a:lumOff val="40000"/>
                  </a:schemeClr>
                </a:gs>
                <a:gs pos="51000">
                  <a:schemeClr val="dk1">
                    <a:tint val="88500"/>
                    <a:alpha val="75000"/>
                  </a:schemeClr>
                </a:gs>
                <a:gs pos="100000">
                  <a:schemeClr val="dk1">
                    <a:tint val="88500"/>
                    <a:lumMod val="20000"/>
                    <a:lumOff val="80000"/>
                    <a:alpha val="15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Y!$B$52:$B$82</c:f>
              <c:strCache>
                <c:ptCount val="31"/>
                <c:pt idx="0">
                  <c:v>1994</c:v>
                </c:pt>
                <c:pt idx="1">
                  <c:v>1995</c:v>
                </c:pt>
                <c:pt idx="2">
                  <c:v>1996</c:v>
                </c:pt>
                <c:pt idx="3">
                  <c:v>1997</c:v>
                </c:pt>
                <c:pt idx="4">
                  <c:v>1998</c:v>
                </c:pt>
                <c:pt idx="5">
                  <c:v>1999</c:v>
                </c:pt>
                <c:pt idx="6">
                  <c:v>2000</c:v>
                </c:pt>
                <c:pt idx="7">
                  <c:v>2001</c:v>
                </c:pt>
                <c:pt idx="8">
                  <c:v>2002</c:v>
                </c:pt>
                <c:pt idx="9">
                  <c:v>2003</c:v>
                </c:pt>
                <c:pt idx="10">
                  <c:v>2004</c:v>
                </c:pt>
                <c:pt idx="11">
                  <c:v>2005</c:v>
                </c:pt>
                <c:pt idx="12">
                  <c:v>2006</c:v>
                </c:pt>
                <c:pt idx="13">
                  <c:v>2007</c:v>
                </c:pt>
                <c:pt idx="14">
                  <c:v>2008</c:v>
                </c:pt>
                <c:pt idx="15">
                  <c:v>2009</c:v>
                </c:pt>
                <c:pt idx="16">
                  <c:v>2010</c:v>
                </c:pt>
                <c:pt idx="17">
                  <c:v>2011</c:v>
                </c:pt>
                <c:pt idx="18">
                  <c:v>2012</c:v>
                </c:pt>
                <c:pt idx="19">
                  <c:v>2013</c:v>
                </c:pt>
                <c:pt idx="20">
                  <c:v>2014</c:v>
                </c:pt>
                <c:pt idx="21">
                  <c:v>2015</c:v>
                </c:pt>
                <c:pt idx="22">
                  <c:v>2016</c:v>
                </c:pt>
                <c:pt idx="23">
                  <c:v>2017</c:v>
                </c:pt>
                <c:pt idx="24">
                  <c:v>2018</c:v>
                </c:pt>
                <c:pt idx="25">
                  <c:v>2019</c:v>
                </c:pt>
                <c:pt idx="26">
                  <c:v>2020</c:v>
                </c:pt>
                <c:pt idx="27">
                  <c:v>2021</c:v>
                </c:pt>
                <c:pt idx="28">
                  <c:v>2022</c:v>
                </c:pt>
                <c:pt idx="29">
                  <c:v>2023</c:v>
                </c:pt>
                <c:pt idx="30">
                  <c:v>30년평균</c:v>
                </c:pt>
              </c:strCache>
            </c:strRef>
          </c:cat>
          <c:val>
            <c:numRef>
              <c:f>Y!$C$52:$C$82</c:f>
              <c:numCache>
                <c:formatCode>General</c:formatCode>
                <c:ptCount val="31"/>
                <c:pt idx="0">
                  <c:v>1055.8</c:v>
                </c:pt>
                <c:pt idx="1">
                  <c:v>1598.6</c:v>
                </c:pt>
                <c:pt idx="2">
                  <c:v>1256.5999999999999</c:v>
                </c:pt>
                <c:pt idx="3">
                  <c:v>1210.2</c:v>
                </c:pt>
                <c:pt idx="4">
                  <c:v>2349.1</c:v>
                </c:pt>
                <c:pt idx="5">
                  <c:v>1733.1</c:v>
                </c:pt>
                <c:pt idx="6">
                  <c:v>1186.8</c:v>
                </c:pt>
                <c:pt idx="7">
                  <c:v>1386</c:v>
                </c:pt>
                <c:pt idx="8">
                  <c:v>1388</c:v>
                </c:pt>
                <c:pt idx="9">
                  <c:v>2012</c:v>
                </c:pt>
                <c:pt idx="10">
                  <c:v>1499.1</c:v>
                </c:pt>
                <c:pt idx="11">
                  <c:v>1358.4</c:v>
                </c:pt>
                <c:pt idx="12">
                  <c:v>1681.9</c:v>
                </c:pt>
                <c:pt idx="13">
                  <c:v>1212.3</c:v>
                </c:pt>
                <c:pt idx="14">
                  <c:v>1356.3</c:v>
                </c:pt>
                <c:pt idx="15">
                  <c:v>1564</c:v>
                </c:pt>
                <c:pt idx="16">
                  <c:v>2043.5</c:v>
                </c:pt>
                <c:pt idx="17">
                  <c:v>2039.3</c:v>
                </c:pt>
                <c:pt idx="18">
                  <c:v>1646.3</c:v>
                </c:pt>
                <c:pt idx="19">
                  <c:v>1403.8</c:v>
                </c:pt>
                <c:pt idx="20">
                  <c:v>808.9</c:v>
                </c:pt>
                <c:pt idx="21">
                  <c:v>792.1</c:v>
                </c:pt>
                <c:pt idx="22">
                  <c:v>991.7</c:v>
                </c:pt>
                <c:pt idx="23">
                  <c:v>1233.2</c:v>
                </c:pt>
                <c:pt idx="24">
                  <c:v>1284.0999999999999</c:v>
                </c:pt>
                <c:pt idx="25">
                  <c:v>891.3</c:v>
                </c:pt>
                <c:pt idx="26">
                  <c:v>1651.1</c:v>
                </c:pt>
                <c:pt idx="27">
                  <c:v>1186.5</c:v>
                </c:pt>
                <c:pt idx="28">
                  <c:v>1775.3</c:v>
                </c:pt>
                <c:pt idx="29">
                  <c:v>1598.8</c:v>
                </c:pt>
                <c:pt idx="30">
                  <c:v>1439.8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9-4BAD-AC5B-F7019116F3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55"/>
        <c:overlap val="-70"/>
        <c:axId val="1828181264"/>
        <c:axId val="1828175440"/>
      </c:barChart>
      <c:catAx>
        <c:axId val="18281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75440"/>
        <c:crosses val="autoZero"/>
        <c:auto val="1"/>
        <c:lblAlgn val="ctr"/>
        <c:lblOffset val="100"/>
        <c:noMultiLvlLbl val="0"/>
      </c:catAx>
      <c:valAx>
        <c:axId val="1828175440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tx1">
                      <a:lumMod val="5000"/>
                      <a:lumOff val="95000"/>
                    </a:schemeClr>
                  </a:gs>
                  <a:gs pos="0">
                    <a:schemeClr val="tx1">
                      <a:lumMod val="25000"/>
                      <a:lumOff val="7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8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Y!$D$38</c:f>
              <c:strCache>
                <c:ptCount val="1"/>
                <c:pt idx="0">
                  <c:v>평균</c:v>
                </c:pt>
              </c:strCache>
            </c:strRef>
          </c:tx>
          <c:spPr>
            <a:solidFill>
              <a:schemeClr val="dk1">
                <a:tint val="885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Y!$E$37:$Q$37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Y!$E$38:$Q$38</c:f>
              <c:numCache>
                <c:formatCode>General</c:formatCode>
                <c:ptCount val="13"/>
                <c:pt idx="0">
                  <c:v>18.2</c:v>
                </c:pt>
                <c:pt idx="1">
                  <c:v>21.7</c:v>
                </c:pt>
                <c:pt idx="2">
                  <c:v>38.200000000000003</c:v>
                </c:pt>
                <c:pt idx="3">
                  <c:v>68.599999999999994</c:v>
                </c:pt>
                <c:pt idx="4">
                  <c:v>98.7</c:v>
                </c:pt>
                <c:pt idx="5">
                  <c:v>139.69999999999999</c:v>
                </c:pt>
                <c:pt idx="6">
                  <c:v>294.39999999999998</c:v>
                </c:pt>
                <c:pt idx="7">
                  <c:v>275.3</c:v>
                </c:pt>
                <c:pt idx="8">
                  <c:v>103.9</c:v>
                </c:pt>
                <c:pt idx="9">
                  <c:v>62.3</c:v>
                </c:pt>
                <c:pt idx="10">
                  <c:v>71</c:v>
                </c:pt>
                <c:pt idx="11">
                  <c:v>29.4</c:v>
                </c:pt>
                <c:pt idx="12">
                  <c:v>101.8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D-482D-9BAE-4A729D22FF3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08596368"/>
        <c:axId val="108584304"/>
      </c:barChart>
      <c:catAx>
        <c:axId val="10859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84304"/>
        <c:crosses val="autoZero"/>
        <c:auto val="1"/>
        <c:lblAlgn val="ctr"/>
        <c:lblOffset val="100"/>
        <c:noMultiLvlLbl val="0"/>
      </c:catAx>
      <c:valAx>
        <c:axId val="10858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9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5000"/>
                <a:lumOff val="95000"/>
              </a:schemeClr>
            </a:gs>
            <a:gs pos="0">
              <a:schemeClr val="tx1">
                <a:lumMod val="25000"/>
                <a:lumOff val="7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5000"/>
                <a:lumOff val="95000"/>
              </a:schemeClr>
            </a:gs>
            <a:gs pos="0">
              <a:schemeClr val="tx1">
                <a:lumMod val="25000"/>
                <a:lumOff val="7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  <a:headEnd type="none" w="sm" len="sm"/>
        <a:tailEnd type="none" w="sm" len="sm"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26.png"/><Relationship Id="rId13" Type="http://schemas.openxmlformats.org/officeDocument/2006/relationships/image" Target="../media/image31.png"/><Relationship Id="rId18" Type="http://schemas.openxmlformats.org/officeDocument/2006/relationships/image" Target="../media/image36.png"/><Relationship Id="rId3" Type="http://schemas.openxmlformats.org/officeDocument/2006/relationships/image" Target="../media/image21.png"/><Relationship Id="rId21" Type="http://schemas.openxmlformats.org/officeDocument/2006/relationships/image" Target="../media/image39.png"/><Relationship Id="rId7" Type="http://schemas.openxmlformats.org/officeDocument/2006/relationships/image" Target="../media/image25.png"/><Relationship Id="rId12" Type="http://schemas.openxmlformats.org/officeDocument/2006/relationships/image" Target="../media/image30.png"/><Relationship Id="rId17" Type="http://schemas.openxmlformats.org/officeDocument/2006/relationships/image" Target="../media/image35.png"/><Relationship Id="rId2" Type="http://schemas.openxmlformats.org/officeDocument/2006/relationships/image" Target="../media/image20.png"/><Relationship Id="rId16" Type="http://schemas.openxmlformats.org/officeDocument/2006/relationships/image" Target="../media/image34.png"/><Relationship Id="rId20" Type="http://schemas.openxmlformats.org/officeDocument/2006/relationships/image" Target="../media/image38.png"/><Relationship Id="rId1" Type="http://schemas.openxmlformats.org/officeDocument/2006/relationships/image" Target="../media/image19.png"/><Relationship Id="rId6" Type="http://schemas.openxmlformats.org/officeDocument/2006/relationships/image" Target="../media/image24.png"/><Relationship Id="rId11" Type="http://schemas.openxmlformats.org/officeDocument/2006/relationships/image" Target="../media/image29.png"/><Relationship Id="rId5" Type="http://schemas.openxmlformats.org/officeDocument/2006/relationships/image" Target="../media/image23.png"/><Relationship Id="rId15" Type="http://schemas.openxmlformats.org/officeDocument/2006/relationships/image" Target="../media/image33.png"/><Relationship Id="rId10" Type="http://schemas.openxmlformats.org/officeDocument/2006/relationships/image" Target="../media/image28.png"/><Relationship Id="rId19" Type="http://schemas.openxmlformats.org/officeDocument/2006/relationships/image" Target="../media/image37.png"/><Relationship Id="rId4" Type="http://schemas.openxmlformats.org/officeDocument/2006/relationships/image" Target="../media/image22.png"/><Relationship Id="rId9" Type="http://schemas.openxmlformats.org/officeDocument/2006/relationships/image" Target="../media/image27.png"/><Relationship Id="rId14" Type="http://schemas.openxmlformats.org/officeDocument/2006/relationships/image" Target="../media/image32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3" Type="http://schemas.openxmlformats.org/officeDocument/2006/relationships/image" Target="../media/image5.emf"/><Relationship Id="rId7" Type="http://schemas.openxmlformats.org/officeDocument/2006/relationships/image" Target="../media/image9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6" Type="http://schemas.openxmlformats.org/officeDocument/2006/relationships/image" Target="../media/image8.emf"/><Relationship Id="rId5" Type="http://schemas.openxmlformats.org/officeDocument/2006/relationships/image" Target="../media/image7.emf"/><Relationship Id="rId4" Type="http://schemas.openxmlformats.org/officeDocument/2006/relationships/image" Target="../media/image6.emf"/><Relationship Id="rId9" Type="http://schemas.openxmlformats.org/officeDocument/2006/relationships/image" Target="../media/image1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.emf"/><Relationship Id="rId2" Type="http://schemas.openxmlformats.org/officeDocument/2006/relationships/image" Target="../media/image14.emf"/><Relationship Id="rId1" Type="http://schemas.openxmlformats.org/officeDocument/2006/relationships/image" Target="../media/image13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.emf"/><Relationship Id="rId2" Type="http://schemas.openxmlformats.org/officeDocument/2006/relationships/image" Target="../media/image17.emf"/><Relationship Id="rId1" Type="http://schemas.openxmlformats.org/officeDocument/2006/relationships/image" Target="../media/image16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40.emf"/><Relationship Id="rId2" Type="http://schemas.openxmlformats.org/officeDocument/2006/relationships/image" Target="../media/image41.emf"/><Relationship Id="rId1" Type="http://schemas.openxmlformats.org/officeDocument/2006/relationships/image" Target="../media/image42.emf"/><Relationship Id="rId4" Type="http://schemas.openxmlformats.org/officeDocument/2006/relationships/image" Target="../media/image43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45.emf"/><Relationship Id="rId1" Type="http://schemas.openxmlformats.org/officeDocument/2006/relationships/image" Target="../media/image44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48.emf"/><Relationship Id="rId2" Type="http://schemas.openxmlformats.org/officeDocument/2006/relationships/image" Target="../media/image46.emf"/><Relationship Id="rId1" Type="http://schemas.openxmlformats.org/officeDocument/2006/relationships/image" Target="../media/image47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51.emf"/><Relationship Id="rId2" Type="http://schemas.openxmlformats.org/officeDocument/2006/relationships/image" Target="../media/image49.emf"/><Relationship Id="rId1" Type="http://schemas.openxmlformats.org/officeDocument/2006/relationships/image" Target="../media/image50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52.emf"/><Relationship Id="rId1" Type="http://schemas.openxmlformats.org/officeDocument/2006/relationships/image" Target="../media/image53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54.emf"/><Relationship Id="rId2" Type="http://schemas.openxmlformats.org/officeDocument/2006/relationships/image" Target="../media/image56.emf"/><Relationship Id="rId1" Type="http://schemas.openxmlformats.org/officeDocument/2006/relationships/image" Target="../media/image55.emf"/><Relationship Id="rId4" Type="http://schemas.openxmlformats.org/officeDocument/2006/relationships/image" Target="../media/image57.png"/></Relationships>
</file>

<file path=xl/drawings/_rels/vmlDrawing12.vml.rels><?xml version="1.0" encoding="UTF-8" standalone="yes"?>
<Relationships xmlns="http://schemas.openxmlformats.org/package/2006/relationships"><Relationship Id="rId8" Type="http://schemas.openxmlformats.org/officeDocument/2006/relationships/image" Target="../media/image67.emf"/><Relationship Id="rId13" Type="http://schemas.openxmlformats.org/officeDocument/2006/relationships/image" Target="../media/image71.emf"/><Relationship Id="rId3" Type="http://schemas.openxmlformats.org/officeDocument/2006/relationships/image" Target="../media/image63.emf"/><Relationship Id="rId7" Type="http://schemas.openxmlformats.org/officeDocument/2006/relationships/image" Target="../media/image60.emf"/><Relationship Id="rId12" Type="http://schemas.openxmlformats.org/officeDocument/2006/relationships/image" Target="../media/image59.emf"/><Relationship Id="rId2" Type="http://schemas.openxmlformats.org/officeDocument/2006/relationships/image" Target="../media/image64.emf"/><Relationship Id="rId1" Type="http://schemas.openxmlformats.org/officeDocument/2006/relationships/image" Target="../media/image65.emf"/><Relationship Id="rId6" Type="http://schemas.openxmlformats.org/officeDocument/2006/relationships/image" Target="../media/image66.emf"/><Relationship Id="rId11" Type="http://schemas.openxmlformats.org/officeDocument/2006/relationships/image" Target="../media/image70.emf"/><Relationship Id="rId5" Type="http://schemas.openxmlformats.org/officeDocument/2006/relationships/image" Target="../media/image61.emf"/><Relationship Id="rId15" Type="http://schemas.openxmlformats.org/officeDocument/2006/relationships/image" Target="../media/image72.emf"/><Relationship Id="rId10" Type="http://schemas.openxmlformats.org/officeDocument/2006/relationships/image" Target="../media/image69.emf"/><Relationship Id="rId4" Type="http://schemas.openxmlformats.org/officeDocument/2006/relationships/image" Target="../media/image62.emf"/><Relationship Id="rId9" Type="http://schemas.openxmlformats.org/officeDocument/2006/relationships/image" Target="../media/image68.emf"/><Relationship Id="rId14" Type="http://schemas.openxmlformats.org/officeDocument/2006/relationships/image" Target="../media/image58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73.emf"/><Relationship Id="rId2" Type="http://schemas.openxmlformats.org/officeDocument/2006/relationships/image" Target="../media/image74.emf"/><Relationship Id="rId1" Type="http://schemas.openxmlformats.org/officeDocument/2006/relationships/image" Target="../media/image75.emf"/><Relationship Id="rId5" Type="http://schemas.openxmlformats.org/officeDocument/2006/relationships/image" Target="../media/image77.emf"/><Relationship Id="rId4" Type="http://schemas.openxmlformats.org/officeDocument/2006/relationships/image" Target="../media/image76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79.emf"/><Relationship Id="rId2" Type="http://schemas.openxmlformats.org/officeDocument/2006/relationships/image" Target="../media/image80.emf"/><Relationship Id="rId1" Type="http://schemas.openxmlformats.org/officeDocument/2006/relationships/image" Target="../media/image81.emf"/><Relationship Id="rId4" Type="http://schemas.openxmlformats.org/officeDocument/2006/relationships/image" Target="../media/image78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83.emf"/><Relationship Id="rId2" Type="http://schemas.openxmlformats.org/officeDocument/2006/relationships/image" Target="../media/image84.emf"/><Relationship Id="rId1" Type="http://schemas.openxmlformats.org/officeDocument/2006/relationships/image" Target="../media/image85.emf"/><Relationship Id="rId4" Type="http://schemas.openxmlformats.org/officeDocument/2006/relationships/image" Target="../media/image82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88.emf"/><Relationship Id="rId2" Type="http://schemas.openxmlformats.org/officeDocument/2006/relationships/image" Target="../media/image86.emf"/><Relationship Id="rId1" Type="http://schemas.openxmlformats.org/officeDocument/2006/relationships/image" Target="../media/image87.emf"/><Relationship Id="rId4" Type="http://schemas.openxmlformats.org/officeDocument/2006/relationships/image" Target="../media/image89.emf"/></Relationships>
</file>

<file path=xl/drawings/_rels/vmlDrawing17.vml.rels><?xml version="1.0" encoding="UTF-8" standalone="yes"?>
<Relationships xmlns="http://schemas.openxmlformats.org/package/2006/relationships"><Relationship Id="rId3" Type="http://schemas.openxmlformats.org/officeDocument/2006/relationships/image" Target="../media/image92.emf"/><Relationship Id="rId2" Type="http://schemas.openxmlformats.org/officeDocument/2006/relationships/image" Target="../media/image91.emf"/><Relationship Id="rId1" Type="http://schemas.openxmlformats.org/officeDocument/2006/relationships/image" Target="../media/image90.emf"/><Relationship Id="rId4" Type="http://schemas.openxmlformats.org/officeDocument/2006/relationships/image" Target="../media/image93.emf"/></Relationships>
</file>

<file path=xl/drawings/_rels/vmlDrawing18.vml.rels><?xml version="1.0" encoding="UTF-8" standalone="yes"?>
<Relationships xmlns="http://schemas.openxmlformats.org/package/2006/relationships"><Relationship Id="rId3" Type="http://schemas.openxmlformats.org/officeDocument/2006/relationships/image" Target="../media/image97.emf"/><Relationship Id="rId2" Type="http://schemas.openxmlformats.org/officeDocument/2006/relationships/image" Target="../media/image96.emf"/><Relationship Id="rId1" Type="http://schemas.openxmlformats.org/officeDocument/2006/relationships/image" Target="../media/image95.emf"/><Relationship Id="rId4" Type="http://schemas.openxmlformats.org/officeDocument/2006/relationships/image" Target="../media/image9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3</xdr:row>
          <xdr:rowOff>9525</xdr:rowOff>
        </xdr:from>
        <xdr:to>
          <xdr:col>17</xdr:col>
          <xdr:colOff>895350</xdr:colOff>
          <xdr:row>3</xdr:row>
          <xdr:rowOff>361950</xdr:rowOff>
        </xdr:to>
        <xdr:sp macro="" textlink="">
          <xdr:nvSpPr>
            <xdr:cNvPr id="218113" name="CommandButton1" hidden="1">
              <a:extLst>
                <a:ext uri="{63B3BB69-23CF-44E3-9099-C40C66FF867C}">
                  <a14:compatExt spid="_x0000_s218113"/>
                </a:ext>
                <a:ext uri="{FF2B5EF4-FFF2-40B4-BE49-F238E27FC236}">
                  <a16:creationId xmlns:a16="http://schemas.microsoft.com/office/drawing/2014/main" id="{00000000-0008-0000-0100-000001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4</xdr:row>
          <xdr:rowOff>0</xdr:rowOff>
        </xdr:from>
        <xdr:to>
          <xdr:col>17</xdr:col>
          <xdr:colOff>895350</xdr:colOff>
          <xdr:row>5</xdr:row>
          <xdr:rowOff>66675</xdr:rowOff>
        </xdr:to>
        <xdr:sp macro="" textlink="">
          <xdr:nvSpPr>
            <xdr:cNvPr id="218114" name="CommandButton2" hidden="1">
              <a:extLst>
                <a:ext uri="{63B3BB69-23CF-44E3-9099-C40C66FF867C}">
                  <a14:compatExt spid="_x0000_s218114"/>
                </a:ext>
                <a:ext uri="{FF2B5EF4-FFF2-40B4-BE49-F238E27FC236}">
                  <a16:creationId xmlns:a16="http://schemas.microsoft.com/office/drawing/2014/main" id="{00000000-0008-0000-0100-000002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55</xdr:row>
      <xdr:rowOff>104774</xdr:rowOff>
    </xdr:from>
    <xdr:to>
      <xdr:col>15</xdr:col>
      <xdr:colOff>304800</xdr:colOff>
      <xdr:row>69</xdr:row>
      <xdr:rowOff>171449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328611</xdr:colOff>
      <xdr:row>38</xdr:row>
      <xdr:rowOff>166686</xdr:rowOff>
    </xdr:from>
    <xdr:to>
      <xdr:col>15</xdr:col>
      <xdr:colOff>333374</xdr:colOff>
      <xdr:row>54</xdr:row>
      <xdr:rowOff>133349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314325</xdr:colOff>
      <xdr:row>70</xdr:row>
      <xdr:rowOff>66675</xdr:rowOff>
    </xdr:from>
    <xdr:to>
      <xdr:col>15</xdr:col>
      <xdr:colOff>200025</xdr:colOff>
      <xdr:row>84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30</xdr:row>
          <xdr:rowOff>104775</xdr:rowOff>
        </xdr:from>
        <xdr:to>
          <xdr:col>4</xdr:col>
          <xdr:colOff>723900</xdr:colOff>
          <xdr:row>31</xdr:row>
          <xdr:rowOff>209550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3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26</xdr:row>
          <xdr:rowOff>95250</xdr:rowOff>
        </xdr:from>
        <xdr:to>
          <xdr:col>11</xdr:col>
          <xdr:colOff>714375</xdr:colOff>
          <xdr:row>27</xdr:row>
          <xdr:rowOff>200025</xdr:rowOff>
        </xdr:to>
        <xdr:sp macro="" textlink="">
          <xdr:nvSpPr>
            <xdr:cNvPr id="50190" name="ShowLocation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3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30</xdr:row>
          <xdr:rowOff>152400</xdr:rowOff>
        </xdr:from>
        <xdr:to>
          <xdr:col>6</xdr:col>
          <xdr:colOff>428625</xdr:colOff>
          <xdr:row>31</xdr:row>
          <xdr:rowOff>161925</xdr:rowOff>
        </xdr:to>
        <xdr:sp macro="" textlink="">
          <xdr:nvSpPr>
            <xdr:cNvPr id="50192" name="cbCheSoo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3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32</xdr:row>
          <xdr:rowOff>38100</xdr:rowOff>
        </xdr:from>
        <xdr:to>
          <xdr:col>4</xdr:col>
          <xdr:colOff>723900</xdr:colOff>
          <xdr:row>33</xdr:row>
          <xdr:rowOff>200025</xdr:rowOff>
        </xdr:to>
        <xdr:sp macro="" textlink="">
          <xdr:nvSpPr>
            <xdr:cNvPr id="50193" name="CommandButton2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3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18</xdr:row>
          <xdr:rowOff>85725</xdr:rowOff>
        </xdr:from>
        <xdr:to>
          <xdr:col>15</xdr:col>
          <xdr:colOff>733425</xdr:colOff>
          <xdr:row>19</xdr:row>
          <xdr:rowOff>190500</xdr:rowOff>
        </xdr:to>
        <xdr:sp macro="" textlink="">
          <xdr:nvSpPr>
            <xdr:cNvPr id="50195" name="CommandButton3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3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30</xdr:row>
          <xdr:rowOff>171450</xdr:rowOff>
        </xdr:from>
        <xdr:to>
          <xdr:col>7</xdr:col>
          <xdr:colOff>695325</xdr:colOff>
          <xdr:row>31</xdr:row>
          <xdr:rowOff>133350</xdr:rowOff>
        </xdr:to>
        <xdr:sp macro="" textlink="">
          <xdr:nvSpPr>
            <xdr:cNvPr id="50196" name="OptionButton1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3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31</xdr:row>
          <xdr:rowOff>123825</xdr:rowOff>
        </xdr:from>
        <xdr:to>
          <xdr:col>8</xdr:col>
          <xdr:colOff>38100</xdr:colOff>
          <xdr:row>32</xdr:row>
          <xdr:rowOff>142875</xdr:rowOff>
        </xdr:to>
        <xdr:sp macro="" textlink="">
          <xdr:nvSpPr>
            <xdr:cNvPr id="50197" name="OptionButton2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3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32</xdr:row>
          <xdr:rowOff>133350</xdr:rowOff>
        </xdr:from>
        <xdr:to>
          <xdr:col>8</xdr:col>
          <xdr:colOff>447675</xdr:colOff>
          <xdr:row>34</xdr:row>
          <xdr:rowOff>28575</xdr:rowOff>
        </xdr:to>
        <xdr:sp macro="" textlink="">
          <xdr:nvSpPr>
            <xdr:cNvPr id="50198" name="OptionButton3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3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28575</xdr:rowOff>
        </xdr:from>
        <xdr:to>
          <xdr:col>6</xdr:col>
          <xdr:colOff>666750</xdr:colOff>
          <xdr:row>4</xdr:row>
          <xdr:rowOff>85725</xdr:rowOff>
        </xdr:to>
        <xdr:sp macro="" textlink="">
          <xdr:nvSpPr>
            <xdr:cNvPr id="138244" name="HideLocation" hidden="1">
              <a:extLst>
                <a:ext uri="{63B3BB69-23CF-44E3-9099-C40C66FF867C}">
                  <a14:compatExt spid="_x0000_s138244"/>
                </a:ext>
                <a:ext uri="{FF2B5EF4-FFF2-40B4-BE49-F238E27FC236}">
                  <a16:creationId xmlns:a16="http://schemas.microsoft.com/office/drawing/2014/main" id="{00000000-0008-0000-0500-000004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57150</xdr:rowOff>
        </xdr:from>
        <xdr:to>
          <xdr:col>1</xdr:col>
          <xdr:colOff>638175</xdr:colOff>
          <xdr:row>3</xdr:row>
          <xdr:rowOff>447675</xdr:rowOff>
        </xdr:to>
        <xdr:sp macro="" textlink="">
          <xdr:nvSpPr>
            <xdr:cNvPr id="294913" name="CommandButton1" hidden="1">
              <a:extLst>
                <a:ext uri="{63B3BB69-23CF-44E3-9099-C40C66FF867C}">
                  <a14:compatExt spid="_x0000_s294913"/>
                </a:ext>
                <a:ext uri="{FF2B5EF4-FFF2-40B4-BE49-F238E27FC236}">
                  <a16:creationId xmlns:a16="http://schemas.microsoft.com/office/drawing/2014/main" id="{00000000-0008-0000-0600-000001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</xdr:row>
          <xdr:rowOff>485775</xdr:rowOff>
        </xdr:from>
        <xdr:to>
          <xdr:col>1</xdr:col>
          <xdr:colOff>628650</xdr:colOff>
          <xdr:row>4</xdr:row>
          <xdr:rowOff>361950</xdr:rowOff>
        </xdr:to>
        <xdr:sp macro="" textlink="">
          <xdr:nvSpPr>
            <xdr:cNvPr id="294914" name="CommandButton2" hidden="1">
              <a:extLst>
                <a:ext uri="{63B3BB69-23CF-44E3-9099-C40C66FF867C}">
                  <a14:compatExt spid="_x0000_s294914"/>
                </a:ext>
                <a:ext uri="{FF2B5EF4-FFF2-40B4-BE49-F238E27FC236}">
                  <a16:creationId xmlns:a16="http://schemas.microsoft.com/office/drawing/2014/main" id="{00000000-0008-0000-0600-000002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4</xdr:row>
          <xdr:rowOff>476250</xdr:rowOff>
        </xdr:from>
        <xdr:to>
          <xdr:col>1</xdr:col>
          <xdr:colOff>628650</xdr:colOff>
          <xdr:row>4</xdr:row>
          <xdr:rowOff>819150</xdr:rowOff>
        </xdr:to>
        <xdr:sp macro="" textlink="">
          <xdr:nvSpPr>
            <xdr:cNvPr id="294915" name="CommandButton3" hidden="1">
              <a:extLst>
                <a:ext uri="{63B3BB69-23CF-44E3-9099-C40C66FF867C}">
                  <a14:compatExt spid="_x0000_s294915"/>
                </a:ext>
                <a:ext uri="{FF2B5EF4-FFF2-40B4-BE49-F238E27FC236}">
                  <a16:creationId xmlns:a16="http://schemas.microsoft.com/office/drawing/2014/main" id="{00000000-0008-0000-0600-000003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2</xdr:row>
          <xdr:rowOff>19050</xdr:rowOff>
        </xdr:from>
        <xdr:to>
          <xdr:col>2</xdr:col>
          <xdr:colOff>38100</xdr:colOff>
          <xdr:row>4</xdr:row>
          <xdr:rowOff>66675</xdr:rowOff>
        </xdr:to>
        <xdr:sp macro="" textlink="">
          <xdr:nvSpPr>
            <xdr:cNvPr id="296961" name="CommandButton1" hidden="1">
              <a:extLst>
                <a:ext uri="{63B3BB69-23CF-44E3-9099-C40C66FF867C}">
                  <a14:compatExt spid="_x0000_s296961"/>
                </a:ext>
                <a:ext uri="{FF2B5EF4-FFF2-40B4-BE49-F238E27FC236}">
                  <a16:creationId xmlns:a16="http://schemas.microsoft.com/office/drawing/2014/main" id="{00000000-0008-0000-0700-000001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4</xdr:row>
          <xdr:rowOff>104775</xdr:rowOff>
        </xdr:from>
        <xdr:to>
          <xdr:col>2</xdr:col>
          <xdr:colOff>28575</xdr:colOff>
          <xdr:row>6</xdr:row>
          <xdr:rowOff>152400</xdr:rowOff>
        </xdr:to>
        <xdr:sp macro="" textlink="">
          <xdr:nvSpPr>
            <xdr:cNvPr id="296962" name="CommandButton2" hidden="1">
              <a:extLst>
                <a:ext uri="{63B3BB69-23CF-44E3-9099-C40C66FF867C}">
                  <a14:compatExt spid="_x0000_s296962"/>
                </a:ext>
                <a:ext uri="{FF2B5EF4-FFF2-40B4-BE49-F238E27FC236}">
                  <a16:creationId xmlns:a16="http://schemas.microsoft.com/office/drawing/2014/main" id="{00000000-0008-0000-0700-000002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8</xdr:row>
          <xdr:rowOff>9525</xdr:rowOff>
        </xdr:from>
        <xdr:to>
          <xdr:col>2</xdr:col>
          <xdr:colOff>38100</xdr:colOff>
          <xdr:row>10</xdr:row>
          <xdr:rowOff>57150</xdr:rowOff>
        </xdr:to>
        <xdr:sp macro="" textlink="">
          <xdr:nvSpPr>
            <xdr:cNvPr id="296963" name="CommandButton3" hidden="1">
              <a:extLst>
                <a:ext uri="{63B3BB69-23CF-44E3-9099-C40C66FF867C}">
                  <a14:compatExt spid="_x0000_s296963"/>
                </a:ext>
                <a:ext uri="{FF2B5EF4-FFF2-40B4-BE49-F238E27FC236}">
                  <a16:creationId xmlns:a16="http://schemas.microsoft.com/office/drawing/2014/main" id="{00000000-0008-0000-0700-000003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0</xdr:colOff>
      <xdr:row>2</xdr:row>
      <xdr:rowOff>0</xdr:rowOff>
    </xdr:from>
    <xdr:to>
      <xdr:col>9</xdr:col>
      <xdr:colOff>161925</xdr:colOff>
      <xdr:row>14</xdr:row>
      <xdr:rowOff>152400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429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</xdr:row>
      <xdr:rowOff>0</xdr:rowOff>
    </xdr:from>
    <xdr:to>
      <xdr:col>15</xdr:col>
      <xdr:colOff>104775</xdr:colOff>
      <xdr:row>14</xdr:row>
      <xdr:rowOff>161925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429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</xdr:row>
      <xdr:rowOff>0</xdr:rowOff>
    </xdr:from>
    <xdr:to>
      <xdr:col>22</xdr:col>
      <xdr:colOff>485775</xdr:colOff>
      <xdr:row>14</xdr:row>
      <xdr:rowOff>142875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429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18</xdr:row>
      <xdr:rowOff>0</xdr:rowOff>
    </xdr:from>
    <xdr:to>
      <xdr:col>9</xdr:col>
      <xdr:colOff>161925</xdr:colOff>
      <xdr:row>30</xdr:row>
      <xdr:rowOff>152400</xdr:rowOff>
    </xdr:to>
    <xdr:pic>
      <xdr:nvPicPr>
        <xdr:cNvPr id="12" name="그림 11"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0861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18</xdr:row>
      <xdr:rowOff>0</xdr:rowOff>
    </xdr:from>
    <xdr:to>
      <xdr:col>15</xdr:col>
      <xdr:colOff>104775</xdr:colOff>
      <xdr:row>30</xdr:row>
      <xdr:rowOff>161925</xdr:rowOff>
    </xdr:to>
    <xdr:pic>
      <xdr:nvPicPr>
        <xdr:cNvPr id="14" name="그림 13">
          <a:extLst>
            <a:ext uri="{FF2B5EF4-FFF2-40B4-BE49-F238E27FC236}">
              <a16:creationId xmlns:a16="http://schemas.microsoft.com/office/drawing/2014/main" id="{00000000-0008-0000-0700-00000E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0861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18</xdr:row>
      <xdr:rowOff>0</xdr:rowOff>
    </xdr:from>
    <xdr:to>
      <xdr:col>22</xdr:col>
      <xdr:colOff>485775</xdr:colOff>
      <xdr:row>30</xdr:row>
      <xdr:rowOff>142875</xdr:rowOff>
    </xdr:to>
    <xdr:pic>
      <xdr:nvPicPr>
        <xdr:cNvPr id="16" name="그림 15">
          <a:extLst>
            <a:ext uri="{FF2B5EF4-FFF2-40B4-BE49-F238E27FC236}">
              <a16:creationId xmlns:a16="http://schemas.microsoft.com/office/drawing/2014/main" id="{00000000-0008-0000-0700-000010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0861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34</xdr:row>
      <xdr:rowOff>0</xdr:rowOff>
    </xdr:from>
    <xdr:to>
      <xdr:col>9</xdr:col>
      <xdr:colOff>161925</xdr:colOff>
      <xdr:row>46</xdr:row>
      <xdr:rowOff>152400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id="{00000000-0008-0000-0700-00001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58293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34</xdr:row>
      <xdr:rowOff>0</xdr:rowOff>
    </xdr:from>
    <xdr:to>
      <xdr:col>15</xdr:col>
      <xdr:colOff>104775</xdr:colOff>
      <xdr:row>46</xdr:row>
      <xdr:rowOff>161925</xdr:rowOff>
    </xdr:to>
    <xdr:pic>
      <xdr:nvPicPr>
        <xdr:cNvPr id="20" name="그림 19">
          <a:extLst>
            <a:ext uri="{FF2B5EF4-FFF2-40B4-BE49-F238E27FC236}">
              <a16:creationId xmlns:a16="http://schemas.microsoft.com/office/drawing/2014/main" id="{00000000-0008-0000-0700-00001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58293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34</xdr:row>
      <xdr:rowOff>0</xdr:rowOff>
    </xdr:from>
    <xdr:to>
      <xdr:col>22</xdr:col>
      <xdr:colOff>485775</xdr:colOff>
      <xdr:row>46</xdr:row>
      <xdr:rowOff>142875</xdr:rowOff>
    </xdr:to>
    <xdr:pic>
      <xdr:nvPicPr>
        <xdr:cNvPr id="22" name="그림 21">
          <a:extLst>
            <a:ext uri="{FF2B5EF4-FFF2-40B4-BE49-F238E27FC236}">
              <a16:creationId xmlns:a16="http://schemas.microsoft.com/office/drawing/2014/main" id="{00000000-0008-0000-0700-00001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58293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50</xdr:row>
      <xdr:rowOff>0</xdr:rowOff>
    </xdr:from>
    <xdr:to>
      <xdr:col>9</xdr:col>
      <xdr:colOff>161925</xdr:colOff>
      <xdr:row>62</xdr:row>
      <xdr:rowOff>152400</xdr:rowOff>
    </xdr:to>
    <xdr:pic>
      <xdr:nvPicPr>
        <xdr:cNvPr id="24" name="그림 23">
          <a:extLst>
            <a:ext uri="{FF2B5EF4-FFF2-40B4-BE49-F238E27FC236}">
              <a16:creationId xmlns:a16="http://schemas.microsoft.com/office/drawing/2014/main" id="{00000000-0008-0000-0700-00001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85725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50</xdr:row>
      <xdr:rowOff>0</xdr:rowOff>
    </xdr:from>
    <xdr:to>
      <xdr:col>15</xdr:col>
      <xdr:colOff>104775</xdr:colOff>
      <xdr:row>62</xdr:row>
      <xdr:rowOff>161925</xdr:rowOff>
    </xdr:to>
    <xdr:pic>
      <xdr:nvPicPr>
        <xdr:cNvPr id="26" name="그림 25">
          <a:extLst>
            <a:ext uri="{FF2B5EF4-FFF2-40B4-BE49-F238E27FC236}">
              <a16:creationId xmlns:a16="http://schemas.microsoft.com/office/drawing/2014/main" id="{00000000-0008-0000-07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85725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50</xdr:row>
      <xdr:rowOff>0</xdr:rowOff>
    </xdr:from>
    <xdr:to>
      <xdr:col>22</xdr:col>
      <xdr:colOff>485775</xdr:colOff>
      <xdr:row>62</xdr:row>
      <xdr:rowOff>142875</xdr:rowOff>
    </xdr:to>
    <xdr:pic>
      <xdr:nvPicPr>
        <xdr:cNvPr id="28" name="그림 27">
          <a:extLst>
            <a:ext uri="{FF2B5EF4-FFF2-40B4-BE49-F238E27FC236}">
              <a16:creationId xmlns:a16="http://schemas.microsoft.com/office/drawing/2014/main" id="{00000000-0008-0000-0700-00001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85725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66</xdr:row>
      <xdr:rowOff>0</xdr:rowOff>
    </xdr:from>
    <xdr:to>
      <xdr:col>9</xdr:col>
      <xdr:colOff>161925</xdr:colOff>
      <xdr:row>78</xdr:row>
      <xdr:rowOff>152400</xdr:rowOff>
    </xdr:to>
    <xdr:pic>
      <xdr:nvPicPr>
        <xdr:cNvPr id="30" name="그림 29">
          <a:extLst>
            <a:ext uri="{FF2B5EF4-FFF2-40B4-BE49-F238E27FC236}">
              <a16:creationId xmlns:a16="http://schemas.microsoft.com/office/drawing/2014/main" id="{00000000-0008-0000-0700-00001E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113157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66</xdr:row>
      <xdr:rowOff>0</xdr:rowOff>
    </xdr:from>
    <xdr:to>
      <xdr:col>15</xdr:col>
      <xdr:colOff>104775</xdr:colOff>
      <xdr:row>78</xdr:row>
      <xdr:rowOff>161925</xdr:rowOff>
    </xdr:to>
    <xdr:pic>
      <xdr:nvPicPr>
        <xdr:cNvPr id="32" name="그림 31">
          <a:extLst>
            <a:ext uri="{FF2B5EF4-FFF2-40B4-BE49-F238E27FC236}">
              <a16:creationId xmlns:a16="http://schemas.microsoft.com/office/drawing/2014/main" id="{00000000-0008-0000-0700-000020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113157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66</xdr:row>
      <xdr:rowOff>0</xdr:rowOff>
    </xdr:from>
    <xdr:to>
      <xdr:col>22</xdr:col>
      <xdr:colOff>485775</xdr:colOff>
      <xdr:row>78</xdr:row>
      <xdr:rowOff>142875</xdr:rowOff>
    </xdr:to>
    <xdr:pic>
      <xdr:nvPicPr>
        <xdr:cNvPr id="34" name="그림 33">
          <a:extLst>
            <a:ext uri="{FF2B5EF4-FFF2-40B4-BE49-F238E27FC236}">
              <a16:creationId xmlns:a16="http://schemas.microsoft.com/office/drawing/2014/main" id="{00000000-0008-0000-0700-00002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113157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82</xdr:row>
      <xdr:rowOff>0</xdr:rowOff>
    </xdr:from>
    <xdr:to>
      <xdr:col>9</xdr:col>
      <xdr:colOff>161925</xdr:colOff>
      <xdr:row>94</xdr:row>
      <xdr:rowOff>152400</xdr:rowOff>
    </xdr:to>
    <xdr:pic>
      <xdr:nvPicPr>
        <xdr:cNvPr id="36" name="그림 35">
          <a:extLst>
            <a:ext uri="{FF2B5EF4-FFF2-40B4-BE49-F238E27FC236}">
              <a16:creationId xmlns:a16="http://schemas.microsoft.com/office/drawing/2014/main" id="{00000000-0008-0000-0700-00002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140589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82</xdr:row>
      <xdr:rowOff>0</xdr:rowOff>
    </xdr:from>
    <xdr:to>
      <xdr:col>15</xdr:col>
      <xdr:colOff>104775</xdr:colOff>
      <xdr:row>94</xdr:row>
      <xdr:rowOff>161925</xdr:rowOff>
    </xdr:to>
    <xdr:pic>
      <xdr:nvPicPr>
        <xdr:cNvPr id="38" name="그림 37">
          <a:extLst>
            <a:ext uri="{FF2B5EF4-FFF2-40B4-BE49-F238E27FC236}">
              <a16:creationId xmlns:a16="http://schemas.microsoft.com/office/drawing/2014/main" id="{00000000-0008-0000-0700-00002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140589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82</xdr:row>
      <xdr:rowOff>0</xdr:rowOff>
    </xdr:from>
    <xdr:to>
      <xdr:col>22</xdr:col>
      <xdr:colOff>485775</xdr:colOff>
      <xdr:row>94</xdr:row>
      <xdr:rowOff>142875</xdr:rowOff>
    </xdr:to>
    <xdr:pic>
      <xdr:nvPicPr>
        <xdr:cNvPr id="40" name="그림 39">
          <a:extLst>
            <a:ext uri="{FF2B5EF4-FFF2-40B4-BE49-F238E27FC236}">
              <a16:creationId xmlns:a16="http://schemas.microsoft.com/office/drawing/2014/main" id="{00000000-0008-0000-0700-00002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140589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98</xdr:row>
      <xdr:rowOff>0</xdr:rowOff>
    </xdr:from>
    <xdr:to>
      <xdr:col>9</xdr:col>
      <xdr:colOff>161925</xdr:colOff>
      <xdr:row>110</xdr:row>
      <xdr:rowOff>152400</xdr:rowOff>
    </xdr:to>
    <xdr:pic>
      <xdr:nvPicPr>
        <xdr:cNvPr id="42" name="그림 41">
          <a:extLst>
            <a:ext uri="{FF2B5EF4-FFF2-40B4-BE49-F238E27FC236}">
              <a16:creationId xmlns:a16="http://schemas.microsoft.com/office/drawing/2014/main" id="{00000000-0008-0000-07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168021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98</xdr:row>
      <xdr:rowOff>0</xdr:rowOff>
    </xdr:from>
    <xdr:to>
      <xdr:col>15</xdr:col>
      <xdr:colOff>104775</xdr:colOff>
      <xdr:row>110</xdr:row>
      <xdr:rowOff>161925</xdr:rowOff>
    </xdr:to>
    <xdr:pic>
      <xdr:nvPicPr>
        <xdr:cNvPr id="44" name="그림 43">
          <a:extLst>
            <a:ext uri="{FF2B5EF4-FFF2-40B4-BE49-F238E27FC236}">
              <a16:creationId xmlns:a16="http://schemas.microsoft.com/office/drawing/2014/main" id="{00000000-0008-0000-07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168021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98</xdr:row>
      <xdr:rowOff>0</xdr:rowOff>
    </xdr:from>
    <xdr:to>
      <xdr:col>22</xdr:col>
      <xdr:colOff>485775</xdr:colOff>
      <xdr:row>110</xdr:row>
      <xdr:rowOff>142875</xdr:rowOff>
    </xdr:to>
    <xdr:pic>
      <xdr:nvPicPr>
        <xdr:cNvPr id="46" name="그림 45">
          <a:extLst>
            <a:ext uri="{FF2B5EF4-FFF2-40B4-BE49-F238E27FC236}">
              <a16:creationId xmlns:a16="http://schemas.microsoft.com/office/drawing/2014/main" id="{00000000-0008-0000-0700-00002E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16802100"/>
          <a:ext cx="5819775" cy="220027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171450</xdr:rowOff>
        </xdr:from>
        <xdr:to>
          <xdr:col>2</xdr:col>
          <xdr:colOff>66675</xdr:colOff>
          <xdr:row>2</xdr:row>
          <xdr:rowOff>104775</xdr:rowOff>
        </xdr:to>
        <xdr:sp macro="" textlink="">
          <xdr:nvSpPr>
            <xdr:cNvPr id="310273" name="CommandButton1" hidden="1">
              <a:extLst>
                <a:ext uri="{63B3BB69-23CF-44E3-9099-C40C66FF867C}">
                  <a14:compatExt spid="_x0000_s310273"/>
                </a:ext>
                <a:ext uri="{FF2B5EF4-FFF2-40B4-BE49-F238E27FC236}">
                  <a16:creationId xmlns:a16="http://schemas.microsoft.com/office/drawing/2014/main" id="{00000000-0008-0000-0800-000001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161925</xdr:colOff>
          <xdr:row>0</xdr:row>
          <xdr:rowOff>171450</xdr:rowOff>
        </xdr:from>
        <xdr:to>
          <xdr:col>4</xdr:col>
          <xdr:colOff>38100</xdr:colOff>
          <xdr:row>2</xdr:row>
          <xdr:rowOff>104775</xdr:rowOff>
        </xdr:to>
        <xdr:sp macro="" textlink="">
          <xdr:nvSpPr>
            <xdr:cNvPr id="310274" name="CommandButton2" hidden="1">
              <a:extLst>
                <a:ext uri="{63B3BB69-23CF-44E3-9099-C40C66FF867C}">
                  <a14:compatExt spid="_x0000_s310274"/>
                </a:ext>
                <a:ext uri="{FF2B5EF4-FFF2-40B4-BE49-F238E27FC236}">
                  <a16:creationId xmlns:a16="http://schemas.microsoft.com/office/drawing/2014/main" id="{00000000-0008-0000-0800-000002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0</xdr:row>
          <xdr:rowOff>171450</xdr:rowOff>
        </xdr:from>
        <xdr:to>
          <xdr:col>7</xdr:col>
          <xdr:colOff>762000</xdr:colOff>
          <xdr:row>2</xdr:row>
          <xdr:rowOff>104775</xdr:rowOff>
        </xdr:to>
        <xdr:sp macro="" textlink="">
          <xdr:nvSpPr>
            <xdr:cNvPr id="310277" name="CommandButton3" hidden="1">
              <a:extLst>
                <a:ext uri="{63B3BB69-23CF-44E3-9099-C40C66FF867C}">
                  <a14:compatExt spid="_x0000_s310277"/>
                </a:ext>
                <a:ext uri="{FF2B5EF4-FFF2-40B4-BE49-F238E27FC236}">
                  <a16:creationId xmlns:a16="http://schemas.microsoft.com/office/drawing/2014/main" id="{00000000-0008-0000-0800-000005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0</xdr:row>
          <xdr:rowOff>171450</xdr:rowOff>
        </xdr:from>
        <xdr:to>
          <xdr:col>6</xdr:col>
          <xdr:colOff>19050</xdr:colOff>
          <xdr:row>2</xdr:row>
          <xdr:rowOff>104775</xdr:rowOff>
        </xdr:to>
        <xdr:sp macro="" textlink="">
          <xdr:nvSpPr>
            <xdr:cNvPr id="310280" name="CommandButton4" hidden="1">
              <a:extLst>
                <a:ext uri="{63B3BB69-23CF-44E3-9099-C40C66FF867C}">
                  <a14:compatExt spid="_x0000_s310280"/>
                </a:ext>
                <a:ext uri="{FF2B5EF4-FFF2-40B4-BE49-F238E27FC236}">
                  <a16:creationId xmlns:a16="http://schemas.microsoft.com/office/drawing/2014/main" id="{00000000-0008-0000-0800-000008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171450</xdr:rowOff>
        </xdr:from>
        <xdr:to>
          <xdr:col>4</xdr:col>
          <xdr:colOff>676275</xdr:colOff>
          <xdr:row>2</xdr:row>
          <xdr:rowOff>238125</xdr:rowOff>
        </xdr:to>
        <xdr:sp macro="" textlink="">
          <xdr:nvSpPr>
            <xdr:cNvPr id="321537" name="CommandButton1" hidden="1">
              <a:extLst>
                <a:ext uri="{63B3BB69-23CF-44E3-9099-C40C66FF867C}">
                  <a14:compatExt spid="_x0000_s321537"/>
                </a:ext>
                <a:ext uri="{FF2B5EF4-FFF2-40B4-BE49-F238E27FC236}">
                  <a16:creationId xmlns:a16="http://schemas.microsoft.com/office/drawing/2014/main" id="{00000000-0008-0000-0900-000001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38100</xdr:rowOff>
        </xdr:from>
        <xdr:to>
          <xdr:col>4</xdr:col>
          <xdr:colOff>676275</xdr:colOff>
          <xdr:row>4</xdr:row>
          <xdr:rowOff>104775</xdr:rowOff>
        </xdr:to>
        <xdr:sp macro="" textlink="">
          <xdr:nvSpPr>
            <xdr:cNvPr id="321538" name="CommandButton2" hidden="1">
              <a:extLst>
                <a:ext uri="{63B3BB69-23CF-44E3-9099-C40C66FF867C}">
                  <a14:compatExt spid="_x0000_s321538"/>
                </a:ext>
                <a:ext uri="{FF2B5EF4-FFF2-40B4-BE49-F238E27FC236}">
                  <a16:creationId xmlns:a16="http://schemas.microsoft.com/office/drawing/2014/main" id="{00000000-0008-0000-0900-000002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</xdr:row>
          <xdr:rowOff>114300</xdr:rowOff>
        </xdr:from>
        <xdr:to>
          <xdr:col>5</xdr:col>
          <xdr:colOff>38100</xdr:colOff>
          <xdr:row>2</xdr:row>
          <xdr:rowOff>133350</xdr:rowOff>
        </xdr:to>
        <xdr:sp macro="" textlink="">
          <xdr:nvSpPr>
            <xdr:cNvPr id="178177" name="CommandButton1" hidden="1">
              <a:extLst>
                <a:ext uri="{63B3BB69-23CF-44E3-9099-C40C66FF867C}">
                  <a14:compatExt spid="_x0000_s178177"/>
                </a:ext>
                <a:ext uri="{FF2B5EF4-FFF2-40B4-BE49-F238E27FC236}">
                  <a16:creationId xmlns:a16="http://schemas.microsoft.com/office/drawing/2014/main" id="{00000000-0008-0000-0A00-000001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</xdr:row>
          <xdr:rowOff>171450</xdr:rowOff>
        </xdr:from>
        <xdr:to>
          <xdr:col>5</xdr:col>
          <xdr:colOff>28575</xdr:colOff>
          <xdr:row>4</xdr:row>
          <xdr:rowOff>66675</xdr:rowOff>
        </xdr:to>
        <xdr:sp macro="" textlink="">
          <xdr:nvSpPr>
            <xdr:cNvPr id="178178" name="CommandButton2" hidden="1">
              <a:extLst>
                <a:ext uri="{63B3BB69-23CF-44E3-9099-C40C66FF867C}">
                  <a14:compatExt spid="_x0000_s178178"/>
                </a:ext>
                <a:ext uri="{FF2B5EF4-FFF2-40B4-BE49-F238E27FC236}">
                  <a16:creationId xmlns:a16="http://schemas.microsoft.com/office/drawing/2014/main" id="{00000000-0008-0000-0A00-000002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5</xdr:row>
          <xdr:rowOff>47625</xdr:rowOff>
        </xdr:from>
        <xdr:to>
          <xdr:col>5</xdr:col>
          <xdr:colOff>38100</xdr:colOff>
          <xdr:row>6</xdr:row>
          <xdr:rowOff>190500</xdr:rowOff>
        </xdr:to>
        <xdr:sp macro="" textlink="">
          <xdr:nvSpPr>
            <xdr:cNvPr id="178179" name="CommandButton3" hidden="1">
              <a:extLst>
                <a:ext uri="{63B3BB69-23CF-44E3-9099-C40C66FF867C}">
                  <a14:compatExt spid="_x0000_s178179"/>
                </a:ext>
                <a:ext uri="{FF2B5EF4-FFF2-40B4-BE49-F238E27FC236}">
                  <a16:creationId xmlns:a16="http://schemas.microsoft.com/office/drawing/2014/main" id="{00000000-0008-0000-0A00-000003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9</xdr:col>
      <xdr:colOff>361950</xdr:colOff>
      <xdr:row>41</xdr:row>
      <xdr:rowOff>228600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A00-00000200000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532006B2-27C4-4801-BB40-0A341BE00A1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</xdr:row>
          <xdr:rowOff>38100</xdr:rowOff>
        </xdr:from>
        <xdr:to>
          <xdr:col>1</xdr:col>
          <xdr:colOff>1104900</xdr:colOff>
          <xdr:row>1</xdr:row>
          <xdr:rowOff>428625</xdr:rowOff>
        </xdr:to>
        <xdr:sp macro="" textlink="">
          <xdr:nvSpPr>
            <xdr:cNvPr id="205825" name="CommandButton1" hidden="1">
              <a:extLst>
                <a:ext uri="{63B3BB69-23CF-44E3-9099-C40C66FF867C}">
                  <a14:compatExt spid="_x0000_s205825"/>
                </a:ext>
                <a:ext uri="{FF2B5EF4-FFF2-40B4-BE49-F238E27FC236}">
                  <a16:creationId xmlns:a16="http://schemas.microsoft.com/office/drawing/2014/main" id="{00000000-0008-0000-0B00-000001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2</xdr:row>
          <xdr:rowOff>28575</xdr:rowOff>
        </xdr:from>
        <xdr:to>
          <xdr:col>1</xdr:col>
          <xdr:colOff>1114425</xdr:colOff>
          <xdr:row>3</xdr:row>
          <xdr:rowOff>171450</xdr:rowOff>
        </xdr:to>
        <xdr:sp macro="" textlink="">
          <xdr:nvSpPr>
            <xdr:cNvPr id="205826" name="CommandButton2" hidden="1">
              <a:extLst>
                <a:ext uri="{63B3BB69-23CF-44E3-9099-C40C66FF867C}">
                  <a14:compatExt spid="_x0000_s205826"/>
                </a:ext>
                <a:ext uri="{FF2B5EF4-FFF2-40B4-BE49-F238E27FC236}">
                  <a16:creationId xmlns:a16="http://schemas.microsoft.com/office/drawing/2014/main" id="{00000000-0008-0000-0B00-000002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16</xdr:col>
      <xdr:colOff>352425</xdr:colOff>
      <xdr:row>44</xdr:row>
      <xdr:rowOff>0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B00-000003000000}"/>
                </a:ext>
              </a:extLst>
            </xdr:cNvPr>
            <xdr:cNvSpPr txBox="1"/>
          </xdr:nvSpPr>
          <xdr:spPr>
            <a:xfrm>
              <a:off x="15240000" y="116395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5240000" y="116395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4</xdr:row>
          <xdr:rowOff>104775</xdr:rowOff>
        </xdr:from>
        <xdr:to>
          <xdr:col>1</xdr:col>
          <xdr:colOff>1123950</xdr:colOff>
          <xdr:row>6</xdr:row>
          <xdr:rowOff>0</xdr:rowOff>
        </xdr:to>
        <xdr:sp macro="" textlink="">
          <xdr:nvSpPr>
            <xdr:cNvPr id="205827" name="CommandButton3" hidden="1">
              <a:extLst>
                <a:ext uri="{63B3BB69-23CF-44E3-9099-C40C66FF867C}">
                  <a14:compatExt spid="_x0000_s205827"/>
                </a:ext>
                <a:ext uri="{FF2B5EF4-FFF2-40B4-BE49-F238E27FC236}">
                  <a16:creationId xmlns:a16="http://schemas.microsoft.com/office/drawing/2014/main" id="{00000000-0008-0000-0B00-000003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</xdr:row>
          <xdr:rowOff>28575</xdr:rowOff>
        </xdr:from>
        <xdr:to>
          <xdr:col>1</xdr:col>
          <xdr:colOff>609600</xdr:colOff>
          <xdr:row>3</xdr:row>
          <xdr:rowOff>28575</xdr:rowOff>
        </xdr:to>
        <xdr:sp macro="" textlink="">
          <xdr:nvSpPr>
            <xdr:cNvPr id="253954" name="CommandButton1" hidden="1">
              <a:extLst>
                <a:ext uri="{63B3BB69-23CF-44E3-9099-C40C66FF867C}">
                  <a14:compatExt spid="_x0000_s253954"/>
                </a:ext>
                <a:ext uri="{FF2B5EF4-FFF2-40B4-BE49-F238E27FC236}">
                  <a16:creationId xmlns:a16="http://schemas.microsoft.com/office/drawing/2014/main" id="{00000000-0008-0000-0C00-000002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3</xdr:row>
          <xdr:rowOff>66675</xdr:rowOff>
        </xdr:from>
        <xdr:to>
          <xdr:col>1</xdr:col>
          <xdr:colOff>619125</xdr:colOff>
          <xdr:row>4</xdr:row>
          <xdr:rowOff>180975</xdr:rowOff>
        </xdr:to>
        <xdr:sp macro="" textlink="">
          <xdr:nvSpPr>
            <xdr:cNvPr id="253955" name="CommandButton2" hidden="1">
              <a:extLst>
                <a:ext uri="{63B3BB69-23CF-44E3-9099-C40C66FF867C}">
                  <a14:compatExt spid="_x0000_s253955"/>
                </a:ext>
                <a:ext uri="{FF2B5EF4-FFF2-40B4-BE49-F238E27FC236}">
                  <a16:creationId xmlns:a16="http://schemas.microsoft.com/office/drawing/2014/main" id="{00000000-0008-0000-0C00-000003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9525</xdr:rowOff>
        </xdr:from>
        <xdr:to>
          <xdr:col>2</xdr:col>
          <xdr:colOff>314325</xdr:colOff>
          <xdr:row>2</xdr:row>
          <xdr:rowOff>438150</xdr:rowOff>
        </xdr:to>
        <xdr:sp macro="" textlink="">
          <xdr:nvSpPr>
            <xdr:cNvPr id="264193" name="CommandButton1" hidden="1">
              <a:extLst>
                <a:ext uri="{63B3BB69-23CF-44E3-9099-C40C66FF867C}">
                  <a14:compatExt spid="_x0000_s264193"/>
                </a:ext>
                <a:ext uri="{FF2B5EF4-FFF2-40B4-BE49-F238E27FC236}">
                  <a16:creationId xmlns:a16="http://schemas.microsoft.com/office/drawing/2014/main" id="{00000000-0008-0000-0D00-000001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485775</xdr:rowOff>
        </xdr:from>
        <xdr:to>
          <xdr:col>2</xdr:col>
          <xdr:colOff>314325</xdr:colOff>
          <xdr:row>3</xdr:row>
          <xdr:rowOff>371475</xdr:rowOff>
        </xdr:to>
        <xdr:sp macro="" textlink="">
          <xdr:nvSpPr>
            <xdr:cNvPr id="264194" name="CommandButton2" hidden="1">
              <a:extLst>
                <a:ext uri="{63B3BB69-23CF-44E3-9099-C40C66FF867C}">
                  <a14:compatExt spid="_x0000_s264194"/>
                </a:ext>
                <a:ext uri="{FF2B5EF4-FFF2-40B4-BE49-F238E27FC236}">
                  <a16:creationId xmlns:a16="http://schemas.microsoft.com/office/drawing/2014/main" id="{00000000-0008-0000-0D00-000002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828675</xdr:colOff>
          <xdr:row>0</xdr:row>
          <xdr:rowOff>142875</xdr:rowOff>
        </xdr:from>
        <xdr:to>
          <xdr:col>7</xdr:col>
          <xdr:colOff>295275</xdr:colOff>
          <xdr:row>1</xdr:row>
          <xdr:rowOff>228600</xdr:rowOff>
        </xdr:to>
        <xdr:sp macro="" textlink="">
          <xdr:nvSpPr>
            <xdr:cNvPr id="264195" name="CheckBox1" hidden="1">
              <a:extLst>
                <a:ext uri="{63B3BB69-23CF-44E3-9099-C40C66FF867C}">
                  <a14:compatExt spid="_x0000_s264195"/>
                </a:ext>
                <a:ext uri="{FF2B5EF4-FFF2-40B4-BE49-F238E27FC236}">
                  <a16:creationId xmlns:a16="http://schemas.microsoft.com/office/drawing/2014/main" id="{00000000-0008-0000-0D00-000003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628650</xdr:rowOff>
        </xdr:from>
        <xdr:to>
          <xdr:col>1</xdr:col>
          <xdr:colOff>333375</xdr:colOff>
          <xdr:row>0</xdr:row>
          <xdr:rowOff>942975</xdr:rowOff>
        </xdr:to>
        <xdr:sp macro="" textlink="">
          <xdr:nvSpPr>
            <xdr:cNvPr id="99329" name="CommandButton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E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628650</xdr:rowOff>
        </xdr:from>
        <xdr:to>
          <xdr:col>1</xdr:col>
          <xdr:colOff>1181100</xdr:colOff>
          <xdr:row>0</xdr:row>
          <xdr:rowOff>942975</xdr:rowOff>
        </xdr:to>
        <xdr:sp macro="" textlink="">
          <xdr:nvSpPr>
            <xdr:cNvPr id="99330" name="CommandButton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E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457200</xdr:colOff>
          <xdr:row>0</xdr:row>
          <xdr:rowOff>95250</xdr:rowOff>
        </xdr:from>
        <xdr:to>
          <xdr:col>2</xdr:col>
          <xdr:colOff>66675</xdr:colOff>
          <xdr:row>0</xdr:row>
          <xdr:rowOff>381000</xdr:rowOff>
        </xdr:to>
        <xdr:sp macro="" textlink="">
          <xdr:nvSpPr>
            <xdr:cNvPr id="99334" name="SingleColor" hidden="1">
              <a:extLst>
                <a:ext uri="{63B3BB69-23CF-44E3-9099-C40C66FF867C}">
                  <a14:compatExt spid="_x0000_s99334"/>
                </a:ext>
                <a:ext uri="{FF2B5EF4-FFF2-40B4-BE49-F238E27FC236}">
                  <a16:creationId xmlns:a16="http://schemas.microsoft.com/office/drawing/2014/main" id="{00000000-0008-0000-0E00-00000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0</xdr:row>
          <xdr:rowOff>628650</xdr:rowOff>
        </xdr:from>
        <xdr:to>
          <xdr:col>2</xdr:col>
          <xdr:colOff>657225</xdr:colOff>
          <xdr:row>0</xdr:row>
          <xdr:rowOff>942975</xdr:rowOff>
        </xdr:to>
        <xdr:sp macro="" textlink="">
          <xdr:nvSpPr>
            <xdr:cNvPr id="99336" name="CommandButton6" hidden="1">
              <a:extLst>
                <a:ext uri="{63B3BB69-23CF-44E3-9099-C40C66FF867C}">
                  <a14:compatExt spid="_x0000_s99336"/>
                </a:ext>
                <a:ext uri="{FF2B5EF4-FFF2-40B4-BE49-F238E27FC236}">
                  <a16:creationId xmlns:a16="http://schemas.microsoft.com/office/drawing/2014/main" id="{00000000-0008-0000-0E00-000008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180975</xdr:colOff>
          <xdr:row>0</xdr:row>
          <xdr:rowOff>657225</xdr:rowOff>
        </xdr:from>
        <xdr:to>
          <xdr:col>17</xdr:col>
          <xdr:colOff>676275</xdr:colOff>
          <xdr:row>0</xdr:row>
          <xdr:rowOff>942975</xdr:rowOff>
        </xdr:to>
        <xdr:sp macro="" textlink="">
          <xdr:nvSpPr>
            <xdr:cNvPr id="99332" name="CommandButton4" hidden="1">
              <a:extLst>
                <a:ext uri="{63B3BB69-23CF-44E3-9099-C40C66FF867C}">
                  <a14:compatExt spid="_x0000_s99332"/>
                </a:ext>
                <a:ext uri="{FF2B5EF4-FFF2-40B4-BE49-F238E27FC236}">
                  <a16:creationId xmlns:a16="http://schemas.microsoft.com/office/drawing/2014/main" id="{00000000-0008-0000-0E00-00000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1009650</xdr:colOff>
          <xdr:row>0</xdr:row>
          <xdr:rowOff>657225</xdr:rowOff>
        </xdr:from>
        <xdr:to>
          <xdr:col>17</xdr:col>
          <xdr:colOff>152400</xdr:colOff>
          <xdr:row>0</xdr:row>
          <xdr:rowOff>942975</xdr:rowOff>
        </xdr:to>
        <xdr:sp macro="" textlink="">
          <xdr:nvSpPr>
            <xdr:cNvPr id="99335" name="CommandButton5" hidden="1">
              <a:extLst>
                <a:ext uri="{63B3BB69-23CF-44E3-9099-C40C66FF867C}">
                  <a14:compatExt spid="_x0000_s99335"/>
                </a:ext>
                <a:ext uri="{FF2B5EF4-FFF2-40B4-BE49-F238E27FC236}">
                  <a16:creationId xmlns:a16="http://schemas.microsoft.com/office/drawing/2014/main" id="{00000000-0008-0000-0E00-00000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704850</xdr:colOff>
          <xdr:row>0</xdr:row>
          <xdr:rowOff>657225</xdr:rowOff>
        </xdr:from>
        <xdr:to>
          <xdr:col>17</xdr:col>
          <xdr:colOff>1200150</xdr:colOff>
          <xdr:row>0</xdr:row>
          <xdr:rowOff>942975</xdr:rowOff>
        </xdr:to>
        <xdr:sp macro="" textlink="">
          <xdr:nvSpPr>
            <xdr:cNvPr id="99342" name="CommandButton7" hidden="1">
              <a:extLst>
                <a:ext uri="{63B3BB69-23CF-44E3-9099-C40C66FF867C}">
                  <a14:compatExt spid="_x0000_s99342"/>
                </a:ext>
                <a:ext uri="{FF2B5EF4-FFF2-40B4-BE49-F238E27FC236}">
                  <a16:creationId xmlns:a16="http://schemas.microsoft.com/office/drawing/2014/main" id="{00000000-0008-0000-0E00-00000E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714375</xdr:colOff>
          <xdr:row>0</xdr:row>
          <xdr:rowOff>628650</xdr:rowOff>
        </xdr:from>
        <xdr:to>
          <xdr:col>3</xdr:col>
          <xdr:colOff>838200</xdr:colOff>
          <xdr:row>0</xdr:row>
          <xdr:rowOff>942975</xdr:rowOff>
        </xdr:to>
        <xdr:sp macro="" textlink="">
          <xdr:nvSpPr>
            <xdr:cNvPr id="99353" name="CommandButton8" hidden="1">
              <a:extLst>
                <a:ext uri="{63B3BB69-23CF-44E3-9099-C40C66FF867C}">
                  <a14:compatExt spid="_x0000_s99353"/>
                </a:ext>
                <a:ext uri="{FF2B5EF4-FFF2-40B4-BE49-F238E27FC236}">
                  <a16:creationId xmlns:a16="http://schemas.microsoft.com/office/drawing/2014/main" id="{00000000-0008-0000-0E00-000019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95250</xdr:colOff>
          <xdr:row>0</xdr:row>
          <xdr:rowOff>657225</xdr:rowOff>
        </xdr:from>
        <xdr:to>
          <xdr:col>14</xdr:col>
          <xdr:colOff>581025</xdr:colOff>
          <xdr:row>0</xdr:row>
          <xdr:rowOff>942975</xdr:rowOff>
        </xdr:to>
        <xdr:sp macro="" textlink="">
          <xdr:nvSpPr>
            <xdr:cNvPr id="99346" name="CommandButton3" hidden="1">
              <a:extLst>
                <a:ext uri="{63B3BB69-23CF-44E3-9099-C40C66FF867C}">
                  <a14:compatExt spid="_x0000_s99346"/>
                </a:ext>
                <a:ext uri="{FF2B5EF4-FFF2-40B4-BE49-F238E27FC236}">
                  <a16:creationId xmlns:a16="http://schemas.microsoft.com/office/drawing/2014/main" id="{00000000-0008-0000-0E00-00001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923925</xdr:colOff>
          <xdr:row>0</xdr:row>
          <xdr:rowOff>657225</xdr:rowOff>
        </xdr:from>
        <xdr:to>
          <xdr:col>16</xdr:col>
          <xdr:colOff>466725</xdr:colOff>
          <xdr:row>0</xdr:row>
          <xdr:rowOff>942975</xdr:rowOff>
        </xdr:to>
        <xdr:sp macro="" textlink="">
          <xdr:nvSpPr>
            <xdr:cNvPr id="99359" name="CommandButton9" hidden="1">
              <a:extLst>
                <a:ext uri="{63B3BB69-23CF-44E3-9099-C40C66FF867C}">
                  <a14:compatExt spid="_x0000_s99359"/>
                </a:ext>
                <a:ext uri="{FF2B5EF4-FFF2-40B4-BE49-F238E27FC236}">
                  <a16:creationId xmlns:a16="http://schemas.microsoft.com/office/drawing/2014/main" id="{00000000-0008-0000-0E00-00001F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495300</xdr:colOff>
          <xdr:row>0</xdr:row>
          <xdr:rowOff>657225</xdr:rowOff>
        </xdr:from>
        <xdr:to>
          <xdr:col>16</xdr:col>
          <xdr:colOff>981075</xdr:colOff>
          <xdr:row>0</xdr:row>
          <xdr:rowOff>942975</xdr:rowOff>
        </xdr:to>
        <xdr:sp macro="" textlink="">
          <xdr:nvSpPr>
            <xdr:cNvPr id="99360" name="CommandButton10" hidden="1">
              <a:extLst>
                <a:ext uri="{63B3BB69-23CF-44E3-9099-C40C66FF867C}">
                  <a14:compatExt spid="_x0000_s99360"/>
                </a:ext>
                <a:ext uri="{FF2B5EF4-FFF2-40B4-BE49-F238E27FC236}">
                  <a16:creationId xmlns:a16="http://schemas.microsoft.com/office/drawing/2014/main" id="{00000000-0008-0000-0E00-000020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609600</xdr:colOff>
          <xdr:row>0</xdr:row>
          <xdr:rowOff>657225</xdr:rowOff>
        </xdr:from>
        <xdr:to>
          <xdr:col>15</xdr:col>
          <xdr:colOff>371475</xdr:colOff>
          <xdr:row>0</xdr:row>
          <xdr:rowOff>942975</xdr:rowOff>
        </xdr:to>
        <xdr:sp macro="" textlink="">
          <xdr:nvSpPr>
            <xdr:cNvPr id="99361" name="CommandButton11" hidden="1">
              <a:extLst>
                <a:ext uri="{63B3BB69-23CF-44E3-9099-C40C66FF867C}">
                  <a14:compatExt spid="_x0000_s99361"/>
                </a:ext>
                <a:ext uri="{FF2B5EF4-FFF2-40B4-BE49-F238E27FC236}">
                  <a16:creationId xmlns:a16="http://schemas.microsoft.com/office/drawing/2014/main" id="{00000000-0008-0000-0E00-00002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400050</xdr:colOff>
          <xdr:row>0</xdr:row>
          <xdr:rowOff>657225</xdr:rowOff>
        </xdr:from>
        <xdr:to>
          <xdr:col>15</xdr:col>
          <xdr:colOff>885825</xdr:colOff>
          <xdr:row>0</xdr:row>
          <xdr:rowOff>942975</xdr:rowOff>
        </xdr:to>
        <xdr:sp macro="" textlink="">
          <xdr:nvSpPr>
            <xdr:cNvPr id="99366" name="CommandButton12" hidden="1">
              <a:extLst>
                <a:ext uri="{63B3BB69-23CF-44E3-9099-C40C66FF867C}">
                  <a14:compatExt spid="_x0000_s99366"/>
                </a:ext>
                <a:ext uri="{FF2B5EF4-FFF2-40B4-BE49-F238E27FC236}">
                  <a16:creationId xmlns:a16="http://schemas.microsoft.com/office/drawing/2014/main" id="{00000000-0008-0000-0E00-00002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85725</xdr:colOff>
          <xdr:row>0</xdr:row>
          <xdr:rowOff>657225</xdr:rowOff>
        </xdr:from>
        <xdr:to>
          <xdr:col>14</xdr:col>
          <xdr:colOff>47625</xdr:colOff>
          <xdr:row>0</xdr:row>
          <xdr:rowOff>942975</xdr:rowOff>
        </xdr:to>
        <xdr:sp macro="" textlink="">
          <xdr:nvSpPr>
            <xdr:cNvPr id="99397" name="CommandButton13" hidden="1">
              <a:extLst>
                <a:ext uri="{63B3BB69-23CF-44E3-9099-C40C66FF867C}">
                  <a14:compatExt spid="_x0000_s99397"/>
                </a:ext>
                <a:ext uri="{FF2B5EF4-FFF2-40B4-BE49-F238E27FC236}">
                  <a16:creationId xmlns:a16="http://schemas.microsoft.com/office/drawing/2014/main" id="{00000000-0008-0000-0E00-000045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104775</xdr:colOff>
          <xdr:row>0</xdr:row>
          <xdr:rowOff>657225</xdr:rowOff>
        </xdr:from>
        <xdr:to>
          <xdr:col>12</xdr:col>
          <xdr:colOff>38100</xdr:colOff>
          <xdr:row>0</xdr:row>
          <xdr:rowOff>942975</xdr:rowOff>
        </xdr:to>
        <xdr:sp macro="" textlink="">
          <xdr:nvSpPr>
            <xdr:cNvPr id="99415" name="CommandButton14" hidden="1">
              <a:extLst>
                <a:ext uri="{63B3BB69-23CF-44E3-9099-C40C66FF867C}">
                  <a14:compatExt spid="_x0000_s99415"/>
                </a:ext>
                <a:ext uri="{FF2B5EF4-FFF2-40B4-BE49-F238E27FC236}">
                  <a16:creationId xmlns:a16="http://schemas.microsoft.com/office/drawing/2014/main" id="{00000000-0008-0000-0E00-00005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096" name="CommandButton5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F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102" name="Frame1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F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103" name="CommandButton6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F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15</xdr:row>
          <xdr:rowOff>28575</xdr:rowOff>
        </xdr:from>
        <xdr:to>
          <xdr:col>7</xdr:col>
          <xdr:colOff>1123950</xdr:colOff>
          <xdr:row>16</xdr:row>
          <xdr:rowOff>142875</xdr:rowOff>
        </xdr:to>
        <xdr:sp macro="" textlink="">
          <xdr:nvSpPr>
            <xdr:cNvPr id="3116" name="CommandButton2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F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120" name="CommandButton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F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71713" name="CommandButton5" hidden="1">
              <a:extLst>
                <a:ext uri="{63B3BB69-23CF-44E3-9099-C40C66FF867C}">
                  <a14:compatExt spid="_x0000_s371713"/>
                </a:ext>
                <a:ext uri="{FF2B5EF4-FFF2-40B4-BE49-F238E27FC236}">
                  <a16:creationId xmlns:a16="http://schemas.microsoft.com/office/drawing/2014/main" id="{92E468FC-30CF-46D6-B637-24595759714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71714" name="Frame1" hidden="1">
              <a:extLst>
                <a:ext uri="{63B3BB69-23CF-44E3-9099-C40C66FF867C}">
                  <a14:compatExt spid="_x0000_s371714"/>
                </a:ext>
                <a:ext uri="{FF2B5EF4-FFF2-40B4-BE49-F238E27FC236}">
                  <a16:creationId xmlns:a16="http://schemas.microsoft.com/office/drawing/2014/main" id="{94830F7F-00D1-442F-9552-9BD5D36C1FF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71715" name="CommandButton6" hidden="1">
              <a:extLst>
                <a:ext uri="{63B3BB69-23CF-44E3-9099-C40C66FF867C}">
                  <a14:compatExt spid="_x0000_s371715"/>
                </a:ext>
                <a:ext uri="{FF2B5EF4-FFF2-40B4-BE49-F238E27FC236}">
                  <a16:creationId xmlns:a16="http://schemas.microsoft.com/office/drawing/2014/main" id="{DCB82BF1-B96B-4971-AB14-ADF503A1CC1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71717" name="CommandButton8" hidden="1">
              <a:extLst>
                <a:ext uri="{63B3BB69-23CF-44E3-9099-C40C66FF867C}">
                  <a14:compatExt spid="_x0000_s371717"/>
                </a:ext>
                <a:ext uri="{FF2B5EF4-FFF2-40B4-BE49-F238E27FC236}">
                  <a16:creationId xmlns:a16="http://schemas.microsoft.com/office/drawing/2014/main" id="{EDA198F2-2CD9-4E2D-B92C-72D62E70150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72737" name="CommandButton5" hidden="1">
              <a:extLst>
                <a:ext uri="{63B3BB69-23CF-44E3-9099-C40C66FF867C}">
                  <a14:compatExt spid="_x0000_s372737"/>
                </a:ext>
                <a:ext uri="{FF2B5EF4-FFF2-40B4-BE49-F238E27FC236}">
                  <a16:creationId xmlns:a16="http://schemas.microsoft.com/office/drawing/2014/main" id="{B52F10B2-6E95-46D1-ADE7-193DAE77BAF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72738" name="Frame1" hidden="1">
              <a:extLst>
                <a:ext uri="{63B3BB69-23CF-44E3-9099-C40C66FF867C}">
                  <a14:compatExt spid="_x0000_s372738"/>
                </a:ext>
                <a:ext uri="{FF2B5EF4-FFF2-40B4-BE49-F238E27FC236}">
                  <a16:creationId xmlns:a16="http://schemas.microsoft.com/office/drawing/2014/main" id="{C0F2114E-5E87-414E-AF7E-B4A63C35A6E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72739" name="CommandButton6" hidden="1">
              <a:extLst>
                <a:ext uri="{63B3BB69-23CF-44E3-9099-C40C66FF867C}">
                  <a14:compatExt spid="_x0000_s372739"/>
                </a:ext>
                <a:ext uri="{FF2B5EF4-FFF2-40B4-BE49-F238E27FC236}">
                  <a16:creationId xmlns:a16="http://schemas.microsoft.com/office/drawing/2014/main" id="{18C36E00-110A-4B13-8E1C-DE4EF115AE2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72740" name="CommandButton8" hidden="1">
              <a:extLst>
                <a:ext uri="{63B3BB69-23CF-44E3-9099-C40C66FF867C}">
                  <a14:compatExt spid="_x0000_s372740"/>
                </a:ext>
                <a:ext uri="{FF2B5EF4-FFF2-40B4-BE49-F238E27FC236}">
                  <a16:creationId xmlns:a16="http://schemas.microsoft.com/office/drawing/2014/main" id="{D50BFC82-8823-4D8E-82BC-AC5339FE486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3</xdr:row>
          <xdr:rowOff>219075</xdr:rowOff>
        </xdr:from>
        <xdr:to>
          <xdr:col>7</xdr:col>
          <xdr:colOff>114300</xdr:colOff>
          <xdr:row>4</xdr:row>
          <xdr:rowOff>257175</xdr:rowOff>
        </xdr:to>
        <xdr:sp macro="" textlink="">
          <xdr:nvSpPr>
            <xdr:cNvPr id="129026" name="CommandButton2" hidden="1">
              <a:extLst>
                <a:ext uri="{63B3BB69-23CF-44E3-9099-C40C66FF867C}">
                  <a14:compatExt spid="_x0000_s129026"/>
                </a:ext>
                <a:ext uri="{FF2B5EF4-FFF2-40B4-BE49-F238E27FC236}">
                  <a16:creationId xmlns:a16="http://schemas.microsoft.com/office/drawing/2014/main" id="{00000000-0008-0000-1100-00000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4</xdr:row>
          <xdr:rowOff>304800</xdr:rowOff>
        </xdr:from>
        <xdr:to>
          <xdr:col>7</xdr:col>
          <xdr:colOff>114300</xdr:colOff>
          <xdr:row>6</xdr:row>
          <xdr:rowOff>19050</xdr:rowOff>
        </xdr:to>
        <xdr:sp macro="" textlink="">
          <xdr:nvSpPr>
            <xdr:cNvPr id="129027" name="CommandButton3" hidden="1">
              <a:extLst>
                <a:ext uri="{63B3BB69-23CF-44E3-9099-C40C66FF867C}">
                  <a14:compatExt spid="_x0000_s129027"/>
                </a:ext>
                <a:ext uri="{FF2B5EF4-FFF2-40B4-BE49-F238E27FC236}">
                  <a16:creationId xmlns:a16="http://schemas.microsoft.com/office/drawing/2014/main" id="{00000000-0008-0000-1100-00000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6</xdr:row>
          <xdr:rowOff>76200</xdr:rowOff>
        </xdr:from>
        <xdr:to>
          <xdr:col>7</xdr:col>
          <xdr:colOff>114300</xdr:colOff>
          <xdr:row>7</xdr:row>
          <xdr:rowOff>114300</xdr:rowOff>
        </xdr:to>
        <xdr:sp macro="" textlink="">
          <xdr:nvSpPr>
            <xdr:cNvPr id="129028" name="CommandButton4" hidden="1">
              <a:extLst>
                <a:ext uri="{63B3BB69-23CF-44E3-9099-C40C66FF867C}">
                  <a14:compatExt spid="_x0000_s129028"/>
                </a:ext>
                <a:ext uri="{FF2B5EF4-FFF2-40B4-BE49-F238E27FC236}">
                  <a16:creationId xmlns:a16="http://schemas.microsoft.com/office/drawing/2014/main" id="{00000000-0008-0000-1100-000004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7</xdr:row>
          <xdr:rowOff>161925</xdr:rowOff>
        </xdr:from>
        <xdr:to>
          <xdr:col>7</xdr:col>
          <xdr:colOff>114300</xdr:colOff>
          <xdr:row>8</xdr:row>
          <xdr:rowOff>200025</xdr:rowOff>
        </xdr:to>
        <xdr:sp macro="" textlink="">
          <xdr:nvSpPr>
            <xdr:cNvPr id="129029" name="CommandButton5" hidden="1">
              <a:extLst>
                <a:ext uri="{63B3BB69-23CF-44E3-9099-C40C66FF867C}">
                  <a14:compatExt spid="_x0000_s129029"/>
                </a:ext>
                <a:ext uri="{FF2B5EF4-FFF2-40B4-BE49-F238E27FC236}">
                  <a16:creationId xmlns:a16="http://schemas.microsoft.com/office/drawing/2014/main" id="{00000000-0008-0000-1100-000005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3</xdr:row>
          <xdr:rowOff>266700</xdr:rowOff>
        </xdr:from>
        <xdr:to>
          <xdr:col>8</xdr:col>
          <xdr:colOff>676275</xdr:colOff>
          <xdr:row>4</xdr:row>
          <xdr:rowOff>304800</xdr:rowOff>
        </xdr:to>
        <xdr:sp macro="" textlink="">
          <xdr:nvSpPr>
            <xdr:cNvPr id="126978" name="CommandButton2" hidden="1">
              <a:extLst>
                <a:ext uri="{63B3BB69-23CF-44E3-9099-C40C66FF867C}">
                  <a14:compatExt spid="_x0000_s126978"/>
                </a:ext>
                <a:ext uri="{FF2B5EF4-FFF2-40B4-BE49-F238E27FC236}">
                  <a16:creationId xmlns:a16="http://schemas.microsoft.com/office/drawing/2014/main" id="{00000000-0008-0000-1200-000002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6</xdr:row>
          <xdr:rowOff>66675</xdr:rowOff>
        </xdr:from>
        <xdr:to>
          <xdr:col>8</xdr:col>
          <xdr:colOff>666750</xdr:colOff>
          <xdr:row>7</xdr:row>
          <xdr:rowOff>104775</xdr:rowOff>
        </xdr:to>
        <xdr:sp macro="" textlink="">
          <xdr:nvSpPr>
            <xdr:cNvPr id="126979" name="CommandButton3" hidden="1">
              <a:extLst>
                <a:ext uri="{63B3BB69-23CF-44E3-9099-C40C66FF867C}">
                  <a14:compatExt spid="_x0000_s126979"/>
                </a:ext>
                <a:ext uri="{FF2B5EF4-FFF2-40B4-BE49-F238E27FC236}">
                  <a16:creationId xmlns:a16="http://schemas.microsoft.com/office/drawing/2014/main" id="{00000000-0008-0000-1200-000003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7</xdr:row>
          <xdr:rowOff>142875</xdr:rowOff>
        </xdr:from>
        <xdr:to>
          <xdr:col>8</xdr:col>
          <xdr:colOff>666750</xdr:colOff>
          <xdr:row>8</xdr:row>
          <xdr:rowOff>180975</xdr:rowOff>
        </xdr:to>
        <xdr:sp macro="" textlink="">
          <xdr:nvSpPr>
            <xdr:cNvPr id="126984" name="CommandButton4" hidden="1">
              <a:extLst>
                <a:ext uri="{63B3BB69-23CF-44E3-9099-C40C66FF867C}">
                  <a14:compatExt spid="_x0000_s126984"/>
                </a:ext>
                <a:ext uri="{FF2B5EF4-FFF2-40B4-BE49-F238E27FC236}">
                  <a16:creationId xmlns:a16="http://schemas.microsoft.com/office/drawing/2014/main" id="{00000000-0008-0000-1200-000008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0</xdr:rowOff>
        </xdr:from>
        <xdr:to>
          <xdr:col>8</xdr:col>
          <xdr:colOff>666750</xdr:colOff>
          <xdr:row>6</xdr:row>
          <xdr:rowOff>38100</xdr:rowOff>
        </xdr:to>
        <xdr:sp macro="" textlink="">
          <xdr:nvSpPr>
            <xdr:cNvPr id="126986" name="CommandButton5" hidden="1">
              <a:extLst>
                <a:ext uri="{63B3BB69-23CF-44E3-9099-C40C66FF867C}">
                  <a14:compatExt spid="_x0000_s126986"/>
                </a:ext>
                <a:ext uri="{FF2B5EF4-FFF2-40B4-BE49-F238E27FC236}">
                  <a16:creationId xmlns:a16="http://schemas.microsoft.com/office/drawing/2014/main" id="{00000000-0008-0000-1200-00000A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6</xdr:row>
          <xdr:rowOff>114300</xdr:rowOff>
        </xdr:from>
        <xdr:to>
          <xdr:col>10</xdr:col>
          <xdr:colOff>123825</xdr:colOff>
          <xdr:row>7</xdr:row>
          <xdr:rowOff>152400</xdr:rowOff>
        </xdr:to>
        <xdr:sp macro="" textlink="">
          <xdr:nvSpPr>
            <xdr:cNvPr id="128003" name="CommandButton3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13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7</xdr:row>
          <xdr:rowOff>200025</xdr:rowOff>
        </xdr:from>
        <xdr:to>
          <xdr:col>10</xdr:col>
          <xdr:colOff>123825</xdr:colOff>
          <xdr:row>8</xdr:row>
          <xdr:rowOff>238125</xdr:rowOff>
        </xdr:to>
        <xdr:sp macro="" textlink="">
          <xdr:nvSpPr>
            <xdr:cNvPr id="128004" name="CommandButton4" hidden="1">
              <a:extLst>
                <a:ext uri="{63B3BB69-23CF-44E3-9099-C40C66FF867C}">
                  <a14:compatExt spid="_x0000_s128004"/>
                </a:ext>
                <a:ext uri="{FF2B5EF4-FFF2-40B4-BE49-F238E27FC236}">
                  <a16:creationId xmlns:a16="http://schemas.microsoft.com/office/drawing/2014/main" id="{00000000-0008-0000-1300-000004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128005" name="CommandButton5" hidden="1">
              <a:extLst>
                <a:ext uri="{63B3BB69-23CF-44E3-9099-C40C66FF867C}">
                  <a14:compatExt spid="_x0000_s128005"/>
                </a:ext>
                <a:ext uri="{FF2B5EF4-FFF2-40B4-BE49-F238E27FC236}">
                  <a16:creationId xmlns:a16="http://schemas.microsoft.com/office/drawing/2014/main" id="{00000000-0008-0000-1300-000005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128006" name="CommandButton2" hidden="1">
              <a:extLst>
                <a:ext uri="{63B3BB69-23CF-44E3-9099-C40C66FF867C}">
                  <a14:compatExt spid="_x0000_s128006"/>
                </a:ext>
                <a:ext uri="{FF2B5EF4-FFF2-40B4-BE49-F238E27FC236}">
                  <a16:creationId xmlns:a16="http://schemas.microsoft.com/office/drawing/2014/main" id="{00000000-0008-0000-1300-000006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81FB592-AE8A-49B6-A3A1-17DF66826256}" name="Table1" displayName="Table1" ref="A1:D11" totalsRowShown="0">
  <autoFilter ref="A1:D11" xr:uid="{38019919-CB51-4D59-96A5-0E0EAEF458EB}"/>
  <tableColumns count="4">
    <tableColumn id="1" xr3:uid="{9FDAC76A-1672-4BA5-B193-2B7BE88383AA}" name="Area" dataDxfId="39"/>
    <tableColumn id="4" xr3:uid="{A159A792-4362-4232-A339-98865F69E10C}" name="name" dataDxfId="38"/>
    <tableColumn id="3" xr3:uid="{D860024D-2094-46D7-86C1-B6469010E080}" name="Code" dataDxfId="37"/>
    <tableColumn id="2" xr3:uid="{4BB3E9D7-1743-4D5D-A7F4-B99255E51FAE}" name="Switch" dataDxfId="36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08E62A8-B001-407C-9F66-CE627ADC33C2}" name="Table2" displayName="Table2" ref="F1:I16" totalsRowShown="0">
  <autoFilter ref="F1:I16" xr:uid="{D4550153-2CFF-4D7B-92BC-CF0B5556755F}"/>
  <tableColumns count="4">
    <tableColumn id="1" xr3:uid="{D4ED704E-5E9D-4E34-AF25-AF23CD6C6733}" name="Area" dataDxfId="35"/>
    <tableColumn id="4" xr3:uid="{001C58BE-2463-4AF1-8FCB-052AD956C5DF}" name="name" dataDxfId="34"/>
    <tableColumn id="3" xr3:uid="{FA931E84-E3F2-469C-B60D-0CF7D178E729}" name="Code" dataDxfId="33"/>
    <tableColumn id="2" xr3:uid="{35E1CE4C-A747-4F0E-B074-97480A9CD475}" name="Switch" dataDxfId="32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A919019-EBF2-4765-B3F4-75DF82E054B8}" name="Table3" displayName="Table3" ref="K1:N14" totalsRowShown="0">
  <autoFilter ref="K1:N14" xr:uid="{787F6D66-934F-478D-8043-B787BB6EAB19}"/>
  <tableColumns count="4">
    <tableColumn id="1" xr3:uid="{6A0E2B77-C3A1-4820-BBCA-1EC07200A039}" name="Area" dataDxfId="31"/>
    <tableColumn id="4" xr3:uid="{517209EF-C9BD-4592-B395-4D2235AE16BB}" name="name" dataDxfId="30"/>
    <tableColumn id="3" xr3:uid="{78E04352-3518-4DFD-B652-A47C6F31D74B}" name="Code" dataDxfId="29"/>
    <tableColumn id="2" xr3:uid="{74873089-EAD8-4FE8-8E20-1BFFACCF2069}" name="Switch" dataDxfId="28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751C881-8164-472B-B71C-656755A26D88}" name="Table4" displayName="Table4" ref="A22:D49" totalsRowShown="0">
  <autoFilter ref="A22:D49" xr:uid="{4706A22D-9274-47B0-9F9A-12CB242225EC}"/>
  <tableColumns count="4">
    <tableColumn id="1" xr3:uid="{9E481A4D-847A-4838-B08B-EEA9BEFEC9FA}" name="Area" dataDxfId="27"/>
    <tableColumn id="4" xr3:uid="{B1BB02E8-B0A0-4A4A-8DD5-C9F289105532}" name="name" dataDxfId="26"/>
    <tableColumn id="3" xr3:uid="{D1A00EF1-9FEC-46D0-A856-5F5101BFC8F1}" name="Code" dataDxfId="25"/>
    <tableColumn id="2" xr3:uid="{135FB3C9-F45F-4346-BE97-41B58C3136D0}" name="Switch" dataDxfId="24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8B837C2-9476-4E92-A251-67F1C1643C21}" name="Table5" displayName="Table5" ref="F22:I54" totalsRowShown="0">
  <autoFilter ref="F22:I54" xr:uid="{61C9C907-3F61-483D-ACB1-5C46AEF050DE}"/>
  <tableColumns count="4">
    <tableColumn id="1" xr3:uid="{49E0E35F-8F32-480E-B796-E49D60CCD3CD}" name="Area" dataDxfId="23"/>
    <tableColumn id="4" xr3:uid="{1D63DCAF-E317-43A6-A73B-C11AF0779C9A}" name="name" dataDxfId="22"/>
    <tableColumn id="3" xr3:uid="{54BEF3D7-ADA9-40B1-8194-838F3823F4C8}" name="Code" dataDxfId="21"/>
    <tableColumn id="2" xr3:uid="{FC8C8C57-BF5E-4BE6-BB30-9743F13F04CC}" name="Switch" dataDxfId="20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F075DDA-DFA3-46D9-AB93-2CEB69D24EC8}" name="Table6" displayName="Table6" ref="K22:N28" totalsRowShown="0">
  <autoFilter ref="K22:N28" xr:uid="{2DF2367D-A876-4E60-95C5-6B82E6D60CBA}"/>
  <tableColumns count="4">
    <tableColumn id="1" xr3:uid="{45376554-5BD7-4C68-B293-746C798AA6DD}" name="Area" dataDxfId="19"/>
    <tableColumn id="4" xr3:uid="{801ECC71-7AD8-4263-800F-007CC3A81A1D}" name="name" dataDxfId="18"/>
    <tableColumn id="3" xr3:uid="{242ED5AB-9679-4620-B614-62743482E355}" name="Code" dataDxfId="17"/>
    <tableColumn id="2" xr3:uid="{DA377432-0CC5-402F-A02D-19E0F3C1B32D}" name="Switch" dataDxfId="16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C66B509-3E72-42A2-A916-23C29A337187}" name="tblLocation" displayName="tblLocation" ref="P1:Q7" totalsRowShown="0">
  <autoFilter ref="P1:Q7" xr:uid="{097FB628-A468-4790-BE49-C390973AF997}"/>
  <tableColumns count="2">
    <tableColumn id="1" xr3:uid="{A313847D-7A0A-4995-9482-B180CBDE48C3}" name="Area" dataDxfId="15"/>
    <tableColumn id="3" xr3:uid="{DE52D9CB-5A3B-4CB4-9D06-60D58FB17256}" name="Code" dataDxfId="14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4DBAC74-4809-4D85-B6CC-1E9B829E1B04}" name="TCorp" displayName="TCorp" ref="G19:G34" totalsRowShown="0" headerRowDxfId="13" dataDxfId="12" headerRowCellStyle="표준 2" dataCellStyle="표준 2">
  <autoFilter ref="G19:G34" xr:uid="{24DBAC74-4809-4D85-B6CC-1E9B829E1B04}"/>
  <tableColumns count="1">
    <tableColumn id="1" xr3:uid="{58ACC5B6-8020-4411-81BB-51B143201D89}" name="조사자" dataDxfId="11" dataCellStyle="표준 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D0FE1C-5255-46F7-9A8D-9F9B70AAB7F3}" name="TArea" displayName="TArea" ref="A19:A26" totalsRowShown="0" headerRowDxfId="10" dataDxfId="9">
  <autoFilter ref="A19:A26" xr:uid="{E2D0FE1C-5255-46F7-9A8D-9F9B70AAB7F3}"/>
  <tableColumns count="1">
    <tableColumn id="1" xr3:uid="{916D3804-E420-486D-BE43-80976F5E4123}" name="Area" dataDxfId="8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C6A017F-E8D6-4200-BD50-098A16261F0C}" name="TWellRadius" displayName="TWellRadius" ref="D19:D23" totalsRowShown="0" headerRowDxfId="7" dataDxfId="6">
  <autoFilter ref="D19:D23" xr:uid="{FC6A017F-E8D6-4200-BD50-098A16261F0C}"/>
  <tableColumns count="1">
    <tableColumn id="1" xr3:uid="{9FE8ECAD-6AF6-4E53-BF03-80C011A23E5D}" name="Radius" dataDxfId="5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7F5893-A8D3-4321-8AED-B91BC72622A2}" name="Location" displayName="Location" ref="A1:C18" totalsRowShown="0" headerRowDxfId="4" dataDxfId="3">
  <autoFilter ref="A1:C18" xr:uid="{367F5893-A8D3-4321-8AED-B91BC72622A2}"/>
  <tableColumns count="3">
    <tableColumn id="1" xr3:uid="{6ED3AF0C-5C92-497B-B5CC-3308F4F8389A}" name="name" dataDxfId="2"/>
    <tableColumn id="2" xr3:uid="{14EF71A0-9338-4536-BA7B-8C25144FD21C}" name="recharge" dataDxfId="1"/>
    <tableColumn id="3" xr3:uid="{B91C1F12-5D85-4346-999B-B2991C1FFA16}" name="ratio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17" Type="http://schemas.openxmlformats.org/officeDocument/2006/relationships/image" Target="../media/image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9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19" Type="http://schemas.openxmlformats.org/officeDocument/2006/relationships/image" Target="../media/image10.emf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table" Target="../tables/table9.xml"/><Relationship Id="rId1" Type="http://schemas.openxmlformats.org/officeDocument/2006/relationships/table" Target="../tables/table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table" Target="../tables/table11.xml"/><Relationship Id="rId4" Type="http://schemas.openxmlformats.org/officeDocument/2006/relationships/image" Target="../media/image12.emf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emf"/><Relationship Id="rId3" Type="http://schemas.openxmlformats.org/officeDocument/2006/relationships/control" Target="../activeX/activeX12.xml"/><Relationship Id="rId7" Type="http://schemas.openxmlformats.org/officeDocument/2006/relationships/control" Target="../activeX/activeX1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image" Target="../media/image14.emf"/><Relationship Id="rId5" Type="http://schemas.openxmlformats.org/officeDocument/2006/relationships/control" Target="../activeX/activeX13.xml"/><Relationship Id="rId4" Type="http://schemas.openxmlformats.org/officeDocument/2006/relationships/image" Target="../media/image13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7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6.xml"/><Relationship Id="rId5" Type="http://schemas.openxmlformats.org/officeDocument/2006/relationships/image" Target="../media/image16.emf"/><Relationship Id="rId4" Type="http://schemas.openxmlformats.org/officeDocument/2006/relationships/control" Target="../activeX/activeX15.xml"/><Relationship Id="rId9" Type="http://schemas.openxmlformats.org/officeDocument/2006/relationships/image" Target="../media/image18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41.emf"/><Relationship Id="rId12" Type="http://schemas.openxmlformats.org/officeDocument/2006/relationships/comments" Target="../comments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9.xml"/><Relationship Id="rId11" Type="http://schemas.openxmlformats.org/officeDocument/2006/relationships/image" Target="../media/image43.emf"/><Relationship Id="rId5" Type="http://schemas.openxmlformats.org/officeDocument/2006/relationships/image" Target="../media/image40.emf"/><Relationship Id="rId10" Type="http://schemas.openxmlformats.org/officeDocument/2006/relationships/control" Target="../activeX/activeX21.xml"/><Relationship Id="rId4" Type="http://schemas.openxmlformats.org/officeDocument/2006/relationships/control" Target="../activeX/activeX18.xml"/><Relationship Id="rId9" Type="http://schemas.openxmlformats.org/officeDocument/2006/relationships/image" Target="../media/image42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45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3.xml"/><Relationship Id="rId5" Type="http://schemas.openxmlformats.org/officeDocument/2006/relationships/image" Target="../media/image44.emf"/><Relationship Id="rId4" Type="http://schemas.openxmlformats.org/officeDocument/2006/relationships/control" Target="../activeX/activeX22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6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47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5.xml"/><Relationship Id="rId5" Type="http://schemas.openxmlformats.org/officeDocument/2006/relationships/image" Target="../media/image46.emf"/><Relationship Id="rId4" Type="http://schemas.openxmlformats.org/officeDocument/2006/relationships/control" Target="../activeX/activeX24.xml"/><Relationship Id="rId9" Type="http://schemas.openxmlformats.org/officeDocument/2006/relationships/image" Target="../media/image48.emf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9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50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8.xml"/><Relationship Id="rId5" Type="http://schemas.openxmlformats.org/officeDocument/2006/relationships/image" Target="../media/image49.emf"/><Relationship Id="rId4" Type="http://schemas.openxmlformats.org/officeDocument/2006/relationships/control" Target="../activeX/activeX27.xml"/><Relationship Id="rId9" Type="http://schemas.openxmlformats.org/officeDocument/2006/relationships/image" Target="../media/image51.emf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1.xml"/><Relationship Id="rId6" Type="http://schemas.openxmlformats.org/officeDocument/2006/relationships/image" Target="../media/image53.emf"/><Relationship Id="rId5" Type="http://schemas.openxmlformats.org/officeDocument/2006/relationships/control" Target="../activeX/activeX31.xml"/><Relationship Id="rId4" Type="http://schemas.openxmlformats.org/officeDocument/2006/relationships/image" Target="../media/image52.emf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4.xml"/><Relationship Id="rId3" Type="http://schemas.openxmlformats.org/officeDocument/2006/relationships/vmlDrawing" Target="../drawings/vmlDrawing11.vml"/><Relationship Id="rId7" Type="http://schemas.openxmlformats.org/officeDocument/2006/relationships/image" Target="../media/image55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33.xml"/><Relationship Id="rId5" Type="http://schemas.openxmlformats.org/officeDocument/2006/relationships/image" Target="../media/image54.emf"/><Relationship Id="rId10" Type="http://schemas.openxmlformats.org/officeDocument/2006/relationships/comments" Target="../comments4.xml"/><Relationship Id="rId4" Type="http://schemas.openxmlformats.org/officeDocument/2006/relationships/control" Target="../activeX/activeX32.xml"/><Relationship Id="rId9" Type="http://schemas.openxmlformats.org/officeDocument/2006/relationships/image" Target="../media/image56.emf"/></Relationships>
</file>

<file path=xl/worksheets/_rels/sheet15.xml.rels><?xml version="1.0" encoding="UTF-8" standalone="yes"?>
<Relationships xmlns="http://schemas.openxmlformats.org/package/2006/relationships"><Relationship Id="rId13" Type="http://schemas.openxmlformats.org/officeDocument/2006/relationships/image" Target="../media/image62.emf"/><Relationship Id="rId18" Type="http://schemas.openxmlformats.org/officeDocument/2006/relationships/control" Target="../activeX/activeX42.xml"/><Relationship Id="rId26" Type="http://schemas.openxmlformats.org/officeDocument/2006/relationships/control" Target="../activeX/activeX46.xml"/><Relationship Id="rId3" Type="http://schemas.openxmlformats.org/officeDocument/2006/relationships/vmlDrawing" Target="../drawings/vmlDrawing12.vml"/><Relationship Id="rId21" Type="http://schemas.openxmlformats.org/officeDocument/2006/relationships/image" Target="../media/image66.emf"/><Relationship Id="rId34" Type="http://schemas.openxmlformats.org/officeDocument/2006/relationships/comments" Target="../comments5.xml"/><Relationship Id="rId7" Type="http://schemas.openxmlformats.org/officeDocument/2006/relationships/image" Target="../media/image59.emf"/><Relationship Id="rId12" Type="http://schemas.openxmlformats.org/officeDocument/2006/relationships/control" Target="../activeX/activeX39.xml"/><Relationship Id="rId17" Type="http://schemas.openxmlformats.org/officeDocument/2006/relationships/image" Target="../media/image64.emf"/><Relationship Id="rId25" Type="http://schemas.openxmlformats.org/officeDocument/2006/relationships/image" Target="../media/image68.emf"/><Relationship Id="rId33" Type="http://schemas.openxmlformats.org/officeDocument/2006/relationships/image" Target="../media/image72.emf"/><Relationship Id="rId2" Type="http://schemas.openxmlformats.org/officeDocument/2006/relationships/drawing" Target="../drawings/drawing13.xml"/><Relationship Id="rId16" Type="http://schemas.openxmlformats.org/officeDocument/2006/relationships/control" Target="../activeX/activeX41.xml"/><Relationship Id="rId20" Type="http://schemas.openxmlformats.org/officeDocument/2006/relationships/control" Target="../activeX/activeX43.xml"/><Relationship Id="rId29" Type="http://schemas.openxmlformats.org/officeDocument/2006/relationships/image" Target="../media/image70.emf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36.xml"/><Relationship Id="rId11" Type="http://schemas.openxmlformats.org/officeDocument/2006/relationships/image" Target="../media/image61.emf"/><Relationship Id="rId24" Type="http://schemas.openxmlformats.org/officeDocument/2006/relationships/control" Target="../activeX/activeX45.xml"/><Relationship Id="rId32" Type="http://schemas.openxmlformats.org/officeDocument/2006/relationships/control" Target="../activeX/activeX49.xml"/><Relationship Id="rId5" Type="http://schemas.openxmlformats.org/officeDocument/2006/relationships/image" Target="../media/image58.emf"/><Relationship Id="rId15" Type="http://schemas.openxmlformats.org/officeDocument/2006/relationships/image" Target="../media/image63.emf"/><Relationship Id="rId23" Type="http://schemas.openxmlformats.org/officeDocument/2006/relationships/image" Target="../media/image67.emf"/><Relationship Id="rId28" Type="http://schemas.openxmlformats.org/officeDocument/2006/relationships/control" Target="../activeX/activeX47.xml"/><Relationship Id="rId10" Type="http://schemas.openxmlformats.org/officeDocument/2006/relationships/control" Target="../activeX/activeX38.xml"/><Relationship Id="rId19" Type="http://schemas.openxmlformats.org/officeDocument/2006/relationships/image" Target="../media/image65.emf"/><Relationship Id="rId31" Type="http://schemas.openxmlformats.org/officeDocument/2006/relationships/image" Target="../media/image71.emf"/><Relationship Id="rId4" Type="http://schemas.openxmlformats.org/officeDocument/2006/relationships/control" Target="../activeX/activeX35.xml"/><Relationship Id="rId9" Type="http://schemas.openxmlformats.org/officeDocument/2006/relationships/image" Target="../media/image60.emf"/><Relationship Id="rId14" Type="http://schemas.openxmlformats.org/officeDocument/2006/relationships/control" Target="../activeX/activeX40.xml"/><Relationship Id="rId22" Type="http://schemas.openxmlformats.org/officeDocument/2006/relationships/control" Target="../activeX/activeX44.xml"/><Relationship Id="rId27" Type="http://schemas.openxmlformats.org/officeDocument/2006/relationships/image" Target="../media/image69.emf"/><Relationship Id="rId30" Type="http://schemas.openxmlformats.org/officeDocument/2006/relationships/control" Target="../activeX/activeX48.xml"/><Relationship Id="rId8" Type="http://schemas.openxmlformats.org/officeDocument/2006/relationships/control" Target="../activeX/activeX37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2.xml"/><Relationship Id="rId13" Type="http://schemas.openxmlformats.org/officeDocument/2006/relationships/image" Target="../media/image77.emf"/><Relationship Id="rId3" Type="http://schemas.openxmlformats.org/officeDocument/2006/relationships/vmlDrawing" Target="../drawings/vmlDrawing13.vml"/><Relationship Id="rId7" Type="http://schemas.openxmlformats.org/officeDocument/2006/relationships/image" Target="../media/image74.emf"/><Relationship Id="rId12" Type="http://schemas.openxmlformats.org/officeDocument/2006/relationships/control" Target="../activeX/activeX54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51.xml"/><Relationship Id="rId11" Type="http://schemas.openxmlformats.org/officeDocument/2006/relationships/image" Target="../media/image76.emf"/><Relationship Id="rId5" Type="http://schemas.openxmlformats.org/officeDocument/2006/relationships/image" Target="../media/image73.emf"/><Relationship Id="rId10" Type="http://schemas.openxmlformats.org/officeDocument/2006/relationships/control" Target="../activeX/activeX53.xml"/><Relationship Id="rId4" Type="http://schemas.openxmlformats.org/officeDocument/2006/relationships/control" Target="../activeX/activeX50.xml"/><Relationship Id="rId9" Type="http://schemas.openxmlformats.org/officeDocument/2006/relationships/image" Target="../media/image75.emf"/><Relationship Id="rId14" Type="http://schemas.openxmlformats.org/officeDocument/2006/relationships/comments" Target="../comments6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7.xml"/><Relationship Id="rId3" Type="http://schemas.openxmlformats.org/officeDocument/2006/relationships/vmlDrawing" Target="../drawings/vmlDrawing14.vml"/><Relationship Id="rId7" Type="http://schemas.openxmlformats.org/officeDocument/2006/relationships/image" Target="../media/image79.emf"/><Relationship Id="rId12" Type="http://schemas.openxmlformats.org/officeDocument/2006/relationships/comments" Target="../comments7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56.xml"/><Relationship Id="rId11" Type="http://schemas.openxmlformats.org/officeDocument/2006/relationships/image" Target="../media/image81.emf"/><Relationship Id="rId5" Type="http://schemas.openxmlformats.org/officeDocument/2006/relationships/image" Target="../media/image78.emf"/><Relationship Id="rId10" Type="http://schemas.openxmlformats.org/officeDocument/2006/relationships/control" Target="../activeX/activeX58.xml"/><Relationship Id="rId4" Type="http://schemas.openxmlformats.org/officeDocument/2006/relationships/control" Target="../activeX/activeX55.xml"/><Relationship Id="rId9" Type="http://schemas.openxmlformats.org/officeDocument/2006/relationships/image" Target="../media/image80.emf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1.xml"/><Relationship Id="rId3" Type="http://schemas.openxmlformats.org/officeDocument/2006/relationships/vmlDrawing" Target="../drawings/vmlDrawing15.vml"/><Relationship Id="rId7" Type="http://schemas.openxmlformats.org/officeDocument/2006/relationships/image" Target="../media/image83.emf"/><Relationship Id="rId12" Type="http://schemas.openxmlformats.org/officeDocument/2006/relationships/comments" Target="../comments8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60.xml"/><Relationship Id="rId11" Type="http://schemas.openxmlformats.org/officeDocument/2006/relationships/image" Target="../media/image85.emf"/><Relationship Id="rId5" Type="http://schemas.openxmlformats.org/officeDocument/2006/relationships/image" Target="../media/image82.emf"/><Relationship Id="rId10" Type="http://schemas.openxmlformats.org/officeDocument/2006/relationships/control" Target="../activeX/activeX62.xml"/><Relationship Id="rId4" Type="http://schemas.openxmlformats.org/officeDocument/2006/relationships/control" Target="../activeX/activeX59.xml"/><Relationship Id="rId9" Type="http://schemas.openxmlformats.org/officeDocument/2006/relationships/image" Target="../media/image84.emf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5.xml"/><Relationship Id="rId3" Type="http://schemas.openxmlformats.org/officeDocument/2006/relationships/vmlDrawing" Target="../drawings/vmlDrawing16.vml"/><Relationship Id="rId7" Type="http://schemas.openxmlformats.org/officeDocument/2006/relationships/image" Target="../media/image87.emf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64.xml"/><Relationship Id="rId11" Type="http://schemas.openxmlformats.org/officeDocument/2006/relationships/image" Target="../media/image89.emf"/><Relationship Id="rId5" Type="http://schemas.openxmlformats.org/officeDocument/2006/relationships/image" Target="../media/image86.emf"/><Relationship Id="rId10" Type="http://schemas.openxmlformats.org/officeDocument/2006/relationships/control" Target="../activeX/activeX66.xml"/><Relationship Id="rId4" Type="http://schemas.openxmlformats.org/officeDocument/2006/relationships/control" Target="../activeX/activeX63.xml"/><Relationship Id="rId9" Type="http://schemas.openxmlformats.org/officeDocument/2006/relationships/image" Target="../media/image88.emf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9.xml"/><Relationship Id="rId3" Type="http://schemas.openxmlformats.org/officeDocument/2006/relationships/vmlDrawing" Target="../drawings/vmlDrawing17.vml"/><Relationship Id="rId7" Type="http://schemas.openxmlformats.org/officeDocument/2006/relationships/image" Target="../media/image91.emf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68.xml"/><Relationship Id="rId11" Type="http://schemas.openxmlformats.org/officeDocument/2006/relationships/image" Target="../media/image93.emf"/><Relationship Id="rId5" Type="http://schemas.openxmlformats.org/officeDocument/2006/relationships/image" Target="../media/image90.emf"/><Relationship Id="rId10" Type="http://schemas.openxmlformats.org/officeDocument/2006/relationships/control" Target="../activeX/activeX70.xml"/><Relationship Id="rId4" Type="http://schemas.openxmlformats.org/officeDocument/2006/relationships/control" Target="../activeX/activeX67.xml"/><Relationship Id="rId9" Type="http://schemas.openxmlformats.org/officeDocument/2006/relationships/image" Target="../media/image92.emf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3.xml"/><Relationship Id="rId3" Type="http://schemas.openxmlformats.org/officeDocument/2006/relationships/vmlDrawing" Target="../drawings/vmlDrawing18.vml"/><Relationship Id="rId7" Type="http://schemas.openxmlformats.org/officeDocument/2006/relationships/image" Target="../media/image95.emf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6.bin"/><Relationship Id="rId6" Type="http://schemas.openxmlformats.org/officeDocument/2006/relationships/control" Target="../activeX/activeX72.xml"/><Relationship Id="rId11" Type="http://schemas.openxmlformats.org/officeDocument/2006/relationships/image" Target="../media/image97.emf"/><Relationship Id="rId5" Type="http://schemas.openxmlformats.org/officeDocument/2006/relationships/image" Target="../media/image94.emf"/><Relationship Id="rId10" Type="http://schemas.openxmlformats.org/officeDocument/2006/relationships/control" Target="../activeX/activeX74.xml"/><Relationship Id="rId4" Type="http://schemas.openxmlformats.org/officeDocument/2006/relationships/control" Target="../activeX/activeX71.xml"/><Relationship Id="rId9" Type="http://schemas.openxmlformats.org/officeDocument/2006/relationships/image" Target="../media/image96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3A48D-D3EC-48BE-BAE5-37B3F4853D05}">
  <sheetPr codeName="Sheet4"/>
  <dimension ref="A1:Q54"/>
  <sheetViews>
    <sheetView workbookViewId="0">
      <selection activeCell="Q29" sqref="Q29"/>
    </sheetView>
  </sheetViews>
  <sheetFormatPr defaultRowHeight="16.5"/>
  <cols>
    <col min="1" max="1" width="11.5546875" style="343" customWidth="1"/>
    <col min="2" max="2" width="16.5546875" style="343" customWidth="1"/>
    <col min="3" max="3" width="7.5546875" style="343" customWidth="1"/>
    <col min="4" max="4" width="7.33203125" style="343" bestFit="1" customWidth="1"/>
    <col min="5" max="5" width="3.21875" style="343" customWidth="1"/>
    <col min="6" max="6" width="8.88671875" style="343"/>
    <col min="7" max="7" width="15.77734375" style="343" customWidth="1"/>
    <col min="8" max="9" width="6.77734375" style="343" customWidth="1"/>
    <col min="10" max="10" width="3.44140625" style="343" customWidth="1"/>
    <col min="11" max="11" width="8.88671875" style="343"/>
    <col min="12" max="12" width="18.77734375" style="343" customWidth="1"/>
    <col min="13" max="14" width="6" style="343" customWidth="1"/>
    <col min="15" max="15" width="3.21875" style="343" customWidth="1"/>
    <col min="16" max="16" width="10.5546875" style="343" customWidth="1"/>
    <col min="17" max="17" width="10.44140625" style="343" customWidth="1"/>
    <col min="18" max="18" width="6.88671875" style="343" customWidth="1"/>
    <col min="19" max="19" width="3.6640625" style="343" customWidth="1"/>
    <col min="20" max="21" width="8.88671875" style="343"/>
    <col min="22" max="22" width="6.44140625" style="343" customWidth="1"/>
    <col min="23" max="23" width="6.5546875" style="343" customWidth="1"/>
    <col min="24" max="24" width="4.21875" style="343" customWidth="1"/>
    <col min="25" max="26" width="8.88671875" style="343"/>
    <col min="27" max="27" width="6.33203125" style="343" customWidth="1"/>
    <col min="28" max="28" width="6.21875" style="343" customWidth="1"/>
    <col min="29" max="29" width="4.77734375" style="343" customWidth="1"/>
    <col min="30" max="30" width="8.88671875" style="343"/>
    <col min="31" max="31" width="7.109375" style="343" customWidth="1"/>
    <col min="32" max="16384" width="8.88671875" style="343"/>
  </cols>
  <sheetData>
    <row r="1" spans="1:17">
      <c r="A1" s="343" t="s">
        <v>368</v>
      </c>
      <c r="B1" s="343" t="s">
        <v>196</v>
      </c>
      <c r="C1" s="343" t="s">
        <v>500</v>
      </c>
      <c r="D1" s="343" t="s">
        <v>499</v>
      </c>
      <c r="F1" s="343" t="s">
        <v>368</v>
      </c>
      <c r="G1" s="343" t="s">
        <v>196</v>
      </c>
      <c r="H1" s="343" t="s">
        <v>500</v>
      </c>
      <c r="I1" s="343" t="s">
        <v>499</v>
      </c>
      <c r="K1" s="343" t="s">
        <v>368</v>
      </c>
      <c r="L1" s="343" t="s">
        <v>196</v>
      </c>
      <c r="M1" s="343" t="s">
        <v>500</v>
      </c>
      <c r="N1" s="343" t="s">
        <v>499</v>
      </c>
      <c r="P1" s="343" t="s">
        <v>368</v>
      </c>
      <c r="Q1" s="343" t="s">
        <v>500</v>
      </c>
    </row>
    <row r="2" spans="1:17">
      <c r="A2" s="343" t="s">
        <v>588</v>
      </c>
      <c r="B2" s="343" t="s">
        <v>587</v>
      </c>
      <c r="C2" s="343">
        <v>116</v>
      </c>
      <c r="D2" s="343">
        <v>14</v>
      </c>
      <c r="F2" s="343" t="s">
        <v>586</v>
      </c>
      <c r="G2" s="343" t="s">
        <v>585</v>
      </c>
      <c r="H2" s="343">
        <v>105</v>
      </c>
      <c r="I2" s="343">
        <v>38</v>
      </c>
      <c r="K2" s="343" t="s">
        <v>584</v>
      </c>
      <c r="L2" s="343" t="s">
        <v>583</v>
      </c>
      <c r="M2" s="343">
        <v>226</v>
      </c>
      <c r="N2" s="343">
        <v>54</v>
      </c>
      <c r="P2" s="343" t="s">
        <v>582</v>
      </c>
      <c r="Q2" s="343" t="s">
        <v>581</v>
      </c>
    </row>
    <row r="3" spans="1:17">
      <c r="A3" s="343" t="s">
        <v>580</v>
      </c>
      <c r="B3" s="343" t="s">
        <v>579</v>
      </c>
      <c r="C3" s="343">
        <v>108</v>
      </c>
      <c r="D3" s="343">
        <v>14</v>
      </c>
      <c r="F3" s="343" t="s">
        <v>578</v>
      </c>
      <c r="G3" s="343" t="s">
        <v>577</v>
      </c>
      <c r="H3" s="343">
        <v>100</v>
      </c>
      <c r="I3" s="343">
        <v>38</v>
      </c>
      <c r="K3" s="343" t="s">
        <v>576</v>
      </c>
      <c r="L3" s="343" t="s">
        <v>575</v>
      </c>
      <c r="M3" s="343">
        <v>221</v>
      </c>
      <c r="N3" s="343">
        <v>54</v>
      </c>
      <c r="P3" s="343" t="s">
        <v>574</v>
      </c>
      <c r="Q3" s="343" t="s">
        <v>573</v>
      </c>
    </row>
    <row r="4" spans="1:17">
      <c r="A4" s="343" t="s">
        <v>572</v>
      </c>
      <c r="B4" s="343" t="s">
        <v>571</v>
      </c>
      <c r="C4" s="343">
        <v>201</v>
      </c>
      <c r="D4" s="343">
        <v>22</v>
      </c>
      <c r="F4" s="343" t="s">
        <v>570</v>
      </c>
      <c r="G4" s="343" t="s">
        <v>569</v>
      </c>
      <c r="H4" s="343">
        <v>106</v>
      </c>
      <c r="I4" s="343">
        <v>38</v>
      </c>
      <c r="K4" s="343" t="s">
        <v>568</v>
      </c>
      <c r="L4" s="343" t="s">
        <v>567</v>
      </c>
      <c r="M4" s="343">
        <v>131</v>
      </c>
      <c r="N4" s="343">
        <v>54</v>
      </c>
      <c r="P4" s="343" t="s">
        <v>566</v>
      </c>
      <c r="Q4" s="343" t="s">
        <v>565</v>
      </c>
    </row>
    <row r="5" spans="1:17">
      <c r="A5" s="343" t="s">
        <v>564</v>
      </c>
      <c r="B5" s="343" t="s">
        <v>563</v>
      </c>
      <c r="C5" s="343">
        <v>102</v>
      </c>
      <c r="D5" s="343">
        <v>22</v>
      </c>
      <c r="F5" s="343" t="s">
        <v>562</v>
      </c>
      <c r="G5" s="343" t="s">
        <v>561</v>
      </c>
      <c r="H5" s="343">
        <v>104</v>
      </c>
      <c r="I5" s="343">
        <v>38</v>
      </c>
      <c r="K5" s="343" t="s">
        <v>560</v>
      </c>
      <c r="L5" s="343" t="s">
        <v>559</v>
      </c>
      <c r="M5" s="343">
        <v>135</v>
      </c>
      <c r="N5" s="343">
        <v>54</v>
      </c>
      <c r="P5" s="343" t="s">
        <v>558</v>
      </c>
      <c r="Q5" s="343" t="s">
        <v>557</v>
      </c>
    </row>
    <row r="6" spans="1:17">
      <c r="A6" s="343" t="s">
        <v>556</v>
      </c>
      <c r="B6" s="343" t="s">
        <v>555</v>
      </c>
      <c r="C6" s="343">
        <v>112</v>
      </c>
      <c r="D6" s="343">
        <v>22</v>
      </c>
      <c r="F6" s="343" t="s">
        <v>554</v>
      </c>
      <c r="G6" s="343" t="s">
        <v>553</v>
      </c>
      <c r="H6" s="343">
        <v>93</v>
      </c>
      <c r="I6" s="343">
        <v>38</v>
      </c>
      <c r="K6" s="343" t="s">
        <v>552</v>
      </c>
      <c r="L6" s="343" t="s">
        <v>551</v>
      </c>
      <c r="M6" s="343">
        <v>127</v>
      </c>
      <c r="N6" s="343">
        <v>54</v>
      </c>
      <c r="P6" s="343" t="s">
        <v>550</v>
      </c>
      <c r="Q6" s="343" t="s">
        <v>549</v>
      </c>
    </row>
    <row r="7" spans="1:17">
      <c r="A7" s="343" t="s">
        <v>548</v>
      </c>
      <c r="B7" s="343" t="s">
        <v>547</v>
      </c>
      <c r="C7" s="343">
        <v>98</v>
      </c>
      <c r="D7" s="343">
        <v>32</v>
      </c>
      <c r="F7" s="343" t="s">
        <v>546</v>
      </c>
      <c r="G7" s="343" t="s">
        <v>545</v>
      </c>
      <c r="H7" s="343">
        <v>214</v>
      </c>
      <c r="I7" s="343">
        <v>38</v>
      </c>
      <c r="K7" s="343" t="s">
        <v>544</v>
      </c>
      <c r="L7" s="343" t="s">
        <v>543</v>
      </c>
      <c r="M7" s="343">
        <v>133</v>
      </c>
      <c r="N7" s="343">
        <v>28</v>
      </c>
      <c r="P7" s="343" t="s">
        <v>542</v>
      </c>
      <c r="Q7" s="343" t="s">
        <v>541</v>
      </c>
    </row>
    <row r="8" spans="1:17">
      <c r="A8" s="343" t="s">
        <v>540</v>
      </c>
      <c r="B8" s="343" t="s">
        <v>539</v>
      </c>
      <c r="C8" s="343">
        <v>119</v>
      </c>
      <c r="D8" s="343">
        <v>32</v>
      </c>
      <c r="F8" s="343" t="s">
        <v>538</v>
      </c>
      <c r="G8" s="343" t="s">
        <v>537</v>
      </c>
      <c r="H8" s="343">
        <v>90</v>
      </c>
      <c r="I8" s="343">
        <v>38</v>
      </c>
      <c r="K8" s="343" t="s">
        <v>536</v>
      </c>
      <c r="L8" s="343" t="s">
        <v>535</v>
      </c>
      <c r="M8" s="343">
        <v>239</v>
      </c>
      <c r="N8" s="343">
        <v>132</v>
      </c>
    </row>
    <row r="9" spans="1:17">
      <c r="A9" s="343" t="s">
        <v>534</v>
      </c>
      <c r="B9" s="343" t="s">
        <v>533</v>
      </c>
      <c r="C9" s="343">
        <v>202</v>
      </c>
      <c r="D9" s="343">
        <v>32</v>
      </c>
      <c r="F9" s="343" t="s">
        <v>532</v>
      </c>
      <c r="G9" s="343" t="s">
        <v>531</v>
      </c>
      <c r="H9" s="343">
        <v>121</v>
      </c>
      <c r="I9" s="343">
        <v>38</v>
      </c>
      <c r="K9" s="343" t="s">
        <v>530</v>
      </c>
      <c r="L9" s="343" t="s">
        <v>529</v>
      </c>
      <c r="M9" s="343">
        <v>238</v>
      </c>
      <c r="N9" s="343">
        <v>60</v>
      </c>
    </row>
    <row r="10" spans="1:17">
      <c r="A10" s="343" t="s">
        <v>528</v>
      </c>
      <c r="B10" s="343" t="s">
        <v>527</v>
      </c>
      <c r="C10" s="343">
        <v>203</v>
      </c>
      <c r="D10" s="343">
        <v>32</v>
      </c>
      <c r="F10" s="343" t="s">
        <v>526</v>
      </c>
      <c r="G10" s="343" t="s">
        <v>525</v>
      </c>
      <c r="H10" s="343">
        <v>114</v>
      </c>
      <c r="I10" s="343">
        <v>38</v>
      </c>
      <c r="K10" s="343" t="s">
        <v>524</v>
      </c>
      <c r="L10" s="343" t="s">
        <v>523</v>
      </c>
      <c r="M10" s="343">
        <v>235</v>
      </c>
      <c r="N10" s="343">
        <v>60</v>
      </c>
    </row>
    <row r="11" spans="1:17">
      <c r="A11" s="343" t="s">
        <v>522</v>
      </c>
      <c r="B11" s="343" t="s">
        <v>521</v>
      </c>
      <c r="C11" s="343">
        <v>99</v>
      </c>
      <c r="D11" s="343">
        <v>32</v>
      </c>
      <c r="F11" s="343" t="s">
        <v>520</v>
      </c>
      <c r="G11" s="343" t="s">
        <v>519</v>
      </c>
      <c r="H11" s="343">
        <v>211</v>
      </c>
      <c r="I11" s="343">
        <v>38</v>
      </c>
      <c r="K11" s="343" t="s">
        <v>518</v>
      </c>
      <c r="L11" s="343" t="s">
        <v>517</v>
      </c>
      <c r="M11" s="343">
        <v>236</v>
      </c>
      <c r="N11" s="343">
        <v>60</v>
      </c>
    </row>
    <row r="12" spans="1:17">
      <c r="F12" s="343" t="s">
        <v>516</v>
      </c>
      <c r="G12" s="343" t="s">
        <v>515</v>
      </c>
      <c r="H12" s="343">
        <v>217</v>
      </c>
      <c r="I12" s="343">
        <v>38</v>
      </c>
      <c r="K12" s="343" t="s">
        <v>514</v>
      </c>
      <c r="L12" s="343" t="s">
        <v>513</v>
      </c>
      <c r="M12" s="343">
        <v>129</v>
      </c>
      <c r="N12" s="343">
        <v>60</v>
      </c>
    </row>
    <row r="13" spans="1:17">
      <c r="F13" s="343" t="s">
        <v>512</v>
      </c>
      <c r="G13" s="343" t="s">
        <v>511</v>
      </c>
      <c r="H13" s="343">
        <v>95</v>
      </c>
      <c r="I13" s="343">
        <v>38</v>
      </c>
      <c r="K13" s="343" t="s">
        <v>510</v>
      </c>
      <c r="L13" s="343" t="s">
        <v>509</v>
      </c>
      <c r="M13" s="343">
        <v>232</v>
      </c>
      <c r="N13" s="343">
        <v>60</v>
      </c>
    </row>
    <row r="14" spans="1:17">
      <c r="F14" s="343" t="s">
        <v>508</v>
      </c>
      <c r="G14" s="343" t="s">
        <v>507</v>
      </c>
      <c r="H14" s="343">
        <v>101</v>
      </c>
      <c r="I14" s="343">
        <v>38</v>
      </c>
      <c r="K14" s="343" t="s">
        <v>506</v>
      </c>
      <c r="L14" s="343" t="s">
        <v>505</v>
      </c>
      <c r="M14" s="343">
        <v>177</v>
      </c>
      <c r="N14" s="343">
        <v>60</v>
      </c>
    </row>
    <row r="15" spans="1:17">
      <c r="F15" s="343" t="s">
        <v>504</v>
      </c>
      <c r="G15" s="343" t="s">
        <v>503</v>
      </c>
      <c r="H15" s="343">
        <v>216</v>
      </c>
      <c r="I15" s="343">
        <v>38</v>
      </c>
    </row>
    <row r="16" spans="1:17">
      <c r="F16" s="343" t="s">
        <v>502</v>
      </c>
      <c r="G16" s="343" t="s">
        <v>501</v>
      </c>
      <c r="H16" s="343">
        <v>212</v>
      </c>
      <c r="I16" s="343">
        <v>38</v>
      </c>
    </row>
    <row r="22" spans="1:14">
      <c r="A22" s="343" t="s">
        <v>368</v>
      </c>
      <c r="B22" s="343" t="s">
        <v>196</v>
      </c>
      <c r="C22" s="343" t="s">
        <v>500</v>
      </c>
      <c r="D22" s="343" t="s">
        <v>499</v>
      </c>
      <c r="F22" s="343" t="s">
        <v>368</v>
      </c>
      <c r="G22" s="343" t="s">
        <v>196</v>
      </c>
      <c r="H22" s="343" t="s">
        <v>500</v>
      </c>
      <c r="I22" s="343" t="s">
        <v>499</v>
      </c>
      <c r="K22" s="343" t="s">
        <v>368</v>
      </c>
      <c r="L22" s="343" t="s">
        <v>196</v>
      </c>
      <c r="M22" s="343" t="s">
        <v>500</v>
      </c>
      <c r="N22" s="343" t="s">
        <v>499</v>
      </c>
    </row>
    <row r="23" spans="1:14">
      <c r="A23" s="343" t="s">
        <v>498</v>
      </c>
      <c r="B23" s="343" t="s">
        <v>497</v>
      </c>
      <c r="C23" s="343">
        <v>156</v>
      </c>
      <c r="D23" s="343">
        <v>26</v>
      </c>
      <c r="F23" s="343" t="s">
        <v>496</v>
      </c>
      <c r="G23" s="343" t="s">
        <v>495</v>
      </c>
      <c r="H23" s="343">
        <v>143</v>
      </c>
      <c r="I23" s="343">
        <v>19</v>
      </c>
      <c r="K23" s="343" t="s">
        <v>494</v>
      </c>
      <c r="L23" s="343" t="s">
        <v>493</v>
      </c>
      <c r="M23" s="343">
        <v>185</v>
      </c>
      <c r="N23" s="343">
        <v>125</v>
      </c>
    </row>
    <row r="24" spans="1:14">
      <c r="A24" s="343" t="s">
        <v>492</v>
      </c>
      <c r="B24" s="343" t="s">
        <v>491</v>
      </c>
      <c r="C24" s="343">
        <v>172</v>
      </c>
      <c r="D24" s="343">
        <v>67</v>
      </c>
      <c r="F24" s="343" t="s">
        <v>490</v>
      </c>
      <c r="G24" s="343" t="s">
        <v>489</v>
      </c>
      <c r="H24" s="343">
        <v>176</v>
      </c>
      <c r="I24" s="343">
        <v>19</v>
      </c>
      <c r="K24" s="343" t="s">
        <v>488</v>
      </c>
      <c r="L24" s="343" t="s">
        <v>487</v>
      </c>
      <c r="M24" s="343">
        <v>189</v>
      </c>
      <c r="N24" s="343">
        <v>125</v>
      </c>
    </row>
    <row r="25" spans="1:14">
      <c r="A25" s="343" t="s">
        <v>486</v>
      </c>
      <c r="B25" s="343" t="s">
        <v>485</v>
      </c>
      <c r="C25" s="343">
        <v>251</v>
      </c>
      <c r="D25" s="343">
        <v>67</v>
      </c>
      <c r="F25" s="343" t="s">
        <v>484</v>
      </c>
      <c r="G25" s="343" t="s">
        <v>483</v>
      </c>
      <c r="H25" s="343">
        <v>152</v>
      </c>
      <c r="I25" s="343">
        <v>30</v>
      </c>
      <c r="K25" s="343" t="s">
        <v>477</v>
      </c>
      <c r="L25" s="343" t="s">
        <v>482</v>
      </c>
      <c r="M25" s="343">
        <v>188</v>
      </c>
      <c r="N25" s="343">
        <v>125</v>
      </c>
    </row>
    <row r="26" spans="1:14">
      <c r="A26" s="343" t="s">
        <v>481</v>
      </c>
      <c r="B26" s="343" t="s">
        <v>480</v>
      </c>
      <c r="C26" s="343">
        <v>140</v>
      </c>
      <c r="D26" s="343">
        <v>67</v>
      </c>
      <c r="F26" s="343" t="s">
        <v>479</v>
      </c>
      <c r="G26" s="343" t="s">
        <v>478</v>
      </c>
      <c r="H26" s="343">
        <v>159</v>
      </c>
      <c r="I26" s="343">
        <v>17</v>
      </c>
      <c r="K26" s="343" t="s">
        <v>610</v>
      </c>
      <c r="L26" s="343" t="s">
        <v>476</v>
      </c>
      <c r="M26" s="343">
        <v>187</v>
      </c>
      <c r="N26" s="343">
        <v>125</v>
      </c>
    </row>
    <row r="27" spans="1:14">
      <c r="A27" s="343" t="s">
        <v>475</v>
      </c>
      <c r="B27" s="343" t="s">
        <v>474</v>
      </c>
      <c r="C27" s="343">
        <v>247</v>
      </c>
      <c r="D27" s="343">
        <v>67</v>
      </c>
      <c r="F27" s="343" t="s">
        <v>473</v>
      </c>
      <c r="G27" s="343" t="s">
        <v>472</v>
      </c>
      <c r="H27" s="343">
        <v>283</v>
      </c>
      <c r="I27" s="343">
        <v>95</v>
      </c>
      <c r="K27" s="343" t="s">
        <v>471</v>
      </c>
      <c r="L27" s="343" t="s">
        <v>470</v>
      </c>
      <c r="M27" s="343">
        <v>265</v>
      </c>
      <c r="N27" s="343">
        <v>125</v>
      </c>
    </row>
    <row r="28" spans="1:14">
      <c r="A28" s="343" t="s">
        <v>469</v>
      </c>
      <c r="B28" s="343" t="s">
        <v>468</v>
      </c>
      <c r="C28" s="343">
        <v>243</v>
      </c>
      <c r="D28" s="343">
        <v>67</v>
      </c>
      <c r="F28" s="343" t="s">
        <v>467</v>
      </c>
      <c r="G28" s="343" t="s">
        <v>466</v>
      </c>
      <c r="H28" s="343">
        <v>279</v>
      </c>
      <c r="I28" s="343">
        <v>95</v>
      </c>
      <c r="K28" s="343" t="s">
        <v>465</v>
      </c>
      <c r="L28" s="343" t="s">
        <v>464</v>
      </c>
      <c r="M28" s="343">
        <v>184</v>
      </c>
      <c r="N28" s="343">
        <v>125</v>
      </c>
    </row>
    <row r="29" spans="1:14">
      <c r="A29" s="343" t="s">
        <v>463</v>
      </c>
      <c r="B29" s="343" t="s">
        <v>462</v>
      </c>
      <c r="C29" s="343">
        <v>254</v>
      </c>
      <c r="D29" s="343">
        <v>67</v>
      </c>
      <c r="F29" s="343" t="s">
        <v>461</v>
      </c>
      <c r="G29" s="343" t="s">
        <v>460</v>
      </c>
      <c r="H29" s="343">
        <v>273</v>
      </c>
      <c r="I29" s="343">
        <v>95</v>
      </c>
    </row>
    <row r="30" spans="1:14">
      <c r="A30" s="343" t="s">
        <v>459</v>
      </c>
      <c r="B30" s="343" t="s">
        <v>458</v>
      </c>
      <c r="C30" s="343">
        <v>244</v>
      </c>
      <c r="D30" s="343">
        <v>67</v>
      </c>
      <c r="F30" s="343" t="s">
        <v>457</v>
      </c>
      <c r="G30" s="343" t="s">
        <v>456</v>
      </c>
      <c r="H30" s="343">
        <v>271</v>
      </c>
      <c r="I30" s="343">
        <v>95</v>
      </c>
    </row>
    <row r="31" spans="1:14">
      <c r="A31" s="343" t="s">
        <v>455</v>
      </c>
      <c r="B31" s="343" t="s">
        <v>454</v>
      </c>
      <c r="C31" s="343">
        <v>248</v>
      </c>
      <c r="D31" s="343">
        <v>67</v>
      </c>
      <c r="F31" s="343" t="s">
        <v>453</v>
      </c>
      <c r="G31" s="343" t="s">
        <v>452</v>
      </c>
      <c r="H31" s="343">
        <v>137</v>
      </c>
      <c r="I31" s="343">
        <v>95</v>
      </c>
    </row>
    <row r="32" spans="1:14">
      <c r="A32" s="343" t="s">
        <v>451</v>
      </c>
      <c r="B32" s="343" t="s">
        <v>450</v>
      </c>
      <c r="C32" s="343">
        <v>146</v>
      </c>
      <c r="D32" s="343">
        <v>67</v>
      </c>
      <c r="F32" s="343" t="s">
        <v>449</v>
      </c>
      <c r="G32" s="343" t="s">
        <v>448</v>
      </c>
      <c r="H32" s="343">
        <v>136</v>
      </c>
      <c r="I32" s="343">
        <v>95</v>
      </c>
    </row>
    <row r="33" spans="1:9">
      <c r="A33" s="343" t="s">
        <v>447</v>
      </c>
      <c r="B33" s="343" t="s">
        <v>446</v>
      </c>
      <c r="C33" s="343">
        <v>245</v>
      </c>
      <c r="D33" s="343">
        <v>67</v>
      </c>
      <c r="F33" s="343" t="s">
        <v>445</v>
      </c>
      <c r="G33" s="343" t="s">
        <v>444</v>
      </c>
      <c r="H33" s="343">
        <v>277</v>
      </c>
      <c r="I33" s="343">
        <v>95</v>
      </c>
    </row>
    <row r="34" spans="1:9">
      <c r="A34" s="343" t="s">
        <v>443</v>
      </c>
      <c r="B34" s="343" t="s">
        <v>442</v>
      </c>
      <c r="C34" s="343">
        <v>259</v>
      </c>
      <c r="D34" s="343">
        <v>78</v>
      </c>
      <c r="F34" s="343" t="s">
        <v>441</v>
      </c>
      <c r="G34" s="343" t="s">
        <v>440</v>
      </c>
      <c r="H34" s="343">
        <v>272</v>
      </c>
      <c r="I34" s="343">
        <v>95</v>
      </c>
    </row>
    <row r="35" spans="1:9">
      <c r="A35" s="343" t="s">
        <v>439</v>
      </c>
      <c r="B35" s="343" t="s">
        <v>438</v>
      </c>
      <c r="C35" s="343">
        <v>262</v>
      </c>
      <c r="D35" s="343">
        <v>78</v>
      </c>
      <c r="F35" s="343" t="s">
        <v>437</v>
      </c>
      <c r="G35" s="343" t="s">
        <v>436</v>
      </c>
      <c r="H35" s="343">
        <v>281</v>
      </c>
      <c r="I35" s="343">
        <v>95</v>
      </c>
    </row>
    <row r="36" spans="1:9">
      <c r="A36" s="343" t="s">
        <v>435</v>
      </c>
      <c r="B36" s="343" t="s">
        <v>434</v>
      </c>
      <c r="C36" s="343">
        <v>266</v>
      </c>
      <c r="D36" s="343">
        <v>78</v>
      </c>
      <c r="F36" s="343" t="s">
        <v>433</v>
      </c>
      <c r="G36" s="343" t="s">
        <v>432</v>
      </c>
      <c r="H36" s="343">
        <v>115</v>
      </c>
      <c r="I36" s="343">
        <v>95</v>
      </c>
    </row>
    <row r="37" spans="1:9">
      <c r="A37" s="343" t="s">
        <v>431</v>
      </c>
      <c r="B37" s="343" t="s">
        <v>430</v>
      </c>
      <c r="C37" s="343">
        <v>165</v>
      </c>
      <c r="D37" s="343">
        <v>78</v>
      </c>
      <c r="F37" s="343" t="s">
        <v>429</v>
      </c>
      <c r="G37" s="343" t="s">
        <v>428</v>
      </c>
      <c r="H37" s="343">
        <v>130</v>
      </c>
      <c r="I37" s="343">
        <v>95</v>
      </c>
    </row>
    <row r="38" spans="1:9">
      <c r="A38" s="343" t="s">
        <v>427</v>
      </c>
      <c r="B38" s="343" t="s">
        <v>426</v>
      </c>
      <c r="C38" s="343">
        <v>164</v>
      </c>
      <c r="D38" s="343">
        <v>78</v>
      </c>
      <c r="F38" s="343" t="s">
        <v>425</v>
      </c>
      <c r="G38" s="343" t="s">
        <v>424</v>
      </c>
      <c r="H38" s="343">
        <v>278</v>
      </c>
      <c r="I38" s="343">
        <v>95</v>
      </c>
    </row>
    <row r="39" spans="1:9">
      <c r="A39" s="343" t="s">
        <v>423</v>
      </c>
      <c r="B39" s="343" t="s">
        <v>422</v>
      </c>
      <c r="C39" s="343">
        <v>258</v>
      </c>
      <c r="D39" s="343">
        <v>78</v>
      </c>
      <c r="F39" s="343" t="s">
        <v>421</v>
      </c>
      <c r="G39" s="343" t="s">
        <v>420</v>
      </c>
      <c r="H39" s="343">
        <v>276</v>
      </c>
      <c r="I39" s="343">
        <v>95</v>
      </c>
    </row>
    <row r="40" spans="1:9">
      <c r="A40" s="343" t="s">
        <v>419</v>
      </c>
      <c r="B40" s="343" t="s">
        <v>418</v>
      </c>
      <c r="C40" s="343">
        <v>174</v>
      </c>
      <c r="D40" s="343">
        <v>78</v>
      </c>
      <c r="F40" s="343" t="s">
        <v>417</v>
      </c>
      <c r="G40" s="343" t="s">
        <v>416</v>
      </c>
      <c r="H40" s="343">
        <v>138</v>
      </c>
      <c r="I40" s="343">
        <v>95</v>
      </c>
    </row>
    <row r="41" spans="1:9">
      <c r="A41" s="343" t="s">
        <v>415</v>
      </c>
      <c r="B41" s="343" t="s">
        <v>414</v>
      </c>
      <c r="C41" s="343">
        <v>168</v>
      </c>
      <c r="D41" s="343">
        <v>78</v>
      </c>
      <c r="F41" s="343" t="s">
        <v>413</v>
      </c>
      <c r="G41" s="343" t="s">
        <v>412</v>
      </c>
      <c r="H41" s="343">
        <v>294</v>
      </c>
      <c r="I41" s="343">
        <v>110</v>
      </c>
    </row>
    <row r="42" spans="1:9">
      <c r="A42" s="343" t="s">
        <v>411</v>
      </c>
      <c r="B42" s="343" t="s">
        <v>410</v>
      </c>
      <c r="C42" s="343">
        <v>252</v>
      </c>
      <c r="D42" s="343">
        <v>78</v>
      </c>
      <c r="F42" s="343" t="s">
        <v>409</v>
      </c>
      <c r="G42" s="343" t="s">
        <v>408</v>
      </c>
      <c r="H42" s="343">
        <v>284</v>
      </c>
      <c r="I42" s="343">
        <v>110</v>
      </c>
    </row>
    <row r="43" spans="1:9">
      <c r="A43" s="343" t="s">
        <v>407</v>
      </c>
      <c r="B43" s="343" t="s">
        <v>406</v>
      </c>
      <c r="C43" s="343">
        <v>170</v>
      </c>
      <c r="D43" s="343">
        <v>78</v>
      </c>
      <c r="F43" s="343" t="s">
        <v>405</v>
      </c>
      <c r="G43" s="343" t="s">
        <v>404</v>
      </c>
      <c r="H43" s="343">
        <v>253</v>
      </c>
      <c r="I43" s="343">
        <v>110</v>
      </c>
    </row>
    <row r="44" spans="1:9">
      <c r="A44" s="343" t="s">
        <v>403</v>
      </c>
      <c r="B44" s="343" t="s">
        <v>402</v>
      </c>
      <c r="C44" s="343">
        <v>260</v>
      </c>
      <c r="D44" s="343">
        <v>78</v>
      </c>
      <c r="F44" s="343" t="s">
        <v>401</v>
      </c>
      <c r="G44" s="343" t="s">
        <v>400</v>
      </c>
      <c r="H44" s="343">
        <v>295</v>
      </c>
      <c r="I44" s="343">
        <v>110</v>
      </c>
    </row>
    <row r="45" spans="1:9">
      <c r="A45" s="343" t="s">
        <v>399</v>
      </c>
      <c r="B45" s="343" t="s">
        <v>398</v>
      </c>
      <c r="C45" s="343">
        <v>256</v>
      </c>
      <c r="D45" s="343">
        <v>78</v>
      </c>
      <c r="F45" s="343" t="s">
        <v>397</v>
      </c>
      <c r="G45" s="343" t="s">
        <v>396</v>
      </c>
      <c r="H45" s="343">
        <v>288</v>
      </c>
      <c r="I45" s="343">
        <v>110</v>
      </c>
    </row>
    <row r="46" spans="1:9">
      <c r="A46" s="343" t="s">
        <v>395</v>
      </c>
      <c r="B46" s="343" t="s">
        <v>394</v>
      </c>
      <c r="C46" s="343">
        <v>175</v>
      </c>
      <c r="D46" s="343">
        <v>78</v>
      </c>
      <c r="F46" s="343" t="s">
        <v>393</v>
      </c>
      <c r="G46" s="343" t="s">
        <v>392</v>
      </c>
      <c r="H46" s="343">
        <v>255</v>
      </c>
      <c r="I46" s="343">
        <v>110</v>
      </c>
    </row>
    <row r="47" spans="1:9">
      <c r="A47" s="343" t="s">
        <v>391</v>
      </c>
      <c r="B47" s="343" t="s">
        <v>390</v>
      </c>
      <c r="C47" s="343">
        <v>268</v>
      </c>
      <c r="D47" s="343">
        <v>78</v>
      </c>
      <c r="F47" s="343" t="s">
        <v>389</v>
      </c>
      <c r="G47" s="343" t="s">
        <v>388</v>
      </c>
      <c r="H47" s="343">
        <v>289</v>
      </c>
      <c r="I47" s="343">
        <v>110</v>
      </c>
    </row>
    <row r="48" spans="1:9">
      <c r="A48" s="343" t="s">
        <v>387</v>
      </c>
      <c r="B48" s="343" t="s">
        <v>386</v>
      </c>
      <c r="C48" s="343">
        <v>261</v>
      </c>
      <c r="D48" s="343">
        <v>78</v>
      </c>
      <c r="F48" s="343" t="s">
        <v>385</v>
      </c>
      <c r="G48" s="343" t="s">
        <v>384</v>
      </c>
      <c r="H48" s="343">
        <v>257</v>
      </c>
      <c r="I48" s="343">
        <v>110</v>
      </c>
    </row>
    <row r="49" spans="1:9">
      <c r="A49" s="343" t="s">
        <v>383</v>
      </c>
      <c r="B49" s="343" t="s">
        <v>382</v>
      </c>
      <c r="C49" s="343">
        <v>169</v>
      </c>
      <c r="D49" s="343">
        <v>78</v>
      </c>
      <c r="F49" s="343" t="s">
        <v>381</v>
      </c>
      <c r="G49" s="343" t="s">
        <v>380</v>
      </c>
      <c r="H49" s="343">
        <v>263</v>
      </c>
      <c r="I49" s="343">
        <v>110</v>
      </c>
    </row>
    <row r="50" spans="1:9">
      <c r="F50" s="343" t="s">
        <v>379</v>
      </c>
      <c r="G50" s="343" t="s">
        <v>378</v>
      </c>
      <c r="H50" s="343">
        <v>192</v>
      </c>
      <c r="I50" s="343">
        <v>110</v>
      </c>
    </row>
    <row r="51" spans="1:9">
      <c r="F51" s="343" t="s">
        <v>377</v>
      </c>
      <c r="G51" s="343" t="s">
        <v>376</v>
      </c>
      <c r="H51" s="343">
        <v>155</v>
      </c>
      <c r="I51" s="343">
        <v>110</v>
      </c>
    </row>
    <row r="52" spans="1:9">
      <c r="F52" s="343" t="s">
        <v>375</v>
      </c>
      <c r="G52" s="343" t="s">
        <v>374</v>
      </c>
      <c r="H52" s="343">
        <v>162</v>
      </c>
      <c r="I52" s="343">
        <v>110</v>
      </c>
    </row>
    <row r="53" spans="1:9">
      <c r="F53" s="343" t="s">
        <v>373</v>
      </c>
      <c r="G53" s="343" t="s">
        <v>372</v>
      </c>
      <c r="H53" s="343">
        <v>264</v>
      </c>
      <c r="I53" s="343">
        <v>110</v>
      </c>
    </row>
    <row r="54" spans="1:9">
      <c r="F54" s="343" t="s">
        <v>371</v>
      </c>
      <c r="G54" s="343" t="s">
        <v>370</v>
      </c>
      <c r="H54" s="343">
        <v>285</v>
      </c>
      <c r="I54" s="343">
        <v>110</v>
      </c>
    </row>
  </sheetData>
  <phoneticPr fontId="7" type="noConversion"/>
  <pageMargins left="0.7" right="0.7" top="0.75" bottom="0.75" header="0.3" footer="0.3"/>
  <pageSetup paperSize="9"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All">
    <tabColor rgb="FFC00000"/>
  </sheetPr>
  <dimension ref="B2:W54"/>
  <sheetViews>
    <sheetView zoomScaleNormal="100" workbookViewId="0">
      <selection activeCell="T16" sqref="T16"/>
    </sheetView>
  </sheetViews>
  <sheetFormatPr defaultRowHeight="16.5"/>
  <cols>
    <col min="1" max="1" width="8.88671875" style="31"/>
    <col min="2" max="2" width="5.88671875" style="30" customWidth="1"/>
    <col min="3" max="8" width="5.77734375" style="30" customWidth="1"/>
    <col min="9" max="9" width="7.44140625" style="30" customWidth="1"/>
    <col min="10" max="10" width="6.77734375" style="30" customWidth="1"/>
    <col min="11" max="11" width="5.77734375" style="30" customWidth="1"/>
    <col min="12" max="12" width="5.6640625" style="30" customWidth="1"/>
    <col min="13" max="14" width="5.77734375" style="30" customWidth="1"/>
    <col min="15" max="15" width="8.109375" style="30" customWidth="1"/>
    <col min="16" max="16" width="6.44140625" style="30" customWidth="1"/>
    <col min="17" max="17" width="12.21875" style="31" bestFit="1" customWidth="1"/>
    <col min="18" max="18" width="13" style="31" customWidth="1"/>
    <col min="19" max="19" width="17.88671875" style="31" customWidth="1"/>
    <col min="20" max="20" width="21.21875" style="31" customWidth="1"/>
    <col min="21" max="21" width="21.88671875" style="31" customWidth="1"/>
    <col min="22" max="16384" width="8.88671875" style="31"/>
  </cols>
  <sheetData>
    <row r="2" spans="2:23" ht="26.25" customHeight="1">
      <c r="B2" s="385" t="s">
        <v>736</v>
      </c>
      <c r="C2" s="360"/>
      <c r="D2" s="360"/>
      <c r="E2" s="360"/>
      <c r="F2" s="360"/>
      <c r="G2" s="360"/>
      <c r="H2" s="361"/>
      <c r="I2" s="361"/>
      <c r="J2" s="361"/>
      <c r="K2" s="361"/>
      <c r="L2" s="361"/>
      <c r="S2" s="104" t="s">
        <v>614</v>
      </c>
      <c r="T2" s="424" t="s">
        <v>738</v>
      </c>
    </row>
    <row r="3" spans="2:23" ht="17.25" thickBot="1">
      <c r="I3" s="148"/>
      <c r="J3" s="148"/>
      <c r="K3" s="148"/>
    </row>
    <row r="4" spans="2:23" s="67" customFormat="1" ht="30.75" customHeight="1">
      <c r="B4" s="416" t="s">
        <v>41</v>
      </c>
      <c r="C4" s="417" t="s">
        <v>42</v>
      </c>
      <c r="D4" s="417" t="s">
        <v>593</v>
      </c>
      <c r="E4" s="417" t="s">
        <v>594</v>
      </c>
      <c r="F4" s="417" t="s">
        <v>595</v>
      </c>
      <c r="G4" s="417" t="s">
        <v>596</v>
      </c>
      <c r="H4" s="417" t="s">
        <v>597</v>
      </c>
      <c r="I4" s="417" t="s">
        <v>598</v>
      </c>
      <c r="J4" s="417" t="s">
        <v>599</v>
      </c>
      <c r="K4" s="417" t="s">
        <v>600</v>
      </c>
      <c r="L4" s="417" t="s">
        <v>601</v>
      </c>
      <c r="M4" s="417" t="s">
        <v>602</v>
      </c>
      <c r="N4" s="418" t="s">
        <v>603</v>
      </c>
      <c r="O4" s="419" t="s">
        <v>44</v>
      </c>
      <c r="P4" s="418" t="s">
        <v>45</v>
      </c>
      <c r="S4" s="425" t="s">
        <v>589</v>
      </c>
      <c r="T4" s="426" t="s">
        <v>590</v>
      </c>
    </row>
    <row r="5" spans="2:23" ht="22.5" customHeight="1">
      <c r="B5" s="362">
        <v>1994</v>
      </c>
      <c r="C5" s="363">
        <v>6.5</v>
      </c>
      <c r="D5" s="363">
        <v>14.8</v>
      </c>
      <c r="E5" s="363">
        <v>31.7</v>
      </c>
      <c r="F5" s="363">
        <v>44.9</v>
      </c>
      <c r="G5" s="363">
        <v>152.4</v>
      </c>
      <c r="H5" s="363">
        <v>85</v>
      </c>
      <c r="I5" s="363">
        <v>139.5</v>
      </c>
      <c r="J5" s="364">
        <v>232.7</v>
      </c>
      <c r="K5" s="363">
        <v>60.7</v>
      </c>
      <c r="L5" s="363">
        <v>214.5</v>
      </c>
      <c r="M5" s="363">
        <v>49.6</v>
      </c>
      <c r="N5" s="365">
        <v>23.5</v>
      </c>
      <c r="O5" s="346">
        <f>ROUND(SUM(C5:N5),1)</f>
        <v>1055.8</v>
      </c>
      <c r="P5" s="347">
        <f>ROUND(O5/12,1)</f>
        <v>88</v>
      </c>
      <c r="Q5" s="68"/>
      <c r="R5" s="133"/>
      <c r="S5" s="344" t="s">
        <v>734</v>
      </c>
      <c r="T5" s="345" t="s">
        <v>735</v>
      </c>
      <c r="V5" s="133"/>
      <c r="W5" s="132"/>
    </row>
    <row r="6" spans="2:23" ht="22.5" customHeight="1" thickBot="1">
      <c r="B6" s="61">
        <v>1995</v>
      </c>
      <c r="C6" s="366">
        <v>11.6</v>
      </c>
      <c r="D6" s="366">
        <v>5.2</v>
      </c>
      <c r="E6" s="366">
        <v>60.6</v>
      </c>
      <c r="F6" s="366">
        <v>44.4</v>
      </c>
      <c r="G6" s="366">
        <v>60.6</v>
      </c>
      <c r="H6" s="366">
        <v>70.7</v>
      </c>
      <c r="I6" s="366">
        <v>436.1</v>
      </c>
      <c r="J6" s="367">
        <v>786.6</v>
      </c>
      <c r="K6" s="366">
        <v>47.2</v>
      </c>
      <c r="L6" s="366">
        <v>39.299999999999997</v>
      </c>
      <c r="M6" s="366">
        <v>32.9</v>
      </c>
      <c r="N6" s="368">
        <v>3.4</v>
      </c>
      <c r="O6" s="348">
        <f t="shared" ref="O6:O34" si="0">ROUND(SUM(C6:N6),1)</f>
        <v>1598.6</v>
      </c>
      <c r="P6" s="349">
        <f t="shared" ref="P6:P34" si="1">ROUND(O6/12,1)</f>
        <v>133.19999999999999</v>
      </c>
      <c r="Q6" s="68"/>
      <c r="R6" s="133"/>
      <c r="S6" s="648" t="str">
        <f>VLOOKUP(S5, tblLocation[], 2, FALSE)</f>
        <v>Table1</v>
      </c>
      <c r="T6" s="399" t="str">
        <f ca="1">IFERROR(UPPER(VLOOKUP(T5, INDIRECT(S6), 2,0)), " 지역설정")</f>
        <v>SEOUL</v>
      </c>
      <c r="V6" s="133"/>
      <c r="W6" s="132"/>
    </row>
    <row r="7" spans="2:23" ht="22.5" customHeight="1">
      <c r="B7" s="61">
        <v>1996</v>
      </c>
      <c r="C7" s="366">
        <v>16.3</v>
      </c>
      <c r="D7" s="366">
        <v>1</v>
      </c>
      <c r="E7" s="366">
        <v>77.900000000000006</v>
      </c>
      <c r="F7" s="366">
        <v>62</v>
      </c>
      <c r="G7" s="366">
        <v>29.3</v>
      </c>
      <c r="H7" s="366">
        <v>249.7</v>
      </c>
      <c r="I7" s="366">
        <v>512.79999999999995</v>
      </c>
      <c r="J7" s="366">
        <v>132.4</v>
      </c>
      <c r="K7" s="366">
        <v>11</v>
      </c>
      <c r="L7" s="366">
        <v>90.3</v>
      </c>
      <c r="M7" s="366">
        <v>62.9</v>
      </c>
      <c r="N7" s="368">
        <v>11</v>
      </c>
      <c r="O7" s="348">
        <f t="shared" si="0"/>
        <v>1256.5999999999999</v>
      </c>
      <c r="P7" s="349">
        <f t="shared" si="1"/>
        <v>104.7</v>
      </c>
      <c r="Q7" s="68"/>
      <c r="R7" s="133"/>
      <c r="T7"/>
      <c r="V7" s="133"/>
      <c r="W7" s="132"/>
    </row>
    <row r="8" spans="2:23" ht="22.5" customHeight="1">
      <c r="B8" s="61">
        <v>1997</v>
      </c>
      <c r="C8" s="366">
        <v>16.8</v>
      </c>
      <c r="D8" s="366">
        <v>39.6</v>
      </c>
      <c r="E8" s="366">
        <v>25.3</v>
      </c>
      <c r="F8" s="366">
        <v>56.1</v>
      </c>
      <c r="G8" s="366">
        <v>291.3</v>
      </c>
      <c r="H8" s="366">
        <v>110</v>
      </c>
      <c r="I8" s="366">
        <v>299.60000000000002</v>
      </c>
      <c r="J8" s="366">
        <v>117.2</v>
      </c>
      <c r="K8" s="366">
        <v>76.900000000000006</v>
      </c>
      <c r="L8" s="366">
        <v>45.5</v>
      </c>
      <c r="M8" s="366">
        <v>93.8</v>
      </c>
      <c r="N8" s="368">
        <v>38.1</v>
      </c>
      <c r="O8" s="348">
        <f t="shared" si="0"/>
        <v>1210.2</v>
      </c>
      <c r="P8" s="349">
        <f t="shared" si="1"/>
        <v>100.9</v>
      </c>
      <c r="Q8" s="68"/>
      <c r="T8"/>
      <c r="V8" s="133"/>
      <c r="W8" s="132"/>
    </row>
    <row r="9" spans="2:23" ht="22.5" customHeight="1">
      <c r="B9" s="61">
        <v>1998</v>
      </c>
      <c r="C9" s="366">
        <v>10.4</v>
      </c>
      <c r="D9" s="366">
        <v>32.299999999999997</v>
      </c>
      <c r="E9" s="366">
        <v>45.1</v>
      </c>
      <c r="F9" s="366">
        <v>120.2</v>
      </c>
      <c r="G9" s="366">
        <v>121.5</v>
      </c>
      <c r="H9" s="366">
        <v>234.1</v>
      </c>
      <c r="I9" s="366">
        <v>311.8</v>
      </c>
      <c r="J9" s="366">
        <v>1237.8</v>
      </c>
      <c r="K9" s="366">
        <v>177.9</v>
      </c>
      <c r="L9" s="366">
        <v>27.4</v>
      </c>
      <c r="M9" s="366">
        <v>26.9</v>
      </c>
      <c r="N9" s="368">
        <v>3.7</v>
      </c>
      <c r="O9" s="348">
        <f t="shared" si="0"/>
        <v>2349.1</v>
      </c>
      <c r="P9" s="349">
        <f t="shared" si="1"/>
        <v>195.8</v>
      </c>
      <c r="Q9" s="68"/>
      <c r="R9" s="133"/>
      <c r="S9" s="132"/>
      <c r="T9" s="133"/>
      <c r="U9" s="132"/>
      <c r="V9" s="133"/>
      <c r="W9" s="132"/>
    </row>
    <row r="10" spans="2:23" ht="22.5" customHeight="1">
      <c r="B10" s="61">
        <v>1999</v>
      </c>
      <c r="C10" s="366">
        <v>10.199999999999999</v>
      </c>
      <c r="D10" s="366">
        <v>2.9</v>
      </c>
      <c r="E10" s="366">
        <v>55</v>
      </c>
      <c r="F10" s="366">
        <v>97.2</v>
      </c>
      <c r="G10" s="366">
        <v>109.7</v>
      </c>
      <c r="H10" s="366">
        <v>131.80000000000001</v>
      </c>
      <c r="I10" s="366">
        <v>230.4</v>
      </c>
      <c r="J10" s="366">
        <v>600.5</v>
      </c>
      <c r="K10" s="366">
        <v>377.3</v>
      </c>
      <c r="L10" s="366">
        <v>81.599999999999994</v>
      </c>
      <c r="M10" s="366">
        <v>19.5</v>
      </c>
      <c r="N10" s="368">
        <v>17</v>
      </c>
      <c r="O10" s="348">
        <f t="shared" si="0"/>
        <v>1733.1</v>
      </c>
      <c r="P10" s="349">
        <f t="shared" si="1"/>
        <v>144.4</v>
      </c>
      <c r="Q10" s="68"/>
      <c r="R10" s="133"/>
      <c r="S10" s="132"/>
      <c r="T10" s="133"/>
      <c r="U10" s="132"/>
      <c r="V10" s="133"/>
      <c r="W10" s="132"/>
    </row>
    <row r="11" spans="2:23" ht="22.5" customHeight="1">
      <c r="B11" s="61">
        <v>2000</v>
      </c>
      <c r="C11" s="366">
        <v>42.8</v>
      </c>
      <c r="D11" s="366">
        <v>2.1</v>
      </c>
      <c r="E11" s="366">
        <v>3.1</v>
      </c>
      <c r="F11" s="366">
        <v>30.7</v>
      </c>
      <c r="G11" s="366">
        <v>75.2</v>
      </c>
      <c r="H11" s="366">
        <v>68.099999999999994</v>
      </c>
      <c r="I11" s="366">
        <v>114.7</v>
      </c>
      <c r="J11" s="366">
        <v>599.4</v>
      </c>
      <c r="K11" s="366">
        <v>178.5</v>
      </c>
      <c r="L11" s="366">
        <v>18.100000000000001</v>
      </c>
      <c r="M11" s="366">
        <v>27.1</v>
      </c>
      <c r="N11" s="368">
        <v>27</v>
      </c>
      <c r="O11" s="348">
        <f t="shared" si="0"/>
        <v>1186.8</v>
      </c>
      <c r="P11" s="349">
        <f t="shared" si="1"/>
        <v>98.9</v>
      </c>
      <c r="R11" s="133"/>
      <c r="S11" s="132"/>
      <c r="T11" s="133"/>
      <c r="U11" s="132"/>
      <c r="V11" s="133"/>
      <c r="W11" s="132"/>
    </row>
    <row r="12" spans="2:23" ht="22.5" customHeight="1">
      <c r="B12" s="61">
        <v>2001</v>
      </c>
      <c r="C12" s="366">
        <v>39.4</v>
      </c>
      <c r="D12" s="366">
        <v>45.7</v>
      </c>
      <c r="E12" s="366">
        <v>18.100000000000001</v>
      </c>
      <c r="F12" s="366">
        <v>12.3</v>
      </c>
      <c r="G12" s="366">
        <v>16.5</v>
      </c>
      <c r="H12" s="366">
        <v>157.4</v>
      </c>
      <c r="I12" s="366">
        <v>698.4</v>
      </c>
      <c r="J12" s="366">
        <v>252</v>
      </c>
      <c r="K12" s="366">
        <v>49.3</v>
      </c>
      <c r="L12" s="366">
        <v>68.2</v>
      </c>
      <c r="M12" s="366">
        <v>13</v>
      </c>
      <c r="N12" s="368">
        <v>15.7</v>
      </c>
      <c r="O12" s="348">
        <f t="shared" si="0"/>
        <v>1386</v>
      </c>
      <c r="P12" s="349">
        <f t="shared" si="1"/>
        <v>115.5</v>
      </c>
      <c r="R12" s="133"/>
      <c r="S12" s="132"/>
      <c r="T12" s="133"/>
      <c r="U12" s="132"/>
      <c r="V12" s="133"/>
      <c r="W12" s="132"/>
    </row>
    <row r="13" spans="2:23" ht="22.5" customHeight="1">
      <c r="B13" s="61">
        <v>2002</v>
      </c>
      <c r="C13" s="366">
        <v>37.4</v>
      </c>
      <c r="D13" s="366">
        <v>2.4</v>
      </c>
      <c r="E13" s="366">
        <v>31.5</v>
      </c>
      <c r="F13" s="366">
        <v>155.1</v>
      </c>
      <c r="G13" s="366">
        <v>58</v>
      </c>
      <c r="H13" s="366">
        <v>61.4</v>
      </c>
      <c r="I13" s="366">
        <v>220.6</v>
      </c>
      <c r="J13" s="366">
        <v>688</v>
      </c>
      <c r="K13" s="366">
        <v>61.1</v>
      </c>
      <c r="L13" s="366">
        <v>45</v>
      </c>
      <c r="M13" s="366">
        <v>12.5</v>
      </c>
      <c r="N13" s="368">
        <v>15</v>
      </c>
      <c r="O13" s="348">
        <f t="shared" si="0"/>
        <v>1388</v>
      </c>
      <c r="P13" s="349">
        <f t="shared" si="1"/>
        <v>115.7</v>
      </c>
      <c r="R13" s="133"/>
      <c r="S13" s="132"/>
      <c r="T13" s="133"/>
      <c r="U13" s="132"/>
      <c r="V13" s="133"/>
      <c r="W13" s="132"/>
    </row>
    <row r="14" spans="2:23" ht="22.5" customHeight="1">
      <c r="B14" s="61">
        <v>2003</v>
      </c>
      <c r="C14" s="366">
        <v>14.1</v>
      </c>
      <c r="D14" s="366">
        <v>39.6</v>
      </c>
      <c r="E14" s="366">
        <v>26.8</v>
      </c>
      <c r="F14" s="366">
        <v>139.6</v>
      </c>
      <c r="G14" s="366">
        <v>106</v>
      </c>
      <c r="H14" s="366">
        <v>156</v>
      </c>
      <c r="I14" s="366">
        <v>469.8</v>
      </c>
      <c r="J14" s="366">
        <v>684.2</v>
      </c>
      <c r="K14" s="366">
        <v>258.2</v>
      </c>
      <c r="L14" s="366">
        <v>41.5</v>
      </c>
      <c r="M14" s="366">
        <v>69.3</v>
      </c>
      <c r="N14" s="368">
        <v>6.9</v>
      </c>
      <c r="O14" s="348">
        <f t="shared" si="0"/>
        <v>2012</v>
      </c>
      <c r="P14" s="349">
        <f t="shared" si="1"/>
        <v>167.7</v>
      </c>
      <c r="R14" s="133"/>
      <c r="S14" s="132"/>
      <c r="T14" s="133"/>
      <c r="U14" s="132"/>
      <c r="V14" s="133"/>
      <c r="W14" s="132"/>
    </row>
    <row r="15" spans="2:23" ht="22.5" customHeight="1">
      <c r="B15" s="61">
        <v>2004</v>
      </c>
      <c r="C15" s="366">
        <v>19.8</v>
      </c>
      <c r="D15" s="366">
        <v>54.6</v>
      </c>
      <c r="E15" s="366">
        <v>27.6</v>
      </c>
      <c r="F15" s="366">
        <v>74.099999999999994</v>
      </c>
      <c r="G15" s="366">
        <v>168.5</v>
      </c>
      <c r="H15" s="366">
        <v>138.1</v>
      </c>
      <c r="I15" s="366">
        <v>510.7</v>
      </c>
      <c r="J15" s="366">
        <v>193.3</v>
      </c>
      <c r="K15" s="366">
        <v>198.7</v>
      </c>
      <c r="L15" s="366">
        <v>6.5</v>
      </c>
      <c r="M15" s="366">
        <v>80</v>
      </c>
      <c r="N15" s="368">
        <v>27.2</v>
      </c>
      <c r="O15" s="348">
        <f t="shared" si="0"/>
        <v>1499.1</v>
      </c>
      <c r="P15" s="349">
        <f t="shared" si="1"/>
        <v>124.9</v>
      </c>
    </row>
    <row r="16" spans="2:23" ht="22.5" customHeight="1">
      <c r="B16" s="61">
        <v>2005</v>
      </c>
      <c r="C16" s="366">
        <v>4.5</v>
      </c>
      <c r="D16" s="366">
        <v>17.2</v>
      </c>
      <c r="E16" s="366">
        <v>12.5</v>
      </c>
      <c r="F16" s="366">
        <v>94.7</v>
      </c>
      <c r="G16" s="366">
        <v>85.8</v>
      </c>
      <c r="H16" s="366">
        <v>168.5</v>
      </c>
      <c r="I16" s="366">
        <v>269.39999999999998</v>
      </c>
      <c r="J16" s="366">
        <v>285</v>
      </c>
      <c r="K16" s="366">
        <v>313.3</v>
      </c>
      <c r="L16" s="366">
        <v>52.6</v>
      </c>
      <c r="M16" s="366">
        <v>44.6</v>
      </c>
      <c r="N16" s="368">
        <v>10.3</v>
      </c>
      <c r="O16" s="348">
        <f t="shared" si="0"/>
        <v>1358.4</v>
      </c>
      <c r="P16" s="349">
        <f t="shared" si="1"/>
        <v>113.2</v>
      </c>
    </row>
    <row r="17" spans="2:16" ht="22.5" customHeight="1">
      <c r="B17" s="61">
        <v>2006</v>
      </c>
      <c r="C17" s="366">
        <v>34.299999999999997</v>
      </c>
      <c r="D17" s="366">
        <v>15.7</v>
      </c>
      <c r="E17" s="366">
        <v>14</v>
      </c>
      <c r="F17" s="366">
        <v>51.8</v>
      </c>
      <c r="G17" s="366">
        <v>156.19999999999999</v>
      </c>
      <c r="H17" s="366">
        <v>168.5</v>
      </c>
      <c r="I17" s="366">
        <v>1014</v>
      </c>
      <c r="J17" s="366">
        <v>121.2</v>
      </c>
      <c r="K17" s="366">
        <v>11.1</v>
      </c>
      <c r="L17" s="366">
        <v>30.2</v>
      </c>
      <c r="M17" s="366">
        <v>47.6</v>
      </c>
      <c r="N17" s="368">
        <v>17.3</v>
      </c>
      <c r="O17" s="348">
        <f t="shared" si="0"/>
        <v>1681.9</v>
      </c>
      <c r="P17" s="349">
        <f t="shared" si="1"/>
        <v>140.19999999999999</v>
      </c>
    </row>
    <row r="18" spans="2:16" ht="22.5" customHeight="1">
      <c r="B18" s="61">
        <v>2007</v>
      </c>
      <c r="C18" s="366">
        <v>10.8</v>
      </c>
      <c r="D18" s="366">
        <v>12.6</v>
      </c>
      <c r="E18" s="366">
        <v>123.5</v>
      </c>
      <c r="F18" s="366">
        <v>41.1</v>
      </c>
      <c r="G18" s="366">
        <v>137.6</v>
      </c>
      <c r="H18" s="366">
        <v>54.5</v>
      </c>
      <c r="I18" s="366">
        <v>274.10000000000002</v>
      </c>
      <c r="J18" s="366">
        <v>237.6</v>
      </c>
      <c r="K18" s="366">
        <v>241.9</v>
      </c>
      <c r="L18" s="366">
        <v>39.5</v>
      </c>
      <c r="M18" s="366">
        <v>26.4</v>
      </c>
      <c r="N18" s="368">
        <v>12.7</v>
      </c>
      <c r="O18" s="348">
        <f t="shared" si="0"/>
        <v>1212.3</v>
      </c>
      <c r="P18" s="349">
        <f t="shared" si="1"/>
        <v>101</v>
      </c>
    </row>
    <row r="19" spans="2:16" ht="22.5" customHeight="1">
      <c r="B19" s="61">
        <v>2008</v>
      </c>
      <c r="C19" s="366">
        <v>17.7</v>
      </c>
      <c r="D19" s="366">
        <v>15</v>
      </c>
      <c r="E19" s="366">
        <v>53.9</v>
      </c>
      <c r="F19" s="366">
        <v>38.5</v>
      </c>
      <c r="G19" s="366">
        <v>97.7</v>
      </c>
      <c r="H19" s="366">
        <v>165</v>
      </c>
      <c r="I19" s="366">
        <v>530.79999999999995</v>
      </c>
      <c r="J19" s="366">
        <v>251.2</v>
      </c>
      <c r="K19" s="366">
        <v>99.2</v>
      </c>
      <c r="L19" s="366">
        <v>41.8</v>
      </c>
      <c r="M19" s="366">
        <v>19.600000000000001</v>
      </c>
      <c r="N19" s="368">
        <v>25.9</v>
      </c>
      <c r="O19" s="348">
        <f t="shared" si="0"/>
        <v>1356.3</v>
      </c>
      <c r="P19" s="349">
        <f t="shared" si="1"/>
        <v>113</v>
      </c>
    </row>
    <row r="20" spans="2:16" ht="22.5" customHeight="1">
      <c r="B20" s="61">
        <v>2009</v>
      </c>
      <c r="C20" s="366">
        <v>5.7</v>
      </c>
      <c r="D20" s="366">
        <v>36.9</v>
      </c>
      <c r="E20" s="366">
        <v>63.9</v>
      </c>
      <c r="F20" s="366">
        <v>66.5</v>
      </c>
      <c r="G20" s="366">
        <v>109</v>
      </c>
      <c r="H20" s="366">
        <v>132</v>
      </c>
      <c r="I20" s="366">
        <v>659.4</v>
      </c>
      <c r="J20" s="366">
        <v>285.3</v>
      </c>
      <c r="K20" s="366">
        <v>64.5</v>
      </c>
      <c r="L20" s="366">
        <v>66.900000000000006</v>
      </c>
      <c r="M20" s="366">
        <v>52.4</v>
      </c>
      <c r="N20" s="368">
        <v>21.5</v>
      </c>
      <c r="O20" s="348">
        <f t="shared" si="0"/>
        <v>1564</v>
      </c>
      <c r="P20" s="349">
        <f t="shared" si="1"/>
        <v>130.30000000000001</v>
      </c>
    </row>
    <row r="21" spans="2:16" ht="22.5" customHeight="1">
      <c r="B21" s="61">
        <v>2010</v>
      </c>
      <c r="C21" s="366">
        <v>29.3</v>
      </c>
      <c r="D21" s="366">
        <v>55.3</v>
      </c>
      <c r="E21" s="366">
        <v>82.5</v>
      </c>
      <c r="F21" s="366">
        <v>62.8</v>
      </c>
      <c r="G21" s="366">
        <v>124</v>
      </c>
      <c r="H21" s="366">
        <v>127.6</v>
      </c>
      <c r="I21" s="366">
        <v>239.2</v>
      </c>
      <c r="J21" s="366">
        <v>598.70000000000005</v>
      </c>
      <c r="K21" s="366">
        <v>671.5</v>
      </c>
      <c r="L21" s="366">
        <v>25.6</v>
      </c>
      <c r="M21" s="366">
        <v>10.9</v>
      </c>
      <c r="N21" s="368">
        <v>16.100000000000001</v>
      </c>
      <c r="O21" s="348">
        <f t="shared" si="0"/>
        <v>2043.5</v>
      </c>
      <c r="P21" s="349">
        <f t="shared" si="1"/>
        <v>170.3</v>
      </c>
    </row>
    <row r="22" spans="2:16" ht="22.5" customHeight="1">
      <c r="B22" s="61">
        <v>2011</v>
      </c>
      <c r="C22" s="366">
        <v>8.9</v>
      </c>
      <c r="D22" s="366">
        <v>29.1</v>
      </c>
      <c r="E22" s="366">
        <v>14.6</v>
      </c>
      <c r="F22" s="366">
        <v>110.1</v>
      </c>
      <c r="G22" s="366">
        <v>53.4</v>
      </c>
      <c r="H22" s="366">
        <v>404.5</v>
      </c>
      <c r="I22" s="366">
        <v>1131</v>
      </c>
      <c r="J22" s="366">
        <v>166.8</v>
      </c>
      <c r="K22" s="366">
        <v>25.6</v>
      </c>
      <c r="L22" s="366">
        <v>32</v>
      </c>
      <c r="M22" s="366">
        <v>56.2</v>
      </c>
      <c r="N22" s="368">
        <v>7.1</v>
      </c>
      <c r="O22" s="348">
        <f t="shared" si="0"/>
        <v>2039.3</v>
      </c>
      <c r="P22" s="349">
        <f t="shared" si="1"/>
        <v>169.9</v>
      </c>
    </row>
    <row r="23" spans="2:16" ht="22.5" customHeight="1">
      <c r="B23" s="61">
        <v>2012</v>
      </c>
      <c r="C23" s="366">
        <v>6.7</v>
      </c>
      <c r="D23" s="366">
        <v>0.8</v>
      </c>
      <c r="E23" s="366">
        <v>47.4</v>
      </c>
      <c r="F23" s="366">
        <v>157</v>
      </c>
      <c r="G23" s="366">
        <v>8.1999999999999993</v>
      </c>
      <c r="H23" s="366">
        <v>91.9</v>
      </c>
      <c r="I23" s="366">
        <v>448.9</v>
      </c>
      <c r="J23" s="366">
        <v>464.9</v>
      </c>
      <c r="K23" s="366">
        <v>212</v>
      </c>
      <c r="L23" s="366">
        <v>99.3</v>
      </c>
      <c r="M23" s="366">
        <v>67.8</v>
      </c>
      <c r="N23" s="368">
        <v>41.4</v>
      </c>
      <c r="O23" s="348">
        <f t="shared" si="0"/>
        <v>1646.3</v>
      </c>
      <c r="P23" s="349">
        <f t="shared" si="1"/>
        <v>137.19999999999999</v>
      </c>
    </row>
    <row r="24" spans="2:16" ht="22.5" customHeight="1">
      <c r="B24" s="61">
        <v>2013</v>
      </c>
      <c r="C24" s="366">
        <v>22.1</v>
      </c>
      <c r="D24" s="366">
        <v>74.099999999999994</v>
      </c>
      <c r="E24" s="366">
        <v>27.3</v>
      </c>
      <c r="F24" s="366">
        <v>71.7</v>
      </c>
      <c r="G24" s="366">
        <v>132</v>
      </c>
      <c r="H24" s="366">
        <v>28.3</v>
      </c>
      <c r="I24" s="366">
        <v>676.2</v>
      </c>
      <c r="J24" s="366">
        <v>148.6</v>
      </c>
      <c r="K24" s="366">
        <v>138.5</v>
      </c>
      <c r="L24" s="366">
        <v>13.5</v>
      </c>
      <c r="M24" s="366">
        <v>46.8</v>
      </c>
      <c r="N24" s="368">
        <v>24.7</v>
      </c>
      <c r="O24" s="348">
        <f t="shared" si="0"/>
        <v>1403.8</v>
      </c>
      <c r="P24" s="349">
        <f t="shared" si="1"/>
        <v>117</v>
      </c>
    </row>
    <row r="25" spans="2:16" ht="22.5" customHeight="1">
      <c r="B25" s="61">
        <v>2014</v>
      </c>
      <c r="C25" s="366">
        <v>13</v>
      </c>
      <c r="D25" s="366">
        <v>16.2</v>
      </c>
      <c r="E25" s="366">
        <v>7.2</v>
      </c>
      <c r="F25" s="366">
        <v>31</v>
      </c>
      <c r="G25" s="366">
        <v>63</v>
      </c>
      <c r="H25" s="366">
        <v>98.1</v>
      </c>
      <c r="I25" s="366">
        <v>207.9</v>
      </c>
      <c r="J25" s="366">
        <v>172.8</v>
      </c>
      <c r="K25" s="366">
        <v>88.1</v>
      </c>
      <c r="L25" s="366">
        <v>52.2</v>
      </c>
      <c r="M25" s="366">
        <v>41.5</v>
      </c>
      <c r="N25" s="368">
        <v>17.899999999999999</v>
      </c>
      <c r="O25" s="348">
        <f t="shared" si="0"/>
        <v>808.9</v>
      </c>
      <c r="P25" s="349">
        <f t="shared" si="1"/>
        <v>67.400000000000006</v>
      </c>
    </row>
    <row r="26" spans="2:16" ht="22.5" customHeight="1">
      <c r="B26" s="61">
        <v>2015</v>
      </c>
      <c r="C26" s="366">
        <v>11.3</v>
      </c>
      <c r="D26" s="366">
        <v>22.7</v>
      </c>
      <c r="E26" s="366">
        <v>9.6</v>
      </c>
      <c r="F26" s="366">
        <v>80.5</v>
      </c>
      <c r="G26" s="366">
        <v>28.9</v>
      </c>
      <c r="H26" s="366">
        <v>99</v>
      </c>
      <c r="I26" s="366">
        <v>226</v>
      </c>
      <c r="J26" s="366">
        <v>72.900000000000006</v>
      </c>
      <c r="K26" s="366">
        <v>26</v>
      </c>
      <c r="L26" s="366">
        <v>81.5</v>
      </c>
      <c r="M26" s="366">
        <v>104.6</v>
      </c>
      <c r="N26" s="368">
        <v>29.1</v>
      </c>
      <c r="O26" s="348">
        <f t="shared" si="0"/>
        <v>792.1</v>
      </c>
      <c r="P26" s="349">
        <f t="shared" si="1"/>
        <v>66</v>
      </c>
    </row>
    <row r="27" spans="2:16" ht="22.5" customHeight="1">
      <c r="B27" s="61">
        <v>2016</v>
      </c>
      <c r="C27" s="366">
        <v>1</v>
      </c>
      <c r="D27" s="366">
        <v>47.6</v>
      </c>
      <c r="E27" s="366">
        <v>40.5</v>
      </c>
      <c r="F27" s="366">
        <v>76.8</v>
      </c>
      <c r="G27" s="366">
        <v>160.5</v>
      </c>
      <c r="H27" s="366">
        <v>54.4</v>
      </c>
      <c r="I27" s="366">
        <v>358.2</v>
      </c>
      <c r="J27" s="366">
        <v>67.099999999999994</v>
      </c>
      <c r="K27" s="366">
        <v>33</v>
      </c>
      <c r="L27" s="366">
        <v>74.8</v>
      </c>
      <c r="M27" s="366">
        <v>16.7</v>
      </c>
      <c r="N27" s="368">
        <v>61.1</v>
      </c>
      <c r="O27" s="348">
        <f t="shared" si="0"/>
        <v>991.7</v>
      </c>
      <c r="P27" s="349">
        <f t="shared" si="1"/>
        <v>82.6</v>
      </c>
    </row>
    <row r="28" spans="2:16" ht="22.5" customHeight="1">
      <c r="B28" s="61">
        <v>2017</v>
      </c>
      <c r="C28" s="366">
        <v>14.9</v>
      </c>
      <c r="D28" s="366">
        <v>11.1</v>
      </c>
      <c r="E28" s="366">
        <v>7.9</v>
      </c>
      <c r="F28" s="366">
        <v>61.6</v>
      </c>
      <c r="G28" s="366">
        <v>16.100000000000001</v>
      </c>
      <c r="H28" s="366">
        <v>66.599999999999994</v>
      </c>
      <c r="I28" s="366">
        <v>621</v>
      </c>
      <c r="J28" s="366">
        <v>297</v>
      </c>
      <c r="K28" s="366">
        <v>35</v>
      </c>
      <c r="L28" s="366">
        <v>26.5</v>
      </c>
      <c r="M28" s="366">
        <v>40.700000000000003</v>
      </c>
      <c r="N28" s="368">
        <v>34.799999999999997</v>
      </c>
      <c r="O28" s="348">
        <f t="shared" si="0"/>
        <v>1233.2</v>
      </c>
      <c r="P28" s="349">
        <f t="shared" si="1"/>
        <v>102.8</v>
      </c>
    </row>
    <row r="29" spans="2:16" ht="22.5" customHeight="1">
      <c r="B29" s="61">
        <v>2018</v>
      </c>
      <c r="C29" s="366">
        <v>8.5</v>
      </c>
      <c r="D29" s="366">
        <v>29.6</v>
      </c>
      <c r="E29" s="366">
        <v>49.5</v>
      </c>
      <c r="F29" s="366">
        <v>130.30000000000001</v>
      </c>
      <c r="G29" s="366">
        <v>222</v>
      </c>
      <c r="H29" s="366">
        <v>171.5</v>
      </c>
      <c r="I29" s="366">
        <v>185.6</v>
      </c>
      <c r="J29" s="366">
        <v>202.6</v>
      </c>
      <c r="K29" s="366">
        <v>68.5</v>
      </c>
      <c r="L29" s="366">
        <v>120.5</v>
      </c>
      <c r="M29" s="366">
        <v>79.099999999999994</v>
      </c>
      <c r="N29" s="368">
        <v>16.399999999999999</v>
      </c>
      <c r="O29" s="348">
        <f t="shared" si="0"/>
        <v>1284.0999999999999</v>
      </c>
      <c r="P29" s="349">
        <f t="shared" si="1"/>
        <v>107</v>
      </c>
    </row>
    <row r="30" spans="2:16" ht="22.5" customHeight="1">
      <c r="B30" s="61">
        <v>2019</v>
      </c>
      <c r="C30" s="366">
        <v>0</v>
      </c>
      <c r="D30" s="366">
        <v>23.8</v>
      </c>
      <c r="E30" s="366">
        <v>26.8</v>
      </c>
      <c r="F30" s="366">
        <v>47.3</v>
      </c>
      <c r="G30" s="366">
        <v>37.799999999999997</v>
      </c>
      <c r="H30" s="366">
        <v>74</v>
      </c>
      <c r="I30" s="366">
        <v>194.4</v>
      </c>
      <c r="J30" s="366">
        <v>190.5</v>
      </c>
      <c r="K30" s="366">
        <v>139.80000000000001</v>
      </c>
      <c r="L30" s="366">
        <v>55.5</v>
      </c>
      <c r="M30" s="366">
        <v>78.8</v>
      </c>
      <c r="N30" s="368">
        <v>22.6</v>
      </c>
      <c r="O30" s="348">
        <f t="shared" si="0"/>
        <v>891.3</v>
      </c>
      <c r="P30" s="349">
        <f t="shared" si="1"/>
        <v>74.3</v>
      </c>
    </row>
    <row r="31" spans="2:16" ht="22.5" customHeight="1">
      <c r="B31" s="61">
        <v>2020</v>
      </c>
      <c r="C31" s="366">
        <v>60.5</v>
      </c>
      <c r="D31" s="366">
        <v>53.1</v>
      </c>
      <c r="E31" s="366">
        <v>16.3</v>
      </c>
      <c r="F31" s="366">
        <v>16.899999999999999</v>
      </c>
      <c r="G31" s="366">
        <v>112.4</v>
      </c>
      <c r="H31" s="366">
        <v>139.6</v>
      </c>
      <c r="I31" s="366">
        <v>270.39999999999998</v>
      </c>
      <c r="J31" s="366">
        <v>675.7</v>
      </c>
      <c r="K31" s="366">
        <v>181.5</v>
      </c>
      <c r="L31" s="366">
        <v>0</v>
      </c>
      <c r="M31" s="366">
        <v>120.1</v>
      </c>
      <c r="N31" s="368">
        <v>4.5999999999999996</v>
      </c>
      <c r="O31" s="348">
        <f t="shared" si="0"/>
        <v>1651.1</v>
      </c>
      <c r="P31" s="349">
        <f t="shared" si="1"/>
        <v>137.6</v>
      </c>
    </row>
    <row r="32" spans="2:16" ht="22.5" customHeight="1">
      <c r="B32" s="61">
        <v>2021</v>
      </c>
      <c r="C32" s="366">
        <v>18.899999999999999</v>
      </c>
      <c r="D32" s="366">
        <v>7.1</v>
      </c>
      <c r="E32" s="366">
        <v>110.9</v>
      </c>
      <c r="F32" s="366">
        <v>124.1</v>
      </c>
      <c r="G32" s="366">
        <v>183.1</v>
      </c>
      <c r="H32" s="366">
        <v>104.6</v>
      </c>
      <c r="I32" s="366">
        <v>168.3</v>
      </c>
      <c r="J32" s="366">
        <v>211.2</v>
      </c>
      <c r="K32" s="366">
        <v>131</v>
      </c>
      <c r="L32" s="366">
        <v>57</v>
      </c>
      <c r="M32" s="366">
        <v>62.4</v>
      </c>
      <c r="N32" s="368">
        <v>7.9</v>
      </c>
      <c r="O32" s="348">
        <f t="shared" si="0"/>
        <v>1186.5</v>
      </c>
      <c r="P32" s="349">
        <f t="shared" si="1"/>
        <v>98.9</v>
      </c>
    </row>
    <row r="33" spans="2:16" ht="22.5" customHeight="1">
      <c r="B33" s="61">
        <v>2022</v>
      </c>
      <c r="C33" s="366">
        <v>5.5</v>
      </c>
      <c r="D33" s="366">
        <v>4.7</v>
      </c>
      <c r="E33" s="366">
        <v>102.6</v>
      </c>
      <c r="F33" s="366">
        <v>20.399999999999999</v>
      </c>
      <c r="G33" s="366">
        <v>7.5</v>
      </c>
      <c r="H33" s="366">
        <v>393.8</v>
      </c>
      <c r="I33" s="366">
        <v>252.3</v>
      </c>
      <c r="J33" s="366">
        <v>564.79999999999995</v>
      </c>
      <c r="K33" s="366">
        <v>201.5</v>
      </c>
      <c r="L33" s="366">
        <v>124.1</v>
      </c>
      <c r="M33" s="366">
        <v>84.5</v>
      </c>
      <c r="N33" s="368">
        <v>13.6</v>
      </c>
      <c r="O33" s="348">
        <f t="shared" si="0"/>
        <v>1775.3</v>
      </c>
      <c r="P33" s="349">
        <f t="shared" si="1"/>
        <v>147.9</v>
      </c>
    </row>
    <row r="34" spans="2:16" ht="22.5" customHeight="1" thickBot="1">
      <c r="B34" s="369">
        <v>2023</v>
      </c>
      <c r="C34" s="370">
        <v>47.9</v>
      </c>
      <c r="D34" s="370">
        <v>1</v>
      </c>
      <c r="E34" s="370">
        <v>10.5</v>
      </c>
      <c r="F34" s="370">
        <v>96.9</v>
      </c>
      <c r="G34" s="370">
        <v>155.6</v>
      </c>
      <c r="H34" s="370">
        <v>195.6</v>
      </c>
      <c r="I34" s="370">
        <v>459.9</v>
      </c>
      <c r="J34" s="370">
        <v>298.10000000000002</v>
      </c>
      <c r="K34" s="370">
        <v>134.5</v>
      </c>
      <c r="L34" s="370">
        <v>31</v>
      </c>
      <c r="M34" s="370">
        <v>81.900000000000006</v>
      </c>
      <c r="N34" s="371">
        <v>85.9</v>
      </c>
      <c r="O34" s="350">
        <f t="shared" si="0"/>
        <v>1598.8</v>
      </c>
      <c r="P34" s="351">
        <f t="shared" si="1"/>
        <v>133.19999999999999</v>
      </c>
    </row>
    <row r="35" spans="2:16" ht="22.5" customHeight="1">
      <c r="B35" s="372" t="s">
        <v>36</v>
      </c>
      <c r="C35" s="373">
        <f>MAX(C5:C34)</f>
        <v>60.5</v>
      </c>
      <c r="D35" s="373">
        <f t="shared" ref="D35:N35" si="2">MAX(D5:D34)</f>
        <v>74.099999999999994</v>
      </c>
      <c r="E35" s="373">
        <f t="shared" si="2"/>
        <v>123.5</v>
      </c>
      <c r="F35" s="373">
        <f t="shared" si="2"/>
        <v>157</v>
      </c>
      <c r="G35" s="373">
        <f t="shared" si="2"/>
        <v>291.3</v>
      </c>
      <c r="H35" s="373">
        <f t="shared" si="2"/>
        <v>404.5</v>
      </c>
      <c r="I35" s="373">
        <f t="shared" si="2"/>
        <v>1131</v>
      </c>
      <c r="J35" s="373">
        <f t="shared" si="2"/>
        <v>1237.8</v>
      </c>
      <c r="K35" s="373">
        <f t="shared" si="2"/>
        <v>671.5</v>
      </c>
      <c r="L35" s="373">
        <f t="shared" si="2"/>
        <v>214.5</v>
      </c>
      <c r="M35" s="373">
        <f t="shared" si="2"/>
        <v>120.1</v>
      </c>
      <c r="N35" s="353">
        <f t="shared" si="2"/>
        <v>85.9</v>
      </c>
      <c r="O35" s="352">
        <f t="shared" ref="O35" si="3">MAX(O5:O34)</f>
        <v>2349.1</v>
      </c>
      <c r="P35" s="353">
        <f>MAX(P5:P34)</f>
        <v>195.8</v>
      </c>
    </row>
    <row r="36" spans="2:16" ht="22.5" customHeight="1">
      <c r="B36" s="374" t="s">
        <v>37</v>
      </c>
      <c r="C36" s="375">
        <f>ROUND(MIN(C5:C34),1)</f>
        <v>0</v>
      </c>
      <c r="D36" s="375">
        <f t="shared" ref="D36:N36" si="4">ROUND(MIN(D5:D34),1)</f>
        <v>0.8</v>
      </c>
      <c r="E36" s="375">
        <f t="shared" si="4"/>
        <v>3.1</v>
      </c>
      <c r="F36" s="375">
        <f t="shared" si="4"/>
        <v>12.3</v>
      </c>
      <c r="G36" s="375">
        <f t="shared" si="4"/>
        <v>7.5</v>
      </c>
      <c r="H36" s="375">
        <f t="shared" si="4"/>
        <v>28.3</v>
      </c>
      <c r="I36" s="375">
        <f t="shared" si="4"/>
        <v>114.7</v>
      </c>
      <c r="J36" s="375">
        <f t="shared" si="4"/>
        <v>67.099999999999994</v>
      </c>
      <c r="K36" s="375">
        <f t="shared" si="4"/>
        <v>11</v>
      </c>
      <c r="L36" s="375">
        <f t="shared" si="4"/>
        <v>0</v>
      </c>
      <c r="M36" s="375">
        <f t="shared" si="4"/>
        <v>10.9</v>
      </c>
      <c r="N36" s="349">
        <f t="shared" si="4"/>
        <v>3.4</v>
      </c>
      <c r="O36" s="354">
        <f>ROUND(MIN(O5:O34),1)</f>
        <v>792.1</v>
      </c>
      <c r="P36" s="355">
        <f>ROUND(MIN(P5:P34),1)</f>
        <v>66</v>
      </c>
    </row>
    <row r="37" spans="2:16" ht="22.5" customHeight="1" thickBot="1">
      <c r="B37" s="376" t="s">
        <v>45</v>
      </c>
      <c r="C37" s="377">
        <f>ROUND(AVERAGE(C5:C34),1)</f>
        <v>18.2</v>
      </c>
      <c r="D37" s="377">
        <f t="shared" ref="D37:N37" si="5">ROUND(AVERAGE(D5:D34),1)</f>
        <v>23.8</v>
      </c>
      <c r="E37" s="377">
        <f t="shared" si="5"/>
        <v>40.799999999999997</v>
      </c>
      <c r="F37" s="377">
        <f t="shared" si="5"/>
        <v>73.900000000000006</v>
      </c>
      <c r="G37" s="377">
        <f t="shared" si="5"/>
        <v>102.7</v>
      </c>
      <c r="H37" s="377">
        <f t="shared" si="5"/>
        <v>140</v>
      </c>
      <c r="I37" s="377">
        <f t="shared" si="5"/>
        <v>404.4</v>
      </c>
      <c r="J37" s="377">
        <f t="shared" si="5"/>
        <v>361.2</v>
      </c>
      <c r="K37" s="377">
        <f t="shared" si="5"/>
        <v>143.80000000000001</v>
      </c>
      <c r="L37" s="377">
        <f t="shared" si="5"/>
        <v>56.7</v>
      </c>
      <c r="M37" s="377">
        <f t="shared" si="5"/>
        <v>52.3</v>
      </c>
      <c r="N37" s="378">
        <f t="shared" si="5"/>
        <v>22</v>
      </c>
      <c r="O37" s="429">
        <f>ROUND(AVERAGE(O5:O34),1)</f>
        <v>1439.8</v>
      </c>
      <c r="P37" s="357">
        <f>ROUND(AVERAGE(P5:P34),1)</f>
        <v>120</v>
      </c>
    </row>
    <row r="38" spans="2:16" ht="21.95" customHeight="1"/>
    <row r="39" spans="2:16" ht="21.95" customHeight="1" thickBot="1"/>
    <row r="40" spans="2:16" ht="34.5" customHeight="1">
      <c r="B40" s="420" t="s">
        <v>40</v>
      </c>
      <c r="C40" s="421" t="s">
        <v>31</v>
      </c>
      <c r="D40" s="421" t="s">
        <v>32</v>
      </c>
      <c r="E40" s="421" t="s">
        <v>33</v>
      </c>
      <c r="F40" s="421" t="s">
        <v>34</v>
      </c>
      <c r="G40" s="421" t="s">
        <v>35</v>
      </c>
      <c r="H40" s="421" t="s">
        <v>12</v>
      </c>
      <c r="I40" s="421" t="s">
        <v>13</v>
      </c>
      <c r="J40" s="421" t="s">
        <v>14</v>
      </c>
      <c r="K40" s="421" t="s">
        <v>15</v>
      </c>
      <c r="L40" s="421" t="s">
        <v>16</v>
      </c>
      <c r="M40" s="421" t="s">
        <v>17</v>
      </c>
      <c r="N40" s="422" t="s">
        <v>18</v>
      </c>
      <c r="O40" s="423" t="s">
        <v>43</v>
      </c>
      <c r="P40" s="422" t="s">
        <v>30</v>
      </c>
    </row>
    <row r="41" spans="2:16" ht="22.5" customHeight="1">
      <c r="B41" s="379">
        <f>B25</f>
        <v>2014</v>
      </c>
      <c r="C41" s="380">
        <f t="shared" ref="C41:N41" si="6">C25</f>
        <v>13</v>
      </c>
      <c r="D41" s="380">
        <f t="shared" si="6"/>
        <v>16.2</v>
      </c>
      <c r="E41" s="380">
        <f t="shared" si="6"/>
        <v>7.2</v>
      </c>
      <c r="F41" s="380">
        <f t="shared" si="6"/>
        <v>31</v>
      </c>
      <c r="G41" s="380">
        <f t="shared" si="6"/>
        <v>63</v>
      </c>
      <c r="H41" s="380">
        <f t="shared" si="6"/>
        <v>98.1</v>
      </c>
      <c r="I41" s="380">
        <f t="shared" si="6"/>
        <v>207.9</v>
      </c>
      <c r="J41" s="380">
        <f t="shared" si="6"/>
        <v>172.8</v>
      </c>
      <c r="K41" s="380">
        <f t="shared" si="6"/>
        <v>88.1</v>
      </c>
      <c r="L41" s="380">
        <f t="shared" si="6"/>
        <v>52.2</v>
      </c>
      <c r="M41" s="380">
        <f t="shared" si="6"/>
        <v>41.5</v>
      </c>
      <c r="N41" s="355">
        <f t="shared" si="6"/>
        <v>17.899999999999999</v>
      </c>
      <c r="O41" s="354">
        <f>ROUND(SUM(C41:N41),1)</f>
        <v>808.9</v>
      </c>
      <c r="P41" s="355">
        <f>ROUND(O41/12,1)</f>
        <v>67.400000000000006</v>
      </c>
    </row>
    <row r="42" spans="2:16" ht="22.5" customHeight="1">
      <c r="B42" s="379">
        <f t="shared" ref="B42:N42" si="7">B26</f>
        <v>2015</v>
      </c>
      <c r="C42" s="380">
        <f t="shared" si="7"/>
        <v>11.3</v>
      </c>
      <c r="D42" s="380">
        <f t="shared" si="7"/>
        <v>22.7</v>
      </c>
      <c r="E42" s="380">
        <f t="shared" si="7"/>
        <v>9.6</v>
      </c>
      <c r="F42" s="380">
        <f t="shared" si="7"/>
        <v>80.5</v>
      </c>
      <c r="G42" s="380">
        <f t="shared" si="7"/>
        <v>28.9</v>
      </c>
      <c r="H42" s="380">
        <f t="shared" si="7"/>
        <v>99</v>
      </c>
      <c r="I42" s="380">
        <f t="shared" si="7"/>
        <v>226</v>
      </c>
      <c r="J42" s="380">
        <f t="shared" si="7"/>
        <v>72.900000000000006</v>
      </c>
      <c r="K42" s="380">
        <f t="shared" si="7"/>
        <v>26</v>
      </c>
      <c r="L42" s="380">
        <f t="shared" si="7"/>
        <v>81.5</v>
      </c>
      <c r="M42" s="380">
        <f t="shared" si="7"/>
        <v>104.6</v>
      </c>
      <c r="N42" s="355">
        <f t="shared" si="7"/>
        <v>29.1</v>
      </c>
      <c r="O42" s="354">
        <f t="shared" ref="O42:O50" si="8">ROUND(SUM(C42:N42),1)</f>
        <v>792.1</v>
      </c>
      <c r="P42" s="355">
        <f t="shared" ref="P42:P50" si="9">ROUND(O42/12,1)</f>
        <v>66</v>
      </c>
    </row>
    <row r="43" spans="2:16" ht="22.5" customHeight="1">
      <c r="B43" s="379">
        <f t="shared" ref="B43:N43" si="10">B27</f>
        <v>2016</v>
      </c>
      <c r="C43" s="380">
        <f t="shared" si="10"/>
        <v>1</v>
      </c>
      <c r="D43" s="380">
        <f t="shared" si="10"/>
        <v>47.6</v>
      </c>
      <c r="E43" s="380">
        <f t="shared" si="10"/>
        <v>40.5</v>
      </c>
      <c r="F43" s="380">
        <f t="shared" si="10"/>
        <v>76.8</v>
      </c>
      <c r="G43" s="380">
        <f t="shared" si="10"/>
        <v>160.5</v>
      </c>
      <c r="H43" s="380">
        <f t="shared" si="10"/>
        <v>54.4</v>
      </c>
      <c r="I43" s="380">
        <f t="shared" si="10"/>
        <v>358.2</v>
      </c>
      <c r="J43" s="380">
        <f t="shared" si="10"/>
        <v>67.099999999999994</v>
      </c>
      <c r="K43" s="380">
        <f t="shared" si="10"/>
        <v>33</v>
      </c>
      <c r="L43" s="380">
        <f t="shared" si="10"/>
        <v>74.8</v>
      </c>
      <c r="M43" s="380">
        <f t="shared" si="10"/>
        <v>16.7</v>
      </c>
      <c r="N43" s="355">
        <f t="shared" si="10"/>
        <v>61.1</v>
      </c>
      <c r="O43" s="354">
        <f t="shared" si="8"/>
        <v>991.7</v>
      </c>
      <c r="P43" s="355">
        <f t="shared" si="9"/>
        <v>82.6</v>
      </c>
    </row>
    <row r="44" spans="2:16" ht="22.5" customHeight="1">
      <c r="B44" s="379">
        <f t="shared" ref="B44:N44" si="11">B28</f>
        <v>2017</v>
      </c>
      <c r="C44" s="380">
        <f t="shared" si="11"/>
        <v>14.9</v>
      </c>
      <c r="D44" s="380">
        <f t="shared" si="11"/>
        <v>11.1</v>
      </c>
      <c r="E44" s="380">
        <f t="shared" si="11"/>
        <v>7.9</v>
      </c>
      <c r="F44" s="380">
        <f t="shared" si="11"/>
        <v>61.6</v>
      </c>
      <c r="G44" s="380">
        <f t="shared" si="11"/>
        <v>16.100000000000001</v>
      </c>
      <c r="H44" s="380">
        <f t="shared" si="11"/>
        <v>66.599999999999994</v>
      </c>
      <c r="I44" s="380">
        <f t="shared" si="11"/>
        <v>621</v>
      </c>
      <c r="J44" s="380">
        <f t="shared" si="11"/>
        <v>297</v>
      </c>
      <c r="K44" s="380">
        <f t="shared" si="11"/>
        <v>35</v>
      </c>
      <c r="L44" s="380">
        <f t="shared" si="11"/>
        <v>26.5</v>
      </c>
      <c r="M44" s="380">
        <f t="shared" si="11"/>
        <v>40.700000000000003</v>
      </c>
      <c r="N44" s="355">
        <f t="shared" si="11"/>
        <v>34.799999999999997</v>
      </c>
      <c r="O44" s="354">
        <f t="shared" si="8"/>
        <v>1233.2</v>
      </c>
      <c r="P44" s="355">
        <f t="shared" si="9"/>
        <v>102.8</v>
      </c>
    </row>
    <row r="45" spans="2:16" ht="22.5" customHeight="1">
      <c r="B45" s="379">
        <f t="shared" ref="B45:N45" si="12">B29</f>
        <v>2018</v>
      </c>
      <c r="C45" s="380">
        <f t="shared" si="12"/>
        <v>8.5</v>
      </c>
      <c r="D45" s="380">
        <f t="shared" si="12"/>
        <v>29.6</v>
      </c>
      <c r="E45" s="380">
        <f t="shared" si="12"/>
        <v>49.5</v>
      </c>
      <c r="F45" s="380">
        <f t="shared" si="12"/>
        <v>130.30000000000001</v>
      </c>
      <c r="G45" s="380">
        <f t="shared" si="12"/>
        <v>222</v>
      </c>
      <c r="H45" s="380">
        <f t="shared" si="12"/>
        <v>171.5</v>
      </c>
      <c r="I45" s="380">
        <f t="shared" si="12"/>
        <v>185.6</v>
      </c>
      <c r="J45" s="380">
        <f t="shared" si="12"/>
        <v>202.6</v>
      </c>
      <c r="K45" s="380">
        <f t="shared" si="12"/>
        <v>68.5</v>
      </c>
      <c r="L45" s="380">
        <f t="shared" si="12"/>
        <v>120.5</v>
      </c>
      <c r="M45" s="380">
        <f t="shared" si="12"/>
        <v>79.099999999999994</v>
      </c>
      <c r="N45" s="355">
        <f t="shared" si="12"/>
        <v>16.399999999999999</v>
      </c>
      <c r="O45" s="354">
        <f t="shared" si="8"/>
        <v>1284.0999999999999</v>
      </c>
      <c r="P45" s="355">
        <f t="shared" si="9"/>
        <v>107</v>
      </c>
    </row>
    <row r="46" spans="2:16" ht="22.5" customHeight="1">
      <c r="B46" s="379">
        <f t="shared" ref="B46:N46" si="13">B30</f>
        <v>2019</v>
      </c>
      <c r="C46" s="380">
        <f t="shared" si="13"/>
        <v>0</v>
      </c>
      <c r="D46" s="380">
        <f t="shared" si="13"/>
        <v>23.8</v>
      </c>
      <c r="E46" s="380">
        <f t="shared" si="13"/>
        <v>26.8</v>
      </c>
      <c r="F46" s="380">
        <f t="shared" si="13"/>
        <v>47.3</v>
      </c>
      <c r="G46" s="380">
        <f t="shared" si="13"/>
        <v>37.799999999999997</v>
      </c>
      <c r="H46" s="380">
        <f t="shared" si="13"/>
        <v>74</v>
      </c>
      <c r="I46" s="380">
        <f t="shared" si="13"/>
        <v>194.4</v>
      </c>
      <c r="J46" s="380">
        <f t="shared" si="13"/>
        <v>190.5</v>
      </c>
      <c r="K46" s="380">
        <f t="shared" si="13"/>
        <v>139.80000000000001</v>
      </c>
      <c r="L46" s="380">
        <f t="shared" si="13"/>
        <v>55.5</v>
      </c>
      <c r="M46" s="380">
        <f t="shared" si="13"/>
        <v>78.8</v>
      </c>
      <c r="N46" s="355">
        <f t="shared" si="13"/>
        <v>22.6</v>
      </c>
      <c r="O46" s="354">
        <f t="shared" si="8"/>
        <v>891.3</v>
      </c>
      <c r="P46" s="355">
        <f t="shared" si="9"/>
        <v>74.3</v>
      </c>
    </row>
    <row r="47" spans="2:16" ht="22.5" customHeight="1">
      <c r="B47" s="379">
        <f t="shared" ref="B47:N47" si="14">B31</f>
        <v>2020</v>
      </c>
      <c r="C47" s="380">
        <f t="shared" si="14"/>
        <v>60.5</v>
      </c>
      <c r="D47" s="380">
        <f t="shared" si="14"/>
        <v>53.1</v>
      </c>
      <c r="E47" s="380">
        <f t="shared" si="14"/>
        <v>16.3</v>
      </c>
      <c r="F47" s="380">
        <f t="shared" si="14"/>
        <v>16.899999999999999</v>
      </c>
      <c r="G47" s="380">
        <f t="shared" si="14"/>
        <v>112.4</v>
      </c>
      <c r="H47" s="380">
        <f t="shared" si="14"/>
        <v>139.6</v>
      </c>
      <c r="I47" s="380">
        <f t="shared" si="14"/>
        <v>270.39999999999998</v>
      </c>
      <c r="J47" s="380">
        <f t="shared" si="14"/>
        <v>675.7</v>
      </c>
      <c r="K47" s="380">
        <f t="shared" si="14"/>
        <v>181.5</v>
      </c>
      <c r="L47" s="380">
        <f t="shared" si="14"/>
        <v>0</v>
      </c>
      <c r="M47" s="380">
        <f t="shared" si="14"/>
        <v>120.1</v>
      </c>
      <c r="N47" s="355">
        <f t="shared" si="14"/>
        <v>4.5999999999999996</v>
      </c>
      <c r="O47" s="354">
        <f t="shared" si="8"/>
        <v>1651.1</v>
      </c>
      <c r="P47" s="355">
        <f t="shared" si="9"/>
        <v>137.6</v>
      </c>
    </row>
    <row r="48" spans="2:16" ht="22.5" customHeight="1">
      <c r="B48" s="379">
        <f t="shared" ref="B48:N48" si="15">B32</f>
        <v>2021</v>
      </c>
      <c r="C48" s="380">
        <f t="shared" si="15"/>
        <v>18.899999999999999</v>
      </c>
      <c r="D48" s="380">
        <f t="shared" si="15"/>
        <v>7.1</v>
      </c>
      <c r="E48" s="380">
        <f t="shared" si="15"/>
        <v>110.9</v>
      </c>
      <c r="F48" s="380">
        <f t="shared" si="15"/>
        <v>124.1</v>
      </c>
      <c r="G48" s="380">
        <f t="shared" si="15"/>
        <v>183.1</v>
      </c>
      <c r="H48" s="380">
        <f t="shared" si="15"/>
        <v>104.6</v>
      </c>
      <c r="I48" s="380">
        <f t="shared" si="15"/>
        <v>168.3</v>
      </c>
      <c r="J48" s="380">
        <f t="shared" si="15"/>
        <v>211.2</v>
      </c>
      <c r="K48" s="380">
        <f t="shared" si="15"/>
        <v>131</v>
      </c>
      <c r="L48" s="380">
        <f t="shared" si="15"/>
        <v>57</v>
      </c>
      <c r="M48" s="380">
        <f t="shared" si="15"/>
        <v>62.4</v>
      </c>
      <c r="N48" s="355">
        <f t="shared" si="15"/>
        <v>7.9</v>
      </c>
      <c r="O48" s="354">
        <f t="shared" si="8"/>
        <v>1186.5</v>
      </c>
      <c r="P48" s="355">
        <f t="shared" si="9"/>
        <v>98.9</v>
      </c>
    </row>
    <row r="49" spans="2:16" ht="22.5" customHeight="1">
      <c r="B49" s="379">
        <f t="shared" ref="B49:N49" si="16">B33</f>
        <v>2022</v>
      </c>
      <c r="C49" s="380">
        <f t="shared" si="16"/>
        <v>5.5</v>
      </c>
      <c r="D49" s="380">
        <f t="shared" si="16"/>
        <v>4.7</v>
      </c>
      <c r="E49" s="380">
        <f t="shared" si="16"/>
        <v>102.6</v>
      </c>
      <c r="F49" s="380">
        <f t="shared" si="16"/>
        <v>20.399999999999999</v>
      </c>
      <c r="G49" s="380">
        <f t="shared" si="16"/>
        <v>7.5</v>
      </c>
      <c r="H49" s="380">
        <f t="shared" si="16"/>
        <v>393.8</v>
      </c>
      <c r="I49" s="380">
        <f t="shared" si="16"/>
        <v>252.3</v>
      </c>
      <c r="J49" s="380">
        <f t="shared" si="16"/>
        <v>564.79999999999995</v>
      </c>
      <c r="K49" s="380">
        <f t="shared" si="16"/>
        <v>201.5</v>
      </c>
      <c r="L49" s="380">
        <f t="shared" si="16"/>
        <v>124.1</v>
      </c>
      <c r="M49" s="380">
        <f t="shared" si="16"/>
        <v>84.5</v>
      </c>
      <c r="N49" s="355">
        <f t="shared" si="16"/>
        <v>13.6</v>
      </c>
      <c r="O49" s="354">
        <f t="shared" si="8"/>
        <v>1775.3</v>
      </c>
      <c r="P49" s="355">
        <f t="shared" si="9"/>
        <v>147.9</v>
      </c>
    </row>
    <row r="50" spans="2:16" ht="22.5" customHeight="1" thickBot="1">
      <c r="B50" s="381">
        <f t="shared" ref="B50:N50" si="17">B34</f>
        <v>2023</v>
      </c>
      <c r="C50" s="382">
        <f t="shared" si="17"/>
        <v>47.9</v>
      </c>
      <c r="D50" s="382">
        <f t="shared" si="17"/>
        <v>1</v>
      </c>
      <c r="E50" s="382">
        <f>E34</f>
        <v>10.5</v>
      </c>
      <c r="F50" s="382">
        <f t="shared" si="17"/>
        <v>96.9</v>
      </c>
      <c r="G50" s="382">
        <f t="shared" si="17"/>
        <v>155.6</v>
      </c>
      <c r="H50" s="382">
        <f t="shared" si="17"/>
        <v>195.6</v>
      </c>
      <c r="I50" s="382">
        <f t="shared" si="17"/>
        <v>459.9</v>
      </c>
      <c r="J50" s="382">
        <f t="shared" si="17"/>
        <v>298.10000000000002</v>
      </c>
      <c r="K50" s="382">
        <f t="shared" si="17"/>
        <v>134.5</v>
      </c>
      <c r="L50" s="382">
        <f t="shared" si="17"/>
        <v>31</v>
      </c>
      <c r="M50" s="382">
        <f t="shared" si="17"/>
        <v>81.900000000000006</v>
      </c>
      <c r="N50" s="357">
        <f t="shared" si="17"/>
        <v>85.9</v>
      </c>
      <c r="O50" s="356">
        <f t="shared" si="8"/>
        <v>1598.8</v>
      </c>
      <c r="P50" s="357">
        <f t="shared" si="9"/>
        <v>133.19999999999999</v>
      </c>
    </row>
    <row r="51" spans="2:16" ht="22.5" customHeight="1">
      <c r="B51" s="383" t="s">
        <v>46</v>
      </c>
      <c r="C51" s="384">
        <f>MAX(C41:C50)</f>
        <v>60.5</v>
      </c>
      <c r="D51" s="384">
        <f t="shared" ref="D51:P51" si="18">MAX(D41:D50)</f>
        <v>53.1</v>
      </c>
      <c r="E51" s="384">
        <f t="shared" si="18"/>
        <v>110.9</v>
      </c>
      <c r="F51" s="384">
        <f t="shared" si="18"/>
        <v>130.30000000000001</v>
      </c>
      <c r="G51" s="384">
        <f t="shared" si="18"/>
        <v>222</v>
      </c>
      <c r="H51" s="384">
        <f t="shared" si="18"/>
        <v>393.8</v>
      </c>
      <c r="I51" s="384">
        <f t="shared" si="18"/>
        <v>621</v>
      </c>
      <c r="J51" s="384">
        <f t="shared" si="18"/>
        <v>675.7</v>
      </c>
      <c r="K51" s="384">
        <f t="shared" si="18"/>
        <v>201.5</v>
      </c>
      <c r="L51" s="384">
        <f t="shared" si="18"/>
        <v>124.1</v>
      </c>
      <c r="M51" s="384">
        <f t="shared" si="18"/>
        <v>120.1</v>
      </c>
      <c r="N51" s="359">
        <f t="shared" si="18"/>
        <v>85.9</v>
      </c>
      <c r="O51" s="358">
        <f t="shared" si="18"/>
        <v>1775.3</v>
      </c>
      <c r="P51" s="359">
        <f t="shared" si="18"/>
        <v>147.9</v>
      </c>
    </row>
    <row r="52" spans="2:16" ht="22.5" customHeight="1">
      <c r="B52" s="379" t="s">
        <v>47</v>
      </c>
      <c r="C52" s="380">
        <f>MIN(C41:C50)</f>
        <v>0</v>
      </c>
      <c r="D52" s="380">
        <f t="shared" ref="D52:P52" si="19">MIN(D41:D50)</f>
        <v>1</v>
      </c>
      <c r="E52" s="380">
        <f t="shared" si="19"/>
        <v>7.2</v>
      </c>
      <c r="F52" s="380">
        <f t="shared" si="19"/>
        <v>16.899999999999999</v>
      </c>
      <c r="G52" s="380">
        <f t="shared" si="19"/>
        <v>7.5</v>
      </c>
      <c r="H52" s="380">
        <f t="shared" si="19"/>
        <v>54.4</v>
      </c>
      <c r="I52" s="380">
        <f t="shared" si="19"/>
        <v>168.3</v>
      </c>
      <c r="J52" s="380">
        <f t="shared" si="19"/>
        <v>67.099999999999994</v>
      </c>
      <c r="K52" s="380">
        <f t="shared" si="19"/>
        <v>26</v>
      </c>
      <c r="L52" s="380">
        <f t="shared" si="19"/>
        <v>0</v>
      </c>
      <c r="M52" s="380">
        <f t="shared" si="19"/>
        <v>16.7</v>
      </c>
      <c r="N52" s="355">
        <f t="shared" si="19"/>
        <v>4.5999999999999996</v>
      </c>
      <c r="O52" s="354">
        <f>MIN(O41:O50)</f>
        <v>792.1</v>
      </c>
      <c r="P52" s="355">
        <f t="shared" si="19"/>
        <v>66</v>
      </c>
    </row>
    <row r="53" spans="2:16" ht="22.5" customHeight="1" thickBot="1">
      <c r="B53" s="381" t="s">
        <v>30</v>
      </c>
      <c r="C53" s="382">
        <f>ROUND(AVERAGE(C41:C50),1)</f>
        <v>18.2</v>
      </c>
      <c r="D53" s="382">
        <f t="shared" ref="D53:N53" si="20">ROUND(AVERAGE(D41:D50),1)</f>
        <v>21.7</v>
      </c>
      <c r="E53" s="382">
        <f t="shared" si="20"/>
        <v>38.200000000000003</v>
      </c>
      <c r="F53" s="382">
        <f t="shared" si="20"/>
        <v>68.599999999999994</v>
      </c>
      <c r="G53" s="382">
        <f t="shared" si="20"/>
        <v>98.7</v>
      </c>
      <c r="H53" s="382">
        <f t="shared" si="20"/>
        <v>139.69999999999999</v>
      </c>
      <c r="I53" s="382">
        <f t="shared" si="20"/>
        <v>294.39999999999998</v>
      </c>
      <c r="J53" s="382">
        <f t="shared" si="20"/>
        <v>275.3</v>
      </c>
      <c r="K53" s="382">
        <f t="shared" si="20"/>
        <v>103.9</v>
      </c>
      <c r="L53" s="382">
        <f t="shared" si="20"/>
        <v>62.3</v>
      </c>
      <c r="M53" s="382">
        <f t="shared" si="20"/>
        <v>71</v>
      </c>
      <c r="N53" s="357">
        <f t="shared" si="20"/>
        <v>29.4</v>
      </c>
      <c r="O53" s="429">
        <f>ROUND(AVERAGE(O41:O50),1)</f>
        <v>1221.3</v>
      </c>
      <c r="P53" s="357">
        <f>ROUND(AVERAGE(P41:P50),1)</f>
        <v>101.8</v>
      </c>
    </row>
    <row r="54" spans="2:16" ht="24" customHeight="1"/>
  </sheetData>
  <phoneticPr fontId="7" type="noConversion"/>
  <dataValidations count="3">
    <dataValidation type="list" allowBlank="1" showInputMessage="1" showErrorMessage="1" sqref="H2:L2" xr:uid="{2D4C5B45-FC0A-4852-A3A8-694E7EB7C01B}">
      <formula1>INDIRECT("Tarea[Area]")</formula1>
    </dataValidation>
    <dataValidation type="list" allowBlank="1" showInputMessage="1" showErrorMessage="1" sqref="T5" xr:uid="{E57DCE62-2D9C-4F67-9832-10C3F545C18E}">
      <formula1>INDIRECT($S$6 &amp; "[Area]")</formula1>
    </dataValidation>
    <dataValidation type="list" allowBlank="1" showInputMessage="1" showErrorMessage="1" sqref="S5" xr:uid="{B7BEC25E-4E7C-4D1A-8E6F-016FCB5A3C0A}">
      <formula1>INDIRECT("tblLocation[Area]")</formula1>
    </dataValidation>
  </dataValidations>
  <pageMargins left="0.7" right="0.7" top="0.75" bottom="0.75" header="0.3" footer="0.3"/>
  <pageSetup paperSize="9" orientation="portrait" r:id="rId1"/>
  <ignoredErrors>
    <ignoredError sqref="O41:O50 O5:O34 C36:M37" formulaRange="1"/>
  </ignoredErrors>
  <drawing r:id="rId2"/>
  <legacyDrawing r:id="rId3"/>
  <controls>
    <mc:AlternateContent xmlns:mc="http://schemas.openxmlformats.org/markup-compatibility/2006">
      <mc:Choice Requires="x14">
        <control shapeId="218113" r:id="rId4" name="CommandButton1">
          <controlPr defaultSize="0" autoLine="0" autoPict="0" r:id="rId5">
            <anchor moveWithCells="1">
              <from>
                <xdr:col>16</xdr:col>
                <xdr:colOff>209550</xdr:colOff>
                <xdr:row>3</xdr:row>
                <xdr:rowOff>9525</xdr:rowOff>
              </from>
              <to>
                <xdr:col>17</xdr:col>
                <xdr:colOff>895350</xdr:colOff>
                <xdr:row>3</xdr:row>
                <xdr:rowOff>361950</xdr:rowOff>
              </to>
            </anchor>
          </controlPr>
        </control>
      </mc:Choice>
      <mc:Fallback>
        <control shapeId="218113" r:id="rId4" name="CommandButton1"/>
      </mc:Fallback>
    </mc:AlternateContent>
    <mc:AlternateContent xmlns:mc="http://schemas.openxmlformats.org/markup-compatibility/2006">
      <mc:Choice Requires="x14">
        <control shapeId="218114" r:id="rId6" name="CommandButton2">
          <controlPr defaultSize="0" autoLine="0" r:id="rId7">
            <anchor moveWithCells="1">
              <from>
                <xdr:col>16</xdr:col>
                <xdr:colOff>209550</xdr:colOff>
                <xdr:row>4</xdr:row>
                <xdr:rowOff>0</xdr:rowOff>
              </from>
              <to>
                <xdr:col>17</xdr:col>
                <xdr:colOff>895350</xdr:colOff>
                <xdr:row>5</xdr:row>
                <xdr:rowOff>66675</xdr:rowOff>
              </to>
            </anchor>
          </controlPr>
        </control>
      </mc:Choice>
      <mc:Fallback>
        <control shapeId="218114" r:id="rId6" name="CommandButton2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82"/>
  <sheetViews>
    <sheetView topLeftCell="A52" workbookViewId="0">
      <selection activeCell="T64" sqref="T64"/>
    </sheetView>
  </sheetViews>
  <sheetFormatPr defaultColWidth="8.88671875" defaultRowHeight="16.5"/>
  <cols>
    <col min="1" max="1" width="8.88671875" style="69"/>
    <col min="2" max="2" width="8.88671875" style="87"/>
    <col min="3" max="3" width="8" style="87" customWidth="1"/>
    <col min="4" max="14" width="8.88671875" style="69"/>
    <col min="15" max="15" width="10.88671875" style="69" customWidth="1"/>
    <col min="16" max="16384" width="8.88671875" style="69"/>
  </cols>
  <sheetData>
    <row r="1" spans="2:16" ht="17.25" thickBot="1">
      <c r="I1"/>
      <c r="J1"/>
      <c r="K1"/>
    </row>
    <row r="2" spans="2:16" ht="24" customHeight="1">
      <c r="B2" s="71"/>
      <c r="C2" s="72" t="s">
        <v>7</v>
      </c>
      <c r="D2" s="72" t="s">
        <v>8</v>
      </c>
      <c r="E2" s="72" t="s">
        <v>9</v>
      </c>
      <c r="F2" s="72" t="s">
        <v>10</v>
      </c>
      <c r="G2" s="72" t="s">
        <v>11</v>
      </c>
      <c r="H2" s="72" t="s">
        <v>12</v>
      </c>
      <c r="I2" s="72" t="s">
        <v>13</v>
      </c>
      <c r="J2" s="72" t="s">
        <v>14</v>
      </c>
      <c r="K2" s="72" t="s">
        <v>15</v>
      </c>
      <c r="L2" s="72" t="s">
        <v>16</v>
      </c>
      <c r="M2" s="72" t="s">
        <v>17</v>
      </c>
      <c r="N2" s="72" t="s">
        <v>18</v>
      </c>
      <c r="O2" s="72" t="s">
        <v>28</v>
      </c>
      <c r="P2" s="73" t="s">
        <v>20</v>
      </c>
    </row>
    <row r="3" spans="2:16">
      <c r="B3" s="74">
        <f>All!B5</f>
        <v>1994</v>
      </c>
      <c r="C3" s="75">
        <f>All!C5</f>
        <v>6.5</v>
      </c>
      <c r="D3" s="75">
        <f>All!D5</f>
        <v>14.8</v>
      </c>
      <c r="E3" s="75">
        <f>All!E5</f>
        <v>31.7</v>
      </c>
      <c r="F3" s="75">
        <f>All!F5</f>
        <v>44.9</v>
      </c>
      <c r="G3" s="75">
        <f>All!G5</f>
        <v>152.4</v>
      </c>
      <c r="H3" s="75">
        <f>All!H5</f>
        <v>85</v>
      </c>
      <c r="I3" s="75">
        <f>All!I5</f>
        <v>139.5</v>
      </c>
      <c r="J3" s="75">
        <f>All!J5</f>
        <v>232.7</v>
      </c>
      <c r="K3" s="75">
        <f>All!K5</f>
        <v>60.7</v>
      </c>
      <c r="L3" s="75">
        <f>All!L5</f>
        <v>214.5</v>
      </c>
      <c r="M3" s="75">
        <f>All!M5</f>
        <v>49.6</v>
      </c>
      <c r="N3" s="75">
        <f>All!N5</f>
        <v>23.5</v>
      </c>
      <c r="O3" s="75">
        <f>All!O5</f>
        <v>1055.8</v>
      </c>
      <c r="P3" s="76">
        <f>All!P5</f>
        <v>88</v>
      </c>
    </row>
    <row r="4" spans="2:16">
      <c r="B4" s="74">
        <f>All!B6</f>
        <v>1995</v>
      </c>
      <c r="C4" s="75">
        <f>All!C6</f>
        <v>11.6</v>
      </c>
      <c r="D4" s="75">
        <f>All!D6</f>
        <v>5.2</v>
      </c>
      <c r="E4" s="75">
        <f>All!E6</f>
        <v>60.6</v>
      </c>
      <c r="F4" s="75">
        <f>All!F6</f>
        <v>44.4</v>
      </c>
      <c r="G4" s="75">
        <f>All!G6</f>
        <v>60.6</v>
      </c>
      <c r="H4" s="75">
        <f>All!H6</f>
        <v>70.7</v>
      </c>
      <c r="I4" s="75">
        <f>All!I6</f>
        <v>436.1</v>
      </c>
      <c r="J4" s="75">
        <f>All!J6</f>
        <v>786.6</v>
      </c>
      <c r="K4" s="75">
        <f>All!K6</f>
        <v>47.2</v>
      </c>
      <c r="L4" s="75">
        <f>All!L6</f>
        <v>39.299999999999997</v>
      </c>
      <c r="M4" s="75">
        <f>All!M6</f>
        <v>32.9</v>
      </c>
      <c r="N4" s="75">
        <f>All!N6</f>
        <v>3.4</v>
      </c>
      <c r="O4" s="75">
        <f>All!O6</f>
        <v>1598.6</v>
      </c>
      <c r="P4" s="76">
        <f>All!P6</f>
        <v>133.19999999999999</v>
      </c>
    </row>
    <row r="5" spans="2:16">
      <c r="B5" s="74">
        <f>All!B7</f>
        <v>1996</v>
      </c>
      <c r="C5" s="75">
        <f>All!C7</f>
        <v>16.3</v>
      </c>
      <c r="D5" s="75">
        <f>All!D7</f>
        <v>1</v>
      </c>
      <c r="E5" s="75">
        <f>All!E7</f>
        <v>77.900000000000006</v>
      </c>
      <c r="F5" s="75">
        <f>All!F7</f>
        <v>62</v>
      </c>
      <c r="G5" s="75">
        <f>All!G7</f>
        <v>29.3</v>
      </c>
      <c r="H5" s="75">
        <f>All!H7</f>
        <v>249.7</v>
      </c>
      <c r="I5" s="75">
        <f>All!I7</f>
        <v>512.79999999999995</v>
      </c>
      <c r="J5" s="75">
        <f>All!J7</f>
        <v>132.4</v>
      </c>
      <c r="K5" s="75">
        <f>All!K7</f>
        <v>11</v>
      </c>
      <c r="L5" s="75">
        <f>All!L7</f>
        <v>90.3</v>
      </c>
      <c r="M5" s="75">
        <f>All!M7</f>
        <v>62.9</v>
      </c>
      <c r="N5" s="75">
        <f>All!N7</f>
        <v>11</v>
      </c>
      <c r="O5" s="75">
        <f>All!O7</f>
        <v>1256.5999999999999</v>
      </c>
      <c r="P5" s="76">
        <f>All!P7</f>
        <v>104.7</v>
      </c>
    </row>
    <row r="6" spans="2:16">
      <c r="B6" s="74">
        <f>All!B8</f>
        <v>1997</v>
      </c>
      <c r="C6" s="75">
        <f>All!C8</f>
        <v>16.8</v>
      </c>
      <c r="D6" s="75">
        <f>All!D8</f>
        <v>39.6</v>
      </c>
      <c r="E6" s="75">
        <f>All!E8</f>
        <v>25.3</v>
      </c>
      <c r="F6" s="75">
        <f>All!F8</f>
        <v>56.1</v>
      </c>
      <c r="G6" s="75">
        <f>All!G8</f>
        <v>291.3</v>
      </c>
      <c r="H6" s="75">
        <f>All!H8</f>
        <v>110</v>
      </c>
      <c r="I6" s="75">
        <f>All!I8</f>
        <v>299.60000000000002</v>
      </c>
      <c r="J6" s="75">
        <f>All!J8</f>
        <v>117.2</v>
      </c>
      <c r="K6" s="75">
        <f>All!K8</f>
        <v>76.900000000000006</v>
      </c>
      <c r="L6" s="75">
        <f>All!L8</f>
        <v>45.5</v>
      </c>
      <c r="M6" s="75">
        <f>All!M8</f>
        <v>93.8</v>
      </c>
      <c r="N6" s="75">
        <f>All!N8</f>
        <v>38.1</v>
      </c>
      <c r="O6" s="75">
        <f>All!O8</f>
        <v>1210.2</v>
      </c>
      <c r="P6" s="76">
        <f>All!P8</f>
        <v>100.9</v>
      </c>
    </row>
    <row r="7" spans="2:16">
      <c r="B7" s="74">
        <f>All!B9</f>
        <v>1998</v>
      </c>
      <c r="C7" s="75">
        <f>All!C9</f>
        <v>10.4</v>
      </c>
      <c r="D7" s="75">
        <f>All!D9</f>
        <v>32.299999999999997</v>
      </c>
      <c r="E7" s="75">
        <f>All!E9</f>
        <v>45.1</v>
      </c>
      <c r="F7" s="75">
        <f>All!F9</f>
        <v>120.2</v>
      </c>
      <c r="G7" s="75">
        <f>All!G9</f>
        <v>121.5</v>
      </c>
      <c r="H7" s="75">
        <f>All!H9</f>
        <v>234.1</v>
      </c>
      <c r="I7" s="75">
        <f>All!I9</f>
        <v>311.8</v>
      </c>
      <c r="J7" s="75">
        <f>All!J9</f>
        <v>1237.8</v>
      </c>
      <c r="K7" s="75">
        <f>All!K9</f>
        <v>177.9</v>
      </c>
      <c r="L7" s="75">
        <f>All!L9</f>
        <v>27.4</v>
      </c>
      <c r="M7" s="75">
        <f>All!M9</f>
        <v>26.9</v>
      </c>
      <c r="N7" s="75">
        <f>All!N9</f>
        <v>3.7</v>
      </c>
      <c r="O7" s="75">
        <f>All!O9</f>
        <v>2349.1</v>
      </c>
      <c r="P7" s="76">
        <f>All!P9</f>
        <v>195.8</v>
      </c>
    </row>
    <row r="8" spans="2:16">
      <c r="B8" s="74">
        <f>All!B10</f>
        <v>1999</v>
      </c>
      <c r="C8" s="75">
        <f>All!C10</f>
        <v>10.199999999999999</v>
      </c>
      <c r="D8" s="75">
        <f>All!D10</f>
        <v>2.9</v>
      </c>
      <c r="E8" s="75">
        <f>All!E10</f>
        <v>55</v>
      </c>
      <c r="F8" s="75">
        <f>All!F10</f>
        <v>97.2</v>
      </c>
      <c r="G8" s="75">
        <f>All!G10</f>
        <v>109.7</v>
      </c>
      <c r="H8" s="75">
        <f>All!H10</f>
        <v>131.80000000000001</v>
      </c>
      <c r="I8" s="75">
        <f>All!I10</f>
        <v>230.4</v>
      </c>
      <c r="J8" s="75">
        <f>All!J10</f>
        <v>600.5</v>
      </c>
      <c r="K8" s="75">
        <f>All!K10</f>
        <v>377.3</v>
      </c>
      <c r="L8" s="75">
        <f>All!L10</f>
        <v>81.599999999999994</v>
      </c>
      <c r="M8" s="75">
        <f>All!M10</f>
        <v>19.5</v>
      </c>
      <c r="N8" s="75">
        <f>All!N10</f>
        <v>17</v>
      </c>
      <c r="O8" s="75">
        <f>All!O10</f>
        <v>1733.1</v>
      </c>
      <c r="P8" s="76">
        <f>All!P10</f>
        <v>144.4</v>
      </c>
    </row>
    <row r="9" spans="2:16">
      <c r="B9" s="74">
        <f>All!B11</f>
        <v>2000</v>
      </c>
      <c r="C9" s="75">
        <f>All!C11</f>
        <v>42.8</v>
      </c>
      <c r="D9" s="75">
        <f>All!D11</f>
        <v>2.1</v>
      </c>
      <c r="E9" s="75">
        <f>All!E11</f>
        <v>3.1</v>
      </c>
      <c r="F9" s="75">
        <f>All!F11</f>
        <v>30.7</v>
      </c>
      <c r="G9" s="75">
        <f>All!G11</f>
        <v>75.2</v>
      </c>
      <c r="H9" s="75">
        <f>All!H11</f>
        <v>68.099999999999994</v>
      </c>
      <c r="I9" s="75">
        <f>All!I11</f>
        <v>114.7</v>
      </c>
      <c r="J9" s="75">
        <f>All!J11</f>
        <v>599.4</v>
      </c>
      <c r="K9" s="75">
        <f>All!K11</f>
        <v>178.5</v>
      </c>
      <c r="L9" s="75">
        <f>All!L11</f>
        <v>18.100000000000001</v>
      </c>
      <c r="M9" s="75">
        <f>All!M11</f>
        <v>27.1</v>
      </c>
      <c r="N9" s="75">
        <f>All!N11</f>
        <v>27</v>
      </c>
      <c r="O9" s="75">
        <f>All!O11</f>
        <v>1186.8</v>
      </c>
      <c r="P9" s="76">
        <f>All!P11</f>
        <v>98.9</v>
      </c>
    </row>
    <row r="10" spans="2:16">
      <c r="B10" s="74">
        <f>All!B12</f>
        <v>2001</v>
      </c>
      <c r="C10" s="75">
        <f>All!C12</f>
        <v>39.4</v>
      </c>
      <c r="D10" s="75">
        <f>All!D12</f>
        <v>45.7</v>
      </c>
      <c r="E10" s="75">
        <f>All!E12</f>
        <v>18.100000000000001</v>
      </c>
      <c r="F10" s="75">
        <f>All!F12</f>
        <v>12.3</v>
      </c>
      <c r="G10" s="75">
        <f>All!G12</f>
        <v>16.5</v>
      </c>
      <c r="H10" s="75">
        <f>All!H12</f>
        <v>157.4</v>
      </c>
      <c r="I10" s="75">
        <f>All!I12</f>
        <v>698.4</v>
      </c>
      <c r="J10" s="75">
        <f>All!J12</f>
        <v>252</v>
      </c>
      <c r="K10" s="75">
        <f>All!K12</f>
        <v>49.3</v>
      </c>
      <c r="L10" s="75">
        <f>All!L12</f>
        <v>68.2</v>
      </c>
      <c r="M10" s="75">
        <f>All!M12</f>
        <v>13</v>
      </c>
      <c r="N10" s="75">
        <f>All!N12</f>
        <v>15.7</v>
      </c>
      <c r="O10" s="75">
        <f>All!O12</f>
        <v>1386</v>
      </c>
      <c r="P10" s="76">
        <f>All!P12</f>
        <v>115.5</v>
      </c>
    </row>
    <row r="11" spans="2:16">
      <c r="B11" s="74">
        <f>All!B13</f>
        <v>2002</v>
      </c>
      <c r="C11" s="75">
        <f>All!C13</f>
        <v>37.4</v>
      </c>
      <c r="D11" s="75">
        <f>All!D13</f>
        <v>2.4</v>
      </c>
      <c r="E11" s="75">
        <f>All!E13</f>
        <v>31.5</v>
      </c>
      <c r="F11" s="75">
        <f>All!F13</f>
        <v>155.1</v>
      </c>
      <c r="G11" s="75">
        <f>All!G13</f>
        <v>58</v>
      </c>
      <c r="H11" s="75">
        <f>All!H13</f>
        <v>61.4</v>
      </c>
      <c r="I11" s="75">
        <f>All!I13</f>
        <v>220.6</v>
      </c>
      <c r="J11" s="75">
        <f>All!J13</f>
        <v>688</v>
      </c>
      <c r="K11" s="75">
        <f>All!K13</f>
        <v>61.1</v>
      </c>
      <c r="L11" s="75">
        <f>All!L13</f>
        <v>45</v>
      </c>
      <c r="M11" s="75">
        <f>All!M13</f>
        <v>12.5</v>
      </c>
      <c r="N11" s="75">
        <f>All!N13</f>
        <v>15</v>
      </c>
      <c r="O11" s="75">
        <f>All!O13</f>
        <v>1388</v>
      </c>
      <c r="P11" s="76">
        <f>All!P13</f>
        <v>115.7</v>
      </c>
    </row>
    <row r="12" spans="2:16">
      <c r="B12" s="74">
        <f>All!B14</f>
        <v>2003</v>
      </c>
      <c r="C12" s="75">
        <f>All!C14</f>
        <v>14.1</v>
      </c>
      <c r="D12" s="75">
        <f>All!D14</f>
        <v>39.6</v>
      </c>
      <c r="E12" s="75">
        <f>All!E14</f>
        <v>26.8</v>
      </c>
      <c r="F12" s="75">
        <f>All!F14</f>
        <v>139.6</v>
      </c>
      <c r="G12" s="75">
        <f>All!G14</f>
        <v>106</v>
      </c>
      <c r="H12" s="75">
        <f>All!H14</f>
        <v>156</v>
      </c>
      <c r="I12" s="75">
        <f>All!I14</f>
        <v>469.8</v>
      </c>
      <c r="J12" s="75">
        <f>All!J14</f>
        <v>684.2</v>
      </c>
      <c r="K12" s="75">
        <f>All!K14</f>
        <v>258.2</v>
      </c>
      <c r="L12" s="75">
        <f>All!L14</f>
        <v>41.5</v>
      </c>
      <c r="M12" s="75">
        <f>All!M14</f>
        <v>69.3</v>
      </c>
      <c r="N12" s="75">
        <f>All!N14</f>
        <v>6.9</v>
      </c>
      <c r="O12" s="75">
        <f>All!O14</f>
        <v>2012</v>
      </c>
      <c r="P12" s="76">
        <f>All!P14</f>
        <v>167.7</v>
      </c>
    </row>
    <row r="13" spans="2:16">
      <c r="B13" s="74">
        <f>All!B15</f>
        <v>2004</v>
      </c>
      <c r="C13" s="75">
        <f>All!C15</f>
        <v>19.8</v>
      </c>
      <c r="D13" s="75">
        <f>All!D15</f>
        <v>54.6</v>
      </c>
      <c r="E13" s="75">
        <f>All!E15</f>
        <v>27.6</v>
      </c>
      <c r="F13" s="75">
        <f>All!F15</f>
        <v>74.099999999999994</v>
      </c>
      <c r="G13" s="75">
        <f>All!G15</f>
        <v>168.5</v>
      </c>
      <c r="H13" s="75">
        <f>All!H15</f>
        <v>138.1</v>
      </c>
      <c r="I13" s="75">
        <f>All!I15</f>
        <v>510.7</v>
      </c>
      <c r="J13" s="75">
        <f>All!J15</f>
        <v>193.3</v>
      </c>
      <c r="K13" s="75">
        <f>All!K15</f>
        <v>198.7</v>
      </c>
      <c r="L13" s="75">
        <f>All!L15</f>
        <v>6.5</v>
      </c>
      <c r="M13" s="75">
        <f>All!M15</f>
        <v>80</v>
      </c>
      <c r="N13" s="75">
        <f>All!N15</f>
        <v>27.2</v>
      </c>
      <c r="O13" s="75">
        <f>All!O15</f>
        <v>1499.1</v>
      </c>
      <c r="P13" s="76">
        <f>All!P15</f>
        <v>124.9</v>
      </c>
    </row>
    <row r="14" spans="2:16">
      <c r="B14" s="74">
        <f>All!B16</f>
        <v>2005</v>
      </c>
      <c r="C14" s="75">
        <f>All!C16</f>
        <v>4.5</v>
      </c>
      <c r="D14" s="75">
        <f>All!D16</f>
        <v>17.2</v>
      </c>
      <c r="E14" s="75">
        <f>All!E16</f>
        <v>12.5</v>
      </c>
      <c r="F14" s="75">
        <f>All!F16</f>
        <v>94.7</v>
      </c>
      <c r="G14" s="75">
        <f>All!G16</f>
        <v>85.8</v>
      </c>
      <c r="H14" s="75">
        <f>All!H16</f>
        <v>168.5</v>
      </c>
      <c r="I14" s="75">
        <f>All!I16</f>
        <v>269.39999999999998</v>
      </c>
      <c r="J14" s="75">
        <f>All!J16</f>
        <v>285</v>
      </c>
      <c r="K14" s="75">
        <f>All!K16</f>
        <v>313.3</v>
      </c>
      <c r="L14" s="75">
        <f>All!L16</f>
        <v>52.6</v>
      </c>
      <c r="M14" s="75">
        <f>All!M16</f>
        <v>44.6</v>
      </c>
      <c r="N14" s="75">
        <f>All!N16</f>
        <v>10.3</v>
      </c>
      <c r="O14" s="75">
        <f>All!O16</f>
        <v>1358.4</v>
      </c>
      <c r="P14" s="76">
        <f>All!P16</f>
        <v>113.2</v>
      </c>
    </row>
    <row r="15" spans="2:16">
      <c r="B15" s="74">
        <f>All!B17</f>
        <v>2006</v>
      </c>
      <c r="C15" s="75">
        <f>All!C17</f>
        <v>34.299999999999997</v>
      </c>
      <c r="D15" s="75">
        <f>All!D17</f>
        <v>15.7</v>
      </c>
      <c r="E15" s="75">
        <f>All!E17</f>
        <v>14</v>
      </c>
      <c r="F15" s="75">
        <f>All!F17</f>
        <v>51.8</v>
      </c>
      <c r="G15" s="75">
        <f>All!G17</f>
        <v>156.19999999999999</v>
      </c>
      <c r="H15" s="75">
        <f>All!H17</f>
        <v>168.5</v>
      </c>
      <c r="I15" s="75">
        <f>All!I17</f>
        <v>1014</v>
      </c>
      <c r="J15" s="75">
        <f>All!J17</f>
        <v>121.2</v>
      </c>
      <c r="K15" s="75">
        <f>All!K17</f>
        <v>11.1</v>
      </c>
      <c r="L15" s="75">
        <f>All!L17</f>
        <v>30.2</v>
      </c>
      <c r="M15" s="75">
        <f>All!M17</f>
        <v>47.6</v>
      </c>
      <c r="N15" s="75">
        <f>All!N17</f>
        <v>17.3</v>
      </c>
      <c r="O15" s="75">
        <f>All!O17</f>
        <v>1681.9</v>
      </c>
      <c r="P15" s="76">
        <f>All!P17</f>
        <v>140.19999999999999</v>
      </c>
    </row>
    <row r="16" spans="2:16">
      <c r="B16" s="74">
        <f>All!B18</f>
        <v>2007</v>
      </c>
      <c r="C16" s="75">
        <f>All!C18</f>
        <v>10.8</v>
      </c>
      <c r="D16" s="75">
        <f>All!D18</f>
        <v>12.6</v>
      </c>
      <c r="E16" s="75">
        <f>All!E18</f>
        <v>123.5</v>
      </c>
      <c r="F16" s="75">
        <f>All!F18</f>
        <v>41.1</v>
      </c>
      <c r="G16" s="75">
        <f>All!G18</f>
        <v>137.6</v>
      </c>
      <c r="H16" s="75">
        <f>All!H18</f>
        <v>54.5</v>
      </c>
      <c r="I16" s="75">
        <f>All!I18</f>
        <v>274.10000000000002</v>
      </c>
      <c r="J16" s="75">
        <f>All!J18</f>
        <v>237.6</v>
      </c>
      <c r="K16" s="75">
        <f>All!K18</f>
        <v>241.9</v>
      </c>
      <c r="L16" s="75">
        <f>All!L18</f>
        <v>39.5</v>
      </c>
      <c r="M16" s="75">
        <f>All!M18</f>
        <v>26.4</v>
      </c>
      <c r="N16" s="75">
        <f>All!N18</f>
        <v>12.7</v>
      </c>
      <c r="O16" s="75">
        <f>All!O18</f>
        <v>1212.3</v>
      </c>
      <c r="P16" s="76">
        <f>All!P18</f>
        <v>101</v>
      </c>
    </row>
    <row r="17" spans="2:16">
      <c r="B17" s="74">
        <f>All!B19</f>
        <v>2008</v>
      </c>
      <c r="C17" s="75">
        <f>All!C19</f>
        <v>17.7</v>
      </c>
      <c r="D17" s="75">
        <f>All!D19</f>
        <v>15</v>
      </c>
      <c r="E17" s="75">
        <f>All!E19</f>
        <v>53.9</v>
      </c>
      <c r="F17" s="75">
        <f>All!F19</f>
        <v>38.5</v>
      </c>
      <c r="G17" s="75">
        <f>All!G19</f>
        <v>97.7</v>
      </c>
      <c r="H17" s="75">
        <f>All!H19</f>
        <v>165</v>
      </c>
      <c r="I17" s="75">
        <f>All!I19</f>
        <v>530.79999999999995</v>
      </c>
      <c r="J17" s="75">
        <f>All!J19</f>
        <v>251.2</v>
      </c>
      <c r="K17" s="75">
        <f>All!K19</f>
        <v>99.2</v>
      </c>
      <c r="L17" s="75">
        <f>All!L19</f>
        <v>41.8</v>
      </c>
      <c r="M17" s="75">
        <f>All!M19</f>
        <v>19.600000000000001</v>
      </c>
      <c r="N17" s="75">
        <f>All!N19</f>
        <v>25.9</v>
      </c>
      <c r="O17" s="75">
        <f>All!O19</f>
        <v>1356.3</v>
      </c>
      <c r="P17" s="76">
        <f>All!P19</f>
        <v>113</v>
      </c>
    </row>
    <row r="18" spans="2:16">
      <c r="B18" s="74">
        <f>All!B20</f>
        <v>2009</v>
      </c>
      <c r="C18" s="75">
        <f>All!C20</f>
        <v>5.7</v>
      </c>
      <c r="D18" s="75">
        <f>All!D20</f>
        <v>36.9</v>
      </c>
      <c r="E18" s="75">
        <f>All!E20</f>
        <v>63.9</v>
      </c>
      <c r="F18" s="75">
        <f>All!F20</f>
        <v>66.5</v>
      </c>
      <c r="G18" s="75">
        <f>All!G20</f>
        <v>109</v>
      </c>
      <c r="H18" s="75">
        <f>All!H20</f>
        <v>132</v>
      </c>
      <c r="I18" s="75">
        <f>All!I20</f>
        <v>659.4</v>
      </c>
      <c r="J18" s="75">
        <f>All!J20</f>
        <v>285.3</v>
      </c>
      <c r="K18" s="75">
        <f>All!K20</f>
        <v>64.5</v>
      </c>
      <c r="L18" s="75">
        <f>All!L20</f>
        <v>66.900000000000006</v>
      </c>
      <c r="M18" s="75">
        <f>All!M20</f>
        <v>52.4</v>
      </c>
      <c r="N18" s="75">
        <f>All!N20</f>
        <v>21.5</v>
      </c>
      <c r="O18" s="75">
        <f>All!O20</f>
        <v>1564</v>
      </c>
      <c r="P18" s="76">
        <f>All!P20</f>
        <v>130.30000000000001</v>
      </c>
    </row>
    <row r="19" spans="2:16">
      <c r="B19" s="74">
        <f>All!B21</f>
        <v>2010</v>
      </c>
      <c r="C19" s="75">
        <f>All!C21</f>
        <v>29.3</v>
      </c>
      <c r="D19" s="75">
        <f>All!D21</f>
        <v>55.3</v>
      </c>
      <c r="E19" s="75">
        <f>All!E21</f>
        <v>82.5</v>
      </c>
      <c r="F19" s="75">
        <f>All!F21</f>
        <v>62.8</v>
      </c>
      <c r="G19" s="75">
        <f>All!G21</f>
        <v>124</v>
      </c>
      <c r="H19" s="75">
        <f>All!H21</f>
        <v>127.6</v>
      </c>
      <c r="I19" s="75">
        <f>All!I21</f>
        <v>239.2</v>
      </c>
      <c r="J19" s="75">
        <f>All!J21</f>
        <v>598.70000000000005</v>
      </c>
      <c r="K19" s="75">
        <f>All!K21</f>
        <v>671.5</v>
      </c>
      <c r="L19" s="75">
        <f>All!L21</f>
        <v>25.6</v>
      </c>
      <c r="M19" s="75">
        <f>All!M21</f>
        <v>10.9</v>
      </c>
      <c r="N19" s="75">
        <f>All!N21</f>
        <v>16.100000000000001</v>
      </c>
      <c r="O19" s="75">
        <f>All!O21</f>
        <v>2043.5</v>
      </c>
      <c r="P19" s="76">
        <f>All!P21</f>
        <v>170.3</v>
      </c>
    </row>
    <row r="20" spans="2:16">
      <c r="B20" s="74">
        <f>All!B22</f>
        <v>2011</v>
      </c>
      <c r="C20" s="75">
        <f>All!C22</f>
        <v>8.9</v>
      </c>
      <c r="D20" s="75">
        <f>All!D22</f>
        <v>29.1</v>
      </c>
      <c r="E20" s="75">
        <f>All!E22</f>
        <v>14.6</v>
      </c>
      <c r="F20" s="75">
        <f>All!F22</f>
        <v>110.1</v>
      </c>
      <c r="G20" s="75">
        <f>All!G22</f>
        <v>53.4</v>
      </c>
      <c r="H20" s="75">
        <f>All!H22</f>
        <v>404.5</v>
      </c>
      <c r="I20" s="75">
        <f>All!I22</f>
        <v>1131</v>
      </c>
      <c r="J20" s="75">
        <f>All!J22</f>
        <v>166.8</v>
      </c>
      <c r="K20" s="75">
        <f>All!K22</f>
        <v>25.6</v>
      </c>
      <c r="L20" s="75">
        <f>All!L22</f>
        <v>32</v>
      </c>
      <c r="M20" s="75">
        <f>All!M22</f>
        <v>56.2</v>
      </c>
      <c r="N20" s="75">
        <f>All!N22</f>
        <v>7.1</v>
      </c>
      <c r="O20" s="75">
        <f>All!O22</f>
        <v>2039.3</v>
      </c>
      <c r="P20" s="76">
        <f>All!P22</f>
        <v>169.9</v>
      </c>
    </row>
    <row r="21" spans="2:16">
      <c r="B21" s="74">
        <f>All!B23</f>
        <v>2012</v>
      </c>
      <c r="C21" s="75">
        <f>All!C23</f>
        <v>6.7</v>
      </c>
      <c r="D21" s="75">
        <f>All!D23</f>
        <v>0.8</v>
      </c>
      <c r="E21" s="75">
        <f>All!E23</f>
        <v>47.4</v>
      </c>
      <c r="F21" s="75">
        <f>All!F23</f>
        <v>157</v>
      </c>
      <c r="G21" s="75">
        <f>All!G23</f>
        <v>8.1999999999999993</v>
      </c>
      <c r="H21" s="75">
        <f>All!H23</f>
        <v>91.9</v>
      </c>
      <c r="I21" s="75">
        <f>All!I23</f>
        <v>448.9</v>
      </c>
      <c r="J21" s="75">
        <f>All!J23</f>
        <v>464.9</v>
      </c>
      <c r="K21" s="75">
        <f>All!K23</f>
        <v>212</v>
      </c>
      <c r="L21" s="75">
        <f>All!L23</f>
        <v>99.3</v>
      </c>
      <c r="M21" s="75">
        <f>All!M23</f>
        <v>67.8</v>
      </c>
      <c r="N21" s="75">
        <f>All!N23</f>
        <v>41.4</v>
      </c>
      <c r="O21" s="75">
        <f>All!O23</f>
        <v>1646.3</v>
      </c>
      <c r="P21" s="76">
        <f>All!P23</f>
        <v>137.19999999999999</v>
      </c>
    </row>
    <row r="22" spans="2:16">
      <c r="B22" s="74">
        <f>All!B24</f>
        <v>2013</v>
      </c>
      <c r="C22" s="75">
        <f>All!C24</f>
        <v>22.1</v>
      </c>
      <c r="D22" s="75">
        <f>All!D24</f>
        <v>74.099999999999994</v>
      </c>
      <c r="E22" s="75">
        <f>All!E24</f>
        <v>27.3</v>
      </c>
      <c r="F22" s="75">
        <f>All!F24</f>
        <v>71.7</v>
      </c>
      <c r="G22" s="75">
        <f>All!G24</f>
        <v>132</v>
      </c>
      <c r="H22" s="75">
        <f>All!H24</f>
        <v>28.3</v>
      </c>
      <c r="I22" s="75">
        <f>All!I24</f>
        <v>676.2</v>
      </c>
      <c r="J22" s="75">
        <f>All!J24</f>
        <v>148.6</v>
      </c>
      <c r="K22" s="75">
        <f>All!K24</f>
        <v>138.5</v>
      </c>
      <c r="L22" s="75">
        <f>All!L24</f>
        <v>13.5</v>
      </c>
      <c r="M22" s="75">
        <f>All!M24</f>
        <v>46.8</v>
      </c>
      <c r="N22" s="75">
        <f>All!N24</f>
        <v>24.7</v>
      </c>
      <c r="O22" s="75">
        <f>All!O24</f>
        <v>1403.8</v>
      </c>
      <c r="P22" s="76">
        <f>All!P24</f>
        <v>117</v>
      </c>
    </row>
    <row r="23" spans="2:16" s="277" customFormat="1">
      <c r="B23" s="274">
        <f>All!B25</f>
        <v>2014</v>
      </c>
      <c r="C23" s="275">
        <f>All!C25</f>
        <v>13</v>
      </c>
      <c r="D23" s="275">
        <f>All!D25</f>
        <v>16.2</v>
      </c>
      <c r="E23" s="275">
        <f>All!E25</f>
        <v>7.2</v>
      </c>
      <c r="F23" s="275">
        <f>All!F25</f>
        <v>31</v>
      </c>
      <c r="G23" s="275">
        <f>All!G25</f>
        <v>63</v>
      </c>
      <c r="H23" s="275">
        <f>All!H25</f>
        <v>98.1</v>
      </c>
      <c r="I23" s="275">
        <f>All!I25</f>
        <v>207.9</v>
      </c>
      <c r="J23" s="275">
        <f>All!J25</f>
        <v>172.8</v>
      </c>
      <c r="K23" s="275">
        <f>All!K25</f>
        <v>88.1</v>
      </c>
      <c r="L23" s="275">
        <f>All!L25</f>
        <v>52.2</v>
      </c>
      <c r="M23" s="275">
        <f>All!M25</f>
        <v>41.5</v>
      </c>
      <c r="N23" s="275">
        <f>All!N25</f>
        <v>17.899999999999999</v>
      </c>
      <c r="O23" s="275">
        <f>All!O25</f>
        <v>808.9</v>
      </c>
      <c r="P23" s="276">
        <f>All!P25</f>
        <v>67.400000000000006</v>
      </c>
    </row>
    <row r="24" spans="2:16">
      <c r="B24" s="74">
        <f>All!B26</f>
        <v>2015</v>
      </c>
      <c r="C24" s="75">
        <f>All!C26</f>
        <v>11.3</v>
      </c>
      <c r="D24" s="75">
        <f>All!D26</f>
        <v>22.7</v>
      </c>
      <c r="E24" s="75">
        <f>All!E26</f>
        <v>9.6</v>
      </c>
      <c r="F24" s="75">
        <f>All!F26</f>
        <v>80.5</v>
      </c>
      <c r="G24" s="75">
        <f>All!G26</f>
        <v>28.9</v>
      </c>
      <c r="H24" s="75">
        <f>All!H26</f>
        <v>99</v>
      </c>
      <c r="I24" s="75">
        <f>All!I26</f>
        <v>226</v>
      </c>
      <c r="J24" s="75">
        <f>All!J26</f>
        <v>72.900000000000006</v>
      </c>
      <c r="K24" s="75">
        <f>All!K26</f>
        <v>26</v>
      </c>
      <c r="L24" s="75">
        <f>All!L26</f>
        <v>81.5</v>
      </c>
      <c r="M24" s="75">
        <f>All!M26</f>
        <v>104.6</v>
      </c>
      <c r="N24" s="75">
        <f>All!N26</f>
        <v>29.1</v>
      </c>
      <c r="O24" s="75">
        <f>All!O26</f>
        <v>792.1</v>
      </c>
      <c r="P24" s="76">
        <f>All!P26</f>
        <v>66</v>
      </c>
    </row>
    <row r="25" spans="2:16">
      <c r="B25" s="74">
        <f>All!B27</f>
        <v>2016</v>
      </c>
      <c r="C25" s="75">
        <f>All!C27</f>
        <v>1</v>
      </c>
      <c r="D25" s="75">
        <f>All!D27</f>
        <v>47.6</v>
      </c>
      <c r="E25" s="75">
        <f>All!E27</f>
        <v>40.5</v>
      </c>
      <c r="F25" s="75">
        <f>All!F27</f>
        <v>76.8</v>
      </c>
      <c r="G25" s="75">
        <f>All!G27</f>
        <v>160.5</v>
      </c>
      <c r="H25" s="75">
        <f>All!H27</f>
        <v>54.4</v>
      </c>
      <c r="I25" s="75">
        <f>All!I27</f>
        <v>358.2</v>
      </c>
      <c r="J25" s="75">
        <f>All!J27</f>
        <v>67.099999999999994</v>
      </c>
      <c r="K25" s="75">
        <f>All!K27</f>
        <v>33</v>
      </c>
      <c r="L25" s="75">
        <f>All!L27</f>
        <v>74.8</v>
      </c>
      <c r="M25" s="75">
        <f>All!M27</f>
        <v>16.7</v>
      </c>
      <c r="N25" s="75">
        <f>All!N27</f>
        <v>61.1</v>
      </c>
      <c r="O25" s="75">
        <f>All!O27</f>
        <v>991.7</v>
      </c>
      <c r="P25" s="76">
        <f>All!P27</f>
        <v>82.6</v>
      </c>
    </row>
    <row r="26" spans="2:16">
      <c r="B26" s="74">
        <f>All!B28</f>
        <v>2017</v>
      </c>
      <c r="C26" s="75">
        <f>All!C28</f>
        <v>14.9</v>
      </c>
      <c r="D26" s="75">
        <f>All!D28</f>
        <v>11.1</v>
      </c>
      <c r="E26" s="75">
        <f>All!E28</f>
        <v>7.9</v>
      </c>
      <c r="F26" s="75">
        <f>All!F28</f>
        <v>61.6</v>
      </c>
      <c r="G26" s="75">
        <f>All!G28</f>
        <v>16.100000000000001</v>
      </c>
      <c r="H26" s="75">
        <f>All!H28</f>
        <v>66.599999999999994</v>
      </c>
      <c r="I26" s="75">
        <f>All!I28</f>
        <v>621</v>
      </c>
      <c r="J26" s="75">
        <f>All!J28</f>
        <v>297</v>
      </c>
      <c r="K26" s="75">
        <f>All!K28</f>
        <v>35</v>
      </c>
      <c r="L26" s="75">
        <f>All!L28</f>
        <v>26.5</v>
      </c>
      <c r="M26" s="75">
        <f>All!M28</f>
        <v>40.700000000000003</v>
      </c>
      <c r="N26" s="75">
        <f>All!N28</f>
        <v>34.799999999999997</v>
      </c>
      <c r="O26" s="75">
        <f>All!O28</f>
        <v>1233.2</v>
      </c>
      <c r="P26" s="76">
        <f>All!P28</f>
        <v>102.8</v>
      </c>
    </row>
    <row r="27" spans="2:16">
      <c r="B27" s="74">
        <f>All!B29</f>
        <v>2018</v>
      </c>
      <c r="C27" s="75">
        <f>All!C29</f>
        <v>8.5</v>
      </c>
      <c r="D27" s="75">
        <f>All!D29</f>
        <v>29.6</v>
      </c>
      <c r="E27" s="75">
        <f>All!E29</f>
        <v>49.5</v>
      </c>
      <c r="F27" s="75">
        <f>All!F29</f>
        <v>130.30000000000001</v>
      </c>
      <c r="G27" s="75">
        <f>All!G29</f>
        <v>222</v>
      </c>
      <c r="H27" s="75">
        <f>All!H29</f>
        <v>171.5</v>
      </c>
      <c r="I27" s="75">
        <f>All!I29</f>
        <v>185.6</v>
      </c>
      <c r="J27" s="75">
        <f>All!J29</f>
        <v>202.6</v>
      </c>
      <c r="K27" s="75">
        <f>All!K29</f>
        <v>68.5</v>
      </c>
      <c r="L27" s="75">
        <f>All!L29</f>
        <v>120.5</v>
      </c>
      <c r="M27" s="75">
        <f>All!M29</f>
        <v>79.099999999999994</v>
      </c>
      <c r="N27" s="75">
        <f>All!N29</f>
        <v>16.399999999999999</v>
      </c>
      <c r="O27" s="75">
        <f>All!O29</f>
        <v>1284.0999999999999</v>
      </c>
      <c r="P27" s="76">
        <f>All!P29</f>
        <v>107</v>
      </c>
    </row>
    <row r="28" spans="2:16">
      <c r="B28" s="74">
        <f>All!B30</f>
        <v>2019</v>
      </c>
      <c r="C28" s="75">
        <f>All!C30</f>
        <v>0</v>
      </c>
      <c r="D28" s="75">
        <f>All!D30</f>
        <v>23.8</v>
      </c>
      <c r="E28" s="75">
        <f>All!E30</f>
        <v>26.8</v>
      </c>
      <c r="F28" s="75">
        <f>All!F30</f>
        <v>47.3</v>
      </c>
      <c r="G28" s="75">
        <f>All!G30</f>
        <v>37.799999999999997</v>
      </c>
      <c r="H28" s="75">
        <f>All!H30</f>
        <v>74</v>
      </c>
      <c r="I28" s="75">
        <f>All!I30</f>
        <v>194.4</v>
      </c>
      <c r="J28" s="75">
        <f>All!J30</f>
        <v>190.5</v>
      </c>
      <c r="K28" s="75">
        <f>All!K30</f>
        <v>139.80000000000001</v>
      </c>
      <c r="L28" s="75">
        <f>All!L30</f>
        <v>55.5</v>
      </c>
      <c r="M28" s="75">
        <f>All!M30</f>
        <v>78.8</v>
      </c>
      <c r="N28" s="75">
        <f>All!N30</f>
        <v>22.6</v>
      </c>
      <c r="O28" s="75">
        <f>All!O30</f>
        <v>891.3</v>
      </c>
      <c r="P28" s="76">
        <f>All!P30</f>
        <v>74.3</v>
      </c>
    </row>
    <row r="29" spans="2:16">
      <c r="B29" s="74">
        <f>All!B31</f>
        <v>2020</v>
      </c>
      <c r="C29" s="75">
        <f>All!C31</f>
        <v>60.5</v>
      </c>
      <c r="D29" s="75">
        <f>All!D31</f>
        <v>53.1</v>
      </c>
      <c r="E29" s="75">
        <f>All!E31</f>
        <v>16.3</v>
      </c>
      <c r="F29" s="75">
        <f>All!F31</f>
        <v>16.899999999999999</v>
      </c>
      <c r="G29" s="75">
        <f>All!G31</f>
        <v>112.4</v>
      </c>
      <c r="H29" s="75">
        <f>All!H31</f>
        <v>139.6</v>
      </c>
      <c r="I29" s="75">
        <f>All!I31</f>
        <v>270.39999999999998</v>
      </c>
      <c r="J29" s="75">
        <f>All!J31</f>
        <v>675.7</v>
      </c>
      <c r="K29" s="75">
        <f>All!K31</f>
        <v>181.5</v>
      </c>
      <c r="L29" s="75">
        <f>All!L31</f>
        <v>0</v>
      </c>
      <c r="M29" s="75">
        <f>All!M31</f>
        <v>120.1</v>
      </c>
      <c r="N29" s="75">
        <f>All!N31</f>
        <v>4.5999999999999996</v>
      </c>
      <c r="O29" s="75">
        <f>All!O31</f>
        <v>1651.1</v>
      </c>
      <c r="P29" s="76">
        <f>All!P31</f>
        <v>137.6</v>
      </c>
    </row>
    <row r="30" spans="2:16">
      <c r="B30" s="74">
        <f>All!B32</f>
        <v>2021</v>
      </c>
      <c r="C30" s="75">
        <f>All!C32</f>
        <v>18.899999999999999</v>
      </c>
      <c r="D30" s="75">
        <f>All!D32</f>
        <v>7.1</v>
      </c>
      <c r="E30" s="75">
        <f>All!E32</f>
        <v>110.9</v>
      </c>
      <c r="F30" s="75">
        <f>All!F32</f>
        <v>124.1</v>
      </c>
      <c r="G30" s="75">
        <f>All!G32</f>
        <v>183.1</v>
      </c>
      <c r="H30" s="75">
        <f>All!H32</f>
        <v>104.6</v>
      </c>
      <c r="I30" s="75">
        <f>All!I32</f>
        <v>168.3</v>
      </c>
      <c r="J30" s="75">
        <f>All!J32</f>
        <v>211.2</v>
      </c>
      <c r="K30" s="75">
        <f>All!K32</f>
        <v>131</v>
      </c>
      <c r="L30" s="75">
        <f>All!L32</f>
        <v>57</v>
      </c>
      <c r="M30" s="75">
        <f>All!M32</f>
        <v>62.4</v>
      </c>
      <c r="N30" s="75">
        <f>All!N32</f>
        <v>7.9</v>
      </c>
      <c r="O30" s="75">
        <f>All!O32</f>
        <v>1186.5</v>
      </c>
      <c r="P30" s="76">
        <f>All!P32</f>
        <v>98.9</v>
      </c>
    </row>
    <row r="31" spans="2:16">
      <c r="B31" s="74">
        <f>All!B33</f>
        <v>2022</v>
      </c>
      <c r="C31" s="75">
        <f>All!C33</f>
        <v>5.5</v>
      </c>
      <c r="D31" s="75">
        <f>All!D33</f>
        <v>4.7</v>
      </c>
      <c r="E31" s="75">
        <f>All!E33</f>
        <v>102.6</v>
      </c>
      <c r="F31" s="75">
        <f>All!F33</f>
        <v>20.399999999999999</v>
      </c>
      <c r="G31" s="75">
        <f>All!G33</f>
        <v>7.5</v>
      </c>
      <c r="H31" s="75">
        <f>All!H33</f>
        <v>393.8</v>
      </c>
      <c r="I31" s="75">
        <f>All!I33</f>
        <v>252.3</v>
      </c>
      <c r="J31" s="75">
        <f>All!J33</f>
        <v>564.79999999999995</v>
      </c>
      <c r="K31" s="75">
        <f>All!K33</f>
        <v>201.5</v>
      </c>
      <c r="L31" s="75">
        <f>All!L33</f>
        <v>124.1</v>
      </c>
      <c r="M31" s="75">
        <f>All!M33</f>
        <v>84.5</v>
      </c>
      <c r="N31" s="75">
        <f>All!N33</f>
        <v>13.6</v>
      </c>
      <c r="O31" s="75">
        <f>All!O33</f>
        <v>1775.3</v>
      </c>
      <c r="P31" s="76">
        <f>All!P33</f>
        <v>147.9</v>
      </c>
    </row>
    <row r="32" spans="2:16">
      <c r="B32" s="74">
        <f>All!B34</f>
        <v>2023</v>
      </c>
      <c r="C32" s="75">
        <f>All!C34</f>
        <v>47.9</v>
      </c>
      <c r="D32" s="75">
        <f>All!D34</f>
        <v>1</v>
      </c>
      <c r="E32" s="75">
        <f>All!E34</f>
        <v>10.5</v>
      </c>
      <c r="F32" s="75">
        <f>All!F34</f>
        <v>96.9</v>
      </c>
      <c r="G32" s="75">
        <f>All!G34</f>
        <v>155.6</v>
      </c>
      <c r="H32" s="75">
        <f>All!H34</f>
        <v>195.6</v>
      </c>
      <c r="I32" s="75">
        <f>All!I34</f>
        <v>459.9</v>
      </c>
      <c r="J32" s="75">
        <f>All!J34</f>
        <v>298.10000000000002</v>
      </c>
      <c r="K32" s="75">
        <f>All!K34</f>
        <v>134.5</v>
      </c>
      <c r="L32" s="75">
        <f>All!L34</f>
        <v>31</v>
      </c>
      <c r="M32" s="75">
        <f>All!M34</f>
        <v>81.900000000000006</v>
      </c>
      <c r="N32" s="75">
        <f>All!N34</f>
        <v>85.9</v>
      </c>
      <c r="O32" s="75">
        <f>All!O34</f>
        <v>1598.8</v>
      </c>
      <c r="P32" s="76">
        <f>All!P34</f>
        <v>133.19999999999999</v>
      </c>
    </row>
    <row r="33" spans="2:17">
      <c r="B33" s="77" t="s">
        <v>171</v>
      </c>
      <c r="C33" s="78">
        <f>ROUND(SUM(C23:C32)/10,1)</f>
        <v>18.2</v>
      </c>
      <c r="D33" s="78">
        <f t="shared" ref="D33:P33" si="0">ROUND(SUM(D23:D32)/10,1)</f>
        <v>21.7</v>
      </c>
      <c r="E33" s="78">
        <f t="shared" si="0"/>
        <v>38.200000000000003</v>
      </c>
      <c r="F33" s="78">
        <f t="shared" si="0"/>
        <v>68.599999999999994</v>
      </c>
      <c r="G33" s="78">
        <f t="shared" si="0"/>
        <v>98.7</v>
      </c>
      <c r="H33" s="78">
        <f t="shared" si="0"/>
        <v>139.69999999999999</v>
      </c>
      <c r="I33" s="78">
        <f t="shared" si="0"/>
        <v>294.39999999999998</v>
      </c>
      <c r="J33" s="78">
        <f t="shared" si="0"/>
        <v>275.3</v>
      </c>
      <c r="K33" s="78">
        <f t="shared" si="0"/>
        <v>103.9</v>
      </c>
      <c r="L33" s="78">
        <f t="shared" si="0"/>
        <v>62.3</v>
      </c>
      <c r="M33" s="78">
        <f t="shared" si="0"/>
        <v>71</v>
      </c>
      <c r="N33" s="78">
        <f t="shared" si="0"/>
        <v>29.4</v>
      </c>
      <c r="O33" s="78">
        <f t="shared" si="0"/>
        <v>1221.3</v>
      </c>
      <c r="P33" s="79">
        <f t="shared" si="0"/>
        <v>101.8</v>
      </c>
    </row>
    <row r="34" spans="2:17" ht="17.25" thickBot="1">
      <c r="B34" s="116" t="s">
        <v>170</v>
      </c>
      <c r="C34" s="80">
        <f>All!C37</f>
        <v>18.2</v>
      </c>
      <c r="D34" s="80">
        <f>All!D37</f>
        <v>23.8</v>
      </c>
      <c r="E34" s="80">
        <f>All!E37</f>
        <v>40.799999999999997</v>
      </c>
      <c r="F34" s="80">
        <f>All!F37</f>
        <v>73.900000000000006</v>
      </c>
      <c r="G34" s="80">
        <f>All!G37</f>
        <v>102.7</v>
      </c>
      <c r="H34" s="80">
        <f>All!H37</f>
        <v>140</v>
      </c>
      <c r="I34" s="80">
        <f>All!I37</f>
        <v>404.4</v>
      </c>
      <c r="J34" s="80">
        <f>All!J37</f>
        <v>361.2</v>
      </c>
      <c r="K34" s="80">
        <f>All!K37</f>
        <v>143.80000000000001</v>
      </c>
      <c r="L34" s="80">
        <f>All!L37</f>
        <v>56.7</v>
      </c>
      <c r="M34" s="80">
        <f>All!M37</f>
        <v>52.3</v>
      </c>
      <c r="N34" s="80">
        <f>All!N37</f>
        <v>22</v>
      </c>
      <c r="O34" s="80">
        <f>All!O37</f>
        <v>1439.8</v>
      </c>
      <c r="P34" s="81">
        <f>All!P37</f>
        <v>120</v>
      </c>
    </row>
    <row r="36" spans="2:17" ht="17.25" thickBot="1"/>
    <row r="37" spans="2:17" ht="26.25" customHeight="1">
      <c r="B37" s="71" t="s">
        <v>29</v>
      </c>
      <c r="C37" s="73" t="s">
        <v>157</v>
      </c>
      <c r="D37" s="84"/>
      <c r="E37" s="85" t="s">
        <v>31</v>
      </c>
      <c r="F37" s="85" t="s">
        <v>32</v>
      </c>
      <c r="G37" s="85" t="s">
        <v>33</v>
      </c>
      <c r="H37" s="85" t="s">
        <v>34</v>
      </c>
      <c r="I37" s="85" t="s">
        <v>35</v>
      </c>
      <c r="J37" s="85" t="s">
        <v>12</v>
      </c>
      <c r="K37" s="90" t="s">
        <v>13</v>
      </c>
      <c r="L37" s="90" t="s">
        <v>14</v>
      </c>
      <c r="M37" s="90" t="s">
        <v>15</v>
      </c>
      <c r="N37" s="85" t="s">
        <v>16</v>
      </c>
      <c r="O37" s="85" t="s">
        <v>17</v>
      </c>
      <c r="P37" s="85" t="s">
        <v>18</v>
      </c>
      <c r="Q37" s="86" t="s">
        <v>30</v>
      </c>
    </row>
    <row r="38" spans="2:17" ht="17.25" thickBot="1">
      <c r="B38" s="74">
        <f>B23</f>
        <v>2014</v>
      </c>
      <c r="C38" s="76">
        <f>O23</f>
        <v>808.9</v>
      </c>
      <c r="D38" s="88" t="s">
        <v>30</v>
      </c>
      <c r="E38" s="89">
        <f>All!C53</f>
        <v>18.2</v>
      </c>
      <c r="F38" s="89">
        <f>All!D53</f>
        <v>21.7</v>
      </c>
      <c r="G38" s="89">
        <f>All!E53</f>
        <v>38.200000000000003</v>
      </c>
      <c r="H38" s="89">
        <f>All!F53</f>
        <v>68.599999999999994</v>
      </c>
      <c r="I38" s="89">
        <f>All!G53</f>
        <v>98.7</v>
      </c>
      <c r="J38" s="89">
        <f>All!H53</f>
        <v>139.69999999999999</v>
      </c>
      <c r="K38" s="89">
        <f>All!I53</f>
        <v>294.39999999999998</v>
      </c>
      <c r="L38" s="89">
        <f>All!J53</f>
        <v>275.3</v>
      </c>
      <c r="M38" s="89">
        <f>All!K53</f>
        <v>103.9</v>
      </c>
      <c r="N38" s="89">
        <f>All!L53</f>
        <v>62.3</v>
      </c>
      <c r="O38" s="89">
        <f>All!M53</f>
        <v>71</v>
      </c>
      <c r="P38" s="89">
        <f>All!N53</f>
        <v>29.4</v>
      </c>
      <c r="Q38" s="140">
        <f>All!P53</f>
        <v>101.8</v>
      </c>
    </row>
    <row r="39" spans="2:17">
      <c r="B39" s="74">
        <f t="shared" ref="B39:B48" si="1">B24</f>
        <v>2015</v>
      </c>
      <c r="C39" s="76">
        <f t="shared" ref="C39:C48" si="2">O24</f>
        <v>792.1</v>
      </c>
    </row>
    <row r="40" spans="2:17">
      <c r="B40" s="74">
        <f t="shared" si="1"/>
        <v>2016</v>
      </c>
      <c r="C40" s="76">
        <f t="shared" si="2"/>
        <v>991.7</v>
      </c>
    </row>
    <row r="41" spans="2:17">
      <c r="B41" s="74">
        <f t="shared" si="1"/>
        <v>2017</v>
      </c>
      <c r="C41" s="76">
        <f t="shared" si="2"/>
        <v>1233.2</v>
      </c>
    </row>
    <row r="42" spans="2:17">
      <c r="B42" s="74">
        <f t="shared" si="1"/>
        <v>2018</v>
      </c>
      <c r="C42" s="76">
        <f t="shared" si="2"/>
        <v>1284.0999999999999</v>
      </c>
    </row>
    <row r="43" spans="2:17">
      <c r="B43" s="74">
        <f t="shared" si="1"/>
        <v>2019</v>
      </c>
      <c r="C43" s="76">
        <f t="shared" si="2"/>
        <v>891.3</v>
      </c>
    </row>
    <row r="44" spans="2:17">
      <c r="B44" s="74">
        <f t="shared" si="1"/>
        <v>2020</v>
      </c>
      <c r="C44" s="76">
        <f t="shared" si="2"/>
        <v>1651.1</v>
      </c>
    </row>
    <row r="45" spans="2:17">
      <c r="B45" s="74">
        <f t="shared" si="1"/>
        <v>2021</v>
      </c>
      <c r="C45" s="76">
        <f t="shared" si="2"/>
        <v>1186.5</v>
      </c>
    </row>
    <row r="46" spans="2:17">
      <c r="B46" s="74">
        <f t="shared" si="1"/>
        <v>2022</v>
      </c>
      <c r="C46" s="76">
        <f t="shared" si="2"/>
        <v>1775.3</v>
      </c>
    </row>
    <row r="47" spans="2:17">
      <c r="B47" s="74">
        <f t="shared" si="1"/>
        <v>2023</v>
      </c>
      <c r="C47" s="76">
        <f t="shared" si="2"/>
        <v>1598.8</v>
      </c>
    </row>
    <row r="48" spans="2:17" ht="17.25" thickBot="1">
      <c r="B48" s="82" t="str">
        <f t="shared" si="1"/>
        <v>10년평균</v>
      </c>
      <c r="C48" s="83">
        <f t="shared" si="2"/>
        <v>1221.3</v>
      </c>
    </row>
    <row r="50" spans="2:3" ht="17.25" thickBot="1"/>
    <row r="51" spans="2:3">
      <c r="B51" s="114" t="s">
        <v>172</v>
      </c>
      <c r="C51" s="115" t="s">
        <v>157</v>
      </c>
    </row>
    <row r="52" spans="2:3">
      <c r="B52" s="111">
        <f>B3</f>
        <v>1994</v>
      </c>
      <c r="C52" s="112">
        <f>O3</f>
        <v>1055.8</v>
      </c>
    </row>
    <row r="53" spans="2:3">
      <c r="B53" s="111">
        <f t="shared" ref="B53:B81" si="3">B4</f>
        <v>1995</v>
      </c>
      <c r="C53" s="112">
        <f t="shared" ref="C53:C81" si="4">O4</f>
        <v>1598.6</v>
      </c>
    </row>
    <row r="54" spans="2:3">
      <c r="B54" s="111">
        <f t="shared" si="3"/>
        <v>1996</v>
      </c>
      <c r="C54" s="112">
        <f t="shared" si="4"/>
        <v>1256.5999999999999</v>
      </c>
    </row>
    <row r="55" spans="2:3">
      <c r="B55" s="111">
        <f t="shared" si="3"/>
        <v>1997</v>
      </c>
      <c r="C55" s="112">
        <f t="shared" si="4"/>
        <v>1210.2</v>
      </c>
    </row>
    <row r="56" spans="2:3">
      <c r="B56" s="111">
        <f t="shared" si="3"/>
        <v>1998</v>
      </c>
      <c r="C56" s="112">
        <f t="shared" si="4"/>
        <v>2349.1</v>
      </c>
    </row>
    <row r="57" spans="2:3">
      <c r="B57" s="111">
        <f t="shared" si="3"/>
        <v>1999</v>
      </c>
      <c r="C57" s="112">
        <f t="shared" si="4"/>
        <v>1733.1</v>
      </c>
    </row>
    <row r="58" spans="2:3">
      <c r="B58" s="111">
        <f t="shared" si="3"/>
        <v>2000</v>
      </c>
      <c r="C58" s="112">
        <f t="shared" si="4"/>
        <v>1186.8</v>
      </c>
    </row>
    <row r="59" spans="2:3">
      <c r="B59" s="111">
        <f t="shared" si="3"/>
        <v>2001</v>
      </c>
      <c r="C59" s="112">
        <f t="shared" si="4"/>
        <v>1386</v>
      </c>
    </row>
    <row r="60" spans="2:3">
      <c r="B60" s="111">
        <f t="shared" si="3"/>
        <v>2002</v>
      </c>
      <c r="C60" s="112">
        <f t="shared" si="4"/>
        <v>1388</v>
      </c>
    </row>
    <row r="61" spans="2:3">
      <c r="B61" s="111">
        <f t="shared" si="3"/>
        <v>2003</v>
      </c>
      <c r="C61" s="112">
        <f t="shared" si="4"/>
        <v>2012</v>
      </c>
    </row>
    <row r="62" spans="2:3">
      <c r="B62" s="111">
        <f t="shared" si="3"/>
        <v>2004</v>
      </c>
      <c r="C62" s="112">
        <f t="shared" si="4"/>
        <v>1499.1</v>
      </c>
    </row>
    <row r="63" spans="2:3">
      <c r="B63" s="111">
        <f t="shared" si="3"/>
        <v>2005</v>
      </c>
      <c r="C63" s="112">
        <f t="shared" si="4"/>
        <v>1358.4</v>
      </c>
    </row>
    <row r="64" spans="2:3">
      <c r="B64" s="111">
        <f t="shared" si="3"/>
        <v>2006</v>
      </c>
      <c r="C64" s="112">
        <f t="shared" si="4"/>
        <v>1681.9</v>
      </c>
    </row>
    <row r="65" spans="2:3">
      <c r="B65" s="111">
        <f t="shared" si="3"/>
        <v>2007</v>
      </c>
      <c r="C65" s="112">
        <f t="shared" si="4"/>
        <v>1212.3</v>
      </c>
    </row>
    <row r="66" spans="2:3">
      <c r="B66" s="111">
        <f t="shared" si="3"/>
        <v>2008</v>
      </c>
      <c r="C66" s="112">
        <f t="shared" si="4"/>
        <v>1356.3</v>
      </c>
    </row>
    <row r="67" spans="2:3">
      <c r="B67" s="111">
        <f t="shared" si="3"/>
        <v>2009</v>
      </c>
      <c r="C67" s="112">
        <f t="shared" si="4"/>
        <v>1564</v>
      </c>
    </row>
    <row r="68" spans="2:3">
      <c r="B68" s="111">
        <f t="shared" si="3"/>
        <v>2010</v>
      </c>
      <c r="C68" s="112">
        <f t="shared" si="4"/>
        <v>2043.5</v>
      </c>
    </row>
    <row r="69" spans="2:3">
      <c r="B69" s="111">
        <f t="shared" si="3"/>
        <v>2011</v>
      </c>
      <c r="C69" s="112">
        <f t="shared" si="4"/>
        <v>2039.3</v>
      </c>
    </row>
    <row r="70" spans="2:3">
      <c r="B70" s="111">
        <f t="shared" si="3"/>
        <v>2012</v>
      </c>
      <c r="C70" s="112">
        <f t="shared" si="4"/>
        <v>1646.3</v>
      </c>
    </row>
    <row r="71" spans="2:3">
      <c r="B71" s="111">
        <f t="shared" si="3"/>
        <v>2013</v>
      </c>
      <c r="C71" s="112">
        <f t="shared" si="4"/>
        <v>1403.8</v>
      </c>
    </row>
    <row r="72" spans="2:3">
      <c r="B72" s="111">
        <f t="shared" si="3"/>
        <v>2014</v>
      </c>
      <c r="C72" s="112">
        <f t="shared" si="4"/>
        <v>808.9</v>
      </c>
    </row>
    <row r="73" spans="2:3">
      <c r="B73" s="111">
        <f t="shared" si="3"/>
        <v>2015</v>
      </c>
      <c r="C73" s="112">
        <f t="shared" si="4"/>
        <v>792.1</v>
      </c>
    </row>
    <row r="74" spans="2:3">
      <c r="B74" s="111">
        <f t="shared" si="3"/>
        <v>2016</v>
      </c>
      <c r="C74" s="112">
        <f t="shared" si="4"/>
        <v>991.7</v>
      </c>
    </row>
    <row r="75" spans="2:3">
      <c r="B75" s="111">
        <f t="shared" si="3"/>
        <v>2017</v>
      </c>
      <c r="C75" s="112">
        <f t="shared" si="4"/>
        <v>1233.2</v>
      </c>
    </row>
    <row r="76" spans="2:3">
      <c r="B76" s="111">
        <f t="shared" si="3"/>
        <v>2018</v>
      </c>
      <c r="C76" s="112">
        <f t="shared" si="4"/>
        <v>1284.0999999999999</v>
      </c>
    </row>
    <row r="77" spans="2:3">
      <c r="B77" s="111">
        <f t="shared" si="3"/>
        <v>2019</v>
      </c>
      <c r="C77" s="112">
        <f t="shared" si="4"/>
        <v>891.3</v>
      </c>
    </row>
    <row r="78" spans="2:3">
      <c r="B78" s="111">
        <f>B29</f>
        <v>2020</v>
      </c>
      <c r="C78" s="112">
        <f t="shared" si="4"/>
        <v>1651.1</v>
      </c>
    </row>
    <row r="79" spans="2:3">
      <c r="B79" s="111">
        <f t="shared" si="3"/>
        <v>2021</v>
      </c>
      <c r="C79" s="112">
        <f t="shared" si="4"/>
        <v>1186.5</v>
      </c>
    </row>
    <row r="80" spans="2:3">
      <c r="B80" s="111">
        <f t="shared" si="3"/>
        <v>2022</v>
      </c>
      <c r="C80" s="112">
        <f t="shared" si="4"/>
        <v>1775.3</v>
      </c>
    </row>
    <row r="81" spans="2:3">
      <c r="B81" s="111">
        <f t="shared" si="3"/>
        <v>2023</v>
      </c>
      <c r="C81" s="112">
        <f t="shared" si="4"/>
        <v>1598.8</v>
      </c>
    </row>
    <row r="82" spans="2:3" ht="17.25" thickBot="1">
      <c r="B82" s="88" t="str">
        <f>B34</f>
        <v>30년평균</v>
      </c>
      <c r="C82" s="113">
        <f>O34</f>
        <v>1439.8</v>
      </c>
    </row>
  </sheetData>
  <phoneticPr fontId="7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_Recharge">
    <tabColor theme="9" tint="0.39997558519241921"/>
  </sheetPr>
  <dimension ref="A2:COL4095"/>
  <sheetViews>
    <sheetView zoomScaleNormal="100" workbookViewId="0">
      <selection activeCell="D39" sqref="D39"/>
    </sheetView>
  </sheetViews>
  <sheetFormatPr defaultColWidth="8.88671875" defaultRowHeight="16.5"/>
  <cols>
    <col min="1" max="1" width="17" style="69" customWidth="1"/>
    <col min="2" max="2" width="19.21875" style="69" customWidth="1"/>
    <col min="3" max="14" width="8.77734375" style="69" customWidth="1"/>
    <col min="15" max="15" width="8.77734375" style="390" customWidth="1"/>
    <col min="16" max="16" width="8.77734375" style="69" customWidth="1"/>
    <col min="17" max="16384" width="8.88671875" style="69"/>
  </cols>
  <sheetData>
    <row r="2" spans="2:16" ht="20.25" customHeight="1">
      <c r="B2" s="386" t="str">
        <f>All!B2</f>
        <v>서울기상청</v>
      </c>
      <c r="C2" s="70" t="s">
        <v>336</v>
      </c>
    </row>
    <row r="3" spans="2:16" ht="17.25" thickBot="1">
      <c r="I3" s="196"/>
      <c r="J3" s="196"/>
      <c r="K3" s="196"/>
    </row>
    <row r="4" spans="2:16" ht="29.25" customHeight="1">
      <c r="B4" s="265"/>
      <c r="C4" s="387" t="s">
        <v>7</v>
      </c>
      <c r="D4" s="388" t="s">
        <v>8</v>
      </c>
      <c r="E4" s="388" t="s">
        <v>9</v>
      </c>
      <c r="F4" s="388" t="s">
        <v>10</v>
      </c>
      <c r="G4" s="388" t="s">
        <v>11</v>
      </c>
      <c r="H4" s="388" t="s">
        <v>12</v>
      </c>
      <c r="I4" s="388" t="s">
        <v>13</v>
      </c>
      <c r="J4" s="388" t="s">
        <v>14</v>
      </c>
      <c r="K4" s="388" t="s">
        <v>15</v>
      </c>
      <c r="L4" s="388" t="s">
        <v>16</v>
      </c>
      <c r="M4" s="388" t="s">
        <v>17</v>
      </c>
      <c r="N4" s="389" t="s">
        <v>18</v>
      </c>
      <c r="O4" s="391" t="s">
        <v>19</v>
      </c>
      <c r="P4" s="389" t="s">
        <v>20</v>
      </c>
    </row>
    <row r="5" spans="2:16" ht="22.15" customHeight="1">
      <c r="B5" s="266">
        <f>All!B41</f>
        <v>2014</v>
      </c>
      <c r="C5" s="261">
        <f>All!C41</f>
        <v>13</v>
      </c>
      <c r="D5" s="249">
        <f>All!D41</f>
        <v>16.2</v>
      </c>
      <c r="E5" s="249">
        <f>All!E41</f>
        <v>7.2</v>
      </c>
      <c r="F5" s="249">
        <f>All!F41</f>
        <v>31</v>
      </c>
      <c r="G5" s="249">
        <f>All!G41</f>
        <v>63</v>
      </c>
      <c r="H5" s="249">
        <f>All!H41</f>
        <v>98.1</v>
      </c>
      <c r="I5" s="249">
        <f>All!I41</f>
        <v>207.9</v>
      </c>
      <c r="J5" s="249">
        <f>All!J41</f>
        <v>172.8</v>
      </c>
      <c r="K5" s="249">
        <f>All!K41</f>
        <v>88.1</v>
      </c>
      <c r="L5" s="249">
        <f>All!L41</f>
        <v>52.2</v>
      </c>
      <c r="M5" s="249">
        <f>All!M41</f>
        <v>41.5</v>
      </c>
      <c r="N5" s="250">
        <f>All!N41</f>
        <v>17.899999999999999</v>
      </c>
      <c r="O5" s="393">
        <f>All!O41</f>
        <v>808.9</v>
      </c>
      <c r="P5" s="250">
        <f>All!P41</f>
        <v>67.400000000000006</v>
      </c>
    </row>
    <row r="6" spans="2:16" ht="22.15" customHeight="1">
      <c r="B6" s="267">
        <f>All!B42</f>
        <v>2015</v>
      </c>
      <c r="C6" s="261">
        <f>All!C42</f>
        <v>11.3</v>
      </c>
      <c r="D6" s="249">
        <f>All!D42</f>
        <v>22.7</v>
      </c>
      <c r="E6" s="249">
        <f>All!E42</f>
        <v>9.6</v>
      </c>
      <c r="F6" s="249">
        <f>All!F42</f>
        <v>80.5</v>
      </c>
      <c r="G6" s="249">
        <f>All!G42</f>
        <v>28.9</v>
      </c>
      <c r="H6" s="249">
        <f>All!H42</f>
        <v>99</v>
      </c>
      <c r="I6" s="249">
        <f>All!I42</f>
        <v>226</v>
      </c>
      <c r="J6" s="249">
        <f>All!J42</f>
        <v>72.900000000000006</v>
      </c>
      <c r="K6" s="249">
        <f>All!K42</f>
        <v>26</v>
      </c>
      <c r="L6" s="249">
        <f>All!L42</f>
        <v>81.5</v>
      </c>
      <c r="M6" s="249">
        <f>All!M42</f>
        <v>104.6</v>
      </c>
      <c r="N6" s="250">
        <f>All!N42</f>
        <v>29.1</v>
      </c>
      <c r="O6" s="392">
        <f>All!O42</f>
        <v>792.1</v>
      </c>
      <c r="P6" s="250">
        <f>All!P42</f>
        <v>66</v>
      </c>
    </row>
    <row r="7" spans="2:16" ht="22.15" customHeight="1">
      <c r="B7" s="266">
        <f>All!B43</f>
        <v>2016</v>
      </c>
      <c r="C7" s="261">
        <f>All!C43</f>
        <v>1</v>
      </c>
      <c r="D7" s="249">
        <f>All!D43</f>
        <v>47.6</v>
      </c>
      <c r="E7" s="249">
        <f>All!E43</f>
        <v>40.5</v>
      </c>
      <c r="F7" s="249">
        <f>All!F43</f>
        <v>76.8</v>
      </c>
      <c r="G7" s="249">
        <f>All!G43</f>
        <v>160.5</v>
      </c>
      <c r="H7" s="249">
        <f>All!H43</f>
        <v>54.4</v>
      </c>
      <c r="I7" s="249">
        <f>All!I43</f>
        <v>358.2</v>
      </c>
      <c r="J7" s="249">
        <f>All!J43</f>
        <v>67.099999999999994</v>
      </c>
      <c r="K7" s="249">
        <f>All!K43</f>
        <v>33</v>
      </c>
      <c r="L7" s="249">
        <f>All!L43</f>
        <v>74.8</v>
      </c>
      <c r="M7" s="249">
        <f>All!M43</f>
        <v>16.7</v>
      </c>
      <c r="N7" s="250">
        <f>All!N43</f>
        <v>61.1</v>
      </c>
      <c r="O7" s="393">
        <f>All!O43</f>
        <v>991.7</v>
      </c>
      <c r="P7" s="250">
        <f>All!P43</f>
        <v>82.6</v>
      </c>
    </row>
    <row r="8" spans="2:16" ht="22.15" customHeight="1">
      <c r="B8" s="266">
        <f>All!B44</f>
        <v>2017</v>
      </c>
      <c r="C8" s="261">
        <f>All!C44</f>
        <v>14.9</v>
      </c>
      <c r="D8" s="249">
        <f>All!D44</f>
        <v>11.1</v>
      </c>
      <c r="E8" s="249">
        <f>All!E44</f>
        <v>7.9</v>
      </c>
      <c r="F8" s="249">
        <f>All!F44</f>
        <v>61.6</v>
      </c>
      <c r="G8" s="249">
        <f>All!G44</f>
        <v>16.100000000000001</v>
      </c>
      <c r="H8" s="249">
        <f>All!H44</f>
        <v>66.599999999999994</v>
      </c>
      <c r="I8" s="249">
        <f>All!I44</f>
        <v>621</v>
      </c>
      <c r="J8" s="249">
        <f>All!J44</f>
        <v>297</v>
      </c>
      <c r="K8" s="249">
        <f>All!K44</f>
        <v>35</v>
      </c>
      <c r="L8" s="249">
        <f>All!L44</f>
        <v>26.5</v>
      </c>
      <c r="M8" s="249">
        <f>All!M44</f>
        <v>40.700000000000003</v>
      </c>
      <c r="N8" s="250">
        <f>All!N44</f>
        <v>34.799999999999997</v>
      </c>
      <c r="O8" s="393">
        <f>All!O44</f>
        <v>1233.2</v>
      </c>
      <c r="P8" s="250">
        <f>All!P44</f>
        <v>102.8</v>
      </c>
    </row>
    <row r="9" spans="2:16" ht="22.15" customHeight="1">
      <c r="B9" s="266">
        <f>All!B45</f>
        <v>2018</v>
      </c>
      <c r="C9" s="261">
        <f>All!C45</f>
        <v>8.5</v>
      </c>
      <c r="D9" s="249">
        <f>All!D45</f>
        <v>29.6</v>
      </c>
      <c r="E9" s="249">
        <f>All!E45</f>
        <v>49.5</v>
      </c>
      <c r="F9" s="249">
        <f>All!F45</f>
        <v>130.30000000000001</v>
      </c>
      <c r="G9" s="249">
        <f>All!G45</f>
        <v>222</v>
      </c>
      <c r="H9" s="249">
        <f>All!H45</f>
        <v>171.5</v>
      </c>
      <c r="I9" s="249">
        <f>All!I45</f>
        <v>185.6</v>
      </c>
      <c r="J9" s="249">
        <f>All!J45</f>
        <v>202.6</v>
      </c>
      <c r="K9" s="249">
        <f>All!K45</f>
        <v>68.5</v>
      </c>
      <c r="L9" s="249">
        <f>All!L45</f>
        <v>120.5</v>
      </c>
      <c r="M9" s="249">
        <f>All!M45</f>
        <v>79.099999999999994</v>
      </c>
      <c r="N9" s="250">
        <f>All!N45</f>
        <v>16.399999999999999</v>
      </c>
      <c r="O9" s="393">
        <f>All!O45</f>
        <v>1284.0999999999999</v>
      </c>
      <c r="P9" s="250">
        <f>All!P45</f>
        <v>107</v>
      </c>
    </row>
    <row r="10" spans="2:16" ht="22.15" customHeight="1">
      <c r="B10" s="266">
        <f>All!B46</f>
        <v>2019</v>
      </c>
      <c r="C10" s="261">
        <f>All!C46</f>
        <v>0</v>
      </c>
      <c r="D10" s="249">
        <f>All!D46</f>
        <v>23.8</v>
      </c>
      <c r="E10" s="249">
        <f>All!E46</f>
        <v>26.8</v>
      </c>
      <c r="F10" s="249">
        <f>All!F46</f>
        <v>47.3</v>
      </c>
      <c r="G10" s="249">
        <f>All!G46</f>
        <v>37.799999999999997</v>
      </c>
      <c r="H10" s="249">
        <f>All!H46</f>
        <v>74</v>
      </c>
      <c r="I10" s="249">
        <f>All!I46</f>
        <v>194.4</v>
      </c>
      <c r="J10" s="249">
        <f>All!J46</f>
        <v>190.5</v>
      </c>
      <c r="K10" s="249">
        <f>All!K46</f>
        <v>139.80000000000001</v>
      </c>
      <c r="L10" s="249">
        <f>All!L46</f>
        <v>55.5</v>
      </c>
      <c r="M10" s="249">
        <f>All!M46</f>
        <v>78.8</v>
      </c>
      <c r="N10" s="250">
        <f>All!N46</f>
        <v>22.6</v>
      </c>
      <c r="O10" s="393">
        <f>All!O46</f>
        <v>891.3</v>
      </c>
      <c r="P10" s="250">
        <f>All!P46</f>
        <v>74.3</v>
      </c>
    </row>
    <row r="11" spans="2:16" ht="22.15" customHeight="1">
      <c r="B11" s="266">
        <f>All!B47</f>
        <v>2020</v>
      </c>
      <c r="C11" s="261">
        <f>All!C47</f>
        <v>60.5</v>
      </c>
      <c r="D11" s="249">
        <f>All!D47</f>
        <v>53.1</v>
      </c>
      <c r="E11" s="249">
        <f>All!E47</f>
        <v>16.3</v>
      </c>
      <c r="F11" s="249">
        <f>All!F47</f>
        <v>16.899999999999999</v>
      </c>
      <c r="G11" s="249">
        <f>All!G47</f>
        <v>112.4</v>
      </c>
      <c r="H11" s="249">
        <f>All!H47</f>
        <v>139.6</v>
      </c>
      <c r="I11" s="249">
        <f>All!I47</f>
        <v>270.39999999999998</v>
      </c>
      <c r="J11" s="249">
        <f>All!J47</f>
        <v>675.7</v>
      </c>
      <c r="K11" s="249">
        <f>All!K47</f>
        <v>181.5</v>
      </c>
      <c r="L11" s="249">
        <f>All!L47</f>
        <v>0</v>
      </c>
      <c r="M11" s="249">
        <f>All!M47</f>
        <v>120.1</v>
      </c>
      <c r="N11" s="250">
        <f>All!N47</f>
        <v>4.5999999999999996</v>
      </c>
      <c r="O11" s="393">
        <f>All!O47</f>
        <v>1651.1</v>
      </c>
      <c r="P11" s="250">
        <f>All!P47</f>
        <v>137.6</v>
      </c>
    </row>
    <row r="12" spans="2:16" ht="22.15" customHeight="1">
      <c r="B12" s="266">
        <f>All!B48</f>
        <v>2021</v>
      </c>
      <c r="C12" s="261">
        <f>All!C48</f>
        <v>18.899999999999999</v>
      </c>
      <c r="D12" s="249">
        <f>All!D48</f>
        <v>7.1</v>
      </c>
      <c r="E12" s="249">
        <f>All!E48</f>
        <v>110.9</v>
      </c>
      <c r="F12" s="249">
        <f>All!F48</f>
        <v>124.1</v>
      </c>
      <c r="G12" s="249">
        <f>All!G48</f>
        <v>183.1</v>
      </c>
      <c r="H12" s="249">
        <f>All!H48</f>
        <v>104.6</v>
      </c>
      <c r="I12" s="249">
        <f>All!I48</f>
        <v>168.3</v>
      </c>
      <c r="J12" s="249">
        <f>All!J48</f>
        <v>211.2</v>
      </c>
      <c r="K12" s="249">
        <f>All!K48</f>
        <v>131</v>
      </c>
      <c r="L12" s="249">
        <f>All!L48</f>
        <v>57</v>
      </c>
      <c r="M12" s="249">
        <f>All!M48</f>
        <v>62.4</v>
      </c>
      <c r="N12" s="250">
        <f>All!N48</f>
        <v>7.9</v>
      </c>
      <c r="O12" s="393">
        <f>All!O48</f>
        <v>1186.5</v>
      </c>
      <c r="P12" s="250">
        <f>All!P48</f>
        <v>98.9</v>
      </c>
    </row>
    <row r="13" spans="2:16" ht="22.15" customHeight="1">
      <c r="B13" s="266">
        <f>All!B49</f>
        <v>2022</v>
      </c>
      <c r="C13" s="261">
        <f>All!C49</f>
        <v>5.5</v>
      </c>
      <c r="D13" s="249">
        <f>All!D49</f>
        <v>4.7</v>
      </c>
      <c r="E13" s="249">
        <f>All!E49</f>
        <v>102.6</v>
      </c>
      <c r="F13" s="249">
        <f>All!F49</f>
        <v>20.399999999999999</v>
      </c>
      <c r="G13" s="249">
        <f>All!G49</f>
        <v>7.5</v>
      </c>
      <c r="H13" s="249">
        <f>All!H49</f>
        <v>393.8</v>
      </c>
      <c r="I13" s="249">
        <f>All!I49</f>
        <v>252.3</v>
      </c>
      <c r="J13" s="249">
        <f>All!J49</f>
        <v>564.79999999999995</v>
      </c>
      <c r="K13" s="249">
        <f>All!K49</f>
        <v>201.5</v>
      </c>
      <c r="L13" s="249">
        <f>All!L49</f>
        <v>124.1</v>
      </c>
      <c r="M13" s="249">
        <f>All!M49</f>
        <v>84.5</v>
      </c>
      <c r="N13" s="250">
        <f>All!N49</f>
        <v>13.6</v>
      </c>
      <c r="O13" s="393">
        <f>All!O49</f>
        <v>1775.3</v>
      </c>
      <c r="P13" s="250">
        <f>All!P49</f>
        <v>147.9</v>
      </c>
    </row>
    <row r="14" spans="2:16" ht="22.15" customHeight="1" thickBot="1">
      <c r="B14" s="464">
        <f>All!B50</f>
        <v>2023</v>
      </c>
      <c r="C14" s="262">
        <f>All!C50</f>
        <v>47.9</v>
      </c>
      <c r="D14" s="251">
        <f>All!D50</f>
        <v>1</v>
      </c>
      <c r="E14" s="251">
        <f>All!E50</f>
        <v>10.5</v>
      </c>
      <c r="F14" s="251">
        <f>All!F50</f>
        <v>96.9</v>
      </c>
      <c r="G14" s="251">
        <f>All!G50</f>
        <v>155.6</v>
      </c>
      <c r="H14" s="251">
        <f>All!H50</f>
        <v>195.6</v>
      </c>
      <c r="I14" s="251">
        <f>All!I50</f>
        <v>459.9</v>
      </c>
      <c r="J14" s="251">
        <f>All!J50</f>
        <v>298.10000000000002</v>
      </c>
      <c r="K14" s="251">
        <f>All!K50</f>
        <v>134.5</v>
      </c>
      <c r="L14" s="251">
        <f>All!L50</f>
        <v>31</v>
      </c>
      <c r="M14" s="251">
        <f>All!M50</f>
        <v>81.900000000000006</v>
      </c>
      <c r="N14" s="252">
        <f>All!N50</f>
        <v>85.9</v>
      </c>
      <c r="O14" s="396">
        <f>All!O50</f>
        <v>1598.8</v>
      </c>
      <c r="P14" s="252">
        <f>All!P50</f>
        <v>133.19999999999999</v>
      </c>
    </row>
    <row r="15" spans="2:16" ht="22.15" customHeight="1">
      <c r="B15" s="269" t="s">
        <v>21</v>
      </c>
      <c r="C15" s="263">
        <f>All!C51</f>
        <v>60.5</v>
      </c>
      <c r="D15" s="253">
        <f>All!D51</f>
        <v>53.1</v>
      </c>
      <c r="E15" s="253">
        <f>All!E51</f>
        <v>110.9</v>
      </c>
      <c r="F15" s="253">
        <f>All!F51</f>
        <v>130.30000000000001</v>
      </c>
      <c r="G15" s="253">
        <f>All!G51</f>
        <v>222</v>
      </c>
      <c r="H15" s="253">
        <f>All!H51</f>
        <v>393.8</v>
      </c>
      <c r="I15" s="253">
        <f>All!I51</f>
        <v>621</v>
      </c>
      <c r="J15" s="253">
        <f>All!J51</f>
        <v>675.7</v>
      </c>
      <c r="K15" s="253">
        <f>All!K51</f>
        <v>201.5</v>
      </c>
      <c r="L15" s="253">
        <f>All!L51</f>
        <v>124.1</v>
      </c>
      <c r="M15" s="253">
        <f>All!M51</f>
        <v>120.1</v>
      </c>
      <c r="N15" s="254">
        <f>All!N51</f>
        <v>85.9</v>
      </c>
      <c r="O15" s="394">
        <f>All!O51</f>
        <v>1775.3</v>
      </c>
      <c r="P15" s="254">
        <f>All!P51</f>
        <v>147.9</v>
      </c>
    </row>
    <row r="16" spans="2:16" ht="22.15" customHeight="1">
      <c r="B16" s="266" t="s">
        <v>22</v>
      </c>
      <c r="C16" s="261">
        <f>All!C52</f>
        <v>0</v>
      </c>
      <c r="D16" s="249">
        <f>All!D52</f>
        <v>1</v>
      </c>
      <c r="E16" s="249">
        <f>All!E52</f>
        <v>7.2</v>
      </c>
      <c r="F16" s="249">
        <f>All!F52</f>
        <v>16.899999999999999</v>
      </c>
      <c r="G16" s="249">
        <f>All!G52</f>
        <v>7.5</v>
      </c>
      <c r="H16" s="249">
        <f>All!H52</f>
        <v>54.4</v>
      </c>
      <c r="I16" s="249">
        <f>All!I52</f>
        <v>168.3</v>
      </c>
      <c r="J16" s="249">
        <f>All!J52</f>
        <v>67.099999999999994</v>
      </c>
      <c r="K16" s="249">
        <f>All!K52</f>
        <v>26</v>
      </c>
      <c r="L16" s="249">
        <f>All!L52</f>
        <v>0</v>
      </c>
      <c r="M16" s="249">
        <f>All!M52</f>
        <v>16.7</v>
      </c>
      <c r="N16" s="250">
        <f>All!N52</f>
        <v>4.5999999999999996</v>
      </c>
      <c r="O16" s="395">
        <f>All!O52</f>
        <v>792.1</v>
      </c>
      <c r="P16" s="250">
        <f>All!P52</f>
        <v>66</v>
      </c>
    </row>
    <row r="17" spans="1:16" ht="22.15" customHeight="1" thickBot="1">
      <c r="B17" s="268" t="s">
        <v>20</v>
      </c>
      <c r="C17" s="262">
        <f>All!C53</f>
        <v>18.2</v>
      </c>
      <c r="D17" s="251">
        <f>All!D53</f>
        <v>21.7</v>
      </c>
      <c r="E17" s="258">
        <f>All!E53</f>
        <v>38.200000000000003</v>
      </c>
      <c r="F17" s="251">
        <f>All!F53</f>
        <v>68.599999999999994</v>
      </c>
      <c r="G17" s="259">
        <f>All!G53</f>
        <v>98.7</v>
      </c>
      <c r="H17" s="259">
        <f>All!H53</f>
        <v>139.69999999999999</v>
      </c>
      <c r="I17" s="259">
        <f>All!I53</f>
        <v>294.39999999999998</v>
      </c>
      <c r="J17" s="259">
        <f>All!J53</f>
        <v>275.3</v>
      </c>
      <c r="K17" s="259">
        <f>All!K53</f>
        <v>103.9</v>
      </c>
      <c r="L17" s="251">
        <f>All!L53</f>
        <v>62.3</v>
      </c>
      <c r="M17" s="251">
        <f>All!M53</f>
        <v>71</v>
      </c>
      <c r="N17" s="252">
        <f>All!N53</f>
        <v>29.4</v>
      </c>
      <c r="O17" s="396">
        <f>All!O53</f>
        <v>1221.3</v>
      </c>
      <c r="P17" s="260">
        <f>All!P53</f>
        <v>101.8</v>
      </c>
    </row>
    <row r="18" spans="1:16" ht="29.25" customHeight="1" thickBot="1">
      <c r="B18" s="91" t="s">
        <v>23</v>
      </c>
      <c r="C18" s="264">
        <f>All!C37</f>
        <v>18.2</v>
      </c>
      <c r="D18" s="255">
        <f>All!D37</f>
        <v>23.8</v>
      </c>
      <c r="E18" s="255">
        <f>All!E37</f>
        <v>40.799999999999997</v>
      </c>
      <c r="F18" s="255">
        <f>All!F37</f>
        <v>73.900000000000006</v>
      </c>
      <c r="G18" s="255">
        <f>All!G37</f>
        <v>102.7</v>
      </c>
      <c r="H18" s="255">
        <f>All!H37</f>
        <v>140</v>
      </c>
      <c r="I18" s="256">
        <f>All!I37</f>
        <v>404.4</v>
      </c>
      <c r="J18" s="256">
        <f>All!J37</f>
        <v>361.2</v>
      </c>
      <c r="K18" s="256">
        <f>All!K37</f>
        <v>143.80000000000001</v>
      </c>
      <c r="L18" s="256">
        <f>All!L37</f>
        <v>56.7</v>
      </c>
      <c r="M18" s="256">
        <f>All!M37</f>
        <v>52.3</v>
      </c>
      <c r="N18" s="257">
        <f>All!N37</f>
        <v>22</v>
      </c>
      <c r="O18" s="398">
        <f>All!O37</f>
        <v>1439.8</v>
      </c>
      <c r="P18" s="257">
        <f>All!P37</f>
        <v>120</v>
      </c>
    </row>
    <row r="19" spans="1:16" ht="22.15" customHeight="1" thickBot="1"/>
    <row r="20" spans="1:16">
      <c r="B20" s="270" t="s">
        <v>24</v>
      </c>
      <c r="C20" s="125"/>
      <c r="D20" s="128">
        <f>SUM(G17:K17)</f>
        <v>911.99999999999989</v>
      </c>
      <c r="F20" s="92"/>
    </row>
    <row r="21" spans="1:16">
      <c r="B21" s="271" t="s">
        <v>163</v>
      </c>
      <c r="D21" s="129">
        <f>O17</f>
        <v>1221.3</v>
      </c>
    </row>
    <row r="22" spans="1:16" ht="17.25" thickBot="1">
      <c r="B22" s="126"/>
      <c r="C22" s="127"/>
      <c r="D22" s="130">
        <f>D20/D21</f>
        <v>0.74674527143208047</v>
      </c>
    </row>
    <row r="23" spans="1:16" ht="33.75" customHeight="1" thickBot="1">
      <c r="C23" s="243" t="s">
        <v>184</v>
      </c>
      <c r="D23" s="243" t="s">
        <v>185</v>
      </c>
      <c r="E23" s="243" t="s">
        <v>186</v>
      </c>
    </row>
    <row r="24" spans="1:16" ht="21.95" customHeight="1">
      <c r="B24" s="244" t="s">
        <v>93</v>
      </c>
      <c r="C24" s="294">
        <f>O16</f>
        <v>792.1</v>
      </c>
      <c r="D24" s="295"/>
      <c r="E24" s="296"/>
      <c r="H24" s="273" t="s">
        <v>181</v>
      </c>
      <c r="I24" s="664" t="s">
        <v>737</v>
      </c>
      <c r="J24" s="665"/>
      <c r="K24" s="402">
        <f>INDEX(Location[recharge], MATCH(I24,Location[name],0))</f>
        <v>0.14099999999999999</v>
      </c>
      <c r="L24" s="403">
        <f>INDEX(Location[ratio], MATCH(I24,Location[name],0))</f>
        <v>0.72399999999999998</v>
      </c>
    </row>
    <row r="25" spans="1:16" ht="21.95" customHeight="1">
      <c r="B25" s="245" t="s">
        <v>25</v>
      </c>
      <c r="C25" s="297">
        <f>O18</f>
        <v>1439.8</v>
      </c>
      <c r="D25" s="298"/>
      <c r="E25" s="299"/>
      <c r="H25" s="273" t="s">
        <v>182</v>
      </c>
      <c r="I25" s="666" t="s">
        <v>191</v>
      </c>
      <c r="J25" s="667"/>
      <c r="K25" s="400">
        <f>INDEX(Location[recharge], MATCH(I25,Location[name],0))</f>
        <v>0.152</v>
      </c>
      <c r="L25" s="401">
        <f>INDEX(Location[ratio], MATCH(I25,Location[name],0))</f>
        <v>0.68100000000000005</v>
      </c>
    </row>
    <row r="26" spans="1:16" ht="21.95" customHeight="1" thickBot="1">
      <c r="B26" s="246" t="s">
        <v>162</v>
      </c>
      <c r="C26" s="300">
        <f>L24</f>
        <v>0.72399999999999998</v>
      </c>
      <c r="D26" s="301">
        <f>L25</f>
        <v>0.68100000000000005</v>
      </c>
      <c r="E26" s="302">
        <f>L26</f>
        <v>0.72</v>
      </c>
      <c r="H26" s="273" t="s">
        <v>183</v>
      </c>
      <c r="I26" s="668" t="s">
        <v>244</v>
      </c>
      <c r="J26" s="669"/>
      <c r="K26" s="404">
        <f>INDEX(Location[recharge], MATCH(I26,Location[name],0))</f>
        <v>0.17100000000000001</v>
      </c>
      <c r="L26" s="405">
        <f>INDEX(Location[ratio], MATCH(I26,Location[name],0))</f>
        <v>0.72</v>
      </c>
    </row>
    <row r="27" spans="1:16" ht="21.95" customHeight="1">
      <c r="B27" s="245" t="s">
        <v>26</v>
      </c>
      <c r="C27" s="303">
        <f>Well!P4</f>
        <v>6919125.9708000002</v>
      </c>
      <c r="D27" s="298"/>
      <c r="E27" s="304"/>
    </row>
    <row r="28" spans="1:16" ht="21.95" customHeight="1" thickBot="1">
      <c r="B28" s="247" t="s">
        <v>27</v>
      </c>
      <c r="C28" s="305">
        <f>K24</f>
        <v>0.14099999999999999</v>
      </c>
      <c r="D28" s="306">
        <f>K25</f>
        <v>0.152</v>
      </c>
      <c r="E28" s="307">
        <f>K26</f>
        <v>0.17100000000000001</v>
      </c>
    </row>
    <row r="29" spans="1:16" ht="17.25" thickBot="1">
      <c r="E29" s="93"/>
    </row>
    <row r="30" spans="1:16" ht="22.15" customHeight="1" thickBot="1">
      <c r="B30" s="248" t="s">
        <v>164</v>
      </c>
      <c r="C30" s="123">
        <f>max*rf_1/10</f>
        <v>20.301179999999995</v>
      </c>
      <c r="D30" s="123">
        <f>max*rf_2/10</f>
        <v>21.88496</v>
      </c>
      <c r="E30" s="124">
        <f>max*rf_3/10</f>
        <v>24.62058</v>
      </c>
    </row>
    <row r="31" spans="1:16" ht="22.15" customHeight="1">
      <c r="E31" s="93"/>
      <c r="I31" s="339" t="s">
        <v>347</v>
      </c>
    </row>
    <row r="32" spans="1:16" ht="17.25" customHeight="1">
      <c r="A32" s="272" t="s">
        <v>165</v>
      </c>
      <c r="B32" s="196"/>
      <c r="C32" s="196"/>
      <c r="D32" s="196"/>
    </row>
    <row r="33" spans="1:6" ht="17.25" customHeight="1">
      <c r="A33" s="272" t="s">
        <v>166</v>
      </c>
    </row>
    <row r="34" spans="1:6" ht="17.25" customHeight="1">
      <c r="C34" s="196"/>
      <c r="D34" s="196"/>
    </row>
    <row r="35" spans="1:6" ht="17.25" customHeight="1"/>
    <row r="3809" spans="15:15" s="338" customFormat="1" ht="17.25">
      <c r="O3809" s="397"/>
    </row>
    <row r="4095" spans="2430:2430">
      <c r="COL4095" s="197"/>
    </row>
  </sheetData>
  <dataConsolidate/>
  <mergeCells count="3">
    <mergeCell ref="I24:J24"/>
    <mergeCell ref="I25:J25"/>
    <mergeCell ref="I26:J26"/>
  </mergeCells>
  <phoneticPr fontId="7" type="noConversion"/>
  <dataValidations count="1">
    <dataValidation type="list" allowBlank="1" showInputMessage="1" showErrorMessage="1" sqref="I24:J26" xr:uid="{E065B4A4-39B8-4EFA-A151-E0D48F15AF64}">
      <formula1>INDIRECT("Location[name]")</formula1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90" r:id="rId4" name="ShowLocation">
          <controlPr defaultSize="0" autoLine="0" r:id="rId5">
            <anchor moveWithCells="1">
              <from>
                <xdr:col>8</xdr:col>
                <xdr:colOff>38100</xdr:colOff>
                <xdr:row>26</xdr:row>
                <xdr:rowOff>95250</xdr:rowOff>
              </from>
              <to>
                <xdr:col>11</xdr:col>
                <xdr:colOff>714375</xdr:colOff>
                <xdr:row>27</xdr:row>
                <xdr:rowOff>200025</xdr:rowOff>
              </to>
            </anchor>
          </controlPr>
        </control>
      </mc:Choice>
      <mc:Fallback>
        <control shapeId="50190" r:id="rId4" name="ShowLocation"/>
      </mc:Fallback>
    </mc:AlternateContent>
    <mc:AlternateContent xmlns:mc="http://schemas.openxmlformats.org/markup-compatibility/2006">
      <mc:Choice Requires="x14">
        <control shapeId="50181" r:id="rId6" name="CommandButton1">
          <controlPr defaultSize="0" autoLine="0" autoPict="0" r:id="rId7">
            <anchor moveWithCells="1">
              <from>
                <xdr:col>2</xdr:col>
                <xdr:colOff>57150</xdr:colOff>
                <xdr:row>30</xdr:row>
                <xdr:rowOff>104775</xdr:rowOff>
              </from>
              <to>
                <xdr:col>4</xdr:col>
                <xdr:colOff>723900</xdr:colOff>
                <xdr:row>31</xdr:row>
                <xdr:rowOff>209550</xdr:rowOff>
              </to>
            </anchor>
          </controlPr>
        </control>
      </mc:Choice>
      <mc:Fallback>
        <control shapeId="50181" r:id="rId6" name="CommandButton1"/>
      </mc:Fallback>
    </mc:AlternateContent>
    <mc:AlternateContent xmlns:mc="http://schemas.openxmlformats.org/markup-compatibility/2006">
      <mc:Choice Requires="x14">
        <control shapeId="50192" r:id="rId8" name="cbCheSoo">
          <controlPr defaultSize="0" autoLine="0" r:id="rId9">
            <anchor moveWithCells="1">
              <from>
                <xdr:col>5</xdr:col>
                <xdr:colOff>142875</xdr:colOff>
                <xdr:row>30</xdr:row>
                <xdr:rowOff>152400</xdr:rowOff>
              </from>
              <to>
                <xdr:col>6</xdr:col>
                <xdr:colOff>428625</xdr:colOff>
                <xdr:row>31</xdr:row>
                <xdr:rowOff>161925</xdr:rowOff>
              </to>
            </anchor>
          </controlPr>
        </control>
      </mc:Choice>
      <mc:Fallback>
        <control shapeId="50192" r:id="rId8" name="cbCheSoo"/>
      </mc:Fallback>
    </mc:AlternateContent>
    <mc:AlternateContent xmlns:mc="http://schemas.openxmlformats.org/markup-compatibility/2006">
      <mc:Choice Requires="x14">
        <control shapeId="50193" r:id="rId10" name="CommandButton2">
          <controlPr defaultSize="0" autoLine="0" autoPict="0" r:id="rId11">
            <anchor moveWithCells="1">
              <from>
                <xdr:col>2</xdr:col>
                <xdr:colOff>57150</xdr:colOff>
                <xdr:row>32</xdr:row>
                <xdr:rowOff>38100</xdr:rowOff>
              </from>
              <to>
                <xdr:col>4</xdr:col>
                <xdr:colOff>723900</xdr:colOff>
                <xdr:row>33</xdr:row>
                <xdr:rowOff>200025</xdr:rowOff>
              </to>
            </anchor>
          </controlPr>
        </control>
      </mc:Choice>
      <mc:Fallback>
        <control shapeId="50193" r:id="rId10" name="CommandButton2"/>
      </mc:Fallback>
    </mc:AlternateContent>
    <mc:AlternateContent xmlns:mc="http://schemas.openxmlformats.org/markup-compatibility/2006">
      <mc:Choice Requires="x14">
        <control shapeId="50195" r:id="rId12" name="CommandButton3">
          <controlPr defaultSize="0" autoLine="0" r:id="rId13">
            <anchor moveWithCells="1">
              <from>
                <xdr:col>13</xdr:col>
                <xdr:colOff>571500</xdr:colOff>
                <xdr:row>18</xdr:row>
                <xdr:rowOff>85725</xdr:rowOff>
              </from>
              <to>
                <xdr:col>15</xdr:col>
                <xdr:colOff>733425</xdr:colOff>
                <xdr:row>19</xdr:row>
                <xdr:rowOff>190500</xdr:rowOff>
              </to>
            </anchor>
          </controlPr>
        </control>
      </mc:Choice>
      <mc:Fallback>
        <control shapeId="50195" r:id="rId12" name="CommandButton3"/>
      </mc:Fallback>
    </mc:AlternateContent>
    <mc:AlternateContent xmlns:mc="http://schemas.openxmlformats.org/markup-compatibility/2006">
      <mc:Choice Requires="x14">
        <control shapeId="50196" r:id="rId14" name="OptionButton1">
          <controlPr defaultSize="0" autoLine="0" r:id="rId15">
            <anchor moveWithCells="1">
              <from>
                <xdr:col>6</xdr:col>
                <xdr:colOff>314325</xdr:colOff>
                <xdr:row>30</xdr:row>
                <xdr:rowOff>171450</xdr:rowOff>
              </from>
              <to>
                <xdr:col>7</xdr:col>
                <xdr:colOff>695325</xdr:colOff>
                <xdr:row>31</xdr:row>
                <xdr:rowOff>133350</xdr:rowOff>
              </to>
            </anchor>
          </controlPr>
        </control>
      </mc:Choice>
      <mc:Fallback>
        <control shapeId="50196" r:id="rId14" name="OptionButton1"/>
      </mc:Fallback>
    </mc:AlternateContent>
    <mc:AlternateContent xmlns:mc="http://schemas.openxmlformats.org/markup-compatibility/2006">
      <mc:Choice Requires="x14">
        <control shapeId="50197" r:id="rId16" name="OptionButton2">
          <controlPr defaultSize="0" autoLine="0" r:id="rId17">
            <anchor moveWithCells="1">
              <from>
                <xdr:col>6</xdr:col>
                <xdr:colOff>314325</xdr:colOff>
                <xdr:row>31</xdr:row>
                <xdr:rowOff>123825</xdr:rowOff>
              </from>
              <to>
                <xdr:col>8</xdr:col>
                <xdr:colOff>38100</xdr:colOff>
                <xdr:row>32</xdr:row>
                <xdr:rowOff>142875</xdr:rowOff>
              </to>
            </anchor>
          </controlPr>
        </control>
      </mc:Choice>
      <mc:Fallback>
        <control shapeId="50197" r:id="rId16" name="OptionButton2"/>
      </mc:Fallback>
    </mc:AlternateContent>
    <mc:AlternateContent xmlns:mc="http://schemas.openxmlformats.org/markup-compatibility/2006">
      <mc:Choice Requires="x14">
        <control shapeId="50198" r:id="rId18" name="OptionButton3">
          <controlPr defaultSize="0" autoLine="0" r:id="rId19">
            <anchor moveWithCells="1">
              <from>
                <xdr:col>6</xdr:col>
                <xdr:colOff>314325</xdr:colOff>
                <xdr:row>32</xdr:row>
                <xdr:rowOff>133350</xdr:rowOff>
              </from>
              <to>
                <xdr:col>8</xdr:col>
                <xdr:colOff>447675</xdr:colOff>
                <xdr:row>34</xdr:row>
                <xdr:rowOff>28575</xdr:rowOff>
              </to>
            </anchor>
          </controlPr>
        </control>
      </mc:Choice>
      <mc:Fallback>
        <control shapeId="50198" r:id="rId18" name="OptionButton3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1"/>
  <dimension ref="A2:CF34"/>
  <sheetViews>
    <sheetView workbookViewId="0">
      <selection activeCell="F36" sqref="F36"/>
    </sheetView>
  </sheetViews>
  <sheetFormatPr defaultRowHeight="16.5"/>
  <cols>
    <col min="1" max="1" width="28.5546875" style="35" customWidth="1"/>
    <col min="2" max="2" width="14.5546875" style="30" customWidth="1"/>
    <col min="3" max="3" width="4.77734375" customWidth="1"/>
    <col min="4" max="4" width="31.5546875" style="35" customWidth="1"/>
    <col min="5" max="5" width="8.88671875" style="36"/>
    <col min="7" max="7" width="36" style="35" customWidth="1"/>
    <col min="8" max="8" width="8.88671875" style="35"/>
    <col min="10" max="10" width="23.21875" customWidth="1"/>
    <col min="85" max="16384" width="8.88671875" style="35"/>
  </cols>
  <sheetData>
    <row r="2" spans="1:84" s="44" customFormat="1">
      <c r="A2" s="44" t="s">
        <v>147</v>
      </c>
      <c r="B2" s="45" t="s">
        <v>143</v>
      </c>
      <c r="C2"/>
      <c r="D2" s="44" t="s">
        <v>146</v>
      </c>
      <c r="E2" s="46" t="s">
        <v>144</v>
      </c>
      <c r="F2"/>
      <c r="G2" s="44" t="s">
        <v>145</v>
      </c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</row>
    <row r="3" spans="1:84">
      <c r="A3" s="35" t="s">
        <v>119</v>
      </c>
    </row>
    <row r="4" spans="1:84" s="40" customFormat="1">
      <c r="A4" s="39" t="s">
        <v>130</v>
      </c>
      <c r="B4" s="47">
        <v>2</v>
      </c>
      <c r="C4"/>
      <c r="D4" s="39" t="s">
        <v>132</v>
      </c>
      <c r="E4" s="51">
        <v>10</v>
      </c>
      <c r="F4"/>
      <c r="G4" s="39" t="s">
        <v>148</v>
      </c>
      <c r="H4" s="55">
        <v>1</v>
      </c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</row>
    <row r="5" spans="1:84">
      <c r="A5" s="37" t="s">
        <v>121</v>
      </c>
      <c r="B5" s="48">
        <v>3</v>
      </c>
      <c r="D5" s="37" t="s">
        <v>133</v>
      </c>
      <c r="E5" s="52">
        <v>10</v>
      </c>
      <c r="G5" s="37" t="s">
        <v>149</v>
      </c>
      <c r="H5" s="56">
        <v>3</v>
      </c>
    </row>
    <row r="6" spans="1:84" s="40" customFormat="1">
      <c r="A6" s="41" t="s">
        <v>122</v>
      </c>
      <c r="B6" s="49">
        <v>4</v>
      </c>
      <c r="C6"/>
      <c r="D6" s="41" t="s">
        <v>134</v>
      </c>
      <c r="E6" s="53">
        <v>9</v>
      </c>
      <c r="F6"/>
      <c r="G6" s="41" t="s">
        <v>120</v>
      </c>
      <c r="H6" s="57">
        <v>3</v>
      </c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</row>
    <row r="7" spans="1:84">
      <c r="A7" s="37" t="s">
        <v>123</v>
      </c>
      <c r="B7" s="48">
        <v>5</v>
      </c>
      <c r="D7" s="37" t="s">
        <v>135</v>
      </c>
      <c r="E7" s="52">
        <v>8</v>
      </c>
      <c r="G7" s="37" t="s">
        <v>125</v>
      </c>
      <c r="H7" s="56">
        <v>6</v>
      </c>
    </row>
    <row r="8" spans="1:84" s="40" customFormat="1">
      <c r="A8" s="41" t="s">
        <v>124</v>
      </c>
      <c r="B8" s="49">
        <v>6</v>
      </c>
      <c r="C8"/>
      <c r="D8" s="41" t="s">
        <v>136</v>
      </c>
      <c r="E8" s="53">
        <v>7</v>
      </c>
      <c r="F8"/>
      <c r="G8" s="41" t="s">
        <v>150</v>
      </c>
      <c r="H8" s="57">
        <v>6</v>
      </c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</row>
    <row r="9" spans="1:84">
      <c r="A9" s="37" t="s">
        <v>131</v>
      </c>
      <c r="B9" s="48">
        <v>6</v>
      </c>
      <c r="D9" s="37" t="s">
        <v>137</v>
      </c>
      <c r="E9" s="52">
        <v>6</v>
      </c>
      <c r="G9" s="37" t="s">
        <v>151</v>
      </c>
      <c r="H9" s="56">
        <v>6</v>
      </c>
    </row>
    <row r="10" spans="1:84" s="40" customFormat="1">
      <c r="A10" s="41" t="s">
        <v>129</v>
      </c>
      <c r="B10" s="49">
        <v>6</v>
      </c>
      <c r="C10"/>
      <c r="D10" s="41" t="s">
        <v>138</v>
      </c>
      <c r="E10" s="53">
        <v>5</v>
      </c>
      <c r="F10"/>
      <c r="G10" s="41" t="s">
        <v>152</v>
      </c>
      <c r="H10" s="57">
        <v>6</v>
      </c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</row>
    <row r="11" spans="1:84">
      <c r="A11" s="37" t="s">
        <v>126</v>
      </c>
      <c r="B11" s="48">
        <v>8</v>
      </c>
      <c r="D11" s="37" t="s">
        <v>139</v>
      </c>
      <c r="E11" s="52">
        <v>4</v>
      </c>
      <c r="G11" s="37" t="s">
        <v>121</v>
      </c>
      <c r="H11" s="56">
        <v>4</v>
      </c>
    </row>
    <row r="12" spans="1:84" s="40" customFormat="1">
      <c r="A12" s="41" t="s">
        <v>127</v>
      </c>
      <c r="B12" s="49">
        <v>9</v>
      </c>
      <c r="C12"/>
      <c r="D12" s="41" t="s">
        <v>140</v>
      </c>
      <c r="E12" s="53">
        <v>3</v>
      </c>
      <c r="F12"/>
      <c r="G12" s="41" t="s">
        <v>126</v>
      </c>
      <c r="H12" s="57">
        <v>8</v>
      </c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</row>
    <row r="13" spans="1:84">
      <c r="A13" s="38" t="s">
        <v>128</v>
      </c>
      <c r="B13" s="50">
        <v>10</v>
      </c>
      <c r="D13" s="37" t="s">
        <v>141</v>
      </c>
      <c r="E13" s="52">
        <v>2</v>
      </c>
      <c r="G13" s="37" t="s">
        <v>127</v>
      </c>
      <c r="H13" s="56">
        <v>9</v>
      </c>
    </row>
    <row r="14" spans="1:84" s="40" customFormat="1">
      <c r="B14" s="42"/>
      <c r="C14"/>
      <c r="D14" s="43" t="s">
        <v>142</v>
      </c>
      <c r="E14" s="54">
        <v>1</v>
      </c>
      <c r="F14"/>
      <c r="G14" s="43" t="s">
        <v>128</v>
      </c>
      <c r="H14" s="58">
        <v>10</v>
      </c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</row>
    <row r="16" spans="1:84">
      <c r="A16" s="195" t="s">
        <v>328</v>
      </c>
    </row>
    <row r="19" spans="1:7">
      <c r="A19" s="30" t="s">
        <v>368</v>
      </c>
      <c r="D19" s="30" t="s">
        <v>591</v>
      </c>
      <c r="G19" s="342" t="s">
        <v>349</v>
      </c>
    </row>
    <row r="20" spans="1:7">
      <c r="A20" s="30" t="s">
        <v>361</v>
      </c>
      <c r="D20" s="30">
        <v>150</v>
      </c>
      <c r="G20" s="342" t="s">
        <v>350</v>
      </c>
    </row>
    <row r="21" spans="1:7">
      <c r="A21" s="30" t="s">
        <v>362</v>
      </c>
      <c r="D21" s="30">
        <v>200</v>
      </c>
      <c r="G21" s="342" t="s">
        <v>351</v>
      </c>
    </row>
    <row r="22" spans="1:7">
      <c r="A22" s="30" t="s">
        <v>363</v>
      </c>
      <c r="D22" s="30">
        <v>250</v>
      </c>
      <c r="G22" s="342" t="s">
        <v>352</v>
      </c>
    </row>
    <row r="23" spans="1:7">
      <c r="A23" s="30" t="s">
        <v>364</v>
      </c>
      <c r="D23" s="30">
        <v>1700</v>
      </c>
      <c r="G23" s="342" t="s">
        <v>353</v>
      </c>
    </row>
    <row r="24" spans="1:7">
      <c r="A24" s="30" t="s">
        <v>365</v>
      </c>
      <c r="G24" s="342" t="s">
        <v>354</v>
      </c>
    </row>
    <row r="25" spans="1:7">
      <c r="A25" s="30" t="s">
        <v>366</v>
      </c>
      <c r="G25" s="342" t="s">
        <v>355</v>
      </c>
    </row>
    <row r="26" spans="1:7">
      <c r="A26" s="30" t="s">
        <v>367</v>
      </c>
      <c r="G26" s="342" t="s">
        <v>356</v>
      </c>
    </row>
    <row r="27" spans="1:7">
      <c r="G27" s="342" t="s">
        <v>357</v>
      </c>
    </row>
    <row r="28" spans="1:7">
      <c r="G28" s="342" t="s">
        <v>358</v>
      </c>
    </row>
    <row r="29" spans="1:7">
      <c r="G29" s="342" t="s">
        <v>359</v>
      </c>
    </row>
    <row r="30" spans="1:7">
      <c r="G30" s="342" t="s">
        <v>360</v>
      </c>
    </row>
    <row r="31" spans="1:7">
      <c r="G31" s="430" t="s">
        <v>611</v>
      </c>
    </row>
    <row r="32" spans="1:7">
      <c r="G32" s="342" t="s">
        <v>624</v>
      </c>
    </row>
    <row r="33" spans="7:7">
      <c r="G33" s="342" t="s">
        <v>625</v>
      </c>
    </row>
    <row r="34" spans="7:7">
      <c r="G34" s="342" t="s">
        <v>634</v>
      </c>
    </row>
  </sheetData>
  <phoneticPr fontId="7" type="noConversion"/>
  <pageMargins left="0.7" right="0.7" top="0.75" bottom="0.75" header="0.3" footer="0.3"/>
  <tableParts count="3">
    <tablePart r:id="rId1"/>
    <tablePart r:id="rId2"/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97543-E446-47EB-99A5-33104C706837}">
  <sheetPr codeName="Sheet3"/>
  <dimension ref="A1:L18"/>
  <sheetViews>
    <sheetView workbookViewId="0">
      <selection activeCell="K26" sqref="K26"/>
    </sheetView>
  </sheetViews>
  <sheetFormatPr defaultRowHeight="18" customHeight="1"/>
  <cols>
    <col min="1" max="1" width="21" style="141" customWidth="1"/>
    <col min="2" max="2" width="11.5546875" style="141" customWidth="1"/>
    <col min="3" max="3" width="13" style="141" customWidth="1"/>
    <col min="4" max="16384" width="8.88671875" style="145"/>
  </cols>
  <sheetData>
    <row r="1" spans="1:12" ht="18" customHeight="1">
      <c r="A1" s="141" t="s">
        <v>196</v>
      </c>
      <c r="B1" s="141" t="s">
        <v>197</v>
      </c>
      <c r="C1" s="141" t="s">
        <v>198</v>
      </c>
    </row>
    <row r="2" spans="1:12" ht="18" customHeight="1">
      <c r="A2" s="141" t="s">
        <v>195</v>
      </c>
      <c r="B2" s="144">
        <v>0.153</v>
      </c>
      <c r="C2" s="144">
        <v>0.70399999999999996</v>
      </c>
    </row>
    <row r="3" spans="1:12" ht="18" customHeight="1">
      <c r="A3" s="141" t="s">
        <v>187</v>
      </c>
      <c r="B3" s="144">
        <v>0.14499999999999999</v>
      </c>
      <c r="C3" s="144">
        <v>0.70499999999999996</v>
      </c>
    </row>
    <row r="4" spans="1:12" ht="18" customHeight="1">
      <c r="A4" s="141" t="s">
        <v>177</v>
      </c>
      <c r="B4" s="144">
        <v>0.161</v>
      </c>
      <c r="C4" s="144">
        <v>0.70699999999999996</v>
      </c>
      <c r="J4" s="145" t="s">
        <v>189</v>
      </c>
      <c r="K4" s="145">
        <f>INDEX(Location[recharge],MATCH(J4,Location[name],0))</f>
        <v>0.13900000000000001</v>
      </c>
      <c r="L4" s="145">
        <f>INDEX(Location[ratio], MATCH(J4,Location[name]))</f>
        <v>0.70499999999999996</v>
      </c>
    </row>
    <row r="5" spans="1:12" ht="18" customHeight="1">
      <c r="A5" s="141" t="s">
        <v>178</v>
      </c>
      <c r="B5" s="144">
        <v>0.157</v>
      </c>
      <c r="C5" s="144">
        <v>0.70599999999999996</v>
      </c>
    </row>
    <row r="6" spans="1:12" ht="18" customHeight="1">
      <c r="A6" s="141" t="s">
        <v>188</v>
      </c>
      <c r="B6" s="144">
        <v>0.13400000000000001</v>
      </c>
      <c r="C6" s="144">
        <v>0.70599999999999996</v>
      </c>
    </row>
    <row r="7" spans="1:12" ht="18" customHeight="1">
      <c r="A7" s="141" t="s">
        <v>190</v>
      </c>
      <c r="B7" s="144">
        <v>0.13900000000000001</v>
      </c>
      <c r="C7" s="144">
        <v>0.69299999999999995</v>
      </c>
      <c r="E7" s="145" t="s">
        <v>199</v>
      </c>
    </row>
    <row r="8" spans="1:12" ht="18" customHeight="1">
      <c r="A8" s="141" t="s">
        <v>191</v>
      </c>
      <c r="B8" s="144">
        <v>0.152</v>
      </c>
      <c r="C8" s="144">
        <v>0.68100000000000005</v>
      </c>
    </row>
    <row r="9" spans="1:12" ht="18" customHeight="1">
      <c r="A9" s="141" t="s">
        <v>179</v>
      </c>
      <c r="B9" s="144">
        <v>0.14699999999999999</v>
      </c>
      <c r="C9" s="144">
        <v>0.68899999999999995</v>
      </c>
    </row>
    <row r="10" spans="1:12" ht="18" customHeight="1">
      <c r="A10" s="141" t="s">
        <v>192</v>
      </c>
      <c r="B10" s="144">
        <v>0.17100000000000001</v>
      </c>
      <c r="C10" s="144">
        <v>0.72</v>
      </c>
    </row>
    <row r="11" spans="1:12" ht="18" customHeight="1">
      <c r="A11" s="141" t="s">
        <v>193</v>
      </c>
      <c r="B11" s="144">
        <v>0.17299999999999999</v>
      </c>
      <c r="C11" s="144">
        <v>0.70599999999999996</v>
      </c>
    </row>
    <row r="12" spans="1:12" ht="18" customHeight="1">
      <c r="A12" s="141" t="s">
        <v>194</v>
      </c>
      <c r="B12" s="144">
        <v>0.155</v>
      </c>
      <c r="C12" s="144">
        <v>0.69599999999999995</v>
      </c>
    </row>
    <row r="13" spans="1:12" ht="18" customHeight="1">
      <c r="A13" s="141" t="s">
        <v>207</v>
      </c>
      <c r="B13" s="144">
        <v>0.14099999999999999</v>
      </c>
      <c r="C13" s="144">
        <v>0.72399999999999998</v>
      </c>
    </row>
    <row r="14" spans="1:12" ht="18" customHeight="1">
      <c r="A14" s="141" t="s">
        <v>208</v>
      </c>
      <c r="B14" s="144">
        <v>0.128</v>
      </c>
      <c r="C14" s="144">
        <v>0.70599999999999996</v>
      </c>
    </row>
    <row r="15" spans="1:12" ht="18" customHeight="1">
      <c r="A15" s="141" t="s">
        <v>209</v>
      </c>
      <c r="B15" s="144">
        <v>0.16800000000000001</v>
      </c>
      <c r="C15" s="144">
        <v>0.67</v>
      </c>
    </row>
    <row r="16" spans="1:12" ht="18" customHeight="1">
      <c r="A16" s="141" t="s">
        <v>245</v>
      </c>
      <c r="B16" s="144">
        <v>0.153</v>
      </c>
      <c r="C16" s="144">
        <v>0.68100000000000005</v>
      </c>
    </row>
    <row r="17" spans="1:3" ht="18" customHeight="1">
      <c r="A17" s="141" t="s">
        <v>335</v>
      </c>
      <c r="B17" s="144">
        <v>0.13900000000000001</v>
      </c>
      <c r="C17" s="144">
        <v>0.70699999999999996</v>
      </c>
    </row>
    <row r="18" spans="1:3" ht="18" customHeight="1">
      <c r="B18" s="144"/>
      <c r="C18" s="144"/>
    </row>
  </sheetData>
  <phoneticPr fontId="7" type="noConversion"/>
  <dataValidations count="2">
    <dataValidation type="list" allowBlank="1" showInputMessage="1" showErrorMessage="1" sqref="F17" xr:uid="{4B7CC748-BCD7-458D-BD0B-7BAE03877D99}">
      <formula1>$A$2:$A$18</formula1>
    </dataValidation>
    <dataValidation type="list" allowBlank="1" showInputMessage="1" showErrorMessage="1" sqref="J4" xr:uid="{B272EA71-B5A1-49D5-8349-D79797F5E031}">
      <formula1>DaeGweonYeok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8244" r:id="rId3" name="HideLocation">
          <controlPr defaultSize="0" autoLine="0" r:id="rId4">
            <anchor moveWithCells="1">
              <from>
                <xdr:col>4</xdr:col>
                <xdr:colOff>47625</xdr:colOff>
                <xdr:row>2</xdr:row>
                <xdr:rowOff>28575</xdr:rowOff>
              </from>
              <to>
                <xdr:col>6</xdr:col>
                <xdr:colOff>666750</xdr:colOff>
                <xdr:row>4</xdr:row>
                <xdr:rowOff>85725</xdr:rowOff>
              </to>
            </anchor>
          </controlPr>
        </control>
      </mc:Choice>
      <mc:Fallback>
        <control shapeId="138244" r:id="rId3" name="HideLocation"/>
      </mc:Fallback>
    </mc:AlternateContent>
  </controls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FC436-BB6F-48C4-91A3-2D93EE5804D8}">
  <sheetPr codeName="Sheet_AggStep"/>
  <dimension ref="C3:K36"/>
  <sheetViews>
    <sheetView workbookViewId="0">
      <selection activeCell="B6" sqref="B6"/>
    </sheetView>
  </sheetViews>
  <sheetFormatPr defaultRowHeight="16.5"/>
  <cols>
    <col min="1" max="3" width="8.88671875" style="30"/>
    <col min="4" max="11" width="11.77734375" style="30" customWidth="1"/>
    <col min="12" max="16384" width="8.88671875" style="30"/>
  </cols>
  <sheetData>
    <row r="3" spans="3:11" ht="32.25" customHeight="1" thickBot="1">
      <c r="C3" s="146" t="s">
        <v>290</v>
      </c>
    </row>
    <row r="4" spans="3:11" ht="40.5" customHeight="1">
      <c r="C4" s="409" t="s">
        <v>283</v>
      </c>
      <c r="D4" s="410" t="s">
        <v>260</v>
      </c>
      <c r="E4" s="410" t="s">
        <v>284</v>
      </c>
      <c r="F4" s="411" t="s">
        <v>289</v>
      </c>
      <c r="G4" s="410" t="s">
        <v>275</v>
      </c>
      <c r="H4" s="410" t="s">
        <v>285</v>
      </c>
      <c r="I4" s="410" t="s">
        <v>286</v>
      </c>
      <c r="J4" s="410" t="s">
        <v>287</v>
      </c>
      <c r="K4" s="412" t="s">
        <v>288</v>
      </c>
    </row>
    <row r="5" spans="3:11" ht="97.5" customHeight="1">
      <c r="C5" s="156" t="s">
        <v>226</v>
      </c>
      <c r="D5" s="189" t="s">
        <v>291</v>
      </c>
      <c r="E5" s="189" t="s">
        <v>292</v>
      </c>
      <c r="F5" s="189" t="s">
        <v>293</v>
      </c>
      <c r="G5" s="189" t="s">
        <v>694</v>
      </c>
      <c r="H5" s="189" t="s">
        <v>695</v>
      </c>
      <c r="I5" s="189" t="s">
        <v>696</v>
      </c>
      <c r="J5" s="189" t="s">
        <v>697</v>
      </c>
      <c r="K5" s="190" t="s">
        <v>698</v>
      </c>
    </row>
    <row r="6" spans="3:11" ht="97.5" customHeight="1">
      <c r="C6" s="156" t="s">
        <v>227</v>
      </c>
      <c r="D6" s="189" t="s">
        <v>291</v>
      </c>
      <c r="E6" s="189" t="s">
        <v>292</v>
      </c>
      <c r="F6" s="189" t="s">
        <v>293</v>
      </c>
      <c r="G6" s="189" t="s">
        <v>699</v>
      </c>
      <c r="H6" s="189" t="s">
        <v>700</v>
      </c>
      <c r="I6" s="189" t="s">
        <v>701</v>
      </c>
      <c r="J6" s="189" t="s">
        <v>702</v>
      </c>
      <c r="K6" s="190" t="s">
        <v>703</v>
      </c>
    </row>
    <row r="7" spans="3:11" ht="97.5" customHeight="1">
      <c r="C7" s="156" t="s">
        <v>228</v>
      </c>
      <c r="D7" s="189" t="s">
        <v>291</v>
      </c>
      <c r="E7" s="189" t="s">
        <v>292</v>
      </c>
      <c r="F7" s="189" t="s">
        <v>293</v>
      </c>
      <c r="G7" s="189" t="s">
        <v>704</v>
      </c>
      <c r="H7" s="189" t="s">
        <v>705</v>
      </c>
      <c r="I7" s="189" t="s">
        <v>706</v>
      </c>
      <c r="J7" s="189" t="s">
        <v>707</v>
      </c>
      <c r="K7" s="190" t="s">
        <v>708</v>
      </c>
    </row>
    <row r="8" spans="3:11" ht="97.5" customHeight="1">
      <c r="C8" s="156" t="s">
        <v>332</v>
      </c>
      <c r="D8" s="189" t="s">
        <v>291</v>
      </c>
      <c r="E8" s="189" t="s">
        <v>292</v>
      </c>
      <c r="F8" s="189" t="s">
        <v>293</v>
      </c>
      <c r="G8" s="189" t="s">
        <v>699</v>
      </c>
      <c r="H8" s="189" t="s">
        <v>709</v>
      </c>
      <c r="I8" s="189" t="s">
        <v>710</v>
      </c>
      <c r="J8" s="189" t="s">
        <v>711</v>
      </c>
      <c r="K8" s="190" t="s">
        <v>712</v>
      </c>
    </row>
    <row r="9" spans="3:11" ht="97.5" customHeight="1">
      <c r="C9" s="156" t="s">
        <v>333</v>
      </c>
      <c r="D9" s="189" t="s">
        <v>291</v>
      </c>
      <c r="E9" s="189" t="s">
        <v>292</v>
      </c>
      <c r="F9" s="189" t="s">
        <v>293</v>
      </c>
      <c r="G9" s="189" t="s">
        <v>713</v>
      </c>
      <c r="H9" s="189" t="s">
        <v>716</v>
      </c>
      <c r="I9" s="189" t="s">
        <v>717</v>
      </c>
      <c r="J9" s="189" t="s">
        <v>718</v>
      </c>
      <c r="K9" s="190" t="s">
        <v>719</v>
      </c>
    </row>
    <row r="10" spans="3:11" ht="97.5" customHeight="1">
      <c r="C10" s="156" t="s">
        <v>334</v>
      </c>
      <c r="D10" s="189" t="s">
        <v>291</v>
      </c>
      <c r="E10" s="189" t="s">
        <v>292</v>
      </c>
      <c r="F10" s="189" t="s">
        <v>293</v>
      </c>
      <c r="G10" s="189" t="s">
        <v>714</v>
      </c>
      <c r="H10" s="189" t="s">
        <v>720</v>
      </c>
      <c r="I10" s="189" t="s">
        <v>721</v>
      </c>
      <c r="J10" s="189" t="s">
        <v>722</v>
      </c>
      <c r="K10" s="190" t="s">
        <v>723</v>
      </c>
    </row>
    <row r="11" spans="3:11" ht="97.5" customHeight="1">
      <c r="C11" s="156" t="s">
        <v>615</v>
      </c>
      <c r="D11" s="189" t="s">
        <v>291</v>
      </c>
      <c r="E11" s="189" t="s">
        <v>292</v>
      </c>
      <c r="F11" s="189" t="s">
        <v>293</v>
      </c>
      <c r="G11" s="189" t="s">
        <v>714</v>
      </c>
      <c r="H11" s="189" t="s">
        <v>724</v>
      </c>
      <c r="I11" s="189" t="s">
        <v>725</v>
      </c>
      <c r="J11" s="189" t="s">
        <v>726</v>
      </c>
      <c r="K11" s="190" t="s">
        <v>727</v>
      </c>
    </row>
    <row r="12" spans="3:11" ht="97.5" customHeight="1">
      <c r="C12" s="156"/>
      <c r="D12" s="189"/>
      <c r="E12" s="189"/>
      <c r="F12" s="189"/>
      <c r="G12" s="189"/>
      <c r="H12" s="189"/>
      <c r="I12" s="189"/>
      <c r="J12" s="189"/>
      <c r="K12" s="190"/>
    </row>
    <row r="13" spans="3:11" ht="97.5" customHeight="1">
      <c r="C13" s="156"/>
      <c r="D13" s="189"/>
      <c r="E13" s="189"/>
      <c r="F13" s="189"/>
      <c r="G13" s="189"/>
      <c r="H13" s="189"/>
      <c r="I13" s="189"/>
      <c r="J13" s="189"/>
      <c r="K13" s="190"/>
    </row>
    <row r="14" spans="3:11" ht="97.5" customHeight="1">
      <c r="C14" s="156"/>
      <c r="D14" s="189"/>
      <c r="E14" s="189"/>
      <c r="F14" s="189"/>
      <c r="G14" s="189"/>
      <c r="H14" s="189"/>
      <c r="I14" s="189"/>
      <c r="J14" s="189"/>
      <c r="K14" s="190"/>
    </row>
    <row r="15" spans="3:11" ht="97.5" customHeight="1">
      <c r="C15" s="156"/>
      <c r="D15" s="189"/>
      <c r="E15" s="189"/>
      <c r="F15" s="189"/>
      <c r="G15" s="189"/>
      <c r="H15" s="189"/>
      <c r="I15" s="189"/>
      <c r="J15" s="189"/>
      <c r="K15" s="190"/>
    </row>
    <row r="16" spans="3:11" ht="97.5" customHeight="1">
      <c r="C16" s="156"/>
      <c r="D16" s="189"/>
      <c r="E16" s="189"/>
      <c r="F16" s="189"/>
      <c r="G16" s="189"/>
      <c r="H16" s="189"/>
      <c r="I16" s="189"/>
      <c r="J16" s="189"/>
      <c r="K16" s="190"/>
    </row>
    <row r="17" spans="3:11" ht="97.5" customHeight="1">
      <c r="C17" s="156"/>
      <c r="D17" s="189"/>
      <c r="E17" s="189"/>
      <c r="F17" s="189"/>
      <c r="G17" s="189"/>
      <c r="H17" s="189"/>
      <c r="I17" s="189"/>
      <c r="J17" s="189"/>
      <c r="K17" s="190"/>
    </row>
    <row r="18" spans="3:11" ht="97.5" customHeight="1">
      <c r="C18" s="156"/>
      <c r="D18" s="189"/>
      <c r="E18" s="189"/>
      <c r="F18" s="189"/>
      <c r="G18" s="189"/>
      <c r="H18" s="189"/>
      <c r="I18" s="189"/>
      <c r="J18" s="189"/>
      <c r="K18" s="190"/>
    </row>
    <row r="19" spans="3:11" ht="97.5" customHeight="1">
      <c r="C19" s="156"/>
      <c r="D19" s="189"/>
      <c r="E19" s="189"/>
      <c r="F19" s="189"/>
      <c r="G19" s="189"/>
      <c r="H19" s="189"/>
      <c r="I19" s="189"/>
      <c r="J19" s="189"/>
      <c r="K19" s="190"/>
    </row>
    <row r="20" spans="3:11" ht="97.5" customHeight="1">
      <c r="C20" s="156"/>
      <c r="D20" s="189"/>
      <c r="E20" s="189"/>
      <c r="F20" s="189"/>
      <c r="G20" s="189"/>
      <c r="H20" s="189"/>
      <c r="I20" s="189"/>
      <c r="J20" s="189"/>
      <c r="K20" s="190"/>
    </row>
    <row r="21" spans="3:11" ht="97.5" customHeight="1">
      <c r="C21" s="156"/>
      <c r="D21" s="189"/>
      <c r="E21" s="189"/>
      <c r="F21" s="189"/>
      <c r="G21" s="189"/>
      <c r="H21" s="189"/>
      <c r="I21" s="189"/>
      <c r="J21" s="189"/>
      <c r="K21" s="190"/>
    </row>
    <row r="22" spans="3:11" ht="97.5" customHeight="1">
      <c r="C22" s="156"/>
      <c r="D22" s="189"/>
      <c r="E22" s="189"/>
      <c r="F22" s="189"/>
      <c r="G22" s="189"/>
      <c r="H22" s="189"/>
      <c r="I22" s="189"/>
      <c r="J22" s="189"/>
      <c r="K22" s="190"/>
    </row>
    <row r="23" spans="3:11" ht="97.5" customHeight="1">
      <c r="C23" s="156"/>
      <c r="D23" s="189"/>
      <c r="E23" s="189"/>
      <c r="F23" s="189"/>
      <c r="G23" s="189"/>
      <c r="H23" s="189"/>
      <c r="I23" s="189"/>
      <c r="J23" s="189"/>
      <c r="K23" s="190"/>
    </row>
    <row r="24" spans="3:11" ht="97.5" customHeight="1">
      <c r="C24" s="156"/>
      <c r="D24" s="189"/>
      <c r="E24" s="189"/>
      <c r="F24" s="189"/>
      <c r="G24" s="189"/>
      <c r="H24" s="189"/>
      <c r="I24" s="189"/>
      <c r="J24" s="189"/>
      <c r="K24" s="190"/>
    </row>
    <row r="25" spans="3:11" ht="97.5" customHeight="1">
      <c r="C25" s="156"/>
      <c r="D25" s="189"/>
      <c r="E25" s="189"/>
      <c r="F25" s="189"/>
      <c r="G25" s="189"/>
      <c r="H25" s="189"/>
      <c r="I25" s="189"/>
      <c r="J25" s="189"/>
      <c r="K25" s="190"/>
    </row>
    <row r="26" spans="3:11" ht="97.5" customHeight="1">
      <c r="C26" s="156"/>
      <c r="D26" s="189"/>
      <c r="E26" s="189"/>
      <c r="F26" s="189"/>
      <c r="G26" s="189"/>
      <c r="H26" s="189"/>
      <c r="I26" s="189"/>
      <c r="J26" s="189"/>
      <c r="K26" s="190"/>
    </row>
    <row r="27" spans="3:11" ht="97.5" customHeight="1">
      <c r="C27" s="156"/>
      <c r="D27" s="189"/>
      <c r="E27" s="189"/>
      <c r="F27" s="189"/>
      <c r="G27" s="189"/>
      <c r="H27" s="189"/>
      <c r="I27" s="189"/>
      <c r="J27" s="189"/>
      <c r="K27" s="190"/>
    </row>
    <row r="28" spans="3:11" ht="97.5" customHeight="1">
      <c r="C28" s="156"/>
      <c r="D28" s="189"/>
      <c r="E28" s="189"/>
      <c r="F28" s="189"/>
      <c r="G28" s="189"/>
      <c r="H28" s="189"/>
      <c r="I28" s="189"/>
      <c r="J28" s="189"/>
      <c r="K28" s="190"/>
    </row>
    <row r="29" spans="3:11" ht="97.5" customHeight="1">
      <c r="C29" s="156"/>
      <c r="D29" s="189"/>
      <c r="E29" s="189"/>
      <c r="F29" s="189"/>
      <c r="G29" s="189"/>
      <c r="H29" s="189"/>
      <c r="I29" s="189"/>
      <c r="J29" s="189"/>
      <c r="K29" s="190"/>
    </row>
    <row r="30" spans="3:11" ht="97.5" customHeight="1">
      <c r="C30" s="156"/>
      <c r="D30" s="189"/>
      <c r="E30" s="189"/>
      <c r="F30" s="189"/>
      <c r="G30" s="189"/>
      <c r="H30" s="189"/>
      <c r="I30" s="189"/>
      <c r="J30" s="189"/>
      <c r="K30" s="190"/>
    </row>
    <row r="31" spans="3:11" ht="97.5" customHeight="1">
      <c r="C31" s="156"/>
      <c r="D31" s="189"/>
      <c r="E31" s="189"/>
      <c r="F31" s="189"/>
      <c r="G31" s="189"/>
      <c r="H31" s="189"/>
      <c r="I31" s="189"/>
      <c r="J31" s="189"/>
      <c r="K31" s="190"/>
    </row>
    <row r="32" spans="3:11" ht="97.5" customHeight="1">
      <c r="C32" s="156"/>
      <c r="D32" s="189"/>
      <c r="E32" s="189"/>
      <c r="F32" s="189"/>
      <c r="G32" s="189"/>
      <c r="H32" s="189"/>
      <c r="I32" s="189"/>
      <c r="J32" s="189"/>
      <c r="K32" s="190"/>
    </row>
    <row r="33" spans="3:11" ht="97.5" customHeight="1">
      <c r="C33" s="156"/>
      <c r="D33" s="189"/>
      <c r="E33" s="189"/>
      <c r="F33" s="189"/>
      <c r="G33" s="189"/>
      <c r="H33" s="189"/>
      <c r="I33" s="189"/>
      <c r="J33" s="189"/>
      <c r="K33" s="190"/>
    </row>
    <row r="34" spans="3:11" ht="97.5" customHeight="1">
      <c r="C34" s="156"/>
      <c r="D34" s="189"/>
      <c r="E34" s="189"/>
      <c r="F34" s="189"/>
      <c r="G34" s="189"/>
      <c r="H34" s="189"/>
      <c r="I34" s="189"/>
      <c r="J34" s="189"/>
      <c r="K34" s="190"/>
    </row>
    <row r="35" spans="3:11" ht="97.5" customHeight="1">
      <c r="C35" s="156"/>
      <c r="D35" s="185"/>
      <c r="E35" s="185"/>
      <c r="F35" s="185"/>
      <c r="G35" s="185"/>
      <c r="H35" s="185"/>
      <c r="I35" s="185"/>
      <c r="J35" s="185"/>
      <c r="K35" s="187"/>
    </row>
    <row r="36" spans="3:11" ht="97.5" customHeight="1" thickBot="1">
      <c r="C36" s="156"/>
      <c r="D36" s="186"/>
      <c r="E36" s="186"/>
      <c r="F36" s="186"/>
      <c r="G36" s="186"/>
      <c r="H36" s="186"/>
      <c r="I36" s="186"/>
      <c r="J36" s="186"/>
      <c r="K36" s="188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4913" r:id="rId3" name="CommandButton1">
          <controlPr defaultSize="0" autoLine="0" r:id="rId4">
            <anchor moveWithCells="1">
              <from>
                <xdr:col>0</xdr:col>
                <xdr:colOff>76200</xdr:colOff>
                <xdr:row>3</xdr:row>
                <xdr:rowOff>57150</xdr:rowOff>
              </from>
              <to>
                <xdr:col>1</xdr:col>
                <xdr:colOff>638175</xdr:colOff>
                <xdr:row>3</xdr:row>
                <xdr:rowOff>447675</xdr:rowOff>
              </to>
            </anchor>
          </controlPr>
        </control>
      </mc:Choice>
      <mc:Fallback>
        <control shapeId="294913" r:id="rId3" name="CommandButton1"/>
      </mc:Fallback>
    </mc:AlternateContent>
    <mc:AlternateContent xmlns:mc="http://schemas.openxmlformats.org/markup-compatibility/2006">
      <mc:Choice Requires="x14">
        <control shapeId="294914" r:id="rId5" name="CommandButton2">
          <controlPr defaultSize="0" autoLine="0" r:id="rId6">
            <anchor moveWithCells="1">
              <from>
                <xdr:col>0</xdr:col>
                <xdr:colOff>66675</xdr:colOff>
                <xdr:row>3</xdr:row>
                <xdr:rowOff>485775</xdr:rowOff>
              </from>
              <to>
                <xdr:col>1</xdr:col>
                <xdr:colOff>628650</xdr:colOff>
                <xdr:row>4</xdr:row>
                <xdr:rowOff>361950</xdr:rowOff>
              </to>
            </anchor>
          </controlPr>
        </control>
      </mc:Choice>
      <mc:Fallback>
        <control shapeId="294914" r:id="rId5" name="CommandButton2"/>
      </mc:Fallback>
    </mc:AlternateContent>
    <mc:AlternateContent xmlns:mc="http://schemas.openxmlformats.org/markup-compatibility/2006">
      <mc:Choice Requires="x14">
        <control shapeId="294915" r:id="rId7" name="CommandButton3">
          <controlPr defaultSize="0" autoLine="0" autoPict="0" r:id="rId8">
            <anchor moveWithCells="1">
              <from>
                <xdr:col>0</xdr:col>
                <xdr:colOff>47625</xdr:colOff>
                <xdr:row>4</xdr:row>
                <xdr:rowOff>476250</xdr:rowOff>
              </from>
              <to>
                <xdr:col>1</xdr:col>
                <xdr:colOff>628650</xdr:colOff>
                <xdr:row>4</xdr:row>
                <xdr:rowOff>819150</xdr:rowOff>
              </to>
            </anchor>
          </controlPr>
        </control>
      </mc:Choice>
      <mc:Fallback>
        <control shapeId="294915" r:id="rId7" name="CommandButton3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696B7-42D3-499B-839E-40709A68D8A0}">
  <sheetPr codeName="Sheet_AggChart"/>
  <dimension ref="A1"/>
  <sheetViews>
    <sheetView workbookViewId="0">
      <selection activeCell="C21" sqref="C21"/>
    </sheetView>
  </sheetViews>
  <sheetFormatPr defaultRowHeight="13.5"/>
  <sheetData/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96961" r:id="rId4" name="CommandButton1">
          <controlPr defaultSize="0" autoLine="0" r:id="rId5">
            <anchor moveWithCells="1">
              <from>
                <xdr:col>0</xdr:col>
                <xdr:colOff>238125</xdr:colOff>
                <xdr:row>2</xdr:row>
                <xdr:rowOff>19050</xdr:rowOff>
              </from>
              <to>
                <xdr:col>2</xdr:col>
                <xdr:colOff>38100</xdr:colOff>
                <xdr:row>4</xdr:row>
                <xdr:rowOff>66675</xdr:rowOff>
              </to>
            </anchor>
          </controlPr>
        </control>
      </mc:Choice>
      <mc:Fallback>
        <control shapeId="296961" r:id="rId4" name="CommandButton1"/>
      </mc:Fallback>
    </mc:AlternateContent>
    <mc:AlternateContent xmlns:mc="http://schemas.openxmlformats.org/markup-compatibility/2006">
      <mc:Choice Requires="x14">
        <control shapeId="296962" r:id="rId6" name="CommandButton2">
          <controlPr defaultSize="0" autoLine="0" r:id="rId7">
            <anchor moveWithCells="1">
              <from>
                <xdr:col>0</xdr:col>
                <xdr:colOff>228600</xdr:colOff>
                <xdr:row>4</xdr:row>
                <xdr:rowOff>104775</xdr:rowOff>
              </from>
              <to>
                <xdr:col>2</xdr:col>
                <xdr:colOff>28575</xdr:colOff>
                <xdr:row>6</xdr:row>
                <xdr:rowOff>152400</xdr:rowOff>
              </to>
            </anchor>
          </controlPr>
        </control>
      </mc:Choice>
      <mc:Fallback>
        <control shapeId="296962" r:id="rId6" name="CommandButton2"/>
      </mc:Fallback>
    </mc:AlternateContent>
    <mc:AlternateContent xmlns:mc="http://schemas.openxmlformats.org/markup-compatibility/2006">
      <mc:Choice Requires="x14">
        <control shapeId="296963" r:id="rId8" name="CommandButton3">
          <controlPr defaultSize="0" autoLine="0" r:id="rId9">
            <anchor moveWithCells="1">
              <from>
                <xdr:col>0</xdr:col>
                <xdr:colOff>238125</xdr:colOff>
                <xdr:row>8</xdr:row>
                <xdr:rowOff>9525</xdr:rowOff>
              </from>
              <to>
                <xdr:col>2</xdr:col>
                <xdr:colOff>38100</xdr:colOff>
                <xdr:row>10</xdr:row>
                <xdr:rowOff>57150</xdr:rowOff>
              </to>
            </anchor>
          </controlPr>
        </control>
      </mc:Choice>
      <mc:Fallback>
        <control shapeId="296963" r:id="rId8" name="CommandButton3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20AE5-2A20-47BB-B9E1-27452224BBE4}">
  <sheetPr codeName="Sheet_AggFX"/>
  <dimension ref="A3:AN56"/>
  <sheetViews>
    <sheetView workbookViewId="0">
      <selection activeCell="L14" sqref="L14"/>
    </sheetView>
  </sheetViews>
  <sheetFormatPr defaultRowHeight="18" customHeight="1"/>
  <cols>
    <col min="1" max="1" width="8.88671875" style="30"/>
    <col min="2" max="32" width="9" style="30" customWidth="1"/>
    <col min="33" max="16384" width="8.88671875" style="30"/>
  </cols>
  <sheetData>
    <row r="3" spans="1:40" ht="18" customHeight="1" thickBot="1"/>
    <row r="4" spans="1:40" s="95" customFormat="1" ht="72.75" customHeight="1">
      <c r="A4" s="160" t="s">
        <v>264</v>
      </c>
      <c r="B4" s="428" t="s">
        <v>303</v>
      </c>
      <c r="C4" s="428" t="s">
        <v>304</v>
      </c>
      <c r="D4" s="428" t="s">
        <v>313</v>
      </c>
      <c r="E4" s="428" t="s">
        <v>321</v>
      </c>
      <c r="F4" s="428" t="s">
        <v>320</v>
      </c>
      <c r="G4" s="428" t="s">
        <v>305</v>
      </c>
      <c r="H4" s="170" t="s">
        <v>295</v>
      </c>
      <c r="I4" s="428" t="s">
        <v>306</v>
      </c>
      <c r="J4" s="428" t="s">
        <v>307</v>
      </c>
      <c r="K4" s="428" t="s">
        <v>311</v>
      </c>
      <c r="L4" s="428" t="s">
        <v>310</v>
      </c>
      <c r="M4" s="428" t="s">
        <v>308</v>
      </c>
      <c r="N4" s="428" t="s">
        <v>301</v>
      </c>
      <c r="O4" s="170" t="s">
        <v>296</v>
      </c>
      <c r="P4" s="170" t="s">
        <v>297</v>
      </c>
      <c r="Q4" s="428" t="s">
        <v>309</v>
      </c>
      <c r="R4" s="428" t="s">
        <v>314</v>
      </c>
      <c r="S4" s="428" t="s">
        <v>315</v>
      </c>
      <c r="T4" s="170" t="s">
        <v>300</v>
      </c>
      <c r="U4" s="428" t="s">
        <v>312</v>
      </c>
      <c r="V4" s="170" t="s">
        <v>298</v>
      </c>
      <c r="W4" s="170" t="s">
        <v>299</v>
      </c>
      <c r="X4" s="170" t="s">
        <v>302</v>
      </c>
      <c r="Y4" s="428" t="s">
        <v>318</v>
      </c>
      <c r="Z4" s="428" t="s">
        <v>319</v>
      </c>
      <c r="AA4" s="428" t="s">
        <v>326</v>
      </c>
      <c r="AB4" s="428" t="s">
        <v>327</v>
      </c>
      <c r="AC4" s="428" t="s">
        <v>322</v>
      </c>
      <c r="AD4" s="428" t="s">
        <v>316</v>
      </c>
      <c r="AE4" s="428" t="s">
        <v>317</v>
      </c>
      <c r="AF4" s="428" t="s">
        <v>323</v>
      </c>
      <c r="AG4" s="170" t="s">
        <v>324</v>
      </c>
      <c r="AH4" s="170" t="s">
        <v>325</v>
      </c>
      <c r="AI4" s="170" t="s">
        <v>605</v>
      </c>
      <c r="AJ4" s="170" t="s">
        <v>604</v>
      </c>
      <c r="AK4" s="170" t="s">
        <v>606</v>
      </c>
      <c r="AL4" s="170" t="s">
        <v>607</v>
      </c>
      <c r="AM4" s="170" t="s">
        <v>608</v>
      </c>
      <c r="AN4" s="162" t="s">
        <v>609</v>
      </c>
    </row>
    <row r="5" spans="1:40" ht="23.1" customHeight="1">
      <c r="A5" s="156" t="s">
        <v>85</v>
      </c>
      <c r="B5" s="185">
        <v>1.2</v>
      </c>
      <c r="C5" s="185">
        <v>38.4</v>
      </c>
      <c r="D5" s="193">
        <v>3.2611452032809449</v>
      </c>
      <c r="E5" s="193">
        <v>35.138854796719052</v>
      </c>
      <c r="F5" s="185">
        <v>37.199999999999996</v>
      </c>
      <c r="G5" s="185">
        <v>200</v>
      </c>
      <c r="H5" s="185">
        <v>0.1</v>
      </c>
      <c r="I5" s="185">
        <v>100</v>
      </c>
      <c r="J5" s="185">
        <v>12</v>
      </c>
      <c r="K5" s="185">
        <v>80</v>
      </c>
      <c r="L5" s="193">
        <v>2.8266465981091984</v>
      </c>
      <c r="M5" s="185">
        <v>15</v>
      </c>
      <c r="N5" s="185">
        <v>88</v>
      </c>
      <c r="O5" s="192">
        <v>1.4419999999999999</v>
      </c>
      <c r="P5" s="192">
        <v>1.0569999999999999</v>
      </c>
      <c r="Q5" s="192">
        <v>1.2494999999999998</v>
      </c>
      <c r="R5" s="185">
        <v>7.4639999999999998E-2</v>
      </c>
      <c r="S5" s="194">
        <v>3.1629999999999999E-4</v>
      </c>
      <c r="T5" s="185">
        <v>1.4189999999999999E-2</v>
      </c>
      <c r="U5" s="193">
        <v>0.54159999999999997</v>
      </c>
      <c r="V5" s="193">
        <v>73.599999999999994</v>
      </c>
      <c r="W5" s="193">
        <v>90.2</v>
      </c>
      <c r="X5" s="193">
        <v>69.400000000000006</v>
      </c>
      <c r="Y5" s="192">
        <v>-2.7317573670347643</v>
      </c>
      <c r="Z5" s="192">
        <v>1.536</v>
      </c>
      <c r="AA5" s="647">
        <v>91</v>
      </c>
      <c r="AB5" s="193">
        <v>82.666507860516333</v>
      </c>
      <c r="AC5" s="193">
        <v>50</v>
      </c>
      <c r="AD5" s="193">
        <v>15.57</v>
      </c>
      <c r="AE5" s="193">
        <v>33.1</v>
      </c>
      <c r="AF5" s="185">
        <v>1.2455999999999999E-3</v>
      </c>
      <c r="AG5" s="185">
        <v>0.24948960000000001</v>
      </c>
      <c r="AH5" s="427">
        <v>0.90109890109890112</v>
      </c>
      <c r="AI5" s="192">
        <v>1.855</v>
      </c>
      <c r="AJ5" s="192">
        <v>5.0000000000000001E-4</v>
      </c>
      <c r="AK5" s="185" t="s">
        <v>265</v>
      </c>
      <c r="AL5" s="185">
        <v>1.4379</v>
      </c>
      <c r="AM5" s="185">
        <v>1.4398</v>
      </c>
      <c r="AN5" s="187">
        <v>1.2218</v>
      </c>
    </row>
    <row r="6" spans="1:40" ht="23.1" customHeight="1">
      <c r="A6" s="156" t="s">
        <v>154</v>
      </c>
      <c r="B6" s="185">
        <v>6.3</v>
      </c>
      <c r="C6" s="185">
        <v>45.2</v>
      </c>
      <c r="D6" s="193">
        <v>8.3796484190533285</v>
      </c>
      <c r="E6" s="193">
        <v>36.820351580946678</v>
      </c>
      <c r="F6" s="185">
        <v>38.900000000000006</v>
      </c>
      <c r="G6" s="185">
        <v>200</v>
      </c>
      <c r="H6" s="185">
        <v>0.1</v>
      </c>
      <c r="I6" s="185">
        <v>60</v>
      </c>
      <c r="J6" s="185">
        <v>12</v>
      </c>
      <c r="K6" s="185">
        <v>150</v>
      </c>
      <c r="L6" s="193">
        <v>3.6073248871826196</v>
      </c>
      <c r="M6" s="185">
        <v>30</v>
      </c>
      <c r="N6" s="185">
        <v>48</v>
      </c>
      <c r="O6" s="192">
        <v>2.6859999999999999</v>
      </c>
      <c r="P6" s="192">
        <v>2.1989999999999998</v>
      </c>
      <c r="Q6" s="192">
        <v>2.4424999999999999</v>
      </c>
      <c r="R6" s="185">
        <v>0.1002</v>
      </c>
      <c r="S6" s="194">
        <v>2.7109999999999998E-4</v>
      </c>
      <c r="T6" s="185">
        <v>5.0880000000000002E-2</v>
      </c>
      <c r="U6" s="193">
        <v>0.54159999999999997</v>
      </c>
      <c r="V6" s="193">
        <v>154</v>
      </c>
      <c r="W6" s="193">
        <v>188.6</v>
      </c>
      <c r="X6" s="193">
        <v>104.8</v>
      </c>
      <c r="Y6" s="192">
        <v>-2.956686047187473</v>
      </c>
      <c r="Z6" s="192">
        <v>1.923</v>
      </c>
      <c r="AA6" s="647">
        <v>172</v>
      </c>
      <c r="AB6" s="193">
        <v>155.44483477472045</v>
      </c>
      <c r="AC6" s="193">
        <v>94</v>
      </c>
      <c r="AD6" s="193">
        <v>16.28</v>
      </c>
      <c r="AE6" s="193">
        <v>34.619999999999997</v>
      </c>
      <c r="AF6" s="185">
        <v>3.5980000000000002E-4</v>
      </c>
      <c r="AG6" s="185">
        <v>0.13854720000000001</v>
      </c>
      <c r="AH6" s="427">
        <v>0.90116279069767447</v>
      </c>
      <c r="AI6" s="192">
        <v>1.855</v>
      </c>
      <c r="AJ6" s="192">
        <v>5.0000000000000001E-4</v>
      </c>
      <c r="AK6" s="185" t="s">
        <v>265</v>
      </c>
      <c r="AL6" s="185">
        <v>5.2427999999999999</v>
      </c>
      <c r="AM6" s="185">
        <v>5.2466999999999997</v>
      </c>
      <c r="AN6" s="187">
        <v>1.4156</v>
      </c>
    </row>
    <row r="7" spans="1:40" ht="23.1" customHeight="1">
      <c r="A7" s="156" t="s">
        <v>155</v>
      </c>
      <c r="B7" s="185">
        <v>4.5999999999999996</v>
      </c>
      <c r="C7" s="185">
        <v>54.8</v>
      </c>
      <c r="D7" s="193">
        <v>6.7884707348968201</v>
      </c>
      <c r="E7" s="193">
        <v>48.011529265103178</v>
      </c>
      <c r="F7" s="185">
        <v>50.199999999999996</v>
      </c>
      <c r="G7" s="185">
        <v>200</v>
      </c>
      <c r="H7" s="185">
        <v>0.1</v>
      </c>
      <c r="I7" s="185">
        <v>150</v>
      </c>
      <c r="J7" s="185">
        <v>12</v>
      </c>
      <c r="K7" s="185">
        <v>250</v>
      </c>
      <c r="L7" s="193">
        <v>5.5215788442668838</v>
      </c>
      <c r="M7" s="185">
        <v>15</v>
      </c>
      <c r="N7" s="185">
        <v>138</v>
      </c>
      <c r="O7" s="192">
        <v>3.5619999999999998</v>
      </c>
      <c r="P7" s="192">
        <v>2.7389999999999999</v>
      </c>
      <c r="Q7" s="192">
        <v>3.1505000000000001</v>
      </c>
      <c r="R7" s="185">
        <v>0.10489999999999999</v>
      </c>
      <c r="S7" s="194">
        <v>2.5520000000000002E-4</v>
      </c>
      <c r="T7" s="185">
        <v>2.282E-2</v>
      </c>
      <c r="U7" s="193">
        <v>0.54159999999999997</v>
      </c>
      <c r="V7" s="193">
        <v>120.8</v>
      </c>
      <c r="W7" s="193">
        <v>147.9</v>
      </c>
      <c r="X7" s="193">
        <v>122.7</v>
      </c>
      <c r="Y7" s="192">
        <v>-3.0092181948336285</v>
      </c>
      <c r="Z7" s="192">
        <v>2.0270000000000001</v>
      </c>
      <c r="AA7" s="647">
        <v>287</v>
      </c>
      <c r="AB7" s="193">
        <v>259.59296515765442</v>
      </c>
      <c r="AC7" s="193">
        <v>157</v>
      </c>
      <c r="AD7" s="193">
        <v>21.01</v>
      </c>
      <c r="AE7" s="193">
        <v>44.67</v>
      </c>
      <c r="AF7" s="185">
        <v>1.672E-4</v>
      </c>
      <c r="AG7" s="185">
        <v>0.107053</v>
      </c>
      <c r="AH7" s="427">
        <v>0.90243902439024393</v>
      </c>
      <c r="AI7" s="192">
        <v>1.855</v>
      </c>
      <c r="AJ7" s="192">
        <v>5.0000000000000001E-4</v>
      </c>
      <c r="AK7" s="185" t="s">
        <v>265</v>
      </c>
      <c r="AL7" s="185">
        <v>7.5693000000000001</v>
      </c>
      <c r="AM7" s="185">
        <v>7.5735999999999999</v>
      </c>
      <c r="AN7" s="187">
        <v>1.4483999999999999</v>
      </c>
    </row>
    <row r="8" spans="1:40" ht="23.1" customHeight="1">
      <c r="A8" s="156" t="s">
        <v>643</v>
      </c>
      <c r="B8" s="185">
        <v>3.5</v>
      </c>
      <c r="C8" s="185">
        <v>45.3</v>
      </c>
      <c r="D8" s="193">
        <v>5.6097706985427518</v>
      </c>
      <c r="E8" s="193">
        <v>39.690229301457244</v>
      </c>
      <c r="F8" s="185">
        <v>41.8</v>
      </c>
      <c r="G8" s="185">
        <v>200</v>
      </c>
      <c r="H8" s="185">
        <v>0.1</v>
      </c>
      <c r="I8" s="185">
        <v>80</v>
      </c>
      <c r="J8" s="185">
        <v>12</v>
      </c>
      <c r="K8" s="185">
        <v>150</v>
      </c>
      <c r="L8" s="193">
        <v>3.7609153850652088</v>
      </c>
      <c r="M8" s="185">
        <v>30</v>
      </c>
      <c r="N8" s="185">
        <v>68</v>
      </c>
      <c r="O8" s="192">
        <v>2.4849999999999999</v>
      </c>
      <c r="P8" s="192">
        <v>2.1269999999999998</v>
      </c>
      <c r="Q8" s="192">
        <v>2.306</v>
      </c>
      <c r="R8" s="185">
        <v>9.7619999999999998E-2</v>
      </c>
      <c r="S8" s="194">
        <v>2.7710000000000001E-4</v>
      </c>
      <c r="T8" s="185">
        <v>3.3910000000000003E-2</v>
      </c>
      <c r="U8" s="193">
        <v>0.54159999999999997</v>
      </c>
      <c r="V8" s="193">
        <v>128.9</v>
      </c>
      <c r="W8" s="193">
        <v>157.9</v>
      </c>
      <c r="X8" s="193">
        <v>100.7</v>
      </c>
      <c r="Y8" s="192">
        <v>-2.9322237916409706</v>
      </c>
      <c r="Z8" s="192">
        <v>1.877</v>
      </c>
      <c r="AA8" s="647">
        <v>172</v>
      </c>
      <c r="AB8" s="193">
        <v>155.46403682527949</v>
      </c>
      <c r="AC8" s="193">
        <v>94</v>
      </c>
      <c r="AD8" s="193">
        <v>17.489999999999998</v>
      </c>
      <c r="AE8" s="193">
        <v>37.200000000000003</v>
      </c>
      <c r="AF8" s="185">
        <v>3.8690000000000003E-4</v>
      </c>
      <c r="AG8" s="185">
        <v>0.14882989999999999</v>
      </c>
      <c r="AH8" s="427">
        <v>0.90116279069767447</v>
      </c>
      <c r="AI8" s="192">
        <v>1.855</v>
      </c>
      <c r="AJ8" s="192">
        <v>5.0000000000000001E-4</v>
      </c>
      <c r="AK8" s="185" t="s">
        <v>265</v>
      </c>
      <c r="AL8" s="185">
        <v>4.6504000000000003</v>
      </c>
      <c r="AM8" s="185">
        <v>4.6540999999999997</v>
      </c>
      <c r="AN8" s="187">
        <v>1.3973</v>
      </c>
    </row>
    <row r="9" spans="1:40" ht="23.1" customHeight="1">
      <c r="A9" s="156" t="s">
        <v>644</v>
      </c>
      <c r="B9" s="185">
        <v>3</v>
      </c>
      <c r="C9" s="185">
        <v>9.1</v>
      </c>
      <c r="D9" s="193">
        <v>4.4357074930589429</v>
      </c>
      <c r="E9" s="193">
        <v>4.6642925069410568</v>
      </c>
      <c r="F9" s="185">
        <v>6.1</v>
      </c>
      <c r="G9" s="185">
        <v>1700</v>
      </c>
      <c r="H9" s="185">
        <v>0.85</v>
      </c>
      <c r="I9" s="185">
        <v>20</v>
      </c>
      <c r="J9" s="185">
        <v>16</v>
      </c>
      <c r="K9" s="185">
        <v>350</v>
      </c>
      <c r="L9" s="193">
        <v>0.4761044181666837</v>
      </c>
      <c r="M9" s="185">
        <v>30</v>
      </c>
      <c r="N9" s="185">
        <v>4</v>
      </c>
      <c r="O9" s="192">
        <v>26.22</v>
      </c>
      <c r="P9" s="192">
        <v>14.75</v>
      </c>
      <c r="Q9" s="192">
        <v>20.484999999999999</v>
      </c>
      <c r="R9" s="185">
        <v>7.4990000000000001E-2</v>
      </c>
      <c r="S9" s="194">
        <v>2.0799999999999998E-3</v>
      </c>
      <c r="T9" s="185">
        <v>5.1212499999999999</v>
      </c>
      <c r="U9" s="193">
        <v>0.41660000000000003</v>
      </c>
      <c r="V9" s="193">
        <v>193.8</v>
      </c>
      <c r="W9" s="193">
        <v>237.3</v>
      </c>
      <c r="X9" s="193">
        <v>96.1</v>
      </c>
      <c r="Y9" s="192">
        <v>-1.7925545800605662</v>
      </c>
      <c r="Z9" s="192">
        <v>5.1040000000000001</v>
      </c>
      <c r="AA9" s="647">
        <v>402</v>
      </c>
      <c r="AB9" s="193">
        <v>366.29921417026992</v>
      </c>
      <c r="AC9" s="193">
        <v>221</v>
      </c>
      <c r="AD9" s="193">
        <v>2.54</v>
      </c>
      <c r="AE9" s="193">
        <v>5.42</v>
      </c>
      <c r="AF9" s="185">
        <v>1.1E-5</v>
      </c>
      <c r="AG9" s="185">
        <v>9.0199000000000008E-3</v>
      </c>
      <c r="AH9" s="427">
        <v>0.91044776119402981</v>
      </c>
      <c r="AI9" s="192">
        <v>1.855</v>
      </c>
      <c r="AJ9" s="192">
        <v>1E-3</v>
      </c>
      <c r="AK9" s="185" t="s">
        <v>265</v>
      </c>
      <c r="AL9" s="185">
        <v>16.787800000000001</v>
      </c>
      <c r="AM9" s="185">
        <v>16.788599999999999</v>
      </c>
      <c r="AN9" s="187">
        <v>7.3606999999999996</v>
      </c>
    </row>
    <row r="10" spans="1:40" ht="23.1" customHeight="1">
      <c r="A10" s="156" t="s">
        <v>691</v>
      </c>
      <c r="B10" s="185">
        <v>4.7</v>
      </c>
      <c r="C10" s="185">
        <v>9.5399999999999991</v>
      </c>
      <c r="D10" s="193">
        <v>6.0707841442227295</v>
      </c>
      <c r="E10" s="193">
        <v>3.4692158557772697</v>
      </c>
      <c r="F10" s="185">
        <v>4.839999999999999</v>
      </c>
      <c r="G10" s="185">
        <v>1700</v>
      </c>
      <c r="H10" s="185">
        <v>0.85</v>
      </c>
      <c r="I10" s="185">
        <v>20</v>
      </c>
      <c r="J10" s="185">
        <v>16</v>
      </c>
      <c r="K10" s="185">
        <v>300</v>
      </c>
      <c r="L10" s="193">
        <v>0.40657518593608222</v>
      </c>
      <c r="M10" s="185">
        <v>30</v>
      </c>
      <c r="N10" s="185">
        <v>4</v>
      </c>
      <c r="O10" s="192">
        <v>25.59</v>
      </c>
      <c r="P10" s="192">
        <v>15.53</v>
      </c>
      <c r="Q10" s="192">
        <v>20.56</v>
      </c>
      <c r="R10" s="185">
        <v>8.4229999999999999E-2</v>
      </c>
      <c r="S10" s="194">
        <v>2.441E-3</v>
      </c>
      <c r="T10" s="185">
        <v>5.14</v>
      </c>
      <c r="U10" s="193">
        <v>0.41660000000000003</v>
      </c>
      <c r="V10" s="193">
        <v>159.6</v>
      </c>
      <c r="W10" s="193">
        <v>195.5</v>
      </c>
      <c r="X10" s="193">
        <v>88.9</v>
      </c>
      <c r="Y10" s="192">
        <v>-1.7866040384398794</v>
      </c>
      <c r="Z10" s="192">
        <v>5.0739999999999998</v>
      </c>
      <c r="AA10" s="647">
        <v>344</v>
      </c>
      <c r="AB10" s="193">
        <v>312.75663242516282</v>
      </c>
      <c r="AC10" s="193">
        <v>189</v>
      </c>
      <c r="AD10" s="193">
        <v>2.02</v>
      </c>
      <c r="AE10" s="193">
        <v>4.3</v>
      </c>
      <c r="AF10" s="185">
        <v>1.17E-5</v>
      </c>
      <c r="AG10" s="185">
        <v>8.4457000000000004E-3</v>
      </c>
      <c r="AH10" s="427">
        <v>0.90697674418604646</v>
      </c>
      <c r="AI10" s="192">
        <v>1.855</v>
      </c>
      <c r="AJ10" s="192">
        <v>1E-3</v>
      </c>
      <c r="AK10" s="185" t="s">
        <v>265</v>
      </c>
      <c r="AL10" s="185">
        <v>16.900600000000001</v>
      </c>
      <c r="AM10" s="185">
        <v>16.901399999999999</v>
      </c>
      <c r="AN10" s="187">
        <v>7.8010000000000002</v>
      </c>
    </row>
    <row r="11" spans="1:40" ht="23.1" customHeight="1">
      <c r="A11" s="156" t="s">
        <v>692</v>
      </c>
      <c r="B11" s="185">
        <v>5</v>
      </c>
      <c r="C11" s="185">
        <v>9.6999999999999993</v>
      </c>
      <c r="D11" s="193">
        <v>6.3627606087515325</v>
      </c>
      <c r="E11" s="193">
        <v>3.3372393912484668</v>
      </c>
      <c r="F11" s="185">
        <v>4.6999999999999993</v>
      </c>
      <c r="G11" s="185">
        <v>1700</v>
      </c>
      <c r="H11" s="185">
        <v>0.85</v>
      </c>
      <c r="I11" s="185">
        <v>20</v>
      </c>
      <c r="J11" s="185">
        <v>16</v>
      </c>
      <c r="K11" s="185">
        <v>300</v>
      </c>
      <c r="L11" s="193">
        <v>0.39635994075557734</v>
      </c>
      <c r="M11" s="185">
        <v>30</v>
      </c>
      <c r="N11" s="185">
        <v>4</v>
      </c>
      <c r="O11" s="192">
        <v>26.6</v>
      </c>
      <c r="P11" s="192">
        <v>14.69</v>
      </c>
      <c r="Q11" s="192">
        <v>20.645</v>
      </c>
      <c r="R11" s="185">
        <v>8.5800000000000001E-2</v>
      </c>
      <c r="S11" s="194">
        <v>2.186E-3</v>
      </c>
      <c r="T11" s="185">
        <v>5.1612499999999999</v>
      </c>
      <c r="U11" s="193">
        <v>0.41660000000000003</v>
      </c>
      <c r="V11" s="193">
        <v>166.5</v>
      </c>
      <c r="W11" s="193">
        <v>204</v>
      </c>
      <c r="X11" s="193">
        <v>94.1</v>
      </c>
      <c r="Y11" s="192">
        <v>-1.8030276541262953</v>
      </c>
      <c r="Z11" s="192">
        <v>5.1580000000000004</v>
      </c>
      <c r="AA11" s="647">
        <v>344</v>
      </c>
      <c r="AB11" s="193">
        <v>313.14244950728158</v>
      </c>
      <c r="AC11" s="193">
        <v>189</v>
      </c>
      <c r="AD11" s="193">
        <v>1.96</v>
      </c>
      <c r="AE11" s="193">
        <v>4.18</v>
      </c>
      <c r="AF11" s="185">
        <v>1.1399999999999999E-5</v>
      </c>
      <c r="AG11" s="185">
        <v>8.1954999999999997E-3</v>
      </c>
      <c r="AH11" s="427">
        <v>0.90988372093023251</v>
      </c>
      <c r="AI11" s="192">
        <v>1.855</v>
      </c>
      <c r="AJ11" s="192">
        <v>1E-3</v>
      </c>
      <c r="AK11" s="185" t="s">
        <v>265</v>
      </c>
      <c r="AL11" s="185">
        <v>16.95</v>
      </c>
      <c r="AM11" s="185">
        <v>16.950700000000001</v>
      </c>
      <c r="AN11" s="187">
        <v>7.8734000000000002</v>
      </c>
    </row>
    <row r="12" spans="1:40" ht="23.1" customHeight="1">
      <c r="A12" s="156"/>
      <c r="B12" s="185"/>
      <c r="C12" s="185"/>
      <c r="D12" s="185"/>
      <c r="E12" s="185"/>
      <c r="F12" s="185"/>
      <c r="G12" s="185"/>
      <c r="H12" s="185"/>
      <c r="I12" s="185"/>
      <c r="J12" s="185"/>
      <c r="K12" s="185"/>
      <c r="L12" s="185"/>
      <c r="M12" s="185"/>
      <c r="N12" s="185"/>
      <c r="O12" s="185"/>
      <c r="P12" s="185"/>
      <c r="Q12" s="185"/>
      <c r="R12" s="185"/>
      <c r="S12" s="185"/>
      <c r="T12" s="185"/>
      <c r="U12" s="185"/>
      <c r="V12" s="185"/>
      <c r="W12" s="185"/>
      <c r="X12" s="185"/>
      <c r="Y12" s="185"/>
      <c r="Z12" s="185"/>
      <c r="AA12" s="185"/>
      <c r="AB12" s="185"/>
      <c r="AC12" s="185"/>
      <c r="AD12" s="185"/>
      <c r="AE12" s="185"/>
      <c r="AF12" s="185"/>
      <c r="AG12" s="185"/>
      <c r="AH12" s="185"/>
      <c r="AI12" s="185"/>
      <c r="AJ12" s="185"/>
      <c r="AK12" s="185"/>
      <c r="AL12" s="185"/>
      <c r="AM12" s="185"/>
      <c r="AN12" s="187"/>
    </row>
    <row r="13" spans="1:40" ht="23.1" customHeight="1">
      <c r="A13" s="156"/>
      <c r="B13" s="185"/>
      <c r="C13" s="185"/>
      <c r="D13" s="185"/>
      <c r="E13" s="185"/>
      <c r="F13" s="185"/>
      <c r="G13" s="185"/>
      <c r="H13" s="185"/>
      <c r="I13" s="185"/>
      <c r="J13" s="185"/>
      <c r="K13" s="185"/>
      <c r="L13" s="185"/>
      <c r="M13" s="185"/>
      <c r="N13" s="185"/>
      <c r="O13" s="185"/>
      <c r="P13" s="185"/>
      <c r="Q13" s="185"/>
      <c r="R13" s="185"/>
      <c r="S13" s="185"/>
      <c r="T13" s="185"/>
      <c r="U13" s="185"/>
      <c r="V13" s="185"/>
      <c r="W13" s="185"/>
      <c r="X13" s="185"/>
      <c r="Y13" s="185"/>
      <c r="Z13" s="185"/>
      <c r="AA13" s="185"/>
      <c r="AB13" s="185"/>
      <c r="AC13" s="185"/>
      <c r="AD13" s="185"/>
      <c r="AE13" s="185"/>
      <c r="AF13" s="185"/>
      <c r="AG13" s="185"/>
      <c r="AH13" s="185"/>
      <c r="AI13" s="185"/>
      <c r="AJ13" s="185"/>
      <c r="AK13" s="185"/>
      <c r="AL13" s="185"/>
      <c r="AM13" s="185"/>
      <c r="AN13" s="187"/>
    </row>
    <row r="14" spans="1:40" ht="23.1" customHeight="1">
      <c r="A14" s="156"/>
      <c r="B14" s="185"/>
      <c r="C14" s="185"/>
      <c r="D14" s="185"/>
      <c r="E14" s="185"/>
      <c r="F14" s="185"/>
      <c r="G14" s="185"/>
      <c r="H14" s="185"/>
      <c r="I14" s="185"/>
      <c r="J14" s="185"/>
      <c r="K14" s="185"/>
      <c r="L14" s="185"/>
      <c r="M14" s="185"/>
      <c r="N14" s="185"/>
      <c r="O14" s="185"/>
      <c r="P14" s="185"/>
      <c r="Q14" s="185"/>
      <c r="R14" s="185"/>
      <c r="S14" s="185"/>
      <c r="T14" s="185"/>
      <c r="U14" s="185"/>
      <c r="V14" s="185"/>
      <c r="W14" s="185"/>
      <c r="X14" s="185"/>
      <c r="Y14" s="185"/>
      <c r="Z14" s="185"/>
      <c r="AA14" s="185"/>
      <c r="AB14" s="185"/>
      <c r="AC14" s="185"/>
      <c r="AD14" s="185"/>
      <c r="AE14" s="185"/>
      <c r="AF14" s="185"/>
      <c r="AG14" s="185"/>
      <c r="AH14" s="185"/>
      <c r="AI14" s="185"/>
      <c r="AJ14" s="185"/>
      <c r="AK14" s="185"/>
      <c r="AL14" s="185"/>
      <c r="AM14" s="185"/>
      <c r="AN14" s="187"/>
    </row>
    <row r="15" spans="1:40" ht="23.1" customHeight="1">
      <c r="A15" s="156"/>
      <c r="B15" s="185"/>
      <c r="C15" s="185"/>
      <c r="D15" s="185"/>
      <c r="E15" s="185"/>
      <c r="F15" s="185"/>
      <c r="G15" s="185"/>
      <c r="H15" s="185"/>
      <c r="I15" s="185"/>
      <c r="J15" s="185"/>
      <c r="K15" s="185"/>
      <c r="L15" s="185"/>
      <c r="M15" s="185"/>
      <c r="N15" s="185"/>
      <c r="O15" s="185"/>
      <c r="P15" s="185"/>
      <c r="Q15" s="185"/>
      <c r="R15" s="185"/>
      <c r="S15" s="185"/>
      <c r="T15" s="185"/>
      <c r="U15" s="185"/>
      <c r="V15" s="185"/>
      <c r="W15" s="185"/>
      <c r="X15" s="185"/>
      <c r="Y15" s="185"/>
      <c r="Z15" s="185"/>
      <c r="AA15" s="185"/>
      <c r="AB15" s="185"/>
      <c r="AC15" s="185"/>
      <c r="AD15" s="185"/>
      <c r="AE15" s="185"/>
      <c r="AF15" s="185"/>
      <c r="AG15" s="185"/>
      <c r="AH15" s="185"/>
      <c r="AI15" s="185"/>
      <c r="AJ15" s="185"/>
      <c r="AK15" s="185"/>
      <c r="AL15" s="185"/>
      <c r="AM15" s="185"/>
      <c r="AN15" s="187"/>
    </row>
    <row r="16" spans="1:40" ht="23.1" customHeight="1">
      <c r="A16" s="156"/>
      <c r="B16" s="185"/>
      <c r="C16" s="185"/>
      <c r="D16" s="185"/>
      <c r="E16" s="185"/>
      <c r="F16" s="185"/>
      <c r="G16" s="185"/>
      <c r="H16" s="185"/>
      <c r="I16" s="185"/>
      <c r="J16" s="185"/>
      <c r="K16" s="185"/>
      <c r="L16" s="185"/>
      <c r="M16" s="185"/>
      <c r="N16" s="185"/>
      <c r="O16" s="185"/>
      <c r="P16" s="185"/>
      <c r="Q16" s="185"/>
      <c r="R16" s="185"/>
      <c r="S16" s="185"/>
      <c r="T16" s="185"/>
      <c r="U16" s="185"/>
      <c r="V16" s="185"/>
      <c r="W16" s="185"/>
      <c r="X16" s="185"/>
      <c r="Y16" s="185"/>
      <c r="Z16" s="185"/>
      <c r="AA16" s="185"/>
      <c r="AB16" s="185"/>
      <c r="AC16" s="185"/>
      <c r="AD16" s="185"/>
      <c r="AE16" s="185"/>
      <c r="AF16" s="185"/>
      <c r="AG16" s="185"/>
      <c r="AH16" s="185"/>
      <c r="AI16" s="185"/>
      <c r="AJ16" s="185"/>
      <c r="AK16" s="185"/>
      <c r="AL16" s="185"/>
      <c r="AM16" s="185"/>
      <c r="AN16" s="187"/>
    </row>
    <row r="17" spans="1:40" ht="23.1" customHeight="1">
      <c r="A17" s="156"/>
      <c r="B17" s="185"/>
      <c r="C17" s="185"/>
      <c r="D17" s="185"/>
      <c r="E17" s="185"/>
      <c r="F17" s="185"/>
      <c r="G17" s="185"/>
      <c r="H17" s="185"/>
      <c r="I17" s="185"/>
      <c r="J17" s="185"/>
      <c r="K17" s="185"/>
      <c r="L17" s="185"/>
      <c r="M17" s="185"/>
      <c r="N17" s="185"/>
      <c r="O17" s="185"/>
      <c r="P17" s="185"/>
      <c r="Q17" s="185"/>
      <c r="R17" s="185"/>
      <c r="S17" s="185"/>
      <c r="T17" s="185"/>
      <c r="U17" s="185"/>
      <c r="V17" s="185"/>
      <c r="W17" s="185"/>
      <c r="X17" s="185"/>
      <c r="Y17" s="185"/>
      <c r="Z17" s="185"/>
      <c r="AA17" s="185"/>
      <c r="AB17" s="185"/>
      <c r="AC17" s="185"/>
      <c r="AD17" s="185"/>
      <c r="AE17" s="185"/>
      <c r="AF17" s="185"/>
      <c r="AG17" s="185"/>
      <c r="AH17" s="185"/>
      <c r="AI17" s="185"/>
      <c r="AJ17" s="185"/>
      <c r="AK17" s="185"/>
      <c r="AL17" s="185"/>
      <c r="AM17" s="185"/>
      <c r="AN17" s="187"/>
    </row>
    <row r="18" spans="1:40" ht="23.1" customHeight="1">
      <c r="A18" s="156"/>
      <c r="B18" s="185"/>
      <c r="C18" s="185"/>
      <c r="D18" s="185"/>
      <c r="E18" s="185"/>
      <c r="F18" s="185"/>
      <c r="G18" s="185"/>
      <c r="H18" s="185"/>
      <c r="I18" s="185"/>
      <c r="J18" s="185"/>
      <c r="K18" s="185"/>
      <c r="L18" s="185"/>
      <c r="M18" s="185"/>
      <c r="N18" s="185"/>
      <c r="O18" s="185"/>
      <c r="P18" s="185"/>
      <c r="Q18" s="185"/>
      <c r="R18" s="185"/>
      <c r="S18" s="185"/>
      <c r="T18" s="185"/>
      <c r="U18" s="185"/>
      <c r="V18" s="185"/>
      <c r="W18" s="185"/>
      <c r="X18" s="185"/>
      <c r="Y18" s="185"/>
      <c r="Z18" s="185"/>
      <c r="AA18" s="185"/>
      <c r="AB18" s="185"/>
      <c r="AC18" s="185"/>
      <c r="AD18" s="185"/>
      <c r="AE18" s="185"/>
      <c r="AF18" s="185"/>
      <c r="AG18" s="185"/>
      <c r="AH18" s="185"/>
      <c r="AI18" s="185"/>
      <c r="AJ18" s="185"/>
      <c r="AK18" s="185"/>
      <c r="AL18" s="185"/>
      <c r="AM18" s="185"/>
      <c r="AN18" s="187"/>
    </row>
    <row r="19" spans="1:40" ht="23.1" customHeight="1">
      <c r="A19" s="156"/>
      <c r="B19" s="185"/>
      <c r="C19" s="185"/>
      <c r="D19" s="185"/>
      <c r="E19" s="185"/>
      <c r="F19" s="185"/>
      <c r="G19" s="185"/>
      <c r="H19" s="185"/>
      <c r="I19" s="185"/>
      <c r="J19" s="185"/>
      <c r="K19" s="185"/>
      <c r="L19" s="185"/>
      <c r="M19" s="185"/>
      <c r="N19" s="185"/>
      <c r="O19" s="185"/>
      <c r="P19" s="185"/>
      <c r="Q19" s="185"/>
      <c r="R19" s="185"/>
      <c r="S19" s="185"/>
      <c r="T19" s="185"/>
      <c r="U19" s="185"/>
      <c r="V19" s="185"/>
      <c r="W19" s="185"/>
      <c r="X19" s="185"/>
      <c r="Y19" s="185"/>
      <c r="Z19" s="185"/>
      <c r="AA19" s="185"/>
      <c r="AB19" s="185"/>
      <c r="AC19" s="185"/>
      <c r="AD19" s="185"/>
      <c r="AE19" s="185"/>
      <c r="AF19" s="185"/>
      <c r="AG19" s="185"/>
      <c r="AH19" s="185"/>
      <c r="AI19" s="185"/>
      <c r="AJ19" s="185"/>
      <c r="AK19" s="185"/>
      <c r="AL19" s="185"/>
      <c r="AM19" s="185"/>
      <c r="AN19" s="187"/>
    </row>
    <row r="20" spans="1:40" ht="23.1" customHeight="1">
      <c r="A20" s="156"/>
      <c r="B20" s="185"/>
      <c r="C20" s="185"/>
      <c r="D20" s="185"/>
      <c r="E20" s="185"/>
      <c r="F20" s="185"/>
      <c r="G20" s="185"/>
      <c r="H20" s="185"/>
      <c r="I20" s="185"/>
      <c r="J20" s="185"/>
      <c r="K20" s="185"/>
      <c r="L20" s="185"/>
      <c r="M20" s="185"/>
      <c r="N20" s="185"/>
      <c r="O20" s="185"/>
      <c r="P20" s="185"/>
      <c r="Q20" s="185"/>
      <c r="R20" s="185"/>
      <c r="S20" s="185"/>
      <c r="T20" s="185"/>
      <c r="U20" s="185"/>
      <c r="V20" s="185"/>
      <c r="W20" s="185"/>
      <c r="X20" s="185"/>
      <c r="Y20" s="185"/>
      <c r="Z20" s="185"/>
      <c r="AA20" s="185"/>
      <c r="AB20" s="185"/>
      <c r="AC20" s="185"/>
      <c r="AD20" s="185"/>
      <c r="AE20" s="185"/>
      <c r="AF20" s="185"/>
      <c r="AG20" s="185"/>
      <c r="AH20" s="185"/>
      <c r="AI20" s="185"/>
      <c r="AJ20" s="185"/>
      <c r="AK20" s="185"/>
      <c r="AL20" s="185"/>
      <c r="AM20" s="185"/>
      <c r="AN20" s="187"/>
    </row>
    <row r="21" spans="1:40" ht="23.1" customHeight="1">
      <c r="A21" s="156"/>
      <c r="B21" s="185"/>
      <c r="C21" s="185"/>
      <c r="D21" s="185"/>
      <c r="E21" s="185"/>
      <c r="F21" s="185"/>
      <c r="G21" s="185"/>
      <c r="H21" s="185"/>
      <c r="I21" s="185"/>
      <c r="J21" s="185"/>
      <c r="K21" s="185"/>
      <c r="L21" s="185"/>
      <c r="M21" s="185"/>
      <c r="N21" s="185"/>
      <c r="O21" s="185"/>
      <c r="P21" s="185"/>
      <c r="Q21" s="185"/>
      <c r="R21" s="185"/>
      <c r="S21" s="185"/>
      <c r="T21" s="185"/>
      <c r="U21" s="185"/>
      <c r="V21" s="185"/>
      <c r="W21" s="185"/>
      <c r="X21" s="185"/>
      <c r="Y21" s="185"/>
      <c r="Z21" s="185"/>
      <c r="AA21" s="185"/>
      <c r="AB21" s="185"/>
      <c r="AC21" s="185"/>
      <c r="AD21" s="185"/>
      <c r="AE21" s="185"/>
      <c r="AF21" s="185"/>
      <c r="AG21" s="185"/>
      <c r="AH21" s="185"/>
      <c r="AI21" s="185"/>
      <c r="AJ21" s="185"/>
      <c r="AK21" s="185"/>
      <c r="AL21" s="185"/>
      <c r="AM21" s="185"/>
      <c r="AN21" s="187"/>
    </row>
    <row r="22" spans="1:40" ht="23.1" customHeight="1">
      <c r="A22" s="156"/>
      <c r="B22" s="185"/>
      <c r="C22" s="185"/>
      <c r="D22" s="185"/>
      <c r="E22" s="185"/>
      <c r="F22" s="185"/>
      <c r="G22" s="185"/>
      <c r="H22" s="185"/>
      <c r="I22" s="185"/>
      <c r="J22" s="185"/>
      <c r="K22" s="185"/>
      <c r="L22" s="185"/>
      <c r="M22" s="185"/>
      <c r="N22" s="185"/>
      <c r="O22" s="185"/>
      <c r="P22" s="185"/>
      <c r="Q22" s="185"/>
      <c r="R22" s="185"/>
      <c r="S22" s="185"/>
      <c r="T22" s="185"/>
      <c r="U22" s="185"/>
      <c r="V22" s="185"/>
      <c r="W22" s="185"/>
      <c r="X22" s="185"/>
      <c r="Y22" s="185"/>
      <c r="Z22" s="185"/>
      <c r="AA22" s="185"/>
      <c r="AB22" s="185"/>
      <c r="AC22" s="185"/>
      <c r="AD22" s="185"/>
      <c r="AE22" s="185"/>
      <c r="AF22" s="185"/>
      <c r="AG22" s="185"/>
      <c r="AH22" s="185"/>
      <c r="AI22" s="185"/>
      <c r="AJ22" s="185"/>
      <c r="AK22" s="185"/>
      <c r="AL22" s="185"/>
      <c r="AM22" s="185"/>
      <c r="AN22" s="187"/>
    </row>
    <row r="23" spans="1:40" ht="23.1" customHeight="1">
      <c r="A23" s="156"/>
      <c r="B23" s="185"/>
      <c r="C23" s="185"/>
      <c r="D23" s="185"/>
      <c r="E23" s="185"/>
      <c r="F23" s="185"/>
      <c r="G23" s="185"/>
      <c r="H23" s="185"/>
      <c r="I23" s="185"/>
      <c r="J23" s="185"/>
      <c r="K23" s="185"/>
      <c r="L23" s="185"/>
      <c r="M23" s="185"/>
      <c r="N23" s="185"/>
      <c r="O23" s="185"/>
      <c r="P23" s="185"/>
      <c r="Q23" s="185"/>
      <c r="R23" s="185"/>
      <c r="S23" s="185"/>
      <c r="T23" s="185"/>
      <c r="U23" s="185"/>
      <c r="V23" s="185"/>
      <c r="W23" s="185"/>
      <c r="X23" s="185"/>
      <c r="Y23" s="185"/>
      <c r="Z23" s="185"/>
      <c r="AA23" s="185"/>
      <c r="AB23" s="185"/>
      <c r="AC23" s="185"/>
      <c r="AD23" s="185"/>
      <c r="AE23" s="185"/>
      <c r="AF23" s="185"/>
      <c r="AG23" s="185"/>
      <c r="AH23" s="185"/>
      <c r="AI23" s="185"/>
      <c r="AJ23" s="185"/>
      <c r="AK23" s="185"/>
      <c r="AL23" s="185"/>
      <c r="AM23" s="185"/>
      <c r="AN23" s="187"/>
    </row>
    <row r="24" spans="1:40" ht="23.1" customHeight="1">
      <c r="A24" s="156"/>
      <c r="B24" s="185"/>
      <c r="C24" s="185"/>
      <c r="D24" s="185"/>
      <c r="E24" s="185"/>
      <c r="F24" s="185"/>
      <c r="G24" s="185"/>
      <c r="H24" s="185"/>
      <c r="I24" s="185"/>
      <c r="J24" s="185"/>
      <c r="K24" s="185"/>
      <c r="L24" s="185"/>
      <c r="M24" s="185"/>
      <c r="N24" s="185"/>
      <c r="O24" s="185"/>
      <c r="P24" s="185"/>
      <c r="Q24" s="185"/>
      <c r="R24" s="185"/>
      <c r="S24" s="185"/>
      <c r="T24" s="185"/>
      <c r="U24" s="185"/>
      <c r="V24" s="185"/>
      <c r="W24" s="185"/>
      <c r="X24" s="185"/>
      <c r="Y24" s="185"/>
      <c r="Z24" s="185"/>
      <c r="AA24" s="185"/>
      <c r="AB24" s="185"/>
      <c r="AC24" s="185"/>
      <c r="AD24" s="185"/>
      <c r="AE24" s="185"/>
      <c r="AF24" s="185"/>
      <c r="AG24" s="185"/>
      <c r="AH24" s="185"/>
      <c r="AI24" s="185"/>
      <c r="AJ24" s="185"/>
      <c r="AK24" s="185"/>
      <c r="AL24" s="185"/>
      <c r="AM24" s="185"/>
      <c r="AN24" s="187"/>
    </row>
    <row r="25" spans="1:40" ht="23.1" customHeight="1">
      <c r="A25" s="156"/>
      <c r="B25" s="185"/>
      <c r="C25" s="185"/>
      <c r="D25" s="185"/>
      <c r="E25" s="185"/>
      <c r="F25" s="185"/>
      <c r="G25" s="185"/>
      <c r="H25" s="185"/>
      <c r="I25" s="185"/>
      <c r="J25" s="185"/>
      <c r="K25" s="185"/>
      <c r="L25" s="185"/>
      <c r="M25" s="185"/>
      <c r="N25" s="185"/>
      <c r="O25" s="185"/>
      <c r="P25" s="185"/>
      <c r="Q25" s="185"/>
      <c r="R25" s="185"/>
      <c r="S25" s="185"/>
      <c r="T25" s="185"/>
      <c r="U25" s="185"/>
      <c r="V25" s="185"/>
      <c r="W25" s="185"/>
      <c r="X25" s="185"/>
      <c r="Y25" s="185"/>
      <c r="Z25" s="185"/>
      <c r="AA25" s="185"/>
      <c r="AB25" s="185"/>
      <c r="AC25" s="185"/>
      <c r="AD25" s="185"/>
      <c r="AE25" s="185"/>
      <c r="AF25" s="185"/>
      <c r="AG25" s="185"/>
      <c r="AH25" s="185"/>
      <c r="AI25" s="185"/>
      <c r="AJ25" s="185"/>
      <c r="AK25" s="185"/>
      <c r="AL25" s="185"/>
      <c r="AM25" s="185"/>
      <c r="AN25" s="187"/>
    </row>
    <row r="26" spans="1:40" ht="23.1" customHeight="1">
      <c r="A26" s="156"/>
      <c r="B26" s="185"/>
      <c r="C26" s="185"/>
      <c r="D26" s="185"/>
      <c r="E26" s="185"/>
      <c r="F26" s="185"/>
      <c r="G26" s="185"/>
      <c r="H26" s="185"/>
      <c r="I26" s="185"/>
      <c r="J26" s="185"/>
      <c r="K26" s="185"/>
      <c r="L26" s="185"/>
      <c r="M26" s="185"/>
      <c r="N26" s="185"/>
      <c r="O26" s="185"/>
      <c r="P26" s="185"/>
      <c r="Q26" s="185"/>
      <c r="R26" s="185"/>
      <c r="S26" s="185"/>
      <c r="T26" s="185"/>
      <c r="U26" s="185"/>
      <c r="V26" s="185"/>
      <c r="W26" s="185"/>
      <c r="X26" s="185"/>
      <c r="Y26" s="185"/>
      <c r="Z26" s="185"/>
      <c r="AA26" s="185"/>
      <c r="AB26" s="185"/>
      <c r="AC26" s="185"/>
      <c r="AD26" s="185"/>
      <c r="AE26" s="185"/>
      <c r="AF26" s="185"/>
      <c r="AG26" s="185"/>
      <c r="AH26" s="185"/>
      <c r="AI26" s="185"/>
      <c r="AJ26" s="185"/>
      <c r="AK26" s="185"/>
      <c r="AL26" s="185"/>
      <c r="AM26" s="185"/>
      <c r="AN26" s="187"/>
    </row>
    <row r="27" spans="1:40" ht="23.1" customHeight="1">
      <c r="A27" s="156"/>
      <c r="B27" s="185"/>
      <c r="C27" s="185"/>
      <c r="D27" s="185"/>
      <c r="E27" s="185"/>
      <c r="F27" s="185"/>
      <c r="G27" s="185"/>
      <c r="H27" s="185"/>
      <c r="I27" s="185"/>
      <c r="J27" s="185"/>
      <c r="K27" s="185"/>
      <c r="L27" s="185"/>
      <c r="M27" s="185"/>
      <c r="N27" s="185"/>
      <c r="O27" s="185"/>
      <c r="P27" s="185"/>
      <c r="Q27" s="185"/>
      <c r="R27" s="185"/>
      <c r="S27" s="185"/>
      <c r="T27" s="185"/>
      <c r="U27" s="185"/>
      <c r="V27" s="185"/>
      <c r="W27" s="185"/>
      <c r="X27" s="185"/>
      <c r="Y27" s="185"/>
      <c r="Z27" s="185"/>
      <c r="AA27" s="185"/>
      <c r="AB27" s="185"/>
      <c r="AC27" s="185"/>
      <c r="AD27" s="185"/>
      <c r="AE27" s="185"/>
      <c r="AF27" s="185"/>
      <c r="AG27" s="185"/>
      <c r="AH27" s="185"/>
      <c r="AI27" s="185"/>
      <c r="AJ27" s="185"/>
      <c r="AK27" s="185"/>
      <c r="AL27" s="185"/>
      <c r="AM27" s="185"/>
      <c r="AN27" s="187"/>
    </row>
    <row r="28" spans="1:40" ht="23.1" customHeight="1">
      <c r="A28" s="156"/>
      <c r="B28" s="185"/>
      <c r="C28" s="185"/>
      <c r="D28" s="185"/>
      <c r="E28" s="185"/>
      <c r="F28" s="185"/>
      <c r="G28" s="185"/>
      <c r="H28" s="185"/>
      <c r="I28" s="185"/>
      <c r="J28" s="185"/>
      <c r="K28" s="185"/>
      <c r="L28" s="185"/>
      <c r="M28" s="185"/>
      <c r="N28" s="185"/>
      <c r="O28" s="185"/>
      <c r="P28" s="185"/>
      <c r="Q28" s="185"/>
      <c r="R28" s="185"/>
      <c r="S28" s="185"/>
      <c r="T28" s="185"/>
      <c r="U28" s="185"/>
      <c r="V28" s="185"/>
      <c r="W28" s="185"/>
      <c r="X28" s="185"/>
      <c r="Y28" s="185"/>
      <c r="Z28" s="185"/>
      <c r="AA28" s="185"/>
      <c r="AB28" s="185"/>
      <c r="AC28" s="185"/>
      <c r="AD28" s="185"/>
      <c r="AE28" s="185"/>
      <c r="AF28" s="185"/>
      <c r="AG28" s="185"/>
      <c r="AH28" s="185"/>
      <c r="AI28" s="185"/>
      <c r="AJ28" s="185"/>
      <c r="AK28" s="185"/>
      <c r="AL28" s="185"/>
      <c r="AM28" s="185"/>
      <c r="AN28" s="187"/>
    </row>
    <row r="29" spans="1:40" ht="23.1" customHeight="1">
      <c r="A29" s="156"/>
      <c r="B29" s="185"/>
      <c r="C29" s="185"/>
      <c r="D29" s="185"/>
      <c r="E29" s="185"/>
      <c r="F29" s="185"/>
      <c r="G29" s="185"/>
      <c r="H29" s="185"/>
      <c r="I29" s="185"/>
      <c r="J29" s="185"/>
      <c r="K29" s="185"/>
      <c r="L29" s="185"/>
      <c r="M29" s="185"/>
      <c r="N29" s="185"/>
      <c r="O29" s="185"/>
      <c r="P29" s="185"/>
      <c r="Q29" s="185"/>
      <c r="R29" s="185"/>
      <c r="S29" s="185"/>
      <c r="T29" s="185"/>
      <c r="U29" s="185"/>
      <c r="V29" s="185"/>
      <c r="W29" s="185"/>
      <c r="X29" s="185"/>
      <c r="Y29" s="185"/>
      <c r="Z29" s="185"/>
      <c r="AA29" s="185"/>
      <c r="AB29" s="185"/>
      <c r="AC29" s="185"/>
      <c r="AD29" s="185"/>
      <c r="AE29" s="185"/>
      <c r="AF29" s="185"/>
      <c r="AG29" s="185"/>
      <c r="AH29" s="185"/>
      <c r="AI29" s="185"/>
      <c r="AJ29" s="185"/>
      <c r="AK29" s="185"/>
      <c r="AL29" s="185"/>
      <c r="AM29" s="185"/>
      <c r="AN29" s="187"/>
    </row>
    <row r="30" spans="1:40" ht="23.1" customHeight="1">
      <c r="A30" s="156"/>
      <c r="B30" s="185"/>
      <c r="C30" s="185"/>
      <c r="D30" s="185"/>
      <c r="E30" s="185"/>
      <c r="F30" s="185"/>
      <c r="G30" s="185"/>
      <c r="H30" s="185"/>
      <c r="I30" s="185"/>
      <c r="J30" s="185"/>
      <c r="K30" s="185"/>
      <c r="L30" s="185"/>
      <c r="M30" s="185"/>
      <c r="N30" s="185"/>
      <c r="O30" s="185"/>
      <c r="P30" s="185"/>
      <c r="Q30" s="185"/>
      <c r="R30" s="185"/>
      <c r="S30" s="185"/>
      <c r="T30" s="185"/>
      <c r="U30" s="185"/>
      <c r="V30" s="185"/>
      <c r="W30" s="185"/>
      <c r="X30" s="185"/>
      <c r="Y30" s="185"/>
      <c r="Z30" s="185"/>
      <c r="AA30" s="185"/>
      <c r="AB30" s="185"/>
      <c r="AC30" s="185"/>
      <c r="AD30" s="185"/>
      <c r="AE30" s="185"/>
      <c r="AF30" s="185"/>
      <c r="AG30" s="185"/>
      <c r="AH30" s="185"/>
      <c r="AI30" s="185"/>
      <c r="AJ30" s="185"/>
      <c r="AK30" s="185"/>
      <c r="AL30" s="185"/>
      <c r="AM30" s="185"/>
      <c r="AN30" s="187"/>
    </row>
    <row r="31" spans="1:40" ht="23.1" customHeight="1">
      <c r="A31" s="156"/>
      <c r="B31" s="185"/>
      <c r="C31" s="185"/>
      <c r="D31" s="185"/>
      <c r="E31" s="185"/>
      <c r="F31" s="185"/>
      <c r="G31" s="185"/>
      <c r="H31" s="185"/>
      <c r="I31" s="185"/>
      <c r="J31" s="185"/>
      <c r="K31" s="185"/>
      <c r="L31" s="185"/>
      <c r="M31" s="185"/>
      <c r="N31" s="185"/>
      <c r="O31" s="185"/>
      <c r="P31" s="185"/>
      <c r="Q31" s="185"/>
      <c r="R31" s="185"/>
      <c r="S31" s="185"/>
      <c r="T31" s="185"/>
      <c r="U31" s="185"/>
      <c r="V31" s="185"/>
      <c r="W31" s="185"/>
      <c r="X31" s="185"/>
      <c r="Y31" s="185"/>
      <c r="Z31" s="185"/>
      <c r="AA31" s="185"/>
      <c r="AB31" s="185"/>
      <c r="AC31" s="185"/>
      <c r="AD31" s="185"/>
      <c r="AE31" s="185"/>
      <c r="AF31" s="185"/>
      <c r="AG31" s="185"/>
      <c r="AH31" s="185"/>
      <c r="AI31" s="185"/>
      <c r="AJ31" s="185"/>
      <c r="AK31" s="185"/>
      <c r="AL31" s="185"/>
      <c r="AM31" s="185"/>
      <c r="AN31" s="187"/>
    </row>
    <row r="32" spans="1:40" ht="23.1" customHeight="1">
      <c r="A32" s="156"/>
      <c r="B32" s="185"/>
      <c r="C32" s="185"/>
      <c r="D32" s="185"/>
      <c r="E32" s="185"/>
      <c r="F32" s="185"/>
      <c r="G32" s="185"/>
      <c r="H32" s="185"/>
      <c r="I32" s="185"/>
      <c r="J32" s="185"/>
      <c r="K32" s="185"/>
      <c r="L32" s="185"/>
      <c r="M32" s="185"/>
      <c r="N32" s="185"/>
      <c r="O32" s="185"/>
      <c r="P32" s="185"/>
      <c r="Q32" s="185"/>
      <c r="R32" s="185"/>
      <c r="S32" s="185"/>
      <c r="T32" s="185"/>
      <c r="U32" s="185"/>
      <c r="V32" s="185"/>
      <c r="W32" s="185"/>
      <c r="X32" s="185"/>
      <c r="Y32" s="185"/>
      <c r="Z32" s="185"/>
      <c r="AA32" s="185"/>
      <c r="AB32" s="185"/>
      <c r="AC32" s="185"/>
      <c r="AD32" s="185"/>
      <c r="AE32" s="185"/>
      <c r="AF32" s="185"/>
      <c r="AG32" s="185"/>
      <c r="AH32" s="185"/>
      <c r="AI32" s="185"/>
      <c r="AJ32" s="185"/>
      <c r="AK32" s="185"/>
      <c r="AL32" s="185"/>
      <c r="AM32" s="185"/>
      <c r="AN32" s="187"/>
    </row>
    <row r="33" spans="1:40" ht="23.1" customHeight="1">
      <c r="A33" s="156"/>
      <c r="B33" s="185"/>
      <c r="C33" s="185"/>
      <c r="D33" s="185"/>
      <c r="E33" s="185"/>
      <c r="F33" s="185"/>
      <c r="G33" s="185"/>
      <c r="H33" s="185"/>
      <c r="I33" s="185"/>
      <c r="J33" s="185"/>
      <c r="K33" s="185"/>
      <c r="L33" s="185"/>
      <c r="M33" s="185"/>
      <c r="N33" s="185"/>
      <c r="O33" s="185"/>
      <c r="P33" s="185"/>
      <c r="Q33" s="185"/>
      <c r="R33" s="185"/>
      <c r="S33" s="185"/>
      <c r="T33" s="185"/>
      <c r="U33" s="185"/>
      <c r="V33" s="185"/>
      <c r="W33" s="185"/>
      <c r="X33" s="185"/>
      <c r="Y33" s="185"/>
      <c r="Z33" s="185"/>
      <c r="AA33" s="185"/>
      <c r="AB33" s="185"/>
      <c r="AC33" s="185"/>
      <c r="AD33" s="185"/>
      <c r="AE33" s="185"/>
      <c r="AF33" s="185"/>
      <c r="AG33" s="185"/>
      <c r="AH33" s="185"/>
      <c r="AI33" s="185"/>
      <c r="AJ33" s="185"/>
      <c r="AK33" s="185"/>
      <c r="AL33" s="185"/>
      <c r="AM33" s="185"/>
      <c r="AN33" s="187"/>
    </row>
    <row r="34" spans="1:40" ht="23.1" customHeight="1">
      <c r="A34" s="156"/>
      <c r="B34" s="185"/>
      <c r="C34" s="185"/>
      <c r="D34" s="185"/>
      <c r="E34" s="185"/>
      <c r="F34" s="185"/>
      <c r="G34" s="185"/>
      <c r="H34" s="185"/>
      <c r="I34" s="185"/>
      <c r="J34" s="185"/>
      <c r="K34" s="185"/>
      <c r="L34" s="185"/>
      <c r="M34" s="185"/>
      <c r="N34" s="185"/>
      <c r="O34" s="185"/>
      <c r="P34" s="185"/>
      <c r="Q34" s="185"/>
      <c r="R34" s="185"/>
      <c r="S34" s="185"/>
      <c r="T34" s="185"/>
      <c r="U34" s="185"/>
      <c r="V34" s="185"/>
      <c r="W34" s="185"/>
      <c r="X34" s="185"/>
      <c r="Y34" s="185"/>
      <c r="Z34" s="185"/>
      <c r="AA34" s="185"/>
      <c r="AB34" s="185"/>
      <c r="AC34" s="185"/>
      <c r="AD34" s="185"/>
      <c r="AE34" s="185"/>
      <c r="AF34" s="185"/>
      <c r="AG34" s="185"/>
      <c r="AH34" s="185"/>
      <c r="AI34" s="185"/>
      <c r="AJ34" s="185"/>
      <c r="AK34" s="185"/>
      <c r="AL34" s="185"/>
      <c r="AM34" s="185"/>
      <c r="AN34" s="187"/>
    </row>
    <row r="35" spans="1:40" ht="23.1" customHeight="1">
      <c r="A35" s="156"/>
      <c r="B35" s="185"/>
      <c r="C35" s="185"/>
      <c r="D35" s="185"/>
      <c r="E35" s="185"/>
      <c r="F35" s="185"/>
      <c r="G35" s="185"/>
      <c r="H35" s="185"/>
      <c r="I35" s="185"/>
      <c r="J35" s="185"/>
      <c r="K35" s="185"/>
      <c r="L35" s="185"/>
      <c r="M35" s="185"/>
      <c r="N35" s="185"/>
      <c r="O35" s="185"/>
      <c r="P35" s="185"/>
      <c r="Q35" s="185"/>
      <c r="R35" s="185"/>
      <c r="S35" s="185"/>
      <c r="T35" s="185"/>
      <c r="U35" s="185"/>
      <c r="V35" s="185"/>
      <c r="W35" s="185"/>
      <c r="X35" s="185"/>
      <c r="Y35" s="185"/>
      <c r="Z35" s="185"/>
      <c r="AA35" s="185"/>
      <c r="AB35" s="185"/>
      <c r="AC35" s="185"/>
      <c r="AD35" s="185"/>
      <c r="AE35" s="185"/>
      <c r="AF35" s="185"/>
      <c r="AG35" s="185"/>
      <c r="AH35" s="185"/>
      <c r="AI35" s="185"/>
      <c r="AJ35" s="185"/>
      <c r="AK35" s="185"/>
      <c r="AL35" s="185"/>
      <c r="AM35" s="185"/>
      <c r="AN35" s="187"/>
    </row>
    <row r="36" spans="1:40" ht="23.1" customHeight="1">
      <c r="A36" s="156"/>
      <c r="B36" s="185"/>
      <c r="C36" s="185"/>
      <c r="D36" s="185"/>
      <c r="E36" s="185"/>
      <c r="F36" s="185"/>
      <c r="G36" s="185"/>
      <c r="H36" s="185"/>
      <c r="I36" s="185"/>
      <c r="J36" s="185"/>
      <c r="K36" s="185"/>
      <c r="L36" s="185"/>
      <c r="M36" s="185"/>
      <c r="N36" s="185"/>
      <c r="O36" s="185"/>
      <c r="P36" s="185"/>
      <c r="Q36" s="185"/>
      <c r="R36" s="185"/>
      <c r="S36" s="185"/>
      <c r="T36" s="185"/>
      <c r="U36" s="185"/>
      <c r="V36" s="185"/>
      <c r="W36" s="185"/>
      <c r="X36" s="185"/>
      <c r="Y36" s="185"/>
      <c r="Z36" s="185"/>
      <c r="AA36" s="185"/>
      <c r="AB36" s="185"/>
      <c r="AC36" s="185"/>
      <c r="AD36" s="185"/>
      <c r="AE36" s="185"/>
      <c r="AF36" s="185"/>
      <c r="AG36" s="185"/>
      <c r="AH36" s="185"/>
      <c r="AI36" s="185"/>
      <c r="AJ36" s="185"/>
      <c r="AK36" s="185"/>
      <c r="AL36" s="185"/>
      <c r="AM36" s="185"/>
      <c r="AN36" s="187"/>
    </row>
    <row r="37" spans="1:40" ht="23.1" customHeight="1" thickBot="1">
      <c r="A37" s="157"/>
      <c r="B37" s="186"/>
      <c r="C37" s="186"/>
      <c r="D37" s="186"/>
      <c r="E37" s="186"/>
      <c r="F37" s="186"/>
      <c r="G37" s="186"/>
      <c r="H37" s="186"/>
      <c r="I37" s="186"/>
      <c r="J37" s="186"/>
      <c r="K37" s="186"/>
      <c r="L37" s="186"/>
      <c r="M37" s="186"/>
      <c r="N37" s="186"/>
      <c r="O37" s="186"/>
      <c r="P37" s="186"/>
      <c r="Q37" s="186"/>
      <c r="R37" s="186"/>
      <c r="S37" s="186"/>
      <c r="T37" s="186"/>
      <c r="U37" s="186"/>
      <c r="V37" s="186"/>
      <c r="W37" s="186"/>
      <c r="X37" s="186"/>
      <c r="Y37" s="186"/>
      <c r="Z37" s="186"/>
      <c r="AA37" s="186"/>
      <c r="AB37" s="186"/>
      <c r="AC37" s="186"/>
      <c r="AD37" s="186"/>
      <c r="AE37" s="186"/>
      <c r="AF37" s="186"/>
      <c r="AG37" s="186"/>
      <c r="AH37" s="186"/>
      <c r="AI37" s="186"/>
      <c r="AJ37" s="186"/>
      <c r="AK37" s="186"/>
      <c r="AL37" s="186"/>
      <c r="AM37" s="186"/>
      <c r="AN37" s="188"/>
    </row>
    <row r="38" spans="1:40" ht="23.1" customHeight="1"/>
    <row r="39" spans="1:40" ht="23.1" customHeight="1"/>
    <row r="40" spans="1:40" ht="23.1" customHeight="1"/>
    <row r="41" spans="1:40" ht="23.1" customHeight="1"/>
    <row r="42" spans="1:40" ht="23.1" customHeight="1"/>
    <row r="43" spans="1:40" ht="23.1" customHeight="1"/>
    <row r="44" spans="1:40" ht="23.1" customHeight="1"/>
    <row r="45" spans="1:40" ht="23.1" customHeight="1"/>
    <row r="46" spans="1:40" ht="23.1" customHeight="1"/>
    <row r="47" spans="1:40" ht="23.1" customHeight="1"/>
    <row r="48" spans="1:40" ht="23.1" customHeight="1"/>
    <row r="49" ht="23.1" customHeight="1"/>
    <row r="50" ht="23.1" customHeight="1"/>
    <row r="51" ht="23.1" customHeight="1"/>
    <row r="52" ht="23.1" customHeight="1"/>
    <row r="53" ht="23.1" customHeight="1"/>
    <row r="54" ht="23.1" customHeight="1"/>
    <row r="55" ht="23.1" customHeight="1"/>
    <row r="56" ht="23.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0277" r:id="rId4" name="CommandButton3">
          <controlPr defaultSize="0" autoLine="0" r:id="rId5">
            <anchor moveWithCells="1">
              <from>
                <xdr:col>6</xdr:col>
                <xdr:colOff>114300</xdr:colOff>
                <xdr:row>0</xdr:row>
                <xdr:rowOff>171450</xdr:rowOff>
              </from>
              <to>
                <xdr:col>7</xdr:col>
                <xdr:colOff>762000</xdr:colOff>
                <xdr:row>2</xdr:row>
                <xdr:rowOff>104775</xdr:rowOff>
              </to>
            </anchor>
          </controlPr>
        </control>
      </mc:Choice>
      <mc:Fallback>
        <control shapeId="310277" r:id="rId4" name="CommandButton3"/>
      </mc:Fallback>
    </mc:AlternateContent>
    <mc:AlternateContent xmlns:mc="http://schemas.openxmlformats.org/markup-compatibility/2006">
      <mc:Choice Requires="x14">
        <control shapeId="310274" r:id="rId6" name="CommandButton2">
          <controlPr defaultSize="0" autoLine="0" r:id="rId7">
            <anchor moveWithCells="1">
              <from>
                <xdr:col>2</xdr:col>
                <xdr:colOff>161925</xdr:colOff>
                <xdr:row>0</xdr:row>
                <xdr:rowOff>171450</xdr:rowOff>
              </from>
              <to>
                <xdr:col>4</xdr:col>
                <xdr:colOff>38100</xdr:colOff>
                <xdr:row>2</xdr:row>
                <xdr:rowOff>104775</xdr:rowOff>
              </to>
            </anchor>
          </controlPr>
        </control>
      </mc:Choice>
      <mc:Fallback>
        <control shapeId="310274" r:id="rId6" name="CommandButton2"/>
      </mc:Fallback>
    </mc:AlternateContent>
    <mc:AlternateContent xmlns:mc="http://schemas.openxmlformats.org/markup-compatibility/2006">
      <mc:Choice Requires="x14">
        <control shapeId="310273" r:id="rId8" name="CommandButton1">
          <controlPr defaultSize="0" autoLine="0" r:id="rId9">
            <anchor moveWithCells="1">
              <from>
                <xdr:col>0</xdr:col>
                <xdr:colOff>180975</xdr:colOff>
                <xdr:row>0</xdr:row>
                <xdr:rowOff>171450</xdr:rowOff>
              </from>
              <to>
                <xdr:col>2</xdr:col>
                <xdr:colOff>66675</xdr:colOff>
                <xdr:row>2</xdr:row>
                <xdr:rowOff>104775</xdr:rowOff>
              </to>
            </anchor>
          </controlPr>
        </control>
      </mc:Choice>
      <mc:Fallback>
        <control shapeId="310273" r:id="rId8" name="CommandButton1"/>
      </mc:Fallback>
    </mc:AlternateContent>
    <mc:AlternateContent xmlns:mc="http://schemas.openxmlformats.org/markup-compatibility/2006">
      <mc:Choice Requires="x14">
        <control shapeId="310280" r:id="rId10" name="CommandButton4">
          <controlPr defaultSize="0" autoLine="0" r:id="rId11">
            <anchor moveWithCells="1">
              <from>
                <xdr:col>4</xdr:col>
                <xdr:colOff>142875</xdr:colOff>
                <xdr:row>0</xdr:row>
                <xdr:rowOff>171450</xdr:rowOff>
              </from>
              <to>
                <xdr:col>6</xdr:col>
                <xdr:colOff>19050</xdr:colOff>
                <xdr:row>2</xdr:row>
                <xdr:rowOff>104775</xdr:rowOff>
              </to>
            </anchor>
          </controlPr>
        </control>
      </mc:Choice>
      <mc:Fallback>
        <control shapeId="310280" r:id="rId10" name="CommandButton4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2033F-78AE-4E4B-A16A-E364E2D87F6F}">
  <sheetPr codeName="Sheet4_Water"/>
  <dimension ref="A1:L8"/>
  <sheetViews>
    <sheetView workbookViewId="0">
      <selection activeCell="G27" sqref="G27"/>
    </sheetView>
  </sheetViews>
  <sheetFormatPr defaultRowHeight="20.100000000000001" customHeight="1"/>
  <cols>
    <col min="1" max="16384" width="8.88671875" style="148"/>
  </cols>
  <sheetData>
    <row r="1" spans="1:12" ht="27.75" customHeight="1">
      <c r="A1" s="331"/>
    </row>
    <row r="5" spans="1:12" ht="20.100000000000001" customHeight="1" thickBot="1"/>
    <row r="6" spans="1:12" ht="20.100000000000001" customHeight="1">
      <c r="D6" s="322" t="s">
        <v>260</v>
      </c>
      <c r="E6" s="323" t="s">
        <v>341</v>
      </c>
      <c r="F6" s="323"/>
      <c r="G6" s="323" t="s">
        <v>342</v>
      </c>
      <c r="H6" s="323"/>
      <c r="I6" s="323" t="s">
        <v>343</v>
      </c>
      <c r="J6" s="323"/>
      <c r="K6" s="323" t="s">
        <v>344</v>
      </c>
      <c r="L6" s="324"/>
    </row>
    <row r="7" spans="1:12" ht="20.100000000000001" customHeight="1">
      <c r="D7" s="325" t="s">
        <v>345</v>
      </c>
      <c r="E7" s="326">
        <v>88</v>
      </c>
      <c r="F7" s="326">
        <v>423.79000000000008</v>
      </c>
      <c r="G7" s="326">
        <v>25</v>
      </c>
      <c r="H7" s="326">
        <v>116.18999999999997</v>
      </c>
      <c r="I7" s="326">
        <v>58</v>
      </c>
      <c r="J7" s="326">
        <v>259.60000000000014</v>
      </c>
      <c r="K7" s="326">
        <v>5</v>
      </c>
      <c r="L7" s="327">
        <v>48</v>
      </c>
    </row>
    <row r="8" spans="1:12" ht="20.100000000000001" customHeight="1" thickBot="1">
      <c r="D8" s="328" t="s">
        <v>346</v>
      </c>
      <c r="E8" s="329">
        <v>35</v>
      </c>
      <c r="F8" s="329">
        <v>107.60000000000001</v>
      </c>
      <c r="G8" s="329">
        <v>22</v>
      </c>
      <c r="H8" s="329">
        <v>62.72000000000002</v>
      </c>
      <c r="I8" s="329">
        <v>13</v>
      </c>
      <c r="J8" s="329">
        <v>44.879999999999988</v>
      </c>
      <c r="K8" s="329">
        <v>0</v>
      </c>
      <c r="L8" s="330">
        <v>0</v>
      </c>
    </row>
  </sheetData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1537" r:id="rId4" name="CommandButton1">
          <controlPr defaultSize="0" autoLine="0" autoPict="0" r:id="rId5">
            <anchor moveWithCells="1">
              <from>
                <xdr:col>3</xdr:col>
                <xdr:colOff>0</xdr:colOff>
                <xdr:row>1</xdr:row>
                <xdr:rowOff>171450</xdr:rowOff>
              </from>
              <to>
                <xdr:col>4</xdr:col>
                <xdr:colOff>676275</xdr:colOff>
                <xdr:row>2</xdr:row>
                <xdr:rowOff>238125</xdr:rowOff>
              </to>
            </anchor>
          </controlPr>
        </control>
      </mc:Choice>
      <mc:Fallback>
        <control shapeId="321537" r:id="rId4" name="CommandButton1"/>
      </mc:Fallback>
    </mc:AlternateContent>
    <mc:AlternateContent xmlns:mc="http://schemas.openxmlformats.org/markup-compatibility/2006">
      <mc:Choice Requires="x14">
        <control shapeId="321538" r:id="rId6" name="CommandButton2">
          <controlPr defaultSize="0" autoLine="0" autoPict="0" r:id="rId7">
            <anchor moveWithCells="1">
              <from>
                <xdr:col>3</xdr:col>
                <xdr:colOff>0</xdr:colOff>
                <xdr:row>3</xdr:row>
                <xdr:rowOff>38100</xdr:rowOff>
              </from>
              <to>
                <xdr:col>4</xdr:col>
                <xdr:colOff>676275</xdr:colOff>
                <xdr:row>4</xdr:row>
                <xdr:rowOff>104775</xdr:rowOff>
              </to>
            </anchor>
          </controlPr>
        </control>
      </mc:Choice>
      <mc:Fallback>
        <control shapeId="321538" r:id="rId6" name="CommandButton2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632CA-182C-423A-B9A5-E451DF338AD5}">
  <sheetPr codeName="Sheet_Agg1"/>
  <dimension ref="F1:S113"/>
  <sheetViews>
    <sheetView topLeftCell="B1" workbookViewId="0">
      <selection activeCell="L1" sqref="L1"/>
    </sheetView>
  </sheetViews>
  <sheetFormatPr defaultRowHeight="20.100000000000001" customHeight="1"/>
  <cols>
    <col min="1" max="1" width="0" style="533" hidden="1" customWidth="1"/>
    <col min="2" max="3" width="8.88671875" style="533"/>
    <col min="4" max="5" width="0" style="533" hidden="1" customWidth="1"/>
    <col min="6" max="6" width="8.88671875" style="533"/>
    <col min="7" max="7" width="16.88671875" style="533" customWidth="1"/>
    <col min="8" max="8" width="11.77734375" style="533" customWidth="1"/>
    <col min="9" max="9" width="11.77734375" style="583" customWidth="1"/>
    <col min="10" max="10" width="11.77734375" style="533" customWidth="1"/>
    <col min="11" max="11" width="11.77734375" style="585" customWidth="1"/>
    <col min="12" max="17" width="11.77734375" style="533" customWidth="1"/>
    <col min="18" max="18" width="14" style="533" customWidth="1"/>
    <col min="19" max="19" width="15" style="533" customWidth="1"/>
    <col min="20" max="16384" width="8.88671875" style="533"/>
  </cols>
  <sheetData>
    <row r="1" spans="7:19" ht="36" customHeight="1" thickBot="1">
      <c r="G1" s="582" t="s">
        <v>230</v>
      </c>
      <c r="J1" s="584" t="s">
        <v>642</v>
      </c>
    </row>
    <row r="2" spans="7:19" ht="29.25" customHeight="1">
      <c r="G2" s="592" t="s">
        <v>206</v>
      </c>
      <c r="H2" s="593" t="s">
        <v>203</v>
      </c>
      <c r="I2" s="594" t="s">
        <v>212</v>
      </c>
      <c r="J2" s="593" t="s">
        <v>204</v>
      </c>
      <c r="K2" s="595" t="s">
        <v>205</v>
      </c>
      <c r="M2" s="596"/>
      <c r="N2" s="597" t="s">
        <v>210</v>
      </c>
      <c r="O2" s="595" t="s">
        <v>211</v>
      </c>
      <c r="Q2" s="592" t="s">
        <v>206</v>
      </c>
      <c r="R2" s="597" t="s">
        <v>214</v>
      </c>
      <c r="S2" s="595" t="s">
        <v>215</v>
      </c>
    </row>
    <row r="3" spans="7:19" ht="20.100000000000001" customHeight="1">
      <c r="G3" s="480" t="s">
        <v>226</v>
      </c>
      <c r="H3" s="481">
        <v>91</v>
      </c>
      <c r="I3" s="482">
        <v>82.666507860516333</v>
      </c>
      <c r="J3" s="481">
        <v>80</v>
      </c>
      <c r="K3" s="578">
        <v>0.90109890109890112</v>
      </c>
      <c r="M3" s="598" t="s">
        <v>205</v>
      </c>
      <c r="N3" s="586">
        <f>MIN(K3:K35)</f>
        <v>0.90109890109890112</v>
      </c>
      <c r="O3" s="587">
        <f>MAX(K3:K35)</f>
        <v>0.91044776119402981</v>
      </c>
      <c r="Q3" s="579" t="s">
        <v>226</v>
      </c>
      <c r="R3" s="580">
        <v>1.2455999999999999E-3</v>
      </c>
      <c r="S3" s="581">
        <v>0.24948960000000001</v>
      </c>
    </row>
    <row r="4" spans="7:19" ht="20.100000000000001" customHeight="1">
      <c r="G4" s="435" t="s">
        <v>227</v>
      </c>
      <c r="H4" s="436">
        <v>172</v>
      </c>
      <c r="I4" s="452">
        <v>155.44483477472045</v>
      </c>
      <c r="J4" s="436">
        <v>150</v>
      </c>
      <c r="K4" s="456">
        <v>0.90116279069767447</v>
      </c>
      <c r="M4" s="598" t="s">
        <v>212</v>
      </c>
      <c r="N4" s="588">
        <f>MIN(I3:I35)</f>
        <v>82.666507860516333</v>
      </c>
      <c r="O4" s="589">
        <f>MAX(I3:I35)</f>
        <v>366.29921417026992</v>
      </c>
      <c r="Q4" s="458" t="s">
        <v>227</v>
      </c>
      <c r="R4" s="459">
        <v>3.5980000000000002E-4</v>
      </c>
      <c r="S4" s="460">
        <v>0.13854720000000001</v>
      </c>
    </row>
    <row r="5" spans="7:19" ht="20.100000000000001" customHeight="1" thickBot="1">
      <c r="G5" s="480" t="s">
        <v>228</v>
      </c>
      <c r="H5" s="481">
        <v>287</v>
      </c>
      <c r="I5" s="482">
        <v>259.59296515765442</v>
      </c>
      <c r="J5" s="481">
        <v>250</v>
      </c>
      <c r="K5" s="578">
        <v>0.90243902439024393</v>
      </c>
      <c r="M5" s="599" t="s">
        <v>213</v>
      </c>
      <c r="N5" s="590">
        <f>MIN(J3:J35)</f>
        <v>80</v>
      </c>
      <c r="O5" s="591">
        <f>MAX(J3:J35)</f>
        <v>350</v>
      </c>
      <c r="Q5" s="579" t="s">
        <v>228</v>
      </c>
      <c r="R5" s="580">
        <v>1.672E-4</v>
      </c>
      <c r="S5" s="581">
        <v>0.107053</v>
      </c>
    </row>
    <row r="6" spans="7:19" ht="20.100000000000001" customHeight="1">
      <c r="G6" s="435" t="s">
        <v>332</v>
      </c>
      <c r="H6" s="436">
        <v>172</v>
      </c>
      <c r="I6" s="452">
        <v>155.46403682527949</v>
      </c>
      <c r="J6" s="436">
        <v>150</v>
      </c>
      <c r="K6" s="457">
        <v>0.90116279069767447</v>
      </c>
      <c r="Q6" s="458" t="s">
        <v>332</v>
      </c>
      <c r="R6" s="459">
        <v>3.8690000000000003E-4</v>
      </c>
      <c r="S6" s="460">
        <v>0.14882989999999999</v>
      </c>
    </row>
    <row r="7" spans="7:19" ht="20.100000000000001" customHeight="1">
      <c r="G7" s="480" t="s">
        <v>333</v>
      </c>
      <c r="H7" s="481">
        <v>402</v>
      </c>
      <c r="I7" s="482">
        <v>366.29921417026992</v>
      </c>
      <c r="J7" s="481">
        <v>350</v>
      </c>
      <c r="K7" s="483">
        <v>0.91044776119402981</v>
      </c>
      <c r="Q7" s="579" t="s">
        <v>333</v>
      </c>
      <c r="R7" s="580">
        <v>1.1E-5</v>
      </c>
      <c r="S7" s="581">
        <v>9.0199000000000008E-3</v>
      </c>
    </row>
    <row r="8" spans="7:19" ht="20.100000000000001" customHeight="1">
      <c r="G8" s="435" t="s">
        <v>334</v>
      </c>
      <c r="H8" s="436">
        <v>344</v>
      </c>
      <c r="I8" s="452">
        <v>312.75663242516282</v>
      </c>
      <c r="J8" s="436">
        <v>300</v>
      </c>
      <c r="K8" s="457">
        <v>0.90697674418604646</v>
      </c>
      <c r="Q8" s="435" t="s">
        <v>334</v>
      </c>
      <c r="R8" s="436">
        <v>1.17E-5</v>
      </c>
      <c r="S8" s="439">
        <v>8.4457000000000004E-3</v>
      </c>
    </row>
    <row r="9" spans="7:19" ht="20.100000000000001" customHeight="1">
      <c r="G9" s="480" t="s">
        <v>615</v>
      </c>
      <c r="H9" s="481">
        <v>344</v>
      </c>
      <c r="I9" s="482">
        <v>313.14244950728158</v>
      </c>
      <c r="J9" s="481">
        <v>300</v>
      </c>
      <c r="K9" s="483">
        <v>0.90988372093023251</v>
      </c>
      <c r="Q9" s="480" t="s">
        <v>615</v>
      </c>
      <c r="R9" s="481">
        <v>1.1399999999999999E-5</v>
      </c>
      <c r="S9" s="484">
        <v>8.1954999999999997E-3</v>
      </c>
    </row>
    <row r="10" spans="7:19" ht="20.100000000000001" customHeight="1">
      <c r="G10" s="435"/>
      <c r="H10" s="436"/>
      <c r="I10" s="452"/>
      <c r="J10" s="436"/>
      <c r="K10" s="457"/>
      <c r="Q10" s="435"/>
      <c r="R10" s="436"/>
      <c r="S10" s="439"/>
    </row>
    <row r="11" spans="7:19" ht="20.100000000000001" customHeight="1">
      <c r="G11" s="480"/>
      <c r="H11" s="481"/>
      <c r="I11" s="482"/>
      <c r="J11" s="481"/>
      <c r="K11" s="483"/>
      <c r="Q11" s="480"/>
      <c r="R11" s="481"/>
      <c r="S11" s="484"/>
    </row>
    <row r="12" spans="7:19" ht="20.100000000000001" customHeight="1">
      <c r="G12" s="435"/>
      <c r="H12" s="436"/>
      <c r="I12" s="452"/>
      <c r="J12" s="436"/>
      <c r="K12" s="457"/>
      <c r="Q12" s="435"/>
      <c r="R12" s="436"/>
      <c r="S12" s="439"/>
    </row>
    <row r="13" spans="7:19" ht="20.100000000000001" customHeight="1">
      <c r="G13" s="480"/>
      <c r="H13" s="481"/>
      <c r="I13" s="482"/>
      <c r="J13" s="481"/>
      <c r="K13" s="483"/>
      <c r="Q13" s="480"/>
      <c r="R13" s="481"/>
      <c r="S13" s="484"/>
    </row>
    <row r="14" spans="7:19" ht="20.100000000000001" customHeight="1">
      <c r="G14" s="435"/>
      <c r="H14" s="436"/>
      <c r="I14" s="452"/>
      <c r="J14" s="436"/>
      <c r="K14" s="457"/>
      <c r="Q14" s="435"/>
      <c r="R14" s="436"/>
      <c r="S14" s="439"/>
    </row>
    <row r="15" spans="7:19" ht="20.100000000000001" customHeight="1">
      <c r="G15" s="480"/>
      <c r="H15" s="481"/>
      <c r="I15" s="482"/>
      <c r="J15" s="481"/>
      <c r="K15" s="483"/>
      <c r="Q15" s="480"/>
      <c r="R15" s="481"/>
      <c r="S15" s="484"/>
    </row>
    <row r="16" spans="7:19" ht="20.100000000000001" customHeight="1">
      <c r="G16" s="435"/>
      <c r="H16" s="436"/>
      <c r="I16" s="452"/>
      <c r="J16" s="436"/>
      <c r="K16" s="457"/>
      <c r="Q16" s="435"/>
      <c r="R16" s="436"/>
      <c r="S16" s="439"/>
    </row>
    <row r="17" spans="7:19" ht="20.100000000000001" customHeight="1">
      <c r="G17" s="480"/>
      <c r="H17" s="481"/>
      <c r="I17" s="482"/>
      <c r="J17" s="481"/>
      <c r="K17" s="483"/>
      <c r="Q17" s="480"/>
      <c r="R17" s="481"/>
      <c r="S17" s="484"/>
    </row>
    <row r="18" spans="7:19" ht="20.100000000000001" customHeight="1">
      <c r="G18" s="435"/>
      <c r="H18" s="436"/>
      <c r="I18" s="452"/>
      <c r="J18" s="436"/>
      <c r="K18" s="457"/>
      <c r="Q18" s="435"/>
      <c r="R18" s="436"/>
      <c r="S18" s="439"/>
    </row>
    <row r="19" spans="7:19" ht="20.100000000000001" customHeight="1">
      <c r="G19" s="480"/>
      <c r="H19" s="481"/>
      <c r="I19" s="482"/>
      <c r="J19" s="481"/>
      <c r="K19" s="483"/>
      <c r="Q19" s="480"/>
      <c r="R19" s="481"/>
      <c r="S19" s="484"/>
    </row>
    <row r="20" spans="7:19" ht="20.100000000000001" customHeight="1">
      <c r="G20" s="435"/>
      <c r="H20" s="436"/>
      <c r="I20" s="452"/>
      <c r="J20" s="436"/>
      <c r="K20" s="457"/>
      <c r="Q20" s="435"/>
      <c r="R20" s="436"/>
      <c r="S20" s="439"/>
    </row>
    <row r="21" spans="7:19" ht="20.100000000000001" customHeight="1">
      <c r="G21" s="480"/>
      <c r="H21" s="481"/>
      <c r="I21" s="482"/>
      <c r="J21" s="481"/>
      <c r="K21" s="483"/>
      <c r="Q21" s="480"/>
      <c r="R21" s="481"/>
      <c r="S21" s="484"/>
    </row>
    <row r="22" spans="7:19" ht="20.100000000000001" customHeight="1">
      <c r="G22" s="435"/>
      <c r="H22" s="436"/>
      <c r="I22" s="452"/>
      <c r="J22" s="436"/>
      <c r="K22" s="457"/>
      <c r="Q22" s="435"/>
      <c r="R22" s="436"/>
      <c r="S22" s="439"/>
    </row>
    <row r="23" spans="7:19" ht="20.100000000000001" customHeight="1">
      <c r="G23" s="480"/>
      <c r="H23" s="481"/>
      <c r="I23" s="482"/>
      <c r="J23" s="481"/>
      <c r="K23" s="483"/>
      <c r="Q23" s="480"/>
      <c r="R23" s="481"/>
      <c r="S23" s="484"/>
    </row>
    <row r="24" spans="7:19" ht="20.100000000000001" customHeight="1">
      <c r="G24" s="435"/>
      <c r="H24" s="436"/>
      <c r="I24" s="452"/>
      <c r="J24" s="436"/>
      <c r="K24" s="457"/>
      <c r="Q24" s="435"/>
      <c r="R24" s="436"/>
      <c r="S24" s="439"/>
    </row>
    <row r="25" spans="7:19" ht="20.100000000000001" customHeight="1">
      <c r="G25" s="480"/>
      <c r="H25" s="481"/>
      <c r="I25" s="482"/>
      <c r="J25" s="481"/>
      <c r="K25" s="483"/>
      <c r="Q25" s="480"/>
      <c r="R25" s="481"/>
      <c r="S25" s="484"/>
    </row>
    <row r="26" spans="7:19" ht="20.100000000000001" customHeight="1">
      <c r="G26" s="435"/>
      <c r="H26" s="436"/>
      <c r="I26" s="452"/>
      <c r="J26" s="436"/>
      <c r="K26" s="457"/>
      <c r="Q26" s="435"/>
      <c r="R26" s="436"/>
      <c r="S26" s="439"/>
    </row>
    <row r="27" spans="7:19" ht="20.100000000000001" customHeight="1">
      <c r="G27" s="480"/>
      <c r="H27" s="481"/>
      <c r="I27" s="482"/>
      <c r="J27" s="481"/>
      <c r="K27" s="483"/>
      <c r="Q27" s="480"/>
      <c r="R27" s="481"/>
      <c r="S27" s="484"/>
    </row>
    <row r="28" spans="7:19" ht="20.100000000000001" customHeight="1">
      <c r="G28" s="435"/>
      <c r="H28" s="436"/>
      <c r="I28" s="452"/>
      <c r="J28" s="436"/>
      <c r="K28" s="457"/>
      <c r="Q28" s="504"/>
      <c r="R28" s="505"/>
      <c r="S28" s="506"/>
    </row>
    <row r="29" spans="7:19" ht="20.100000000000001" customHeight="1">
      <c r="G29" s="480"/>
      <c r="H29" s="481"/>
      <c r="I29" s="482"/>
      <c r="J29" s="481"/>
      <c r="K29" s="483"/>
      <c r="Q29" s="507"/>
      <c r="R29" s="508"/>
      <c r="S29" s="509"/>
    </row>
    <row r="30" spans="7:19" ht="20.100000000000001" customHeight="1">
      <c r="G30" s="435"/>
      <c r="H30" s="436"/>
      <c r="I30" s="452"/>
      <c r="J30" s="436"/>
      <c r="K30" s="457"/>
      <c r="Q30" s="504"/>
      <c r="R30" s="505"/>
      <c r="S30" s="506"/>
    </row>
    <row r="31" spans="7:19" ht="20.100000000000001" customHeight="1">
      <c r="G31" s="480"/>
      <c r="H31" s="481"/>
      <c r="I31" s="482"/>
      <c r="J31" s="481"/>
      <c r="K31" s="483"/>
      <c r="Q31" s="507"/>
      <c r="R31" s="508"/>
      <c r="S31" s="509"/>
    </row>
    <row r="32" spans="7:19" ht="20.100000000000001" customHeight="1">
      <c r="G32" s="435"/>
      <c r="H32" s="436"/>
      <c r="I32" s="436"/>
      <c r="J32" s="436"/>
      <c r="K32" s="510"/>
      <c r="Q32" s="504"/>
      <c r="R32" s="505"/>
      <c r="S32" s="506"/>
    </row>
    <row r="33" spans="6:19" ht="20.100000000000001" customHeight="1">
      <c r="G33" s="480"/>
      <c r="H33" s="481"/>
      <c r="I33" s="481"/>
      <c r="J33" s="481"/>
      <c r="K33" s="511"/>
      <c r="Q33" s="488"/>
      <c r="R33" s="487"/>
      <c r="S33" s="489"/>
    </row>
    <row r="34" spans="6:19" ht="20.100000000000001" customHeight="1">
      <c r="G34" s="480"/>
      <c r="H34" s="481"/>
      <c r="I34" s="481"/>
      <c r="J34" s="481"/>
      <c r="K34" s="511"/>
      <c r="Q34" s="488"/>
      <c r="R34" s="487"/>
      <c r="S34" s="489"/>
    </row>
    <row r="35" spans="6:19" ht="20.100000000000001" customHeight="1" thickBot="1">
      <c r="G35" s="485"/>
      <c r="H35" s="486"/>
      <c r="I35" s="486"/>
      <c r="J35" s="486"/>
      <c r="K35" s="512"/>
      <c r="Q35" s="485"/>
      <c r="R35" s="486"/>
      <c r="S35" s="557"/>
    </row>
    <row r="38" spans="6:19" ht="20.100000000000001" customHeight="1">
      <c r="M38" s="583"/>
      <c r="N38" s="583"/>
      <c r="O38" s="583"/>
      <c r="P38" s="583"/>
      <c r="Q38" s="583"/>
      <c r="R38" s="583"/>
      <c r="S38" s="583"/>
    </row>
    <row r="39" spans="6:19" ht="20.100000000000001" customHeight="1">
      <c r="M39" s="532"/>
      <c r="N39" s="532"/>
      <c r="O39" s="532"/>
      <c r="P39" s="532"/>
      <c r="Q39" s="532"/>
      <c r="R39" s="583"/>
      <c r="S39" s="583"/>
    </row>
    <row r="40" spans="6:19" ht="20.100000000000001" customHeight="1">
      <c r="M40" s="532"/>
      <c r="N40" s="532"/>
      <c r="O40" s="532"/>
      <c r="P40" s="532"/>
      <c r="Q40" s="532"/>
      <c r="R40" s="583"/>
      <c r="S40" s="583"/>
    </row>
    <row r="41" spans="6:19" ht="20.100000000000001" customHeight="1" thickBot="1">
      <c r="G41" s="582" t="s">
        <v>641</v>
      </c>
      <c r="M41" s="583"/>
      <c r="N41" s="583"/>
      <c r="O41" s="583"/>
      <c r="P41" s="583"/>
      <c r="Q41" s="583"/>
      <c r="R41" s="583"/>
      <c r="S41" s="583"/>
    </row>
    <row r="42" spans="6:19" ht="27" customHeight="1" thickBot="1">
      <c r="G42" s="600" t="s">
        <v>237</v>
      </c>
      <c r="H42" s="601"/>
      <c r="I42" s="602"/>
    </row>
    <row r="43" spans="6:19" ht="15.95" customHeight="1">
      <c r="F43" s="674" t="s">
        <v>226</v>
      </c>
      <c r="G43" s="670">
        <v>50</v>
      </c>
      <c r="H43" s="577">
        <v>33.1</v>
      </c>
      <c r="I43" s="672">
        <v>82.666507860516333</v>
      </c>
    </row>
    <row r="44" spans="6:19" ht="15.95" customHeight="1">
      <c r="F44" s="675"/>
      <c r="G44" s="671"/>
      <c r="H44" s="481">
        <v>15.57</v>
      </c>
      <c r="I44" s="673"/>
      <c r="K44" s="533"/>
    </row>
    <row r="45" spans="6:19" ht="15.95" customHeight="1">
      <c r="F45" s="676" t="s">
        <v>227</v>
      </c>
      <c r="G45" s="677">
        <v>94</v>
      </c>
      <c r="H45" s="436">
        <v>34.619999999999997</v>
      </c>
      <c r="I45" s="678">
        <v>155.44483477472045</v>
      </c>
      <c r="K45" s="533"/>
    </row>
    <row r="46" spans="6:19" ht="15.95" customHeight="1">
      <c r="F46" s="676"/>
      <c r="G46" s="677"/>
      <c r="H46" s="436">
        <v>16.28</v>
      </c>
      <c r="I46" s="678"/>
      <c r="K46" s="533"/>
    </row>
    <row r="47" spans="6:19" ht="15.95" customHeight="1">
      <c r="F47" s="675" t="s">
        <v>228</v>
      </c>
      <c r="G47" s="671">
        <v>157</v>
      </c>
      <c r="H47" s="481">
        <v>44.67</v>
      </c>
      <c r="I47" s="673">
        <v>259.59296515765442</v>
      </c>
      <c r="K47" s="533"/>
    </row>
    <row r="48" spans="6:19" ht="15.95" customHeight="1">
      <c r="F48" s="675"/>
      <c r="G48" s="671"/>
      <c r="H48" s="481">
        <v>21.01</v>
      </c>
      <c r="I48" s="673"/>
      <c r="K48" s="533"/>
    </row>
    <row r="49" spans="6:11" ht="15.95" customHeight="1">
      <c r="F49" s="676" t="s">
        <v>332</v>
      </c>
      <c r="G49" s="677">
        <v>94</v>
      </c>
      <c r="H49" s="436">
        <v>37.200000000000003</v>
      </c>
      <c r="I49" s="678">
        <v>155.46403682527949</v>
      </c>
      <c r="K49" s="533"/>
    </row>
    <row r="50" spans="6:11" ht="15.95" customHeight="1">
      <c r="F50" s="676"/>
      <c r="G50" s="677"/>
      <c r="H50" s="436">
        <v>17.489999999999998</v>
      </c>
      <c r="I50" s="678"/>
      <c r="K50" s="533"/>
    </row>
    <row r="51" spans="6:11" ht="15.95" customHeight="1">
      <c r="F51" s="675" t="s">
        <v>333</v>
      </c>
      <c r="G51" s="671">
        <v>221</v>
      </c>
      <c r="H51" s="481">
        <v>5.42</v>
      </c>
      <c r="I51" s="673">
        <v>366.29921417026992</v>
      </c>
      <c r="K51" s="533"/>
    </row>
    <row r="52" spans="6:11" ht="15.95" customHeight="1">
      <c r="F52" s="675"/>
      <c r="G52" s="671"/>
      <c r="H52" s="481">
        <v>2.54</v>
      </c>
      <c r="I52" s="673"/>
      <c r="K52" s="533"/>
    </row>
    <row r="53" spans="6:11" ht="15.95" customHeight="1">
      <c r="F53" s="676" t="s">
        <v>334</v>
      </c>
      <c r="G53" s="677">
        <v>189</v>
      </c>
      <c r="H53" s="436">
        <v>4.3</v>
      </c>
      <c r="I53" s="678">
        <v>312.75663242516282</v>
      </c>
      <c r="K53" s="533"/>
    </row>
    <row r="54" spans="6:11" ht="15.95" customHeight="1">
      <c r="F54" s="676"/>
      <c r="G54" s="677"/>
      <c r="H54" s="436">
        <v>2.02</v>
      </c>
      <c r="I54" s="678"/>
      <c r="K54" s="533"/>
    </row>
    <row r="55" spans="6:11" ht="15.95" customHeight="1">
      <c r="F55" s="675" t="s">
        <v>615</v>
      </c>
      <c r="G55" s="671">
        <v>189</v>
      </c>
      <c r="H55" s="481">
        <v>4.18</v>
      </c>
      <c r="I55" s="673">
        <v>313.14244950728158</v>
      </c>
      <c r="K55" s="533"/>
    </row>
    <row r="56" spans="6:11" ht="15.95" customHeight="1">
      <c r="F56" s="675"/>
      <c r="G56" s="671"/>
      <c r="H56" s="481">
        <v>1.96</v>
      </c>
      <c r="I56" s="673"/>
      <c r="K56" s="533"/>
    </row>
    <row r="57" spans="6:11" ht="15.95" customHeight="1">
      <c r="F57" s="676"/>
      <c r="G57" s="677"/>
      <c r="H57" s="436"/>
      <c r="I57" s="678"/>
      <c r="K57" s="533"/>
    </row>
    <row r="58" spans="6:11" ht="15.95" customHeight="1">
      <c r="F58" s="676"/>
      <c r="G58" s="677"/>
      <c r="H58" s="436"/>
      <c r="I58" s="678"/>
      <c r="K58" s="533"/>
    </row>
    <row r="59" spans="6:11" ht="15.95" customHeight="1">
      <c r="F59" s="675"/>
      <c r="G59" s="671"/>
      <c r="H59" s="481"/>
      <c r="I59" s="673"/>
      <c r="K59" s="533"/>
    </row>
    <row r="60" spans="6:11" ht="15.95" customHeight="1">
      <c r="F60" s="675"/>
      <c r="G60" s="671"/>
      <c r="H60" s="481"/>
      <c r="I60" s="673"/>
      <c r="K60" s="533"/>
    </row>
    <row r="61" spans="6:11" ht="15.95" customHeight="1">
      <c r="F61" s="676"/>
      <c r="G61" s="677"/>
      <c r="H61" s="436"/>
      <c r="I61" s="678"/>
      <c r="K61" s="533"/>
    </row>
    <row r="62" spans="6:11" ht="15.95" customHeight="1">
      <c r="F62" s="676"/>
      <c r="G62" s="677"/>
      <c r="H62" s="436"/>
      <c r="I62" s="678"/>
      <c r="K62" s="533"/>
    </row>
    <row r="63" spans="6:11" ht="15.95" customHeight="1">
      <c r="F63" s="675"/>
      <c r="G63" s="671"/>
      <c r="H63" s="481"/>
      <c r="I63" s="673"/>
      <c r="K63" s="533"/>
    </row>
    <row r="64" spans="6:11" ht="15.95" customHeight="1">
      <c r="F64" s="675"/>
      <c r="G64" s="671"/>
      <c r="H64" s="481"/>
      <c r="I64" s="673"/>
      <c r="K64" s="533"/>
    </row>
    <row r="65" spans="6:11" ht="15.95" customHeight="1">
      <c r="F65" s="676"/>
      <c r="G65" s="677"/>
      <c r="H65" s="436"/>
      <c r="I65" s="678"/>
      <c r="K65" s="533"/>
    </row>
    <row r="66" spans="6:11" ht="15.95" customHeight="1">
      <c r="F66" s="676"/>
      <c r="G66" s="677"/>
      <c r="H66" s="436"/>
      <c r="I66" s="678"/>
      <c r="K66" s="533"/>
    </row>
    <row r="67" spans="6:11" ht="15.95" customHeight="1">
      <c r="F67" s="675"/>
      <c r="G67" s="671"/>
      <c r="H67" s="481"/>
      <c r="I67" s="673"/>
      <c r="K67" s="533"/>
    </row>
    <row r="68" spans="6:11" ht="15.95" customHeight="1">
      <c r="F68" s="675"/>
      <c r="G68" s="671"/>
      <c r="H68" s="481"/>
      <c r="I68" s="673"/>
      <c r="K68" s="533"/>
    </row>
    <row r="69" spans="6:11" ht="15.95" customHeight="1">
      <c r="F69" s="676"/>
      <c r="G69" s="677"/>
      <c r="H69" s="436"/>
      <c r="I69" s="678"/>
      <c r="K69" s="533"/>
    </row>
    <row r="70" spans="6:11" ht="15.95" customHeight="1">
      <c r="F70" s="676"/>
      <c r="G70" s="677"/>
      <c r="H70" s="436"/>
      <c r="I70" s="678"/>
      <c r="K70" s="533"/>
    </row>
    <row r="71" spans="6:11" ht="15.95" customHeight="1">
      <c r="F71" s="675"/>
      <c r="G71" s="671"/>
      <c r="H71" s="481"/>
      <c r="I71" s="673"/>
      <c r="K71" s="533"/>
    </row>
    <row r="72" spans="6:11" ht="15.95" customHeight="1">
      <c r="F72" s="675"/>
      <c r="G72" s="671"/>
      <c r="H72" s="481"/>
      <c r="I72" s="673"/>
      <c r="K72" s="533"/>
    </row>
    <row r="73" spans="6:11" ht="15.95" customHeight="1">
      <c r="F73" s="676"/>
      <c r="G73" s="677"/>
      <c r="H73" s="436"/>
      <c r="I73" s="678"/>
    </row>
    <row r="74" spans="6:11" ht="15.95" customHeight="1">
      <c r="F74" s="676"/>
      <c r="G74" s="677"/>
      <c r="H74" s="436"/>
      <c r="I74" s="678"/>
    </row>
    <row r="75" spans="6:11" ht="15.95" customHeight="1">
      <c r="F75" s="675"/>
      <c r="G75" s="671"/>
      <c r="H75" s="481"/>
      <c r="I75" s="673"/>
    </row>
    <row r="76" spans="6:11" ht="15.95" customHeight="1">
      <c r="F76" s="675"/>
      <c r="G76" s="671"/>
      <c r="H76" s="481"/>
      <c r="I76" s="673"/>
    </row>
    <row r="77" spans="6:11" ht="15.95" customHeight="1">
      <c r="F77" s="676"/>
      <c r="G77" s="677"/>
      <c r="H77" s="436"/>
      <c r="I77" s="678"/>
    </row>
    <row r="78" spans="6:11" ht="15.95" customHeight="1">
      <c r="F78" s="676"/>
      <c r="G78" s="677"/>
      <c r="H78" s="436"/>
      <c r="I78" s="678"/>
    </row>
    <row r="79" spans="6:11" ht="15.95" customHeight="1">
      <c r="F79" s="675"/>
      <c r="G79" s="671"/>
      <c r="H79" s="481"/>
      <c r="I79" s="673"/>
    </row>
    <row r="80" spans="6:11" ht="15.95" customHeight="1">
      <c r="F80" s="675"/>
      <c r="G80" s="671"/>
      <c r="H80" s="481"/>
      <c r="I80" s="673"/>
    </row>
    <row r="81" spans="6:9" ht="15.95" customHeight="1">
      <c r="F81" s="676"/>
      <c r="G81" s="677"/>
      <c r="H81" s="436"/>
      <c r="I81" s="678"/>
    </row>
    <row r="82" spans="6:9" ht="15.95" customHeight="1">
      <c r="F82" s="676"/>
      <c r="G82" s="677"/>
      <c r="H82" s="436"/>
      <c r="I82" s="678"/>
    </row>
    <row r="83" spans="6:9" ht="15.95" customHeight="1">
      <c r="F83" s="675"/>
      <c r="G83" s="671"/>
      <c r="H83" s="481"/>
      <c r="I83" s="673"/>
    </row>
    <row r="84" spans="6:9" ht="15.95" customHeight="1">
      <c r="F84" s="675"/>
      <c r="G84" s="671"/>
      <c r="H84" s="481"/>
      <c r="I84" s="673"/>
    </row>
    <row r="85" spans="6:9" ht="15.95" customHeight="1">
      <c r="F85" s="676"/>
      <c r="G85" s="677"/>
      <c r="H85" s="436"/>
      <c r="I85" s="678"/>
    </row>
    <row r="86" spans="6:9" ht="15.95" customHeight="1">
      <c r="F86" s="676"/>
      <c r="G86" s="677"/>
      <c r="H86" s="436"/>
      <c r="I86" s="678"/>
    </row>
    <row r="87" spans="6:9" ht="15.95" customHeight="1">
      <c r="F87" s="675"/>
      <c r="G87" s="671"/>
      <c r="H87" s="481"/>
      <c r="I87" s="673"/>
    </row>
    <row r="88" spans="6:9" ht="15.95" customHeight="1">
      <c r="F88" s="675"/>
      <c r="G88" s="671"/>
      <c r="H88" s="481"/>
      <c r="I88" s="673"/>
    </row>
    <row r="89" spans="6:9" ht="15.95" customHeight="1">
      <c r="F89" s="676"/>
      <c r="G89" s="677"/>
      <c r="H89" s="436"/>
      <c r="I89" s="678"/>
    </row>
    <row r="90" spans="6:9" ht="15.95" customHeight="1">
      <c r="F90" s="676"/>
      <c r="G90" s="677"/>
      <c r="H90" s="436"/>
      <c r="I90" s="678"/>
    </row>
    <row r="91" spans="6:9" ht="15.95" customHeight="1">
      <c r="F91" s="675"/>
      <c r="G91" s="671"/>
      <c r="H91" s="481"/>
      <c r="I91" s="673"/>
    </row>
    <row r="92" spans="6:9" ht="15.95" customHeight="1">
      <c r="F92" s="675"/>
      <c r="G92" s="671"/>
      <c r="H92" s="481"/>
      <c r="I92" s="673"/>
    </row>
    <row r="93" spans="6:9" ht="15.95" customHeight="1">
      <c r="F93" s="676"/>
      <c r="G93" s="677"/>
      <c r="H93" s="436"/>
      <c r="I93" s="678"/>
    </row>
    <row r="94" spans="6:9" ht="15.95" customHeight="1">
      <c r="F94" s="676"/>
      <c r="G94" s="677"/>
      <c r="H94" s="436"/>
      <c r="I94" s="678"/>
    </row>
    <row r="95" spans="6:9" ht="15.95" customHeight="1">
      <c r="F95" s="681"/>
      <c r="G95" s="679"/>
      <c r="H95" s="278"/>
      <c r="I95" s="680"/>
    </row>
    <row r="96" spans="6:9" ht="15.95" customHeight="1">
      <c r="F96" s="681"/>
      <c r="G96" s="679"/>
      <c r="H96" s="278"/>
      <c r="I96" s="680"/>
    </row>
    <row r="97" spans="6:9" ht="15.95" customHeight="1">
      <c r="F97" s="682"/>
      <c r="G97" s="684"/>
      <c r="H97" s="447"/>
      <c r="I97" s="686"/>
    </row>
    <row r="98" spans="6:9" ht="15.95" customHeight="1">
      <c r="F98" s="682"/>
      <c r="G98" s="684"/>
      <c r="H98" s="447"/>
      <c r="I98" s="686"/>
    </row>
    <row r="99" spans="6:9" ht="15.95" customHeight="1">
      <c r="F99" s="681"/>
      <c r="G99" s="679"/>
      <c r="H99" s="278"/>
      <c r="I99" s="680"/>
    </row>
    <row r="100" spans="6:9" ht="15.95" customHeight="1">
      <c r="F100" s="681"/>
      <c r="G100" s="679"/>
      <c r="H100" s="278"/>
      <c r="I100" s="680"/>
    </row>
    <row r="101" spans="6:9" ht="15.95" customHeight="1">
      <c r="F101" s="682"/>
      <c r="G101" s="684"/>
      <c r="H101" s="447"/>
      <c r="I101" s="686"/>
    </row>
    <row r="102" spans="6:9" ht="15.95" customHeight="1" thickBot="1">
      <c r="F102" s="683"/>
      <c r="G102" s="685"/>
      <c r="H102" s="568"/>
      <c r="I102" s="687"/>
    </row>
    <row r="103" spans="6:9" ht="15.95" customHeight="1"/>
    <row r="104" spans="6:9" ht="15.95" customHeight="1"/>
    <row r="105" spans="6:9" ht="15.95" customHeight="1"/>
    <row r="106" spans="6:9" ht="15.95" customHeight="1"/>
    <row r="107" spans="6:9" ht="15.95" customHeight="1"/>
    <row r="108" spans="6:9" ht="15.95" customHeight="1"/>
    <row r="109" spans="6:9" ht="15.95" customHeight="1"/>
    <row r="110" spans="6:9" ht="15.95" customHeight="1"/>
    <row r="111" spans="6:9" ht="15.95" customHeight="1"/>
    <row r="112" spans="6:9" ht="15.95" customHeight="1"/>
    <row r="113" ht="15.95" customHeight="1"/>
  </sheetData>
  <mergeCells count="90">
    <mergeCell ref="I65:I66"/>
    <mergeCell ref="I67:I68"/>
    <mergeCell ref="I69:I70"/>
    <mergeCell ref="I71:I72"/>
    <mergeCell ref="F101:F102"/>
    <mergeCell ref="G101:G102"/>
    <mergeCell ref="I101:I102"/>
    <mergeCell ref="G71:G72"/>
    <mergeCell ref="G69:G70"/>
    <mergeCell ref="G67:G68"/>
    <mergeCell ref="G65:G66"/>
    <mergeCell ref="F71:F72"/>
    <mergeCell ref="F97:F98"/>
    <mergeCell ref="G97:G98"/>
    <mergeCell ref="I97:I98"/>
    <mergeCell ref="F99:F100"/>
    <mergeCell ref="I55:I56"/>
    <mergeCell ref="I57:I58"/>
    <mergeCell ref="I59:I60"/>
    <mergeCell ref="I61:I62"/>
    <mergeCell ref="I63:I64"/>
    <mergeCell ref="G63:G64"/>
    <mergeCell ref="F63:F64"/>
    <mergeCell ref="F65:F66"/>
    <mergeCell ref="F67:F68"/>
    <mergeCell ref="F69:F70"/>
    <mergeCell ref="F55:F56"/>
    <mergeCell ref="G55:G56"/>
    <mergeCell ref="F57:F58"/>
    <mergeCell ref="F59:F60"/>
    <mergeCell ref="F61:F62"/>
    <mergeCell ref="G61:G62"/>
    <mergeCell ref="G59:G60"/>
    <mergeCell ref="G57:G58"/>
    <mergeCell ref="F51:F52"/>
    <mergeCell ref="F53:F54"/>
    <mergeCell ref="G49:G50"/>
    <mergeCell ref="G51:G52"/>
    <mergeCell ref="G53:G54"/>
    <mergeCell ref="G99:G100"/>
    <mergeCell ref="I99:I100"/>
    <mergeCell ref="I95:I96"/>
    <mergeCell ref="F95:F96"/>
    <mergeCell ref="G95:G96"/>
    <mergeCell ref="F91:F92"/>
    <mergeCell ref="G91:G92"/>
    <mergeCell ref="I91:I92"/>
    <mergeCell ref="F93:F94"/>
    <mergeCell ref="G93:G94"/>
    <mergeCell ref="I93:I94"/>
    <mergeCell ref="F87:F88"/>
    <mergeCell ref="G87:G88"/>
    <mergeCell ref="I87:I88"/>
    <mergeCell ref="F89:F90"/>
    <mergeCell ref="G89:G90"/>
    <mergeCell ref="I89:I90"/>
    <mergeCell ref="F83:F84"/>
    <mergeCell ref="G83:G84"/>
    <mergeCell ref="I83:I84"/>
    <mergeCell ref="F85:F86"/>
    <mergeCell ref="G85:G86"/>
    <mergeCell ref="I85:I86"/>
    <mergeCell ref="F79:F80"/>
    <mergeCell ref="G79:G80"/>
    <mergeCell ref="I79:I80"/>
    <mergeCell ref="F81:F82"/>
    <mergeCell ref="G81:G82"/>
    <mergeCell ref="I81:I82"/>
    <mergeCell ref="F75:F76"/>
    <mergeCell ref="G75:G76"/>
    <mergeCell ref="I75:I76"/>
    <mergeCell ref="F77:F78"/>
    <mergeCell ref="G77:G78"/>
    <mergeCell ref="I77:I78"/>
    <mergeCell ref="G43:G44"/>
    <mergeCell ref="I43:I44"/>
    <mergeCell ref="F43:F44"/>
    <mergeCell ref="F73:F74"/>
    <mergeCell ref="G73:G74"/>
    <mergeCell ref="I73:I74"/>
    <mergeCell ref="F45:F46"/>
    <mergeCell ref="F47:F48"/>
    <mergeCell ref="G45:G46"/>
    <mergeCell ref="G47:G48"/>
    <mergeCell ref="I45:I46"/>
    <mergeCell ref="I47:I48"/>
    <mergeCell ref="I49:I50"/>
    <mergeCell ref="I51:I52"/>
    <mergeCell ref="I53:I54"/>
    <mergeCell ref="F49:F5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8178" r:id="rId4" name="CommandButton2">
          <controlPr defaultSize="0" autoLine="0" r:id="rId5">
            <anchor moveWithCells="1">
              <from>
                <xdr:col>1</xdr:col>
                <xdr:colOff>133350</xdr:colOff>
                <xdr:row>2</xdr:row>
                <xdr:rowOff>171450</xdr:rowOff>
              </from>
              <to>
                <xdr:col>5</xdr:col>
                <xdr:colOff>28575</xdr:colOff>
                <xdr:row>4</xdr:row>
                <xdr:rowOff>66675</xdr:rowOff>
              </to>
            </anchor>
          </controlPr>
        </control>
      </mc:Choice>
      <mc:Fallback>
        <control shapeId="178178" r:id="rId4" name="CommandButton2"/>
      </mc:Fallback>
    </mc:AlternateContent>
    <mc:AlternateContent xmlns:mc="http://schemas.openxmlformats.org/markup-compatibility/2006">
      <mc:Choice Requires="x14">
        <control shapeId="178177" r:id="rId6" name="CommandButton1">
          <controlPr defaultSize="0" autoLine="0" r:id="rId7">
            <anchor moveWithCells="1">
              <from>
                <xdr:col>1</xdr:col>
                <xdr:colOff>142875</xdr:colOff>
                <xdr:row>1</xdr:row>
                <xdr:rowOff>114300</xdr:rowOff>
              </from>
              <to>
                <xdr:col>5</xdr:col>
                <xdr:colOff>38100</xdr:colOff>
                <xdr:row>2</xdr:row>
                <xdr:rowOff>133350</xdr:rowOff>
              </to>
            </anchor>
          </controlPr>
        </control>
      </mc:Choice>
      <mc:Fallback>
        <control shapeId="178177" r:id="rId6" name="CommandButton1"/>
      </mc:Fallback>
    </mc:AlternateContent>
    <mc:AlternateContent xmlns:mc="http://schemas.openxmlformats.org/markup-compatibility/2006">
      <mc:Choice Requires="x14">
        <control shapeId="178179" r:id="rId8" name="CommandButton3">
          <controlPr defaultSize="0" autoLine="0" r:id="rId9">
            <anchor moveWithCells="1">
              <from>
                <xdr:col>1</xdr:col>
                <xdr:colOff>142875</xdr:colOff>
                <xdr:row>5</xdr:row>
                <xdr:rowOff>47625</xdr:rowOff>
              </from>
              <to>
                <xdr:col>5</xdr:col>
                <xdr:colOff>38100</xdr:colOff>
                <xdr:row>6</xdr:row>
                <xdr:rowOff>190500</xdr:rowOff>
              </to>
            </anchor>
          </controlPr>
        </control>
      </mc:Choice>
      <mc:Fallback>
        <control shapeId="178179" r:id="rId8" name="CommandButton3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9E03E-BE36-4160-B3C6-CED5EF246906}">
  <sheetPr codeName="Sheet_Agg2"/>
  <dimension ref="C1:AJ183"/>
  <sheetViews>
    <sheetView workbookViewId="0">
      <selection activeCell="D29" sqref="D29"/>
    </sheetView>
  </sheetViews>
  <sheetFormatPr defaultRowHeight="20.100000000000001" customHeight="1"/>
  <cols>
    <col min="1" max="1" width="5.109375" style="603" customWidth="1"/>
    <col min="2" max="2" width="15.33203125" style="603" customWidth="1"/>
    <col min="3" max="3" width="13.6640625" style="603" customWidth="1"/>
    <col min="4" max="4" width="15.88671875" style="603" customWidth="1"/>
    <col min="5" max="5" width="10.109375" style="603" customWidth="1"/>
    <col min="6" max="6" width="10.33203125" style="603" customWidth="1"/>
    <col min="7" max="7" width="10.109375" style="603" customWidth="1"/>
    <col min="8" max="8" width="10.21875" style="603" customWidth="1"/>
    <col min="9" max="9" width="11.109375" style="603" customWidth="1"/>
    <col min="10" max="10" width="11" style="603" customWidth="1"/>
    <col min="11" max="11" width="10.88671875" style="603" customWidth="1"/>
    <col min="12" max="12" width="10" style="603" customWidth="1"/>
    <col min="13" max="13" width="9.44140625" style="603" bestFit="1" customWidth="1"/>
    <col min="14" max="14" width="9.88671875" style="603" customWidth="1"/>
    <col min="15" max="15" width="9.44140625" style="603" customWidth="1"/>
    <col min="16" max="16" width="11.109375" style="603" customWidth="1"/>
    <col min="17" max="17" width="13" style="603" customWidth="1"/>
    <col min="18" max="18" width="12.33203125" style="603" customWidth="1"/>
    <col min="19" max="34" width="9.44140625" style="603" bestFit="1" customWidth="1"/>
    <col min="35" max="16384" width="8.88671875" style="603"/>
  </cols>
  <sheetData>
    <row r="1" spans="3:21" ht="20.100000000000001" customHeight="1" thickBot="1">
      <c r="C1" s="582" t="s">
        <v>294</v>
      </c>
      <c r="G1" s="582" t="s">
        <v>640</v>
      </c>
      <c r="L1" s="582" t="s">
        <v>233</v>
      </c>
      <c r="S1" s="582" t="s">
        <v>234</v>
      </c>
    </row>
    <row r="2" spans="3:21" ht="36.75" customHeight="1">
      <c r="C2" s="613" t="s">
        <v>216</v>
      </c>
      <c r="D2" s="614" t="s">
        <v>631</v>
      </c>
      <c r="E2" s="614" t="s">
        <v>213</v>
      </c>
      <c r="F2" s="614" t="s">
        <v>220</v>
      </c>
      <c r="G2" s="614" t="s">
        <v>221</v>
      </c>
      <c r="H2" s="614" t="s">
        <v>161</v>
      </c>
      <c r="I2" s="614" t="s">
        <v>222</v>
      </c>
      <c r="J2" s="615" t="s">
        <v>223</v>
      </c>
      <c r="L2" s="613" t="s">
        <v>213</v>
      </c>
      <c r="M2" s="614" t="s">
        <v>217</v>
      </c>
      <c r="N2" s="614" t="s">
        <v>218</v>
      </c>
      <c r="O2" s="614" t="s">
        <v>219</v>
      </c>
      <c r="P2" s="614" t="s">
        <v>235</v>
      </c>
      <c r="Q2" s="615" t="s">
        <v>236</v>
      </c>
      <c r="S2" s="613" t="s">
        <v>221</v>
      </c>
      <c r="T2" s="614" t="s">
        <v>224</v>
      </c>
      <c r="U2" s="615" t="s">
        <v>225</v>
      </c>
    </row>
    <row r="3" spans="3:21" ht="20.100000000000001" customHeight="1">
      <c r="C3" s="480" t="s">
        <v>226</v>
      </c>
      <c r="D3" s="481">
        <v>2880</v>
      </c>
      <c r="E3" s="481">
        <v>80</v>
      </c>
      <c r="F3" s="481">
        <v>1.2</v>
      </c>
      <c r="G3" s="481">
        <v>38.4</v>
      </c>
      <c r="H3" s="481">
        <v>37.199999999999996</v>
      </c>
      <c r="I3" s="481">
        <v>0.1</v>
      </c>
      <c r="J3" s="540">
        <v>2.8266465981091984</v>
      </c>
      <c r="K3" s="533"/>
      <c r="L3" s="480">
        <v>80</v>
      </c>
      <c r="M3" s="481">
        <v>0.1</v>
      </c>
      <c r="N3" s="481">
        <v>0.1</v>
      </c>
      <c r="O3" s="481">
        <v>88</v>
      </c>
      <c r="P3" s="481">
        <v>1.4419999999999999</v>
      </c>
      <c r="Q3" s="484">
        <v>7.4639999999999998E-2</v>
      </c>
      <c r="S3" s="545">
        <v>38.4</v>
      </c>
      <c r="T3" s="527">
        <v>3.2611452032809449</v>
      </c>
      <c r="U3" s="540">
        <v>35.138854796719052</v>
      </c>
    </row>
    <row r="4" spans="3:21" ht="20.100000000000001" customHeight="1">
      <c r="C4" s="435" t="s">
        <v>227</v>
      </c>
      <c r="D4" s="436">
        <v>2880</v>
      </c>
      <c r="E4" s="436">
        <v>150</v>
      </c>
      <c r="F4" s="436">
        <v>6.3</v>
      </c>
      <c r="G4" s="436">
        <v>45.2</v>
      </c>
      <c r="H4" s="436">
        <v>38.900000000000006</v>
      </c>
      <c r="I4" s="436">
        <v>0.1</v>
      </c>
      <c r="J4" s="437">
        <v>3.6073248871826196</v>
      </c>
      <c r="K4" s="533"/>
      <c r="L4" s="435">
        <v>150</v>
      </c>
      <c r="M4" s="436">
        <v>0.1</v>
      </c>
      <c r="N4" s="436">
        <v>0.1</v>
      </c>
      <c r="O4" s="436">
        <v>48</v>
      </c>
      <c r="P4" s="436">
        <v>2.6859999999999999</v>
      </c>
      <c r="Q4" s="439">
        <v>0.1002</v>
      </c>
      <c r="S4" s="496">
        <v>45.2</v>
      </c>
      <c r="T4" s="442">
        <v>8.3796484190533285</v>
      </c>
      <c r="U4" s="437">
        <v>36.820351580946678</v>
      </c>
    </row>
    <row r="5" spans="3:21" ht="20.100000000000001" customHeight="1">
      <c r="C5" s="480" t="s">
        <v>228</v>
      </c>
      <c r="D5" s="481">
        <v>2880</v>
      </c>
      <c r="E5" s="481">
        <v>250</v>
      </c>
      <c r="F5" s="481">
        <v>4.5999999999999996</v>
      </c>
      <c r="G5" s="481">
        <v>54.8</v>
      </c>
      <c r="H5" s="481">
        <v>50.199999999999996</v>
      </c>
      <c r="I5" s="481">
        <v>0.1</v>
      </c>
      <c r="J5" s="540">
        <v>5.5215788442668838</v>
      </c>
      <c r="K5" s="533"/>
      <c r="L5" s="480">
        <v>250</v>
      </c>
      <c r="M5" s="481">
        <v>0.1</v>
      </c>
      <c r="N5" s="481">
        <v>0.1</v>
      </c>
      <c r="O5" s="481">
        <v>138</v>
      </c>
      <c r="P5" s="481">
        <v>3.5619999999999998</v>
      </c>
      <c r="Q5" s="484">
        <v>0.10489999999999999</v>
      </c>
      <c r="S5" s="545">
        <v>54.8</v>
      </c>
      <c r="T5" s="527">
        <v>6.7884707348968201</v>
      </c>
      <c r="U5" s="540">
        <v>48.011529265103178</v>
      </c>
    </row>
    <row r="6" spans="3:21" ht="20.100000000000001" customHeight="1">
      <c r="C6" s="435" t="s">
        <v>332</v>
      </c>
      <c r="D6" s="436">
        <v>2880</v>
      </c>
      <c r="E6" s="436">
        <v>150</v>
      </c>
      <c r="F6" s="436">
        <v>3.5</v>
      </c>
      <c r="G6" s="436">
        <v>45.3</v>
      </c>
      <c r="H6" s="436">
        <v>41.8</v>
      </c>
      <c r="I6" s="436">
        <v>0.1</v>
      </c>
      <c r="J6" s="437">
        <v>3.7609153850652088</v>
      </c>
      <c r="K6" s="533"/>
      <c r="L6" s="435">
        <v>150</v>
      </c>
      <c r="M6" s="436">
        <v>0.1</v>
      </c>
      <c r="N6" s="436">
        <v>0.1</v>
      </c>
      <c r="O6" s="436">
        <v>68</v>
      </c>
      <c r="P6" s="436">
        <v>2.4849999999999999</v>
      </c>
      <c r="Q6" s="439">
        <v>9.7619999999999998E-2</v>
      </c>
      <c r="S6" s="496">
        <v>45.3</v>
      </c>
      <c r="T6" s="442">
        <v>5.6097706985427518</v>
      </c>
      <c r="U6" s="437">
        <v>39.690229301457244</v>
      </c>
    </row>
    <row r="7" spans="3:21" ht="20.100000000000001" customHeight="1">
      <c r="C7" s="480" t="s">
        <v>333</v>
      </c>
      <c r="D7" s="481">
        <v>2880</v>
      </c>
      <c r="E7" s="481">
        <v>350</v>
      </c>
      <c r="F7" s="481">
        <v>3</v>
      </c>
      <c r="G7" s="481">
        <v>9.1</v>
      </c>
      <c r="H7" s="481">
        <v>6.1</v>
      </c>
      <c r="I7" s="481">
        <v>0.85</v>
      </c>
      <c r="J7" s="540">
        <v>0.4761044181666837</v>
      </c>
      <c r="K7" s="533"/>
      <c r="L7" s="480">
        <v>350</v>
      </c>
      <c r="M7" s="481">
        <v>0.85</v>
      </c>
      <c r="N7" s="481">
        <v>0.85</v>
      </c>
      <c r="O7" s="481">
        <v>4</v>
      </c>
      <c r="P7" s="481">
        <v>26.22</v>
      </c>
      <c r="Q7" s="484">
        <v>7.4990000000000001E-2</v>
      </c>
      <c r="S7" s="545">
        <v>9.1</v>
      </c>
      <c r="T7" s="527">
        <v>4.4357074930589429</v>
      </c>
      <c r="U7" s="540">
        <v>4.6642925069410568</v>
      </c>
    </row>
    <row r="8" spans="3:21" ht="20.100000000000001" customHeight="1">
      <c r="C8" s="435" t="s">
        <v>334</v>
      </c>
      <c r="D8" s="436">
        <v>2880</v>
      </c>
      <c r="E8" s="436">
        <v>300</v>
      </c>
      <c r="F8" s="436">
        <v>4.7</v>
      </c>
      <c r="G8" s="436">
        <v>9.5399999999999991</v>
      </c>
      <c r="H8" s="436">
        <v>4.839999999999999</v>
      </c>
      <c r="I8" s="436">
        <v>0.85</v>
      </c>
      <c r="J8" s="437">
        <v>0.40657518593608222</v>
      </c>
      <c r="K8" s="533"/>
      <c r="L8" s="435">
        <v>300</v>
      </c>
      <c r="M8" s="436">
        <v>0.85</v>
      </c>
      <c r="N8" s="436">
        <v>0.85</v>
      </c>
      <c r="O8" s="436">
        <v>4</v>
      </c>
      <c r="P8" s="436">
        <v>25.59</v>
      </c>
      <c r="Q8" s="439">
        <v>8.4229999999999999E-2</v>
      </c>
      <c r="S8" s="435">
        <v>9.5399999999999991</v>
      </c>
      <c r="T8" s="442">
        <v>6.0707841442227295</v>
      </c>
      <c r="U8" s="437">
        <v>3.4692158557772697</v>
      </c>
    </row>
    <row r="9" spans="3:21" ht="20.100000000000001" customHeight="1">
      <c r="C9" s="480" t="s">
        <v>615</v>
      </c>
      <c r="D9" s="481">
        <v>2880</v>
      </c>
      <c r="E9" s="481">
        <v>300</v>
      </c>
      <c r="F9" s="481">
        <v>5</v>
      </c>
      <c r="G9" s="481">
        <v>9.6999999999999993</v>
      </c>
      <c r="H9" s="481">
        <v>4.6999999999999993</v>
      </c>
      <c r="I9" s="481">
        <v>0.85</v>
      </c>
      <c r="J9" s="540">
        <v>0.39635994075557734</v>
      </c>
      <c r="K9" s="533"/>
      <c r="L9" s="480">
        <v>300</v>
      </c>
      <c r="M9" s="481">
        <v>0.85</v>
      </c>
      <c r="N9" s="481">
        <v>0.85</v>
      </c>
      <c r="O9" s="481">
        <v>4</v>
      </c>
      <c r="P9" s="481">
        <v>26.6</v>
      </c>
      <c r="Q9" s="484">
        <v>8.5800000000000001E-2</v>
      </c>
      <c r="S9" s="480">
        <v>9.6999999999999993</v>
      </c>
      <c r="T9" s="527">
        <v>6.3627606087515325</v>
      </c>
      <c r="U9" s="540">
        <v>3.3372393912484668</v>
      </c>
    </row>
    <row r="10" spans="3:21" ht="20.100000000000001" customHeight="1">
      <c r="C10" s="435"/>
      <c r="D10" s="436"/>
      <c r="E10" s="436"/>
      <c r="F10" s="436"/>
      <c r="G10" s="436"/>
      <c r="H10" s="436"/>
      <c r="I10" s="436"/>
      <c r="J10" s="437"/>
      <c r="K10" s="533"/>
      <c r="L10" s="435"/>
      <c r="M10" s="436"/>
      <c r="N10" s="436"/>
      <c r="O10" s="436"/>
      <c r="P10" s="436"/>
      <c r="Q10" s="439"/>
      <c r="S10" s="435"/>
      <c r="T10" s="442"/>
      <c r="U10" s="437"/>
    </row>
    <row r="11" spans="3:21" ht="20.100000000000001" customHeight="1">
      <c r="C11" s="480"/>
      <c r="D11" s="481"/>
      <c r="E11" s="481"/>
      <c r="F11" s="481"/>
      <c r="G11" s="481"/>
      <c r="H11" s="481"/>
      <c r="I11" s="481"/>
      <c r="J11" s="540"/>
      <c r="K11" s="533"/>
      <c r="L11" s="480"/>
      <c r="M11" s="481"/>
      <c r="N11" s="481"/>
      <c r="O11" s="481"/>
      <c r="P11" s="481"/>
      <c r="Q11" s="484"/>
      <c r="S11" s="480"/>
      <c r="T11" s="527"/>
      <c r="U11" s="540"/>
    </row>
    <row r="12" spans="3:21" ht="20.100000000000001" customHeight="1">
      <c r="C12" s="435"/>
      <c r="D12" s="436"/>
      <c r="E12" s="436"/>
      <c r="F12" s="436"/>
      <c r="G12" s="436"/>
      <c r="H12" s="436"/>
      <c r="I12" s="436"/>
      <c r="J12" s="437"/>
      <c r="K12" s="533"/>
      <c r="L12" s="435"/>
      <c r="M12" s="436"/>
      <c r="N12" s="436"/>
      <c r="O12" s="436"/>
      <c r="P12" s="436"/>
      <c r="Q12" s="439"/>
      <c r="S12" s="435"/>
      <c r="T12" s="442"/>
      <c r="U12" s="437"/>
    </row>
    <row r="13" spans="3:21" ht="20.100000000000001" customHeight="1">
      <c r="C13" s="480"/>
      <c r="D13" s="481"/>
      <c r="E13" s="481"/>
      <c r="F13" s="481"/>
      <c r="G13" s="481"/>
      <c r="H13" s="481"/>
      <c r="I13" s="481"/>
      <c r="J13" s="540"/>
      <c r="K13" s="533"/>
      <c r="L13" s="480"/>
      <c r="M13" s="481"/>
      <c r="N13" s="481"/>
      <c r="O13" s="481"/>
      <c r="P13" s="481"/>
      <c r="Q13" s="484"/>
      <c r="S13" s="480"/>
      <c r="T13" s="527"/>
      <c r="U13" s="540"/>
    </row>
    <row r="14" spans="3:21" ht="20.100000000000001" customHeight="1">
      <c r="C14" s="435"/>
      <c r="D14" s="436"/>
      <c r="E14" s="436"/>
      <c r="F14" s="436"/>
      <c r="G14" s="436"/>
      <c r="H14" s="436"/>
      <c r="I14" s="436"/>
      <c r="J14" s="437"/>
      <c r="K14" s="533"/>
      <c r="L14" s="435"/>
      <c r="M14" s="436"/>
      <c r="N14" s="436"/>
      <c r="O14" s="436"/>
      <c r="P14" s="436"/>
      <c r="Q14" s="439"/>
      <c r="S14" s="435"/>
      <c r="T14" s="442"/>
      <c r="U14" s="437"/>
    </row>
    <row r="15" spans="3:21" ht="20.100000000000001" customHeight="1">
      <c r="C15" s="480"/>
      <c r="D15" s="481"/>
      <c r="E15" s="481"/>
      <c r="F15" s="481"/>
      <c r="G15" s="481"/>
      <c r="H15" s="481"/>
      <c r="I15" s="481"/>
      <c r="J15" s="540"/>
      <c r="K15" s="533"/>
      <c r="L15" s="480"/>
      <c r="M15" s="481"/>
      <c r="N15" s="481"/>
      <c r="O15" s="481"/>
      <c r="P15" s="481"/>
      <c r="Q15" s="484"/>
      <c r="S15" s="480"/>
      <c r="T15" s="527"/>
      <c r="U15" s="540"/>
    </row>
    <row r="16" spans="3:21" ht="20.100000000000001" customHeight="1">
      <c r="C16" s="435"/>
      <c r="D16" s="436"/>
      <c r="E16" s="436"/>
      <c r="F16" s="436"/>
      <c r="G16" s="436"/>
      <c r="H16" s="436"/>
      <c r="I16" s="436"/>
      <c r="J16" s="437"/>
      <c r="K16" s="533"/>
      <c r="L16" s="435"/>
      <c r="M16" s="436"/>
      <c r="N16" s="436"/>
      <c r="O16" s="436"/>
      <c r="P16" s="436"/>
      <c r="Q16" s="439"/>
      <c r="S16" s="435"/>
      <c r="T16" s="442"/>
      <c r="U16" s="437"/>
    </row>
    <row r="17" spans="3:21" ht="20.100000000000001" customHeight="1">
      <c r="C17" s="480"/>
      <c r="D17" s="481"/>
      <c r="E17" s="481"/>
      <c r="F17" s="481"/>
      <c r="G17" s="481"/>
      <c r="H17" s="481"/>
      <c r="I17" s="481"/>
      <c r="J17" s="540"/>
      <c r="K17" s="533"/>
      <c r="L17" s="480"/>
      <c r="M17" s="481"/>
      <c r="N17" s="481"/>
      <c r="O17" s="481"/>
      <c r="P17" s="481"/>
      <c r="Q17" s="484"/>
      <c r="S17" s="480"/>
      <c r="T17" s="527"/>
      <c r="U17" s="540"/>
    </row>
    <row r="18" spans="3:21" ht="20.100000000000001" customHeight="1">
      <c r="C18" s="435"/>
      <c r="D18" s="436"/>
      <c r="E18" s="436"/>
      <c r="F18" s="436"/>
      <c r="G18" s="436"/>
      <c r="H18" s="436"/>
      <c r="I18" s="436"/>
      <c r="J18" s="437"/>
      <c r="K18" s="533"/>
      <c r="L18" s="435"/>
      <c r="M18" s="436"/>
      <c r="N18" s="436"/>
      <c r="O18" s="436"/>
      <c r="P18" s="436"/>
      <c r="Q18" s="439"/>
      <c r="S18" s="435"/>
      <c r="T18" s="442"/>
      <c r="U18" s="437"/>
    </row>
    <row r="19" spans="3:21" ht="20.100000000000001" customHeight="1">
      <c r="C19" s="480"/>
      <c r="D19" s="481"/>
      <c r="E19" s="481"/>
      <c r="F19" s="481"/>
      <c r="G19" s="481"/>
      <c r="H19" s="481"/>
      <c r="I19" s="481"/>
      <c r="J19" s="540"/>
      <c r="K19" s="533"/>
      <c r="L19" s="480"/>
      <c r="M19" s="481"/>
      <c r="N19" s="481"/>
      <c r="O19" s="481"/>
      <c r="P19" s="481"/>
      <c r="Q19" s="484"/>
      <c r="S19" s="480"/>
      <c r="T19" s="527"/>
      <c r="U19" s="540"/>
    </row>
    <row r="20" spans="3:21" ht="20.100000000000001" customHeight="1">
      <c r="C20" s="435"/>
      <c r="D20" s="436"/>
      <c r="E20" s="436"/>
      <c r="F20" s="436"/>
      <c r="G20" s="436"/>
      <c r="H20" s="436"/>
      <c r="I20" s="436"/>
      <c r="J20" s="437"/>
      <c r="K20" s="533"/>
      <c r="L20" s="435"/>
      <c r="M20" s="436"/>
      <c r="N20" s="436"/>
      <c r="O20" s="436"/>
      <c r="P20" s="436"/>
      <c r="Q20" s="439"/>
      <c r="S20" s="435"/>
      <c r="T20" s="442"/>
      <c r="U20" s="437"/>
    </row>
    <row r="21" spans="3:21" ht="20.100000000000001" customHeight="1">
      <c r="C21" s="480"/>
      <c r="D21" s="481"/>
      <c r="E21" s="481"/>
      <c r="F21" s="481"/>
      <c r="G21" s="481"/>
      <c r="H21" s="481"/>
      <c r="I21" s="481"/>
      <c r="J21" s="540"/>
      <c r="K21" s="533"/>
      <c r="L21" s="480"/>
      <c r="M21" s="481"/>
      <c r="N21" s="481"/>
      <c r="O21" s="481"/>
      <c r="P21" s="481"/>
      <c r="Q21" s="484"/>
      <c r="S21" s="480"/>
      <c r="T21" s="527"/>
      <c r="U21" s="540"/>
    </row>
    <row r="22" spans="3:21" ht="20.100000000000001" customHeight="1">
      <c r="C22" s="435"/>
      <c r="D22" s="436"/>
      <c r="E22" s="436"/>
      <c r="F22" s="436"/>
      <c r="G22" s="436"/>
      <c r="H22" s="436"/>
      <c r="I22" s="436"/>
      <c r="J22" s="437"/>
      <c r="K22" s="533"/>
      <c r="L22" s="435"/>
      <c r="M22" s="436"/>
      <c r="N22" s="436"/>
      <c r="O22" s="436"/>
      <c r="P22" s="436"/>
      <c r="Q22" s="439"/>
      <c r="S22" s="435"/>
      <c r="T22" s="442"/>
      <c r="U22" s="437"/>
    </row>
    <row r="23" spans="3:21" ht="20.100000000000001" customHeight="1">
      <c r="C23" s="480"/>
      <c r="D23" s="481"/>
      <c r="E23" s="481"/>
      <c r="F23" s="481"/>
      <c r="G23" s="481"/>
      <c r="H23" s="481"/>
      <c r="I23" s="481"/>
      <c r="J23" s="540"/>
      <c r="K23" s="533"/>
      <c r="L23" s="480"/>
      <c r="M23" s="481"/>
      <c r="N23" s="481"/>
      <c r="O23" s="481"/>
      <c r="P23" s="481"/>
      <c r="Q23" s="484"/>
      <c r="S23" s="480"/>
      <c r="T23" s="527"/>
      <c r="U23" s="540"/>
    </row>
    <row r="24" spans="3:21" ht="20.100000000000001" customHeight="1">
      <c r="C24" s="435"/>
      <c r="D24" s="436"/>
      <c r="E24" s="436"/>
      <c r="F24" s="436"/>
      <c r="G24" s="436"/>
      <c r="H24" s="436"/>
      <c r="I24" s="436"/>
      <c r="J24" s="437"/>
      <c r="K24" s="533"/>
      <c r="L24" s="435"/>
      <c r="M24" s="436"/>
      <c r="N24" s="436"/>
      <c r="O24" s="436"/>
      <c r="P24" s="436"/>
      <c r="Q24" s="439"/>
      <c r="S24" s="435"/>
      <c r="T24" s="442"/>
      <c r="U24" s="437"/>
    </row>
    <row r="25" spans="3:21" ht="20.100000000000001" customHeight="1">
      <c r="C25" s="480"/>
      <c r="D25" s="481"/>
      <c r="E25" s="481"/>
      <c r="F25" s="481"/>
      <c r="G25" s="481"/>
      <c r="H25" s="481"/>
      <c r="I25" s="481"/>
      <c r="J25" s="540"/>
      <c r="K25" s="533"/>
      <c r="L25" s="480"/>
      <c r="M25" s="481"/>
      <c r="N25" s="481"/>
      <c r="O25" s="481"/>
      <c r="P25" s="481"/>
      <c r="Q25" s="484"/>
      <c r="S25" s="480"/>
      <c r="T25" s="527"/>
      <c r="U25" s="540"/>
    </row>
    <row r="26" spans="3:21" ht="20.100000000000001" customHeight="1">
      <c r="C26" s="435"/>
      <c r="D26" s="436"/>
      <c r="E26" s="436"/>
      <c r="F26" s="436"/>
      <c r="G26" s="436"/>
      <c r="H26" s="436"/>
      <c r="I26" s="436"/>
      <c r="J26" s="437"/>
      <c r="K26" s="533"/>
      <c r="L26" s="435"/>
      <c r="M26" s="436"/>
      <c r="N26" s="436"/>
      <c r="O26" s="436"/>
      <c r="P26" s="436"/>
      <c r="Q26" s="439"/>
      <c r="S26" s="435"/>
      <c r="T26" s="442"/>
      <c r="U26" s="437"/>
    </row>
    <row r="27" spans="3:21" ht="20.100000000000001" customHeight="1">
      <c r="C27" s="480"/>
      <c r="D27" s="481"/>
      <c r="E27" s="481"/>
      <c r="F27" s="481"/>
      <c r="G27" s="481"/>
      <c r="H27" s="481"/>
      <c r="I27" s="481"/>
      <c r="J27" s="540"/>
      <c r="K27" s="533"/>
      <c r="L27" s="480"/>
      <c r="M27" s="481"/>
      <c r="N27" s="481"/>
      <c r="O27" s="481"/>
      <c r="P27" s="481"/>
      <c r="Q27" s="484"/>
      <c r="S27" s="480"/>
      <c r="T27" s="527"/>
      <c r="U27" s="540"/>
    </row>
    <row r="28" spans="3:21" ht="20.100000000000001" customHeight="1">
      <c r="C28" s="435"/>
      <c r="D28" s="436"/>
      <c r="E28" s="436"/>
      <c r="F28" s="436"/>
      <c r="G28" s="436"/>
      <c r="H28" s="436"/>
      <c r="I28" s="436"/>
      <c r="J28" s="437"/>
      <c r="K28" s="533"/>
      <c r="L28" s="435"/>
      <c r="M28" s="436"/>
      <c r="N28" s="436"/>
      <c r="O28" s="436"/>
      <c r="P28" s="436"/>
      <c r="Q28" s="439"/>
      <c r="S28" s="435"/>
      <c r="T28" s="442"/>
      <c r="U28" s="437"/>
    </row>
    <row r="29" spans="3:21" ht="20.100000000000001" customHeight="1">
      <c r="C29" s="480"/>
      <c r="D29" s="481"/>
      <c r="E29" s="481"/>
      <c r="F29" s="481"/>
      <c r="G29" s="481"/>
      <c r="H29" s="481"/>
      <c r="I29" s="481"/>
      <c r="J29" s="540"/>
      <c r="K29" s="533"/>
      <c r="L29" s="480"/>
      <c r="M29" s="481"/>
      <c r="N29" s="481"/>
      <c r="O29" s="481"/>
      <c r="P29" s="481"/>
      <c r="Q29" s="484"/>
      <c r="S29" s="480"/>
      <c r="T29" s="527"/>
      <c r="U29" s="540"/>
    </row>
    <row r="30" spans="3:21" ht="20.100000000000001" customHeight="1">
      <c r="C30" s="435"/>
      <c r="D30" s="436"/>
      <c r="E30" s="436"/>
      <c r="F30" s="436"/>
      <c r="G30" s="436"/>
      <c r="H30" s="436"/>
      <c r="I30" s="436"/>
      <c r="J30" s="437"/>
      <c r="K30" s="533"/>
      <c r="L30" s="435"/>
      <c r="M30" s="436"/>
      <c r="N30" s="436"/>
      <c r="O30" s="436"/>
      <c r="P30" s="436"/>
      <c r="Q30" s="439"/>
      <c r="S30" s="435"/>
      <c r="T30" s="442"/>
      <c r="U30" s="437"/>
    </row>
    <row r="31" spans="3:21" ht="20.100000000000001" customHeight="1">
      <c r="C31" s="480"/>
      <c r="D31" s="481"/>
      <c r="E31" s="481"/>
      <c r="F31" s="481"/>
      <c r="G31" s="481"/>
      <c r="H31" s="481"/>
      <c r="I31" s="481"/>
      <c r="J31" s="540"/>
      <c r="K31" s="533"/>
      <c r="L31" s="480"/>
      <c r="M31" s="481"/>
      <c r="N31" s="481"/>
      <c r="O31" s="481"/>
      <c r="P31" s="481"/>
      <c r="Q31" s="484"/>
      <c r="S31" s="480"/>
      <c r="T31" s="527"/>
      <c r="U31" s="540"/>
    </row>
    <row r="32" spans="3:21" ht="20.100000000000001" customHeight="1">
      <c r="C32" s="435"/>
      <c r="D32" s="436"/>
      <c r="E32" s="436"/>
      <c r="F32" s="436"/>
      <c r="G32" s="436"/>
      <c r="H32" s="436"/>
      <c r="I32" s="436"/>
      <c r="J32" s="437"/>
      <c r="K32" s="533"/>
      <c r="L32" s="435"/>
      <c r="M32" s="436"/>
      <c r="N32" s="436"/>
      <c r="O32" s="436"/>
      <c r="P32" s="436"/>
      <c r="Q32" s="439"/>
      <c r="S32" s="435"/>
      <c r="T32" s="442"/>
      <c r="U32" s="437"/>
    </row>
    <row r="33" spans="3:36" ht="20.100000000000001" customHeight="1" thickBot="1">
      <c r="C33" s="485"/>
      <c r="D33" s="541"/>
      <c r="E33" s="541"/>
      <c r="F33" s="541"/>
      <c r="G33" s="541"/>
      <c r="H33" s="541"/>
      <c r="I33" s="541"/>
      <c r="J33" s="542"/>
      <c r="K33" s="533"/>
      <c r="L33" s="543"/>
      <c r="M33" s="541"/>
      <c r="N33" s="541"/>
      <c r="O33" s="541"/>
      <c r="P33" s="541"/>
      <c r="Q33" s="544"/>
      <c r="S33" s="543"/>
      <c r="T33" s="546"/>
      <c r="U33" s="542"/>
    </row>
    <row r="34" spans="3:36" ht="20.100000000000001" customHeight="1">
      <c r="D34" s="533"/>
      <c r="E34" s="533"/>
      <c r="F34" s="533"/>
      <c r="G34" s="533"/>
      <c r="H34" s="533"/>
      <c r="I34" s="533"/>
      <c r="J34" s="604"/>
      <c r="K34" s="533"/>
      <c r="L34" s="533"/>
      <c r="M34" s="533"/>
      <c r="N34" s="533"/>
      <c r="O34" s="533"/>
      <c r="P34" s="533"/>
      <c r="Q34" s="533"/>
      <c r="S34" s="533"/>
      <c r="T34" s="604"/>
      <c r="U34" s="604"/>
    </row>
    <row r="35" spans="3:36" ht="20.100000000000001" customHeight="1">
      <c r="H35" s="605"/>
      <c r="J35" s="606"/>
      <c r="K35" s="606"/>
      <c r="L35" s="606"/>
      <c r="M35" s="606"/>
      <c r="N35" s="606"/>
      <c r="O35" s="606"/>
      <c r="P35" s="606"/>
      <c r="S35" s="533"/>
      <c r="T35" s="604"/>
      <c r="U35" s="604"/>
    </row>
    <row r="36" spans="3:36" s="533" customFormat="1" ht="26.25" customHeight="1" thickBot="1">
      <c r="D36" s="582" t="s">
        <v>240</v>
      </c>
      <c r="F36" s="582" t="s">
        <v>639</v>
      </c>
      <c r="H36" s="585"/>
      <c r="T36" s="604"/>
      <c r="U36" s="604"/>
    </row>
    <row r="37" spans="3:36" s="607" customFormat="1" ht="36" customHeight="1">
      <c r="D37" s="616" t="s">
        <v>262</v>
      </c>
      <c r="E37" s="617" t="s">
        <v>226</v>
      </c>
      <c r="F37" s="617" t="s">
        <v>227</v>
      </c>
      <c r="G37" s="617" t="s">
        <v>228</v>
      </c>
      <c r="H37" s="632" t="s">
        <v>332</v>
      </c>
      <c r="I37" s="617" t="s">
        <v>333</v>
      </c>
      <c r="J37" s="617" t="s">
        <v>334</v>
      </c>
      <c r="K37" s="617" t="s">
        <v>615</v>
      </c>
      <c r="L37" s="617"/>
      <c r="M37" s="617"/>
      <c r="N37" s="617"/>
      <c r="O37" s="617"/>
      <c r="P37" s="617"/>
      <c r="Q37" s="617"/>
      <c r="R37" s="617"/>
      <c r="S37" s="617"/>
      <c r="T37" s="617"/>
      <c r="U37" s="617"/>
      <c r="V37" s="617"/>
      <c r="W37" s="617"/>
      <c r="X37" s="617"/>
      <c r="Y37" s="617"/>
      <c r="Z37" s="617"/>
      <c r="AA37" s="617"/>
      <c r="AB37" s="617"/>
      <c r="AC37" s="617"/>
      <c r="AD37" s="617"/>
      <c r="AE37" s="617"/>
      <c r="AF37" s="617"/>
      <c r="AG37" s="617"/>
      <c r="AH37" s="618"/>
      <c r="AI37" s="532"/>
      <c r="AJ37" s="533"/>
    </row>
    <row r="38" spans="3:36" s="533" customFormat="1" ht="23.1" customHeight="1">
      <c r="D38" s="547" t="s">
        <v>243</v>
      </c>
      <c r="E38" s="548">
        <v>1.2494999999999998</v>
      </c>
      <c r="F38" s="440">
        <v>2.4424999999999999</v>
      </c>
      <c r="G38" s="548">
        <v>3.1505000000000001</v>
      </c>
      <c r="H38" s="440">
        <v>2.306</v>
      </c>
      <c r="I38" s="548">
        <v>20.484999999999999</v>
      </c>
      <c r="J38" s="443">
        <v>20.56</v>
      </c>
      <c r="K38" s="549">
        <v>20.645</v>
      </c>
      <c r="L38" s="443"/>
      <c r="M38" s="549"/>
      <c r="N38" s="443"/>
      <c r="O38" s="549"/>
      <c r="P38" s="443"/>
      <c r="Q38" s="548"/>
      <c r="R38" s="440"/>
      <c r="S38" s="548"/>
      <c r="T38" s="440"/>
      <c r="U38" s="548"/>
      <c r="V38" s="440"/>
      <c r="W38" s="548"/>
      <c r="X38" s="440"/>
      <c r="Y38" s="548"/>
      <c r="Z38" s="440"/>
      <c r="AA38" s="548"/>
      <c r="AB38" s="440"/>
      <c r="AC38" s="548"/>
      <c r="AD38" s="440"/>
      <c r="AE38" s="548"/>
      <c r="AF38" s="440"/>
      <c r="AG38" s="548"/>
      <c r="AH38" s="497"/>
    </row>
    <row r="39" spans="3:36" s="533" customFormat="1" ht="23.1" customHeight="1">
      <c r="D39" s="547" t="s">
        <v>231</v>
      </c>
      <c r="E39" s="548">
        <v>1.4189999999999999E-2</v>
      </c>
      <c r="F39" s="440">
        <v>5.0880000000000002E-2</v>
      </c>
      <c r="G39" s="548">
        <v>2.282E-2</v>
      </c>
      <c r="H39" s="440">
        <v>3.3910000000000003E-2</v>
      </c>
      <c r="I39" s="548">
        <v>5.1212499999999999</v>
      </c>
      <c r="J39" s="443">
        <v>5.14</v>
      </c>
      <c r="K39" s="549">
        <v>5.1612499999999999</v>
      </c>
      <c r="L39" s="443"/>
      <c r="M39" s="549"/>
      <c r="N39" s="443"/>
      <c r="O39" s="549"/>
      <c r="P39" s="443"/>
      <c r="Q39" s="548"/>
      <c r="R39" s="440"/>
      <c r="S39" s="548"/>
      <c r="T39" s="440"/>
      <c r="U39" s="548"/>
      <c r="V39" s="440"/>
      <c r="W39" s="548"/>
      <c r="X39" s="440"/>
      <c r="Y39" s="548"/>
      <c r="Z39" s="440"/>
      <c r="AA39" s="548"/>
      <c r="AB39" s="440"/>
      <c r="AC39" s="548"/>
      <c r="AD39" s="440"/>
      <c r="AE39" s="548"/>
      <c r="AF39" s="440"/>
      <c r="AG39" s="548"/>
      <c r="AH39" s="497"/>
    </row>
    <row r="40" spans="3:36" s="533" customFormat="1" ht="23.1" customHeight="1">
      <c r="D40" s="547" t="s">
        <v>232</v>
      </c>
      <c r="E40" s="550">
        <v>3.1629999999999999E-4</v>
      </c>
      <c r="F40" s="441">
        <v>2.7109999999999998E-4</v>
      </c>
      <c r="G40" s="550">
        <v>2.5520000000000002E-4</v>
      </c>
      <c r="H40" s="441">
        <v>2.7710000000000001E-4</v>
      </c>
      <c r="I40" s="550">
        <v>2.0799999999999998E-3</v>
      </c>
      <c r="J40" s="444">
        <v>2.441E-3</v>
      </c>
      <c r="K40" s="551">
        <v>2.186E-3</v>
      </c>
      <c r="L40" s="444"/>
      <c r="M40" s="551"/>
      <c r="N40" s="444"/>
      <c r="O40" s="551"/>
      <c r="P40" s="444"/>
      <c r="Q40" s="550"/>
      <c r="R40" s="441"/>
      <c r="S40" s="550"/>
      <c r="T40" s="441"/>
      <c r="U40" s="550"/>
      <c r="V40" s="441"/>
      <c r="W40" s="550"/>
      <c r="X40" s="441"/>
      <c r="Y40" s="550"/>
      <c r="Z40" s="441"/>
      <c r="AA40" s="550"/>
      <c r="AB40" s="441"/>
      <c r="AC40" s="550"/>
      <c r="AD40" s="441"/>
      <c r="AE40" s="550"/>
      <c r="AF40" s="441"/>
      <c r="AG40" s="550"/>
      <c r="AH40" s="448"/>
    </row>
    <row r="41" spans="3:36" s="533" customFormat="1" ht="23.1" customHeight="1">
      <c r="D41" s="547" t="s">
        <v>632</v>
      </c>
      <c r="E41" s="548">
        <v>0.54159999999999997</v>
      </c>
      <c r="F41" s="440">
        <v>0.54159999999999997</v>
      </c>
      <c r="G41" s="548">
        <v>0.54159999999999997</v>
      </c>
      <c r="H41" s="440">
        <v>0.54159999999999997</v>
      </c>
      <c r="I41" s="548">
        <v>0.41660000000000003</v>
      </c>
      <c r="J41" s="443">
        <v>0.41660000000000003</v>
      </c>
      <c r="K41" s="549">
        <v>0.41660000000000003</v>
      </c>
      <c r="L41" s="443"/>
      <c r="M41" s="549"/>
      <c r="N41" s="443"/>
      <c r="O41" s="549"/>
      <c r="P41" s="443"/>
      <c r="Q41" s="548"/>
      <c r="R41" s="440"/>
      <c r="S41" s="548"/>
      <c r="T41" s="440"/>
      <c r="U41" s="548"/>
      <c r="V41" s="440"/>
      <c r="W41" s="548"/>
      <c r="X41" s="440"/>
      <c r="Y41" s="548"/>
      <c r="Z41" s="440"/>
      <c r="AA41" s="548"/>
      <c r="AB41" s="440"/>
      <c r="AC41" s="548"/>
      <c r="AD41" s="440"/>
      <c r="AE41" s="548"/>
      <c r="AF41" s="440"/>
      <c r="AG41" s="548"/>
      <c r="AH41" s="497"/>
    </row>
    <row r="42" spans="3:36" s="533" customFormat="1" ht="23.1" customHeight="1">
      <c r="D42" s="547" t="s">
        <v>242</v>
      </c>
      <c r="E42" s="527">
        <v>37.199999999999996</v>
      </c>
      <c r="F42" s="442">
        <v>38.900000000000006</v>
      </c>
      <c r="G42" s="527">
        <v>50.199999999999996</v>
      </c>
      <c r="H42" s="442">
        <v>41.8</v>
      </c>
      <c r="I42" s="527">
        <v>6.1</v>
      </c>
      <c r="J42" s="445">
        <v>4.839999999999999</v>
      </c>
      <c r="K42" s="553">
        <v>4.6999999999999993</v>
      </c>
      <c r="L42" s="445"/>
      <c r="M42" s="553"/>
      <c r="N42" s="445"/>
      <c r="O42" s="553"/>
      <c r="P42" s="445"/>
      <c r="Q42" s="527"/>
      <c r="R42" s="442"/>
      <c r="S42" s="527"/>
      <c r="T42" s="442"/>
      <c r="U42" s="527"/>
      <c r="V42" s="442"/>
      <c r="W42" s="527"/>
      <c r="X42" s="442"/>
      <c r="Y42" s="527"/>
      <c r="Z42" s="442"/>
      <c r="AA42" s="527"/>
      <c r="AB42" s="442"/>
      <c r="AC42" s="527"/>
      <c r="AD42" s="442"/>
      <c r="AE42" s="527"/>
      <c r="AF42" s="442"/>
      <c r="AG42" s="527"/>
      <c r="AH42" s="437"/>
    </row>
    <row r="43" spans="3:36" s="533" customFormat="1" ht="23.1" customHeight="1" thickBot="1">
      <c r="D43" s="554" t="s">
        <v>241</v>
      </c>
      <c r="E43" s="486">
        <v>88</v>
      </c>
      <c r="F43" s="438">
        <v>48</v>
      </c>
      <c r="G43" s="486">
        <v>138</v>
      </c>
      <c r="H43" s="438">
        <v>68</v>
      </c>
      <c r="I43" s="486">
        <v>4</v>
      </c>
      <c r="J43" s="446">
        <v>4</v>
      </c>
      <c r="K43" s="555">
        <v>4</v>
      </c>
      <c r="L43" s="446"/>
      <c r="M43" s="555"/>
      <c r="N43" s="446"/>
      <c r="O43" s="555"/>
      <c r="P43" s="446"/>
      <c r="Q43" s="486"/>
      <c r="R43" s="438"/>
      <c r="S43" s="486"/>
      <c r="T43" s="498"/>
      <c r="U43" s="556"/>
      <c r="V43" s="438"/>
      <c r="W43" s="486"/>
      <c r="X43" s="438"/>
      <c r="Y43" s="486"/>
      <c r="Z43" s="438"/>
      <c r="AA43" s="486"/>
      <c r="AB43" s="438"/>
      <c r="AC43" s="486"/>
      <c r="AD43" s="438"/>
      <c r="AE43" s="486"/>
      <c r="AF43" s="438"/>
      <c r="AG43" s="486"/>
      <c r="AH43" s="499"/>
    </row>
    <row r="44" spans="3:36" ht="20.100000000000001" customHeight="1">
      <c r="D44" s="608"/>
      <c r="E44" s="608"/>
      <c r="F44" s="606"/>
      <c r="G44" s="608"/>
      <c r="H44" s="605"/>
      <c r="T44" s="609"/>
      <c r="U44" s="609"/>
    </row>
    <row r="45" spans="3:36" ht="20.100000000000001" customHeight="1">
      <c r="D45" s="533"/>
      <c r="E45" s="533"/>
      <c r="F45" s="533"/>
      <c r="G45" s="533"/>
      <c r="H45" s="533"/>
      <c r="I45" s="533"/>
      <c r="J45" s="604"/>
      <c r="K45" s="533"/>
      <c r="L45" s="533"/>
      <c r="M45" s="533"/>
      <c r="N45" s="533"/>
      <c r="O45" s="533"/>
      <c r="P45" s="533"/>
      <c r="Q45" s="533"/>
      <c r="T45" s="609"/>
      <c r="U45" s="609"/>
    </row>
    <row r="46" spans="3:36" ht="32.25" customHeight="1" thickBot="1">
      <c r="C46" s="582" t="s">
        <v>633</v>
      </c>
      <c r="D46" s="533"/>
      <c r="E46" s="533"/>
      <c r="F46" s="533"/>
      <c r="G46" s="533"/>
      <c r="H46" s="610"/>
      <c r="I46" s="582"/>
      <c r="J46" s="611"/>
      <c r="K46" s="533"/>
      <c r="L46" s="533"/>
      <c r="M46" s="533"/>
      <c r="N46" s="533"/>
      <c r="P46" s="610"/>
      <c r="Q46" s="533"/>
      <c r="R46" s="533"/>
    </row>
    <row r="47" spans="3:36" s="533" customFormat="1" ht="33.75" customHeight="1">
      <c r="C47" s="619" t="s">
        <v>283</v>
      </c>
      <c r="D47" s="620" t="s">
        <v>666</v>
      </c>
      <c r="E47" s="620" t="s">
        <v>680</v>
      </c>
      <c r="F47" s="621" t="s">
        <v>681</v>
      </c>
      <c r="H47" s="619" t="s">
        <v>206</v>
      </c>
      <c r="I47" s="620" t="s">
        <v>682</v>
      </c>
      <c r="J47" s="622" t="s">
        <v>107</v>
      </c>
      <c r="K47" s="620" t="s">
        <v>686</v>
      </c>
      <c r="L47" s="620" t="s">
        <v>683</v>
      </c>
      <c r="M47" s="620" t="s">
        <v>211</v>
      </c>
      <c r="N47" s="621" t="s">
        <v>210</v>
      </c>
      <c r="P47" s="619" t="s">
        <v>206</v>
      </c>
      <c r="Q47" s="620" t="s">
        <v>684</v>
      </c>
      <c r="R47" s="621" t="s">
        <v>685</v>
      </c>
    </row>
    <row r="48" spans="3:36" ht="20.100000000000001" customHeight="1">
      <c r="C48" s="688" t="s">
        <v>85</v>
      </c>
      <c r="D48" s="278" t="s">
        <v>667</v>
      </c>
      <c r="E48" s="548">
        <v>1.4419999999999999</v>
      </c>
      <c r="F48" s="552">
        <v>3.1629999999999999E-4</v>
      </c>
      <c r="G48" s="533"/>
      <c r="H48" s="571" t="s">
        <v>226</v>
      </c>
      <c r="I48" s="482">
        <v>73.599999999999994</v>
      </c>
      <c r="J48" s="482">
        <v>90.2</v>
      </c>
      <c r="K48" s="482">
        <v>69.400000000000006</v>
      </c>
      <c r="L48" s="482">
        <v>77.7</v>
      </c>
      <c r="M48" s="482">
        <v>90.2</v>
      </c>
      <c r="N48" s="572">
        <v>69.400000000000006</v>
      </c>
      <c r="P48" s="575" t="s">
        <v>226</v>
      </c>
      <c r="Q48" s="548">
        <v>-2.7317573670347643</v>
      </c>
      <c r="R48" s="576">
        <v>1.536</v>
      </c>
    </row>
    <row r="49" spans="3:18" ht="20.100000000000001" customHeight="1">
      <c r="C49" s="689"/>
      <c r="D49" s="278" t="s">
        <v>668</v>
      </c>
      <c r="E49" s="548">
        <v>1.0569999999999999</v>
      </c>
      <c r="F49" s="484"/>
      <c r="G49" s="533"/>
      <c r="H49" s="451" t="s">
        <v>227</v>
      </c>
      <c r="I49" s="452">
        <v>154</v>
      </c>
      <c r="J49" s="452">
        <v>188.6</v>
      </c>
      <c r="K49" s="452">
        <v>104.8</v>
      </c>
      <c r="L49" s="452">
        <v>149.1</v>
      </c>
      <c r="M49" s="452">
        <v>188.6</v>
      </c>
      <c r="N49" s="453">
        <v>104.8</v>
      </c>
      <c r="P49" s="454" t="s">
        <v>227</v>
      </c>
      <c r="Q49" s="440">
        <v>-2.956686047187473</v>
      </c>
      <c r="R49" s="455">
        <v>1.923</v>
      </c>
    </row>
    <row r="50" spans="3:18" ht="20.100000000000001" customHeight="1">
      <c r="C50" s="690"/>
      <c r="D50" s="278" t="s">
        <v>669</v>
      </c>
      <c r="E50" s="478">
        <v>1.2494999999999998</v>
      </c>
      <c r="F50" s="479">
        <v>3.1629999999999999E-4</v>
      </c>
      <c r="G50" s="533"/>
      <c r="H50" s="571" t="s">
        <v>228</v>
      </c>
      <c r="I50" s="482">
        <v>120.8</v>
      </c>
      <c r="J50" s="482">
        <v>147.9</v>
      </c>
      <c r="K50" s="482">
        <v>122.7</v>
      </c>
      <c r="L50" s="482">
        <v>130.5</v>
      </c>
      <c r="M50" s="482">
        <v>147.9</v>
      </c>
      <c r="N50" s="572">
        <v>120.8</v>
      </c>
      <c r="P50" s="575" t="s">
        <v>228</v>
      </c>
      <c r="Q50" s="548">
        <v>-3.0092181948336285</v>
      </c>
      <c r="R50" s="576">
        <v>2.0270000000000001</v>
      </c>
    </row>
    <row r="51" spans="3:18" ht="20.100000000000001" customHeight="1">
      <c r="C51" s="682" t="s">
        <v>154</v>
      </c>
      <c r="D51" s="447" t="s">
        <v>667</v>
      </c>
      <c r="E51" s="440">
        <v>2.6859999999999999</v>
      </c>
      <c r="F51" s="448">
        <v>2.7109999999999998E-4</v>
      </c>
      <c r="G51" s="533"/>
      <c r="H51" s="451" t="s">
        <v>332</v>
      </c>
      <c r="I51" s="452">
        <v>128.9</v>
      </c>
      <c r="J51" s="452">
        <v>157.9</v>
      </c>
      <c r="K51" s="452">
        <v>100.7</v>
      </c>
      <c r="L51" s="452">
        <v>129.19999999999999</v>
      </c>
      <c r="M51" s="452">
        <v>157.9</v>
      </c>
      <c r="N51" s="453">
        <v>100.7</v>
      </c>
      <c r="P51" s="454" t="s">
        <v>332</v>
      </c>
      <c r="Q51" s="440">
        <v>-2.9322237916409706</v>
      </c>
      <c r="R51" s="455">
        <v>1.877</v>
      </c>
    </row>
    <row r="52" spans="3:18" ht="20.100000000000001" customHeight="1">
      <c r="C52" s="682"/>
      <c r="D52" s="447" t="s">
        <v>668</v>
      </c>
      <c r="E52" s="440">
        <v>2.1989999999999998</v>
      </c>
      <c r="F52" s="439"/>
      <c r="G52" s="533"/>
      <c r="H52" s="571" t="s">
        <v>333</v>
      </c>
      <c r="I52" s="482">
        <v>193.8</v>
      </c>
      <c r="J52" s="482">
        <v>237.3</v>
      </c>
      <c r="K52" s="482">
        <v>96.1</v>
      </c>
      <c r="L52" s="482">
        <v>175.7</v>
      </c>
      <c r="M52" s="482">
        <v>237.3</v>
      </c>
      <c r="N52" s="572">
        <v>96.1</v>
      </c>
      <c r="P52" s="575" t="s">
        <v>333</v>
      </c>
      <c r="Q52" s="548">
        <v>-1.7925545800605662</v>
      </c>
      <c r="R52" s="576">
        <v>5.1040000000000001</v>
      </c>
    </row>
    <row r="53" spans="3:18" ht="20.100000000000001" customHeight="1">
      <c r="C53" s="682"/>
      <c r="D53" s="447" t="s">
        <v>669</v>
      </c>
      <c r="E53" s="449">
        <v>2.4424999999999999</v>
      </c>
      <c r="F53" s="450">
        <v>2.7109999999999998E-4</v>
      </c>
      <c r="G53" s="533"/>
      <c r="H53" s="451" t="s">
        <v>334</v>
      </c>
      <c r="I53" s="452">
        <v>159.6</v>
      </c>
      <c r="J53" s="452">
        <v>195.5</v>
      </c>
      <c r="K53" s="452">
        <v>88.9</v>
      </c>
      <c r="L53" s="452">
        <v>148</v>
      </c>
      <c r="M53" s="452">
        <v>195.5</v>
      </c>
      <c r="N53" s="453">
        <v>88.9</v>
      </c>
      <c r="P53" s="454" t="s">
        <v>334</v>
      </c>
      <c r="Q53" s="440">
        <v>-1.7866040384398794</v>
      </c>
      <c r="R53" s="455">
        <v>5.0739999999999998</v>
      </c>
    </row>
    <row r="54" spans="3:18" ht="20.100000000000001" customHeight="1">
      <c r="C54" s="681" t="s">
        <v>155</v>
      </c>
      <c r="D54" s="278" t="s">
        <v>667</v>
      </c>
      <c r="E54" s="548">
        <v>3.5619999999999998</v>
      </c>
      <c r="F54" s="552">
        <v>2.5520000000000002E-4</v>
      </c>
      <c r="G54" s="533"/>
      <c r="H54" s="571" t="s">
        <v>615</v>
      </c>
      <c r="I54" s="482">
        <v>166.5</v>
      </c>
      <c r="J54" s="482">
        <v>204</v>
      </c>
      <c r="K54" s="482">
        <v>94.1</v>
      </c>
      <c r="L54" s="482">
        <v>154.9</v>
      </c>
      <c r="M54" s="482">
        <v>204</v>
      </c>
      <c r="N54" s="572">
        <v>94.1</v>
      </c>
      <c r="P54" s="575" t="s">
        <v>615</v>
      </c>
      <c r="Q54" s="548">
        <v>-1.8030276541262953</v>
      </c>
      <c r="R54" s="576">
        <v>5.1580000000000004</v>
      </c>
    </row>
    <row r="55" spans="3:18" ht="20.100000000000001" customHeight="1">
      <c r="C55" s="681"/>
      <c r="D55" s="278" t="s">
        <v>668</v>
      </c>
      <c r="E55" s="548">
        <v>2.7389999999999999</v>
      </c>
      <c r="F55" s="484"/>
      <c r="G55" s="533"/>
      <c r="H55" s="451"/>
      <c r="I55" s="452"/>
      <c r="J55" s="452"/>
      <c r="K55" s="452"/>
      <c r="L55" s="452"/>
      <c r="M55" s="452"/>
      <c r="N55" s="453"/>
      <c r="P55" s="454"/>
      <c r="Q55" s="440"/>
      <c r="R55" s="455"/>
    </row>
    <row r="56" spans="3:18" ht="20.100000000000001" customHeight="1">
      <c r="C56" s="681"/>
      <c r="D56" s="278" t="s">
        <v>669</v>
      </c>
      <c r="E56" s="478">
        <v>3.1505000000000001</v>
      </c>
      <c r="F56" s="479">
        <v>2.5520000000000002E-4</v>
      </c>
      <c r="G56" s="533"/>
      <c r="H56" s="571"/>
      <c r="I56" s="482"/>
      <c r="J56" s="482"/>
      <c r="K56" s="482"/>
      <c r="L56" s="482"/>
      <c r="M56" s="482"/>
      <c r="N56" s="572"/>
      <c r="P56" s="575"/>
      <c r="Q56" s="548"/>
      <c r="R56" s="576"/>
    </row>
    <row r="57" spans="3:18" ht="20.100000000000001" customHeight="1">
      <c r="C57" s="682" t="s">
        <v>643</v>
      </c>
      <c r="D57" s="447" t="s">
        <v>667</v>
      </c>
      <c r="E57" s="440">
        <v>2.4849999999999999</v>
      </c>
      <c r="F57" s="448">
        <v>2.7710000000000001E-4</v>
      </c>
      <c r="G57" s="533"/>
      <c r="H57" s="451"/>
      <c r="I57" s="452"/>
      <c r="J57" s="452"/>
      <c r="K57" s="452"/>
      <c r="L57" s="452"/>
      <c r="M57" s="452"/>
      <c r="N57" s="453"/>
      <c r="P57" s="454"/>
      <c r="Q57" s="440"/>
      <c r="R57" s="455"/>
    </row>
    <row r="58" spans="3:18" ht="20.100000000000001" customHeight="1">
      <c r="C58" s="682"/>
      <c r="D58" s="447" t="s">
        <v>668</v>
      </c>
      <c r="E58" s="440">
        <v>2.1269999999999998</v>
      </c>
      <c r="F58" s="439"/>
      <c r="G58" s="533"/>
      <c r="H58" s="571"/>
      <c r="I58" s="482"/>
      <c r="J58" s="482"/>
      <c r="K58" s="482"/>
      <c r="L58" s="482"/>
      <c r="M58" s="482"/>
      <c r="N58" s="572"/>
      <c r="P58" s="575"/>
      <c r="Q58" s="548"/>
      <c r="R58" s="576"/>
    </row>
    <row r="59" spans="3:18" ht="20.100000000000001" customHeight="1">
      <c r="C59" s="682"/>
      <c r="D59" s="447" t="s">
        <v>669</v>
      </c>
      <c r="E59" s="449">
        <v>2.306</v>
      </c>
      <c r="F59" s="450">
        <v>2.7710000000000001E-4</v>
      </c>
      <c r="G59" s="533"/>
      <c r="H59" s="451"/>
      <c r="I59" s="452"/>
      <c r="J59" s="452"/>
      <c r="K59" s="452"/>
      <c r="L59" s="452"/>
      <c r="M59" s="452"/>
      <c r="N59" s="453"/>
      <c r="P59" s="454"/>
      <c r="Q59" s="440"/>
      <c r="R59" s="455"/>
    </row>
    <row r="60" spans="3:18" ht="20.100000000000001" customHeight="1">
      <c r="C60" s="681" t="s">
        <v>644</v>
      </c>
      <c r="D60" s="278" t="s">
        <v>667</v>
      </c>
      <c r="E60" s="548">
        <v>26.22</v>
      </c>
      <c r="F60" s="552">
        <v>2.0799999999999998E-3</v>
      </c>
      <c r="G60" s="533"/>
      <c r="H60" s="571"/>
      <c r="I60" s="482"/>
      <c r="J60" s="482"/>
      <c r="K60" s="482"/>
      <c r="L60" s="482"/>
      <c r="M60" s="482"/>
      <c r="N60" s="572"/>
      <c r="P60" s="575"/>
      <c r="Q60" s="548"/>
      <c r="R60" s="576"/>
    </row>
    <row r="61" spans="3:18" ht="20.100000000000001" customHeight="1">
      <c r="C61" s="681"/>
      <c r="D61" s="278" t="s">
        <v>668</v>
      </c>
      <c r="E61" s="548">
        <v>14.75</v>
      </c>
      <c r="F61" s="484"/>
      <c r="G61" s="533"/>
      <c r="H61" s="451"/>
      <c r="I61" s="452"/>
      <c r="J61" s="452"/>
      <c r="K61" s="452"/>
      <c r="L61" s="452"/>
      <c r="M61" s="452"/>
      <c r="N61" s="453"/>
      <c r="P61" s="454"/>
      <c r="Q61" s="440"/>
      <c r="R61" s="455"/>
    </row>
    <row r="62" spans="3:18" ht="20.100000000000001" customHeight="1">
      <c r="C62" s="681"/>
      <c r="D62" s="278" t="s">
        <v>669</v>
      </c>
      <c r="E62" s="478">
        <v>20.484999999999999</v>
      </c>
      <c r="F62" s="479">
        <v>2.0799999999999998E-3</v>
      </c>
      <c r="G62" s="533"/>
      <c r="H62" s="571"/>
      <c r="I62" s="573"/>
      <c r="J62" s="573"/>
      <c r="K62" s="573"/>
      <c r="L62" s="573"/>
      <c r="M62" s="573"/>
      <c r="N62" s="572"/>
      <c r="O62" s="533"/>
      <c r="P62" s="575"/>
      <c r="Q62" s="548"/>
      <c r="R62" s="576"/>
    </row>
    <row r="63" spans="3:18" ht="20.100000000000001" customHeight="1">
      <c r="C63" s="682" t="s">
        <v>691</v>
      </c>
      <c r="D63" s="447" t="s">
        <v>667</v>
      </c>
      <c r="E63" s="440">
        <v>25.59</v>
      </c>
      <c r="F63" s="448">
        <v>2.441E-3</v>
      </c>
      <c r="H63" s="451"/>
      <c r="I63" s="452"/>
      <c r="J63" s="452"/>
      <c r="K63" s="452"/>
      <c r="L63" s="452"/>
      <c r="M63" s="452"/>
      <c r="N63" s="491"/>
      <c r="P63" s="454"/>
      <c r="Q63" s="440"/>
      <c r="R63" s="455"/>
    </row>
    <row r="64" spans="3:18" ht="20.100000000000001" customHeight="1">
      <c r="C64" s="682"/>
      <c r="D64" s="447" t="s">
        <v>668</v>
      </c>
      <c r="E64" s="440">
        <v>15.53</v>
      </c>
      <c r="F64" s="439"/>
      <c r="H64" s="571"/>
      <c r="I64" s="482"/>
      <c r="J64" s="482"/>
      <c r="K64" s="482"/>
      <c r="L64" s="482"/>
      <c r="M64" s="482"/>
      <c r="N64" s="574"/>
      <c r="P64" s="575"/>
      <c r="Q64" s="548"/>
      <c r="R64" s="576"/>
    </row>
    <row r="65" spans="3:18" ht="20.100000000000001" customHeight="1">
      <c r="C65" s="682"/>
      <c r="D65" s="447" t="s">
        <v>669</v>
      </c>
      <c r="E65" s="449">
        <v>20.56</v>
      </c>
      <c r="F65" s="450">
        <v>2.441E-3</v>
      </c>
      <c r="H65" s="451"/>
      <c r="I65" s="452"/>
      <c r="J65" s="452"/>
      <c r="K65" s="452"/>
      <c r="L65" s="452"/>
      <c r="M65" s="452"/>
      <c r="N65" s="491"/>
      <c r="P65" s="454"/>
      <c r="Q65" s="440"/>
      <c r="R65" s="455"/>
    </row>
    <row r="66" spans="3:18" ht="20.100000000000001" customHeight="1">
      <c r="C66" s="681" t="s">
        <v>692</v>
      </c>
      <c r="D66" s="278" t="s">
        <v>667</v>
      </c>
      <c r="E66" s="548">
        <v>26.6</v>
      </c>
      <c r="F66" s="552">
        <v>2.186E-3</v>
      </c>
      <c r="H66" s="571"/>
      <c r="I66" s="482"/>
      <c r="J66" s="482"/>
      <c r="K66" s="482"/>
      <c r="L66" s="482"/>
      <c r="M66" s="482"/>
      <c r="N66" s="574"/>
      <c r="P66" s="575"/>
      <c r="Q66" s="548"/>
      <c r="R66" s="576"/>
    </row>
    <row r="67" spans="3:18" ht="20.100000000000001" customHeight="1">
      <c r="C67" s="681"/>
      <c r="D67" s="278" t="s">
        <v>668</v>
      </c>
      <c r="E67" s="548">
        <v>14.69</v>
      </c>
      <c r="F67" s="484"/>
      <c r="H67" s="451"/>
      <c r="I67" s="452"/>
      <c r="J67" s="452"/>
      <c r="K67" s="452"/>
      <c r="L67" s="452"/>
      <c r="M67" s="452"/>
      <c r="N67" s="491"/>
      <c r="P67" s="454"/>
      <c r="Q67" s="440"/>
      <c r="R67" s="455"/>
    </row>
    <row r="68" spans="3:18" ht="20.100000000000001" customHeight="1">
      <c r="C68" s="681"/>
      <c r="D68" s="278" t="s">
        <v>669</v>
      </c>
      <c r="E68" s="478">
        <v>20.645</v>
      </c>
      <c r="F68" s="479">
        <v>2.186E-3</v>
      </c>
      <c r="H68" s="571"/>
      <c r="I68" s="482"/>
      <c r="J68" s="482"/>
      <c r="K68" s="482"/>
      <c r="L68" s="482"/>
      <c r="M68" s="482"/>
      <c r="N68" s="574"/>
      <c r="P68" s="575"/>
      <c r="Q68" s="548"/>
      <c r="R68" s="576"/>
    </row>
    <row r="69" spans="3:18" ht="20.100000000000001" customHeight="1">
      <c r="C69" s="682" t="s">
        <v>616</v>
      </c>
      <c r="D69" s="447" t="s">
        <v>246</v>
      </c>
      <c r="E69" s="440"/>
      <c r="F69" s="448"/>
      <c r="H69" s="451"/>
      <c r="I69" s="452"/>
      <c r="J69" s="452"/>
      <c r="K69" s="452"/>
      <c r="L69" s="452"/>
      <c r="M69" s="452"/>
      <c r="N69" s="491"/>
      <c r="P69" s="454"/>
      <c r="Q69" s="440"/>
      <c r="R69" s="455"/>
    </row>
    <row r="70" spans="3:18" ht="20.100000000000001" customHeight="1">
      <c r="C70" s="682"/>
      <c r="D70" s="447" t="s">
        <v>247</v>
      </c>
      <c r="E70" s="440"/>
      <c r="F70" s="439"/>
      <c r="H70" s="571"/>
      <c r="I70" s="482"/>
      <c r="J70" s="482"/>
      <c r="K70" s="482"/>
      <c r="L70" s="482"/>
      <c r="M70" s="482"/>
      <c r="N70" s="574"/>
      <c r="P70" s="575"/>
      <c r="Q70" s="548"/>
      <c r="R70" s="576"/>
    </row>
    <row r="71" spans="3:18" ht="20.100000000000001" customHeight="1">
      <c r="C71" s="682"/>
      <c r="D71" s="447" t="s">
        <v>248</v>
      </c>
      <c r="E71" s="449"/>
      <c r="F71" s="450"/>
      <c r="H71" s="451"/>
      <c r="I71" s="452"/>
      <c r="J71" s="452"/>
      <c r="K71" s="452"/>
      <c r="L71" s="452"/>
      <c r="M71" s="452"/>
      <c r="N71" s="491"/>
      <c r="P71" s="454"/>
      <c r="Q71" s="440"/>
      <c r="R71" s="455"/>
    </row>
    <row r="72" spans="3:18" ht="20.100000000000001" customHeight="1">
      <c r="C72" s="681" t="s">
        <v>617</v>
      </c>
      <c r="D72" s="278" t="s">
        <v>246</v>
      </c>
      <c r="E72" s="548"/>
      <c r="F72" s="552"/>
      <c r="H72" s="571"/>
      <c r="I72" s="482"/>
      <c r="J72" s="482"/>
      <c r="K72" s="482"/>
      <c r="L72" s="482"/>
      <c r="M72" s="482"/>
      <c r="N72" s="574"/>
      <c r="P72" s="575"/>
      <c r="Q72" s="548"/>
      <c r="R72" s="576"/>
    </row>
    <row r="73" spans="3:18" ht="20.100000000000001" customHeight="1">
      <c r="C73" s="681"/>
      <c r="D73" s="278" t="s">
        <v>247</v>
      </c>
      <c r="E73" s="548"/>
      <c r="F73" s="484"/>
      <c r="H73" s="451"/>
      <c r="I73" s="452"/>
      <c r="J73" s="452"/>
      <c r="K73" s="452"/>
      <c r="L73" s="452"/>
      <c r="M73" s="452"/>
      <c r="N73" s="491"/>
      <c r="P73" s="454"/>
      <c r="Q73" s="440"/>
      <c r="R73" s="455"/>
    </row>
    <row r="74" spans="3:18" ht="20.100000000000001" customHeight="1">
      <c r="C74" s="681"/>
      <c r="D74" s="278" t="s">
        <v>248</v>
      </c>
      <c r="E74" s="478"/>
      <c r="F74" s="479"/>
      <c r="H74" s="571"/>
      <c r="I74" s="482"/>
      <c r="J74" s="482"/>
      <c r="K74" s="482"/>
      <c r="L74" s="482"/>
      <c r="M74" s="482"/>
      <c r="N74" s="574"/>
      <c r="P74" s="575"/>
      <c r="Q74" s="548"/>
      <c r="R74" s="576"/>
    </row>
    <row r="75" spans="3:18" ht="20.100000000000001" customHeight="1">
      <c r="C75" s="682" t="s">
        <v>645</v>
      </c>
      <c r="D75" s="447" t="s">
        <v>246</v>
      </c>
      <c r="E75" s="440"/>
      <c r="F75" s="448"/>
      <c r="H75" s="451"/>
      <c r="I75" s="452"/>
      <c r="J75" s="452"/>
      <c r="K75" s="452"/>
      <c r="L75" s="452"/>
      <c r="M75" s="452"/>
      <c r="N75" s="491"/>
      <c r="P75" s="454"/>
      <c r="Q75" s="440"/>
      <c r="R75" s="455"/>
    </row>
    <row r="76" spans="3:18" ht="20.100000000000001" customHeight="1">
      <c r="C76" s="682"/>
      <c r="D76" s="447" t="s">
        <v>247</v>
      </c>
      <c r="E76" s="440"/>
      <c r="F76" s="439"/>
      <c r="H76" s="571"/>
      <c r="I76" s="482"/>
      <c r="J76" s="482"/>
      <c r="K76" s="482"/>
      <c r="L76" s="482"/>
      <c r="M76" s="482"/>
      <c r="N76" s="574"/>
      <c r="P76" s="575"/>
      <c r="Q76" s="548"/>
      <c r="R76" s="576"/>
    </row>
    <row r="77" spans="3:18" ht="20.100000000000001" customHeight="1" thickBot="1">
      <c r="C77" s="682"/>
      <c r="D77" s="447" t="s">
        <v>248</v>
      </c>
      <c r="E77" s="449"/>
      <c r="F77" s="450"/>
      <c r="H77" s="490"/>
      <c r="I77" s="492"/>
      <c r="J77" s="492"/>
      <c r="K77" s="492"/>
      <c r="L77" s="492"/>
      <c r="M77" s="492"/>
      <c r="N77" s="493"/>
      <c r="P77" s="477"/>
      <c r="Q77" s="494"/>
      <c r="R77" s="495"/>
    </row>
    <row r="78" spans="3:18" ht="20.100000000000001" customHeight="1" thickBot="1">
      <c r="C78" s="681" t="s">
        <v>646</v>
      </c>
      <c r="D78" s="278" t="s">
        <v>246</v>
      </c>
      <c r="E78" s="478"/>
      <c r="F78" s="479"/>
      <c r="H78" s="532"/>
      <c r="I78" s="532"/>
      <c r="J78" s="532"/>
      <c r="K78" s="532"/>
      <c r="L78" s="532"/>
      <c r="M78" s="532"/>
      <c r="N78" s="532"/>
      <c r="P78" s="532"/>
      <c r="Q78" s="532"/>
      <c r="R78" s="532"/>
    </row>
    <row r="79" spans="3:18" ht="30.75" customHeight="1">
      <c r="C79" s="681"/>
      <c r="D79" s="278" t="s">
        <v>247</v>
      </c>
      <c r="E79" s="478"/>
      <c r="F79" s="479"/>
      <c r="H79" s="659" t="s">
        <v>206</v>
      </c>
      <c r="I79" s="660" t="s">
        <v>687</v>
      </c>
      <c r="J79" s="661" t="s">
        <v>681</v>
      </c>
      <c r="K79" s="532"/>
      <c r="L79" s="532"/>
      <c r="M79" s="532"/>
      <c r="N79" s="532"/>
      <c r="P79" s="532"/>
      <c r="Q79" s="532"/>
      <c r="R79" s="532"/>
    </row>
    <row r="80" spans="3:18" ht="20.100000000000001" customHeight="1">
      <c r="C80" s="681"/>
      <c r="D80" s="278" t="s">
        <v>248</v>
      </c>
      <c r="E80" s="478"/>
      <c r="F80" s="479"/>
      <c r="H80" s="571" t="s">
        <v>226</v>
      </c>
      <c r="I80" s="650">
        <v>1.0569999999999999</v>
      </c>
      <c r="J80" s="651">
        <v>3.1629999999999999E-4</v>
      </c>
      <c r="K80" s="532"/>
      <c r="L80" s="532"/>
      <c r="M80" s="532"/>
      <c r="N80" s="532"/>
      <c r="P80" s="532"/>
      <c r="Q80" s="532"/>
      <c r="R80" s="532"/>
    </row>
    <row r="81" spans="3:18" ht="20.100000000000001" customHeight="1">
      <c r="C81" s="682" t="s">
        <v>647</v>
      </c>
      <c r="D81" s="447" t="s">
        <v>246</v>
      </c>
      <c r="E81" s="449"/>
      <c r="F81" s="450"/>
      <c r="H81" s="451" t="s">
        <v>227</v>
      </c>
      <c r="I81" s="654">
        <v>2.1989999999999998</v>
      </c>
      <c r="J81" s="655">
        <v>2.7109999999999998E-4</v>
      </c>
      <c r="K81" s="532"/>
      <c r="L81" s="532"/>
      <c r="M81" s="532"/>
      <c r="N81" s="532"/>
      <c r="P81" s="532"/>
      <c r="Q81" s="532"/>
      <c r="R81" s="532"/>
    </row>
    <row r="82" spans="3:18" ht="20.100000000000001" customHeight="1" thickBot="1">
      <c r="C82" s="682"/>
      <c r="D82" s="447" t="s">
        <v>247</v>
      </c>
      <c r="E82" s="449"/>
      <c r="F82" s="450"/>
      <c r="H82" s="571" t="s">
        <v>228</v>
      </c>
      <c r="I82" s="652">
        <v>2.7389999999999999</v>
      </c>
      <c r="J82" s="651">
        <v>2.5520000000000002E-4</v>
      </c>
      <c r="K82" s="532"/>
      <c r="L82" s="532"/>
      <c r="M82" s="532"/>
      <c r="N82" s="532"/>
      <c r="P82" s="532"/>
      <c r="Q82" s="532"/>
      <c r="R82" s="532"/>
    </row>
    <row r="83" spans="3:18" ht="20.100000000000001" customHeight="1" thickBot="1">
      <c r="C83" s="682"/>
      <c r="D83" s="447" t="s">
        <v>248</v>
      </c>
      <c r="E83" s="449"/>
      <c r="F83" s="450"/>
      <c r="H83" s="649" t="s">
        <v>332</v>
      </c>
      <c r="I83" s="656">
        <v>2.1269999999999998</v>
      </c>
      <c r="J83" s="657">
        <v>2.7710000000000001E-4</v>
      </c>
      <c r="K83" s="532"/>
      <c r="L83" s="532"/>
      <c r="M83" s="532"/>
      <c r="N83" s="532"/>
      <c r="P83" s="532"/>
      <c r="Q83" s="532"/>
      <c r="R83" s="532"/>
    </row>
    <row r="84" spans="3:18" ht="20.100000000000001" customHeight="1">
      <c r="C84" s="681" t="s">
        <v>648</v>
      </c>
      <c r="D84" s="278" t="s">
        <v>246</v>
      </c>
      <c r="E84" s="478"/>
      <c r="F84" s="479"/>
      <c r="H84" s="571" t="s">
        <v>333</v>
      </c>
      <c r="I84" s="653">
        <v>14.75</v>
      </c>
      <c r="J84" s="651">
        <v>2.0799999999999998E-3</v>
      </c>
      <c r="K84" s="532"/>
      <c r="L84" s="532"/>
      <c r="M84" s="532"/>
      <c r="N84" s="532"/>
      <c r="P84" s="532"/>
      <c r="Q84" s="532"/>
      <c r="R84" s="532"/>
    </row>
    <row r="85" spans="3:18" ht="20.100000000000001" customHeight="1">
      <c r="C85" s="681"/>
      <c r="D85" s="278" t="s">
        <v>247</v>
      </c>
      <c r="E85" s="478"/>
      <c r="F85" s="479"/>
      <c r="H85" s="451" t="s">
        <v>334</v>
      </c>
      <c r="I85" s="654">
        <v>15.53</v>
      </c>
      <c r="J85" s="655">
        <v>2.441E-3</v>
      </c>
      <c r="K85" s="532"/>
      <c r="L85" s="532"/>
      <c r="M85" s="532"/>
      <c r="N85" s="532"/>
      <c r="P85" s="532"/>
      <c r="Q85" s="532"/>
      <c r="R85" s="532"/>
    </row>
    <row r="86" spans="3:18" ht="20.100000000000001" customHeight="1">
      <c r="C86" s="681"/>
      <c r="D86" s="278" t="s">
        <v>248</v>
      </c>
      <c r="E86" s="478"/>
      <c r="F86" s="479"/>
      <c r="H86" s="571" t="s">
        <v>615</v>
      </c>
      <c r="I86" s="650">
        <v>14.69</v>
      </c>
      <c r="J86" s="651">
        <v>2.186E-3</v>
      </c>
      <c r="K86" s="532"/>
      <c r="L86" s="532"/>
      <c r="M86" s="532"/>
      <c r="N86" s="532"/>
      <c r="P86" s="532"/>
      <c r="Q86" s="532"/>
      <c r="R86" s="532"/>
    </row>
    <row r="87" spans="3:18" ht="20.100000000000001" customHeight="1">
      <c r="C87" s="682" t="s">
        <v>649</v>
      </c>
      <c r="D87" s="447" t="s">
        <v>246</v>
      </c>
      <c r="E87" s="449"/>
      <c r="F87" s="450"/>
      <c r="H87" s="451"/>
      <c r="I87" s="654"/>
      <c r="J87" s="655"/>
      <c r="K87" s="532"/>
      <c r="L87" s="532"/>
      <c r="M87" s="532"/>
      <c r="N87" s="532"/>
      <c r="P87" s="532"/>
      <c r="Q87" s="532"/>
      <c r="R87" s="532"/>
    </row>
    <row r="88" spans="3:18" ht="20.100000000000001" customHeight="1">
      <c r="C88" s="682"/>
      <c r="D88" s="447" t="s">
        <v>247</v>
      </c>
      <c r="E88" s="449"/>
      <c r="F88" s="450"/>
      <c r="H88" s="571"/>
      <c r="I88" s="650"/>
      <c r="J88" s="651"/>
      <c r="K88" s="532"/>
      <c r="L88" s="532"/>
      <c r="M88" s="532"/>
      <c r="N88" s="532"/>
      <c r="P88" s="532"/>
      <c r="Q88" s="532"/>
      <c r="R88" s="532"/>
    </row>
    <row r="89" spans="3:18" ht="20.100000000000001" customHeight="1">
      <c r="C89" s="682"/>
      <c r="D89" s="447" t="s">
        <v>248</v>
      </c>
      <c r="E89" s="449"/>
      <c r="F89" s="450"/>
      <c r="H89" s="451"/>
      <c r="I89" s="654"/>
      <c r="J89" s="655"/>
      <c r="K89" s="532"/>
      <c r="L89" s="532"/>
      <c r="M89" s="532"/>
      <c r="N89" s="532"/>
      <c r="P89" s="532"/>
      <c r="Q89" s="532"/>
      <c r="R89" s="532"/>
    </row>
    <row r="90" spans="3:18" ht="20.100000000000001" customHeight="1">
      <c r="C90" s="681" t="s">
        <v>650</v>
      </c>
      <c r="D90" s="278" t="s">
        <v>246</v>
      </c>
      <c r="E90" s="478"/>
      <c r="F90" s="479"/>
      <c r="H90" s="571"/>
      <c r="I90" s="650"/>
      <c r="J90" s="651"/>
      <c r="K90" s="532"/>
      <c r="L90" s="532"/>
      <c r="M90" s="532"/>
      <c r="N90" s="532"/>
      <c r="P90" s="532"/>
      <c r="Q90" s="532"/>
      <c r="R90" s="532"/>
    </row>
    <row r="91" spans="3:18" ht="20.100000000000001" customHeight="1">
      <c r="C91" s="681"/>
      <c r="D91" s="278" t="s">
        <v>247</v>
      </c>
      <c r="E91" s="478"/>
      <c r="F91" s="479"/>
      <c r="H91" s="451"/>
      <c r="I91" s="654"/>
      <c r="J91" s="655"/>
      <c r="K91" s="532"/>
      <c r="L91" s="532"/>
      <c r="M91" s="532"/>
      <c r="N91" s="532"/>
      <c r="P91" s="532"/>
      <c r="Q91" s="532"/>
      <c r="R91" s="532"/>
    </row>
    <row r="92" spans="3:18" ht="20.100000000000001" customHeight="1">
      <c r="C92" s="681"/>
      <c r="D92" s="278" t="s">
        <v>248</v>
      </c>
      <c r="E92" s="478"/>
      <c r="F92" s="479"/>
      <c r="H92" s="571"/>
      <c r="I92" s="650"/>
      <c r="J92" s="651"/>
      <c r="K92" s="532"/>
      <c r="L92" s="532"/>
      <c r="M92" s="532"/>
      <c r="N92" s="532"/>
      <c r="P92" s="532"/>
      <c r="Q92" s="532"/>
      <c r="R92" s="532"/>
    </row>
    <row r="93" spans="3:18" ht="20.100000000000001" customHeight="1">
      <c r="C93" s="682" t="s">
        <v>651</v>
      </c>
      <c r="D93" s="447" t="s">
        <v>246</v>
      </c>
      <c r="E93" s="449"/>
      <c r="F93" s="450"/>
      <c r="H93" s="451"/>
      <c r="I93" s="654"/>
      <c r="J93" s="655"/>
      <c r="K93" s="532"/>
      <c r="L93" s="532"/>
      <c r="M93" s="532"/>
      <c r="N93" s="532"/>
      <c r="P93" s="532"/>
      <c r="Q93" s="532"/>
      <c r="R93" s="532"/>
    </row>
    <row r="94" spans="3:18" ht="20.100000000000001" customHeight="1">
      <c r="C94" s="682"/>
      <c r="D94" s="447" t="s">
        <v>247</v>
      </c>
      <c r="E94" s="449"/>
      <c r="F94" s="450"/>
      <c r="H94" s="571"/>
      <c r="I94" s="650"/>
      <c r="J94" s="651"/>
      <c r="K94" s="532"/>
      <c r="L94" s="532"/>
      <c r="M94" s="532"/>
      <c r="N94" s="532"/>
      <c r="P94" s="532"/>
      <c r="Q94" s="532"/>
      <c r="R94" s="532"/>
    </row>
    <row r="95" spans="3:18" ht="20.100000000000001" customHeight="1">
      <c r="C95" s="682"/>
      <c r="D95" s="447" t="s">
        <v>248</v>
      </c>
      <c r="E95" s="449"/>
      <c r="F95" s="450"/>
      <c r="H95" s="451"/>
      <c r="I95" s="654"/>
      <c r="J95" s="655"/>
      <c r="K95" s="532"/>
      <c r="L95" s="532"/>
      <c r="M95" s="532"/>
      <c r="N95" s="532"/>
      <c r="P95" s="532"/>
      <c r="Q95" s="532"/>
      <c r="R95" s="532"/>
    </row>
    <row r="96" spans="3:18" ht="20.100000000000001" customHeight="1">
      <c r="C96" s="681" t="s">
        <v>652</v>
      </c>
      <c r="D96" s="278" t="s">
        <v>246</v>
      </c>
      <c r="E96" s="478"/>
      <c r="F96" s="479"/>
      <c r="H96" s="571"/>
      <c r="I96" s="650"/>
      <c r="J96" s="651"/>
      <c r="K96" s="532"/>
      <c r="L96" s="532"/>
      <c r="M96" s="532"/>
      <c r="N96" s="532"/>
      <c r="P96" s="532"/>
      <c r="Q96" s="532"/>
      <c r="R96" s="532"/>
    </row>
    <row r="97" spans="3:18" ht="20.100000000000001" customHeight="1">
      <c r="C97" s="681"/>
      <c r="D97" s="278" t="s">
        <v>247</v>
      </c>
      <c r="E97" s="478"/>
      <c r="F97" s="479"/>
      <c r="H97" s="451"/>
      <c r="I97" s="654"/>
      <c r="J97" s="655"/>
      <c r="K97" s="532"/>
      <c r="L97" s="532"/>
      <c r="M97" s="532"/>
      <c r="N97" s="532"/>
      <c r="P97" s="532"/>
      <c r="Q97" s="532"/>
      <c r="R97" s="532"/>
    </row>
    <row r="98" spans="3:18" ht="20.100000000000001" customHeight="1">
      <c r="C98" s="681"/>
      <c r="D98" s="278" t="s">
        <v>248</v>
      </c>
      <c r="E98" s="478"/>
      <c r="F98" s="479"/>
      <c r="H98" s="571"/>
      <c r="I98" s="650"/>
      <c r="J98" s="651"/>
      <c r="K98" s="532"/>
      <c r="L98" s="532"/>
      <c r="M98" s="532"/>
      <c r="N98" s="532"/>
      <c r="P98" s="532"/>
      <c r="Q98" s="532"/>
      <c r="R98" s="532"/>
    </row>
    <row r="99" spans="3:18" ht="20.100000000000001" customHeight="1">
      <c r="C99" s="682" t="s">
        <v>653</v>
      </c>
      <c r="D99" s="447" t="s">
        <v>246</v>
      </c>
      <c r="E99" s="449"/>
      <c r="F99" s="450"/>
      <c r="H99" s="451"/>
      <c r="I99" s="654"/>
      <c r="J99" s="655"/>
      <c r="K99" s="532"/>
      <c r="L99" s="532"/>
      <c r="M99" s="532"/>
      <c r="N99" s="532"/>
      <c r="P99" s="532"/>
      <c r="Q99" s="532"/>
      <c r="R99" s="532"/>
    </row>
    <row r="100" spans="3:18" ht="20.100000000000001" customHeight="1">
      <c r="C100" s="682"/>
      <c r="D100" s="447" t="s">
        <v>247</v>
      </c>
      <c r="E100" s="449"/>
      <c r="F100" s="450"/>
      <c r="H100" s="571"/>
      <c r="I100" s="650"/>
      <c r="J100" s="651"/>
      <c r="K100" s="532"/>
      <c r="L100" s="532"/>
      <c r="M100" s="532"/>
      <c r="N100" s="532"/>
      <c r="P100" s="532"/>
      <c r="Q100" s="532"/>
      <c r="R100" s="532"/>
    </row>
    <row r="101" spans="3:18" ht="20.100000000000001" customHeight="1">
      <c r="C101" s="682"/>
      <c r="D101" s="447" t="s">
        <v>248</v>
      </c>
      <c r="E101" s="449"/>
      <c r="F101" s="450"/>
      <c r="H101" s="451"/>
      <c r="I101" s="654"/>
      <c r="J101" s="655"/>
      <c r="K101" s="532"/>
      <c r="L101" s="532"/>
      <c r="M101" s="532"/>
      <c r="N101" s="532"/>
      <c r="P101" s="532"/>
      <c r="Q101" s="532"/>
      <c r="R101" s="532"/>
    </row>
    <row r="102" spans="3:18" ht="20.100000000000001" customHeight="1">
      <c r="C102" s="681" t="s">
        <v>654</v>
      </c>
      <c r="D102" s="278" t="s">
        <v>246</v>
      </c>
      <c r="E102" s="548"/>
      <c r="F102" s="552"/>
      <c r="H102" s="571"/>
      <c r="I102" s="650"/>
      <c r="J102" s="518"/>
    </row>
    <row r="103" spans="3:18" ht="20.100000000000001" customHeight="1">
      <c r="C103" s="681"/>
      <c r="D103" s="278" t="s">
        <v>247</v>
      </c>
      <c r="E103" s="548"/>
      <c r="F103" s="484"/>
      <c r="H103" s="451"/>
      <c r="I103" s="654"/>
      <c r="J103" s="515"/>
    </row>
    <row r="104" spans="3:18" ht="20.100000000000001" customHeight="1">
      <c r="C104" s="681"/>
      <c r="D104" s="278" t="s">
        <v>248</v>
      </c>
      <c r="E104" s="478"/>
      <c r="F104" s="479"/>
      <c r="H104" s="571"/>
      <c r="I104" s="650"/>
      <c r="J104" s="518"/>
    </row>
    <row r="105" spans="3:18" ht="20.100000000000001" customHeight="1">
      <c r="C105" s="682" t="s">
        <v>655</v>
      </c>
      <c r="D105" s="447" t="s">
        <v>246</v>
      </c>
      <c r="E105" s="440"/>
      <c r="F105" s="448"/>
      <c r="H105" s="451"/>
      <c r="I105" s="654"/>
      <c r="J105" s="515"/>
    </row>
    <row r="106" spans="3:18" ht="20.100000000000001" customHeight="1">
      <c r="C106" s="682"/>
      <c r="D106" s="447" t="s">
        <v>247</v>
      </c>
      <c r="E106" s="440"/>
      <c r="F106" s="439"/>
      <c r="H106" s="571"/>
      <c r="I106" s="650"/>
      <c r="J106" s="518"/>
    </row>
    <row r="107" spans="3:18" ht="20.100000000000001" customHeight="1">
      <c r="C107" s="682"/>
      <c r="D107" s="447" t="s">
        <v>248</v>
      </c>
      <c r="E107" s="449"/>
      <c r="F107" s="450"/>
      <c r="H107" s="451"/>
      <c r="I107" s="654"/>
      <c r="J107" s="515"/>
    </row>
    <row r="108" spans="3:18" ht="20.100000000000001" customHeight="1">
      <c r="C108" s="681" t="s">
        <v>656</v>
      </c>
      <c r="D108" s="278" t="s">
        <v>246</v>
      </c>
      <c r="E108" s="478"/>
      <c r="F108" s="479"/>
      <c r="H108" s="571"/>
      <c r="I108" s="650"/>
      <c r="J108" s="518"/>
    </row>
    <row r="109" spans="3:18" ht="20.100000000000001" customHeight="1" thickBot="1">
      <c r="C109" s="681"/>
      <c r="D109" s="278" t="s">
        <v>247</v>
      </c>
      <c r="E109" s="478"/>
      <c r="F109" s="479"/>
      <c r="H109" s="490"/>
      <c r="I109" s="658"/>
      <c r="J109" s="539"/>
    </row>
    <row r="110" spans="3:18" ht="20.100000000000001" customHeight="1">
      <c r="C110" s="681"/>
      <c r="D110" s="278" t="s">
        <v>248</v>
      </c>
      <c r="E110" s="478"/>
      <c r="F110" s="479"/>
      <c r="H110" s="532"/>
    </row>
    <row r="111" spans="3:18" ht="20.100000000000001" customHeight="1">
      <c r="C111" s="682" t="s">
        <v>657</v>
      </c>
      <c r="D111" s="447" t="s">
        <v>246</v>
      </c>
      <c r="E111" s="449"/>
      <c r="F111" s="450"/>
      <c r="H111" s="532"/>
    </row>
    <row r="112" spans="3:18" ht="20.100000000000001" customHeight="1">
      <c r="C112" s="682"/>
      <c r="D112" s="447" t="s">
        <v>247</v>
      </c>
      <c r="E112" s="449"/>
      <c r="F112" s="450"/>
      <c r="H112" s="532"/>
    </row>
    <row r="113" spans="3:8" ht="20.100000000000001" customHeight="1">
      <c r="C113" s="682"/>
      <c r="D113" s="447" t="s">
        <v>248</v>
      </c>
      <c r="E113" s="449"/>
      <c r="F113" s="450"/>
      <c r="H113" s="532"/>
    </row>
    <row r="114" spans="3:8" ht="20.100000000000001" customHeight="1">
      <c r="C114" s="681" t="s">
        <v>658</v>
      </c>
      <c r="D114" s="278" t="s">
        <v>246</v>
      </c>
      <c r="E114" s="478"/>
      <c r="F114" s="479"/>
      <c r="H114" s="532"/>
    </row>
    <row r="115" spans="3:8" ht="20.100000000000001" customHeight="1">
      <c r="C115" s="681"/>
      <c r="D115" s="278" t="s">
        <v>247</v>
      </c>
      <c r="E115" s="478"/>
      <c r="F115" s="479"/>
      <c r="H115" s="532"/>
    </row>
    <row r="116" spans="3:8" ht="20.100000000000001" customHeight="1">
      <c r="C116" s="681"/>
      <c r="D116" s="278" t="s">
        <v>248</v>
      </c>
      <c r="E116" s="478"/>
      <c r="F116" s="479"/>
      <c r="H116" s="532"/>
    </row>
    <row r="117" spans="3:8" ht="20.100000000000001" customHeight="1">
      <c r="C117" s="682" t="s">
        <v>659</v>
      </c>
      <c r="D117" s="447" t="s">
        <v>246</v>
      </c>
      <c r="E117" s="449"/>
      <c r="F117" s="450"/>
      <c r="H117" s="532"/>
    </row>
    <row r="118" spans="3:8" ht="20.100000000000001" customHeight="1">
      <c r="C118" s="682"/>
      <c r="D118" s="447" t="s">
        <v>247</v>
      </c>
      <c r="E118" s="449"/>
      <c r="F118" s="450"/>
      <c r="H118" s="532"/>
    </row>
    <row r="119" spans="3:8" ht="20.100000000000001" customHeight="1">
      <c r="C119" s="682"/>
      <c r="D119" s="447" t="s">
        <v>248</v>
      </c>
      <c r="E119" s="449"/>
      <c r="F119" s="450"/>
      <c r="H119" s="532"/>
    </row>
    <row r="120" spans="3:8" ht="20.100000000000001" customHeight="1">
      <c r="C120" s="681" t="s">
        <v>660</v>
      </c>
      <c r="D120" s="278" t="s">
        <v>246</v>
      </c>
      <c r="E120" s="478"/>
      <c r="F120" s="479"/>
      <c r="H120" s="532"/>
    </row>
    <row r="121" spans="3:8" ht="20.100000000000001" customHeight="1">
      <c r="C121" s="681"/>
      <c r="D121" s="278" t="s">
        <v>247</v>
      </c>
      <c r="E121" s="478"/>
      <c r="F121" s="479"/>
      <c r="H121" s="532"/>
    </row>
    <row r="122" spans="3:8" ht="20.100000000000001" customHeight="1">
      <c r="C122" s="681"/>
      <c r="D122" s="278" t="s">
        <v>248</v>
      </c>
      <c r="E122" s="478"/>
      <c r="F122" s="479"/>
      <c r="H122" s="532"/>
    </row>
    <row r="123" spans="3:8" ht="20.100000000000001" customHeight="1">
      <c r="C123" s="682" t="s">
        <v>661</v>
      </c>
      <c r="D123" s="447" t="s">
        <v>246</v>
      </c>
      <c r="E123" s="449"/>
      <c r="F123" s="450"/>
      <c r="H123" s="532"/>
    </row>
    <row r="124" spans="3:8" ht="20.100000000000001" customHeight="1">
      <c r="C124" s="682"/>
      <c r="D124" s="447" t="s">
        <v>247</v>
      </c>
      <c r="E124" s="449"/>
      <c r="F124" s="450"/>
      <c r="H124" s="532"/>
    </row>
    <row r="125" spans="3:8" ht="20.100000000000001" customHeight="1">
      <c r="C125" s="682"/>
      <c r="D125" s="447" t="s">
        <v>248</v>
      </c>
      <c r="E125" s="449"/>
      <c r="F125" s="450"/>
      <c r="H125" s="532"/>
    </row>
    <row r="126" spans="3:8" ht="20.25" customHeight="1">
      <c r="C126" s="681" t="s">
        <v>662</v>
      </c>
      <c r="D126" s="278" t="s">
        <v>246</v>
      </c>
      <c r="E126" s="478"/>
      <c r="F126" s="479"/>
      <c r="H126" s="532"/>
    </row>
    <row r="127" spans="3:8" ht="20.100000000000001" customHeight="1">
      <c r="C127" s="681"/>
      <c r="D127" s="278" t="s">
        <v>247</v>
      </c>
      <c r="E127" s="478"/>
      <c r="F127" s="479"/>
      <c r="H127" s="532"/>
    </row>
    <row r="128" spans="3:8" ht="20.100000000000001" customHeight="1">
      <c r="C128" s="681"/>
      <c r="D128" s="278" t="s">
        <v>248</v>
      </c>
      <c r="E128" s="478"/>
      <c r="F128" s="479"/>
      <c r="H128" s="532"/>
    </row>
    <row r="129" spans="3:8" ht="20.100000000000001" customHeight="1">
      <c r="C129" s="682" t="s">
        <v>663</v>
      </c>
      <c r="D129" s="447" t="s">
        <v>246</v>
      </c>
      <c r="E129" s="563"/>
      <c r="F129" s="564"/>
      <c r="H129" s="532"/>
    </row>
    <row r="130" spans="3:8" ht="20.100000000000001" customHeight="1">
      <c r="C130" s="682"/>
      <c r="D130" s="447" t="s">
        <v>247</v>
      </c>
      <c r="E130" s="563"/>
      <c r="F130" s="565"/>
    </row>
    <row r="131" spans="3:8" ht="20.100000000000001" customHeight="1">
      <c r="C131" s="682"/>
      <c r="D131" s="447" t="s">
        <v>248</v>
      </c>
      <c r="E131" s="566"/>
      <c r="F131" s="567"/>
    </row>
    <row r="132" spans="3:8" ht="20.100000000000001" customHeight="1">
      <c r="C132" s="681" t="s">
        <v>664</v>
      </c>
      <c r="D132" s="278" t="s">
        <v>246</v>
      </c>
      <c r="E132" s="558"/>
      <c r="F132" s="559"/>
    </row>
    <row r="133" spans="3:8" ht="20.100000000000001" customHeight="1">
      <c r="C133" s="681"/>
      <c r="D133" s="278" t="s">
        <v>247</v>
      </c>
      <c r="E133" s="558"/>
      <c r="F133" s="560"/>
    </row>
    <row r="134" spans="3:8" ht="20.100000000000001" customHeight="1">
      <c r="C134" s="681"/>
      <c r="D134" s="278" t="s">
        <v>248</v>
      </c>
      <c r="E134" s="561"/>
      <c r="F134" s="562"/>
    </row>
    <row r="135" spans="3:8" ht="20.100000000000001" customHeight="1">
      <c r="C135" s="682" t="s">
        <v>665</v>
      </c>
      <c r="D135" s="447" t="s">
        <v>246</v>
      </c>
      <c r="E135" s="563"/>
      <c r="F135" s="564"/>
    </row>
    <row r="136" spans="3:8" ht="20.100000000000001" customHeight="1">
      <c r="C136" s="682"/>
      <c r="D136" s="447" t="s">
        <v>247</v>
      </c>
      <c r="E136" s="563"/>
      <c r="F136" s="565"/>
    </row>
    <row r="137" spans="3:8" ht="20.100000000000001" customHeight="1" thickBot="1">
      <c r="C137" s="683"/>
      <c r="D137" s="568" t="s">
        <v>248</v>
      </c>
      <c r="E137" s="569"/>
      <c r="F137" s="570"/>
    </row>
    <row r="138" spans="3:8" ht="20.100000000000001" customHeight="1">
      <c r="F138" s="612"/>
    </row>
    <row r="141" spans="3:8" ht="20.100000000000001" customHeight="1">
      <c r="F141" s="612"/>
    </row>
    <row r="144" spans="3:8" ht="20.100000000000001" customHeight="1">
      <c r="F144" s="612"/>
    </row>
    <row r="147" spans="6:6" ht="20.100000000000001" customHeight="1">
      <c r="F147" s="612"/>
    </row>
    <row r="150" spans="6:6" ht="20.100000000000001" customHeight="1">
      <c r="F150" s="612"/>
    </row>
    <row r="153" spans="6:6" ht="20.100000000000001" customHeight="1">
      <c r="F153" s="612"/>
    </row>
    <row r="156" spans="6:6" ht="20.100000000000001" customHeight="1">
      <c r="F156" s="612"/>
    </row>
    <row r="159" spans="6:6" ht="20.100000000000001" customHeight="1">
      <c r="F159" s="612"/>
    </row>
    <row r="162" spans="6:6" ht="20.100000000000001" customHeight="1">
      <c r="F162" s="612"/>
    </row>
    <row r="165" spans="6:6" ht="20.100000000000001" customHeight="1">
      <c r="F165" s="612"/>
    </row>
    <row r="168" spans="6:6" ht="20.100000000000001" customHeight="1">
      <c r="F168" s="612"/>
    </row>
    <row r="171" spans="6:6" ht="20.100000000000001" customHeight="1">
      <c r="F171" s="612"/>
    </row>
    <row r="174" spans="6:6" ht="20.100000000000001" customHeight="1">
      <c r="F174" s="612"/>
    </row>
    <row r="177" spans="6:6" ht="20.100000000000001" customHeight="1">
      <c r="F177" s="612"/>
    </row>
    <row r="180" spans="6:6" ht="20.100000000000001" customHeight="1">
      <c r="F180" s="612"/>
    </row>
    <row r="183" spans="6:6" ht="20.100000000000001" customHeight="1">
      <c r="F183" s="612"/>
    </row>
  </sheetData>
  <mergeCells count="30">
    <mergeCell ref="C96:C98"/>
    <mergeCell ref="C99:C101"/>
    <mergeCell ref="C108:C110"/>
    <mergeCell ref="C111:C113"/>
    <mergeCell ref="C126:C128"/>
    <mergeCell ref="C114:C116"/>
    <mergeCell ref="C117:C119"/>
    <mergeCell ref="C120:C122"/>
    <mergeCell ref="C123:C125"/>
    <mergeCell ref="C81:C83"/>
    <mergeCell ref="C84:C86"/>
    <mergeCell ref="C87:C89"/>
    <mergeCell ref="C90:C92"/>
    <mergeCell ref="C93:C95"/>
    <mergeCell ref="C132:C134"/>
    <mergeCell ref="C135:C137"/>
    <mergeCell ref="C129:C131"/>
    <mergeCell ref="C105:C107"/>
    <mergeCell ref="C48:C50"/>
    <mergeCell ref="C51:C53"/>
    <mergeCell ref="C54:C56"/>
    <mergeCell ref="C57:C59"/>
    <mergeCell ref="C60:C62"/>
    <mergeCell ref="C63:C65"/>
    <mergeCell ref="C66:C68"/>
    <mergeCell ref="C69:C71"/>
    <mergeCell ref="C72:C74"/>
    <mergeCell ref="C75:C77"/>
    <mergeCell ref="C102:C104"/>
    <mergeCell ref="C78:C8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826" r:id="rId4" name="CommandButton2">
          <controlPr defaultSize="0" autoLine="0" r:id="rId5">
            <anchor moveWithCells="1">
              <from>
                <xdr:col>0</xdr:col>
                <xdr:colOff>133350</xdr:colOff>
                <xdr:row>2</xdr:row>
                <xdr:rowOff>28575</xdr:rowOff>
              </from>
              <to>
                <xdr:col>1</xdr:col>
                <xdr:colOff>1114425</xdr:colOff>
                <xdr:row>3</xdr:row>
                <xdr:rowOff>171450</xdr:rowOff>
              </to>
            </anchor>
          </controlPr>
        </control>
      </mc:Choice>
      <mc:Fallback>
        <control shapeId="205826" r:id="rId4" name="CommandButton2"/>
      </mc:Fallback>
    </mc:AlternateContent>
    <mc:AlternateContent xmlns:mc="http://schemas.openxmlformats.org/markup-compatibility/2006">
      <mc:Choice Requires="x14">
        <control shapeId="205825" r:id="rId6" name="CommandButton1">
          <controlPr defaultSize="0" autoLine="0" r:id="rId7">
            <anchor moveWithCells="1">
              <from>
                <xdr:col>0</xdr:col>
                <xdr:colOff>123825</xdr:colOff>
                <xdr:row>1</xdr:row>
                <xdr:rowOff>38100</xdr:rowOff>
              </from>
              <to>
                <xdr:col>1</xdr:col>
                <xdr:colOff>1104900</xdr:colOff>
                <xdr:row>1</xdr:row>
                <xdr:rowOff>428625</xdr:rowOff>
              </to>
            </anchor>
          </controlPr>
        </control>
      </mc:Choice>
      <mc:Fallback>
        <control shapeId="205825" r:id="rId6" name="CommandButton1"/>
      </mc:Fallback>
    </mc:AlternateContent>
    <mc:AlternateContent xmlns:mc="http://schemas.openxmlformats.org/markup-compatibility/2006">
      <mc:Choice Requires="x14">
        <control shapeId="205827" r:id="rId8" name="CommandButton3">
          <controlPr defaultSize="0" autoLine="0" r:id="rId9">
            <anchor moveWithCells="1">
              <from>
                <xdr:col>0</xdr:col>
                <xdr:colOff>142875</xdr:colOff>
                <xdr:row>4</xdr:row>
                <xdr:rowOff>104775</xdr:rowOff>
              </from>
              <to>
                <xdr:col>1</xdr:col>
                <xdr:colOff>1123950</xdr:colOff>
                <xdr:row>6</xdr:row>
                <xdr:rowOff>0</xdr:rowOff>
              </to>
            </anchor>
          </controlPr>
        </control>
      </mc:Choice>
      <mc:Fallback>
        <control shapeId="205827" r:id="rId8" name="CommandButton3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9D837-4641-4986-AD09-567D493718E3}">
  <sheetPr codeName="Sheet_AggWhpa"/>
  <dimension ref="C2:O34"/>
  <sheetViews>
    <sheetView workbookViewId="0">
      <selection activeCell="H22" sqref="H22"/>
    </sheetView>
  </sheetViews>
  <sheetFormatPr defaultRowHeight="20.100000000000001" customHeight="1"/>
  <cols>
    <col min="1" max="2" width="8.88671875" style="30"/>
    <col min="3" max="15" width="12.21875" style="30" customWidth="1"/>
    <col min="16" max="16384" width="8.88671875" style="30"/>
  </cols>
  <sheetData>
    <row r="2" spans="3:15" s="31" customFormat="1" ht="32.25" customHeight="1" thickBot="1">
      <c r="C2" s="147" t="s">
        <v>239</v>
      </c>
    </row>
    <row r="3" spans="3:15" s="45" customFormat="1" ht="28.5" customHeight="1">
      <c r="C3" s="413" t="s">
        <v>283</v>
      </c>
      <c r="D3" s="414" t="s">
        <v>670</v>
      </c>
      <c r="E3" s="414" t="s">
        <v>275</v>
      </c>
      <c r="F3" s="414" t="s">
        <v>278</v>
      </c>
      <c r="G3" s="414" t="s">
        <v>671</v>
      </c>
      <c r="H3" s="414" t="s">
        <v>672</v>
      </c>
      <c r="I3" s="414" t="s">
        <v>673</v>
      </c>
      <c r="J3" s="414" t="s">
        <v>674</v>
      </c>
      <c r="K3" s="414" t="s">
        <v>675</v>
      </c>
      <c r="L3" s="414" t="s">
        <v>676</v>
      </c>
      <c r="M3" s="414" t="s">
        <v>677</v>
      </c>
      <c r="N3" s="414" t="s">
        <v>678</v>
      </c>
      <c r="O3" s="415" t="s">
        <v>679</v>
      </c>
    </row>
    <row r="4" spans="3:15" ht="20.100000000000001" customHeight="1">
      <c r="C4" s="180" t="s">
        <v>226</v>
      </c>
      <c r="D4" s="694" t="s">
        <v>728</v>
      </c>
      <c r="E4" s="181">
        <v>80</v>
      </c>
      <c r="F4" s="181">
        <v>1.2495000000000001</v>
      </c>
      <c r="G4" s="697">
        <v>12.102600000000001</v>
      </c>
      <c r="H4" s="694">
        <v>0.03</v>
      </c>
      <c r="I4" s="181">
        <v>88</v>
      </c>
      <c r="J4" s="700">
        <v>50.6</v>
      </c>
      <c r="K4" s="181">
        <v>152</v>
      </c>
      <c r="L4" s="700">
        <v>152</v>
      </c>
      <c r="M4" s="181">
        <v>3.7000000000000002E-3</v>
      </c>
      <c r="N4" s="697">
        <v>2.3E-3</v>
      </c>
      <c r="O4" s="691" t="s">
        <v>238</v>
      </c>
    </row>
    <row r="5" spans="3:15" ht="20.100000000000001" customHeight="1">
      <c r="C5" s="180" t="s">
        <v>227</v>
      </c>
      <c r="D5" s="695"/>
      <c r="E5" s="181">
        <v>150</v>
      </c>
      <c r="F5" s="181">
        <v>2.4424999999999999</v>
      </c>
      <c r="G5" s="698"/>
      <c r="H5" s="695"/>
      <c r="I5" s="181">
        <v>48</v>
      </c>
      <c r="J5" s="701"/>
      <c r="K5" s="181">
        <v>152</v>
      </c>
      <c r="L5" s="701"/>
      <c r="M5" s="181">
        <v>1.2999999999999999E-3</v>
      </c>
      <c r="N5" s="698"/>
      <c r="O5" s="692"/>
    </row>
    <row r="6" spans="3:15" ht="20.100000000000001" customHeight="1">
      <c r="C6" s="180" t="s">
        <v>228</v>
      </c>
      <c r="D6" s="695"/>
      <c r="E6" s="181">
        <v>250</v>
      </c>
      <c r="F6" s="181">
        <v>3.1505000000000001</v>
      </c>
      <c r="G6" s="698"/>
      <c r="H6" s="695"/>
      <c r="I6" s="181">
        <v>138</v>
      </c>
      <c r="J6" s="701"/>
      <c r="K6" s="181">
        <v>152</v>
      </c>
      <c r="L6" s="701"/>
      <c r="M6" s="181">
        <v>2.0999999999999999E-3</v>
      </c>
      <c r="N6" s="698"/>
      <c r="O6" s="692"/>
    </row>
    <row r="7" spans="3:15" ht="20.100000000000001" customHeight="1">
      <c r="C7" s="180" t="s">
        <v>332</v>
      </c>
      <c r="D7" s="695"/>
      <c r="E7" s="181">
        <v>150</v>
      </c>
      <c r="F7" s="181">
        <v>2.306</v>
      </c>
      <c r="G7" s="698"/>
      <c r="H7" s="695"/>
      <c r="I7" s="181">
        <v>68</v>
      </c>
      <c r="J7" s="701"/>
      <c r="K7" s="181">
        <v>152</v>
      </c>
      <c r="L7" s="701"/>
      <c r="M7" s="181">
        <v>2.5999999999999999E-3</v>
      </c>
      <c r="N7" s="698"/>
      <c r="O7" s="692"/>
    </row>
    <row r="8" spans="3:15" ht="20.100000000000001" customHeight="1">
      <c r="C8" s="180" t="s">
        <v>333</v>
      </c>
      <c r="D8" s="695"/>
      <c r="E8" s="181">
        <v>350</v>
      </c>
      <c r="F8" s="181">
        <v>28.17</v>
      </c>
      <c r="G8" s="698"/>
      <c r="H8" s="695"/>
      <c r="I8" s="181">
        <v>4</v>
      </c>
      <c r="J8" s="701"/>
      <c r="K8" s="181">
        <v>152</v>
      </c>
      <c r="L8" s="701"/>
      <c r="M8" s="181">
        <v>2.8E-3</v>
      </c>
      <c r="N8" s="698"/>
      <c r="O8" s="692"/>
    </row>
    <row r="9" spans="3:15" ht="20.100000000000001" customHeight="1">
      <c r="C9" s="180" t="s">
        <v>334</v>
      </c>
      <c r="D9" s="695"/>
      <c r="E9" s="181">
        <v>300</v>
      </c>
      <c r="F9" s="181">
        <v>24.655000000000001</v>
      </c>
      <c r="G9" s="698"/>
      <c r="H9" s="695"/>
      <c r="I9" s="181">
        <v>4</v>
      </c>
      <c r="J9" s="701"/>
      <c r="K9" s="181">
        <v>152</v>
      </c>
      <c r="L9" s="701"/>
      <c r="M9" s="181">
        <v>2E-3</v>
      </c>
      <c r="N9" s="698"/>
      <c r="O9" s="692"/>
    </row>
    <row r="10" spans="3:15" ht="20.100000000000001" customHeight="1">
      <c r="C10" s="180" t="s">
        <v>615</v>
      </c>
      <c r="D10" s="696"/>
      <c r="E10" s="181">
        <v>300</v>
      </c>
      <c r="F10" s="181">
        <v>22.745000000000001</v>
      </c>
      <c r="G10" s="699"/>
      <c r="H10" s="696"/>
      <c r="I10" s="181">
        <v>4</v>
      </c>
      <c r="J10" s="702"/>
      <c r="K10" s="181">
        <v>152</v>
      </c>
      <c r="L10" s="702"/>
      <c r="M10" s="181">
        <v>1.9E-3</v>
      </c>
      <c r="N10" s="699"/>
      <c r="O10" s="693"/>
    </row>
    <row r="11" spans="3:15" ht="20.100000000000001" customHeight="1">
      <c r="C11" s="180"/>
      <c r="D11" s="181"/>
      <c r="E11" s="181"/>
      <c r="F11" s="181"/>
      <c r="G11" s="642"/>
      <c r="H11" s="181"/>
      <c r="I11" s="181"/>
      <c r="J11" s="643"/>
      <c r="K11" s="181"/>
      <c r="L11" s="643"/>
      <c r="M11" s="181"/>
      <c r="N11" s="642"/>
      <c r="O11" s="644"/>
    </row>
    <row r="12" spans="3:15" ht="20.100000000000001" customHeight="1">
      <c r="C12" s="180"/>
      <c r="D12" s="181"/>
      <c r="E12" s="181"/>
      <c r="F12" s="181"/>
      <c r="G12" s="642"/>
      <c r="H12" s="181"/>
      <c r="I12" s="181"/>
      <c r="J12" s="643"/>
      <c r="K12" s="181"/>
      <c r="L12" s="643"/>
      <c r="M12" s="181"/>
      <c r="N12" s="642"/>
      <c r="O12" s="644"/>
    </row>
    <row r="13" spans="3:15" ht="20.100000000000001" customHeight="1">
      <c r="C13" s="180"/>
      <c r="D13" s="181"/>
      <c r="E13" s="181"/>
      <c r="F13" s="181"/>
      <c r="G13" s="642"/>
      <c r="H13" s="181"/>
      <c r="I13" s="181"/>
      <c r="J13" s="643"/>
      <c r="K13" s="181"/>
      <c r="L13" s="643"/>
      <c r="M13" s="181"/>
      <c r="N13" s="642"/>
      <c r="O13" s="644"/>
    </row>
    <row r="14" spans="3:15" ht="20.100000000000001" customHeight="1">
      <c r="C14" s="180"/>
      <c r="D14" s="181"/>
      <c r="E14" s="181"/>
      <c r="F14" s="181"/>
      <c r="G14" s="642"/>
      <c r="H14" s="181"/>
      <c r="I14" s="181"/>
      <c r="J14" s="643"/>
      <c r="K14" s="181"/>
      <c r="L14" s="643"/>
      <c r="M14" s="181"/>
      <c r="N14" s="642"/>
      <c r="O14" s="644"/>
    </row>
    <row r="15" spans="3:15" ht="20.100000000000001" customHeight="1">
      <c r="C15" s="180"/>
      <c r="D15" s="181"/>
      <c r="E15" s="181"/>
      <c r="F15" s="181"/>
      <c r="G15" s="642"/>
      <c r="H15" s="181"/>
      <c r="I15" s="181"/>
      <c r="J15" s="643"/>
      <c r="K15" s="181"/>
      <c r="L15" s="643"/>
      <c r="M15" s="181"/>
      <c r="N15" s="642"/>
      <c r="O15" s="644"/>
    </row>
    <row r="16" spans="3:15" ht="20.100000000000001" customHeight="1">
      <c r="C16" s="180"/>
      <c r="D16" s="181"/>
      <c r="E16" s="181"/>
      <c r="F16" s="181"/>
      <c r="G16" s="642"/>
      <c r="H16" s="181"/>
      <c r="I16" s="181"/>
      <c r="J16" s="643"/>
      <c r="K16" s="181"/>
      <c r="L16" s="643"/>
      <c r="M16" s="181"/>
      <c r="N16" s="642"/>
      <c r="O16" s="644"/>
    </row>
    <row r="17" spans="3:15" ht="20.100000000000001" customHeight="1">
      <c r="C17" s="180"/>
      <c r="D17" s="181"/>
      <c r="E17" s="181"/>
      <c r="F17" s="181"/>
      <c r="G17" s="642"/>
      <c r="H17" s="181"/>
      <c r="I17" s="181"/>
      <c r="J17" s="643"/>
      <c r="K17" s="181"/>
      <c r="L17" s="643"/>
      <c r="M17" s="181"/>
      <c r="N17" s="642"/>
      <c r="O17" s="644"/>
    </row>
    <row r="18" spans="3:15" ht="20.100000000000001" customHeight="1">
      <c r="C18" s="503"/>
      <c r="D18" s="475"/>
      <c r="E18" s="475"/>
      <c r="F18" s="475"/>
      <c r="G18" s="639"/>
      <c r="H18" s="475"/>
      <c r="I18" s="475"/>
      <c r="J18" s="640"/>
      <c r="K18" s="475"/>
      <c r="L18" s="640"/>
      <c r="M18" s="475"/>
      <c r="N18" s="639"/>
      <c r="O18" s="641"/>
    </row>
    <row r="19" spans="3:15" ht="20.100000000000001" customHeight="1">
      <c r="C19" s="180"/>
      <c r="D19" s="181"/>
      <c r="E19" s="181"/>
      <c r="F19" s="181"/>
      <c r="G19" s="642"/>
      <c r="H19" s="181"/>
      <c r="I19" s="181"/>
      <c r="J19" s="643"/>
      <c r="K19" s="181"/>
      <c r="L19" s="643"/>
      <c r="M19" s="181"/>
      <c r="N19" s="642"/>
      <c r="O19" s="644"/>
    </row>
    <row r="20" spans="3:15" ht="20.100000000000001" customHeight="1">
      <c r="C20" s="180"/>
      <c r="D20" s="181"/>
      <c r="E20" s="181"/>
      <c r="F20" s="181"/>
      <c r="G20" s="642"/>
      <c r="H20" s="181"/>
      <c r="I20" s="181"/>
      <c r="J20" s="643"/>
      <c r="K20" s="181"/>
      <c r="L20" s="643"/>
      <c r="M20" s="181"/>
      <c r="N20" s="642"/>
      <c r="O20" s="644"/>
    </row>
    <row r="21" spans="3:15" ht="20.100000000000001" customHeight="1">
      <c r="C21" s="180"/>
      <c r="D21" s="181"/>
      <c r="E21" s="181"/>
      <c r="F21" s="181"/>
      <c r="G21" s="642"/>
      <c r="H21" s="181"/>
      <c r="I21" s="181"/>
      <c r="J21" s="643"/>
      <c r="K21" s="181"/>
      <c r="L21" s="643"/>
      <c r="M21" s="181"/>
      <c r="N21" s="642"/>
      <c r="O21" s="644"/>
    </row>
    <row r="22" spans="3:15" ht="20.100000000000001" customHeight="1">
      <c r="C22" s="180"/>
      <c r="D22" s="181"/>
      <c r="E22" s="181"/>
      <c r="F22" s="181"/>
      <c r="G22" s="642"/>
      <c r="H22" s="181"/>
      <c r="I22" s="181"/>
      <c r="J22" s="643"/>
      <c r="K22" s="181"/>
      <c r="L22" s="643"/>
      <c r="M22" s="181"/>
      <c r="N22" s="642"/>
      <c r="O22" s="644"/>
    </row>
    <row r="23" spans="3:15" ht="20.100000000000001" customHeight="1">
      <c r="C23" s="180"/>
      <c r="D23" s="181"/>
      <c r="E23" s="181"/>
      <c r="F23" s="181"/>
      <c r="G23" s="642"/>
      <c r="H23" s="181"/>
      <c r="I23" s="181"/>
      <c r="J23" s="643"/>
      <c r="K23" s="181"/>
      <c r="L23" s="643"/>
      <c r="M23" s="181"/>
      <c r="N23" s="642"/>
      <c r="O23" s="644"/>
    </row>
    <row r="24" spans="3:15" ht="20.100000000000001" customHeight="1">
      <c r="C24" s="180"/>
      <c r="D24" s="181"/>
      <c r="E24" s="181"/>
      <c r="F24" s="181"/>
      <c r="G24" s="642"/>
      <c r="H24" s="181"/>
      <c r="I24" s="181"/>
      <c r="J24" s="643"/>
      <c r="K24" s="181"/>
      <c r="L24" s="643"/>
      <c r="M24" s="181"/>
      <c r="N24" s="642"/>
      <c r="O24" s="644"/>
    </row>
    <row r="25" spans="3:15" ht="20.100000000000001" customHeight="1">
      <c r="C25" s="180"/>
      <c r="D25" s="181"/>
      <c r="E25" s="181"/>
      <c r="F25" s="181"/>
      <c r="G25" s="642"/>
      <c r="H25" s="181"/>
      <c r="I25" s="181"/>
      <c r="J25" s="643"/>
      <c r="K25" s="181"/>
      <c r="L25" s="643"/>
      <c r="M25" s="181"/>
      <c r="N25" s="642"/>
      <c r="O25" s="644"/>
    </row>
    <row r="26" spans="3:15" ht="20.100000000000001" customHeight="1">
      <c r="C26" s="180"/>
      <c r="D26" s="181"/>
      <c r="E26" s="181"/>
      <c r="F26" s="181"/>
      <c r="G26" s="642"/>
      <c r="H26" s="181"/>
      <c r="I26" s="181"/>
      <c r="J26" s="643"/>
      <c r="K26" s="181"/>
      <c r="L26" s="643"/>
      <c r="M26" s="181"/>
      <c r="N26" s="642"/>
      <c r="O26" s="644"/>
    </row>
    <row r="27" spans="3:15" ht="20.100000000000001" customHeight="1">
      <c r="C27" s="180"/>
      <c r="D27" s="181"/>
      <c r="E27" s="181"/>
      <c r="F27" s="181"/>
      <c r="G27" s="642"/>
      <c r="H27" s="181"/>
      <c r="I27" s="181"/>
      <c r="J27" s="643"/>
      <c r="K27" s="181"/>
      <c r="L27" s="643"/>
      <c r="M27" s="181"/>
      <c r="N27" s="642"/>
      <c r="O27" s="644"/>
    </row>
    <row r="28" spans="3:15" ht="20.100000000000001" customHeight="1">
      <c r="C28" s="180"/>
      <c r="D28" s="181"/>
      <c r="E28" s="181"/>
      <c r="F28" s="181"/>
      <c r="G28" s="642"/>
      <c r="H28" s="181"/>
      <c r="I28" s="181"/>
      <c r="J28" s="643"/>
      <c r="K28" s="181"/>
      <c r="L28" s="643"/>
      <c r="M28" s="181"/>
      <c r="N28" s="642"/>
      <c r="O28" s="644"/>
    </row>
    <row r="29" spans="3:15" ht="20.100000000000001" customHeight="1">
      <c r="C29" s="180"/>
      <c r="D29" s="181"/>
      <c r="E29" s="181"/>
      <c r="F29" s="181"/>
      <c r="G29" s="642"/>
      <c r="H29" s="181"/>
      <c r="I29" s="181"/>
      <c r="J29" s="643"/>
      <c r="K29" s="181"/>
      <c r="L29" s="643"/>
      <c r="M29" s="181"/>
      <c r="N29" s="642"/>
      <c r="O29" s="644"/>
    </row>
    <row r="30" spans="3:15" ht="20.100000000000001" customHeight="1">
      <c r="C30" s="180"/>
      <c r="D30" s="181"/>
      <c r="E30" s="181"/>
      <c r="F30" s="181"/>
      <c r="G30" s="642"/>
      <c r="H30" s="181"/>
      <c r="I30" s="181"/>
      <c r="J30" s="643"/>
      <c r="K30" s="181"/>
      <c r="L30" s="643"/>
      <c r="M30" s="181"/>
      <c r="N30" s="642"/>
      <c r="O30" s="644"/>
    </row>
    <row r="31" spans="3:15" ht="20.100000000000001" customHeight="1">
      <c r="C31" s="180"/>
      <c r="D31" s="181"/>
      <c r="E31" s="181"/>
      <c r="F31" s="181"/>
      <c r="G31" s="642"/>
      <c r="H31" s="181"/>
      <c r="I31" s="181"/>
      <c r="J31" s="643"/>
      <c r="K31" s="181"/>
      <c r="L31" s="643"/>
      <c r="M31" s="181"/>
      <c r="N31" s="642"/>
      <c r="O31" s="644"/>
    </row>
    <row r="32" spans="3:15" ht="20.100000000000001" customHeight="1">
      <c r="C32" s="180"/>
      <c r="D32" s="181"/>
      <c r="E32" s="181"/>
      <c r="F32" s="181"/>
      <c r="G32" s="642"/>
      <c r="H32" s="181"/>
      <c r="I32" s="181"/>
      <c r="J32" s="643"/>
      <c r="K32" s="181"/>
      <c r="L32" s="643"/>
      <c r="M32" s="181"/>
      <c r="N32" s="642"/>
      <c r="O32" s="644"/>
    </row>
    <row r="33" spans="3:15" ht="20.100000000000001" customHeight="1">
      <c r="C33" s="180"/>
      <c r="D33" s="181"/>
      <c r="E33" s="181"/>
      <c r="F33" s="181"/>
      <c r="G33" s="642"/>
      <c r="H33" s="181"/>
      <c r="I33" s="181"/>
      <c r="J33" s="643"/>
      <c r="K33" s="181"/>
      <c r="L33" s="643"/>
      <c r="M33" s="181"/>
      <c r="N33" s="642"/>
      <c r="O33" s="644"/>
    </row>
    <row r="34" spans="3:15" ht="20.100000000000001" customHeight="1" thickBot="1">
      <c r="C34" s="178"/>
      <c r="D34" s="645"/>
      <c r="E34" s="179"/>
      <c r="F34" s="179"/>
      <c r="G34" s="645"/>
      <c r="H34" s="645"/>
      <c r="I34" s="179"/>
      <c r="J34" s="645"/>
      <c r="K34" s="179"/>
      <c r="L34" s="645"/>
      <c r="M34" s="179"/>
      <c r="N34" s="645"/>
      <c r="O34" s="646"/>
    </row>
  </sheetData>
  <mergeCells count="7">
    <mergeCell ref="O4:O10"/>
    <mergeCell ref="H4:H10"/>
    <mergeCell ref="D4:D10"/>
    <mergeCell ref="G4:G10"/>
    <mergeCell ref="J4:J10"/>
    <mergeCell ref="L4:L10"/>
    <mergeCell ref="N4:N10"/>
  </mergeCells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3955" r:id="rId3" name="CommandButton2">
          <controlPr defaultSize="0" autoLine="0" r:id="rId4">
            <anchor moveWithCells="1">
              <from>
                <xdr:col>0</xdr:col>
                <xdr:colOff>200025</xdr:colOff>
                <xdr:row>3</xdr:row>
                <xdr:rowOff>66675</xdr:rowOff>
              </from>
              <to>
                <xdr:col>1</xdr:col>
                <xdr:colOff>619125</xdr:colOff>
                <xdr:row>4</xdr:row>
                <xdr:rowOff>180975</xdr:rowOff>
              </to>
            </anchor>
          </controlPr>
        </control>
      </mc:Choice>
      <mc:Fallback>
        <control shapeId="253955" r:id="rId3" name="CommandButton2"/>
      </mc:Fallback>
    </mc:AlternateContent>
    <mc:AlternateContent xmlns:mc="http://schemas.openxmlformats.org/markup-compatibility/2006">
      <mc:Choice Requires="x14">
        <control shapeId="253954" r:id="rId5" name="CommandButton1">
          <controlPr defaultSize="0" autoLine="0" autoPict="0" r:id="rId6">
            <anchor moveWithCells="1">
              <from>
                <xdr:col>0</xdr:col>
                <xdr:colOff>190500</xdr:colOff>
                <xdr:row>2</xdr:row>
                <xdr:rowOff>28575</xdr:rowOff>
              </from>
              <to>
                <xdr:col>1</xdr:col>
                <xdr:colOff>609600</xdr:colOff>
                <xdr:row>3</xdr:row>
                <xdr:rowOff>28575</xdr:rowOff>
              </to>
            </anchor>
          </controlPr>
        </control>
      </mc:Choice>
      <mc:Fallback>
        <control shapeId="253954" r:id="rId5" name="CommandButton1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4F15F-AF41-4AB0-9CB3-34026ABF86C3}">
  <sheetPr codeName="Sheet_AggSum">
    <tabColor rgb="FF00B050"/>
  </sheetPr>
  <dimension ref="D2:AG119"/>
  <sheetViews>
    <sheetView workbookViewId="0">
      <selection activeCell="S4" sqref="S4"/>
    </sheetView>
  </sheetViews>
  <sheetFormatPr defaultRowHeight="20.100000000000001" customHeight="1" outlineLevelRow="1"/>
  <cols>
    <col min="1" max="3" width="4.77734375" customWidth="1"/>
    <col min="4" max="12" width="12.33203125" customWidth="1"/>
    <col min="13" max="18" width="11.21875" customWidth="1"/>
    <col min="19" max="19" width="11.109375" customWidth="1"/>
    <col min="20" max="20" width="12.44140625" customWidth="1"/>
    <col min="23" max="23" width="12.109375" customWidth="1"/>
  </cols>
  <sheetData>
    <row r="2" spans="4:19" s="150" customFormat="1" ht="27.75" customHeight="1" thickBot="1">
      <c r="D2" s="146" t="s">
        <v>250</v>
      </c>
      <c r="M2" s="146" t="s">
        <v>630</v>
      </c>
    </row>
    <row r="3" spans="4:19" s="45" customFormat="1" ht="42.75" customHeight="1">
      <c r="D3" s="619" t="s">
        <v>266</v>
      </c>
      <c r="E3" s="623" t="s">
        <v>267</v>
      </c>
      <c r="F3" s="623" t="s">
        <v>268</v>
      </c>
      <c r="G3" s="623" t="s">
        <v>269</v>
      </c>
      <c r="H3" s="623" t="s">
        <v>270</v>
      </c>
      <c r="I3" s="623" t="s">
        <v>271</v>
      </c>
      <c r="J3" s="623" t="s">
        <v>256</v>
      </c>
      <c r="K3" s="624" t="s">
        <v>257</v>
      </c>
      <c r="M3" s="619" t="s">
        <v>266</v>
      </c>
      <c r="N3" s="623" t="s">
        <v>267</v>
      </c>
      <c r="O3" s="623" t="s">
        <v>268</v>
      </c>
      <c r="P3" s="623" t="s">
        <v>270</v>
      </c>
      <c r="Q3" s="623" t="s">
        <v>271</v>
      </c>
      <c r="R3" s="623" t="s">
        <v>256</v>
      </c>
      <c r="S3" s="624" t="s">
        <v>257</v>
      </c>
    </row>
    <row r="4" spans="4:19" s="151" customFormat="1" ht="33.75" customHeight="1" thickBot="1">
      <c r="D4" s="152">
        <v>6919125.9708000002</v>
      </c>
      <c r="E4" s="153">
        <v>1236.0999999999999</v>
      </c>
      <c r="F4" s="153">
        <v>3444.5247864064781</v>
      </c>
      <c r="G4" s="662">
        <v>0.68899999999999995</v>
      </c>
      <c r="H4" s="153">
        <v>2373.2775778340633</v>
      </c>
      <c r="I4" s="154">
        <v>423.8</v>
      </c>
      <c r="J4" s="153">
        <v>1580</v>
      </c>
      <c r="K4" s="155">
        <v>369.47757783406331</v>
      </c>
      <c r="M4" s="152">
        <f>D4</f>
        <v>6919125.9708000002</v>
      </c>
      <c r="N4" s="153">
        <f>E4</f>
        <v>1236.0999999999999</v>
      </c>
      <c r="O4" s="153">
        <f>F4</f>
        <v>3444.5247864064781</v>
      </c>
      <c r="P4" s="153">
        <f>H4</f>
        <v>2373.2775778340633</v>
      </c>
      <c r="Q4" s="154">
        <f>I4</f>
        <v>423.8</v>
      </c>
      <c r="R4" s="153">
        <f>J4</f>
        <v>1580</v>
      </c>
      <c r="S4" s="155">
        <f>K4</f>
        <v>369.47757783406331</v>
      </c>
    </row>
    <row r="6" spans="4:19" ht="20.100000000000001" customHeight="1" thickBot="1"/>
    <row r="7" spans="4:19" ht="62.25" customHeight="1">
      <c r="D7" s="619" t="s">
        <v>266</v>
      </c>
      <c r="E7" s="623" t="s">
        <v>267</v>
      </c>
      <c r="F7" s="623" t="s">
        <v>268</v>
      </c>
      <c r="G7" s="623" t="s">
        <v>269</v>
      </c>
      <c r="H7" s="623" t="s">
        <v>270</v>
      </c>
      <c r="I7" s="623" t="s">
        <v>271</v>
      </c>
      <c r="J7" s="623" t="s">
        <v>272</v>
      </c>
      <c r="K7" s="624" t="s">
        <v>256</v>
      </c>
    </row>
    <row r="8" spans="4:19" ht="31.5" customHeight="1" thickBot="1">
      <c r="D8" s="152">
        <v>6919125.9708000002</v>
      </c>
      <c r="E8" s="153">
        <v>1236.0999999999999</v>
      </c>
      <c r="F8" s="153">
        <v>3444.5247864064781</v>
      </c>
      <c r="G8" s="662">
        <v>0.68899999999999995</v>
      </c>
      <c r="H8" s="153">
        <v>2373.2775778340633</v>
      </c>
      <c r="I8" s="154">
        <v>423.8</v>
      </c>
      <c r="J8" s="153">
        <v>1949.4775778340634</v>
      </c>
      <c r="K8" s="155">
        <v>1580</v>
      </c>
    </row>
    <row r="10" spans="4:19" ht="30.75" customHeight="1" thickBot="1">
      <c r="D10" s="146" t="s">
        <v>280</v>
      </c>
      <c r="G10" s="476" t="s">
        <v>637</v>
      </c>
      <c r="L10" s="476" t="s">
        <v>638</v>
      </c>
    </row>
    <row r="11" spans="4:19" s="45" customFormat="1" ht="39" customHeight="1" outlineLevel="1">
      <c r="D11" s="182" t="s">
        <v>273</v>
      </c>
      <c r="E11" s="183" t="s">
        <v>274</v>
      </c>
      <c r="F11" s="183" t="s">
        <v>275</v>
      </c>
      <c r="G11" s="183" t="s">
        <v>276</v>
      </c>
      <c r="H11" s="183" t="s">
        <v>277</v>
      </c>
      <c r="I11" s="183" t="s">
        <v>278</v>
      </c>
      <c r="J11" s="184" t="s">
        <v>279</v>
      </c>
      <c r="L11" s="182" t="s">
        <v>273</v>
      </c>
      <c r="M11" s="183" t="s">
        <v>274</v>
      </c>
      <c r="N11" s="183" t="s">
        <v>275</v>
      </c>
      <c r="O11" s="183" t="s">
        <v>276</v>
      </c>
      <c r="P11" s="183" t="s">
        <v>277</v>
      </c>
      <c r="Q11" s="183" t="s">
        <v>161</v>
      </c>
      <c r="R11" s="183" t="s">
        <v>278</v>
      </c>
      <c r="S11" s="184" t="s">
        <v>279</v>
      </c>
    </row>
    <row r="12" spans="4:19" s="30" customFormat="1" ht="20.100000000000001" customHeight="1" outlineLevel="1">
      <c r="D12" s="516" t="s">
        <v>226</v>
      </c>
      <c r="E12" s="517">
        <v>100</v>
      </c>
      <c r="F12" s="517">
        <v>80</v>
      </c>
      <c r="G12" s="519">
        <v>1.2</v>
      </c>
      <c r="H12" s="519">
        <v>38.4</v>
      </c>
      <c r="I12" s="520">
        <v>1.2495000000000001</v>
      </c>
      <c r="J12" s="521">
        <v>3.1629999999999999E-4</v>
      </c>
      <c r="L12" s="516" t="s">
        <v>226</v>
      </c>
      <c r="M12" s="517">
        <v>100</v>
      </c>
      <c r="N12" s="517">
        <v>80</v>
      </c>
      <c r="O12" s="519">
        <v>1.2</v>
      </c>
      <c r="P12" s="519">
        <v>38.4</v>
      </c>
      <c r="Q12" s="527">
        <v>37.199999999999996</v>
      </c>
      <c r="R12" s="520">
        <v>1.2495000000000001</v>
      </c>
      <c r="S12" s="521">
        <v>3.1629999999999999E-4</v>
      </c>
    </row>
    <row r="13" spans="4:19" s="30" customFormat="1" ht="20.100000000000001" customHeight="1" outlineLevel="1">
      <c r="D13" s="513" t="s">
        <v>227</v>
      </c>
      <c r="E13" s="514">
        <v>60</v>
      </c>
      <c r="F13" s="514">
        <v>150</v>
      </c>
      <c r="G13" s="535">
        <v>6.3</v>
      </c>
      <c r="H13" s="535">
        <v>45.2</v>
      </c>
      <c r="I13" s="625">
        <v>2.4424999999999999</v>
      </c>
      <c r="J13" s="626">
        <v>2.7109999999999998E-4</v>
      </c>
      <c r="L13" s="513" t="s">
        <v>227</v>
      </c>
      <c r="M13" s="514">
        <v>60</v>
      </c>
      <c r="N13" s="514">
        <v>150</v>
      </c>
      <c r="O13" s="535">
        <v>6.3</v>
      </c>
      <c r="P13" s="535">
        <v>45.2</v>
      </c>
      <c r="Q13" s="442">
        <v>38.900000000000006</v>
      </c>
      <c r="R13" s="625">
        <v>2.4424999999999999</v>
      </c>
      <c r="S13" s="626">
        <v>2.7109999999999998E-4</v>
      </c>
    </row>
    <row r="14" spans="4:19" s="30" customFormat="1" ht="20.100000000000001" customHeight="1" outlineLevel="1">
      <c r="D14" s="516" t="s">
        <v>228</v>
      </c>
      <c r="E14" s="517">
        <v>150</v>
      </c>
      <c r="F14" s="517">
        <v>250</v>
      </c>
      <c r="G14" s="519">
        <v>4.5999999999999996</v>
      </c>
      <c r="H14" s="519">
        <v>54.8</v>
      </c>
      <c r="I14" s="520">
        <v>3.1505000000000001</v>
      </c>
      <c r="J14" s="521">
        <v>2.5520000000000002E-4</v>
      </c>
      <c r="L14" s="516" t="s">
        <v>228</v>
      </c>
      <c r="M14" s="517">
        <v>150</v>
      </c>
      <c r="N14" s="517">
        <v>250</v>
      </c>
      <c r="O14" s="519">
        <v>4.5999999999999996</v>
      </c>
      <c r="P14" s="519">
        <v>54.8</v>
      </c>
      <c r="Q14" s="527">
        <v>50.199999999999996</v>
      </c>
      <c r="R14" s="520">
        <v>3.1505000000000001</v>
      </c>
      <c r="S14" s="521">
        <v>2.5520000000000002E-4</v>
      </c>
    </row>
    <row r="15" spans="4:19" s="30" customFormat="1" ht="20.100000000000001" customHeight="1" outlineLevel="1">
      <c r="D15" s="513" t="s">
        <v>332</v>
      </c>
      <c r="E15" s="514">
        <v>80</v>
      </c>
      <c r="F15" s="514">
        <v>150</v>
      </c>
      <c r="G15" s="535">
        <v>3.5</v>
      </c>
      <c r="H15" s="535">
        <v>45.3</v>
      </c>
      <c r="I15" s="625">
        <v>2.306</v>
      </c>
      <c r="J15" s="626">
        <v>2.7710000000000001E-4</v>
      </c>
      <c r="L15" s="513" t="s">
        <v>332</v>
      </c>
      <c r="M15" s="514">
        <v>80</v>
      </c>
      <c r="N15" s="514">
        <v>150</v>
      </c>
      <c r="O15" s="535">
        <v>3.5</v>
      </c>
      <c r="P15" s="535">
        <v>45.3</v>
      </c>
      <c r="Q15" s="442">
        <v>41.8</v>
      </c>
      <c r="R15" s="625">
        <v>2.306</v>
      </c>
      <c r="S15" s="626">
        <v>2.7710000000000001E-4</v>
      </c>
    </row>
    <row r="16" spans="4:19" s="30" customFormat="1" ht="20.100000000000001" customHeight="1" outlineLevel="1">
      <c r="D16" s="516" t="s">
        <v>333</v>
      </c>
      <c r="E16" s="517">
        <v>20</v>
      </c>
      <c r="F16" s="517">
        <v>350</v>
      </c>
      <c r="G16" s="519">
        <v>3</v>
      </c>
      <c r="H16" s="519">
        <v>9.1</v>
      </c>
      <c r="I16" s="520">
        <v>20.484999999999999</v>
      </c>
      <c r="J16" s="521">
        <v>2.0799999999999998E-3</v>
      </c>
      <c r="L16" s="516" t="s">
        <v>333</v>
      </c>
      <c r="M16" s="517">
        <v>20</v>
      </c>
      <c r="N16" s="517">
        <v>350</v>
      </c>
      <c r="O16" s="519">
        <v>3</v>
      </c>
      <c r="P16" s="519">
        <v>9.1</v>
      </c>
      <c r="Q16" s="527">
        <v>6.1</v>
      </c>
      <c r="R16" s="520">
        <v>20.484999999999999</v>
      </c>
      <c r="S16" s="521">
        <v>2.0799999999999998E-3</v>
      </c>
    </row>
    <row r="17" spans="4:19" s="30" customFormat="1" ht="20.100000000000001" customHeight="1" outlineLevel="1">
      <c r="D17" s="513" t="s">
        <v>334</v>
      </c>
      <c r="E17" s="514">
        <v>20</v>
      </c>
      <c r="F17" s="514">
        <v>300</v>
      </c>
      <c r="G17" s="535">
        <v>4.7</v>
      </c>
      <c r="H17" s="535">
        <v>9.5399999999999991</v>
      </c>
      <c r="I17" s="625">
        <v>20.56</v>
      </c>
      <c r="J17" s="626">
        <v>2.441E-3</v>
      </c>
      <c r="L17" s="513" t="s">
        <v>334</v>
      </c>
      <c r="M17" s="514">
        <v>20</v>
      </c>
      <c r="N17" s="514">
        <v>300</v>
      </c>
      <c r="O17" s="535">
        <v>4.7</v>
      </c>
      <c r="P17" s="535">
        <v>9.5399999999999991</v>
      </c>
      <c r="Q17" s="442">
        <v>4.839999999999999</v>
      </c>
      <c r="R17" s="625">
        <v>20.56</v>
      </c>
      <c r="S17" s="626">
        <v>2.441E-3</v>
      </c>
    </row>
    <row r="18" spans="4:19" s="30" customFormat="1" ht="20.100000000000001" customHeight="1" outlineLevel="1">
      <c r="D18" s="516" t="s">
        <v>615</v>
      </c>
      <c r="E18" s="517">
        <v>20</v>
      </c>
      <c r="F18" s="517">
        <v>300</v>
      </c>
      <c r="G18" s="519">
        <v>5</v>
      </c>
      <c r="H18" s="519">
        <v>9.6999999999999993</v>
      </c>
      <c r="I18" s="520">
        <v>20.645</v>
      </c>
      <c r="J18" s="521">
        <v>2.186E-3</v>
      </c>
      <c r="L18" s="516" t="s">
        <v>615</v>
      </c>
      <c r="M18" s="517">
        <v>20</v>
      </c>
      <c r="N18" s="517">
        <v>300</v>
      </c>
      <c r="O18" s="519">
        <v>5</v>
      </c>
      <c r="P18" s="519">
        <v>9.6999999999999993</v>
      </c>
      <c r="Q18" s="527">
        <v>4.6999999999999993</v>
      </c>
      <c r="R18" s="520">
        <v>20.645</v>
      </c>
      <c r="S18" s="521">
        <v>2.186E-3</v>
      </c>
    </row>
    <row r="19" spans="4:19" s="30" customFormat="1" ht="20.100000000000001" customHeight="1" outlineLevel="1">
      <c r="D19" s="513"/>
      <c r="E19" s="514"/>
      <c r="F19" s="514"/>
      <c r="G19" s="535"/>
      <c r="H19" s="535"/>
      <c r="I19" s="625"/>
      <c r="J19" s="626"/>
      <c r="L19" s="513"/>
      <c r="M19" s="514"/>
      <c r="N19" s="514"/>
      <c r="O19" s="535"/>
      <c r="P19" s="535"/>
      <c r="Q19" s="442"/>
      <c r="R19" s="625"/>
      <c r="S19" s="626"/>
    </row>
    <row r="20" spans="4:19" s="30" customFormat="1" ht="20.100000000000001" customHeight="1" outlineLevel="1">
      <c r="D20" s="516"/>
      <c r="E20" s="517"/>
      <c r="F20" s="517"/>
      <c r="G20" s="519"/>
      <c r="H20" s="519"/>
      <c r="I20" s="520"/>
      <c r="J20" s="521"/>
      <c r="L20" s="516"/>
      <c r="M20" s="517"/>
      <c r="N20" s="517"/>
      <c r="O20" s="519"/>
      <c r="P20" s="519"/>
      <c r="Q20" s="527"/>
      <c r="R20" s="520"/>
      <c r="S20" s="521"/>
    </row>
    <row r="21" spans="4:19" s="30" customFormat="1" ht="20.100000000000001" customHeight="1" outlineLevel="1">
      <c r="D21" s="513"/>
      <c r="E21" s="514"/>
      <c r="F21" s="514"/>
      <c r="G21" s="535"/>
      <c r="H21" s="535"/>
      <c r="I21" s="625"/>
      <c r="J21" s="626"/>
      <c r="L21" s="513"/>
      <c r="M21" s="514"/>
      <c r="N21" s="514"/>
      <c r="O21" s="535"/>
      <c r="P21" s="535"/>
      <c r="Q21" s="442"/>
      <c r="R21" s="625"/>
      <c r="S21" s="626"/>
    </row>
    <row r="22" spans="4:19" s="30" customFormat="1" ht="20.100000000000001" customHeight="1" outlineLevel="1">
      <c r="D22" s="516"/>
      <c r="E22" s="517"/>
      <c r="F22" s="517"/>
      <c r="G22" s="519"/>
      <c r="H22" s="519"/>
      <c r="I22" s="520"/>
      <c r="J22" s="521"/>
      <c r="L22" s="516"/>
      <c r="M22" s="517"/>
      <c r="N22" s="517"/>
      <c r="O22" s="519"/>
      <c r="P22" s="519"/>
      <c r="Q22" s="527"/>
      <c r="R22" s="520"/>
      <c r="S22" s="521"/>
    </row>
    <row r="23" spans="4:19" s="30" customFormat="1" ht="20.100000000000001" customHeight="1" outlineLevel="1">
      <c r="D23" s="513"/>
      <c r="E23" s="514"/>
      <c r="F23" s="514"/>
      <c r="G23" s="535"/>
      <c r="H23" s="535"/>
      <c r="I23" s="625"/>
      <c r="J23" s="626"/>
      <c r="L23" s="513"/>
      <c r="M23" s="514"/>
      <c r="N23" s="514"/>
      <c r="O23" s="535"/>
      <c r="P23" s="535"/>
      <c r="Q23" s="442"/>
      <c r="R23" s="625"/>
      <c r="S23" s="626"/>
    </row>
    <row r="24" spans="4:19" s="30" customFormat="1" ht="20.100000000000001" customHeight="1" outlineLevel="1">
      <c r="D24" s="516"/>
      <c r="E24" s="517"/>
      <c r="F24" s="517"/>
      <c r="G24" s="519"/>
      <c r="H24" s="519"/>
      <c r="I24" s="520"/>
      <c r="J24" s="521"/>
      <c r="L24" s="516"/>
      <c r="M24" s="517"/>
      <c r="N24" s="517"/>
      <c r="O24" s="519"/>
      <c r="P24" s="519"/>
      <c r="Q24" s="527"/>
      <c r="R24" s="520"/>
      <c r="S24" s="521"/>
    </row>
    <row r="25" spans="4:19" s="30" customFormat="1" ht="20.100000000000001" customHeight="1" outlineLevel="1">
      <c r="D25" s="513"/>
      <c r="E25" s="514"/>
      <c r="F25" s="514"/>
      <c r="G25" s="535"/>
      <c r="H25" s="535"/>
      <c r="I25" s="625"/>
      <c r="J25" s="626"/>
      <c r="L25" s="513"/>
      <c r="M25" s="514"/>
      <c r="N25" s="514"/>
      <c r="O25" s="535"/>
      <c r="P25" s="535"/>
      <c r="Q25" s="442"/>
      <c r="R25" s="625"/>
      <c r="S25" s="626"/>
    </row>
    <row r="26" spans="4:19" s="30" customFormat="1" ht="20.100000000000001" customHeight="1" outlineLevel="1">
      <c r="D26" s="516"/>
      <c r="E26" s="517"/>
      <c r="F26" s="517"/>
      <c r="G26" s="519"/>
      <c r="H26" s="519"/>
      <c r="I26" s="520"/>
      <c r="J26" s="521"/>
      <c r="L26" s="516"/>
      <c r="M26" s="517"/>
      <c r="N26" s="517"/>
      <c r="O26" s="519"/>
      <c r="P26" s="519"/>
      <c r="Q26" s="527"/>
      <c r="R26" s="520"/>
      <c r="S26" s="521"/>
    </row>
    <row r="27" spans="4:19" s="30" customFormat="1" ht="20.100000000000001" customHeight="1" outlineLevel="1">
      <c r="D27" s="513"/>
      <c r="E27" s="514"/>
      <c r="F27" s="514"/>
      <c r="G27" s="535"/>
      <c r="H27" s="535"/>
      <c r="I27" s="625"/>
      <c r="J27" s="626"/>
      <c r="L27" s="513"/>
      <c r="M27" s="514"/>
      <c r="N27" s="514"/>
      <c r="O27" s="535"/>
      <c r="P27" s="535"/>
      <c r="Q27" s="630"/>
      <c r="R27" s="625"/>
      <c r="S27" s="626"/>
    </row>
    <row r="28" spans="4:19" s="30" customFormat="1" ht="20.100000000000001" customHeight="1" outlineLevel="1">
      <c r="D28" s="516"/>
      <c r="E28" s="517"/>
      <c r="F28" s="517"/>
      <c r="G28" s="519"/>
      <c r="H28" s="519"/>
      <c r="I28" s="520"/>
      <c r="J28" s="521"/>
      <c r="L28" s="516"/>
      <c r="M28" s="517"/>
      <c r="N28" s="517"/>
      <c r="O28" s="519"/>
      <c r="P28" s="519"/>
      <c r="Q28" s="528"/>
      <c r="R28" s="520"/>
      <c r="S28" s="521"/>
    </row>
    <row r="29" spans="4:19" s="30" customFormat="1" ht="20.100000000000001" customHeight="1" outlineLevel="1">
      <c r="D29" s="513"/>
      <c r="E29" s="514"/>
      <c r="F29" s="514"/>
      <c r="G29" s="535"/>
      <c r="H29" s="535"/>
      <c r="I29" s="625"/>
      <c r="J29" s="626"/>
      <c r="L29" s="513"/>
      <c r="M29" s="514"/>
      <c r="N29" s="514"/>
      <c r="O29" s="535"/>
      <c r="P29" s="535"/>
      <c r="Q29" s="630"/>
      <c r="R29" s="625"/>
      <c r="S29" s="626"/>
    </row>
    <row r="30" spans="4:19" s="30" customFormat="1" ht="20.100000000000001" customHeight="1" outlineLevel="1">
      <c r="D30" s="516"/>
      <c r="E30" s="517"/>
      <c r="F30" s="517"/>
      <c r="G30" s="519"/>
      <c r="H30" s="519"/>
      <c r="I30" s="520"/>
      <c r="J30" s="521"/>
      <c r="L30" s="516"/>
      <c r="M30" s="517"/>
      <c r="N30" s="517"/>
      <c r="O30" s="519"/>
      <c r="P30" s="519"/>
      <c r="Q30" s="528"/>
      <c r="R30" s="520"/>
      <c r="S30" s="521"/>
    </row>
    <row r="31" spans="4:19" s="30" customFormat="1" ht="20.100000000000001" customHeight="1" outlineLevel="1">
      <c r="D31" s="513"/>
      <c r="E31" s="514"/>
      <c r="F31" s="514"/>
      <c r="G31" s="535"/>
      <c r="H31" s="535"/>
      <c r="I31" s="625"/>
      <c r="J31" s="626"/>
      <c r="L31" s="513"/>
      <c r="M31" s="514"/>
      <c r="N31" s="514"/>
      <c r="O31" s="535"/>
      <c r="P31" s="535"/>
      <c r="Q31" s="630"/>
      <c r="R31" s="625"/>
      <c r="S31" s="626"/>
    </row>
    <row r="32" spans="4:19" s="30" customFormat="1" ht="20.100000000000001" customHeight="1" outlineLevel="1">
      <c r="D32" s="516"/>
      <c r="E32" s="517"/>
      <c r="F32" s="517"/>
      <c r="G32" s="519"/>
      <c r="H32" s="519"/>
      <c r="I32" s="520"/>
      <c r="J32" s="521"/>
      <c r="L32" s="516"/>
      <c r="M32" s="517"/>
      <c r="N32" s="517"/>
      <c r="O32" s="519"/>
      <c r="P32" s="519"/>
      <c r="Q32" s="528"/>
      <c r="R32" s="520"/>
      <c r="S32" s="521"/>
    </row>
    <row r="33" spans="4:19" s="30" customFormat="1" ht="20.100000000000001" customHeight="1" outlineLevel="1">
      <c r="D33" s="513"/>
      <c r="E33" s="514"/>
      <c r="F33" s="514"/>
      <c r="G33" s="535"/>
      <c r="H33" s="535"/>
      <c r="I33" s="625"/>
      <c r="J33" s="626"/>
      <c r="L33" s="513"/>
      <c r="M33" s="514"/>
      <c r="N33" s="514"/>
      <c r="O33" s="535"/>
      <c r="P33" s="535"/>
      <c r="Q33" s="630"/>
      <c r="R33" s="625"/>
      <c r="S33" s="626"/>
    </row>
    <row r="34" spans="4:19" s="30" customFormat="1" ht="20.100000000000001" customHeight="1" outlineLevel="1">
      <c r="D34" s="516"/>
      <c r="E34" s="517"/>
      <c r="F34" s="517"/>
      <c r="G34" s="519"/>
      <c r="H34" s="519"/>
      <c r="I34" s="520"/>
      <c r="J34" s="521"/>
      <c r="L34" s="516"/>
      <c r="M34" s="517"/>
      <c r="N34" s="517"/>
      <c r="O34" s="519"/>
      <c r="P34" s="519"/>
      <c r="Q34" s="528"/>
      <c r="R34" s="520"/>
      <c r="S34" s="521"/>
    </row>
    <row r="35" spans="4:19" s="30" customFormat="1" ht="20.100000000000001" customHeight="1" outlineLevel="1">
      <c r="D35" s="513"/>
      <c r="E35" s="514"/>
      <c r="F35" s="514"/>
      <c r="G35" s="535"/>
      <c r="H35" s="535"/>
      <c r="I35" s="625"/>
      <c r="J35" s="626"/>
      <c r="L35" s="513"/>
      <c r="M35" s="514"/>
      <c r="N35" s="514"/>
      <c r="O35" s="535"/>
      <c r="P35" s="535"/>
      <c r="Q35" s="630"/>
      <c r="R35" s="625"/>
      <c r="S35" s="626"/>
    </row>
    <row r="36" spans="4:19" s="30" customFormat="1" ht="20.100000000000001" customHeight="1" outlineLevel="1">
      <c r="D36" s="516"/>
      <c r="E36" s="517"/>
      <c r="F36" s="517"/>
      <c r="G36" s="519"/>
      <c r="H36" s="519"/>
      <c r="I36" s="520"/>
      <c r="J36" s="521"/>
      <c r="L36" s="516"/>
      <c r="M36" s="517"/>
      <c r="N36" s="517"/>
      <c r="O36" s="519"/>
      <c r="P36" s="519"/>
      <c r="Q36" s="528"/>
      <c r="R36" s="520"/>
      <c r="S36" s="521"/>
    </row>
    <row r="37" spans="4:19" s="30" customFormat="1" ht="20.100000000000001" customHeight="1" outlineLevel="1">
      <c r="D37" s="513"/>
      <c r="E37" s="514"/>
      <c r="F37" s="514"/>
      <c r="G37" s="535"/>
      <c r="H37" s="535"/>
      <c r="I37" s="625"/>
      <c r="J37" s="626"/>
      <c r="L37" s="513"/>
      <c r="M37" s="514"/>
      <c r="N37" s="514"/>
      <c r="O37" s="535"/>
      <c r="P37" s="535"/>
      <c r="Q37" s="630"/>
      <c r="R37" s="625"/>
      <c r="S37" s="626"/>
    </row>
    <row r="38" spans="4:19" s="30" customFormat="1" ht="20.100000000000001" customHeight="1" outlineLevel="1">
      <c r="D38" s="516"/>
      <c r="E38" s="517"/>
      <c r="F38" s="517"/>
      <c r="G38" s="519"/>
      <c r="H38" s="519"/>
      <c r="I38" s="520"/>
      <c r="J38" s="521"/>
      <c r="L38" s="516"/>
      <c r="M38" s="517"/>
      <c r="N38" s="517"/>
      <c r="O38" s="519"/>
      <c r="P38" s="519"/>
      <c r="Q38" s="528"/>
      <c r="R38" s="520"/>
      <c r="S38" s="521"/>
    </row>
    <row r="39" spans="4:19" s="30" customFormat="1" ht="20.100000000000001" customHeight="1" outlineLevel="1">
      <c r="D39" s="513"/>
      <c r="E39" s="514"/>
      <c r="F39" s="514"/>
      <c r="G39" s="535"/>
      <c r="H39" s="535"/>
      <c r="I39" s="625"/>
      <c r="J39" s="626"/>
      <c r="L39" s="513"/>
      <c r="M39" s="514"/>
      <c r="N39" s="514"/>
      <c r="O39" s="535"/>
      <c r="P39" s="535"/>
      <c r="Q39" s="630"/>
      <c r="R39" s="625"/>
      <c r="S39" s="626"/>
    </row>
    <row r="40" spans="4:19" s="30" customFormat="1" ht="20.100000000000001" customHeight="1" outlineLevel="1">
      <c r="D40" s="522"/>
      <c r="E40" s="523"/>
      <c r="F40" s="523"/>
      <c r="G40" s="524"/>
      <c r="H40" s="524"/>
      <c r="I40" s="525"/>
      <c r="J40" s="526"/>
      <c r="L40" s="522"/>
      <c r="M40" s="523"/>
      <c r="N40" s="523"/>
      <c r="O40" s="524"/>
      <c r="P40" s="524"/>
      <c r="Q40" s="529"/>
      <c r="R40" s="525"/>
      <c r="S40" s="526"/>
    </row>
    <row r="41" spans="4:19" s="30" customFormat="1" ht="20.100000000000001" customHeight="1" outlineLevel="1" thickBot="1">
      <c r="D41" s="537"/>
      <c r="E41" s="538"/>
      <c r="F41" s="538"/>
      <c r="G41" s="627"/>
      <c r="H41" s="627"/>
      <c r="I41" s="628"/>
      <c r="J41" s="629"/>
      <c r="L41" s="537"/>
      <c r="M41" s="538"/>
      <c r="N41" s="538"/>
      <c r="O41" s="627"/>
      <c r="P41" s="627"/>
      <c r="Q41" s="631"/>
      <c r="R41" s="628"/>
      <c r="S41" s="629"/>
    </row>
    <row r="42" spans="4:19" s="30" customFormat="1" ht="20.100000000000001" customHeight="1">
      <c r="D42" s="530"/>
      <c r="E42" s="530"/>
      <c r="F42" s="530"/>
      <c r="G42" s="530"/>
      <c r="H42" s="530"/>
      <c r="I42" s="530"/>
      <c r="J42" s="530"/>
      <c r="M42" s="533"/>
      <c r="N42" s="533"/>
      <c r="O42" s="533"/>
    </row>
    <row r="43" spans="4:19" ht="20.100000000000001" customHeight="1" thickBot="1">
      <c r="D43" s="531" t="s">
        <v>635</v>
      </c>
      <c r="E43" s="532"/>
      <c r="F43" s="532"/>
      <c r="G43" s="532"/>
      <c r="H43" s="532"/>
      <c r="I43" s="531" t="s">
        <v>636</v>
      </c>
      <c r="J43" s="532"/>
      <c r="M43" s="534" t="s">
        <v>629</v>
      </c>
      <c r="N43" s="532"/>
      <c r="O43" s="532"/>
    </row>
    <row r="44" spans="4:19" ht="31.5" customHeight="1" outlineLevel="1" thickBot="1">
      <c r="D44" s="182" t="s">
        <v>260</v>
      </c>
      <c r="E44" s="183" t="s">
        <v>258</v>
      </c>
      <c r="F44" s="183" t="s">
        <v>259</v>
      </c>
      <c r="G44" s="184" t="s">
        <v>339</v>
      </c>
      <c r="H44" s="532"/>
      <c r="I44" s="182" t="s">
        <v>260</v>
      </c>
      <c r="J44" s="183" t="s">
        <v>281</v>
      </c>
      <c r="K44" s="184" t="s">
        <v>282</v>
      </c>
      <c r="M44" s="182" t="s">
        <v>626</v>
      </c>
      <c r="N44" s="183" t="s">
        <v>627</v>
      </c>
      <c r="O44" s="184" t="s">
        <v>628</v>
      </c>
      <c r="Q44" s="45" t="s">
        <v>348</v>
      </c>
    </row>
    <row r="45" spans="4:19" s="30" customFormat="1" ht="20.100000000000001" customHeight="1" outlineLevel="1">
      <c r="D45" s="516" t="s">
        <v>226</v>
      </c>
      <c r="E45" s="517">
        <v>90.2</v>
      </c>
      <c r="F45" s="517">
        <v>580</v>
      </c>
      <c r="G45" s="518">
        <v>0</v>
      </c>
      <c r="H45" s="533"/>
      <c r="I45" s="516" t="s">
        <v>226</v>
      </c>
      <c r="J45" s="517">
        <v>130</v>
      </c>
      <c r="K45" s="518">
        <v>154</v>
      </c>
      <c r="M45" s="516">
        <v>90.2</v>
      </c>
      <c r="N45" s="517">
        <v>69.400000000000006</v>
      </c>
      <c r="O45" s="518">
        <v>77.7</v>
      </c>
      <c r="Q45" s="340">
        <f>MAX(K45:K74)</f>
        <v>167</v>
      </c>
      <c r="R45" s="341" t="s">
        <v>715</v>
      </c>
    </row>
    <row r="46" spans="4:19" s="30" customFormat="1" ht="20.100000000000001" customHeight="1" outlineLevel="1" thickBot="1">
      <c r="D46" s="513" t="s">
        <v>227</v>
      </c>
      <c r="E46" s="514">
        <v>188.6</v>
      </c>
      <c r="F46" s="514">
        <v>651</v>
      </c>
      <c r="G46" s="515">
        <v>0</v>
      </c>
      <c r="H46" s="533"/>
      <c r="I46" s="513" t="s">
        <v>227</v>
      </c>
      <c r="J46" s="514">
        <v>118</v>
      </c>
      <c r="K46" s="515">
        <v>141</v>
      </c>
      <c r="M46" s="513">
        <v>188.6</v>
      </c>
      <c r="N46" s="514">
        <v>104.8</v>
      </c>
      <c r="O46" s="515">
        <v>149.1</v>
      </c>
      <c r="Q46" s="157">
        <f>MIN(J45:J74)</f>
        <v>115</v>
      </c>
      <c r="R46" s="188" t="s">
        <v>619</v>
      </c>
    </row>
    <row r="47" spans="4:19" s="30" customFormat="1" ht="20.100000000000001" customHeight="1" outlineLevel="1" thickBot="1">
      <c r="D47" s="516" t="s">
        <v>228</v>
      </c>
      <c r="E47" s="517">
        <v>147.9</v>
      </c>
      <c r="F47" s="517">
        <v>746</v>
      </c>
      <c r="G47" s="518">
        <v>0</v>
      </c>
      <c r="H47" s="533"/>
      <c r="I47" s="516" t="s">
        <v>228</v>
      </c>
      <c r="J47" s="517">
        <v>115</v>
      </c>
      <c r="K47" s="518">
        <v>139</v>
      </c>
      <c r="M47" s="516">
        <v>147.9</v>
      </c>
      <c r="N47" s="517">
        <v>120.8</v>
      </c>
      <c r="O47" s="518">
        <v>130.5</v>
      </c>
    </row>
    <row r="48" spans="4:19" s="30" customFormat="1" ht="20.100000000000001" customHeight="1" outlineLevel="1">
      <c r="D48" s="513" t="s">
        <v>332</v>
      </c>
      <c r="E48" s="514">
        <v>157.9</v>
      </c>
      <c r="F48" s="514">
        <v>707</v>
      </c>
      <c r="G48" s="515">
        <v>0</v>
      </c>
      <c r="H48" s="533"/>
      <c r="I48" s="513" t="s">
        <v>332</v>
      </c>
      <c r="J48" s="514">
        <v>125</v>
      </c>
      <c r="K48" s="515">
        <v>149</v>
      </c>
      <c r="M48" s="513">
        <v>157.9</v>
      </c>
      <c r="N48" s="514">
        <v>100.7</v>
      </c>
      <c r="O48" s="515">
        <v>129.19999999999999</v>
      </c>
      <c r="Q48" s="340" t="s">
        <v>620</v>
      </c>
      <c r="R48" s="341">
        <f>MAX(E45:E74)</f>
        <v>237.3</v>
      </c>
    </row>
    <row r="49" spans="4:18" s="30" customFormat="1" ht="20.100000000000001" customHeight="1" outlineLevel="1" thickBot="1">
      <c r="D49" s="516" t="s">
        <v>333</v>
      </c>
      <c r="E49" s="517">
        <v>237.3</v>
      </c>
      <c r="F49" s="517">
        <v>559</v>
      </c>
      <c r="G49" s="518">
        <v>0</v>
      </c>
      <c r="H49" s="533"/>
      <c r="I49" s="516" t="s">
        <v>333</v>
      </c>
      <c r="J49" s="517">
        <v>152</v>
      </c>
      <c r="K49" s="518">
        <v>167</v>
      </c>
      <c r="M49" s="516">
        <v>237.3</v>
      </c>
      <c r="N49" s="517">
        <v>96.1</v>
      </c>
      <c r="O49" s="518">
        <v>175.7</v>
      </c>
      <c r="Q49" s="157" t="s">
        <v>621</v>
      </c>
      <c r="R49" s="188">
        <f>MIN(E45:E74)</f>
        <v>90.2</v>
      </c>
    </row>
    <row r="50" spans="4:18" s="30" customFormat="1" ht="20.100000000000001" customHeight="1" outlineLevel="1" thickBot="1">
      <c r="D50" s="513" t="s">
        <v>334</v>
      </c>
      <c r="E50" s="514">
        <v>195.5</v>
      </c>
      <c r="F50" s="514">
        <v>585</v>
      </c>
      <c r="G50" s="515">
        <v>0</v>
      </c>
      <c r="H50" s="533"/>
      <c r="I50" s="513" t="s">
        <v>334</v>
      </c>
      <c r="J50" s="514">
        <v>142</v>
      </c>
      <c r="K50" s="515">
        <v>157</v>
      </c>
      <c r="M50" s="513">
        <v>195.5</v>
      </c>
      <c r="N50" s="514">
        <v>88.9</v>
      </c>
      <c r="O50" s="515">
        <v>148</v>
      </c>
    </row>
    <row r="51" spans="4:18" s="30" customFormat="1" ht="20.100000000000001" customHeight="1" outlineLevel="1">
      <c r="D51" s="516" t="s">
        <v>615</v>
      </c>
      <c r="E51" s="517">
        <v>204</v>
      </c>
      <c r="F51" s="517">
        <v>646</v>
      </c>
      <c r="G51" s="518">
        <v>0</v>
      </c>
      <c r="H51" s="533"/>
      <c r="I51" s="516" t="s">
        <v>615</v>
      </c>
      <c r="J51" s="517">
        <v>142</v>
      </c>
      <c r="K51" s="518">
        <v>157</v>
      </c>
      <c r="M51" s="516">
        <v>204</v>
      </c>
      <c r="N51" s="517">
        <v>94.1</v>
      </c>
      <c r="O51" s="518">
        <v>154.9</v>
      </c>
      <c r="Q51" s="340" t="s">
        <v>622</v>
      </c>
      <c r="R51" s="341">
        <f>MAX(F45:F74)</f>
        <v>746</v>
      </c>
    </row>
    <row r="52" spans="4:18" s="30" customFormat="1" ht="20.100000000000001" customHeight="1" outlineLevel="1" thickBot="1">
      <c r="D52" s="513"/>
      <c r="E52" s="514"/>
      <c r="F52" s="514"/>
      <c r="G52" s="515"/>
      <c r="H52" s="533"/>
      <c r="I52" s="513"/>
      <c r="J52" s="514"/>
      <c r="K52" s="515"/>
      <c r="M52" s="513"/>
      <c r="N52" s="514"/>
      <c r="O52" s="515"/>
      <c r="Q52" s="157" t="s">
        <v>623</v>
      </c>
      <c r="R52" s="188">
        <f>MIN(F45:F74)</f>
        <v>559</v>
      </c>
    </row>
    <row r="53" spans="4:18" s="30" customFormat="1" ht="20.100000000000001" customHeight="1" outlineLevel="1">
      <c r="D53" s="516"/>
      <c r="E53" s="517"/>
      <c r="F53" s="517"/>
      <c r="G53" s="518"/>
      <c r="H53" s="533"/>
      <c r="I53" s="516"/>
      <c r="J53" s="517"/>
      <c r="K53" s="518"/>
      <c r="M53" s="516"/>
      <c r="N53" s="517"/>
      <c r="O53" s="518"/>
    </row>
    <row r="54" spans="4:18" s="30" customFormat="1" ht="20.100000000000001" customHeight="1" outlineLevel="1">
      <c r="D54" s="513"/>
      <c r="E54" s="514"/>
      <c r="F54" s="514"/>
      <c r="G54" s="515"/>
      <c r="H54" s="533"/>
      <c r="I54" s="513"/>
      <c r="J54" s="514"/>
      <c r="K54" s="515"/>
      <c r="M54" s="513"/>
      <c r="N54" s="514"/>
      <c r="O54" s="515"/>
    </row>
    <row r="55" spans="4:18" s="30" customFormat="1" ht="20.100000000000001" customHeight="1" outlineLevel="1">
      <c r="D55" s="516"/>
      <c r="E55" s="517"/>
      <c r="F55" s="517"/>
      <c r="G55" s="518"/>
      <c r="H55" s="533"/>
      <c r="I55" s="516"/>
      <c r="J55" s="517"/>
      <c r="K55" s="518"/>
      <c r="M55" s="516"/>
      <c r="N55" s="517"/>
      <c r="O55" s="518"/>
    </row>
    <row r="56" spans="4:18" s="30" customFormat="1" ht="20.100000000000001" customHeight="1" outlineLevel="1">
      <c r="D56" s="513"/>
      <c r="E56" s="514"/>
      <c r="F56" s="514"/>
      <c r="G56" s="515"/>
      <c r="H56" s="533"/>
      <c r="I56" s="513"/>
      <c r="J56" s="514"/>
      <c r="K56" s="515"/>
      <c r="M56" s="513"/>
      <c r="N56" s="514"/>
      <c r="O56" s="515"/>
    </row>
    <row r="57" spans="4:18" s="30" customFormat="1" ht="20.100000000000001" customHeight="1" outlineLevel="1">
      <c r="D57" s="516"/>
      <c r="E57" s="517"/>
      <c r="F57" s="517"/>
      <c r="G57" s="518"/>
      <c r="H57" s="533"/>
      <c r="I57" s="516"/>
      <c r="J57" s="517"/>
      <c r="K57" s="518"/>
      <c r="M57" s="516"/>
      <c r="N57" s="517"/>
      <c r="O57" s="518"/>
    </row>
    <row r="58" spans="4:18" s="30" customFormat="1" ht="20.100000000000001" customHeight="1" outlineLevel="1">
      <c r="D58" s="513"/>
      <c r="E58" s="514"/>
      <c r="F58" s="514"/>
      <c r="G58" s="515"/>
      <c r="H58" s="533"/>
      <c r="I58" s="513"/>
      <c r="J58" s="514"/>
      <c r="K58" s="515"/>
      <c r="M58" s="513"/>
      <c r="N58" s="514"/>
      <c r="O58" s="515"/>
    </row>
    <row r="59" spans="4:18" s="30" customFormat="1" ht="20.100000000000001" customHeight="1" outlineLevel="1">
      <c r="D59" s="516"/>
      <c r="E59" s="517"/>
      <c r="F59" s="517"/>
      <c r="G59" s="518"/>
      <c r="H59" s="533"/>
      <c r="I59" s="516"/>
      <c r="J59" s="517"/>
      <c r="K59" s="518"/>
      <c r="M59" s="516"/>
      <c r="N59" s="517"/>
      <c r="O59" s="518"/>
    </row>
    <row r="60" spans="4:18" s="30" customFormat="1" ht="20.100000000000001" customHeight="1" outlineLevel="1">
      <c r="D60" s="513"/>
      <c r="E60" s="514"/>
      <c r="F60" s="514"/>
      <c r="G60" s="515"/>
      <c r="H60" s="533"/>
      <c r="I60" s="513"/>
      <c r="J60" s="514"/>
      <c r="K60" s="515"/>
      <c r="M60" s="513"/>
      <c r="N60" s="514"/>
      <c r="O60" s="515"/>
    </row>
    <row r="61" spans="4:18" s="30" customFormat="1" ht="20.100000000000001" customHeight="1" outlineLevel="1">
      <c r="D61" s="516"/>
      <c r="E61" s="517"/>
      <c r="F61" s="517"/>
      <c r="G61" s="518"/>
      <c r="H61" s="533"/>
      <c r="I61" s="516"/>
      <c r="J61" s="517"/>
      <c r="K61" s="518"/>
      <c r="M61" s="516"/>
      <c r="N61" s="517"/>
      <c r="O61" s="518"/>
    </row>
    <row r="62" spans="4:18" s="30" customFormat="1" ht="20.100000000000001" customHeight="1" outlineLevel="1">
      <c r="D62" s="513"/>
      <c r="E62" s="514"/>
      <c r="F62" s="514"/>
      <c r="G62" s="515"/>
      <c r="H62" s="533"/>
      <c r="I62" s="513"/>
      <c r="J62" s="514"/>
      <c r="K62" s="515"/>
      <c r="M62" s="513"/>
      <c r="N62" s="514"/>
      <c r="O62" s="515"/>
    </row>
    <row r="63" spans="4:18" s="30" customFormat="1" ht="20.100000000000001" customHeight="1" outlineLevel="1">
      <c r="D63" s="516"/>
      <c r="E63" s="517"/>
      <c r="F63" s="517"/>
      <c r="G63" s="518"/>
      <c r="H63" s="533"/>
      <c r="I63" s="516"/>
      <c r="J63" s="517"/>
      <c r="K63" s="518"/>
      <c r="M63" s="516"/>
      <c r="N63" s="517"/>
      <c r="O63" s="518"/>
    </row>
    <row r="64" spans="4:18" s="30" customFormat="1" ht="20.100000000000001" customHeight="1" outlineLevel="1">
      <c r="D64" s="513"/>
      <c r="E64" s="514"/>
      <c r="F64" s="514"/>
      <c r="G64" s="515"/>
      <c r="H64" s="533"/>
      <c r="I64" s="513"/>
      <c r="J64" s="514"/>
      <c r="K64" s="515"/>
      <c r="M64" s="513"/>
      <c r="N64" s="514"/>
      <c r="O64" s="515"/>
    </row>
    <row r="65" spans="4:33" s="30" customFormat="1" ht="20.100000000000001" customHeight="1" outlineLevel="1">
      <c r="D65" s="516"/>
      <c r="E65" s="517"/>
      <c r="F65" s="517"/>
      <c r="G65" s="518"/>
      <c r="H65" s="533"/>
      <c r="I65" s="516"/>
      <c r="J65" s="517"/>
      <c r="K65" s="518"/>
      <c r="M65" s="516"/>
      <c r="N65" s="517"/>
      <c r="O65" s="518"/>
    </row>
    <row r="66" spans="4:33" s="30" customFormat="1" ht="20.100000000000001" customHeight="1" outlineLevel="1">
      <c r="D66" s="513"/>
      <c r="E66" s="514"/>
      <c r="F66" s="514"/>
      <c r="G66" s="515"/>
      <c r="H66" s="533"/>
      <c r="I66" s="513"/>
      <c r="J66" s="514"/>
      <c r="K66" s="515"/>
      <c r="M66" s="513"/>
      <c r="N66" s="514"/>
      <c r="O66" s="515"/>
    </row>
    <row r="67" spans="4:33" s="30" customFormat="1" ht="20.100000000000001" customHeight="1" outlineLevel="1">
      <c r="D67" s="516"/>
      <c r="E67" s="517"/>
      <c r="F67" s="517"/>
      <c r="G67" s="518"/>
      <c r="H67" s="533"/>
      <c r="I67" s="516"/>
      <c r="J67" s="517"/>
      <c r="K67" s="518"/>
      <c r="M67" s="516"/>
      <c r="N67" s="517"/>
      <c r="O67" s="518"/>
    </row>
    <row r="68" spans="4:33" s="30" customFormat="1" ht="20.100000000000001" customHeight="1" outlineLevel="1">
      <c r="D68" s="513"/>
      <c r="E68" s="514"/>
      <c r="F68" s="514"/>
      <c r="G68" s="515"/>
      <c r="H68" s="533"/>
      <c r="I68" s="513"/>
      <c r="J68" s="514"/>
      <c r="K68" s="515"/>
      <c r="M68" s="513"/>
      <c r="N68" s="514"/>
      <c r="O68" s="515"/>
    </row>
    <row r="69" spans="4:33" s="30" customFormat="1" ht="20.100000000000001" customHeight="1" outlineLevel="1">
      <c r="D69" s="516"/>
      <c r="E69" s="517"/>
      <c r="F69" s="517"/>
      <c r="G69" s="518"/>
      <c r="H69" s="533"/>
      <c r="I69" s="516"/>
      <c r="J69" s="517"/>
      <c r="K69" s="518"/>
      <c r="M69" s="516"/>
      <c r="N69" s="517"/>
      <c r="O69" s="518"/>
    </row>
    <row r="70" spans="4:33" s="30" customFormat="1" ht="20.100000000000001" customHeight="1" outlineLevel="1">
      <c r="D70" s="513"/>
      <c r="E70" s="514"/>
      <c r="F70" s="514"/>
      <c r="G70" s="515"/>
      <c r="H70" s="533"/>
      <c r="I70" s="513"/>
      <c r="J70" s="514"/>
      <c r="K70" s="515"/>
      <c r="M70" s="513"/>
      <c r="N70" s="514"/>
      <c r="O70" s="515"/>
    </row>
    <row r="71" spans="4:33" s="30" customFormat="1" ht="19.5" customHeight="1" outlineLevel="1">
      <c r="D71" s="516"/>
      <c r="E71" s="517"/>
      <c r="F71" s="517"/>
      <c r="G71" s="518"/>
      <c r="H71" s="533"/>
      <c r="I71" s="516"/>
      <c r="J71" s="517"/>
      <c r="K71" s="518"/>
      <c r="M71" s="516"/>
      <c r="N71" s="517"/>
      <c r="O71" s="518"/>
    </row>
    <row r="72" spans="4:33" s="30" customFormat="1" ht="19.5" customHeight="1" outlineLevel="1">
      <c r="D72" s="513"/>
      <c r="E72" s="514"/>
      <c r="F72" s="514"/>
      <c r="G72" s="515"/>
      <c r="H72" s="533"/>
      <c r="I72" s="513"/>
      <c r="J72" s="514"/>
      <c r="K72" s="515"/>
      <c r="M72" s="513"/>
      <c r="N72" s="514"/>
      <c r="O72" s="515"/>
    </row>
    <row r="73" spans="4:33" s="30" customFormat="1" ht="19.5" customHeight="1" outlineLevel="1">
      <c r="D73" s="522"/>
      <c r="E73" s="523"/>
      <c r="F73" s="523"/>
      <c r="G73" s="536"/>
      <c r="H73" s="533"/>
      <c r="I73" s="522"/>
      <c r="J73" s="523"/>
      <c r="K73" s="536"/>
      <c r="M73" s="522"/>
      <c r="N73" s="523"/>
      <c r="O73" s="536"/>
    </row>
    <row r="74" spans="4:33" s="30" customFormat="1" ht="19.5" customHeight="1" outlineLevel="1" thickBot="1">
      <c r="D74" s="537"/>
      <c r="E74" s="538"/>
      <c r="F74" s="538"/>
      <c r="G74" s="539"/>
      <c r="I74" s="537"/>
      <c r="J74" s="538"/>
      <c r="K74" s="539"/>
      <c r="M74" s="537"/>
      <c r="N74" s="538"/>
      <c r="O74" s="539"/>
    </row>
    <row r="75" spans="4:33" ht="20.100000000000001" customHeight="1">
      <c r="D75" s="148"/>
      <c r="L75" s="195"/>
    </row>
    <row r="76" spans="4:33" ht="20.100000000000001" customHeight="1">
      <c r="D76" s="148"/>
    </row>
    <row r="77" spans="4:33" ht="20.100000000000001" customHeight="1" thickBot="1">
      <c r="D77" s="149" t="s">
        <v>249</v>
      </c>
    </row>
    <row r="78" spans="4:33" s="30" customFormat="1" ht="36" customHeight="1">
      <c r="D78" s="619" t="s">
        <v>226</v>
      </c>
      <c r="E78" s="620" t="s">
        <v>227</v>
      </c>
      <c r="F78" s="620" t="s">
        <v>228</v>
      </c>
      <c r="G78" s="620" t="s">
        <v>332</v>
      </c>
      <c r="H78" s="620" t="s">
        <v>333</v>
      </c>
      <c r="I78" s="620" t="s">
        <v>334</v>
      </c>
      <c r="J78" s="620" t="s">
        <v>615</v>
      </c>
      <c r="K78" s="620"/>
      <c r="L78" s="620"/>
      <c r="M78" s="620"/>
      <c r="N78" s="620"/>
      <c r="O78" s="620"/>
      <c r="P78" s="620"/>
      <c r="Q78" s="620"/>
      <c r="R78" s="620"/>
      <c r="S78" s="620"/>
      <c r="T78" s="620"/>
      <c r="U78" s="620"/>
      <c r="V78" s="620"/>
      <c r="W78" s="620"/>
      <c r="X78" s="620"/>
      <c r="Y78" s="620"/>
      <c r="Z78" s="620"/>
      <c r="AA78" s="620"/>
      <c r="AB78" s="620"/>
      <c r="AC78" s="620"/>
      <c r="AD78" s="620"/>
      <c r="AE78" s="620"/>
      <c r="AF78" s="620"/>
      <c r="AG78" s="621"/>
    </row>
    <row r="79" spans="4:33" s="177" customFormat="1" ht="36" customHeight="1" thickBot="1">
      <c r="D79" s="178">
        <v>80</v>
      </c>
      <c r="E79" s="179">
        <v>150</v>
      </c>
      <c r="F79" s="179">
        <v>250</v>
      </c>
      <c r="G79" s="175">
        <v>150</v>
      </c>
      <c r="H79" s="175">
        <v>350</v>
      </c>
      <c r="I79" s="175">
        <v>300</v>
      </c>
      <c r="J79" s="175">
        <v>300</v>
      </c>
      <c r="K79" s="175"/>
      <c r="L79" s="175"/>
      <c r="M79" s="175"/>
      <c r="N79" s="175"/>
      <c r="O79" s="175"/>
      <c r="P79" s="175"/>
      <c r="Q79" s="175"/>
      <c r="R79" s="175"/>
      <c r="S79" s="175"/>
      <c r="T79" s="175"/>
      <c r="U79" s="175"/>
      <c r="V79" s="175"/>
      <c r="W79" s="175"/>
      <c r="X79" s="175"/>
      <c r="Y79" s="175"/>
      <c r="Z79" s="175"/>
      <c r="AA79" s="175"/>
      <c r="AB79" s="175"/>
      <c r="AC79" s="175"/>
      <c r="AD79" s="175"/>
      <c r="AE79" s="175"/>
      <c r="AF79" s="175"/>
      <c r="AG79" s="176"/>
    </row>
    <row r="80" spans="4:33" ht="19.5" customHeight="1">
      <c r="D80" s="148"/>
    </row>
    <row r="81" spans="4:33" ht="20.100000000000001" customHeight="1">
      <c r="D81" s="148"/>
    </row>
    <row r="82" spans="4:33" ht="22.5" customHeight="1" thickBot="1">
      <c r="D82" s="149" t="s">
        <v>261</v>
      </c>
    </row>
    <row r="83" spans="4:33" s="30" customFormat="1" ht="36" customHeight="1">
      <c r="D83" s="619" t="s">
        <v>226</v>
      </c>
      <c r="E83" s="620" t="s">
        <v>227</v>
      </c>
      <c r="F83" s="620" t="s">
        <v>228</v>
      </c>
      <c r="G83" s="620" t="s">
        <v>332</v>
      </c>
      <c r="H83" s="620" t="s">
        <v>333</v>
      </c>
      <c r="I83" s="620" t="s">
        <v>334</v>
      </c>
      <c r="J83" s="620" t="s">
        <v>615</v>
      </c>
      <c r="K83" s="620"/>
      <c r="L83" s="620"/>
      <c r="M83" s="620"/>
      <c r="N83" s="620"/>
      <c r="O83" s="620"/>
      <c r="P83" s="620"/>
      <c r="Q83" s="620"/>
      <c r="R83" s="620"/>
      <c r="S83" s="620"/>
      <c r="T83" s="620"/>
      <c r="U83" s="620"/>
      <c r="V83" s="620"/>
      <c r="W83" s="620"/>
      <c r="X83" s="620"/>
      <c r="Y83" s="620"/>
      <c r="Z83" s="620"/>
      <c r="AA83" s="620"/>
      <c r="AB83" s="620"/>
      <c r="AC83" s="620"/>
      <c r="AD83" s="620"/>
      <c r="AE83" s="620"/>
      <c r="AF83" s="620"/>
      <c r="AG83" s="621"/>
    </row>
    <row r="84" spans="4:33" s="177" customFormat="1" ht="36" customHeight="1" thickBot="1">
      <c r="D84" s="178">
        <v>100</v>
      </c>
      <c r="E84" s="179">
        <v>60</v>
      </c>
      <c r="F84" s="179">
        <v>150</v>
      </c>
      <c r="G84" s="175">
        <v>80</v>
      </c>
      <c r="H84" s="175">
        <v>20</v>
      </c>
      <c r="I84" s="175">
        <v>20</v>
      </c>
      <c r="J84" s="175">
        <v>20</v>
      </c>
      <c r="K84" s="175"/>
      <c r="L84" s="175"/>
      <c r="M84" s="175"/>
      <c r="N84" s="175"/>
      <c r="O84" s="175"/>
      <c r="P84" s="175"/>
      <c r="Q84" s="175"/>
      <c r="R84" s="175"/>
      <c r="S84" s="175"/>
      <c r="T84" s="175"/>
      <c r="U84" s="175"/>
      <c r="V84" s="175"/>
      <c r="W84" s="175"/>
      <c r="X84" s="175"/>
      <c r="Y84" s="175"/>
      <c r="Z84" s="175"/>
      <c r="AA84" s="175"/>
      <c r="AB84" s="175"/>
      <c r="AC84" s="175"/>
      <c r="AD84" s="175"/>
      <c r="AE84" s="175"/>
      <c r="AF84" s="175"/>
      <c r="AG84" s="176"/>
    </row>
    <row r="85" spans="4:33" ht="20.100000000000001" customHeight="1">
      <c r="D85" s="148"/>
    </row>
    <row r="86" spans="4:33" ht="20.100000000000001" customHeight="1">
      <c r="D86" s="148"/>
    </row>
    <row r="87" spans="4:33" ht="20.100000000000001" customHeight="1" thickBot="1">
      <c r="D87" s="149" t="s">
        <v>729</v>
      </c>
    </row>
    <row r="88" spans="4:33" ht="36" customHeight="1">
      <c r="D88" s="619" t="s">
        <v>226</v>
      </c>
      <c r="E88" s="620" t="s">
        <v>227</v>
      </c>
      <c r="F88" s="620" t="s">
        <v>228</v>
      </c>
      <c r="G88" s="620" t="s">
        <v>332</v>
      </c>
      <c r="H88" s="620" t="s">
        <v>333</v>
      </c>
      <c r="I88" s="620" t="s">
        <v>334</v>
      </c>
      <c r="J88" s="620" t="s">
        <v>615</v>
      </c>
      <c r="K88" s="620"/>
      <c r="L88" s="620"/>
      <c r="M88" s="620"/>
      <c r="N88" s="620"/>
      <c r="O88" s="620"/>
      <c r="P88" s="620"/>
      <c r="Q88" s="620"/>
      <c r="R88" s="620"/>
      <c r="S88" s="620"/>
      <c r="T88" s="620"/>
      <c r="U88" s="620"/>
      <c r="V88" s="620"/>
      <c r="W88" s="620"/>
      <c r="X88" s="620"/>
      <c r="Y88" s="620"/>
      <c r="Z88" s="620"/>
      <c r="AA88" s="620"/>
      <c r="AB88" s="620"/>
      <c r="AC88" s="620"/>
      <c r="AD88" s="620"/>
      <c r="AE88" s="620"/>
      <c r="AF88" s="620"/>
      <c r="AG88" s="621"/>
    </row>
    <row r="89" spans="4:33" ht="36" customHeight="1" thickBot="1">
      <c r="D89" s="178">
        <v>200</v>
      </c>
      <c r="E89" s="179">
        <v>200</v>
      </c>
      <c r="F89" s="179">
        <v>200</v>
      </c>
      <c r="G89" s="175">
        <v>200</v>
      </c>
      <c r="H89" s="175">
        <v>1700</v>
      </c>
      <c r="I89" s="175">
        <v>1700</v>
      </c>
      <c r="J89" s="175">
        <v>1700</v>
      </c>
      <c r="K89" s="175"/>
      <c r="L89" s="175"/>
      <c r="M89" s="175"/>
      <c r="N89" s="175"/>
      <c r="O89" s="175"/>
      <c r="P89" s="175"/>
      <c r="Q89" s="501"/>
      <c r="R89" s="501"/>
      <c r="S89" s="501"/>
      <c r="T89" s="501"/>
      <c r="U89" s="501"/>
      <c r="V89" s="501"/>
      <c r="W89" s="501"/>
      <c r="X89" s="501"/>
      <c r="Y89" s="501"/>
      <c r="Z89" s="501"/>
      <c r="AA89" s="501"/>
      <c r="AB89" s="501"/>
      <c r="AC89" s="501"/>
      <c r="AD89" s="501"/>
      <c r="AE89" s="501"/>
      <c r="AF89" s="501"/>
      <c r="AG89" s="502"/>
    </row>
    <row r="92" spans="4:33" ht="20.100000000000001" customHeight="1" thickBot="1">
      <c r="D92" s="149" t="s">
        <v>220</v>
      </c>
      <c r="E92" s="463">
        <f>MIN(D94:AG94)</f>
        <v>1.2</v>
      </c>
      <c r="F92" s="463">
        <f>MAX(D94:AG94)</f>
        <v>6.3</v>
      </c>
    </row>
    <row r="93" spans="4:33" ht="36" customHeight="1">
      <c r="D93" s="619" t="s">
        <v>226</v>
      </c>
      <c r="E93" s="620" t="s">
        <v>227</v>
      </c>
      <c r="F93" s="620" t="s">
        <v>228</v>
      </c>
      <c r="G93" s="620" t="s">
        <v>332</v>
      </c>
      <c r="H93" s="620" t="s">
        <v>333</v>
      </c>
      <c r="I93" s="620" t="s">
        <v>334</v>
      </c>
      <c r="J93" s="620" t="s">
        <v>615</v>
      </c>
      <c r="K93" s="620"/>
      <c r="L93" s="620"/>
      <c r="M93" s="620"/>
      <c r="N93" s="620"/>
      <c r="O93" s="620"/>
      <c r="P93" s="620"/>
      <c r="Q93" s="620"/>
      <c r="R93" s="620"/>
      <c r="S93" s="620"/>
      <c r="T93" s="620"/>
      <c r="U93" s="620"/>
      <c r="V93" s="620"/>
      <c r="W93" s="620"/>
      <c r="X93" s="620"/>
      <c r="Y93" s="620"/>
      <c r="Z93" s="620"/>
      <c r="AA93" s="620"/>
      <c r="AB93" s="620"/>
      <c r="AC93" s="620"/>
      <c r="AD93" s="620"/>
      <c r="AE93" s="620"/>
      <c r="AF93" s="620"/>
      <c r="AG93" s="621"/>
    </row>
    <row r="94" spans="4:33" ht="36" customHeight="1" thickBot="1">
      <c r="D94" s="178">
        <v>1.2</v>
      </c>
      <c r="E94" s="179">
        <v>6.3</v>
      </c>
      <c r="F94" s="179">
        <v>4.5999999999999996</v>
      </c>
      <c r="G94" s="175">
        <v>3.5</v>
      </c>
      <c r="H94" s="175">
        <v>3</v>
      </c>
      <c r="I94" s="175">
        <v>4.7</v>
      </c>
      <c r="J94" s="175">
        <v>5</v>
      </c>
      <c r="K94" s="175"/>
      <c r="L94" s="175"/>
      <c r="M94" s="175"/>
      <c r="N94" s="175"/>
      <c r="O94" s="175"/>
      <c r="P94" s="175"/>
      <c r="Q94" s="175"/>
      <c r="R94" s="175"/>
      <c r="S94" s="175"/>
      <c r="T94" s="175"/>
      <c r="U94" s="175"/>
      <c r="V94" s="175"/>
      <c r="W94" s="175"/>
      <c r="X94" s="175"/>
      <c r="Y94" s="175"/>
      <c r="Z94" s="175"/>
      <c r="AA94" s="175"/>
      <c r="AB94" s="175"/>
      <c r="AC94" s="175"/>
      <c r="AD94" s="175"/>
      <c r="AE94" s="175"/>
      <c r="AF94" s="175"/>
      <c r="AG94" s="176"/>
    </row>
    <row r="97" spans="4:33" ht="20.100000000000001" customHeight="1" thickBot="1">
      <c r="D97" s="149" t="s">
        <v>221</v>
      </c>
      <c r="E97" s="463">
        <f>MIN(D99:AG99)</f>
        <v>9.1</v>
      </c>
      <c r="F97" s="463">
        <f>MAX(D99:AG99)</f>
        <v>54.8</v>
      </c>
      <c r="G97" s="474" t="s">
        <v>618</v>
      </c>
    </row>
    <row r="98" spans="4:33" ht="36" customHeight="1">
      <c r="D98" s="619" t="s">
        <v>226</v>
      </c>
      <c r="E98" s="620" t="s">
        <v>227</v>
      </c>
      <c r="F98" s="620" t="s">
        <v>228</v>
      </c>
      <c r="G98" s="620" t="s">
        <v>332</v>
      </c>
      <c r="H98" s="620" t="s">
        <v>333</v>
      </c>
      <c r="I98" s="620" t="s">
        <v>334</v>
      </c>
      <c r="J98" s="620" t="s">
        <v>615</v>
      </c>
      <c r="K98" s="620"/>
      <c r="L98" s="620"/>
      <c r="M98" s="620"/>
      <c r="N98" s="620"/>
      <c r="O98" s="620"/>
      <c r="P98" s="620"/>
      <c r="Q98" s="620"/>
      <c r="R98" s="620"/>
      <c r="S98" s="620"/>
      <c r="T98" s="620"/>
      <c r="U98" s="620"/>
      <c r="V98" s="620"/>
      <c r="W98" s="620"/>
      <c r="X98" s="620"/>
      <c r="Y98" s="620"/>
      <c r="Z98" s="620"/>
      <c r="AA98" s="620"/>
      <c r="AB98" s="620"/>
      <c r="AC98" s="620"/>
      <c r="AD98" s="620"/>
      <c r="AE98" s="620"/>
      <c r="AF98" s="620"/>
      <c r="AG98" s="621"/>
    </row>
    <row r="99" spans="4:33" ht="36" customHeight="1" thickBot="1">
      <c r="D99" s="178">
        <v>38.4</v>
      </c>
      <c r="E99" s="179">
        <v>45.2</v>
      </c>
      <c r="F99" s="179">
        <v>54.8</v>
      </c>
      <c r="G99" s="175">
        <v>45.3</v>
      </c>
      <c r="H99" s="175">
        <v>9.1</v>
      </c>
      <c r="I99" s="175">
        <v>9.5399999999999991</v>
      </c>
      <c r="J99" s="175">
        <v>9.6999999999999993</v>
      </c>
      <c r="K99" s="175"/>
      <c r="L99" s="175"/>
      <c r="M99" s="175"/>
      <c r="N99" s="175"/>
      <c r="O99" s="175"/>
      <c r="P99" s="175"/>
      <c r="Q99" s="501"/>
      <c r="R99" s="501"/>
      <c r="S99" s="501"/>
      <c r="T99" s="501"/>
      <c r="U99" s="501"/>
      <c r="V99" s="500"/>
      <c r="W99" s="501"/>
      <c r="X99" s="501"/>
      <c r="Y99" s="501"/>
      <c r="Z99" s="501"/>
      <c r="AA99" s="501"/>
      <c r="AB99" s="501"/>
      <c r="AC99" s="501"/>
      <c r="AD99" s="501"/>
      <c r="AE99" s="501"/>
      <c r="AF99" s="501"/>
      <c r="AG99" s="502"/>
    </row>
    <row r="102" spans="4:33" ht="20.100000000000001" customHeight="1" thickBot="1">
      <c r="D102" s="149" t="s">
        <v>730</v>
      </c>
    </row>
    <row r="103" spans="4:33" ht="36" customHeight="1">
      <c r="D103" s="619" t="s">
        <v>226</v>
      </c>
      <c r="E103" s="620" t="s">
        <v>227</v>
      </c>
      <c r="F103" s="620" t="s">
        <v>228</v>
      </c>
      <c r="G103" s="620" t="s">
        <v>332</v>
      </c>
      <c r="H103" s="620" t="s">
        <v>333</v>
      </c>
      <c r="I103" s="620" t="s">
        <v>334</v>
      </c>
      <c r="J103" s="620" t="s">
        <v>615</v>
      </c>
      <c r="K103" s="620"/>
      <c r="L103" s="620"/>
      <c r="M103" s="620"/>
      <c r="N103" s="620"/>
      <c r="O103" s="620"/>
      <c r="P103" s="620"/>
      <c r="Q103" s="620"/>
      <c r="R103" s="620"/>
      <c r="S103" s="620"/>
      <c r="T103" s="620"/>
      <c r="U103" s="620"/>
      <c r="V103" s="620"/>
      <c r="W103" s="620"/>
      <c r="X103" s="620"/>
      <c r="Y103" s="620"/>
      <c r="Z103" s="620"/>
      <c r="AA103" s="620"/>
      <c r="AB103" s="620"/>
      <c r="AC103" s="620"/>
      <c r="AD103" s="620"/>
      <c r="AE103" s="620"/>
      <c r="AF103" s="620"/>
      <c r="AG103" s="621"/>
    </row>
    <row r="104" spans="4:33" ht="36" customHeight="1" thickBot="1">
      <c r="D104" s="178">
        <v>12</v>
      </c>
      <c r="E104" s="179">
        <v>12</v>
      </c>
      <c r="F104" s="179">
        <v>12</v>
      </c>
      <c r="G104" s="175">
        <v>12</v>
      </c>
      <c r="H104" s="175">
        <v>16</v>
      </c>
      <c r="I104" s="175">
        <v>16</v>
      </c>
      <c r="J104" s="175">
        <v>16</v>
      </c>
      <c r="K104" s="175"/>
      <c r="L104" s="175"/>
      <c r="M104" s="175"/>
      <c r="N104" s="175"/>
      <c r="O104" s="175"/>
      <c r="P104" s="175"/>
      <c r="Q104" s="501"/>
      <c r="R104" s="501"/>
      <c r="S104" s="501"/>
      <c r="T104" s="501"/>
      <c r="U104" s="501"/>
      <c r="V104" s="501"/>
      <c r="W104" s="501"/>
      <c r="X104" s="501"/>
      <c r="Y104" s="501"/>
      <c r="Z104" s="501"/>
      <c r="AA104" s="501"/>
      <c r="AB104" s="501"/>
      <c r="AC104" s="501"/>
      <c r="AD104" s="501"/>
      <c r="AE104" s="501"/>
      <c r="AF104" s="501"/>
      <c r="AG104" s="502"/>
    </row>
    <row r="107" spans="4:33" ht="20.100000000000001" customHeight="1" thickBot="1">
      <c r="D107" s="149" t="s">
        <v>263</v>
      </c>
    </row>
    <row r="108" spans="4:33" s="30" customFormat="1" ht="36" customHeight="1">
      <c r="D108" s="619" t="s">
        <v>226</v>
      </c>
      <c r="E108" s="620" t="s">
        <v>227</v>
      </c>
      <c r="F108" s="620" t="s">
        <v>228</v>
      </c>
      <c r="G108" s="620" t="s">
        <v>332</v>
      </c>
      <c r="H108" s="620" t="s">
        <v>333</v>
      </c>
      <c r="I108" s="620" t="s">
        <v>334</v>
      </c>
      <c r="J108" s="620" t="s">
        <v>615</v>
      </c>
      <c r="K108" s="620"/>
      <c r="L108" s="620"/>
      <c r="M108" s="620"/>
      <c r="N108" s="620"/>
      <c r="O108" s="620"/>
      <c r="P108" s="620"/>
      <c r="Q108" s="620"/>
      <c r="R108" s="620"/>
      <c r="S108" s="620"/>
      <c r="T108" s="620"/>
      <c r="U108" s="620"/>
      <c r="V108" s="620"/>
      <c r="W108" s="620"/>
      <c r="X108" s="620"/>
      <c r="Y108" s="620"/>
      <c r="Z108" s="620"/>
      <c r="AA108" s="620"/>
      <c r="AB108" s="620"/>
      <c r="AC108" s="620"/>
      <c r="AD108" s="620"/>
      <c r="AE108" s="620"/>
      <c r="AF108" s="620"/>
      <c r="AG108" s="621"/>
    </row>
    <row r="109" spans="4:33" s="177" customFormat="1" ht="36" customHeight="1" thickBot="1">
      <c r="D109" s="178">
        <v>15</v>
      </c>
      <c r="E109" s="179">
        <v>30</v>
      </c>
      <c r="F109" s="179">
        <v>15</v>
      </c>
      <c r="G109" s="175">
        <v>30</v>
      </c>
      <c r="H109" s="175">
        <v>30</v>
      </c>
      <c r="I109" s="175">
        <v>30</v>
      </c>
      <c r="J109" s="175">
        <v>30</v>
      </c>
      <c r="K109" s="175"/>
      <c r="L109" s="175"/>
      <c r="M109" s="175"/>
      <c r="N109" s="175"/>
      <c r="O109" s="175"/>
      <c r="P109" s="175"/>
      <c r="Q109" s="175"/>
      <c r="R109" s="175"/>
      <c r="S109" s="175"/>
      <c r="T109" s="175"/>
      <c r="U109" s="175"/>
      <c r="V109" s="175"/>
      <c r="W109" s="175"/>
      <c r="X109" s="175"/>
      <c r="Y109" s="175"/>
      <c r="Z109" s="175"/>
      <c r="AA109" s="175"/>
      <c r="AB109" s="175"/>
      <c r="AC109" s="175"/>
      <c r="AD109" s="175"/>
      <c r="AE109" s="175"/>
      <c r="AF109" s="175"/>
      <c r="AG109" s="176"/>
    </row>
    <row r="112" spans="4:33" ht="20.100000000000001" customHeight="1" thickBot="1">
      <c r="D112" s="149" t="s">
        <v>613</v>
      </c>
    </row>
    <row r="113" spans="4:33" ht="36" customHeight="1">
      <c r="D113" s="619" t="s">
        <v>226</v>
      </c>
      <c r="E113" s="620" t="s">
        <v>227</v>
      </c>
      <c r="F113" s="620" t="s">
        <v>228</v>
      </c>
      <c r="G113" s="620" t="s">
        <v>332</v>
      </c>
      <c r="H113" s="620" t="s">
        <v>333</v>
      </c>
      <c r="I113" s="620" t="s">
        <v>334</v>
      </c>
      <c r="J113" s="620" t="s">
        <v>615</v>
      </c>
      <c r="K113" s="620"/>
      <c r="L113" s="620"/>
      <c r="M113" s="620"/>
      <c r="N113" s="620"/>
      <c r="O113" s="620"/>
      <c r="P113" s="620"/>
      <c r="Q113" s="620"/>
      <c r="R113" s="620"/>
      <c r="S113" s="620"/>
      <c r="T113" s="620"/>
      <c r="U113" s="620"/>
      <c r="V113" s="620"/>
      <c r="W113" s="620"/>
      <c r="X113" s="620"/>
      <c r="Y113" s="620"/>
      <c r="Z113" s="620"/>
      <c r="AA113" s="620"/>
      <c r="AB113" s="620"/>
      <c r="AC113" s="620"/>
      <c r="AD113" s="620"/>
      <c r="AE113" s="620"/>
      <c r="AF113" s="620"/>
      <c r="AG113" s="621"/>
    </row>
    <row r="114" spans="4:33" ht="36" customHeight="1" thickBot="1">
      <c r="D114" s="178">
        <v>65</v>
      </c>
      <c r="E114" s="179">
        <v>50</v>
      </c>
      <c r="F114" s="179">
        <v>120</v>
      </c>
      <c r="G114" s="175">
        <v>80</v>
      </c>
      <c r="H114" s="175">
        <v>15</v>
      </c>
      <c r="I114" s="175">
        <v>16</v>
      </c>
      <c r="J114" s="175">
        <v>15</v>
      </c>
      <c r="K114" s="175"/>
      <c r="L114" s="175"/>
      <c r="M114" s="175"/>
      <c r="N114" s="175"/>
      <c r="O114" s="175"/>
      <c r="P114" s="175"/>
      <c r="Q114" s="501"/>
      <c r="R114" s="501"/>
      <c r="S114" s="501"/>
      <c r="T114" s="501"/>
      <c r="U114" s="501"/>
      <c r="V114" s="501"/>
      <c r="W114" s="501"/>
      <c r="X114" s="501"/>
      <c r="Y114" s="501"/>
      <c r="Z114" s="501"/>
      <c r="AA114" s="501"/>
      <c r="AB114" s="501"/>
      <c r="AC114" s="501"/>
      <c r="AD114" s="501"/>
      <c r="AE114" s="501"/>
      <c r="AF114" s="501"/>
      <c r="AG114" s="502"/>
    </row>
    <row r="117" spans="4:33" ht="20.100000000000001" customHeight="1" thickBot="1">
      <c r="D117" s="149" t="s">
        <v>612</v>
      </c>
    </row>
    <row r="118" spans="4:33" ht="36" customHeight="1">
      <c r="D118" s="619" t="s">
        <v>226</v>
      </c>
      <c r="E118" s="620" t="s">
        <v>227</v>
      </c>
      <c r="F118" s="620" t="s">
        <v>228</v>
      </c>
      <c r="G118" s="620" t="s">
        <v>332</v>
      </c>
      <c r="H118" s="620" t="s">
        <v>333</v>
      </c>
      <c r="I118" s="620" t="s">
        <v>334</v>
      </c>
      <c r="J118" s="620" t="s">
        <v>615</v>
      </c>
      <c r="K118" s="620"/>
      <c r="L118" s="620"/>
      <c r="M118" s="620"/>
      <c r="N118" s="620"/>
      <c r="O118" s="620"/>
      <c r="P118" s="620"/>
      <c r="Q118" s="620"/>
      <c r="R118" s="620"/>
      <c r="S118" s="620"/>
      <c r="T118" s="620"/>
      <c r="U118" s="620"/>
      <c r="V118" s="620"/>
      <c r="W118" s="620"/>
      <c r="X118" s="620"/>
      <c r="Y118" s="620"/>
      <c r="Z118" s="620"/>
      <c r="AA118" s="620"/>
      <c r="AB118" s="620"/>
      <c r="AC118" s="620"/>
      <c r="AD118" s="620"/>
      <c r="AE118" s="620"/>
      <c r="AF118" s="620"/>
      <c r="AG118" s="621"/>
    </row>
    <row r="119" spans="4:33" ht="36" customHeight="1" thickBot="1">
      <c r="D119" s="178">
        <v>50</v>
      </c>
      <c r="E119" s="179">
        <v>50</v>
      </c>
      <c r="F119" s="179">
        <v>50</v>
      </c>
      <c r="G119" s="175">
        <v>80</v>
      </c>
      <c r="H119" s="175">
        <v>80</v>
      </c>
      <c r="I119" s="175">
        <v>80</v>
      </c>
      <c r="J119" s="175">
        <v>80</v>
      </c>
      <c r="K119" s="175"/>
      <c r="L119" s="175"/>
      <c r="M119" s="175"/>
      <c r="N119" s="175"/>
      <c r="O119" s="175"/>
      <c r="P119" s="175"/>
      <c r="Q119" s="501"/>
      <c r="R119" s="501"/>
      <c r="S119" s="501"/>
      <c r="T119" s="501"/>
      <c r="U119" s="501"/>
      <c r="V119" s="501"/>
      <c r="W119" s="501"/>
      <c r="X119" s="501"/>
      <c r="Y119" s="501"/>
      <c r="Z119" s="501"/>
      <c r="AA119" s="501"/>
      <c r="AB119" s="501"/>
      <c r="AC119" s="501"/>
      <c r="AD119" s="501"/>
      <c r="AE119" s="501"/>
      <c r="AF119" s="501"/>
      <c r="AG119" s="502"/>
    </row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64195" r:id="rId4" name="CheckBox1">
          <controlPr defaultSize="0" autoLine="0" r:id="rId5">
            <anchor moveWithCells="1">
              <from>
                <xdr:col>5</xdr:col>
                <xdr:colOff>828675</xdr:colOff>
                <xdr:row>0</xdr:row>
                <xdr:rowOff>142875</xdr:rowOff>
              </from>
              <to>
                <xdr:col>7</xdr:col>
                <xdr:colOff>295275</xdr:colOff>
                <xdr:row>1</xdr:row>
                <xdr:rowOff>228600</xdr:rowOff>
              </to>
            </anchor>
          </controlPr>
        </control>
      </mc:Choice>
      <mc:Fallback>
        <control shapeId="264195" r:id="rId4" name="CheckBox1"/>
      </mc:Fallback>
    </mc:AlternateContent>
    <mc:AlternateContent xmlns:mc="http://schemas.openxmlformats.org/markup-compatibility/2006">
      <mc:Choice Requires="x14">
        <control shapeId="264193" r:id="rId6" name="CommandButton1">
          <controlPr defaultSize="0" autoLine="0" autoPict="0" r:id="rId7">
            <anchor moveWithCells="1">
              <from>
                <xdr:col>0</xdr:col>
                <xdr:colOff>114300</xdr:colOff>
                <xdr:row>2</xdr:row>
                <xdr:rowOff>9525</xdr:rowOff>
              </from>
              <to>
                <xdr:col>2</xdr:col>
                <xdr:colOff>314325</xdr:colOff>
                <xdr:row>2</xdr:row>
                <xdr:rowOff>438150</xdr:rowOff>
              </to>
            </anchor>
          </controlPr>
        </control>
      </mc:Choice>
      <mc:Fallback>
        <control shapeId="264193" r:id="rId6" name="CommandButton1"/>
      </mc:Fallback>
    </mc:AlternateContent>
    <mc:AlternateContent xmlns:mc="http://schemas.openxmlformats.org/markup-compatibility/2006">
      <mc:Choice Requires="x14">
        <control shapeId="264194" r:id="rId8" name="CommandButton2">
          <controlPr defaultSize="0" autoLine="0" r:id="rId9">
            <anchor moveWithCells="1">
              <from>
                <xdr:col>0</xdr:col>
                <xdr:colOff>114300</xdr:colOff>
                <xdr:row>2</xdr:row>
                <xdr:rowOff>485775</xdr:rowOff>
              </from>
              <to>
                <xdr:col>2</xdr:col>
                <xdr:colOff>314325</xdr:colOff>
                <xdr:row>3</xdr:row>
                <xdr:rowOff>371475</xdr:rowOff>
              </to>
            </anchor>
          </controlPr>
        </control>
      </mc:Choice>
      <mc:Fallback>
        <control shapeId="264194" r:id="rId8" name="CommandButton2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_Well">
    <tabColor rgb="FF7030A0"/>
  </sheetPr>
  <dimension ref="A1:R19"/>
  <sheetViews>
    <sheetView tabSelected="1" zoomScaleNormal="100" workbookViewId="0">
      <selection activeCell="E13" sqref="E13"/>
    </sheetView>
  </sheetViews>
  <sheetFormatPr defaultColWidth="8.88671875" defaultRowHeight="16.5"/>
  <cols>
    <col min="1" max="1" width="5.21875" style="31" customWidth="1"/>
    <col min="2" max="2" width="17.77734375" style="30" customWidth="1"/>
    <col min="3" max="3" width="9.109375" style="30" customWidth="1"/>
    <col min="4" max="4" width="26.6640625" style="30" customWidth="1"/>
    <col min="5" max="5" width="16.44140625" style="30" customWidth="1"/>
    <col min="6" max="6" width="10.33203125" style="30" customWidth="1"/>
    <col min="7" max="7" width="8.109375" style="30" customWidth="1"/>
    <col min="8" max="8" width="9.33203125" style="30" customWidth="1"/>
    <col min="9" max="9" width="7.77734375" style="30" customWidth="1"/>
    <col min="10" max="10" width="10.21875" style="107" customWidth="1"/>
    <col min="11" max="11" width="8.109375" style="30" customWidth="1"/>
    <col min="12" max="12" width="7.109375" style="30" customWidth="1"/>
    <col min="13" max="13" width="6.33203125" style="30" customWidth="1"/>
    <col min="14" max="14" width="6.5546875" style="30" customWidth="1"/>
    <col min="15" max="15" width="8.44140625" style="30" customWidth="1"/>
    <col min="16" max="16" width="11" style="33" customWidth="1"/>
    <col min="17" max="17" width="15.6640625" style="30" customWidth="1"/>
    <col min="18" max="18" width="15" style="30" customWidth="1"/>
    <col min="19" max="16384" width="8.88671875" style="31"/>
  </cols>
  <sheetData>
    <row r="1" spans="1:18" ht="78" customHeight="1" thickBot="1">
      <c r="D1" s="59"/>
      <c r="E1" s="32" t="s">
        <v>731</v>
      </c>
      <c r="F1" s="32"/>
      <c r="J1" s="60"/>
    </row>
    <row r="2" spans="1:18" s="67" customFormat="1" ht="23.1" customHeight="1">
      <c r="A2" s="732" t="s">
        <v>0</v>
      </c>
      <c r="B2" s="733" t="s">
        <v>39</v>
      </c>
      <c r="C2" s="733" t="s">
        <v>6</v>
      </c>
      <c r="D2" s="733" t="s">
        <v>38</v>
      </c>
      <c r="E2" s="733" t="s">
        <v>201</v>
      </c>
      <c r="F2" s="733" t="s">
        <v>200</v>
      </c>
      <c r="G2" s="734" t="s">
        <v>1</v>
      </c>
      <c r="H2" s="734" t="s">
        <v>2</v>
      </c>
      <c r="I2" s="734" t="s">
        <v>169</v>
      </c>
      <c r="J2" s="735" t="s">
        <v>254</v>
      </c>
      <c r="K2" s="734" t="s">
        <v>253</v>
      </c>
      <c r="L2" s="734" t="s">
        <v>3</v>
      </c>
      <c r="M2" s="734" t="s">
        <v>4</v>
      </c>
      <c r="N2" s="734" t="s">
        <v>5</v>
      </c>
      <c r="O2" s="734" t="s">
        <v>252</v>
      </c>
      <c r="P2" s="736" t="s">
        <v>251</v>
      </c>
      <c r="Q2" s="733" t="s">
        <v>156</v>
      </c>
      <c r="R2" s="737" t="s">
        <v>91</v>
      </c>
    </row>
    <row r="3" spans="1:18" s="67" customFormat="1" ht="27" customHeight="1">
      <c r="A3" s="738"/>
      <c r="B3" s="739"/>
      <c r="C3" s="739"/>
      <c r="D3" s="739"/>
      <c r="E3" s="739"/>
      <c r="F3" s="739"/>
      <c r="G3" s="740"/>
      <c r="H3" s="740"/>
      <c r="I3" s="740"/>
      <c r="J3" s="741"/>
      <c r="K3" s="740"/>
      <c r="L3" s="740"/>
      <c r="M3" s="740"/>
      <c r="N3" s="740"/>
      <c r="O3" s="740"/>
      <c r="P3" s="742"/>
      <c r="Q3" s="739"/>
      <c r="R3" s="743"/>
    </row>
    <row r="4" spans="1:18" ht="23.1" customHeight="1">
      <c r="A4" s="744" t="s">
        <v>732</v>
      </c>
      <c r="B4" s="745" t="s">
        <v>351</v>
      </c>
      <c r="C4" s="746"/>
      <c r="D4" s="747" t="s">
        <v>693</v>
      </c>
      <c r="E4" s="747" t="str">
        <f>Recharge!$I$24</f>
        <v>한강/한강서울</v>
      </c>
      <c r="F4" s="747" t="str">
        <f>All!$B$2</f>
        <v>서울기상청</v>
      </c>
      <c r="G4" s="747">
        <v>200</v>
      </c>
      <c r="H4" s="747">
        <v>100</v>
      </c>
      <c r="I4" s="747">
        <v>80</v>
      </c>
      <c r="J4" s="747">
        <v>80</v>
      </c>
      <c r="K4" s="747">
        <v>160</v>
      </c>
      <c r="L4" s="747">
        <v>15</v>
      </c>
      <c r="M4" s="747">
        <v>65</v>
      </c>
      <c r="N4" s="748">
        <v>50</v>
      </c>
      <c r="O4" s="749">
        <f>ROUND(water!$F$7, 1)</f>
        <v>423.8</v>
      </c>
      <c r="P4" s="750">
        <v>6919125.9708000002</v>
      </c>
      <c r="Q4" s="747"/>
      <c r="R4" s="751"/>
    </row>
    <row r="5" spans="1:18" ht="23.1" customHeight="1">
      <c r="A5" s="744" t="s">
        <v>733</v>
      </c>
      <c r="B5" s="745" t="s">
        <v>351</v>
      </c>
      <c r="C5" s="746"/>
      <c r="D5" s="747" t="s">
        <v>693</v>
      </c>
      <c r="E5" s="747" t="str">
        <f>Recharge!$I$24</f>
        <v>한강/한강서울</v>
      </c>
      <c r="F5" s="747" t="str">
        <f>All!$B$2</f>
        <v>서울기상청</v>
      </c>
      <c r="G5" s="747">
        <v>200</v>
      </c>
      <c r="H5" s="747">
        <v>100</v>
      </c>
      <c r="I5" s="747">
        <v>80</v>
      </c>
      <c r="J5" s="747">
        <v>80</v>
      </c>
      <c r="K5" s="747">
        <v>160</v>
      </c>
      <c r="L5" s="747">
        <v>15</v>
      </c>
      <c r="M5" s="747">
        <v>65</v>
      </c>
      <c r="N5" s="748">
        <v>50</v>
      </c>
      <c r="O5" s="749">
        <f>ROUND(water!$F$7, 1)</f>
        <v>423.8</v>
      </c>
      <c r="P5" s="750">
        <v>6919125.9708000002</v>
      </c>
      <c r="Q5" s="747"/>
      <c r="R5" s="751"/>
    </row>
    <row r="6" spans="1:18" ht="23.1" customHeight="1" thickBot="1">
      <c r="A6" s="752" t="s">
        <v>740</v>
      </c>
      <c r="B6" s="753" t="s">
        <v>351</v>
      </c>
      <c r="C6" s="754"/>
      <c r="D6" s="755" t="s">
        <v>693</v>
      </c>
      <c r="E6" s="755" t="str">
        <f>Recharge!$I$24</f>
        <v>한강/한강서울</v>
      </c>
      <c r="F6" s="755" t="str">
        <f>All!$B$2</f>
        <v>서울기상청</v>
      </c>
      <c r="G6" s="755">
        <v>200</v>
      </c>
      <c r="H6" s="755">
        <v>100</v>
      </c>
      <c r="I6" s="755">
        <v>80</v>
      </c>
      <c r="J6" s="755">
        <v>80</v>
      </c>
      <c r="K6" s="755">
        <v>160</v>
      </c>
      <c r="L6" s="755">
        <v>15</v>
      </c>
      <c r="M6" s="755">
        <v>65</v>
      </c>
      <c r="N6" s="756">
        <v>50</v>
      </c>
      <c r="O6" s="757">
        <f>ROUND(water!$F$7, 1)</f>
        <v>423.8</v>
      </c>
      <c r="P6" s="758">
        <v>6919125.9708000002</v>
      </c>
      <c r="Q6" s="755"/>
      <c r="R6" s="759"/>
    </row>
    <row r="7" spans="1:18" ht="23.25" customHeight="1" thickBot="1">
      <c r="A7" s="141"/>
      <c r="J7" s="158"/>
      <c r="P7" s="159"/>
    </row>
    <row r="8" spans="1:18" ht="23.25" customHeight="1" thickBot="1">
      <c r="I8" s="431">
        <f>SUM(I4:I7)</f>
        <v>240</v>
      </c>
    </row>
    <row r="12" spans="1:18">
      <c r="Q12" s="30" t="s">
        <v>119</v>
      </c>
    </row>
    <row r="14" spans="1:18">
      <c r="I14"/>
      <c r="J14"/>
      <c r="K14"/>
      <c r="L14"/>
      <c r="M14"/>
      <c r="N14"/>
      <c r="O14"/>
      <c r="P14"/>
    </row>
    <row r="15" spans="1:18">
      <c r="I15"/>
      <c r="J15"/>
      <c r="K15"/>
      <c r="L15"/>
      <c r="M15"/>
      <c r="N15"/>
      <c r="O15"/>
      <c r="P15"/>
    </row>
    <row r="16" spans="1:18">
      <c r="I16"/>
      <c r="J16"/>
      <c r="K16"/>
      <c r="L16"/>
      <c r="M16"/>
      <c r="N16"/>
      <c r="O16"/>
      <c r="P16"/>
    </row>
    <row r="17" spans="9:16">
      <c r="I17"/>
      <c r="J17"/>
      <c r="K17"/>
      <c r="L17"/>
      <c r="M17"/>
      <c r="N17"/>
      <c r="O17"/>
      <c r="P17"/>
    </row>
    <row r="18" spans="9:16">
      <c r="I18"/>
      <c r="J18"/>
      <c r="K18"/>
      <c r="L18"/>
      <c r="M18"/>
      <c r="N18"/>
      <c r="O18"/>
      <c r="P18"/>
    </row>
    <row r="19" spans="9:16">
      <c r="I19"/>
      <c r="J19"/>
      <c r="K19"/>
      <c r="L19"/>
      <c r="M19"/>
      <c r="N19"/>
      <c r="O19"/>
      <c r="P19"/>
    </row>
  </sheetData>
  <sheetProtection selectLockedCells="1" selectUnlockedCells="1"/>
  <mergeCells count="18">
    <mergeCell ref="A2:A3"/>
    <mergeCell ref="C2:C3"/>
    <mergeCell ref="D2:D3"/>
    <mergeCell ref="F2:F3"/>
    <mergeCell ref="E2:E3"/>
    <mergeCell ref="Q2:Q3"/>
    <mergeCell ref="R2:R3"/>
    <mergeCell ref="O2:O3"/>
    <mergeCell ref="P2:P3"/>
    <mergeCell ref="B2:B3"/>
    <mergeCell ref="H2:H3"/>
    <mergeCell ref="L2:L3"/>
    <mergeCell ref="M2:M3"/>
    <mergeCell ref="N2:N3"/>
    <mergeCell ref="G2:G3"/>
    <mergeCell ref="I2:I3"/>
    <mergeCell ref="J2:J3"/>
    <mergeCell ref="K2:K3"/>
  </mergeCells>
  <phoneticPr fontId="7" type="noConversion"/>
  <dataValidations count="4">
    <dataValidation type="list" allowBlank="1" showInputMessage="1" showErrorMessage="1" sqref="B4:B6" xr:uid="{F575F19E-A8E3-4DC2-8F1D-5B767EB2BD69}">
      <formula1>INDIRECT("Tcorp[조사자]")</formula1>
    </dataValidation>
    <dataValidation type="list" allowBlank="1" showInputMessage="1" showErrorMessage="1" sqref="E4:E6" xr:uid="{2019737E-D483-40D6-8604-B68BA66F9B36}">
      <formula1>INDIRECT("Location[name]")</formula1>
    </dataValidation>
    <dataValidation type="list" allowBlank="1" showInputMessage="1" showErrorMessage="1" sqref="F4:F6" xr:uid="{8021220D-C64A-458F-88C2-6F1E1EAB3C18}">
      <formula1>INDIRECT("Tarea[area]")</formula1>
    </dataValidation>
    <dataValidation type="list" allowBlank="1" showInputMessage="1" showErrorMessage="1" sqref="G4:G6" xr:uid="{EC2A6ACA-ABF9-4866-8D53-03F51CC3A6EB}">
      <formula1>INDIRECT("TWellRadius[Radius]")</formula1>
    </dataValidation>
  </dataValidations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397" r:id="rId4" name="CommandButton13">
          <controlPr defaultSize="0" autoLine="0" r:id="rId5">
            <anchor moveWithCells="1">
              <from>
                <xdr:col>12</xdr:col>
                <xdr:colOff>85725</xdr:colOff>
                <xdr:row>0</xdr:row>
                <xdr:rowOff>657225</xdr:rowOff>
              </from>
              <to>
                <xdr:col>14</xdr:col>
                <xdr:colOff>47625</xdr:colOff>
                <xdr:row>0</xdr:row>
                <xdr:rowOff>942975</xdr:rowOff>
              </to>
            </anchor>
          </controlPr>
        </control>
      </mc:Choice>
      <mc:Fallback>
        <control shapeId="99397" r:id="rId4" name="CommandButton13"/>
      </mc:Fallback>
    </mc:AlternateContent>
    <mc:AlternateContent xmlns:mc="http://schemas.openxmlformats.org/markup-compatibility/2006">
      <mc:Choice Requires="x14">
        <control shapeId="99361" r:id="rId6" name="CommandButton11">
          <controlPr defaultSize="0" autoLine="0" r:id="rId7">
            <anchor moveWithCells="1">
              <from>
                <xdr:col>14</xdr:col>
                <xdr:colOff>609600</xdr:colOff>
                <xdr:row>0</xdr:row>
                <xdr:rowOff>657225</xdr:rowOff>
              </from>
              <to>
                <xdr:col>15</xdr:col>
                <xdr:colOff>371475</xdr:colOff>
                <xdr:row>0</xdr:row>
                <xdr:rowOff>942975</xdr:rowOff>
              </to>
            </anchor>
          </controlPr>
        </control>
      </mc:Choice>
      <mc:Fallback>
        <control shapeId="99361" r:id="rId6" name="CommandButton11"/>
      </mc:Fallback>
    </mc:AlternateContent>
    <mc:AlternateContent xmlns:mc="http://schemas.openxmlformats.org/markup-compatibility/2006">
      <mc:Choice Requires="x14">
        <control shapeId="99342" r:id="rId8" name="CommandButton7">
          <controlPr defaultSize="0" autoLine="0" r:id="rId9">
            <anchor moveWithCells="1">
              <from>
                <xdr:col>17</xdr:col>
                <xdr:colOff>704850</xdr:colOff>
                <xdr:row>0</xdr:row>
                <xdr:rowOff>657225</xdr:rowOff>
              </from>
              <to>
                <xdr:col>17</xdr:col>
                <xdr:colOff>1200150</xdr:colOff>
                <xdr:row>0</xdr:row>
                <xdr:rowOff>942975</xdr:rowOff>
              </to>
            </anchor>
          </controlPr>
        </control>
      </mc:Choice>
      <mc:Fallback>
        <control shapeId="99342" r:id="rId8" name="CommandButton7"/>
      </mc:Fallback>
    </mc:AlternateContent>
    <mc:AlternateContent xmlns:mc="http://schemas.openxmlformats.org/markup-compatibility/2006">
      <mc:Choice Requires="x14">
        <control shapeId="99335" r:id="rId10" name="CommandButton5">
          <controlPr defaultSize="0" autoLine="0" r:id="rId11">
            <anchor moveWithCells="1">
              <from>
                <xdr:col>16</xdr:col>
                <xdr:colOff>1009650</xdr:colOff>
                <xdr:row>0</xdr:row>
                <xdr:rowOff>657225</xdr:rowOff>
              </from>
              <to>
                <xdr:col>17</xdr:col>
                <xdr:colOff>152400</xdr:colOff>
                <xdr:row>0</xdr:row>
                <xdr:rowOff>942975</xdr:rowOff>
              </to>
            </anchor>
          </controlPr>
        </control>
      </mc:Choice>
      <mc:Fallback>
        <control shapeId="99335" r:id="rId10" name="CommandButton5"/>
      </mc:Fallback>
    </mc:AlternateContent>
    <mc:AlternateContent xmlns:mc="http://schemas.openxmlformats.org/markup-compatibility/2006">
      <mc:Choice Requires="x14">
        <control shapeId="99334" r:id="rId12" name="SingleColor">
          <controlPr defaultSize="0" autoLine="0" r:id="rId13">
            <anchor moveWithCells="1">
              <from>
                <xdr:col>1</xdr:col>
                <xdr:colOff>457200</xdr:colOff>
                <xdr:row>0</xdr:row>
                <xdr:rowOff>95250</xdr:rowOff>
              </from>
              <to>
                <xdr:col>2</xdr:col>
                <xdr:colOff>66675</xdr:colOff>
                <xdr:row>0</xdr:row>
                <xdr:rowOff>381000</xdr:rowOff>
              </to>
            </anchor>
          </controlPr>
        </control>
      </mc:Choice>
      <mc:Fallback>
        <control shapeId="99334" r:id="rId12" name="SingleColor"/>
      </mc:Fallback>
    </mc:AlternateContent>
    <mc:AlternateContent xmlns:mc="http://schemas.openxmlformats.org/markup-compatibility/2006">
      <mc:Choice Requires="x14">
        <control shapeId="99332" r:id="rId14" name="CommandButton4">
          <controlPr defaultSize="0" autoLine="0" r:id="rId15">
            <anchor moveWithCells="1">
              <from>
                <xdr:col>17</xdr:col>
                <xdr:colOff>180975</xdr:colOff>
                <xdr:row>0</xdr:row>
                <xdr:rowOff>657225</xdr:rowOff>
              </from>
              <to>
                <xdr:col>17</xdr:col>
                <xdr:colOff>676275</xdr:colOff>
                <xdr:row>0</xdr:row>
                <xdr:rowOff>942975</xdr:rowOff>
              </to>
            </anchor>
          </controlPr>
        </control>
      </mc:Choice>
      <mc:Fallback>
        <control shapeId="99332" r:id="rId14" name="CommandButton4"/>
      </mc:Fallback>
    </mc:AlternateContent>
    <mc:AlternateContent xmlns:mc="http://schemas.openxmlformats.org/markup-compatibility/2006">
      <mc:Choice Requires="x14">
        <control shapeId="99330" r:id="rId16" name="CommandButton2">
          <controlPr defaultSize="0" autoLine="0" r:id="rId17">
            <anchor moveWithCells="1">
              <from>
                <xdr:col>1</xdr:col>
                <xdr:colOff>390525</xdr:colOff>
                <xdr:row>0</xdr:row>
                <xdr:rowOff>628650</xdr:rowOff>
              </from>
              <to>
                <xdr:col>1</xdr:col>
                <xdr:colOff>1181100</xdr:colOff>
                <xdr:row>0</xdr:row>
                <xdr:rowOff>942975</xdr:rowOff>
              </to>
            </anchor>
          </controlPr>
        </control>
      </mc:Choice>
      <mc:Fallback>
        <control shapeId="99330" r:id="rId16" name="CommandButton2"/>
      </mc:Fallback>
    </mc:AlternateContent>
    <mc:AlternateContent xmlns:mc="http://schemas.openxmlformats.org/markup-compatibility/2006">
      <mc:Choice Requires="x14">
        <control shapeId="99329" r:id="rId18" name="CommandButton1">
          <controlPr defaultSize="0" autoLine="0" r:id="rId19">
            <anchor moveWithCells="1">
              <from>
                <xdr:col>0</xdr:col>
                <xdr:colOff>38100</xdr:colOff>
                <xdr:row>0</xdr:row>
                <xdr:rowOff>628650</xdr:rowOff>
              </from>
              <to>
                <xdr:col>1</xdr:col>
                <xdr:colOff>333375</xdr:colOff>
                <xdr:row>0</xdr:row>
                <xdr:rowOff>942975</xdr:rowOff>
              </to>
            </anchor>
          </controlPr>
        </control>
      </mc:Choice>
      <mc:Fallback>
        <control shapeId="99329" r:id="rId18" name="CommandButton1"/>
      </mc:Fallback>
    </mc:AlternateContent>
    <mc:AlternateContent xmlns:mc="http://schemas.openxmlformats.org/markup-compatibility/2006">
      <mc:Choice Requires="x14">
        <control shapeId="99336" r:id="rId20" name="CommandButton6">
          <controlPr defaultSize="0" autoLine="0" r:id="rId21">
            <anchor moveWithCells="1">
              <from>
                <xdr:col>2</xdr:col>
                <xdr:colOff>95250</xdr:colOff>
                <xdr:row>0</xdr:row>
                <xdr:rowOff>628650</xdr:rowOff>
              </from>
              <to>
                <xdr:col>2</xdr:col>
                <xdr:colOff>657225</xdr:colOff>
                <xdr:row>0</xdr:row>
                <xdr:rowOff>942975</xdr:rowOff>
              </to>
            </anchor>
          </controlPr>
        </control>
      </mc:Choice>
      <mc:Fallback>
        <control shapeId="99336" r:id="rId20" name="CommandButton6"/>
      </mc:Fallback>
    </mc:AlternateContent>
    <mc:AlternateContent xmlns:mc="http://schemas.openxmlformats.org/markup-compatibility/2006">
      <mc:Choice Requires="x14">
        <control shapeId="99346" r:id="rId22" name="CommandButton3">
          <controlPr defaultSize="0" autoLine="0" r:id="rId23">
            <anchor moveWithCells="1">
              <from>
                <xdr:col>14</xdr:col>
                <xdr:colOff>95250</xdr:colOff>
                <xdr:row>0</xdr:row>
                <xdr:rowOff>657225</xdr:rowOff>
              </from>
              <to>
                <xdr:col>14</xdr:col>
                <xdr:colOff>581025</xdr:colOff>
                <xdr:row>0</xdr:row>
                <xdr:rowOff>942975</xdr:rowOff>
              </to>
            </anchor>
          </controlPr>
        </control>
      </mc:Choice>
      <mc:Fallback>
        <control shapeId="99346" r:id="rId22" name="CommandButton3"/>
      </mc:Fallback>
    </mc:AlternateContent>
    <mc:AlternateContent xmlns:mc="http://schemas.openxmlformats.org/markup-compatibility/2006">
      <mc:Choice Requires="x14">
        <control shapeId="99353" r:id="rId24" name="CommandButton8">
          <controlPr defaultSize="0" autoLine="0" r:id="rId25">
            <anchor moveWithCells="1">
              <from>
                <xdr:col>2</xdr:col>
                <xdr:colOff>714375</xdr:colOff>
                <xdr:row>0</xdr:row>
                <xdr:rowOff>628650</xdr:rowOff>
              </from>
              <to>
                <xdr:col>3</xdr:col>
                <xdr:colOff>838200</xdr:colOff>
                <xdr:row>0</xdr:row>
                <xdr:rowOff>942975</xdr:rowOff>
              </to>
            </anchor>
          </controlPr>
        </control>
      </mc:Choice>
      <mc:Fallback>
        <control shapeId="99353" r:id="rId24" name="CommandButton8"/>
      </mc:Fallback>
    </mc:AlternateContent>
    <mc:AlternateContent xmlns:mc="http://schemas.openxmlformats.org/markup-compatibility/2006">
      <mc:Choice Requires="x14">
        <control shapeId="99359" r:id="rId26" name="CommandButton9">
          <controlPr defaultSize="0" autoLine="0" r:id="rId27">
            <anchor moveWithCells="1">
              <from>
                <xdr:col>15</xdr:col>
                <xdr:colOff>923925</xdr:colOff>
                <xdr:row>0</xdr:row>
                <xdr:rowOff>657225</xdr:rowOff>
              </from>
              <to>
                <xdr:col>16</xdr:col>
                <xdr:colOff>466725</xdr:colOff>
                <xdr:row>0</xdr:row>
                <xdr:rowOff>942975</xdr:rowOff>
              </to>
            </anchor>
          </controlPr>
        </control>
      </mc:Choice>
      <mc:Fallback>
        <control shapeId="99359" r:id="rId26" name="CommandButton9"/>
      </mc:Fallback>
    </mc:AlternateContent>
    <mc:AlternateContent xmlns:mc="http://schemas.openxmlformats.org/markup-compatibility/2006">
      <mc:Choice Requires="x14">
        <control shapeId="99360" r:id="rId28" name="CommandButton10">
          <controlPr defaultSize="0" autoLine="0" r:id="rId29">
            <anchor moveWithCells="1">
              <from>
                <xdr:col>16</xdr:col>
                <xdr:colOff>495300</xdr:colOff>
                <xdr:row>0</xdr:row>
                <xdr:rowOff>657225</xdr:rowOff>
              </from>
              <to>
                <xdr:col>16</xdr:col>
                <xdr:colOff>981075</xdr:colOff>
                <xdr:row>0</xdr:row>
                <xdr:rowOff>942975</xdr:rowOff>
              </to>
            </anchor>
          </controlPr>
        </control>
      </mc:Choice>
      <mc:Fallback>
        <control shapeId="99360" r:id="rId28" name="CommandButton10"/>
      </mc:Fallback>
    </mc:AlternateContent>
    <mc:AlternateContent xmlns:mc="http://schemas.openxmlformats.org/markup-compatibility/2006">
      <mc:Choice Requires="x14">
        <control shapeId="99366" r:id="rId30" name="CommandButton12">
          <controlPr defaultSize="0" autoLine="0" r:id="rId31">
            <anchor moveWithCells="1">
              <from>
                <xdr:col>15</xdr:col>
                <xdr:colOff>400050</xdr:colOff>
                <xdr:row>0</xdr:row>
                <xdr:rowOff>657225</xdr:rowOff>
              </from>
              <to>
                <xdr:col>15</xdr:col>
                <xdr:colOff>885825</xdr:colOff>
                <xdr:row>0</xdr:row>
                <xdr:rowOff>942975</xdr:rowOff>
              </to>
            </anchor>
          </controlPr>
        </control>
      </mc:Choice>
      <mc:Fallback>
        <control shapeId="99366" r:id="rId30" name="CommandButton12"/>
      </mc:Fallback>
    </mc:AlternateContent>
    <mc:AlternateContent xmlns:mc="http://schemas.openxmlformats.org/markup-compatibility/2006">
      <mc:Choice Requires="x14">
        <control shapeId="99415" r:id="rId32" name="CommandButton14">
          <controlPr defaultSize="0" autoLine="0" r:id="rId33">
            <anchor moveWithCells="1">
              <from>
                <xdr:col>11</xdr:col>
                <xdr:colOff>104775</xdr:colOff>
                <xdr:row>0</xdr:row>
                <xdr:rowOff>657225</xdr:rowOff>
              </from>
              <to>
                <xdr:col>12</xdr:col>
                <xdr:colOff>38100</xdr:colOff>
                <xdr:row>0</xdr:row>
                <xdr:rowOff>942975</xdr:rowOff>
              </to>
            </anchor>
          </controlPr>
        </control>
      </mc:Choice>
      <mc:Fallback>
        <control shapeId="99415" r:id="rId32" name="CommandButton14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_W1">
    <tabColor rgb="FFC00000"/>
  </sheetPr>
  <dimension ref="A1:M41"/>
  <sheetViews>
    <sheetView workbookViewId="0">
      <selection activeCell="I15" sqref="I15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153</v>
      </c>
      <c r="C2" s="332" t="str">
        <f>Well!D4</f>
        <v xml:space="preserve"> 전의면 유천리 227번지 </v>
      </c>
      <c r="H2"/>
      <c r="I2" s="138" t="s">
        <v>202</v>
      </c>
      <c r="J2"/>
      <c r="K2"/>
      <c r="L2"/>
      <c r="M2"/>
    </row>
    <row r="3" spans="1:13" ht="20.100000000000001" customHeight="1">
      <c r="B3" s="2" t="s">
        <v>48</v>
      </c>
      <c r="C3" s="718">
        <f>Well!C4</f>
        <v>0</v>
      </c>
      <c r="D3" s="3" t="s">
        <v>49</v>
      </c>
      <c r="E3" s="4" t="s">
        <v>115</v>
      </c>
      <c r="F3" s="5" t="s">
        <v>105</v>
      </c>
      <c r="G3" s="2" t="s">
        <v>337</v>
      </c>
      <c r="H3"/>
      <c r="I3"/>
      <c r="J3"/>
      <c r="K3"/>
      <c r="L3"/>
      <c r="M3"/>
    </row>
    <row r="4" spans="1:13" ht="20.100000000000001" customHeight="1" thickBot="1">
      <c r="B4" s="6" t="s">
        <v>50</v>
      </c>
      <c r="C4" s="719">
        <f>Well!R4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719">
        <f>Well!Q4</f>
        <v>0</v>
      </c>
      <c r="D5" s="7" t="s">
        <v>53</v>
      </c>
      <c r="E5" s="432">
        <v>1.4419999999999999</v>
      </c>
      <c r="F5" s="28">
        <f>$E$5/$C$14</f>
        <v>1.6386363636363636E-2</v>
      </c>
      <c r="G5" s="434">
        <v>3.1629999999999999E-4</v>
      </c>
      <c r="H5" s="292">
        <v>-2.7317573670347643</v>
      </c>
      <c r="I5"/>
      <c r="J5" s="319" t="s">
        <v>340</v>
      </c>
      <c r="K5"/>
      <c r="L5"/>
      <c r="M5"/>
    </row>
    <row r="6" spans="1:13" ht="20.100000000000001" customHeight="1" thickBot="1">
      <c r="B6" s="6" t="s">
        <v>54</v>
      </c>
      <c r="C6" s="720" t="str">
        <f>Well!D4</f>
        <v xml:space="preserve"> 전의면 유천리 227번지 </v>
      </c>
      <c r="D6" s="7" t="s">
        <v>56</v>
      </c>
      <c r="E6" s="433">
        <v>1.0569999999999999</v>
      </c>
      <c r="F6" s="28">
        <f>$E$6/$C$14</f>
        <v>1.2011363636363636E-2</v>
      </c>
      <c r="G6" s="10">
        <v>48.87</v>
      </c>
      <c r="H6" s="663">
        <v>1.536</v>
      </c>
      <c r="I6"/>
      <c r="J6" s="320" t="s">
        <v>338</v>
      </c>
      <c r="K6" s="317">
        <v>580</v>
      </c>
      <c r="L6"/>
      <c r="M6"/>
    </row>
    <row r="7" spans="1:13" ht="20.100000000000001" customHeight="1" thickBot="1">
      <c r="B7" s="6" t="s">
        <v>55</v>
      </c>
      <c r="C7" s="721">
        <f>Well!H4</f>
        <v>100</v>
      </c>
      <c r="D7" s="142" t="s">
        <v>58</v>
      </c>
      <c r="E7" s="139">
        <f>ROUND((E5+E6)/2,4)</f>
        <v>1.2495000000000001</v>
      </c>
      <c r="F7" s="29">
        <f>$E$7/$C$14</f>
        <v>1.4198863636363636E-2</v>
      </c>
      <c r="G7" s="293">
        <f>G5</f>
        <v>3.1629999999999999E-4</v>
      </c>
      <c r="H7" s="288">
        <v>7.4639999999999998E-2</v>
      </c>
      <c r="I7"/>
      <c r="J7" s="321" t="s">
        <v>339</v>
      </c>
      <c r="K7" s="318">
        <v>0</v>
      </c>
      <c r="L7"/>
      <c r="M7"/>
    </row>
    <row r="8" spans="1:13" ht="20.100000000000001" customHeight="1" thickBot="1">
      <c r="B8" s="6" t="s">
        <v>57</v>
      </c>
      <c r="C8" s="722">
        <f>Well!G4</f>
        <v>200</v>
      </c>
    </row>
    <row r="9" spans="1:13" ht="20.100000000000001" customHeight="1" thickBot="1">
      <c r="B9" s="6" t="s">
        <v>59</v>
      </c>
      <c r="C9" s="723">
        <f>C10+C11</f>
        <v>12</v>
      </c>
      <c r="D9" s="11"/>
      <c r="E9" s="289" t="s">
        <v>106</v>
      </c>
      <c r="F9" s="290" t="s">
        <v>107</v>
      </c>
      <c r="G9" s="310" t="s">
        <v>108</v>
      </c>
      <c r="H9" s="406">
        <f>MAX(E10,F10,G10)</f>
        <v>90.2</v>
      </c>
    </row>
    <row r="10" spans="1:13" ht="20.100000000000001" customHeight="1" thickBot="1">
      <c r="B10" s="6" t="s">
        <v>60</v>
      </c>
      <c r="C10" s="724">
        <v>5</v>
      </c>
      <c r="D10" s="291" t="s">
        <v>61</v>
      </c>
      <c r="E10" s="119">
        <v>73.599999999999994</v>
      </c>
      <c r="F10" s="120">
        <v>90.2</v>
      </c>
      <c r="G10" s="311">
        <v>69.400000000000006</v>
      </c>
      <c r="H10" s="408">
        <f>MIN(E10,F10,G10)</f>
        <v>69.400000000000006</v>
      </c>
      <c r="I10" s="12"/>
    </row>
    <row r="11" spans="1:13" ht="20.100000000000001" customHeight="1" thickBot="1">
      <c r="B11" s="6" t="s">
        <v>62</v>
      </c>
      <c r="C11" s="724">
        <v>7</v>
      </c>
      <c r="D11" s="143" t="s">
        <v>63</v>
      </c>
      <c r="E11" s="121">
        <f>ROUND(AVERAGE(E10:G10),1)</f>
        <v>77.7</v>
      </c>
      <c r="F11" s="287">
        <f>ROUND((E10+F10)/2,1)</f>
        <v>81.900000000000006</v>
      </c>
      <c r="H11" s="407">
        <f>ROUND(AVERAGE(E10:G10),1)</f>
        <v>77.7</v>
      </c>
      <c r="I11" s="12"/>
      <c r="J11" s="635" t="s">
        <v>114</v>
      </c>
      <c r="K11" s="636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725">
        <f>C7-C9</f>
        <v>88</v>
      </c>
      <c r="H12" s="14"/>
      <c r="J12" s="308" t="s">
        <v>116</v>
      </c>
      <c r="K12" s="461">
        <v>152</v>
      </c>
      <c r="L12" s="462">
        <f>K12+180</f>
        <v>332</v>
      </c>
    </row>
    <row r="13" spans="1:13" ht="20.100000000000001" customHeight="1">
      <c r="A13" s="13">
        <f>C10+C11+C12+C13</f>
        <v>100</v>
      </c>
      <c r="B13" s="6" t="s">
        <v>65</v>
      </c>
      <c r="C13" s="725"/>
      <c r="D13" s="131" t="str">
        <f>All!B2</f>
        <v>서울기상청</v>
      </c>
      <c r="E13" s="131" t="str">
        <f>Recharge!I24</f>
        <v>한강/한강서울</v>
      </c>
      <c r="F13" s="122">
        <f>rf_1</f>
        <v>0.14099999999999999</v>
      </c>
      <c r="G13" s="122">
        <f>allow_ratio</f>
        <v>0.72399999999999998</v>
      </c>
      <c r="H13" s="15"/>
      <c r="J13" s="308" t="s">
        <v>109</v>
      </c>
      <c r="K13" s="315">
        <v>2113</v>
      </c>
      <c r="L13" s="312"/>
    </row>
    <row r="14" spans="1:13" ht="20.100000000000001" customHeight="1">
      <c r="B14" s="6" t="s">
        <v>66</v>
      </c>
      <c r="C14" s="723">
        <f>C7-IF(C20&gt;C9,C20,C9)</f>
        <v>88</v>
      </c>
      <c r="G14" s="122">
        <f>max</f>
        <v>1439.8</v>
      </c>
      <c r="H14" s="15"/>
      <c r="J14" s="308" t="s">
        <v>110</v>
      </c>
      <c r="K14" s="315">
        <v>16</v>
      </c>
      <c r="L14" s="312"/>
    </row>
    <row r="15" spans="1:13" ht="20.100000000000001" customHeight="1" thickBot="1">
      <c r="B15" s="6" t="s">
        <v>67</v>
      </c>
      <c r="C15" s="726">
        <f>Well!I4</f>
        <v>80</v>
      </c>
      <c r="E15" s="34">
        <v>1</v>
      </c>
      <c r="J15" s="308" t="s">
        <v>111</v>
      </c>
      <c r="K15" s="315">
        <v>7</v>
      </c>
      <c r="L15" s="312"/>
    </row>
    <row r="16" spans="1:13" ht="20.100000000000001" customHeight="1">
      <c r="B16" s="6" t="s">
        <v>68</v>
      </c>
      <c r="C16" s="727">
        <f>Well!J4</f>
        <v>80</v>
      </c>
      <c r="E16" s="108" t="s">
        <v>255</v>
      </c>
      <c r="F16" s="109" t="s">
        <v>95</v>
      </c>
      <c r="G16" s="110" t="s">
        <v>94</v>
      </c>
      <c r="H16" s="15"/>
      <c r="J16" s="308" t="s">
        <v>117</v>
      </c>
      <c r="K16" s="316">
        <f>K14-C20</f>
        <v>14.8</v>
      </c>
      <c r="L16" s="312"/>
    </row>
    <row r="17" spans="2:12" ht="20.100000000000001" customHeight="1" thickBot="1">
      <c r="B17" s="6" t="s">
        <v>69</v>
      </c>
      <c r="C17" s="726">
        <f>Well!L4</f>
        <v>15</v>
      </c>
      <c r="E17" s="234">
        <f>Well!P4</f>
        <v>6919125.9708000002</v>
      </c>
      <c r="F17" s="137">
        <f>(max*rf_1*E17/1000)</f>
        <v>1404664.2177588553</v>
      </c>
      <c r="G17" s="136">
        <f>F17*allow_ratio</f>
        <v>1016976.8936574112</v>
      </c>
      <c r="J17" s="308" t="s">
        <v>112</v>
      </c>
      <c r="K17" s="316">
        <f>K16-K15</f>
        <v>7.8000000000000007</v>
      </c>
      <c r="L17" s="312"/>
    </row>
    <row r="18" spans="2:12" ht="20.100000000000001" customHeight="1" thickBot="1">
      <c r="B18" s="6" t="s">
        <v>70</v>
      </c>
      <c r="C18" s="726">
        <f>Well!M4</f>
        <v>65</v>
      </c>
      <c r="E18" s="2" t="s">
        <v>71</v>
      </c>
      <c r="F18" s="26" t="s">
        <v>72</v>
      </c>
      <c r="G18" s="25" t="s">
        <v>73</v>
      </c>
      <c r="H18" s="117" t="s">
        <v>168</v>
      </c>
      <c r="I18" s="24"/>
      <c r="J18" s="309" t="s">
        <v>113</v>
      </c>
      <c r="K18" s="313">
        <f>(K17/K13)</f>
        <v>3.6914339801230483E-3</v>
      </c>
      <c r="L18" s="314">
        <f>K18*100</f>
        <v>0.36914339801230484</v>
      </c>
    </row>
    <row r="19" spans="2:12" ht="20.100000000000001" customHeight="1" thickBot="1">
      <c r="B19" s="17" t="s">
        <v>74</v>
      </c>
      <c r="C19" s="728">
        <f>Well!N4</f>
        <v>50</v>
      </c>
      <c r="E19" s="234">
        <f>E17</f>
        <v>6919125.9708000002</v>
      </c>
      <c r="F19" s="134">
        <f>(max*rf_1*E19/1000)/365</f>
        <v>3848.3951171475487</v>
      </c>
      <c r="G19" s="135">
        <f>F19*allow_ratio</f>
        <v>2786.2380648148251</v>
      </c>
      <c r="H19" s="118">
        <f>G19-F21</f>
        <v>2362.4380648148249</v>
      </c>
    </row>
    <row r="20" spans="2:12" ht="20.100000000000001" customHeight="1">
      <c r="B20" s="18" t="s">
        <v>75</v>
      </c>
      <c r="C20" s="729">
        <v>1.2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730">
        <v>38.4</v>
      </c>
      <c r="D21" s="13"/>
      <c r="E21" s="235">
        <f>Well!$I$8</f>
        <v>240</v>
      </c>
      <c r="F21" s="236">
        <f>Well!O4</f>
        <v>423.8</v>
      </c>
      <c r="G21" s="136">
        <f>G19-E21-F21</f>
        <v>2122.4380648148249</v>
      </c>
    </row>
    <row r="22" spans="2:12" ht="20.100000000000001" customHeight="1" thickBot="1">
      <c r="B22" s="27" t="s">
        <v>161</v>
      </c>
      <c r="C22" s="731">
        <f>C21-C20</f>
        <v>37.199999999999996</v>
      </c>
      <c r="E22" s="637">
        <f>E21+F21</f>
        <v>663.8</v>
      </c>
      <c r="F22" s="638"/>
      <c r="G22" s="16"/>
      <c r="I22" s="15"/>
    </row>
    <row r="23" spans="2:12" ht="20.100000000000001" customHeight="1" thickBot="1">
      <c r="B23" s="191" t="s">
        <v>229</v>
      </c>
      <c r="C23" s="717">
        <v>2.83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633" t="s">
        <v>592</v>
      </c>
      <c r="C25" s="634"/>
      <c r="D25" s="333" t="s">
        <v>103</v>
      </c>
      <c r="E25" s="333" t="s">
        <v>104</v>
      </c>
      <c r="F25" s="333" t="s">
        <v>96</v>
      </c>
      <c r="G25" s="333" t="s">
        <v>97</v>
      </c>
      <c r="H25" s="333" t="s">
        <v>118</v>
      </c>
      <c r="I25" s="333" t="s">
        <v>98</v>
      </c>
      <c r="J25" s="237" t="s">
        <v>99</v>
      </c>
      <c r="K25" s="334" t="s">
        <v>100</v>
      </c>
    </row>
    <row r="26" spans="2:12" ht="25.5" customHeight="1">
      <c r="B26" s="703" t="s">
        <v>49</v>
      </c>
      <c r="C26" s="335" t="s">
        <v>101</v>
      </c>
      <c r="D26" s="282">
        <f>C20</f>
        <v>1.2</v>
      </c>
      <c r="E26" s="283">
        <f>Recharge!C30</f>
        <v>20.301179999999995</v>
      </c>
      <c r="F26" s="284" t="s">
        <v>180</v>
      </c>
      <c r="G26" s="282" t="s">
        <v>369</v>
      </c>
      <c r="H26" s="285">
        <f>L18</f>
        <v>0.36914339801230484</v>
      </c>
      <c r="I26" s="282" t="s">
        <v>180</v>
      </c>
      <c r="J26" s="286">
        <f>(E7/C14)/864</f>
        <v>1.6433869949494949E-5</v>
      </c>
      <c r="K26" s="281" t="s">
        <v>619</v>
      </c>
    </row>
    <row r="27" spans="2:12" ht="25.5" customHeight="1">
      <c r="B27" s="704"/>
      <c r="C27" s="238" t="s">
        <v>102</v>
      </c>
      <c r="D27" s="238">
        <v>10</v>
      </c>
      <c r="E27" s="238">
        <v>8</v>
      </c>
      <c r="F27" s="238">
        <v>3</v>
      </c>
      <c r="G27" s="238">
        <v>3</v>
      </c>
      <c r="H27" s="238">
        <v>10</v>
      </c>
      <c r="I27" s="238">
        <v>4</v>
      </c>
      <c r="J27" s="238">
        <v>1</v>
      </c>
      <c r="K27" s="281" t="s">
        <v>688</v>
      </c>
    </row>
    <row r="28" spans="2:12" ht="25.5" customHeight="1">
      <c r="B28" s="704"/>
      <c r="C28" s="336" t="s">
        <v>173</v>
      </c>
      <c r="D28" s="278">
        <v>5</v>
      </c>
      <c r="E28" s="278">
        <v>4</v>
      </c>
      <c r="F28" s="278">
        <v>3</v>
      </c>
      <c r="G28" s="278">
        <v>2</v>
      </c>
      <c r="H28" s="278">
        <v>1</v>
      </c>
      <c r="I28" s="278">
        <v>5</v>
      </c>
      <c r="J28" s="278">
        <v>3</v>
      </c>
      <c r="K28" s="279"/>
    </row>
    <row r="29" spans="2:12" ht="25.5" customHeight="1">
      <c r="B29" s="704"/>
      <c r="C29" s="336" t="s">
        <v>174</v>
      </c>
      <c r="D29" s="280">
        <v>5</v>
      </c>
      <c r="E29" s="280">
        <v>4</v>
      </c>
      <c r="F29" s="280">
        <v>3</v>
      </c>
      <c r="G29" s="280">
        <v>5</v>
      </c>
      <c r="H29" s="280">
        <v>3</v>
      </c>
      <c r="I29" s="280">
        <v>4</v>
      </c>
      <c r="J29" s="280">
        <v>2</v>
      </c>
      <c r="K29" s="279"/>
    </row>
    <row r="30" spans="2:12" ht="25.5" customHeight="1">
      <c r="B30" s="704"/>
      <c r="C30" s="335" t="s">
        <v>175</v>
      </c>
      <c r="D30" s="239">
        <f>D27*D28</f>
        <v>50</v>
      </c>
      <c r="E30" s="239">
        <f t="shared" ref="E30:J30" si="0">E27*E28</f>
        <v>32</v>
      </c>
      <c r="F30" s="239">
        <f t="shared" si="0"/>
        <v>9</v>
      </c>
      <c r="G30" s="239">
        <f t="shared" si="0"/>
        <v>6</v>
      </c>
      <c r="H30" s="239">
        <f t="shared" si="0"/>
        <v>10</v>
      </c>
      <c r="I30" s="239">
        <f t="shared" si="0"/>
        <v>20</v>
      </c>
      <c r="J30" s="239">
        <f t="shared" si="0"/>
        <v>3</v>
      </c>
      <c r="K30" s="240">
        <f>SUM(D30:J30)</f>
        <v>130</v>
      </c>
    </row>
    <row r="31" spans="2:12" ht="25.5" customHeight="1" thickBot="1">
      <c r="B31" s="705"/>
      <c r="C31" s="337" t="s">
        <v>176</v>
      </c>
      <c r="D31" s="241">
        <f t="shared" ref="D31:J31" si="1">D27*D29</f>
        <v>50</v>
      </c>
      <c r="E31" s="241">
        <f t="shared" si="1"/>
        <v>32</v>
      </c>
      <c r="F31" s="241">
        <f t="shared" si="1"/>
        <v>9</v>
      </c>
      <c r="G31" s="241">
        <f t="shared" si="1"/>
        <v>15</v>
      </c>
      <c r="H31" s="241">
        <f t="shared" si="1"/>
        <v>30</v>
      </c>
      <c r="I31" s="241">
        <f t="shared" si="1"/>
        <v>16</v>
      </c>
      <c r="J31" s="241">
        <f t="shared" si="1"/>
        <v>2</v>
      </c>
      <c r="K31" s="242">
        <f>SUM(D31:J31)</f>
        <v>154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103" r:id="rId4" name="CommandButton6">
          <controlPr defaultSize="0" autoLine="0" autoPict="0" r:id="rId5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103" r:id="rId4" name="CommandButton6"/>
      </mc:Fallback>
    </mc:AlternateContent>
    <mc:AlternateContent xmlns:mc="http://schemas.openxmlformats.org/markup-compatibility/2006">
      <mc:Choice Requires="x14">
        <control shapeId="3102" r:id="rId6" name="Frame1">
          <controlPr defaultSize="0" autoLine="0" autoPict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102" r:id="rId6" name="Frame1"/>
      </mc:Fallback>
    </mc:AlternateContent>
    <mc:AlternateContent xmlns:mc="http://schemas.openxmlformats.org/markup-compatibility/2006">
      <mc:Choice Requires="x14">
        <control shapeId="3096" r:id="rId8" name="CommandButton5">
          <controlPr defaultSize="0" autoLine="0" autoPict="0" r:id="rId9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096" r:id="rId8" name="CommandButton5"/>
      </mc:Fallback>
    </mc:AlternateContent>
    <mc:AlternateContent xmlns:mc="http://schemas.openxmlformats.org/markup-compatibility/2006">
      <mc:Choice Requires="x14">
        <control shapeId="3116" r:id="rId10" name="CommandButton2">
          <controlPr defaultSize="0" autoLine="0" r:id="rId11">
            <anchor moveWithCells="1">
              <from>
                <xdr:col>7</xdr:col>
                <xdr:colOff>76200</xdr:colOff>
                <xdr:row>15</xdr:row>
                <xdr:rowOff>28575</xdr:rowOff>
              </from>
              <to>
                <xdr:col>7</xdr:col>
                <xdr:colOff>1123950</xdr:colOff>
                <xdr:row>16</xdr:row>
                <xdr:rowOff>142875</xdr:rowOff>
              </to>
            </anchor>
          </controlPr>
        </control>
      </mc:Choice>
      <mc:Fallback>
        <control shapeId="3116" r:id="rId10" name="CommandButton2"/>
      </mc:Fallback>
    </mc:AlternateContent>
    <mc:AlternateContent xmlns:mc="http://schemas.openxmlformats.org/markup-compatibility/2006">
      <mc:Choice Requires="x14">
        <control shapeId="3120" r:id="rId12" name="CommandButton8">
          <controlPr defaultSize="0" autoLine="0" r:id="rId13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120" r:id="rId12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A22DD9-2CD0-4AD8-81AB-C5DF55541C09}">
  <sheetPr codeName="Sheet_W2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154</v>
      </c>
      <c r="C2" s="332" t="str">
        <f>Well!D5</f>
        <v xml:space="preserve"> 전의면 유천리 227번지 </v>
      </c>
      <c r="H2"/>
      <c r="I2" s="138" t="s">
        <v>689</v>
      </c>
      <c r="J2"/>
      <c r="K2"/>
      <c r="L2"/>
      <c r="M2"/>
    </row>
    <row r="3" spans="1:13" ht="20.100000000000001" customHeight="1">
      <c r="B3" s="2" t="s">
        <v>6</v>
      </c>
      <c r="C3" s="718">
        <f>Well!C5</f>
        <v>0</v>
      </c>
      <c r="D3" s="3" t="s">
        <v>49</v>
      </c>
      <c r="E3" s="4" t="s">
        <v>115</v>
      </c>
      <c r="F3" s="5" t="s">
        <v>105</v>
      </c>
      <c r="G3" s="2" t="s">
        <v>337</v>
      </c>
      <c r="H3"/>
      <c r="I3"/>
      <c r="J3"/>
      <c r="K3"/>
      <c r="L3"/>
      <c r="M3"/>
    </row>
    <row r="4" spans="1:13" ht="20.100000000000001" customHeight="1" thickBot="1">
      <c r="B4" s="6" t="s">
        <v>50</v>
      </c>
      <c r="C4" s="719">
        <f>Well!R5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719">
        <f>Well!Q5</f>
        <v>0</v>
      </c>
      <c r="D5" s="7" t="s">
        <v>53</v>
      </c>
      <c r="E5" s="432">
        <v>1.4419999999999999</v>
      </c>
      <c r="F5" s="28">
        <f>$E$5/$C$14</f>
        <v>1.6386363636363636E-2</v>
      </c>
      <c r="G5" s="434">
        <v>3.1629999999999999E-4</v>
      </c>
      <c r="H5" s="292">
        <v>-2.7317573670347643</v>
      </c>
      <c r="I5"/>
      <c r="J5" s="319" t="s">
        <v>340</v>
      </c>
      <c r="K5"/>
      <c r="L5"/>
      <c r="M5"/>
    </row>
    <row r="6" spans="1:13" ht="20.100000000000001" customHeight="1" thickBot="1">
      <c r="B6" s="6" t="s">
        <v>54</v>
      </c>
      <c r="C6" s="720" t="str">
        <f>Well!D5</f>
        <v xml:space="preserve"> 전의면 유천리 227번지 </v>
      </c>
      <c r="D6" s="7" t="s">
        <v>56</v>
      </c>
      <c r="E6" s="433">
        <v>1.0569999999999999</v>
      </c>
      <c r="F6" s="28">
        <f>$E$6/$C$14</f>
        <v>1.2011363636363636E-2</v>
      </c>
      <c r="G6" s="10">
        <v>48.87</v>
      </c>
      <c r="H6" s="663">
        <v>1.536</v>
      </c>
      <c r="I6"/>
      <c r="J6" s="320" t="s">
        <v>338</v>
      </c>
      <c r="K6" s="317">
        <v>580</v>
      </c>
      <c r="L6"/>
      <c r="M6"/>
    </row>
    <row r="7" spans="1:13" ht="20.100000000000001" customHeight="1" thickBot="1">
      <c r="B7" s="6" t="s">
        <v>55</v>
      </c>
      <c r="C7" s="721">
        <f>Well!H5</f>
        <v>100</v>
      </c>
      <c r="D7" s="142" t="s">
        <v>58</v>
      </c>
      <c r="E7" s="139">
        <f>ROUND((E5+E6)/2,4)</f>
        <v>1.2495000000000001</v>
      </c>
      <c r="F7" s="29">
        <f>$E$7/$C$14</f>
        <v>1.4198863636363636E-2</v>
      </c>
      <c r="G7" s="293">
        <f>G5</f>
        <v>3.1629999999999999E-4</v>
      </c>
      <c r="H7" s="288">
        <v>7.4639999999999998E-2</v>
      </c>
      <c r="I7"/>
      <c r="J7" s="321" t="s">
        <v>339</v>
      </c>
      <c r="K7" s="318">
        <v>0</v>
      </c>
      <c r="L7"/>
      <c r="M7"/>
    </row>
    <row r="8" spans="1:13" ht="20.100000000000001" customHeight="1" thickBot="1">
      <c r="B8" s="6" t="s">
        <v>57</v>
      </c>
      <c r="C8" s="722">
        <f>Well!G5</f>
        <v>200</v>
      </c>
    </row>
    <row r="9" spans="1:13" ht="20.100000000000001" customHeight="1" thickBot="1">
      <c r="B9" s="6" t="s">
        <v>59</v>
      </c>
      <c r="C9" s="723">
        <f>C10+C11</f>
        <v>12</v>
      </c>
      <c r="D9" s="11"/>
      <c r="E9" s="289" t="s">
        <v>106</v>
      </c>
      <c r="F9" s="290" t="s">
        <v>107</v>
      </c>
      <c r="G9" s="310" t="s">
        <v>108</v>
      </c>
      <c r="H9" s="406">
        <f>MAX(E10,F10,G10)</f>
        <v>90.2</v>
      </c>
    </row>
    <row r="10" spans="1:13" ht="20.100000000000001" customHeight="1" thickBot="1">
      <c r="B10" s="6" t="s">
        <v>60</v>
      </c>
      <c r="C10" s="724">
        <v>5</v>
      </c>
      <c r="D10" s="291" t="s">
        <v>61</v>
      </c>
      <c r="E10" s="119">
        <v>73.599999999999994</v>
      </c>
      <c r="F10" s="120">
        <v>90.2</v>
      </c>
      <c r="G10" s="311">
        <v>69.400000000000006</v>
      </c>
      <c r="H10" s="408">
        <f>MIN(E10,F10,G10)</f>
        <v>69.400000000000006</v>
      </c>
      <c r="I10" s="12"/>
    </row>
    <row r="11" spans="1:13" ht="20.100000000000001" customHeight="1" thickBot="1">
      <c r="B11" s="6" t="s">
        <v>62</v>
      </c>
      <c r="C11" s="724">
        <v>7</v>
      </c>
      <c r="D11" s="143" t="s">
        <v>63</v>
      </c>
      <c r="E11" s="121">
        <f>ROUND(AVERAGE(E10:G10),1)</f>
        <v>77.7</v>
      </c>
      <c r="F11" s="287">
        <f>ROUND((E10+F10)/2,1)</f>
        <v>81.900000000000006</v>
      </c>
      <c r="H11" s="407">
        <f>ROUND(AVERAGE(E10:G10),1)</f>
        <v>77.7</v>
      </c>
      <c r="I11" s="12"/>
      <c r="J11" s="635" t="s">
        <v>114</v>
      </c>
      <c r="K11" s="636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725">
        <f>C7-C9</f>
        <v>88</v>
      </c>
      <c r="H12" s="14"/>
      <c r="J12" s="308" t="s">
        <v>116</v>
      </c>
      <c r="K12" s="461">
        <v>152</v>
      </c>
      <c r="L12" s="462">
        <f>K12+180</f>
        <v>332</v>
      </c>
    </row>
    <row r="13" spans="1:13" ht="20.100000000000001" customHeight="1">
      <c r="A13" s="13">
        <f>C10+C11+C12+C13</f>
        <v>100</v>
      </c>
      <c r="B13" s="6" t="s">
        <v>65</v>
      </c>
      <c r="C13" s="725"/>
      <c r="D13" s="131" t="str">
        <f>All!B2</f>
        <v>서울기상청</v>
      </c>
      <c r="E13" s="131" t="str">
        <f>Recharge!I24</f>
        <v>한강/한강서울</v>
      </c>
      <c r="F13" s="122">
        <f>rf_1</f>
        <v>0.14099999999999999</v>
      </c>
      <c r="G13" s="122">
        <f>allow_ratio</f>
        <v>0.72399999999999998</v>
      </c>
      <c r="H13" s="15"/>
      <c r="J13" s="308" t="s">
        <v>109</v>
      </c>
      <c r="K13" s="315">
        <v>2113</v>
      </c>
      <c r="L13" s="312"/>
    </row>
    <row r="14" spans="1:13" ht="20.100000000000001" customHeight="1">
      <c r="B14" s="6" t="s">
        <v>66</v>
      </c>
      <c r="C14" s="723">
        <f>C7-IF(C20&gt;C9,C20,C9)</f>
        <v>88</v>
      </c>
      <c r="G14" s="122">
        <f>max</f>
        <v>1439.8</v>
      </c>
      <c r="H14" s="15"/>
      <c r="J14" s="308" t="s">
        <v>110</v>
      </c>
      <c r="K14" s="315">
        <v>16</v>
      </c>
      <c r="L14" s="312"/>
    </row>
    <row r="15" spans="1:13" ht="20.100000000000001" customHeight="1" thickBot="1">
      <c r="B15" s="6" t="s">
        <v>67</v>
      </c>
      <c r="C15" s="726">
        <f>Well!I5</f>
        <v>80</v>
      </c>
      <c r="E15" s="34">
        <v>2</v>
      </c>
      <c r="J15" s="308" t="s">
        <v>111</v>
      </c>
      <c r="K15" s="315">
        <v>7</v>
      </c>
      <c r="L15" s="312"/>
    </row>
    <row r="16" spans="1:13" ht="20.100000000000001" customHeight="1">
      <c r="B16" s="6" t="s">
        <v>68</v>
      </c>
      <c r="C16" s="727">
        <f>Well!J5</f>
        <v>80</v>
      </c>
      <c r="E16" s="108" t="s">
        <v>255</v>
      </c>
      <c r="F16" s="109" t="s">
        <v>95</v>
      </c>
      <c r="G16" s="110" t="s">
        <v>94</v>
      </c>
      <c r="H16" s="15"/>
      <c r="J16" s="308" t="s">
        <v>117</v>
      </c>
      <c r="K16" s="316">
        <f>K14-C20</f>
        <v>14.8</v>
      </c>
      <c r="L16" s="312"/>
    </row>
    <row r="17" spans="2:12" ht="20.100000000000001" customHeight="1" thickBot="1">
      <c r="B17" s="6" t="s">
        <v>69</v>
      </c>
      <c r="C17" s="726">
        <f>Well!L5</f>
        <v>15</v>
      </c>
      <c r="E17" s="234">
        <f>Well!P5</f>
        <v>6919125.9708000002</v>
      </c>
      <c r="F17" s="137">
        <f>(max*rf_1*E17/1000)</f>
        <v>1404664.2177588553</v>
      </c>
      <c r="G17" s="136">
        <f>F17*allow_ratio</f>
        <v>1016976.8936574112</v>
      </c>
      <c r="J17" s="308" t="s">
        <v>112</v>
      </c>
      <c r="K17" s="316">
        <f>K16-K15</f>
        <v>7.8000000000000007</v>
      </c>
      <c r="L17" s="312"/>
    </row>
    <row r="18" spans="2:12" ht="20.100000000000001" customHeight="1" thickBot="1">
      <c r="B18" s="6" t="s">
        <v>70</v>
      </c>
      <c r="C18" s="726">
        <f>Well!M5</f>
        <v>65</v>
      </c>
      <c r="E18" s="2" t="s">
        <v>71</v>
      </c>
      <c r="F18" s="26" t="s">
        <v>72</v>
      </c>
      <c r="G18" s="25" t="s">
        <v>73</v>
      </c>
      <c r="H18" s="117" t="s">
        <v>168</v>
      </c>
      <c r="I18" s="24"/>
      <c r="J18" s="309" t="s">
        <v>113</v>
      </c>
      <c r="K18" s="313">
        <f>(K17/K13)</f>
        <v>3.6914339801230483E-3</v>
      </c>
      <c r="L18" s="314">
        <f>K18*100</f>
        <v>0.36914339801230484</v>
      </c>
    </row>
    <row r="19" spans="2:12" ht="20.100000000000001" customHeight="1" thickBot="1">
      <c r="B19" s="17" t="s">
        <v>74</v>
      </c>
      <c r="C19" s="728">
        <f>Well!N5</f>
        <v>50</v>
      </c>
      <c r="E19" s="234">
        <f>E17</f>
        <v>6919125.9708000002</v>
      </c>
      <c r="F19" s="134">
        <f>(max*rf_1*E19/1000)/365</f>
        <v>3848.3951171475487</v>
      </c>
      <c r="G19" s="135">
        <f>F19*allow_ratio</f>
        <v>2786.2380648148251</v>
      </c>
      <c r="H19" s="118">
        <f>G19-F21</f>
        <v>2362.4380648148249</v>
      </c>
    </row>
    <row r="20" spans="2:12" ht="20.100000000000001" customHeight="1">
      <c r="B20" s="18" t="s">
        <v>75</v>
      </c>
      <c r="C20" s="729">
        <v>1.2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730">
        <v>38.4</v>
      </c>
      <c r="D21" s="13"/>
      <c r="E21" s="235">
        <f>Well!$I$8</f>
        <v>240</v>
      </c>
      <c r="F21" s="236">
        <f>Well!O5</f>
        <v>423.8</v>
      </c>
      <c r="G21" s="136">
        <f>G19-E21-F21</f>
        <v>2122.4380648148249</v>
      </c>
    </row>
    <row r="22" spans="2:12" ht="20.100000000000001" customHeight="1" thickBot="1">
      <c r="B22" s="27" t="s">
        <v>161</v>
      </c>
      <c r="C22" s="731">
        <f>C21-C20</f>
        <v>37.199999999999996</v>
      </c>
      <c r="E22" s="637">
        <f>E21+F21</f>
        <v>663.8</v>
      </c>
      <c r="F22" s="638"/>
      <c r="G22" s="16"/>
      <c r="I22" s="15"/>
    </row>
    <row r="23" spans="2:12" ht="20.100000000000001" customHeight="1" thickBot="1">
      <c r="B23" s="191" t="s">
        <v>229</v>
      </c>
      <c r="C23" s="717">
        <v>2.83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633" t="s">
        <v>592</v>
      </c>
      <c r="C25" s="634"/>
      <c r="D25" s="333" t="s">
        <v>103</v>
      </c>
      <c r="E25" s="333" t="s">
        <v>104</v>
      </c>
      <c r="F25" s="333" t="s">
        <v>96</v>
      </c>
      <c r="G25" s="333" t="s">
        <v>97</v>
      </c>
      <c r="H25" s="333" t="s">
        <v>118</v>
      </c>
      <c r="I25" s="333" t="s">
        <v>98</v>
      </c>
      <c r="J25" s="237" t="s">
        <v>99</v>
      </c>
      <c r="K25" s="334" t="s">
        <v>100</v>
      </c>
    </row>
    <row r="26" spans="2:12" ht="25.5" customHeight="1">
      <c r="B26" s="703" t="s">
        <v>690</v>
      </c>
      <c r="C26" s="335" t="s">
        <v>101</v>
      </c>
      <c r="D26" s="282">
        <f>C20</f>
        <v>1.2</v>
      </c>
      <c r="E26" s="283">
        <f>Recharge!C30</f>
        <v>20.301179999999995</v>
      </c>
      <c r="F26" s="284" t="s">
        <v>180</v>
      </c>
      <c r="G26" s="282" t="s">
        <v>369</v>
      </c>
      <c r="H26" s="285">
        <f>L18</f>
        <v>0.36914339801230484</v>
      </c>
      <c r="I26" s="282" t="s">
        <v>180</v>
      </c>
      <c r="J26" s="286">
        <f>(E7/C14)/864</f>
        <v>1.6433869949494949E-5</v>
      </c>
      <c r="K26" s="281" t="s">
        <v>619</v>
      </c>
    </row>
    <row r="27" spans="2:12" ht="25.5" customHeight="1">
      <c r="B27" s="704"/>
      <c r="C27" s="238" t="s">
        <v>102</v>
      </c>
      <c r="D27" s="238">
        <v>10</v>
      </c>
      <c r="E27" s="238">
        <v>8</v>
      </c>
      <c r="F27" s="238">
        <v>3</v>
      </c>
      <c r="G27" s="238">
        <v>3</v>
      </c>
      <c r="H27" s="238">
        <v>10</v>
      </c>
      <c r="I27" s="238">
        <v>4</v>
      </c>
      <c r="J27" s="238">
        <v>1</v>
      </c>
      <c r="K27" s="281" t="s">
        <v>688</v>
      </c>
    </row>
    <row r="28" spans="2:12" ht="25.5" customHeight="1">
      <c r="B28" s="704"/>
      <c r="C28" s="336" t="s">
        <v>173</v>
      </c>
      <c r="D28" s="278">
        <v>5</v>
      </c>
      <c r="E28" s="278">
        <v>4</v>
      </c>
      <c r="F28" s="278">
        <v>3</v>
      </c>
      <c r="G28" s="278">
        <v>2</v>
      </c>
      <c r="H28" s="278">
        <v>1</v>
      </c>
      <c r="I28" s="278">
        <v>5</v>
      </c>
      <c r="J28" s="278">
        <v>3</v>
      </c>
      <c r="K28" s="279"/>
    </row>
    <row r="29" spans="2:12" ht="25.5" customHeight="1">
      <c r="B29" s="704"/>
      <c r="C29" s="336" t="s">
        <v>174</v>
      </c>
      <c r="D29" s="280">
        <v>5</v>
      </c>
      <c r="E29" s="280">
        <v>4</v>
      </c>
      <c r="F29" s="280">
        <v>3</v>
      </c>
      <c r="G29" s="280">
        <v>5</v>
      </c>
      <c r="H29" s="280">
        <v>3</v>
      </c>
      <c r="I29" s="280">
        <v>4</v>
      </c>
      <c r="J29" s="280">
        <v>2</v>
      </c>
      <c r="K29" s="279"/>
    </row>
    <row r="30" spans="2:12" ht="25.5" customHeight="1">
      <c r="B30" s="704"/>
      <c r="C30" s="335" t="s">
        <v>175</v>
      </c>
      <c r="D30" s="239">
        <f>D27*D28</f>
        <v>50</v>
      </c>
      <c r="E30" s="239">
        <f t="shared" ref="E30:J30" si="0">E27*E28</f>
        <v>32</v>
      </c>
      <c r="F30" s="239">
        <f t="shared" si="0"/>
        <v>9</v>
      </c>
      <c r="G30" s="239">
        <f t="shared" si="0"/>
        <v>6</v>
      </c>
      <c r="H30" s="239">
        <f t="shared" si="0"/>
        <v>10</v>
      </c>
      <c r="I30" s="239">
        <f t="shared" si="0"/>
        <v>20</v>
      </c>
      <c r="J30" s="239">
        <f t="shared" si="0"/>
        <v>3</v>
      </c>
      <c r="K30" s="240">
        <f>SUM(D30:J30)</f>
        <v>130</v>
      </c>
    </row>
    <row r="31" spans="2:12" ht="25.5" customHeight="1" thickBot="1">
      <c r="B31" s="705"/>
      <c r="C31" s="337" t="s">
        <v>176</v>
      </c>
      <c r="D31" s="241">
        <f t="shared" ref="D31:J31" si="1">D27*D29</f>
        <v>50</v>
      </c>
      <c r="E31" s="241">
        <f t="shared" si="1"/>
        <v>32</v>
      </c>
      <c r="F31" s="241">
        <f t="shared" si="1"/>
        <v>9</v>
      </c>
      <c r="G31" s="241">
        <f t="shared" si="1"/>
        <v>15</v>
      </c>
      <c r="H31" s="241">
        <f t="shared" si="1"/>
        <v>30</v>
      </c>
      <c r="I31" s="241">
        <f t="shared" si="1"/>
        <v>16</v>
      </c>
      <c r="J31" s="241">
        <f t="shared" si="1"/>
        <v>2</v>
      </c>
      <c r="K31" s="242">
        <f>SUM(D31:J31)</f>
        <v>154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71717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71717" r:id="rId4" name="CommandButton8"/>
      </mc:Fallback>
    </mc:AlternateContent>
    <mc:AlternateContent xmlns:mc="http://schemas.openxmlformats.org/markup-compatibility/2006">
      <mc:Choice Requires="x14">
        <control shapeId="371715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71715" r:id="rId6" name="CommandButton6"/>
      </mc:Fallback>
    </mc:AlternateContent>
    <mc:AlternateContent xmlns:mc="http://schemas.openxmlformats.org/markup-compatibility/2006">
      <mc:Choice Requires="x14">
        <control shapeId="371714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71714" r:id="rId8" name="Frame1"/>
      </mc:Fallback>
    </mc:AlternateContent>
    <mc:AlternateContent xmlns:mc="http://schemas.openxmlformats.org/markup-compatibility/2006">
      <mc:Choice Requires="x14">
        <control shapeId="371713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71713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642E53C-9DFF-49B4-B510-DB57D66AEF68}">
          <x14:formula1>
            <xm:f>drastic!$G$4:$G$14</xm:f>
          </x14:formula1>
          <xm:sqref>I26</xm:sqref>
        </x14:dataValidation>
        <x14:dataValidation type="list" allowBlank="1" showInputMessage="1" showErrorMessage="1" xr:uid="{4C1812B6-649E-475B-9FDB-B916F16CEFB9}">
          <x14:formula1>
            <xm:f>drastic!$D$4:$D$14</xm:f>
          </x14:formula1>
          <xm:sqref>G26</xm:sqref>
        </x14:dataValidation>
        <x14:dataValidation type="list" allowBlank="1" showInputMessage="1" showErrorMessage="1" xr:uid="{41AC1539-20D8-4BB6-B0B9-685882D3B505}">
          <x14:formula1>
            <xm:f>drastic!$A$4:$A$13</xm:f>
          </x14:formula1>
          <xm:sqref>F26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A16527-84E3-4499-B705-633684AE03D8}">
  <sheetPr codeName="Sheet_W3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155</v>
      </c>
      <c r="C2" s="332" t="str">
        <f>Well!D6</f>
        <v xml:space="preserve"> 전의면 유천리 227번지 </v>
      </c>
      <c r="H2"/>
      <c r="I2" s="138" t="s">
        <v>739</v>
      </c>
      <c r="J2"/>
      <c r="K2"/>
      <c r="L2"/>
      <c r="M2"/>
    </row>
    <row r="3" spans="1:13" ht="20.100000000000001" customHeight="1">
      <c r="B3" s="2" t="s">
        <v>6</v>
      </c>
      <c r="C3" s="718">
        <f>Well!C6</f>
        <v>0</v>
      </c>
      <c r="D3" s="3" t="s">
        <v>49</v>
      </c>
      <c r="E3" s="4" t="s">
        <v>115</v>
      </c>
      <c r="F3" s="5" t="s">
        <v>105</v>
      </c>
      <c r="G3" s="2" t="s">
        <v>337</v>
      </c>
      <c r="H3"/>
      <c r="I3"/>
      <c r="J3"/>
      <c r="K3"/>
      <c r="L3"/>
      <c r="M3"/>
    </row>
    <row r="4" spans="1:13" ht="20.100000000000001" customHeight="1" thickBot="1">
      <c r="B4" s="6" t="s">
        <v>50</v>
      </c>
      <c r="C4" s="719">
        <f>Well!R6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719">
        <f>Well!Q6</f>
        <v>0</v>
      </c>
      <c r="D5" s="7" t="s">
        <v>53</v>
      </c>
      <c r="E5" s="432">
        <v>1.4419999999999999</v>
      </c>
      <c r="F5" s="28">
        <f>$E$5/$C$14</f>
        <v>1.6386363636363636E-2</v>
      </c>
      <c r="G5" s="434">
        <v>3.1629999999999999E-4</v>
      </c>
      <c r="H5" s="292">
        <v>-2.7317573670347643</v>
      </c>
      <c r="I5"/>
      <c r="J5" s="319" t="s">
        <v>340</v>
      </c>
      <c r="K5"/>
      <c r="L5"/>
      <c r="M5"/>
    </row>
    <row r="6" spans="1:13" ht="20.100000000000001" customHeight="1" thickBot="1">
      <c r="B6" s="6" t="s">
        <v>54</v>
      </c>
      <c r="C6" s="720" t="str">
        <f>Well!D6</f>
        <v xml:space="preserve"> 전의면 유천리 227번지 </v>
      </c>
      <c r="D6" s="7" t="s">
        <v>56</v>
      </c>
      <c r="E6" s="433">
        <v>1.0569999999999999</v>
      </c>
      <c r="F6" s="28">
        <f>$E$6/$C$14</f>
        <v>1.2011363636363636E-2</v>
      </c>
      <c r="G6" s="10">
        <v>48.87</v>
      </c>
      <c r="H6" s="663">
        <v>1.536</v>
      </c>
      <c r="I6"/>
      <c r="J6" s="320" t="s">
        <v>338</v>
      </c>
      <c r="K6" s="317">
        <v>580</v>
      </c>
      <c r="L6"/>
      <c r="M6"/>
    </row>
    <row r="7" spans="1:13" ht="20.100000000000001" customHeight="1" thickBot="1">
      <c r="B7" s="6" t="s">
        <v>55</v>
      </c>
      <c r="C7" s="721">
        <f>Well!H6</f>
        <v>100</v>
      </c>
      <c r="D7" s="142" t="s">
        <v>58</v>
      </c>
      <c r="E7" s="139">
        <f>ROUND((E5+E6)/2,4)</f>
        <v>1.2495000000000001</v>
      </c>
      <c r="F7" s="29">
        <f>$E$7/$C$14</f>
        <v>1.4198863636363636E-2</v>
      </c>
      <c r="G7" s="293">
        <f>G5</f>
        <v>3.1629999999999999E-4</v>
      </c>
      <c r="H7" s="288">
        <v>7.4639999999999998E-2</v>
      </c>
      <c r="I7"/>
      <c r="J7" s="321" t="s">
        <v>339</v>
      </c>
      <c r="K7" s="318">
        <v>0</v>
      </c>
      <c r="L7"/>
      <c r="M7"/>
    </row>
    <row r="8" spans="1:13" ht="20.100000000000001" customHeight="1" thickBot="1">
      <c r="B8" s="6" t="s">
        <v>57</v>
      </c>
      <c r="C8" s="722">
        <f>Well!G6</f>
        <v>200</v>
      </c>
    </row>
    <row r="9" spans="1:13" ht="20.100000000000001" customHeight="1" thickBot="1">
      <c r="B9" s="6" t="s">
        <v>59</v>
      </c>
      <c r="C9" s="723">
        <f>C10+C11</f>
        <v>12</v>
      </c>
      <c r="D9" s="11"/>
      <c r="E9" s="289" t="s">
        <v>106</v>
      </c>
      <c r="F9" s="290" t="s">
        <v>107</v>
      </c>
      <c r="G9" s="310" t="s">
        <v>108</v>
      </c>
      <c r="H9" s="406">
        <f>MAX(E10,F10,G10)</f>
        <v>90.2</v>
      </c>
    </row>
    <row r="10" spans="1:13" ht="20.100000000000001" customHeight="1" thickBot="1">
      <c r="B10" s="6" t="s">
        <v>60</v>
      </c>
      <c r="C10" s="724">
        <v>5</v>
      </c>
      <c r="D10" s="291" t="s">
        <v>61</v>
      </c>
      <c r="E10" s="119">
        <v>73.599999999999994</v>
      </c>
      <c r="F10" s="120">
        <v>90.2</v>
      </c>
      <c r="G10" s="311">
        <v>69.400000000000006</v>
      </c>
      <c r="H10" s="408">
        <f>MIN(E10,F10,G10)</f>
        <v>69.400000000000006</v>
      </c>
      <c r="I10" s="12"/>
    </row>
    <row r="11" spans="1:13" ht="20.100000000000001" customHeight="1" thickBot="1">
      <c r="B11" s="6" t="s">
        <v>62</v>
      </c>
      <c r="C11" s="724">
        <v>7</v>
      </c>
      <c r="D11" s="143" t="s">
        <v>63</v>
      </c>
      <c r="E11" s="121">
        <f>ROUND(AVERAGE(E10:G10),1)</f>
        <v>77.7</v>
      </c>
      <c r="F11" s="287">
        <f>ROUND((E10+F10)/2,1)</f>
        <v>81.900000000000006</v>
      </c>
      <c r="H11" s="407">
        <f>ROUND(AVERAGE(E10:G10),1)</f>
        <v>77.7</v>
      </c>
      <c r="I11" s="12"/>
      <c r="J11" s="635" t="s">
        <v>114</v>
      </c>
      <c r="K11" s="636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725">
        <f>C7-C9</f>
        <v>88</v>
      </c>
      <c r="H12" s="14"/>
      <c r="J12" s="308" t="s">
        <v>116</v>
      </c>
      <c r="K12" s="461">
        <v>152</v>
      </c>
      <c r="L12" s="462">
        <f>K12+180</f>
        <v>332</v>
      </c>
    </row>
    <row r="13" spans="1:13" ht="20.100000000000001" customHeight="1">
      <c r="A13" s="13">
        <f>C10+C11+C12+C13</f>
        <v>100</v>
      </c>
      <c r="B13" s="6" t="s">
        <v>65</v>
      </c>
      <c r="C13" s="725"/>
      <c r="D13" s="131" t="str">
        <f>All!B2</f>
        <v>서울기상청</v>
      </c>
      <c r="E13" s="131" t="str">
        <f>Recharge!I24</f>
        <v>한강/한강서울</v>
      </c>
      <c r="F13" s="122">
        <f>rf_1</f>
        <v>0.14099999999999999</v>
      </c>
      <c r="G13" s="122">
        <f>allow_ratio</f>
        <v>0.72399999999999998</v>
      </c>
      <c r="H13" s="15"/>
      <c r="J13" s="308" t="s">
        <v>109</v>
      </c>
      <c r="K13" s="315">
        <v>2113</v>
      </c>
      <c r="L13" s="312"/>
    </row>
    <row r="14" spans="1:13" ht="20.100000000000001" customHeight="1">
      <c r="B14" s="6" t="s">
        <v>66</v>
      </c>
      <c r="C14" s="723">
        <f>C7-IF(C20&gt;C9,C20,C9)</f>
        <v>88</v>
      </c>
      <c r="G14" s="122">
        <f>max</f>
        <v>1439.8</v>
      </c>
      <c r="H14" s="15"/>
      <c r="J14" s="308" t="s">
        <v>110</v>
      </c>
      <c r="K14" s="315">
        <v>16</v>
      </c>
      <c r="L14" s="312"/>
    </row>
    <row r="15" spans="1:13" ht="20.100000000000001" customHeight="1" thickBot="1">
      <c r="B15" s="6" t="s">
        <v>67</v>
      </c>
      <c r="C15" s="726">
        <f>Well!I6</f>
        <v>80</v>
      </c>
      <c r="E15" s="34">
        <v>3</v>
      </c>
      <c r="J15" s="308" t="s">
        <v>111</v>
      </c>
      <c r="K15" s="315">
        <v>7</v>
      </c>
      <c r="L15" s="312"/>
    </row>
    <row r="16" spans="1:13" ht="20.100000000000001" customHeight="1">
      <c r="B16" s="6" t="s">
        <v>68</v>
      </c>
      <c r="C16" s="727">
        <f>Well!J6</f>
        <v>80</v>
      </c>
      <c r="E16" s="108" t="s">
        <v>255</v>
      </c>
      <c r="F16" s="109" t="s">
        <v>95</v>
      </c>
      <c r="G16" s="110" t="s">
        <v>94</v>
      </c>
      <c r="H16" s="15"/>
      <c r="J16" s="308" t="s">
        <v>117</v>
      </c>
      <c r="K16" s="316">
        <f>K14-C20</f>
        <v>14.8</v>
      </c>
      <c r="L16" s="312"/>
    </row>
    <row r="17" spans="2:12" ht="20.100000000000001" customHeight="1" thickBot="1">
      <c r="B17" s="6" t="s">
        <v>69</v>
      </c>
      <c r="C17" s="726">
        <f>Well!L6</f>
        <v>15</v>
      </c>
      <c r="E17" s="234">
        <f>Well!P6</f>
        <v>6919125.9708000002</v>
      </c>
      <c r="F17" s="137">
        <f>(max*rf_1*E17/1000)</f>
        <v>1404664.2177588553</v>
      </c>
      <c r="G17" s="136">
        <f>F17*allow_ratio</f>
        <v>1016976.8936574112</v>
      </c>
      <c r="J17" s="308" t="s">
        <v>112</v>
      </c>
      <c r="K17" s="316">
        <f>K16-K15</f>
        <v>7.8000000000000007</v>
      </c>
      <c r="L17" s="312"/>
    </row>
    <row r="18" spans="2:12" ht="20.100000000000001" customHeight="1" thickBot="1">
      <c r="B18" s="6" t="s">
        <v>70</v>
      </c>
      <c r="C18" s="726">
        <f>Well!M6</f>
        <v>65</v>
      </c>
      <c r="E18" s="2" t="s">
        <v>71</v>
      </c>
      <c r="F18" s="26" t="s">
        <v>72</v>
      </c>
      <c r="G18" s="25" t="s">
        <v>73</v>
      </c>
      <c r="H18" s="117" t="s">
        <v>168</v>
      </c>
      <c r="I18" s="24"/>
      <c r="J18" s="309" t="s">
        <v>113</v>
      </c>
      <c r="K18" s="313">
        <f>(K17/K13)</f>
        <v>3.6914339801230483E-3</v>
      </c>
      <c r="L18" s="314">
        <f>K18*100</f>
        <v>0.36914339801230484</v>
      </c>
    </row>
    <row r="19" spans="2:12" ht="20.100000000000001" customHeight="1" thickBot="1">
      <c r="B19" s="17" t="s">
        <v>74</v>
      </c>
      <c r="C19" s="728">
        <f>Well!N6</f>
        <v>50</v>
      </c>
      <c r="E19" s="234">
        <f>E17</f>
        <v>6919125.9708000002</v>
      </c>
      <c r="F19" s="134">
        <f>(max*rf_1*E19/1000)/365</f>
        <v>3848.3951171475487</v>
      </c>
      <c r="G19" s="135">
        <f>F19*allow_ratio</f>
        <v>2786.2380648148251</v>
      </c>
      <c r="H19" s="118">
        <f>G19-F21</f>
        <v>2362.4380648148249</v>
      </c>
    </row>
    <row r="20" spans="2:12" ht="20.100000000000001" customHeight="1">
      <c r="B20" s="18" t="s">
        <v>75</v>
      </c>
      <c r="C20" s="729">
        <v>1.2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730">
        <v>38.4</v>
      </c>
      <c r="D21" s="13"/>
      <c r="E21" s="235">
        <f>Well!$I$8</f>
        <v>240</v>
      </c>
      <c r="F21" s="236">
        <f>Well!O6</f>
        <v>423.8</v>
      </c>
      <c r="G21" s="136">
        <f>G19-E21-F21</f>
        <v>2122.4380648148249</v>
      </c>
    </row>
    <row r="22" spans="2:12" ht="20.100000000000001" customHeight="1" thickBot="1">
      <c r="B22" s="27" t="s">
        <v>161</v>
      </c>
      <c r="C22" s="731">
        <f>C21-C20</f>
        <v>37.199999999999996</v>
      </c>
      <c r="E22" s="637">
        <f>E21+F21</f>
        <v>663.8</v>
      </c>
      <c r="F22" s="638"/>
      <c r="G22" s="16"/>
      <c r="I22" s="15"/>
    </row>
    <row r="23" spans="2:12" ht="20.100000000000001" customHeight="1" thickBot="1">
      <c r="B23" s="191" t="s">
        <v>229</v>
      </c>
      <c r="C23" s="717">
        <v>2.83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633" t="s">
        <v>592</v>
      </c>
      <c r="C25" s="634"/>
      <c r="D25" s="333" t="s">
        <v>103</v>
      </c>
      <c r="E25" s="333" t="s">
        <v>104</v>
      </c>
      <c r="F25" s="333" t="s">
        <v>96</v>
      </c>
      <c r="G25" s="333" t="s">
        <v>97</v>
      </c>
      <c r="H25" s="333" t="s">
        <v>118</v>
      </c>
      <c r="I25" s="333" t="s">
        <v>98</v>
      </c>
      <c r="J25" s="237" t="s">
        <v>99</v>
      </c>
      <c r="K25" s="334" t="s">
        <v>100</v>
      </c>
    </row>
    <row r="26" spans="2:12" ht="25.5" customHeight="1">
      <c r="B26" s="703" t="s">
        <v>741</v>
      </c>
      <c r="C26" s="335" t="s">
        <v>101</v>
      </c>
      <c r="D26" s="282">
        <f>C20</f>
        <v>1.2</v>
      </c>
      <c r="E26" s="283">
        <f>Recharge!C30</f>
        <v>20.301179999999995</v>
      </c>
      <c r="F26" s="284" t="s">
        <v>180</v>
      </c>
      <c r="G26" s="282" t="s">
        <v>369</v>
      </c>
      <c r="H26" s="285">
        <f>L18</f>
        <v>0.36914339801230484</v>
      </c>
      <c r="I26" s="282" t="s">
        <v>180</v>
      </c>
      <c r="J26" s="286">
        <f>(E7/C14)/864</f>
        <v>1.6433869949494949E-5</v>
      </c>
      <c r="K26" s="281" t="s">
        <v>619</v>
      </c>
    </row>
    <row r="27" spans="2:12" ht="25.5" customHeight="1">
      <c r="B27" s="704"/>
      <c r="C27" s="238" t="s">
        <v>102</v>
      </c>
      <c r="D27" s="238">
        <v>10</v>
      </c>
      <c r="E27" s="238">
        <v>8</v>
      </c>
      <c r="F27" s="238">
        <v>3</v>
      </c>
      <c r="G27" s="238">
        <v>3</v>
      </c>
      <c r="H27" s="238">
        <v>10</v>
      </c>
      <c r="I27" s="238">
        <v>4</v>
      </c>
      <c r="J27" s="238">
        <v>1</v>
      </c>
      <c r="K27" s="281" t="s">
        <v>688</v>
      </c>
    </row>
    <row r="28" spans="2:12" ht="25.5" customHeight="1">
      <c r="B28" s="704"/>
      <c r="C28" s="336" t="s">
        <v>173</v>
      </c>
      <c r="D28" s="278">
        <v>5</v>
      </c>
      <c r="E28" s="278">
        <v>4</v>
      </c>
      <c r="F28" s="278">
        <v>3</v>
      </c>
      <c r="G28" s="278">
        <v>2</v>
      </c>
      <c r="H28" s="278">
        <v>1</v>
      </c>
      <c r="I28" s="278">
        <v>5</v>
      </c>
      <c r="J28" s="278">
        <v>3</v>
      </c>
      <c r="K28" s="279"/>
    </row>
    <row r="29" spans="2:12" ht="25.5" customHeight="1">
      <c r="B29" s="704"/>
      <c r="C29" s="336" t="s">
        <v>174</v>
      </c>
      <c r="D29" s="280">
        <v>5</v>
      </c>
      <c r="E29" s="280">
        <v>4</v>
      </c>
      <c r="F29" s="280">
        <v>3</v>
      </c>
      <c r="G29" s="280">
        <v>5</v>
      </c>
      <c r="H29" s="280">
        <v>3</v>
      </c>
      <c r="I29" s="280">
        <v>4</v>
      </c>
      <c r="J29" s="280">
        <v>2</v>
      </c>
      <c r="K29" s="279"/>
    </row>
    <row r="30" spans="2:12" ht="25.5" customHeight="1">
      <c r="B30" s="704"/>
      <c r="C30" s="335" t="s">
        <v>175</v>
      </c>
      <c r="D30" s="239">
        <f>D27*D28</f>
        <v>50</v>
      </c>
      <c r="E30" s="239">
        <f t="shared" ref="E30:J30" si="0">E27*E28</f>
        <v>32</v>
      </c>
      <c r="F30" s="239">
        <f t="shared" si="0"/>
        <v>9</v>
      </c>
      <c r="G30" s="239">
        <f t="shared" si="0"/>
        <v>6</v>
      </c>
      <c r="H30" s="239">
        <f t="shared" si="0"/>
        <v>10</v>
      </c>
      <c r="I30" s="239">
        <f t="shared" si="0"/>
        <v>20</v>
      </c>
      <c r="J30" s="239">
        <f t="shared" si="0"/>
        <v>3</v>
      </c>
      <c r="K30" s="240">
        <f>SUM(D30:J30)</f>
        <v>130</v>
      </c>
    </row>
    <row r="31" spans="2:12" ht="25.5" customHeight="1" thickBot="1">
      <c r="B31" s="705"/>
      <c r="C31" s="337" t="s">
        <v>176</v>
      </c>
      <c r="D31" s="241">
        <f t="shared" ref="D31:J31" si="1">D27*D29</f>
        <v>50</v>
      </c>
      <c r="E31" s="241">
        <f t="shared" si="1"/>
        <v>32</v>
      </c>
      <c r="F31" s="241">
        <f t="shared" si="1"/>
        <v>9</v>
      </c>
      <c r="G31" s="241">
        <f t="shared" si="1"/>
        <v>15</v>
      </c>
      <c r="H31" s="241">
        <f t="shared" si="1"/>
        <v>30</v>
      </c>
      <c r="I31" s="241">
        <f t="shared" si="1"/>
        <v>16</v>
      </c>
      <c r="J31" s="241">
        <f t="shared" si="1"/>
        <v>2</v>
      </c>
      <c r="K31" s="242">
        <f>SUM(D31:J31)</f>
        <v>154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72740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72740" r:id="rId4" name="CommandButton8"/>
      </mc:Fallback>
    </mc:AlternateContent>
    <mc:AlternateContent xmlns:mc="http://schemas.openxmlformats.org/markup-compatibility/2006">
      <mc:Choice Requires="x14">
        <control shapeId="372739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72739" r:id="rId6" name="CommandButton6"/>
      </mc:Fallback>
    </mc:AlternateContent>
    <mc:AlternateContent xmlns:mc="http://schemas.openxmlformats.org/markup-compatibility/2006">
      <mc:Choice Requires="x14">
        <control shapeId="372738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72738" r:id="rId8" name="Frame1"/>
      </mc:Fallback>
    </mc:AlternateContent>
    <mc:AlternateContent xmlns:mc="http://schemas.openxmlformats.org/markup-compatibility/2006">
      <mc:Choice Requires="x14">
        <control shapeId="372737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72737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198E4ECF-05BA-41F9-A474-76C3BCC29AE7}">
          <x14:formula1>
            <xm:f>drastic!$A$4:$A$13</xm:f>
          </x14:formula1>
          <xm:sqref>F26</xm:sqref>
        </x14:dataValidation>
        <x14:dataValidation type="list" allowBlank="1" showInputMessage="1" showErrorMessage="1" xr:uid="{DD07E948-1755-4D52-A6A3-D0C4FC9FEDE4}">
          <x14:formula1>
            <xm:f>drastic!$D$4:$D$14</xm:f>
          </x14:formula1>
          <xm:sqref>G26</xm:sqref>
        </x14:dataValidation>
        <x14:dataValidation type="list" allowBlank="1" showInputMessage="1" showErrorMessage="1" xr:uid="{DEDE2EDF-5233-4548-AE24-4970D84606DE}">
          <x14:formula1>
            <xm:f>drastic!$G$4:$G$14</xm:f>
          </x14:formula1>
          <xm:sqref>I26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_Q1">
    <tabColor theme="2" tint="-9.9978637043366805E-2"/>
  </sheetPr>
  <dimension ref="B1:N37"/>
  <sheetViews>
    <sheetView workbookViewId="0">
      <selection activeCell="J26" sqref="J26"/>
    </sheetView>
  </sheetViews>
  <sheetFormatPr defaultColWidth="8.88671875" defaultRowHeight="26.1" customHeight="1"/>
  <cols>
    <col min="1" max="1" width="8.88671875" style="35"/>
    <col min="2" max="2" width="16.6640625" style="35" customWidth="1"/>
    <col min="3" max="4" width="14.6640625" style="35" customWidth="1"/>
    <col min="5" max="5" width="12" style="36" customWidth="1"/>
    <col min="6" max="6" width="12.33203125" style="36" customWidth="1"/>
    <col min="7" max="7" width="8.88671875" style="35"/>
    <col min="8" max="8" width="9.88671875" style="35" customWidth="1"/>
    <col min="9" max="9" width="8.33203125" style="35" customWidth="1"/>
    <col min="10" max="10" width="8.77734375" style="35" customWidth="1"/>
    <col min="11" max="16384" width="8.88671875" style="35"/>
  </cols>
  <sheetData>
    <row r="1" spans="2:14" s="31" customFormat="1" ht="26.1" customHeight="1">
      <c r="E1" s="30"/>
      <c r="F1" s="30"/>
    </row>
    <row r="2" spans="2:14" s="31" customFormat="1" ht="26.1" customHeight="1">
      <c r="B2" s="31" t="s">
        <v>79</v>
      </c>
      <c r="E2" s="30"/>
      <c r="F2" s="30"/>
    </row>
    <row r="3" spans="2:14" s="31" customFormat="1" ht="26.1" customHeight="1">
      <c r="E3" s="30"/>
      <c r="F3" s="30"/>
    </row>
    <row r="4" spans="2:14" s="106" customFormat="1" ht="26.1" customHeight="1">
      <c r="B4" s="104" t="s">
        <v>329</v>
      </c>
      <c r="C4" s="105" t="s">
        <v>85</v>
      </c>
      <c r="E4" s="105"/>
      <c r="F4" s="105"/>
    </row>
    <row r="5" spans="2:14" s="31" customFormat="1" ht="26.1" customHeight="1" thickBot="1">
      <c r="E5" s="30"/>
      <c r="F5" s="30"/>
    </row>
    <row r="6" spans="2:14" s="31" customFormat="1" ht="26.1" customHeight="1">
      <c r="B6" s="160" t="s">
        <v>80</v>
      </c>
      <c r="C6" s="172">
        <v>45187.430555555555</v>
      </c>
      <c r="D6" s="94"/>
      <c r="E6" s="30"/>
      <c r="F6" s="30"/>
    </row>
    <row r="7" spans="2:14" s="31" customFormat="1" ht="26.1" customHeight="1" thickBot="1">
      <c r="B7" s="163" t="s">
        <v>81</v>
      </c>
      <c r="C7" s="168">
        <v>14.8</v>
      </c>
      <c r="D7" s="94"/>
      <c r="E7" s="30"/>
      <c r="F7" s="30"/>
    </row>
    <row r="8" spans="2:14" s="31" customFormat="1" ht="26.1" customHeight="1">
      <c r="B8" s="160" t="s">
        <v>82</v>
      </c>
      <c r="C8" s="173">
        <v>215</v>
      </c>
      <c r="D8" s="94"/>
      <c r="E8" s="30"/>
      <c r="F8" s="30"/>
    </row>
    <row r="9" spans="2:14" s="31" customFormat="1" ht="26.1" customHeight="1" thickBot="1">
      <c r="B9" s="163" t="s">
        <v>83</v>
      </c>
      <c r="C9" s="174">
        <v>6.9</v>
      </c>
      <c r="D9" s="94"/>
      <c r="E9" s="30"/>
      <c r="F9" s="30"/>
    </row>
    <row r="10" spans="2:14" s="31" customFormat="1" ht="26.1" customHeight="1">
      <c r="B10" s="95"/>
      <c r="C10" s="96"/>
      <c r="D10" s="94"/>
      <c r="E10" s="30"/>
      <c r="F10" s="30"/>
    </row>
    <row r="11" spans="2:14" s="31" customFormat="1" ht="26.1" customHeight="1" thickBot="1">
      <c r="E11" s="30"/>
      <c r="F11" s="30"/>
      <c r="L11"/>
      <c r="M11"/>
      <c r="N11"/>
    </row>
    <row r="12" spans="2:14" s="30" customFormat="1" ht="26.1" customHeight="1">
      <c r="B12" s="708" t="s">
        <v>84</v>
      </c>
      <c r="C12" s="709"/>
      <c r="D12" s="710" t="s">
        <v>85</v>
      </c>
      <c r="E12" s="711"/>
      <c r="F12" s="709"/>
      <c r="H12" s="708" t="s">
        <v>85</v>
      </c>
      <c r="I12" s="711"/>
      <c r="J12" s="709"/>
      <c r="L12"/>
      <c r="M12"/>
      <c r="N12"/>
    </row>
    <row r="13" spans="2:14" s="30" customFormat="1" ht="26.1" customHeight="1">
      <c r="B13" s="198" t="s">
        <v>80</v>
      </c>
      <c r="C13" s="199" t="s">
        <v>86</v>
      </c>
      <c r="D13" s="221" t="s">
        <v>87</v>
      </c>
      <c r="E13" s="222" t="s">
        <v>88</v>
      </c>
      <c r="F13" s="199" t="s">
        <v>89</v>
      </c>
      <c r="H13" s="97" t="s">
        <v>87</v>
      </c>
      <c r="I13" s="99" t="s">
        <v>88</v>
      </c>
      <c r="J13" s="98" t="s">
        <v>89</v>
      </c>
      <c r="L13"/>
      <c r="M13"/>
      <c r="N13"/>
    </row>
    <row r="14" spans="2:14" s="30" customFormat="1" ht="26.1" customHeight="1">
      <c r="B14" s="223">
        <f>$C$6+C14/1440</f>
        <v>45187.434027777774</v>
      </c>
      <c r="C14" s="204">
        <v>5</v>
      </c>
      <c r="D14" s="224">
        <f t="shared" ref="D14:D20" si="0">baseTemp+H14</f>
        <v>15.100000000000001</v>
      </c>
      <c r="E14" s="225">
        <f>$C$8+I14</f>
        <v>221</v>
      </c>
      <c r="F14" s="226">
        <f>$C$9+J14</f>
        <v>7.0100000000000007</v>
      </c>
      <c r="H14" s="61">
        <v>0.3</v>
      </c>
      <c r="I14" s="62">
        <v>6</v>
      </c>
      <c r="J14" s="63">
        <v>0.11</v>
      </c>
      <c r="L14"/>
      <c r="M14"/>
      <c r="N14"/>
    </row>
    <row r="15" spans="2:14" s="30" customFormat="1" ht="26.1" customHeight="1">
      <c r="B15" s="227">
        <f t="shared" ref="B15:B23" si="1">$C$6+C15/1440</f>
        <v>45187.451388888891</v>
      </c>
      <c r="C15" s="210">
        <v>30</v>
      </c>
      <c r="D15" s="228">
        <f t="shared" si="0"/>
        <v>14.5</v>
      </c>
      <c r="E15" s="229">
        <f t="shared" ref="E15:E20" si="2">$C$8+I15</f>
        <v>231</v>
      </c>
      <c r="F15" s="230">
        <f t="shared" ref="F15:F20" si="3">$C$9+J15</f>
        <v>6.99</v>
      </c>
      <c r="H15" s="61">
        <v>-0.3</v>
      </c>
      <c r="I15" s="62">
        <v>16</v>
      </c>
      <c r="J15" s="63">
        <v>0.09</v>
      </c>
      <c r="L15"/>
      <c r="M15"/>
      <c r="N15"/>
    </row>
    <row r="16" spans="2:14" s="30" customFormat="1" ht="26.1" customHeight="1">
      <c r="B16" s="227">
        <f t="shared" si="1"/>
        <v>45187.472222222219</v>
      </c>
      <c r="C16" s="210">
        <v>60</v>
      </c>
      <c r="D16" s="228">
        <f t="shared" si="0"/>
        <v>14.600000000000001</v>
      </c>
      <c r="E16" s="229">
        <f t="shared" si="2"/>
        <v>217</v>
      </c>
      <c r="F16" s="230">
        <f t="shared" si="3"/>
        <v>6.8100000000000005</v>
      </c>
      <c r="H16" s="61">
        <v>-0.2</v>
      </c>
      <c r="I16" s="62">
        <v>2</v>
      </c>
      <c r="J16" s="63">
        <v>-0.09</v>
      </c>
      <c r="L16"/>
      <c r="M16"/>
      <c r="N16"/>
    </row>
    <row r="17" spans="2:14" s="30" customFormat="1" ht="26.1" customHeight="1">
      <c r="B17" s="227">
        <f t="shared" si="1"/>
        <v>45187.513888888891</v>
      </c>
      <c r="C17" s="210">
        <v>120</v>
      </c>
      <c r="D17" s="228">
        <f t="shared" si="0"/>
        <v>15</v>
      </c>
      <c r="E17" s="229">
        <f t="shared" si="2"/>
        <v>204</v>
      </c>
      <c r="F17" s="230">
        <f t="shared" si="3"/>
        <v>6.98</v>
      </c>
      <c r="H17" s="61">
        <v>0.2</v>
      </c>
      <c r="I17" s="62">
        <v>-11</v>
      </c>
      <c r="J17" s="63">
        <v>0.08</v>
      </c>
      <c r="L17"/>
      <c r="M17"/>
      <c r="N17"/>
    </row>
    <row r="18" spans="2:14" s="30" customFormat="1" ht="26.1" customHeight="1">
      <c r="B18" s="227">
        <f t="shared" si="1"/>
        <v>45187.597222222219</v>
      </c>
      <c r="C18" s="210">
        <v>240</v>
      </c>
      <c r="D18" s="228">
        <f t="shared" si="0"/>
        <v>14.9</v>
      </c>
      <c r="E18" s="229">
        <f t="shared" si="2"/>
        <v>208</v>
      </c>
      <c r="F18" s="230">
        <f t="shared" si="3"/>
        <v>6.78</v>
      </c>
      <c r="H18" s="61">
        <v>0.1</v>
      </c>
      <c r="I18" s="62">
        <v>-7</v>
      </c>
      <c r="J18" s="63">
        <v>-0.12</v>
      </c>
      <c r="L18"/>
      <c r="M18"/>
      <c r="N18"/>
    </row>
    <row r="19" spans="2:14" s="30" customFormat="1" ht="26.1" customHeight="1">
      <c r="B19" s="227">
        <f t="shared" si="1"/>
        <v>45187.763888888891</v>
      </c>
      <c r="C19" s="210">
        <v>480</v>
      </c>
      <c r="D19" s="231">
        <f t="shared" si="0"/>
        <v>14.600000000000001</v>
      </c>
      <c r="E19" s="229">
        <f t="shared" si="2"/>
        <v>230</v>
      </c>
      <c r="F19" s="230">
        <f t="shared" si="3"/>
        <v>6.78</v>
      </c>
      <c r="H19" s="61">
        <v>-0.2</v>
      </c>
      <c r="I19" s="62">
        <v>15</v>
      </c>
      <c r="J19" s="63">
        <v>-0.12</v>
      </c>
      <c r="L19"/>
      <c r="M19"/>
      <c r="N19"/>
    </row>
    <row r="20" spans="2:14" s="31" customFormat="1" ht="26.1" customHeight="1">
      <c r="B20" s="227">
        <f t="shared" si="1"/>
        <v>45188.430555555555</v>
      </c>
      <c r="C20" s="210">
        <v>1440</v>
      </c>
      <c r="D20" s="228">
        <f t="shared" si="0"/>
        <v>14.600000000000001</v>
      </c>
      <c r="E20" s="229">
        <f t="shared" si="2"/>
        <v>207</v>
      </c>
      <c r="F20" s="230">
        <f t="shared" si="3"/>
        <v>6.82</v>
      </c>
      <c r="H20" s="61">
        <v>-0.2</v>
      </c>
      <c r="I20" s="62">
        <v>-8</v>
      </c>
      <c r="J20" s="63">
        <v>-0.08</v>
      </c>
      <c r="L20"/>
      <c r="M20"/>
      <c r="N20"/>
    </row>
    <row r="21" spans="2:14" s="31" customFormat="1" ht="26.1" customHeight="1">
      <c r="B21" s="227">
        <f t="shared" si="1"/>
        <v>45188.597222222219</v>
      </c>
      <c r="C21" s="210">
        <v>1680</v>
      </c>
      <c r="D21" s="228">
        <f>$D$20</f>
        <v>14.600000000000001</v>
      </c>
      <c r="E21" s="229">
        <f>$E$20</f>
        <v>207</v>
      </c>
      <c r="F21" s="230">
        <f>$F$20</f>
        <v>6.82</v>
      </c>
      <c r="H21" s="61">
        <v>-0.3</v>
      </c>
      <c r="I21" s="62">
        <v>-14</v>
      </c>
      <c r="J21" s="63">
        <v>0.11</v>
      </c>
      <c r="L21"/>
      <c r="M21"/>
      <c r="N21"/>
    </row>
    <row r="22" spans="2:14" s="31" customFormat="1" ht="26.1" customHeight="1">
      <c r="B22" s="227">
        <f t="shared" si="1"/>
        <v>45188.763888888891</v>
      </c>
      <c r="C22" s="210">
        <v>1920</v>
      </c>
      <c r="D22" s="228">
        <f t="shared" ref="D22:D23" si="4">$D$20</f>
        <v>14.600000000000001</v>
      </c>
      <c r="E22" s="229">
        <f t="shared" ref="E22:E23" si="5">$E$20</f>
        <v>207</v>
      </c>
      <c r="F22" s="230">
        <f t="shared" ref="F22:F23" si="6">$F$20</f>
        <v>6.82</v>
      </c>
      <c r="H22" s="61">
        <v>-0.2</v>
      </c>
      <c r="I22" s="62">
        <v>-17</v>
      </c>
      <c r="J22" s="63">
        <v>0.08</v>
      </c>
      <c r="L22"/>
      <c r="M22"/>
      <c r="N22"/>
    </row>
    <row r="23" spans="2:14" s="31" customFormat="1" ht="26.1" customHeight="1" thickBot="1">
      <c r="B23" s="227">
        <f t="shared" si="1"/>
        <v>45189.430555555555</v>
      </c>
      <c r="C23" s="210">
        <v>2880</v>
      </c>
      <c r="D23" s="228">
        <f t="shared" si="4"/>
        <v>14.600000000000001</v>
      </c>
      <c r="E23" s="229">
        <f t="shared" si="5"/>
        <v>207</v>
      </c>
      <c r="F23" s="230">
        <f t="shared" si="6"/>
        <v>6.82</v>
      </c>
      <c r="H23" s="66">
        <v>-0.2</v>
      </c>
      <c r="I23" s="64">
        <v>3</v>
      </c>
      <c r="J23" s="65">
        <v>-0.09</v>
      </c>
      <c r="L23"/>
      <c r="M23"/>
      <c r="N23"/>
    </row>
    <row r="24" spans="2:14" s="31" customFormat="1" ht="26.1" customHeight="1">
      <c r="B24" s="712" t="s">
        <v>36</v>
      </c>
      <c r="C24" s="713"/>
      <c r="D24" s="221">
        <f>MAX(D14:D23)</f>
        <v>15.100000000000001</v>
      </c>
      <c r="E24" s="222">
        <f t="shared" ref="E24:F24" si="7">MAX(E14:E23)</f>
        <v>231</v>
      </c>
      <c r="F24" s="199">
        <f t="shared" si="7"/>
        <v>7.0100000000000007</v>
      </c>
      <c r="H24" s="30"/>
      <c r="I24" s="30"/>
      <c r="J24" s="30"/>
    </row>
    <row r="25" spans="2:14" s="31" customFormat="1" ht="26.1" customHeight="1">
      <c r="B25" s="712" t="s">
        <v>37</v>
      </c>
      <c r="C25" s="713"/>
      <c r="D25" s="221">
        <f>MIN(D14:D23)</f>
        <v>14.5</v>
      </c>
      <c r="E25" s="222">
        <f t="shared" ref="E25:F25" si="8">MIN(E14:E23)</f>
        <v>204</v>
      </c>
      <c r="F25" s="199">
        <f t="shared" si="8"/>
        <v>6.78</v>
      </c>
      <c r="H25" s="30"/>
      <c r="I25" s="30"/>
      <c r="J25" s="30"/>
    </row>
    <row r="26" spans="2:14" s="31" customFormat="1" ht="26.1" customHeight="1" thickBot="1">
      <c r="B26" s="706" t="s">
        <v>90</v>
      </c>
      <c r="C26" s="707"/>
      <c r="D26" s="232">
        <f>D24-D25</f>
        <v>0.60000000000000142</v>
      </c>
      <c r="E26" s="233">
        <f t="shared" ref="E26:F26" si="9">E24-E25</f>
        <v>27</v>
      </c>
      <c r="F26" s="213">
        <f t="shared" si="9"/>
        <v>0.23000000000000043</v>
      </c>
      <c r="H26" s="30"/>
      <c r="I26" s="30"/>
      <c r="J26" s="30"/>
    </row>
    <row r="27" spans="2:14" s="31" customFormat="1" ht="26.1" customHeight="1">
      <c r="E27" s="30"/>
      <c r="F27" s="30"/>
    </row>
    <row r="28" spans="2:14" s="31" customFormat="1" ht="26.1" customHeight="1">
      <c r="E28" s="30"/>
      <c r="F28" s="30"/>
    </row>
    <row r="29" spans="2:14" s="31" customFormat="1" ht="26.1" customHeight="1">
      <c r="E29" s="30"/>
      <c r="F29" s="30"/>
    </row>
    <row r="30" spans="2:14" s="31" customFormat="1" ht="26.1" customHeight="1">
      <c r="E30" s="30"/>
      <c r="F30" s="30"/>
    </row>
    <row r="31" spans="2:14" s="31" customFormat="1" ht="26.1" customHeight="1">
      <c r="E31" s="30"/>
      <c r="F31" s="30"/>
    </row>
    <row r="32" spans="2:14" s="31" customFormat="1" ht="26.1" customHeight="1">
      <c r="E32" s="30"/>
      <c r="F32" s="30"/>
    </row>
    <row r="33" spans="5:6" s="31" customFormat="1" ht="26.1" customHeight="1">
      <c r="E33" s="30"/>
      <c r="F33" s="30"/>
    </row>
    <row r="34" spans="5:6" s="31" customFormat="1" ht="26.1" customHeight="1">
      <c r="E34" s="30"/>
      <c r="F34" s="30"/>
    </row>
    <row r="35" spans="5:6" s="31" customFormat="1" ht="26.1" customHeight="1">
      <c r="E35" s="30"/>
      <c r="F35" s="30"/>
    </row>
    <row r="36" spans="5:6" s="31" customFormat="1" ht="26.1" customHeight="1">
      <c r="E36" s="30"/>
      <c r="F36" s="30"/>
    </row>
    <row r="37" spans="5:6" s="31" customFormat="1" ht="26.1" customHeight="1">
      <c r="E37" s="30"/>
      <c r="F37" s="30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9027" r:id="rId4" name="CommandButton3">
          <controlPr defaultSize="0" autoLine="0" r:id="rId5">
            <anchor moveWithCells="1">
              <from>
                <xdr:col>4</xdr:col>
                <xdr:colOff>85725</xdr:colOff>
                <xdr:row>4</xdr:row>
                <xdr:rowOff>304800</xdr:rowOff>
              </from>
              <to>
                <xdr:col>7</xdr:col>
                <xdr:colOff>114300</xdr:colOff>
                <xdr:row>6</xdr:row>
                <xdr:rowOff>19050</xdr:rowOff>
              </to>
            </anchor>
          </controlPr>
        </control>
      </mc:Choice>
      <mc:Fallback>
        <control shapeId="129027" r:id="rId4" name="CommandButton3"/>
      </mc:Fallback>
    </mc:AlternateContent>
    <mc:AlternateContent xmlns:mc="http://schemas.openxmlformats.org/markup-compatibility/2006">
      <mc:Choice Requires="x14">
        <control shapeId="129026" r:id="rId6" name="CommandButton2">
          <controlPr defaultSize="0" autoLine="0" r:id="rId7">
            <anchor moveWithCells="1">
              <from>
                <xdr:col>4</xdr:col>
                <xdr:colOff>85725</xdr:colOff>
                <xdr:row>3</xdr:row>
                <xdr:rowOff>219075</xdr:rowOff>
              </from>
              <to>
                <xdr:col>7</xdr:col>
                <xdr:colOff>114300</xdr:colOff>
                <xdr:row>4</xdr:row>
                <xdr:rowOff>257175</xdr:rowOff>
              </to>
            </anchor>
          </controlPr>
        </control>
      </mc:Choice>
      <mc:Fallback>
        <control shapeId="129026" r:id="rId6" name="CommandButton2"/>
      </mc:Fallback>
    </mc:AlternateContent>
    <mc:AlternateContent xmlns:mc="http://schemas.openxmlformats.org/markup-compatibility/2006">
      <mc:Choice Requires="x14">
        <control shapeId="129028" r:id="rId8" name="CommandButton4">
          <controlPr defaultSize="0" autoLine="0" r:id="rId9">
            <anchor moveWithCells="1">
              <from>
                <xdr:col>4</xdr:col>
                <xdr:colOff>85725</xdr:colOff>
                <xdr:row>6</xdr:row>
                <xdr:rowOff>76200</xdr:rowOff>
              </from>
              <to>
                <xdr:col>7</xdr:col>
                <xdr:colOff>114300</xdr:colOff>
                <xdr:row>7</xdr:row>
                <xdr:rowOff>114300</xdr:rowOff>
              </to>
            </anchor>
          </controlPr>
        </control>
      </mc:Choice>
      <mc:Fallback>
        <control shapeId="129028" r:id="rId8" name="CommandButton4"/>
      </mc:Fallback>
    </mc:AlternateContent>
    <mc:AlternateContent xmlns:mc="http://schemas.openxmlformats.org/markup-compatibility/2006">
      <mc:Choice Requires="x14">
        <control shapeId="129029" r:id="rId10" name="CommandButton5">
          <controlPr defaultSize="0" autoLine="0" r:id="rId11">
            <anchor moveWithCells="1">
              <from>
                <xdr:col>4</xdr:col>
                <xdr:colOff>85725</xdr:colOff>
                <xdr:row>7</xdr:row>
                <xdr:rowOff>161925</xdr:rowOff>
              </from>
              <to>
                <xdr:col>7</xdr:col>
                <xdr:colOff>114300</xdr:colOff>
                <xdr:row>8</xdr:row>
                <xdr:rowOff>200025</xdr:rowOff>
              </to>
            </anchor>
          </controlPr>
        </control>
      </mc:Choice>
      <mc:Fallback>
        <control shapeId="129029" r:id="rId10" name="CommandButton5"/>
      </mc:Fallback>
    </mc:AlternateContent>
  </control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1F2F-2031-42B4-8DF5-29BAAE160EF7}">
  <sheetPr codeName="Sheet_Q2">
    <tabColor theme="2" tint="-9.9978637043366805E-2"/>
  </sheetPr>
  <dimension ref="B1:J44"/>
  <sheetViews>
    <sheetView workbookViewId="0">
      <selection activeCell="K27" sqref="K27"/>
    </sheetView>
  </sheetViews>
  <sheetFormatPr defaultColWidth="8.88671875" defaultRowHeight="16.5"/>
  <cols>
    <col min="1" max="1" width="8.88671875" style="35"/>
    <col min="2" max="2" width="13.109375" style="35" customWidth="1"/>
    <col min="3" max="3" width="11.6640625" style="35" bestFit="1" customWidth="1"/>
    <col min="4" max="4" width="8.77734375" style="35" customWidth="1"/>
    <col min="5" max="6" width="8.77734375" style="36" customWidth="1"/>
    <col min="7" max="13" width="8.77734375" style="35" customWidth="1"/>
    <col min="14" max="16384" width="8.88671875" style="35"/>
  </cols>
  <sheetData>
    <row r="1" spans="2:9" s="31" customFormat="1" ht="26.1" customHeight="1">
      <c r="E1" s="30"/>
      <c r="F1" s="30"/>
    </row>
    <row r="2" spans="2:9" s="31" customFormat="1" ht="26.1" customHeight="1">
      <c r="B2" s="31" t="s">
        <v>79</v>
      </c>
      <c r="E2" s="30"/>
      <c r="F2" s="30"/>
    </row>
    <row r="3" spans="2:9" s="31" customFormat="1" ht="26.1" customHeight="1">
      <c r="E3" s="30"/>
      <c r="F3" s="30"/>
    </row>
    <row r="4" spans="2:9" s="31" customFormat="1" ht="26.1" customHeight="1">
      <c r="B4" s="104" t="s">
        <v>330</v>
      </c>
      <c r="E4" s="30"/>
      <c r="F4" s="30"/>
    </row>
    <row r="5" spans="2:9" s="31" customFormat="1" ht="26.1" customHeight="1" thickBot="1">
      <c r="E5" s="30"/>
      <c r="F5" s="30"/>
    </row>
    <row r="6" spans="2:9" s="31" customFormat="1" ht="26.1" customHeight="1">
      <c r="B6" s="166" t="s">
        <v>80</v>
      </c>
      <c r="C6" s="465">
        <v>44753.861111111109</v>
      </c>
      <c r="D6" s="468"/>
      <c r="E6" s="30"/>
      <c r="F6" s="30"/>
    </row>
    <row r="7" spans="2:9" s="31" customFormat="1" ht="26.1" customHeight="1" thickBot="1">
      <c r="B7" s="163" t="s">
        <v>81</v>
      </c>
      <c r="C7" s="466">
        <v>14</v>
      </c>
      <c r="D7" s="469">
        <v>14</v>
      </c>
      <c r="E7" s="30"/>
      <c r="F7" s="30"/>
    </row>
    <row r="8" spans="2:9" s="31" customFormat="1" ht="26.1" customHeight="1">
      <c r="B8" s="160" t="s">
        <v>82</v>
      </c>
      <c r="C8" s="161">
        <v>226</v>
      </c>
      <c r="D8" s="467">
        <v>229</v>
      </c>
      <c r="E8" s="30"/>
      <c r="F8" s="30"/>
    </row>
    <row r="9" spans="2:9" s="31" customFormat="1" ht="26.1" customHeight="1" thickBot="1">
      <c r="B9" s="163" t="s">
        <v>83</v>
      </c>
      <c r="C9" s="164">
        <v>7.9</v>
      </c>
      <c r="D9" s="165">
        <v>7.8</v>
      </c>
      <c r="E9" s="30"/>
      <c r="F9" s="30"/>
    </row>
    <row r="10" spans="2:9" s="31" customFormat="1" ht="26.1" customHeight="1">
      <c r="B10" s="95"/>
      <c r="C10" s="96"/>
      <c r="D10" s="94"/>
      <c r="E10" s="30"/>
      <c r="F10" s="30"/>
    </row>
    <row r="11" spans="2:9" s="31" customFormat="1" ht="26.1" customHeight="1" thickBot="1">
      <c r="E11" s="30"/>
      <c r="F11" s="30"/>
    </row>
    <row r="12" spans="2:9" s="30" customFormat="1" ht="26.1" customHeight="1">
      <c r="B12" s="708" t="s">
        <v>84</v>
      </c>
      <c r="C12" s="709"/>
      <c r="D12" s="708" t="s">
        <v>85</v>
      </c>
      <c r="E12" s="711"/>
      <c r="F12" s="709"/>
      <c r="G12" s="714" t="s">
        <v>154</v>
      </c>
      <c r="H12" s="715"/>
      <c r="I12" s="716"/>
    </row>
    <row r="13" spans="2:9" s="30" customFormat="1" ht="26.1" customHeight="1">
      <c r="B13" s="198" t="s">
        <v>80</v>
      </c>
      <c r="C13" s="199" t="s">
        <v>86</v>
      </c>
      <c r="D13" s="217" t="s">
        <v>87</v>
      </c>
      <c r="E13" s="218" t="s">
        <v>88</v>
      </c>
      <c r="F13" s="219" t="s">
        <v>89</v>
      </c>
      <c r="G13" s="200" t="s">
        <v>87</v>
      </c>
      <c r="H13" s="201" t="s">
        <v>88</v>
      </c>
      <c r="I13" s="202" t="s">
        <v>89</v>
      </c>
    </row>
    <row r="14" spans="2:9" s="30" customFormat="1" ht="26.1" customHeight="1">
      <c r="B14" s="203">
        <f>$C$6+C14/1440</f>
        <v>44753.864583333328</v>
      </c>
      <c r="C14" s="204">
        <v>5</v>
      </c>
      <c r="D14" s="208">
        <f t="shared" ref="D14:D23" si="0">baseTemp+D31</f>
        <v>14</v>
      </c>
      <c r="E14" s="206">
        <f t="shared" ref="E14:E20" si="1">$C$8+E31</f>
        <v>223</v>
      </c>
      <c r="F14" s="207">
        <f t="shared" ref="F14:F20" si="2">$C$9+F31</f>
        <v>7.83</v>
      </c>
      <c r="G14" s="208">
        <f t="shared" ref="G14:G23" si="3">baseTemp2+H31</f>
        <v>14</v>
      </c>
      <c r="H14" s="206">
        <f>$D$8+I31</f>
        <v>232</v>
      </c>
      <c r="I14" s="207">
        <f>$D$9+J31</f>
        <v>7.89</v>
      </c>
    </row>
    <row r="15" spans="2:9" s="30" customFormat="1" ht="26.1" customHeight="1">
      <c r="B15" s="209">
        <f t="shared" ref="B15:B23" si="4">$C$6+C15/1440</f>
        <v>44753.881944444445</v>
      </c>
      <c r="C15" s="210">
        <v>30</v>
      </c>
      <c r="D15" s="208">
        <f t="shared" si="0"/>
        <v>14.1</v>
      </c>
      <c r="E15" s="206">
        <f t="shared" si="1"/>
        <v>224</v>
      </c>
      <c r="F15" s="207">
        <f t="shared" si="2"/>
        <v>7.82</v>
      </c>
      <c r="G15" s="208">
        <f t="shared" si="3"/>
        <v>14</v>
      </c>
      <c r="H15" s="206">
        <f t="shared" ref="H15:H20" si="5">$D$8+I32</f>
        <v>226</v>
      </c>
      <c r="I15" s="207">
        <f t="shared" ref="I15:I20" si="6">$D$9+J32</f>
        <v>7.71</v>
      </c>
    </row>
    <row r="16" spans="2:9" s="30" customFormat="1" ht="26.1" customHeight="1">
      <c r="B16" s="209">
        <f t="shared" si="4"/>
        <v>44753.902777777774</v>
      </c>
      <c r="C16" s="210">
        <v>60</v>
      </c>
      <c r="D16" s="208">
        <f t="shared" si="0"/>
        <v>14</v>
      </c>
      <c r="E16" s="206">
        <f t="shared" si="1"/>
        <v>228</v>
      </c>
      <c r="F16" s="207">
        <f t="shared" si="2"/>
        <v>8.01</v>
      </c>
      <c r="G16" s="208">
        <f t="shared" si="3"/>
        <v>13.9</v>
      </c>
      <c r="H16" s="206">
        <f t="shared" si="5"/>
        <v>232</v>
      </c>
      <c r="I16" s="207">
        <f t="shared" si="6"/>
        <v>7.7</v>
      </c>
    </row>
    <row r="17" spans="2:10" s="30" customFormat="1" ht="26.1" customHeight="1">
      <c r="B17" s="209">
        <f t="shared" si="4"/>
        <v>44753.944444444445</v>
      </c>
      <c r="C17" s="210">
        <v>120</v>
      </c>
      <c r="D17" s="208">
        <f t="shared" si="0"/>
        <v>14</v>
      </c>
      <c r="E17" s="206">
        <f t="shared" si="1"/>
        <v>228</v>
      </c>
      <c r="F17" s="207">
        <f t="shared" si="2"/>
        <v>8.01</v>
      </c>
      <c r="G17" s="208">
        <f t="shared" si="3"/>
        <v>13.9</v>
      </c>
      <c r="H17" s="206">
        <f t="shared" si="5"/>
        <v>228</v>
      </c>
      <c r="I17" s="207">
        <f t="shared" si="6"/>
        <v>7.7</v>
      </c>
    </row>
    <row r="18" spans="2:10" s="30" customFormat="1" ht="26.1" customHeight="1">
      <c r="B18" s="209">
        <f t="shared" si="4"/>
        <v>44754.027777777774</v>
      </c>
      <c r="C18" s="210">
        <v>240</v>
      </c>
      <c r="D18" s="208">
        <f t="shared" si="0"/>
        <v>14.1</v>
      </c>
      <c r="E18" s="206">
        <f t="shared" si="1"/>
        <v>227</v>
      </c>
      <c r="F18" s="207">
        <f t="shared" si="2"/>
        <v>8.01</v>
      </c>
      <c r="G18" s="208">
        <f t="shared" si="3"/>
        <v>13.9</v>
      </c>
      <c r="H18" s="206">
        <f t="shared" si="5"/>
        <v>230</v>
      </c>
      <c r="I18" s="207">
        <f t="shared" si="6"/>
        <v>7.7</v>
      </c>
    </row>
    <row r="19" spans="2:10" s="30" customFormat="1" ht="26.1" customHeight="1">
      <c r="B19" s="209">
        <f t="shared" si="4"/>
        <v>44754.194444444445</v>
      </c>
      <c r="C19" s="210">
        <v>480</v>
      </c>
      <c r="D19" s="208">
        <f t="shared" si="0"/>
        <v>14</v>
      </c>
      <c r="E19" s="206">
        <f t="shared" si="1"/>
        <v>225</v>
      </c>
      <c r="F19" s="207">
        <f t="shared" si="2"/>
        <v>7.78</v>
      </c>
      <c r="G19" s="208">
        <f t="shared" si="3"/>
        <v>13.9</v>
      </c>
      <c r="H19" s="206">
        <f t="shared" si="5"/>
        <v>228</v>
      </c>
      <c r="I19" s="207">
        <f t="shared" si="6"/>
        <v>7.92</v>
      </c>
    </row>
    <row r="20" spans="2:10" s="31" customFormat="1" ht="26.1" customHeight="1">
      <c r="B20" s="209">
        <f t="shared" si="4"/>
        <v>44754.861111111109</v>
      </c>
      <c r="C20" s="210">
        <v>1440</v>
      </c>
      <c r="D20" s="208">
        <f t="shared" si="0"/>
        <v>14.1</v>
      </c>
      <c r="E20" s="206">
        <f t="shared" si="1"/>
        <v>227</v>
      </c>
      <c r="F20" s="207">
        <f t="shared" si="2"/>
        <v>7.9700000000000006</v>
      </c>
      <c r="G20" s="208">
        <f t="shared" si="3"/>
        <v>13.9</v>
      </c>
      <c r="H20" s="206">
        <f t="shared" si="5"/>
        <v>227</v>
      </c>
      <c r="I20" s="207">
        <f t="shared" si="6"/>
        <v>7.7299999999999995</v>
      </c>
    </row>
    <row r="21" spans="2:10" s="31" customFormat="1" ht="26.1" customHeight="1">
      <c r="B21" s="209">
        <f t="shared" si="4"/>
        <v>44755.027777777774</v>
      </c>
      <c r="C21" s="210">
        <v>1680</v>
      </c>
      <c r="D21" s="208">
        <f t="shared" si="0"/>
        <v>14</v>
      </c>
      <c r="E21" s="206">
        <f>$E$20</f>
        <v>227</v>
      </c>
      <c r="F21" s="207">
        <f>$F$20</f>
        <v>7.9700000000000006</v>
      </c>
      <c r="G21" s="208">
        <f t="shared" si="3"/>
        <v>14.1</v>
      </c>
      <c r="H21" s="206">
        <f>$H$20</f>
        <v>227</v>
      </c>
      <c r="I21" s="207">
        <f>$I$20</f>
        <v>7.7299999999999995</v>
      </c>
    </row>
    <row r="22" spans="2:10" s="31" customFormat="1" ht="26.1" customHeight="1">
      <c r="B22" s="209">
        <f t="shared" si="4"/>
        <v>44755.194444444445</v>
      </c>
      <c r="C22" s="210">
        <v>1920</v>
      </c>
      <c r="D22" s="208">
        <f t="shared" si="0"/>
        <v>14</v>
      </c>
      <c r="E22" s="206">
        <f t="shared" ref="E22:E23" si="7">$E$20</f>
        <v>227</v>
      </c>
      <c r="F22" s="207">
        <f t="shared" ref="F22:F23" si="8">$F$20</f>
        <v>7.9700000000000006</v>
      </c>
      <c r="G22" s="208">
        <f t="shared" si="3"/>
        <v>13.9</v>
      </c>
      <c r="H22" s="206">
        <f t="shared" ref="H22:H23" si="9">$H$20</f>
        <v>227</v>
      </c>
      <c r="I22" s="207">
        <f t="shared" ref="I22:I23" si="10">$I$20</f>
        <v>7.7299999999999995</v>
      </c>
    </row>
    <row r="23" spans="2:10" s="31" customFormat="1" ht="26.1" customHeight="1">
      <c r="B23" s="211">
        <f t="shared" si="4"/>
        <v>44755.861111111109</v>
      </c>
      <c r="C23" s="212">
        <v>2880</v>
      </c>
      <c r="D23" s="208">
        <f t="shared" si="0"/>
        <v>14</v>
      </c>
      <c r="E23" s="206">
        <f t="shared" si="7"/>
        <v>227</v>
      </c>
      <c r="F23" s="207">
        <f t="shared" si="8"/>
        <v>7.9700000000000006</v>
      </c>
      <c r="G23" s="208">
        <f t="shared" si="3"/>
        <v>13.9</v>
      </c>
      <c r="H23" s="206">
        <f t="shared" si="9"/>
        <v>227</v>
      </c>
      <c r="I23" s="207">
        <f t="shared" si="10"/>
        <v>7.7299999999999995</v>
      </c>
    </row>
    <row r="24" spans="2:10" s="31" customFormat="1" ht="26.1" customHeight="1">
      <c r="B24" s="712" t="s">
        <v>36</v>
      </c>
      <c r="C24" s="713"/>
      <c r="D24" s="200">
        <f>MAX(D14:D23)</f>
        <v>14.1</v>
      </c>
      <c r="E24" s="201">
        <f t="shared" ref="E24:F24" si="11">MAX(E14:E23)</f>
        <v>228</v>
      </c>
      <c r="F24" s="202">
        <f t="shared" si="11"/>
        <v>8.01</v>
      </c>
      <c r="G24" s="200">
        <f>MAX(G14:G23)</f>
        <v>14.1</v>
      </c>
      <c r="H24" s="201">
        <f t="shared" ref="H24:I24" si="12">MAX(H14:H23)</f>
        <v>232</v>
      </c>
      <c r="I24" s="202">
        <f t="shared" si="12"/>
        <v>7.92</v>
      </c>
      <c r="J24" s="30"/>
    </row>
    <row r="25" spans="2:10" s="31" customFormat="1" ht="26.1" customHeight="1">
      <c r="B25" s="712" t="s">
        <v>37</v>
      </c>
      <c r="C25" s="713"/>
      <c r="D25" s="200">
        <f>MIN(D14:D23)</f>
        <v>14</v>
      </c>
      <c r="E25" s="201">
        <f t="shared" ref="E25:F25" si="13">MIN(E14:E23)</f>
        <v>223</v>
      </c>
      <c r="F25" s="220">
        <f t="shared" si="13"/>
        <v>7.78</v>
      </c>
      <c r="G25" s="200">
        <f>MIN(G14:G23)</f>
        <v>13.9</v>
      </c>
      <c r="H25" s="201">
        <f t="shared" ref="H25:I25" si="14">MIN(H14:H23)</f>
        <v>226</v>
      </c>
      <c r="I25" s="202">
        <f t="shared" si="14"/>
        <v>7.7</v>
      </c>
      <c r="J25" s="30"/>
    </row>
    <row r="26" spans="2:10" s="31" customFormat="1" ht="26.1" customHeight="1" thickBot="1">
      <c r="B26" s="706" t="s">
        <v>90</v>
      </c>
      <c r="C26" s="707"/>
      <c r="D26" s="214">
        <f>D24-D25</f>
        <v>9.9999999999999645E-2</v>
      </c>
      <c r="E26" s="215">
        <f t="shared" ref="E26:F26" si="15">E24-E25</f>
        <v>5</v>
      </c>
      <c r="F26" s="216">
        <f t="shared" si="15"/>
        <v>0.22999999999999954</v>
      </c>
      <c r="G26" s="214">
        <f>G24-G25</f>
        <v>0.19999999999999929</v>
      </c>
      <c r="H26" s="215">
        <f t="shared" ref="H26:I26" si="16">H24-H25</f>
        <v>6</v>
      </c>
      <c r="I26" s="216">
        <f t="shared" si="16"/>
        <v>0.21999999999999975</v>
      </c>
      <c r="J26" s="30"/>
    </row>
    <row r="27" spans="2:10" s="31" customFormat="1" ht="18" customHeight="1">
      <c r="E27" s="30"/>
      <c r="F27" s="30"/>
    </row>
    <row r="28" spans="2:10" s="31" customFormat="1" ht="18" customHeight="1" thickBot="1">
      <c r="E28" s="30"/>
      <c r="F28" s="30"/>
    </row>
    <row r="29" spans="2:10" s="31" customFormat="1" ht="18" customHeight="1">
      <c r="D29" s="708" t="s">
        <v>85</v>
      </c>
      <c r="E29" s="711"/>
      <c r="F29" s="709"/>
      <c r="H29" s="708" t="s">
        <v>154</v>
      </c>
      <c r="I29" s="711"/>
      <c r="J29" s="709"/>
    </row>
    <row r="30" spans="2:10" s="31" customFormat="1" ht="18" customHeight="1">
      <c r="D30" s="97" t="s">
        <v>87</v>
      </c>
      <c r="E30" s="99" t="s">
        <v>88</v>
      </c>
      <c r="F30" s="98" t="s">
        <v>89</v>
      </c>
      <c r="H30" s="97" t="s">
        <v>87</v>
      </c>
      <c r="I30" s="99" t="s">
        <v>88</v>
      </c>
      <c r="J30" s="98" t="s">
        <v>89</v>
      </c>
    </row>
    <row r="31" spans="2:10" s="31" customFormat="1" ht="18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</row>
    <row r="32" spans="2:10" s="31" customFormat="1" ht="18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</row>
    <row r="33" spans="4:10" s="31" customFormat="1" ht="18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</row>
    <row r="34" spans="4:10" s="31" customFormat="1" ht="18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</row>
    <row r="35" spans="4:10" s="31" customFormat="1" ht="18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</row>
    <row r="36" spans="4:10" s="31" customFormat="1" ht="18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</row>
    <row r="37" spans="4:10" s="31" customFormat="1" ht="18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</row>
    <row r="38" spans="4:10" ht="18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</row>
    <row r="39" spans="4:10" ht="18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</row>
    <row r="40" spans="4:10" ht="18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78" r:id="rId4" name="CommandButton2">
          <controlPr defaultSize="0" autoLine="0" r:id="rId5">
            <anchor moveWithCells="1">
              <from>
                <xdr:col>5</xdr:col>
                <xdr:colOff>57150</xdr:colOff>
                <xdr:row>3</xdr:row>
                <xdr:rowOff>266700</xdr:rowOff>
              </from>
              <to>
                <xdr:col>8</xdr:col>
                <xdr:colOff>676275</xdr:colOff>
                <xdr:row>4</xdr:row>
                <xdr:rowOff>304800</xdr:rowOff>
              </to>
            </anchor>
          </controlPr>
        </control>
      </mc:Choice>
      <mc:Fallback>
        <control shapeId="126978" r:id="rId4" name="CommandButton2"/>
      </mc:Fallback>
    </mc:AlternateContent>
    <mc:AlternateContent xmlns:mc="http://schemas.openxmlformats.org/markup-compatibility/2006">
      <mc:Choice Requires="x14">
        <control shapeId="126979" r:id="rId6" name="CommandButton3">
          <controlPr defaultSize="0" autoLine="0" r:id="rId7">
            <anchor moveWithCells="1">
              <from>
                <xdr:col>5</xdr:col>
                <xdr:colOff>47625</xdr:colOff>
                <xdr:row>6</xdr:row>
                <xdr:rowOff>66675</xdr:rowOff>
              </from>
              <to>
                <xdr:col>8</xdr:col>
                <xdr:colOff>666750</xdr:colOff>
                <xdr:row>7</xdr:row>
                <xdr:rowOff>104775</xdr:rowOff>
              </to>
            </anchor>
          </controlPr>
        </control>
      </mc:Choice>
      <mc:Fallback>
        <control shapeId="126979" r:id="rId6" name="CommandButton3"/>
      </mc:Fallback>
    </mc:AlternateContent>
    <mc:AlternateContent xmlns:mc="http://schemas.openxmlformats.org/markup-compatibility/2006">
      <mc:Choice Requires="x14">
        <control shapeId="126984" r:id="rId8" name="CommandButton4">
          <controlPr defaultSize="0" autoLine="0" r:id="rId9">
            <anchor moveWithCells="1">
              <from>
                <xdr:col>5</xdr:col>
                <xdr:colOff>47625</xdr:colOff>
                <xdr:row>7</xdr:row>
                <xdr:rowOff>142875</xdr:rowOff>
              </from>
              <to>
                <xdr:col>8</xdr:col>
                <xdr:colOff>666750</xdr:colOff>
                <xdr:row>8</xdr:row>
                <xdr:rowOff>180975</xdr:rowOff>
              </to>
            </anchor>
          </controlPr>
        </control>
      </mc:Choice>
      <mc:Fallback>
        <control shapeId="126984" r:id="rId8" name="CommandButton4"/>
      </mc:Fallback>
    </mc:AlternateContent>
    <mc:AlternateContent xmlns:mc="http://schemas.openxmlformats.org/markup-compatibility/2006">
      <mc:Choice Requires="x14">
        <control shapeId="126986" r:id="rId10" name="CommandButton5">
          <controlPr defaultSize="0" autoLine="0" r:id="rId11">
            <anchor moveWithCells="1">
              <from>
                <xdr:col>5</xdr:col>
                <xdr:colOff>47625</xdr:colOff>
                <xdr:row>5</xdr:row>
                <xdr:rowOff>0</xdr:rowOff>
              </from>
              <to>
                <xdr:col>8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126986" r:id="rId10" name="CommandButton5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_Q3">
    <tabColor theme="2" tint="-9.9978637043366805E-2"/>
  </sheetPr>
  <dimension ref="B1:N40"/>
  <sheetViews>
    <sheetView workbookViewId="0">
      <selection activeCell="O16" sqref="O16"/>
    </sheetView>
  </sheetViews>
  <sheetFormatPr defaultColWidth="8.88671875" defaultRowHeight="26.1" customHeight="1"/>
  <cols>
    <col min="1" max="1" width="8.88671875" style="35"/>
    <col min="2" max="2" width="13.109375" style="35" customWidth="1"/>
    <col min="3" max="3" width="10.77734375" style="35" bestFit="1" customWidth="1"/>
    <col min="4" max="4" width="7.33203125" style="35" customWidth="1"/>
    <col min="5" max="6" width="7.33203125" style="36" customWidth="1"/>
    <col min="7" max="12" width="7.33203125" style="35" customWidth="1"/>
    <col min="13" max="23" width="6.77734375" style="35" customWidth="1"/>
    <col min="24" max="16384" width="8.88671875" style="35"/>
  </cols>
  <sheetData>
    <row r="1" spans="2:12" s="31" customFormat="1" ht="26.1" customHeight="1">
      <c r="E1" s="30"/>
      <c r="F1" s="30"/>
    </row>
    <row r="2" spans="2:12" s="31" customFormat="1" ht="26.1" customHeight="1">
      <c r="B2" s="31" t="s">
        <v>79</v>
      </c>
      <c r="E2" s="30"/>
      <c r="F2" s="30"/>
    </row>
    <row r="3" spans="2:12" s="31" customFormat="1" ht="26.1" customHeight="1">
      <c r="E3" s="30"/>
      <c r="F3" s="30"/>
    </row>
    <row r="4" spans="2:12" s="31" customFormat="1" ht="26.1" customHeight="1">
      <c r="B4" s="104" t="s">
        <v>331</v>
      </c>
      <c r="E4" s="30"/>
      <c r="F4" s="30"/>
    </row>
    <row r="5" spans="2:12" s="31" customFormat="1" ht="26.1" customHeight="1" thickBot="1">
      <c r="E5" s="30"/>
      <c r="F5" s="30"/>
    </row>
    <row r="6" spans="2:12" s="31" customFormat="1" ht="26.1" customHeight="1" thickBot="1">
      <c r="B6" s="166" t="s">
        <v>80</v>
      </c>
      <c r="C6" s="167">
        <v>44717.430555555555</v>
      </c>
      <c r="D6" s="94"/>
      <c r="E6" s="94"/>
      <c r="F6" s="30"/>
    </row>
    <row r="7" spans="2:12" s="31" customFormat="1" ht="26.1" customHeight="1" thickBot="1">
      <c r="B7" s="169" t="s">
        <v>81</v>
      </c>
      <c r="C7" s="470">
        <v>14.7</v>
      </c>
      <c r="D7" s="472">
        <v>14.8</v>
      </c>
      <c r="E7" s="473">
        <v>14.9</v>
      </c>
      <c r="F7" s="30"/>
    </row>
    <row r="8" spans="2:12" s="31" customFormat="1" ht="26.1" customHeight="1">
      <c r="B8" s="160" t="s">
        <v>82</v>
      </c>
      <c r="C8" s="161">
        <v>197</v>
      </c>
      <c r="D8" s="471">
        <v>197</v>
      </c>
      <c r="E8" s="467">
        <v>194</v>
      </c>
      <c r="F8" s="30"/>
    </row>
    <row r="9" spans="2:12" s="31" customFormat="1" ht="26.1" customHeight="1" thickBot="1">
      <c r="B9" s="163" t="s">
        <v>83</v>
      </c>
      <c r="C9" s="164">
        <v>8.4</v>
      </c>
      <c r="D9" s="171">
        <v>8.3000000000000007</v>
      </c>
      <c r="E9" s="165">
        <v>8.4</v>
      </c>
      <c r="F9" s="30"/>
    </row>
    <row r="10" spans="2:12" s="31" customFormat="1" ht="26.1" customHeight="1">
      <c r="B10" s="95"/>
      <c r="C10" s="96"/>
      <c r="D10" s="94"/>
      <c r="E10" s="94"/>
      <c r="F10" s="30"/>
    </row>
    <row r="11" spans="2:12" s="31" customFormat="1" ht="26.1" customHeight="1" thickBot="1">
      <c r="E11" s="30"/>
      <c r="F11" s="30"/>
    </row>
    <row r="12" spans="2:12" s="30" customFormat="1" ht="26.1" customHeight="1">
      <c r="B12" s="708" t="s">
        <v>84</v>
      </c>
      <c r="C12" s="709"/>
      <c r="D12" s="714" t="s">
        <v>85</v>
      </c>
      <c r="E12" s="715"/>
      <c r="F12" s="716"/>
      <c r="G12" s="714" t="s">
        <v>154</v>
      </c>
      <c r="H12" s="715"/>
      <c r="I12" s="716"/>
      <c r="J12" s="714" t="s">
        <v>155</v>
      </c>
      <c r="K12" s="715"/>
      <c r="L12" s="716"/>
    </row>
    <row r="13" spans="2:12" s="30" customFormat="1" ht="26.1" customHeight="1">
      <c r="B13" s="198" t="s">
        <v>80</v>
      </c>
      <c r="C13" s="199" t="s">
        <v>86</v>
      </c>
      <c r="D13" s="200" t="s">
        <v>158</v>
      </c>
      <c r="E13" s="201" t="s">
        <v>167</v>
      </c>
      <c r="F13" s="202" t="s">
        <v>89</v>
      </c>
      <c r="G13" s="200" t="s">
        <v>158</v>
      </c>
      <c r="H13" s="201" t="s">
        <v>167</v>
      </c>
      <c r="I13" s="202" t="s">
        <v>89</v>
      </c>
      <c r="J13" s="200" t="s">
        <v>158</v>
      </c>
      <c r="K13" s="201" t="s">
        <v>167</v>
      </c>
      <c r="L13" s="202" t="s">
        <v>89</v>
      </c>
    </row>
    <row r="14" spans="2:12" s="30" customFormat="1" ht="26.1" customHeight="1">
      <c r="B14" s="203">
        <f>$C$6+C14/1440</f>
        <v>44717.434027777774</v>
      </c>
      <c r="C14" s="204">
        <v>5</v>
      </c>
      <c r="D14" s="205">
        <f t="shared" ref="D14:D20" si="0">baseTemp+D31</f>
        <v>14.7</v>
      </c>
      <c r="E14" s="206">
        <f t="shared" ref="E14:E20" si="1">$C$8+E31</f>
        <v>194</v>
      </c>
      <c r="F14" s="207">
        <f t="shared" ref="F14:F20" si="2">$C$9+F31</f>
        <v>8.33</v>
      </c>
      <c r="G14" s="208">
        <f t="shared" ref="G14:G20" si="3">bTemp2+H31</f>
        <v>14.8</v>
      </c>
      <c r="H14" s="206">
        <f>$D$8+I31</f>
        <v>200</v>
      </c>
      <c r="I14" s="207">
        <f>$D$9+J31</f>
        <v>8.39</v>
      </c>
      <c r="J14" s="208">
        <f t="shared" ref="J14:J20" si="4">bTemp3+L31</f>
        <v>14.9</v>
      </c>
      <c r="K14" s="206">
        <f>$E$8+M31</f>
        <v>195</v>
      </c>
      <c r="L14" s="207">
        <f>$E$9+N31</f>
        <v>8.2800000000000011</v>
      </c>
    </row>
    <row r="15" spans="2:12" s="30" customFormat="1" ht="26.1" customHeight="1">
      <c r="B15" s="209">
        <f t="shared" ref="B15:B23" si="5">$C$6+C15/1440</f>
        <v>44717.451388888891</v>
      </c>
      <c r="C15" s="210">
        <v>30</v>
      </c>
      <c r="D15" s="205">
        <f t="shared" si="0"/>
        <v>14.799999999999999</v>
      </c>
      <c r="E15" s="206">
        <f t="shared" si="1"/>
        <v>195</v>
      </c>
      <c r="F15" s="207">
        <f t="shared" si="2"/>
        <v>8.32</v>
      </c>
      <c r="G15" s="208">
        <f t="shared" si="3"/>
        <v>14.8</v>
      </c>
      <c r="H15" s="206">
        <f t="shared" ref="H15:H20" si="6">$D$8+I32</f>
        <v>194</v>
      </c>
      <c r="I15" s="207">
        <f t="shared" ref="I15:I20" si="7">$D$9+J32</f>
        <v>8.2100000000000009</v>
      </c>
      <c r="J15" s="208">
        <f t="shared" si="4"/>
        <v>14.9</v>
      </c>
      <c r="K15" s="206">
        <f t="shared" ref="K15:K20" si="8">$E$8+M32</f>
        <v>192</v>
      </c>
      <c r="L15" s="207">
        <f t="shared" ref="L15:L20" si="9">$E$9+N32</f>
        <v>8.49</v>
      </c>
    </row>
    <row r="16" spans="2:12" s="30" customFormat="1" ht="26.1" customHeight="1">
      <c r="B16" s="209">
        <f t="shared" si="5"/>
        <v>44717.472222222219</v>
      </c>
      <c r="C16" s="210">
        <v>60</v>
      </c>
      <c r="D16" s="205">
        <f t="shared" si="0"/>
        <v>14.7</v>
      </c>
      <c r="E16" s="206">
        <f t="shared" si="1"/>
        <v>199</v>
      </c>
      <c r="F16" s="207">
        <f t="shared" si="2"/>
        <v>8.51</v>
      </c>
      <c r="G16" s="208">
        <f t="shared" si="3"/>
        <v>14.700000000000001</v>
      </c>
      <c r="H16" s="206">
        <f t="shared" si="6"/>
        <v>200</v>
      </c>
      <c r="I16" s="207">
        <f t="shared" si="7"/>
        <v>8.2000000000000011</v>
      </c>
      <c r="J16" s="208">
        <f t="shared" si="4"/>
        <v>15</v>
      </c>
      <c r="K16" s="206">
        <f t="shared" si="8"/>
        <v>193</v>
      </c>
      <c r="L16" s="207">
        <f t="shared" si="9"/>
        <v>8.51</v>
      </c>
    </row>
    <row r="17" spans="2:14" s="30" customFormat="1" ht="26.1" customHeight="1">
      <c r="B17" s="209">
        <f t="shared" si="5"/>
        <v>44717.513888888891</v>
      </c>
      <c r="C17" s="210">
        <v>120</v>
      </c>
      <c r="D17" s="205">
        <f t="shared" si="0"/>
        <v>14.7</v>
      </c>
      <c r="E17" s="206">
        <f t="shared" si="1"/>
        <v>199</v>
      </c>
      <c r="F17" s="207">
        <f t="shared" si="2"/>
        <v>8.51</v>
      </c>
      <c r="G17" s="208">
        <f t="shared" si="3"/>
        <v>14.700000000000001</v>
      </c>
      <c r="H17" s="206">
        <f t="shared" si="6"/>
        <v>196</v>
      </c>
      <c r="I17" s="207">
        <f t="shared" si="7"/>
        <v>8.2000000000000011</v>
      </c>
      <c r="J17" s="208">
        <f t="shared" si="4"/>
        <v>15</v>
      </c>
      <c r="K17" s="206">
        <f t="shared" si="8"/>
        <v>196</v>
      </c>
      <c r="L17" s="207">
        <f t="shared" si="9"/>
        <v>8.3000000000000007</v>
      </c>
    </row>
    <row r="18" spans="2:14" s="30" customFormat="1" ht="26.1" customHeight="1">
      <c r="B18" s="209">
        <f t="shared" si="5"/>
        <v>44717.597222222219</v>
      </c>
      <c r="C18" s="210">
        <v>240</v>
      </c>
      <c r="D18" s="205">
        <f t="shared" si="0"/>
        <v>14.799999999999999</v>
      </c>
      <c r="E18" s="206">
        <f t="shared" si="1"/>
        <v>198</v>
      </c>
      <c r="F18" s="207">
        <f t="shared" si="2"/>
        <v>8.51</v>
      </c>
      <c r="G18" s="208">
        <f t="shared" si="3"/>
        <v>14.700000000000001</v>
      </c>
      <c r="H18" s="206">
        <f t="shared" si="6"/>
        <v>198</v>
      </c>
      <c r="I18" s="207">
        <f t="shared" si="7"/>
        <v>8.2000000000000011</v>
      </c>
      <c r="J18" s="208">
        <f t="shared" si="4"/>
        <v>14.8</v>
      </c>
      <c r="K18" s="206">
        <f t="shared" si="8"/>
        <v>196</v>
      </c>
      <c r="L18" s="207">
        <f t="shared" si="9"/>
        <v>8.52</v>
      </c>
    </row>
    <row r="19" spans="2:14" s="30" customFormat="1" ht="26.1" customHeight="1">
      <c r="B19" s="209">
        <f t="shared" si="5"/>
        <v>44717.763888888891</v>
      </c>
      <c r="C19" s="210">
        <v>480</v>
      </c>
      <c r="D19" s="205">
        <f t="shared" si="0"/>
        <v>14.7</v>
      </c>
      <c r="E19" s="206">
        <f t="shared" si="1"/>
        <v>196</v>
      </c>
      <c r="F19" s="207">
        <f t="shared" si="2"/>
        <v>8.2800000000000011</v>
      </c>
      <c r="G19" s="208">
        <f t="shared" si="3"/>
        <v>14.700000000000001</v>
      </c>
      <c r="H19" s="206">
        <f t="shared" si="6"/>
        <v>196</v>
      </c>
      <c r="I19" s="207">
        <f t="shared" si="7"/>
        <v>8.42</v>
      </c>
      <c r="J19" s="208">
        <f t="shared" si="4"/>
        <v>15</v>
      </c>
      <c r="K19" s="206">
        <f t="shared" si="8"/>
        <v>191</v>
      </c>
      <c r="L19" s="207">
        <f t="shared" si="9"/>
        <v>8.2800000000000011</v>
      </c>
    </row>
    <row r="20" spans="2:14" s="31" customFormat="1" ht="26.1" customHeight="1">
      <c r="B20" s="209">
        <f t="shared" si="5"/>
        <v>44718.430555555555</v>
      </c>
      <c r="C20" s="210">
        <v>1440</v>
      </c>
      <c r="D20" s="205">
        <f t="shared" si="0"/>
        <v>14.799999999999999</v>
      </c>
      <c r="E20" s="206">
        <f t="shared" si="1"/>
        <v>198</v>
      </c>
      <c r="F20" s="207">
        <f t="shared" si="2"/>
        <v>8.4700000000000006</v>
      </c>
      <c r="G20" s="208">
        <f t="shared" si="3"/>
        <v>14.700000000000001</v>
      </c>
      <c r="H20" s="206">
        <f t="shared" si="6"/>
        <v>195</v>
      </c>
      <c r="I20" s="207">
        <f t="shared" si="7"/>
        <v>8.23</v>
      </c>
      <c r="J20" s="208">
        <f t="shared" si="4"/>
        <v>14.8</v>
      </c>
      <c r="K20" s="206">
        <f t="shared" si="8"/>
        <v>191</v>
      </c>
      <c r="L20" s="207">
        <f t="shared" si="9"/>
        <v>8.33</v>
      </c>
    </row>
    <row r="21" spans="2:14" s="31" customFormat="1" ht="26.1" customHeight="1">
      <c r="B21" s="209">
        <f t="shared" si="5"/>
        <v>44718.597222222219</v>
      </c>
      <c r="C21" s="210">
        <v>1680</v>
      </c>
      <c r="D21" s="205">
        <f>$D$20</f>
        <v>14.799999999999999</v>
      </c>
      <c r="E21" s="206">
        <f>$E$20</f>
        <v>198</v>
      </c>
      <c r="F21" s="207">
        <f>$F$20</f>
        <v>8.4700000000000006</v>
      </c>
      <c r="G21" s="208">
        <f>$G$20</f>
        <v>14.700000000000001</v>
      </c>
      <c r="H21" s="206">
        <f>$H$20</f>
        <v>195</v>
      </c>
      <c r="I21" s="207">
        <f>$I$20</f>
        <v>8.23</v>
      </c>
      <c r="J21" s="208">
        <f>$J$20</f>
        <v>14.8</v>
      </c>
      <c r="K21" s="206">
        <f>$K$20</f>
        <v>191</v>
      </c>
      <c r="L21" s="207">
        <f>$L$20</f>
        <v>8.33</v>
      </c>
    </row>
    <row r="22" spans="2:14" s="31" customFormat="1" ht="26.1" customHeight="1">
      <c r="B22" s="209">
        <f t="shared" si="5"/>
        <v>44718.763888888891</v>
      </c>
      <c r="C22" s="210">
        <v>1920</v>
      </c>
      <c r="D22" s="205">
        <f t="shared" ref="D22:D23" si="10">$D$20</f>
        <v>14.799999999999999</v>
      </c>
      <c r="E22" s="206">
        <f t="shared" ref="E22:E23" si="11">$E$20</f>
        <v>198</v>
      </c>
      <c r="F22" s="207">
        <f t="shared" ref="F22:F23" si="12">$F$20</f>
        <v>8.4700000000000006</v>
      </c>
      <c r="G22" s="208">
        <f t="shared" ref="G22:G23" si="13">$G$20</f>
        <v>14.700000000000001</v>
      </c>
      <c r="H22" s="206">
        <f t="shared" ref="H22:H23" si="14">$H$20</f>
        <v>195</v>
      </c>
      <c r="I22" s="207">
        <f t="shared" ref="I22:I23" si="15">$I$20</f>
        <v>8.23</v>
      </c>
      <c r="J22" s="208">
        <f t="shared" ref="J22:J23" si="16">$J$20</f>
        <v>14.8</v>
      </c>
      <c r="K22" s="206">
        <f t="shared" ref="K22:K23" si="17">$K$20</f>
        <v>191</v>
      </c>
      <c r="L22" s="207">
        <f t="shared" ref="L22:L23" si="18">$L$20</f>
        <v>8.33</v>
      </c>
    </row>
    <row r="23" spans="2:14" s="31" customFormat="1" ht="26.1" customHeight="1">
      <c r="B23" s="211">
        <f t="shared" si="5"/>
        <v>44719.430555555555</v>
      </c>
      <c r="C23" s="212">
        <v>2880</v>
      </c>
      <c r="D23" s="205">
        <f t="shared" si="10"/>
        <v>14.799999999999999</v>
      </c>
      <c r="E23" s="206">
        <f t="shared" si="11"/>
        <v>198</v>
      </c>
      <c r="F23" s="207">
        <f t="shared" si="12"/>
        <v>8.4700000000000006</v>
      </c>
      <c r="G23" s="208">
        <f t="shared" si="13"/>
        <v>14.700000000000001</v>
      </c>
      <c r="H23" s="206">
        <f t="shared" si="14"/>
        <v>195</v>
      </c>
      <c r="I23" s="207">
        <f t="shared" si="15"/>
        <v>8.23</v>
      </c>
      <c r="J23" s="208">
        <f t="shared" si="16"/>
        <v>14.8</v>
      </c>
      <c r="K23" s="206">
        <f t="shared" si="17"/>
        <v>191</v>
      </c>
      <c r="L23" s="207">
        <f t="shared" si="18"/>
        <v>8.33</v>
      </c>
    </row>
    <row r="24" spans="2:14" s="31" customFormat="1" ht="26.1" customHeight="1">
      <c r="B24" s="712" t="s">
        <v>36</v>
      </c>
      <c r="C24" s="713"/>
      <c r="D24" s="200">
        <f>MAX(D14:D23)</f>
        <v>14.799999999999999</v>
      </c>
      <c r="E24" s="201">
        <f t="shared" ref="E24:F24" si="19">MAX(E14:E23)</f>
        <v>199</v>
      </c>
      <c r="F24" s="202">
        <f t="shared" si="19"/>
        <v>8.51</v>
      </c>
      <c r="G24" s="200">
        <f>MAX(G14:G23)</f>
        <v>14.8</v>
      </c>
      <c r="H24" s="201">
        <f t="shared" ref="H24:I24" si="20">MAX(H14:H23)</f>
        <v>200</v>
      </c>
      <c r="I24" s="202">
        <f t="shared" si="20"/>
        <v>8.42</v>
      </c>
      <c r="J24" s="200">
        <f>MAX(J14:J23)</f>
        <v>15</v>
      </c>
      <c r="K24" s="201">
        <f t="shared" ref="K24:L24" si="21">MAX(K14:K23)</f>
        <v>196</v>
      </c>
      <c r="L24" s="202">
        <f t="shared" si="21"/>
        <v>8.52</v>
      </c>
    </row>
    <row r="25" spans="2:14" s="31" customFormat="1" ht="26.1" customHeight="1">
      <c r="B25" s="712" t="s">
        <v>37</v>
      </c>
      <c r="C25" s="713"/>
      <c r="D25" s="200">
        <f>MIN(D14:D23)</f>
        <v>14.7</v>
      </c>
      <c r="E25" s="201">
        <f t="shared" ref="E25:F25" si="22">MIN(E14:E23)</f>
        <v>194</v>
      </c>
      <c r="F25" s="202">
        <f t="shared" si="22"/>
        <v>8.2800000000000011</v>
      </c>
      <c r="G25" s="200">
        <f>MIN(G14:G23)</f>
        <v>14.700000000000001</v>
      </c>
      <c r="H25" s="201">
        <f t="shared" ref="H25:I25" si="23">MIN(H14:H23)</f>
        <v>194</v>
      </c>
      <c r="I25" s="202">
        <f t="shared" si="23"/>
        <v>8.2000000000000011</v>
      </c>
      <c r="J25" s="200">
        <f>MIN(J14:J23)</f>
        <v>14.8</v>
      </c>
      <c r="K25" s="201">
        <f t="shared" ref="K25:L25" si="24">MIN(K14:K23)</f>
        <v>191</v>
      </c>
      <c r="L25" s="202">
        <f t="shared" si="24"/>
        <v>8.2800000000000011</v>
      </c>
    </row>
    <row r="26" spans="2:14" s="31" customFormat="1" ht="26.1" customHeight="1" thickBot="1">
      <c r="B26" s="706" t="s">
        <v>90</v>
      </c>
      <c r="C26" s="707"/>
      <c r="D26" s="214">
        <f>D24-D25</f>
        <v>9.9999999999999645E-2</v>
      </c>
      <c r="E26" s="215">
        <f t="shared" ref="E26:F26" si="25">E24-E25</f>
        <v>5</v>
      </c>
      <c r="F26" s="216">
        <f t="shared" si="25"/>
        <v>0.22999999999999865</v>
      </c>
      <c r="G26" s="214">
        <f>G24-G25</f>
        <v>9.9999999999999645E-2</v>
      </c>
      <c r="H26" s="215">
        <f t="shared" ref="H26:I26" si="26">H24-H25</f>
        <v>6</v>
      </c>
      <c r="I26" s="216">
        <f t="shared" si="26"/>
        <v>0.21999999999999886</v>
      </c>
      <c r="J26" s="214">
        <f>J24-J25</f>
        <v>0.19999999999999929</v>
      </c>
      <c r="K26" s="215">
        <f t="shared" ref="K26:L26" si="27">K24-K25</f>
        <v>5</v>
      </c>
      <c r="L26" s="216">
        <f t="shared" si="27"/>
        <v>0.23999999999999844</v>
      </c>
    </row>
    <row r="27" spans="2:14" s="31" customFormat="1" ht="26.1" customHeight="1">
      <c r="E27" s="30"/>
      <c r="F27" s="30"/>
    </row>
    <row r="28" spans="2:14" s="31" customFormat="1" ht="26.1" customHeight="1" thickBot="1">
      <c r="E28" s="30"/>
      <c r="F28" s="30"/>
    </row>
    <row r="29" spans="2:14" s="31" customFormat="1" ht="26.1" customHeight="1">
      <c r="D29" s="708" t="s">
        <v>85</v>
      </c>
      <c r="E29" s="711"/>
      <c r="F29" s="709"/>
      <c r="H29" s="708" t="s">
        <v>154</v>
      </c>
      <c r="I29" s="711"/>
      <c r="J29" s="709"/>
      <c r="L29" s="708" t="s">
        <v>155</v>
      </c>
      <c r="M29" s="711"/>
      <c r="N29" s="709"/>
    </row>
    <row r="30" spans="2:14" s="31" customFormat="1" ht="26.1" customHeight="1">
      <c r="D30" s="97" t="s">
        <v>159</v>
      </c>
      <c r="E30" s="99" t="s">
        <v>160</v>
      </c>
      <c r="F30" s="98" t="s">
        <v>89</v>
      </c>
      <c r="H30" s="97" t="s">
        <v>159</v>
      </c>
      <c r="I30" s="99" t="s">
        <v>160</v>
      </c>
      <c r="J30" s="98" t="s">
        <v>89</v>
      </c>
      <c r="L30" s="97" t="s">
        <v>159</v>
      </c>
      <c r="M30" s="99" t="s">
        <v>160</v>
      </c>
      <c r="N30" s="98" t="s">
        <v>89</v>
      </c>
    </row>
    <row r="31" spans="2:14" s="31" customFormat="1" ht="26.1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  <c r="L31" s="100">
        <v>0</v>
      </c>
      <c r="M31" s="62">
        <v>1</v>
      </c>
      <c r="N31" s="101">
        <v>-0.12</v>
      </c>
    </row>
    <row r="32" spans="2:14" s="31" customFormat="1" ht="26.1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  <c r="L32" s="100">
        <v>0</v>
      </c>
      <c r="M32" s="62">
        <v>-2</v>
      </c>
      <c r="N32" s="101">
        <v>0.09</v>
      </c>
    </row>
    <row r="33" spans="4:14" s="31" customFormat="1" ht="26.1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  <c r="L33" s="100">
        <v>0.1</v>
      </c>
      <c r="M33" s="62">
        <v>-1</v>
      </c>
      <c r="N33" s="101">
        <v>0.11</v>
      </c>
    </row>
    <row r="34" spans="4:14" s="31" customFormat="1" ht="26.1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  <c r="L34" s="100">
        <v>0.1</v>
      </c>
      <c r="M34" s="62">
        <v>2</v>
      </c>
      <c r="N34" s="101">
        <v>-0.1</v>
      </c>
    </row>
    <row r="35" spans="4:14" s="31" customFormat="1" ht="26.1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  <c r="L35" s="100">
        <v>-0.1</v>
      </c>
      <c r="M35" s="62">
        <v>2</v>
      </c>
      <c r="N35" s="101">
        <v>0.12</v>
      </c>
    </row>
    <row r="36" spans="4:14" s="31" customFormat="1" ht="26.1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  <c r="L36" s="100">
        <v>0.1</v>
      </c>
      <c r="M36" s="62">
        <v>-3</v>
      </c>
      <c r="N36" s="101">
        <v>-0.12</v>
      </c>
    </row>
    <row r="37" spans="4:14" s="31" customFormat="1" ht="26.1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  <c r="L37" s="100">
        <v>-0.1</v>
      </c>
      <c r="M37" s="62">
        <v>-3</v>
      </c>
      <c r="N37" s="101">
        <v>-7.0000000000000007E-2</v>
      </c>
    </row>
    <row r="38" spans="4:14" ht="26.1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  <c r="L38" s="100">
        <v>-0.1</v>
      </c>
      <c r="M38" s="62">
        <v>-1</v>
      </c>
      <c r="N38" s="101">
        <v>0.1</v>
      </c>
    </row>
    <row r="39" spans="4:14" ht="26.1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  <c r="L39" s="100">
        <v>0.1</v>
      </c>
      <c r="M39" s="62">
        <v>-1</v>
      </c>
      <c r="N39" s="101">
        <v>0.11</v>
      </c>
    </row>
    <row r="40" spans="4:14" ht="26.1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  <c r="L40" s="102">
        <v>0</v>
      </c>
      <c r="M40" s="64">
        <v>-2</v>
      </c>
      <c r="N40" s="103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8006" r:id="rId4" name="CommandButton2">
          <controlPr defaultSize="0" autoLine="0" r:id="rId5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128006" r:id="rId4" name="CommandButton2"/>
      </mc:Fallback>
    </mc:AlternateContent>
    <mc:AlternateContent xmlns:mc="http://schemas.openxmlformats.org/markup-compatibility/2006">
      <mc:Choice Requires="x14">
        <control shapeId="128003" r:id="rId6" name="CommandButton3">
          <controlPr defaultSize="0" autoLine="0" r:id="rId7">
            <anchor moveWithCells="1">
              <from>
                <xdr:col>6</xdr:col>
                <xdr:colOff>114300</xdr:colOff>
                <xdr:row>6</xdr:row>
                <xdr:rowOff>114300</xdr:rowOff>
              </from>
              <to>
                <xdr:col>10</xdr:col>
                <xdr:colOff>123825</xdr:colOff>
                <xdr:row>7</xdr:row>
                <xdr:rowOff>152400</xdr:rowOff>
              </to>
            </anchor>
          </controlPr>
        </control>
      </mc:Choice>
      <mc:Fallback>
        <control shapeId="128003" r:id="rId6" name="CommandButton3"/>
      </mc:Fallback>
    </mc:AlternateContent>
    <mc:AlternateContent xmlns:mc="http://schemas.openxmlformats.org/markup-compatibility/2006">
      <mc:Choice Requires="x14">
        <control shapeId="128004" r:id="rId8" name="CommandButton4">
          <controlPr defaultSize="0" autoLine="0" r:id="rId9">
            <anchor moveWithCells="1">
              <from>
                <xdr:col>6</xdr:col>
                <xdr:colOff>114300</xdr:colOff>
                <xdr:row>7</xdr:row>
                <xdr:rowOff>200025</xdr:rowOff>
              </from>
              <to>
                <xdr:col>10</xdr:col>
                <xdr:colOff>123825</xdr:colOff>
                <xdr:row>8</xdr:row>
                <xdr:rowOff>238125</xdr:rowOff>
              </to>
            </anchor>
          </controlPr>
        </control>
      </mc:Choice>
      <mc:Fallback>
        <control shapeId="128004" r:id="rId8" name="CommandButton4"/>
      </mc:Fallback>
    </mc:AlternateContent>
    <mc:AlternateContent xmlns:mc="http://schemas.openxmlformats.org/markup-compatibility/2006">
      <mc:Choice Requires="x14">
        <control shapeId="128005" r:id="rId10" name="CommandButton5">
          <controlPr defaultSize="0" autoLine="0" r:id="rId11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128005" r:id="rId10" name="CommandButton5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913F511-7F82-46EE-9710-EC7AECF4D7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21</vt:i4>
      </vt:variant>
      <vt:variant>
        <vt:lpstr>이름 지정된 범위</vt:lpstr>
      </vt:variant>
      <vt:variant>
        <vt:i4>36</vt:i4>
      </vt:variant>
    </vt:vector>
  </HeadingPairs>
  <TitlesOfParts>
    <vt:vector size="57" baseType="lpstr">
      <vt:lpstr>AREA</vt:lpstr>
      <vt:lpstr>All</vt:lpstr>
      <vt:lpstr>Y</vt:lpstr>
      <vt:lpstr>Recharge</vt:lpstr>
      <vt:lpstr>drastic</vt:lpstr>
      <vt:lpstr>location</vt:lpstr>
      <vt:lpstr>AggStep</vt:lpstr>
      <vt:lpstr>AggChart</vt:lpstr>
      <vt:lpstr>YangSoo</vt:lpstr>
      <vt:lpstr>water</vt:lpstr>
      <vt:lpstr>Aggregate1</vt:lpstr>
      <vt:lpstr>Aggregate2</vt:lpstr>
      <vt:lpstr>aggWhpa</vt:lpstr>
      <vt:lpstr>AggSum</vt:lpstr>
      <vt:lpstr>Well</vt:lpstr>
      <vt:lpstr>1</vt:lpstr>
      <vt:lpstr>2</vt:lpstr>
      <vt:lpstr>3</vt:lpstr>
      <vt:lpstr>Q1</vt:lpstr>
      <vt:lpstr>Q2</vt:lpstr>
      <vt:lpstr>Q3</vt:lpstr>
      <vt:lpstr>Agg1_Tentative_Water_Intake</vt:lpstr>
      <vt:lpstr>agg2_34_skinfactor</vt:lpstr>
      <vt:lpstr>agg2_36_surisangsoo</vt:lpstr>
      <vt:lpstr>agg2_37_roi</vt:lpstr>
      <vt:lpstr>agg2_38_roi_result</vt:lpstr>
      <vt:lpstr>AggSum_26_AC</vt:lpstr>
      <vt:lpstr>AggSum_26_RightAC</vt:lpstr>
      <vt:lpstr>AggSum_CasingDepth</vt:lpstr>
      <vt:lpstr>AggSum_DI</vt:lpstr>
      <vt:lpstr>AggSum_Intake</vt:lpstr>
      <vt:lpstr>AggSum_MotorHP</vt:lpstr>
      <vt:lpstr>AggSum_MotorSimdo</vt:lpstr>
      <vt:lpstr>AggSum_NaturalLevel</vt:lpstr>
      <vt:lpstr>AggSum_ROI</vt:lpstr>
      <vt:lpstr>AggSum_ROI_Stat</vt:lpstr>
      <vt:lpstr>AggSum_Simdo</vt:lpstr>
      <vt:lpstr>AggSum_StableLevel</vt:lpstr>
      <vt:lpstr>AggSum_Statistic_DrasticIndex</vt:lpstr>
      <vt:lpstr>AggSum_ToChool</vt:lpstr>
      <vt:lpstr>AggSum_WellDiameter</vt:lpstr>
      <vt:lpstr>allow_ratio</vt:lpstr>
      <vt:lpstr>allow_ratio2</vt:lpstr>
      <vt:lpstr>allow_ratio3</vt:lpstr>
      <vt:lpstr>Area1</vt:lpstr>
      <vt:lpstr>'Q1'!baseTemp</vt:lpstr>
      <vt:lpstr>'Q2'!baseTemp</vt:lpstr>
      <vt:lpstr>'Q3'!baseTemp</vt:lpstr>
      <vt:lpstr>baseTemp2</vt:lpstr>
      <vt:lpstr>bTemp2</vt:lpstr>
      <vt:lpstr>bTemp3</vt:lpstr>
      <vt:lpstr>max</vt:lpstr>
      <vt:lpstr>min</vt:lpstr>
      <vt:lpstr>rf_1</vt:lpstr>
      <vt:lpstr>rf_2</vt:lpstr>
      <vt:lpstr>rf_3</vt:lpstr>
      <vt:lpstr>SumWater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2023-10-20T01:12:26Z</cp:lastPrinted>
  <dcterms:created xsi:type="dcterms:W3CDTF">2006-03-22T01:28:03Z</dcterms:created>
  <dcterms:modified xsi:type="dcterms:W3CDTF">2024-06-09T12:31:12Z</dcterms:modified>
</cp:coreProperties>
</file>