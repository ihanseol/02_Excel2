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1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9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B3F2AC7-06F4-4E2E-AF65-40BD6CD8E7E6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3" r:id="rId17"/>
    <sheet name="3" sheetId="194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94" l="1"/>
  <c r="C9" i="193"/>
  <c r="C9" i="55"/>
  <c r="O6" i="52"/>
  <c r="F21" i="194" s="1"/>
  <c r="O5" i="52"/>
  <c r="F21" i="193" s="1"/>
  <c r="O4" i="52"/>
  <c r="E17" i="194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E19" i="193" s="1"/>
  <c r="C19" i="193"/>
  <c r="C18" i="193"/>
  <c r="C17" i="193"/>
  <c r="C16" i="193"/>
  <c r="C15" i="193"/>
  <c r="C8" i="193"/>
  <c r="C7" i="193"/>
  <c r="C12" i="193" s="1"/>
  <c r="A13" i="193" s="1"/>
  <c r="A12" i="193" s="1"/>
  <c r="C6" i="193"/>
  <c r="C5" i="193"/>
  <c r="C4" i="193"/>
  <c r="C3" i="193"/>
  <c r="C2" i="19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4"/>
  <c r="I31" i="194"/>
  <c r="H31" i="194"/>
  <c r="G31" i="194"/>
  <c r="F31" i="194"/>
  <c r="E31" i="194"/>
  <c r="D31" i="194"/>
  <c r="K31" i="194" s="1"/>
  <c r="J30" i="194"/>
  <c r="I30" i="194"/>
  <c r="H30" i="194"/>
  <c r="G30" i="194"/>
  <c r="F30" i="194"/>
  <c r="E30" i="194"/>
  <c r="D30" i="194"/>
  <c r="K30" i="194" s="1"/>
  <c r="D26" i="194"/>
  <c r="C22" i="194"/>
  <c r="K16" i="194"/>
  <c r="K17" i="194" s="1"/>
  <c r="K18" i="194" s="1"/>
  <c r="L18" i="194" s="1"/>
  <c r="H26" i="194" s="1"/>
  <c r="G14" i="194"/>
  <c r="E13" i="194"/>
  <c r="D13" i="194"/>
  <c r="L12" i="194"/>
  <c r="H11" i="194"/>
  <c r="F11" i="194"/>
  <c r="E11" i="194"/>
  <c r="H10" i="194"/>
  <c r="H9" i="194"/>
  <c r="G7" i="194"/>
  <c r="E7" i="194"/>
  <c r="F6" i="52"/>
  <c r="E6" i="52"/>
  <c r="J31" i="193"/>
  <c r="I31" i="193"/>
  <c r="H31" i="193"/>
  <c r="G31" i="193"/>
  <c r="F31" i="193"/>
  <c r="E31" i="193"/>
  <c r="D31" i="193"/>
  <c r="K31" i="193" s="1"/>
  <c r="J30" i="193"/>
  <c r="I30" i="193"/>
  <c r="H30" i="193"/>
  <c r="G30" i="193"/>
  <c r="F30" i="193"/>
  <c r="E30" i="193"/>
  <c r="D30" i="193"/>
  <c r="K30" i="193" s="1"/>
  <c r="D26" i="193"/>
  <c r="C22" i="193"/>
  <c r="K16" i="193"/>
  <c r="K17" i="193" s="1"/>
  <c r="K18" i="193" s="1"/>
  <c r="L18" i="193" s="1"/>
  <c r="H26" i="193" s="1"/>
  <c r="G14" i="193"/>
  <c r="E13" i="193"/>
  <c r="D13" i="193"/>
  <c r="L12" i="193"/>
  <c r="H11" i="193"/>
  <c r="F11" i="193"/>
  <c r="E11" i="193"/>
  <c r="H10" i="193"/>
  <c r="H9" i="193"/>
  <c r="G7" i="193"/>
  <c r="E7" i="193"/>
  <c r="F5" i="52"/>
  <c r="E5" i="52"/>
  <c r="E19" i="194" l="1"/>
  <c r="C14" i="194"/>
  <c r="F7" i="194" s="1"/>
  <c r="C14" i="193"/>
  <c r="F7" i="193" s="1"/>
  <c r="F6" i="194" l="1"/>
  <c r="F5" i="194"/>
  <c r="J26" i="194"/>
  <c r="F6" i="193"/>
  <c r="F5" i="193"/>
  <c r="J26" i="193"/>
  <c r="F21" i="55" l="1"/>
  <c r="O5" i="148"/>
  <c r="N5" i="148"/>
  <c r="O4" i="148"/>
  <c r="N4" i="148"/>
  <c r="O3" i="148"/>
  <c r="N3" i="148"/>
  <c r="F92" i="175" l="1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l="1"/>
  <c r="E21" i="194"/>
  <c r="E22" i="194" s="1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3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4" l="1"/>
  <c r="G13" i="193"/>
  <c r="F13" i="194"/>
  <c r="F17" i="193"/>
  <c r="G17" i="193" s="1"/>
  <c r="F17" i="194"/>
  <c r="G17" i="194" s="1"/>
  <c r="F13" i="193"/>
  <c r="F19" i="193"/>
  <c r="G19" i="193" s="1"/>
  <c r="F19" i="194"/>
  <c r="G19" i="194" s="1"/>
  <c r="F13" i="55"/>
  <c r="G13" i="55"/>
  <c r="K30" i="55"/>
  <c r="H19" i="194" l="1"/>
  <c r="G21" i="194"/>
  <c r="H19" i="193"/>
  <c r="G21" i="193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3" l="1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<sst xmlns="http://schemas.openxmlformats.org/spreadsheetml/2006/main" count="1255" uniqueCount="711">
  <si>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</si>
  <si>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</si>
  <si>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</si>
  <si>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</si>
  <si>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</si>
  <si>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</si>
  <si>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</si>
  <si>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</si>
  <si>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</si>
  <si>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</si>
  <si>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</si>
  <si>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</si>
  <si>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</si>
  <si>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</si>
  <si>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</si>
  <si>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</si>
  <si>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</si>
  <si>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</si>
  <si>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</si>
  <si>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</si>
  <si>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</si>
  <si>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</si>
  <si>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</si>
  <si>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</si>
  <si>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</si>
  <si>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</si>
  <si>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</si>
  <si>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</si>
  <si>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</si>
  <si>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</si>
  <si>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</si>
  <si>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</si>
  <si>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</si>
  <si>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</si>
  <si>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</si>
  <si>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</si>
  <si>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</si>
  <si>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</si>
  <si>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</si>
  <si>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</si>
  <si>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</si>
  <si>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</si>
  <si>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</si>
  <si>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</si>
  <si>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</si>
  <si>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</si>
  <si>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</si>
  <si>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</si>
  <si>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</si>
  <si>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</si>
  <si>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</si>
  <si>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</si>
  <si>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</si>
  <si>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</si>
  <si>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</si>
  <si>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</si>
  <si>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</si>
  <si>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</si>
  <si>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</si>
  <si>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</si>
  <si>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</si>
  <si>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</si>
  <si>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</si>
  <si>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</si>
  <si>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</si>
  <si>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</si>
  <si>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</si>
  <si>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</si>
  <si>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</si>
  <si>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</si>
  <si>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</si>
  <si>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</si>
  <si>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</si>
  <si>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</si>
  <si>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</si>
  <si>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</si>
  <si>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</si>
  <si>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</si>
  <si>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</si>
  <si>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</si>
  <si>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</si>
  <si>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</si>
  <si>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</si>
  <si>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</si>
  <si>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</si>
  <si>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</si>
  <si>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</si>
  <si>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</si>
  <si>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</si>
  <si>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</si>
  <si>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</si>
  <si>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</si>
  <si>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</si>
  <si>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</si>
  <si>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</si>
  <si>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</si>
  <si>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</si>
  <si>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</si>
  <si>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</si>
  <si>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</si>
  <si>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</si>
  <si>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</si>
  <si>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</si>
  <si>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</si>
  <si>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</si>
  <si>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</si>
  <si>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</si>
  <si>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</si>
  <si>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</si>
  <si>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</si>
  <si>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</si>
  <si>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</si>
  <si>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</si>
  <si>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</si>
  <si>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</si>
  <si>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</si>
  <si>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</si>
  <si>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</si>
  <si>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</si>
  <si>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</si>
  <si>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</si>
  <si>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</si>
  <si>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</si>
  <si>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</si>
  <si>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</si>
  <si>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</si>
  <si>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</si>
  <si>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</si>
  <si>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</si>
  <si>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</si>
  <si>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</si>
  <si>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</si>
  <si>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</si>
  <si>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</si>
  <si>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</si>
  <si>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</si>
  <si>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</si>
  <si>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</si>
  <si>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</si>
  <si>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</si>
  <si>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</si>
  <si>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</si>
  <si>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</si>
  <si>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</si>
  <si>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</si>
  <si>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</si>
  <si>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</si>
  <si>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</si>
  <si>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</si>
  <si>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</si>
  <si>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</si>
  <si>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</si>
  <si>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</si>
  <si>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</si>
  <si>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</si>
  <si>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</si>
  <si>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</si>
  <si>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</si>
  <si>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</si>
  <si>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</si>
  <si>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</si>
  <si>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</si>
  <si>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</si>
  <si>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</si>
  <si>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</si>
  <si>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</si>
  <si>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</si>
  <si>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</si>
  <si>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</si>
  <si>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</si>
  <si>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</si>
  <si>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</si>
  <si>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</si>
  <si>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</si>
  <si>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</si>
  <si>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</si>
  <si>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</si>
  <si>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</si>
  <si>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</si>
  <si>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</si>
  <si>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</si>
  <si>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</si>
  <si>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</si>
  <si>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</si>
  <si>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</si>
  <si>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</si>
  <si>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</si>
  <si>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</si>
  <si>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</si>
  <si>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</si>
  <si>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</si>
  <si>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</si>
  <si>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</si>
  <si>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</si>
  <si>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</si>
  <si>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</si>
  <si>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</si>
  <si>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</si>
  <si>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</si>
  <si>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</si>
  <si>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</si>
  <si>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</si>
  <si>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</si>
  <si>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</si>
  <si>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</si>
  <si>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</si>
  <si>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</si>
  <si>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</si>
  <si>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</si>
  <si>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</si>
  <si>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</si>
  <si>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</si>
  <si>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</si>
  <si>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</si>
  <si>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</si>
  <si>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</si>
  <si>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</si>
  <si>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</si>
  <si>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</si>
  <si>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</si>
  <si>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</si>
  <si>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</si>
  <si>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</si>
  <si>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</si>
  <si>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</si>
  <si>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</si>
  <si>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</si>
  <si>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</si>
  <si>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</si>
  <si>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</si>
  <si>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</si>
  <si>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</si>
  <si>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</si>
  <si>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</si>
  <si>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</si>
  <si>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</si>
  <si>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</si>
  <si>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</si>
  <si>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</si>
  <si>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</si>
  <si>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</si>
  <si>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</si>
  <si>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</si>
  <si>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</si>
  <si>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</si>
  <si>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</si>
  <si>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</si>
  <si>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</si>
  <si>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</si>
  <si>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</si>
  <si>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</si>
  <si>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</si>
  <si>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</si>
  <si>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</si>
  <si>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</si>
  <si>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</si>
  <si>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</si>
  <si>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</si>
  <si>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</si>
  <si>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</si>
  <si>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</si>
  <si>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</si>
  <si>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</si>
  <si>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</si>
  <si>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</si>
  <si>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</si>
  <si>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</si>
  <si>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</si>
  <si>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</si>
  <si>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</si>
  <si>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</si>
  <si>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</si>
  <si>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</si>
  <si>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</si>
  <si>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</si>
  <si>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</si>
  <si>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</si>
  <si>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</si>
  <si>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</si>
  <si>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</si>
  <si>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</si>
  <si>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</si>
  <si>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</si>
  <si>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</si>
  <si>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</si>
  <si>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</si>
  <si>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</si>
  <si>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</si>
  <si>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</si>
  <si>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</si>
  <si>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</si>
  <si>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</si>
  <si>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</si>
  <si>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</si>
  <si>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</si>
  <si>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</si>
  <si>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</si>
  <si>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</si>
  <si>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</si>
  <si>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</si>
  <si>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</si>
  <si>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</si>
  <si>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</si>
  <si>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</si>
  <si>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</si>
  <si>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</si>
  <si>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</si>
  <si>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</si>
  <si>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</si>
  <si>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</si>
  <si>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</si>
  <si>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</si>
  <si>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</si>
  <si>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</si>
  <si>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</si>
  <si>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</si>
  <si>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</si>
  <si>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</si>
  <si>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</si>
  <si>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</si>
  <si>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</si>
  <si>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</si>
  <si>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</si>
  <si>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</si>
  <si>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</si>
  <si>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</si>
  <si>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</si>
  <si>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</si>
  <si>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</si>
  <si>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</si>
  <si>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</si>
  <si>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</si>
  <si>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</si>
  <si>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</si>
  <si>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</si>
  <si>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</si>
  <si>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</si>
  <si>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</si>
  <si>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</si>
  <si>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</si>
  <si>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</si>
  <si>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</si>
  <si>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</si>
  <si>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</si>
  <si>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</si>
  <si>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</si>
  <si>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</si>
  <si>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</si>
  <si>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</si>
  <si>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</si>
  <si>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</si>
  <si>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</si>
  <si>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</si>
  <si>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</si>
  <si>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</si>
  <si>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</si>
  <si>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</si>
  <si>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</si>
  <si>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</si>
  <si>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</si>
  <si>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</si>
  <si>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</si>
  <si>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</si>
  <si>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</si>
  <si>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</si>
  <si>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</si>
  <si>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</si>
  <si>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</si>
  <si>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</si>
  <si>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</si>
  <si>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</si>
  <si>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</si>
  <si>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</si>
  <si>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</si>
  <si>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</si>
  <si>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</si>
  <si>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</si>
  <si>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</si>
  <si>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</si>
  <si>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</si>
  <si>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</si>
  <si>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</si>
  <si>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</si>
  <si>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</si>
  <si>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</si>
  <si>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</si>
  <si>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</si>
  <si>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</si>
  <si>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</si>
  <si>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</si>
  <si>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</si>
  <si>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</si>
  <si>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</si>
  <si>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</si>
  <si>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</si>
  <si>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</si>
  <si>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</si>
  <si>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</si>
  <si>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</si>
  <si>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</si>
  <si>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</si>
  <si>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</si>
  <si>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</si>
  <si>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</si>
  <si>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</si>
  <si>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</si>
  <si>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</si>
  <si>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</si>
  <si>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</si>
  <si>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</si>
  <si>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</si>
  <si>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</si>
  <si>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</si>
  <si>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</si>
  <si>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</si>
  <si>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</si>
  <si>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</si>
  <si>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</si>
  <si>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</si>
  <si>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</si>
  <si>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</si>
  <si>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</si>
  <si>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</si>
  <si>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</si>
  <si>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</si>
  <si>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</si>
  <si>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</si>
  <si>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</si>
  <si>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</si>
  <si>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</si>
  <si>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</si>
  <si>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</si>
  <si>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</si>
  <si>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</si>
  <si>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</si>
  <si>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</si>
  <si>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</si>
  <si>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</si>
  <si>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</si>
  <si>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</si>
  <si>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</si>
  <si>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</si>
  <si>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</si>
  <si>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</si>
  <si>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</si>
  <si>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</si>
  <si>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</si>
  <si>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</si>
  <si>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</si>
  <si>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</si>
  <si>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</si>
  <si>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</si>
  <si>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</si>
  <si>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</si>
  <si>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</si>
  <si>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</si>
  <si>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</si>
  <si>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</si>
  <si>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</si>
  <si>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</si>
  <si>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</si>
  <si>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</si>
  <si>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</si>
  <si>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</si>
  <si>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</si>
  <si>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</si>
  <si>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</si>
  <si>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</si>
  <si>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</si>
  <si>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</si>
  <si>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</si>
  <si>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</si>
  <si>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</si>
  <si>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</si>
  <si>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</si>
  <si>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</si>
  <si>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</si>
  <si>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</si>
  <si>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</si>
  <si>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</si>
  <si>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</si>
  <si>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</si>
  <si>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</si>
  <si>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</si>
  <si>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</si>
  <si>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</si>
  <si>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</si>
  <si>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</si>
  <si>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</si>
  <si>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</si>
  <si>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</si>
  <si>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</si>
  <si>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</si>
  <si>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</si>
  <si>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</si>
  <si>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</si>
  <si>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</si>
  <si>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</si>
  <si>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</si>
  <si>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</si>
  <si>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</si>
  <si>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</si>
  <si>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</si>
  <si>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</si>
  <si>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</si>
  <si>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</si>
  <si>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</si>
  <si>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</si>
  <si>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</si>
  <si>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</si>
  <si>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</si>
  <si>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</si>
  <si>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</si>
  <si>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</si>
  <si>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</si>
  <si>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</si>
  <si>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</si>
  <si>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</si>
  <si>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</si>
  <si>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</si>
  <si>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</si>
  <si>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</si>
  <si>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</si>
  <si>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</si>
  <si>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</si>
  <si>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</si>
  <si>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</si>
  <si>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</si>
  <si>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</si>
  <si>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</si>
  <si>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</si>
  <si>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</si>
  <si>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</si>
  <si>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</si>
  <si>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</si>
  <si>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</si>
  <si>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</si>
  <si>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</si>
  <si>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</si>
  <si>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</si>
  <si>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</si>
  <si>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</si>
  <si>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</si>
  <si>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</si>
  <si>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</si>
  <si>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</si>
  <si>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</si>
  <si>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</si>
  <si>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</si>
  <si>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</si>
  <si>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</si>
  <si>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</si>
  <si>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</si>
  <si>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</si>
  <si>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</si>
  <si>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</si>
  <si>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</si>
  <si>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</si>
  <si>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</si>
  <si>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</si>
  <si>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</si>
  <si>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</si>
  <si>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</si>
  <si>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</si>
  <si>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</si>
  <si>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</si>
  <si>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</si>
  <si>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</si>
  <si>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</si>
  <si>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</si>
  <si>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</si>
  <si>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</si>
  <si>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</si>
  <si>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</si>
  <si>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</si>
  <si>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</si>
  <si>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</si>
  <si>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</si>
  <si>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</si>
  <si>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</si>
  <si>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</si>
  <si>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</si>
  <si>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</si>
  <si>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</si>
  <si>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</si>
  <si>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</si>
  <si>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</si>
  <si>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</si>
  <si>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</si>
  <si>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</si>
  <si>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</si>
  <si>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</si>
  <si>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</si>
  <si>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</si>
  <si>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</si>
  <si>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</si>
  <si>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</si>
  <si>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</si>
  <si>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</si>
  <si>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</si>
  <si>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</si>
  <si>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</si>
  <si>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</si>
  <si>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</si>
  <si>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</si>
  <si>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</si>
  <si>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</si>
  <si>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</si>
  <si>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</si>
  <si>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</si>
  <si>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</si>
  <si>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</si>
  <si>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</si>
  <si>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</si>
  <si>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</si>
  <si>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</si>
  <si>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</si>
  <si>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</si>
  <si>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</si>
  <si>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</si>
  <si>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</si>
  <si>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</si>
  <si>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</si>
  <si>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</si>
  <si>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</si>
  <si>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</si>
  <si>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</si>
  <si>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</si>
  <si>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</si>
  <si>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</si>
  <si>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</si>
  <si>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</si>
  <si>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</si>
  <si>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</si>
  <si>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</si>
  <si>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</si>
  <si>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</si>
  <si>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</si>
  <si>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</si>
  <si>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</si>
  <si>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</si>
  <si>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</si>
  <si>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</si>
  <si>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</si>
  <si>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</si>
  <si>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</si>
  <si>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</si>
  <si>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</si>
  <si>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</si>
  <si>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</si>
  <si>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</si>
  <si>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</si>
  <si>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</si>
  <si>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</si>
  <si>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</si>
  <si>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</si>
  <si>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</si>
  <si>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</si>
  <si>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</si>
  <si>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</si>
  <si>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</si>
  <si>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</si>
  <si>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</si>
  <si>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</si>
  <si>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</si>
  <si>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</si>
  <si>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</si>
  <si>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</si>
  <si>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</si>
  <si>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</si>
  <si>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</si>
  <si>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</si>
  <si>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</si>
  <si>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</si>
  <si>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</si>
  <si>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</si>
  <si>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</si>
  <si>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</si>
  <si>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</si>
  <si>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</si>
  <si>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</si>
  <si>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</si>
  <si>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</si>
  <si>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</si>
  <si>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</si>
  <si>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</si>
  <si>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</si>
  <si>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</si>
  <si>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</si>
  <si>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</si>
  <si>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</si>
  <si>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</si>
  <si>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</si>
  <si>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</si>
  <si>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</si>
  <si>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충청도</t>
  </si>
  <si>
    <t>중간정도</t>
    <phoneticPr fontId="7" type="noConversion"/>
  </si>
  <si>
    <t>5년</t>
  </si>
  <si>
    <t>천안</t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</si>
  <si>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</si>
  <si>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</si>
  <si>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</si>
  <si>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</si>
  <si>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</si>
  <si>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</si>
  <si>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</si>
  <si>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전의면 유천리 261번지</t>
    <phoneticPr fontId="7" type="noConversion"/>
  </si>
  <si>
    <t xml:space="preserve">전의면 유천리 402-2번지  </t>
    <phoneticPr fontId="7" type="noConversion"/>
  </si>
  <si>
    <t xml:space="preserve">전의면 유천리 303-1번지 </t>
    <phoneticPr fontId="7" type="noConversion"/>
  </si>
  <si>
    <t>삽교천/삽교천</t>
  </si>
  <si>
    <t xml:space="preserve">2024년, 세종 에머슨 골프장 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</si>
</sst>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4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13" Type="http://schemas.openxmlformats.org/officeDocument/2006/relationships/image" Target="../media/image53.emf"/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12" Type="http://schemas.openxmlformats.org/officeDocument/2006/relationships/image" Target="../media/image41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11" Type="http://schemas.openxmlformats.org/officeDocument/2006/relationships/image" Target="../media/image52.emf"/><Relationship Id="rId5" Type="http://schemas.openxmlformats.org/officeDocument/2006/relationships/image" Target="../media/image43.emf"/><Relationship Id="rId10" Type="http://schemas.openxmlformats.org/officeDocument/2006/relationships/image" Target="../media/image51.emf"/><Relationship Id="rId4" Type="http://schemas.openxmlformats.org/officeDocument/2006/relationships/image" Target="../media/image44.emf"/><Relationship Id="rId9" Type="http://schemas.openxmlformats.org/officeDocument/2006/relationships/image" Target="../media/image50.emf"/><Relationship Id="rId14" Type="http://schemas.openxmlformats.org/officeDocument/2006/relationships/image" Target="../media/image4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5" Type="http://schemas.openxmlformats.org/officeDocument/2006/relationships/image" Target="../media/image58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6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4" Type="http://schemas.openxmlformats.org/officeDocument/2006/relationships/image" Target="../media/image6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4" Type="http://schemas.openxmlformats.org/officeDocument/2006/relationships/image" Target="../media/image7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504825</xdr:rowOff>
        </xdr:from>
        <xdr:to>
          <xdr:col>14</xdr:col>
          <xdr:colOff>47625</xdr:colOff>
          <xdr:row>0</xdr:row>
          <xdr:rowOff>771525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mments" Target="../comments5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ntrol" Target="../activeX/activeX5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0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56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5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7.xml"/><Relationship Id="rId4" Type="http://schemas.openxmlformats.org/officeDocument/2006/relationships/control" Target="../activeX/activeX54.xml"/><Relationship Id="rId9" Type="http://schemas.openxmlformats.org/officeDocument/2006/relationships/image" Target="../media/image6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4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9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1.xml"/><Relationship Id="rId4" Type="http://schemas.openxmlformats.org/officeDocument/2006/relationships/control" Target="../activeX/activeX58.xml"/><Relationship Id="rId9" Type="http://schemas.openxmlformats.org/officeDocument/2006/relationships/image" Target="../media/image6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3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7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6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1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369</v>
      </c>
      <c r="B1" s="343" t="s">
        <v>196</v>
      </c>
      <c r="C1" s="343" t="s">
        <v>501</v>
      </c>
      <c r="D1" s="343" t="s">
        <v>500</v>
      </c>
      <c r="F1" s="343" t="s">
        <v>369</v>
      </c>
      <c r="G1" s="343" t="s">
        <v>196</v>
      </c>
      <c r="H1" s="343" t="s">
        <v>501</v>
      </c>
      <c r="I1" s="343" t="s">
        <v>500</v>
      </c>
      <c r="K1" s="343" t="s">
        <v>369</v>
      </c>
      <c r="L1" s="343" t="s">
        <v>196</v>
      </c>
      <c r="M1" s="343" t="s">
        <v>501</v>
      </c>
      <c r="N1" s="343" t="s">
        <v>500</v>
      </c>
      <c r="P1" s="343" t="s">
        <v>369</v>
      </c>
      <c r="Q1" s="343" t="s">
        <v>501</v>
      </c>
    </row>
    <row r="2" spans="1:17">
      <c r="A2" s="343" t="s">
        <v>589</v>
      </c>
      <c r="B2" s="343" t="s">
        <v>588</v>
      </c>
      <c r="C2" s="343">
        <v>116</v>
      </c>
      <c r="D2" s="343">
        <v>14</v>
      </c>
      <c r="F2" s="343" t="s">
        <v>587</v>
      </c>
      <c r="G2" s="343" t="s">
        <v>586</v>
      </c>
      <c r="H2" s="343">
        <v>105</v>
      </c>
      <c r="I2" s="343">
        <v>38</v>
      </c>
      <c r="K2" s="343" t="s">
        <v>585</v>
      </c>
      <c r="L2" s="343" t="s">
        <v>584</v>
      </c>
      <c r="M2" s="343">
        <v>226</v>
      </c>
      <c r="N2" s="343">
        <v>54</v>
      </c>
      <c r="P2" s="343" t="s">
        <v>583</v>
      </c>
      <c r="Q2" s="343" t="s">
        <v>582</v>
      </c>
    </row>
    <row r="3" spans="1:17">
      <c r="A3" s="343" t="s">
        <v>581</v>
      </c>
      <c r="B3" s="343" t="s">
        <v>580</v>
      </c>
      <c r="C3" s="343">
        <v>108</v>
      </c>
      <c r="D3" s="343">
        <v>14</v>
      </c>
      <c r="F3" s="343" t="s">
        <v>579</v>
      </c>
      <c r="G3" s="343" t="s">
        <v>578</v>
      </c>
      <c r="H3" s="343">
        <v>100</v>
      </c>
      <c r="I3" s="343">
        <v>38</v>
      </c>
      <c r="K3" s="343" t="s">
        <v>577</v>
      </c>
      <c r="L3" s="343" t="s">
        <v>576</v>
      </c>
      <c r="M3" s="343">
        <v>221</v>
      </c>
      <c r="N3" s="343">
        <v>54</v>
      </c>
      <c r="P3" s="343" t="s">
        <v>575</v>
      </c>
      <c r="Q3" s="343" t="s">
        <v>574</v>
      </c>
    </row>
    <row r="4" spans="1:17">
      <c r="A4" s="343" t="s">
        <v>573</v>
      </c>
      <c r="B4" s="343" t="s">
        <v>572</v>
      </c>
      <c r="C4" s="343">
        <v>201</v>
      </c>
      <c r="D4" s="343">
        <v>22</v>
      </c>
      <c r="F4" s="343" t="s">
        <v>571</v>
      </c>
      <c r="G4" s="343" t="s">
        <v>570</v>
      </c>
      <c r="H4" s="343">
        <v>106</v>
      </c>
      <c r="I4" s="343">
        <v>38</v>
      </c>
      <c r="K4" s="343" t="s">
        <v>569</v>
      </c>
      <c r="L4" s="343" t="s">
        <v>568</v>
      </c>
      <c r="M4" s="343">
        <v>131</v>
      </c>
      <c r="N4" s="343">
        <v>54</v>
      </c>
      <c r="P4" s="343" t="s">
        <v>567</v>
      </c>
      <c r="Q4" s="343" t="s">
        <v>566</v>
      </c>
    </row>
    <row r="5" spans="1:17">
      <c r="A5" s="343" t="s">
        <v>565</v>
      </c>
      <c r="B5" s="343" t="s">
        <v>564</v>
      </c>
      <c r="C5" s="343">
        <v>102</v>
      </c>
      <c r="D5" s="343">
        <v>22</v>
      </c>
      <c r="F5" s="343" t="s">
        <v>563</v>
      </c>
      <c r="G5" s="343" t="s">
        <v>562</v>
      </c>
      <c r="H5" s="343">
        <v>104</v>
      </c>
      <c r="I5" s="343">
        <v>38</v>
      </c>
      <c r="K5" s="343" t="s">
        <v>561</v>
      </c>
      <c r="L5" s="343" t="s">
        <v>560</v>
      </c>
      <c r="M5" s="343">
        <v>135</v>
      </c>
      <c r="N5" s="343">
        <v>54</v>
      </c>
      <c r="P5" s="343" t="s">
        <v>559</v>
      </c>
      <c r="Q5" s="343" t="s">
        <v>558</v>
      </c>
    </row>
    <row r="6" spans="1:17">
      <c r="A6" s="343" t="s">
        <v>557</v>
      </c>
      <c r="B6" s="343" t="s">
        <v>556</v>
      </c>
      <c r="C6" s="343">
        <v>112</v>
      </c>
      <c r="D6" s="343">
        <v>22</v>
      </c>
      <c r="F6" s="343" t="s">
        <v>555</v>
      </c>
      <c r="G6" s="343" t="s">
        <v>554</v>
      </c>
      <c r="H6" s="343">
        <v>93</v>
      </c>
      <c r="I6" s="343">
        <v>38</v>
      </c>
      <c r="K6" s="343" t="s">
        <v>553</v>
      </c>
      <c r="L6" s="343" t="s">
        <v>552</v>
      </c>
      <c r="M6" s="343">
        <v>127</v>
      </c>
      <c r="N6" s="343">
        <v>54</v>
      </c>
      <c r="P6" s="343" t="s">
        <v>551</v>
      </c>
      <c r="Q6" s="343" t="s">
        <v>550</v>
      </c>
    </row>
    <row r="7" spans="1:17">
      <c r="A7" s="343" t="s">
        <v>549</v>
      </c>
      <c r="B7" s="343" t="s">
        <v>548</v>
      </c>
      <c r="C7" s="343">
        <v>98</v>
      </c>
      <c r="D7" s="343">
        <v>32</v>
      </c>
      <c r="F7" s="343" t="s">
        <v>547</v>
      </c>
      <c r="G7" s="343" t="s">
        <v>546</v>
      </c>
      <c r="H7" s="343">
        <v>214</v>
      </c>
      <c r="I7" s="343">
        <v>38</v>
      </c>
      <c r="K7" s="343" t="s">
        <v>545</v>
      </c>
      <c r="L7" s="343" t="s">
        <v>544</v>
      </c>
      <c r="M7" s="343">
        <v>133</v>
      </c>
      <c r="N7" s="343">
        <v>28</v>
      </c>
      <c r="P7" s="343" t="s">
        <v>543</v>
      </c>
      <c r="Q7" s="343" t="s">
        <v>542</v>
      </c>
    </row>
    <row r="8" spans="1:17">
      <c r="A8" s="343" t="s">
        <v>541</v>
      </c>
      <c r="B8" s="343" t="s">
        <v>540</v>
      </c>
      <c r="C8" s="343">
        <v>119</v>
      </c>
      <c r="D8" s="343">
        <v>32</v>
      </c>
      <c r="F8" s="343" t="s">
        <v>539</v>
      </c>
      <c r="G8" s="343" t="s">
        <v>538</v>
      </c>
      <c r="H8" s="343">
        <v>90</v>
      </c>
      <c r="I8" s="343">
        <v>38</v>
      </c>
      <c r="K8" s="343" t="s">
        <v>537</v>
      </c>
      <c r="L8" s="343" t="s">
        <v>536</v>
      </c>
      <c r="M8" s="343">
        <v>239</v>
      </c>
      <c r="N8" s="343">
        <v>132</v>
      </c>
    </row>
    <row r="9" spans="1:17">
      <c r="A9" s="343" t="s">
        <v>535</v>
      </c>
      <c r="B9" s="343" t="s">
        <v>534</v>
      </c>
      <c r="C9" s="343">
        <v>202</v>
      </c>
      <c r="D9" s="343">
        <v>32</v>
      </c>
      <c r="F9" s="343" t="s">
        <v>533</v>
      </c>
      <c r="G9" s="343" t="s">
        <v>532</v>
      </c>
      <c r="H9" s="343">
        <v>121</v>
      </c>
      <c r="I9" s="343">
        <v>38</v>
      </c>
      <c r="K9" s="343" t="s">
        <v>531</v>
      </c>
      <c r="L9" s="343" t="s">
        <v>530</v>
      </c>
      <c r="M9" s="343">
        <v>238</v>
      </c>
      <c r="N9" s="343">
        <v>60</v>
      </c>
    </row>
    <row r="10" spans="1:17">
      <c r="A10" s="343" t="s">
        <v>529</v>
      </c>
      <c r="B10" s="343" t="s">
        <v>528</v>
      </c>
      <c r="C10" s="343">
        <v>203</v>
      </c>
      <c r="D10" s="343">
        <v>32</v>
      </c>
      <c r="F10" s="343" t="s">
        <v>527</v>
      </c>
      <c r="G10" s="343" t="s">
        <v>526</v>
      </c>
      <c r="H10" s="343">
        <v>114</v>
      </c>
      <c r="I10" s="343">
        <v>38</v>
      </c>
      <c r="K10" s="343" t="s">
        <v>525</v>
      </c>
      <c r="L10" s="343" t="s">
        <v>524</v>
      </c>
      <c r="M10" s="343">
        <v>235</v>
      </c>
      <c r="N10" s="343">
        <v>60</v>
      </c>
    </row>
    <row r="11" spans="1:17">
      <c r="A11" s="343" t="s">
        <v>523</v>
      </c>
      <c r="B11" s="343" t="s">
        <v>522</v>
      </c>
      <c r="C11" s="343">
        <v>99</v>
      </c>
      <c r="D11" s="343">
        <v>32</v>
      </c>
      <c r="F11" s="343" t="s">
        <v>521</v>
      </c>
      <c r="G11" s="343" t="s">
        <v>520</v>
      </c>
      <c r="H11" s="343">
        <v>211</v>
      </c>
      <c r="I11" s="343">
        <v>38</v>
      </c>
      <c r="K11" s="343" t="s">
        <v>519</v>
      </c>
      <c r="L11" s="343" t="s">
        <v>518</v>
      </c>
      <c r="M11" s="343">
        <v>236</v>
      </c>
      <c r="N11" s="343">
        <v>60</v>
      </c>
    </row>
    <row r="12" spans="1:17">
      <c r="F12" s="343" t="s">
        <v>517</v>
      </c>
      <c r="G12" s="343" t="s">
        <v>516</v>
      </c>
      <c r="H12" s="343">
        <v>217</v>
      </c>
      <c r="I12" s="343">
        <v>38</v>
      </c>
      <c r="K12" s="343" t="s">
        <v>515</v>
      </c>
      <c r="L12" s="343" t="s">
        <v>514</v>
      </c>
      <c r="M12" s="343">
        <v>129</v>
      </c>
      <c r="N12" s="343">
        <v>60</v>
      </c>
    </row>
    <row r="13" spans="1:17">
      <c r="F13" s="343" t="s">
        <v>513</v>
      </c>
      <c r="G13" s="343" t="s">
        <v>512</v>
      </c>
      <c r="H13" s="343">
        <v>95</v>
      </c>
      <c r="I13" s="343">
        <v>38</v>
      </c>
      <c r="K13" s="343" t="s">
        <v>511</v>
      </c>
      <c r="L13" s="343" t="s">
        <v>510</v>
      </c>
      <c r="M13" s="343">
        <v>232</v>
      </c>
      <c r="N13" s="343">
        <v>60</v>
      </c>
    </row>
    <row r="14" spans="1:17">
      <c r="F14" s="343" t="s">
        <v>509</v>
      </c>
      <c r="G14" s="343" t="s">
        <v>508</v>
      </c>
      <c r="H14" s="343">
        <v>101</v>
      </c>
      <c r="I14" s="343">
        <v>38</v>
      </c>
      <c r="K14" s="343" t="s">
        <v>507</v>
      </c>
      <c r="L14" s="343" t="s">
        <v>506</v>
      </c>
      <c r="M14" s="343">
        <v>177</v>
      </c>
      <c r="N14" s="343">
        <v>60</v>
      </c>
    </row>
    <row r="15" spans="1:17">
      <c r="F15" s="343" t="s">
        <v>505</v>
      </c>
      <c r="G15" s="343" t="s">
        <v>504</v>
      </c>
      <c r="H15" s="343">
        <v>216</v>
      </c>
      <c r="I15" s="343">
        <v>38</v>
      </c>
    </row>
    <row r="16" spans="1:17">
      <c r="F16" s="343" t="s">
        <v>503</v>
      </c>
      <c r="G16" s="343" t="s">
        <v>502</v>
      </c>
      <c r="H16" s="343">
        <v>212</v>
      </c>
      <c r="I16" s="343">
        <v>38</v>
      </c>
    </row>
    <row r="22" spans="1:14">
      <c r="A22" s="343" t="s">
        <v>369</v>
      </c>
      <c r="B22" s="343" t="s">
        <v>196</v>
      </c>
      <c r="C22" s="343" t="s">
        <v>501</v>
      </c>
      <c r="D22" s="343" t="s">
        <v>500</v>
      </c>
      <c r="F22" s="343" t="s">
        <v>369</v>
      </c>
      <c r="G22" s="343" t="s">
        <v>196</v>
      </c>
      <c r="H22" s="343" t="s">
        <v>501</v>
      </c>
      <c r="I22" s="343" t="s">
        <v>500</v>
      </c>
      <c r="K22" s="343" t="s">
        <v>369</v>
      </c>
      <c r="L22" s="343" t="s">
        <v>196</v>
      </c>
      <c r="M22" s="343" t="s">
        <v>501</v>
      </c>
      <c r="N22" s="343" t="s">
        <v>500</v>
      </c>
    </row>
    <row r="23" spans="1:14">
      <c r="A23" s="343" t="s">
        <v>499</v>
      </c>
      <c r="B23" s="343" t="s">
        <v>498</v>
      </c>
      <c r="C23" s="343">
        <v>156</v>
      </c>
      <c r="D23" s="343">
        <v>26</v>
      </c>
      <c r="F23" s="343" t="s">
        <v>497</v>
      </c>
      <c r="G23" s="343" t="s">
        <v>496</v>
      </c>
      <c r="H23" s="343">
        <v>143</v>
      </c>
      <c r="I23" s="343">
        <v>19</v>
      </c>
      <c r="K23" s="343" t="s">
        <v>495</v>
      </c>
      <c r="L23" s="343" t="s">
        <v>494</v>
      </c>
      <c r="M23" s="343">
        <v>185</v>
      </c>
      <c r="N23" s="343">
        <v>125</v>
      </c>
    </row>
    <row r="24" spans="1:14">
      <c r="A24" s="343" t="s">
        <v>493</v>
      </c>
      <c r="B24" s="343" t="s">
        <v>492</v>
      </c>
      <c r="C24" s="343">
        <v>172</v>
      </c>
      <c r="D24" s="343">
        <v>67</v>
      </c>
      <c r="F24" s="343" t="s">
        <v>491</v>
      </c>
      <c r="G24" s="343" t="s">
        <v>490</v>
      </c>
      <c r="H24" s="343">
        <v>176</v>
      </c>
      <c r="I24" s="343">
        <v>19</v>
      </c>
      <c r="K24" s="343" t="s">
        <v>489</v>
      </c>
      <c r="L24" s="343" t="s">
        <v>488</v>
      </c>
      <c r="M24" s="343">
        <v>189</v>
      </c>
      <c r="N24" s="343">
        <v>125</v>
      </c>
    </row>
    <row r="25" spans="1:14">
      <c r="A25" s="343" t="s">
        <v>487</v>
      </c>
      <c r="B25" s="343" t="s">
        <v>486</v>
      </c>
      <c r="C25" s="343">
        <v>251</v>
      </c>
      <c r="D25" s="343">
        <v>67</v>
      </c>
      <c r="F25" s="343" t="s">
        <v>485</v>
      </c>
      <c r="G25" s="343" t="s">
        <v>484</v>
      </c>
      <c r="H25" s="343">
        <v>152</v>
      </c>
      <c r="I25" s="343">
        <v>30</v>
      </c>
      <c r="K25" s="343" t="s">
        <v>478</v>
      </c>
      <c r="L25" s="343" t="s">
        <v>483</v>
      </c>
      <c r="M25" s="343">
        <v>188</v>
      </c>
      <c r="N25" s="343">
        <v>125</v>
      </c>
    </row>
    <row r="26" spans="1:14">
      <c r="A26" s="343" t="s">
        <v>482</v>
      </c>
      <c r="B26" s="343" t="s">
        <v>481</v>
      </c>
      <c r="C26" s="343">
        <v>140</v>
      </c>
      <c r="D26" s="343">
        <v>67</v>
      </c>
      <c r="F26" s="343" t="s">
        <v>480</v>
      </c>
      <c r="G26" s="343" t="s">
        <v>479</v>
      </c>
      <c r="H26" s="343">
        <v>159</v>
      </c>
      <c r="I26" s="343">
        <v>17</v>
      </c>
      <c r="K26" s="343" t="s">
        <v>611</v>
      </c>
      <c r="L26" s="343" t="s">
        <v>477</v>
      </c>
      <c r="M26" s="343">
        <v>187</v>
      </c>
      <c r="N26" s="343">
        <v>125</v>
      </c>
    </row>
    <row r="27" spans="1:14">
      <c r="A27" s="343" t="s">
        <v>476</v>
      </c>
      <c r="B27" s="343" t="s">
        <v>475</v>
      </c>
      <c r="C27" s="343">
        <v>247</v>
      </c>
      <c r="D27" s="343">
        <v>67</v>
      </c>
      <c r="F27" s="343" t="s">
        <v>474</v>
      </c>
      <c r="G27" s="343" t="s">
        <v>473</v>
      </c>
      <c r="H27" s="343">
        <v>283</v>
      </c>
      <c r="I27" s="343">
        <v>95</v>
      </c>
      <c r="K27" s="343" t="s">
        <v>472</v>
      </c>
      <c r="L27" s="343" t="s">
        <v>471</v>
      </c>
      <c r="M27" s="343">
        <v>265</v>
      </c>
      <c r="N27" s="343">
        <v>125</v>
      </c>
    </row>
    <row r="28" spans="1:14">
      <c r="A28" s="343" t="s">
        <v>470</v>
      </c>
      <c r="B28" s="343" t="s">
        <v>469</v>
      </c>
      <c r="C28" s="343">
        <v>243</v>
      </c>
      <c r="D28" s="343">
        <v>67</v>
      </c>
      <c r="F28" s="343" t="s">
        <v>468</v>
      </c>
      <c r="G28" s="343" t="s">
        <v>467</v>
      </c>
      <c r="H28" s="343">
        <v>279</v>
      </c>
      <c r="I28" s="343">
        <v>95</v>
      </c>
      <c r="K28" s="343" t="s">
        <v>466</v>
      </c>
      <c r="L28" s="343" t="s">
        <v>465</v>
      </c>
      <c r="M28" s="343">
        <v>184</v>
      </c>
      <c r="N28" s="343">
        <v>125</v>
      </c>
    </row>
    <row r="29" spans="1:14">
      <c r="A29" s="343" t="s">
        <v>464</v>
      </c>
      <c r="B29" s="343" t="s">
        <v>463</v>
      </c>
      <c r="C29" s="343">
        <v>254</v>
      </c>
      <c r="D29" s="343">
        <v>67</v>
      </c>
      <c r="F29" s="343" t="s">
        <v>462</v>
      </c>
      <c r="G29" s="343" t="s">
        <v>461</v>
      </c>
      <c r="H29" s="343">
        <v>273</v>
      </c>
      <c r="I29" s="343">
        <v>95</v>
      </c>
    </row>
    <row r="30" spans="1:14">
      <c r="A30" s="343" t="s">
        <v>460</v>
      </c>
      <c r="B30" s="343" t="s">
        <v>459</v>
      </c>
      <c r="C30" s="343">
        <v>244</v>
      </c>
      <c r="D30" s="343">
        <v>67</v>
      </c>
      <c r="F30" s="343" t="s">
        <v>458</v>
      </c>
      <c r="G30" s="343" t="s">
        <v>457</v>
      </c>
      <c r="H30" s="343">
        <v>271</v>
      </c>
      <c r="I30" s="343">
        <v>95</v>
      </c>
    </row>
    <row r="31" spans="1:14">
      <c r="A31" s="343" t="s">
        <v>456</v>
      </c>
      <c r="B31" s="343" t="s">
        <v>455</v>
      </c>
      <c r="C31" s="343">
        <v>248</v>
      </c>
      <c r="D31" s="343">
        <v>67</v>
      </c>
      <c r="F31" s="343" t="s">
        <v>454</v>
      </c>
      <c r="G31" s="343" t="s">
        <v>453</v>
      </c>
      <c r="H31" s="343">
        <v>137</v>
      </c>
      <c r="I31" s="343">
        <v>95</v>
      </c>
    </row>
    <row r="32" spans="1:14">
      <c r="A32" s="343" t="s">
        <v>452</v>
      </c>
      <c r="B32" s="343" t="s">
        <v>451</v>
      </c>
      <c r="C32" s="343">
        <v>146</v>
      </c>
      <c r="D32" s="343">
        <v>67</v>
      </c>
      <c r="F32" s="343" t="s">
        <v>450</v>
      </c>
      <c r="G32" s="343" t="s">
        <v>449</v>
      </c>
      <c r="H32" s="343">
        <v>136</v>
      </c>
      <c r="I32" s="343">
        <v>95</v>
      </c>
    </row>
    <row r="33" spans="1:9">
      <c r="A33" s="343" t="s">
        <v>448</v>
      </c>
      <c r="B33" s="343" t="s">
        <v>447</v>
      </c>
      <c r="C33" s="343">
        <v>245</v>
      </c>
      <c r="D33" s="343">
        <v>67</v>
      </c>
      <c r="F33" s="343" t="s">
        <v>446</v>
      </c>
      <c r="G33" s="343" t="s">
        <v>445</v>
      </c>
      <c r="H33" s="343">
        <v>277</v>
      </c>
      <c r="I33" s="343">
        <v>95</v>
      </c>
    </row>
    <row r="34" spans="1:9">
      <c r="A34" s="343" t="s">
        <v>444</v>
      </c>
      <c r="B34" s="343" t="s">
        <v>443</v>
      </c>
      <c r="C34" s="343">
        <v>259</v>
      </c>
      <c r="D34" s="343">
        <v>78</v>
      </c>
      <c r="F34" s="343" t="s">
        <v>442</v>
      </c>
      <c r="G34" s="343" t="s">
        <v>441</v>
      </c>
      <c r="H34" s="343">
        <v>272</v>
      </c>
      <c r="I34" s="343">
        <v>95</v>
      </c>
    </row>
    <row r="35" spans="1:9">
      <c r="A35" s="343" t="s">
        <v>440</v>
      </c>
      <c r="B35" s="343" t="s">
        <v>439</v>
      </c>
      <c r="C35" s="343">
        <v>262</v>
      </c>
      <c r="D35" s="343">
        <v>78</v>
      </c>
      <c r="F35" s="343" t="s">
        <v>438</v>
      </c>
      <c r="G35" s="343" t="s">
        <v>437</v>
      </c>
      <c r="H35" s="343">
        <v>281</v>
      </c>
      <c r="I35" s="343">
        <v>95</v>
      </c>
    </row>
    <row r="36" spans="1:9">
      <c r="A36" s="343" t="s">
        <v>436</v>
      </c>
      <c r="B36" s="343" t="s">
        <v>435</v>
      </c>
      <c r="C36" s="343">
        <v>266</v>
      </c>
      <c r="D36" s="343">
        <v>78</v>
      </c>
      <c r="F36" s="343" t="s">
        <v>434</v>
      </c>
      <c r="G36" s="343" t="s">
        <v>433</v>
      </c>
      <c r="H36" s="343">
        <v>115</v>
      </c>
      <c r="I36" s="343">
        <v>95</v>
      </c>
    </row>
    <row r="37" spans="1:9">
      <c r="A37" s="343" t="s">
        <v>432</v>
      </c>
      <c r="B37" s="343" t="s">
        <v>431</v>
      </c>
      <c r="C37" s="343">
        <v>165</v>
      </c>
      <c r="D37" s="343">
        <v>78</v>
      </c>
      <c r="F37" s="343" t="s">
        <v>430</v>
      </c>
      <c r="G37" s="343" t="s">
        <v>429</v>
      </c>
      <c r="H37" s="343">
        <v>130</v>
      </c>
      <c r="I37" s="343">
        <v>95</v>
      </c>
    </row>
    <row r="38" spans="1:9">
      <c r="A38" s="343" t="s">
        <v>428</v>
      </c>
      <c r="B38" s="343" t="s">
        <v>427</v>
      </c>
      <c r="C38" s="343">
        <v>164</v>
      </c>
      <c r="D38" s="343">
        <v>78</v>
      </c>
      <c r="F38" s="343" t="s">
        <v>426</v>
      </c>
      <c r="G38" s="343" t="s">
        <v>425</v>
      </c>
      <c r="H38" s="343">
        <v>278</v>
      </c>
      <c r="I38" s="343">
        <v>95</v>
      </c>
    </row>
    <row r="39" spans="1:9">
      <c r="A39" s="343" t="s">
        <v>424</v>
      </c>
      <c r="B39" s="343" t="s">
        <v>423</v>
      </c>
      <c r="C39" s="343">
        <v>258</v>
      </c>
      <c r="D39" s="343">
        <v>78</v>
      </c>
      <c r="F39" s="343" t="s">
        <v>422</v>
      </c>
      <c r="G39" s="343" t="s">
        <v>421</v>
      </c>
      <c r="H39" s="343">
        <v>276</v>
      </c>
      <c r="I39" s="343">
        <v>95</v>
      </c>
    </row>
    <row r="40" spans="1:9">
      <c r="A40" s="343" t="s">
        <v>420</v>
      </c>
      <c r="B40" s="343" t="s">
        <v>419</v>
      </c>
      <c r="C40" s="343">
        <v>174</v>
      </c>
      <c r="D40" s="343">
        <v>78</v>
      </c>
      <c r="F40" s="343" t="s">
        <v>418</v>
      </c>
      <c r="G40" s="343" t="s">
        <v>417</v>
      </c>
      <c r="H40" s="343">
        <v>138</v>
      </c>
      <c r="I40" s="343">
        <v>95</v>
      </c>
    </row>
    <row r="41" spans="1:9">
      <c r="A41" s="343" t="s">
        <v>416</v>
      </c>
      <c r="B41" s="343" t="s">
        <v>415</v>
      </c>
      <c r="C41" s="343">
        <v>168</v>
      </c>
      <c r="D41" s="343">
        <v>78</v>
      </c>
      <c r="F41" s="343" t="s">
        <v>414</v>
      </c>
      <c r="G41" s="343" t="s">
        <v>413</v>
      </c>
      <c r="H41" s="343">
        <v>294</v>
      </c>
      <c r="I41" s="343">
        <v>110</v>
      </c>
    </row>
    <row r="42" spans="1:9">
      <c r="A42" s="343" t="s">
        <v>412</v>
      </c>
      <c r="B42" s="343" t="s">
        <v>411</v>
      </c>
      <c r="C42" s="343">
        <v>252</v>
      </c>
      <c r="D42" s="343">
        <v>78</v>
      </c>
      <c r="F42" s="343" t="s">
        <v>410</v>
      </c>
      <c r="G42" s="343" t="s">
        <v>409</v>
      </c>
      <c r="H42" s="343">
        <v>284</v>
      </c>
      <c r="I42" s="343">
        <v>110</v>
      </c>
    </row>
    <row r="43" spans="1:9">
      <c r="A43" s="343" t="s">
        <v>408</v>
      </c>
      <c r="B43" s="343" t="s">
        <v>407</v>
      </c>
      <c r="C43" s="343">
        <v>170</v>
      </c>
      <c r="D43" s="343">
        <v>78</v>
      </c>
      <c r="F43" s="343" t="s">
        <v>406</v>
      </c>
      <c r="G43" s="343" t="s">
        <v>405</v>
      </c>
      <c r="H43" s="343">
        <v>253</v>
      </c>
      <c r="I43" s="343">
        <v>110</v>
      </c>
    </row>
    <row r="44" spans="1:9">
      <c r="A44" s="343" t="s">
        <v>404</v>
      </c>
      <c r="B44" s="343" t="s">
        <v>403</v>
      </c>
      <c r="C44" s="343">
        <v>260</v>
      </c>
      <c r="D44" s="343">
        <v>78</v>
      </c>
      <c r="F44" s="343" t="s">
        <v>402</v>
      </c>
      <c r="G44" s="343" t="s">
        <v>401</v>
      </c>
      <c r="H44" s="343">
        <v>295</v>
      </c>
      <c r="I44" s="343">
        <v>110</v>
      </c>
    </row>
    <row r="45" spans="1:9">
      <c r="A45" s="343" t="s">
        <v>400</v>
      </c>
      <c r="B45" s="343" t="s">
        <v>399</v>
      </c>
      <c r="C45" s="343">
        <v>256</v>
      </c>
      <c r="D45" s="343">
        <v>78</v>
      </c>
      <c r="F45" s="343" t="s">
        <v>398</v>
      </c>
      <c r="G45" s="343" t="s">
        <v>397</v>
      </c>
      <c r="H45" s="343">
        <v>288</v>
      </c>
      <c r="I45" s="343">
        <v>110</v>
      </c>
    </row>
    <row r="46" spans="1:9">
      <c r="A46" s="343" t="s">
        <v>396</v>
      </c>
      <c r="B46" s="343" t="s">
        <v>395</v>
      </c>
      <c r="C46" s="343">
        <v>175</v>
      </c>
      <c r="D46" s="343">
        <v>78</v>
      </c>
      <c r="F46" s="343" t="s">
        <v>394</v>
      </c>
      <c r="G46" s="343" t="s">
        <v>393</v>
      </c>
      <c r="H46" s="343">
        <v>255</v>
      </c>
      <c r="I46" s="343">
        <v>110</v>
      </c>
    </row>
    <row r="47" spans="1:9">
      <c r="A47" s="343" t="s">
        <v>392</v>
      </c>
      <c r="B47" s="343" t="s">
        <v>391</v>
      </c>
      <c r="C47" s="343">
        <v>268</v>
      </c>
      <c r="D47" s="343">
        <v>78</v>
      </c>
      <c r="F47" s="343" t="s">
        <v>390</v>
      </c>
      <c r="G47" s="343" t="s">
        <v>389</v>
      </c>
      <c r="H47" s="343">
        <v>289</v>
      </c>
      <c r="I47" s="343">
        <v>110</v>
      </c>
    </row>
    <row r="48" spans="1:9">
      <c r="A48" s="343" t="s">
        <v>388</v>
      </c>
      <c r="B48" s="343" t="s">
        <v>387</v>
      </c>
      <c r="C48" s="343">
        <v>261</v>
      </c>
      <c r="D48" s="343">
        <v>78</v>
      </c>
      <c r="F48" s="343" t="s">
        <v>386</v>
      </c>
      <c r="G48" s="343" t="s">
        <v>385</v>
      </c>
      <c r="H48" s="343">
        <v>257</v>
      </c>
      <c r="I48" s="343">
        <v>110</v>
      </c>
    </row>
    <row r="49" spans="1:9">
      <c r="A49" s="343" t="s">
        <v>384</v>
      </c>
      <c r="B49" s="343" t="s">
        <v>383</v>
      </c>
      <c r="C49" s="343">
        <v>169</v>
      </c>
      <c r="D49" s="343">
        <v>78</v>
      </c>
      <c r="F49" s="343" t="s">
        <v>382</v>
      </c>
      <c r="G49" s="343" t="s">
        <v>381</v>
      </c>
      <c r="H49" s="343">
        <v>263</v>
      </c>
      <c r="I49" s="343">
        <v>110</v>
      </c>
    </row>
    <row r="50" spans="1:9">
      <c r="F50" s="343" t="s">
        <v>380</v>
      </c>
      <c r="G50" s="343" t="s">
        <v>379</v>
      </c>
      <c r="H50" s="343">
        <v>192</v>
      </c>
      <c r="I50" s="343">
        <v>110</v>
      </c>
    </row>
    <row r="51" spans="1:9">
      <c r="F51" s="343" t="s">
        <v>378</v>
      </c>
      <c r="G51" s="343" t="s">
        <v>377</v>
      </c>
      <c r="H51" s="343">
        <v>155</v>
      </c>
      <c r="I51" s="343">
        <v>110</v>
      </c>
    </row>
    <row r="52" spans="1:9">
      <c r="F52" s="343" t="s">
        <v>376</v>
      </c>
      <c r="G52" s="343" t="s">
        <v>375</v>
      </c>
      <c r="H52" s="343">
        <v>162</v>
      </c>
      <c r="I52" s="343">
        <v>110</v>
      </c>
    </row>
    <row r="53" spans="1:9">
      <c r="F53" s="343" t="s">
        <v>374</v>
      </c>
      <c r="G53" s="343" t="s">
        <v>373</v>
      </c>
      <c r="H53" s="343">
        <v>264</v>
      </c>
      <c r="I53" s="343">
        <v>110</v>
      </c>
    </row>
    <row r="54" spans="1:9">
      <c r="F54" s="343" t="s">
        <v>372</v>
      </c>
      <c r="G54" s="343" t="s">
        <v>371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9" zoomScaleNormal="100" workbookViewId="0">
      <selection activeCell="S33" sqref="S3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699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615</v>
      </c>
      <c r="T2" s="424" t="s">
        <v>686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594</v>
      </c>
      <c r="E4" s="417" t="s">
        <v>595</v>
      </c>
      <c r="F4" s="417" t="s">
        <v>596</v>
      </c>
      <c r="G4" s="417" t="s">
        <v>597</v>
      </c>
      <c r="H4" s="417" t="s">
        <v>598</v>
      </c>
      <c r="I4" s="417" t="s">
        <v>599</v>
      </c>
      <c r="J4" s="417" t="s">
        <v>600</v>
      </c>
      <c r="K4" s="417" t="s">
        <v>601</v>
      </c>
      <c r="L4" s="417" t="s">
        <v>602</v>
      </c>
      <c r="M4" s="417" t="s">
        <v>603</v>
      </c>
      <c r="N4" s="418" t="s">
        <v>604</v>
      </c>
      <c r="O4" s="419" t="s">
        <v>44</v>
      </c>
      <c r="P4" s="418" t="s">
        <v>45</v>
      </c>
      <c r="S4" s="425" t="s">
        <v>590</v>
      </c>
      <c r="T4" s="426" t="s">
        <v>591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695</v>
      </c>
      <c r="T5" s="345" t="s">
        <v>698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10" zoomScaleNormal="100" workbookViewId="0">
      <selection activeCell="T19" sqref="T19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337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693" t="s">
        <v>709</v>
      </c>
      <c r="J24" s="694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695" t="s">
        <v>191</v>
      </c>
      <c r="J25" s="69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697" t="s">
        <v>244</v>
      </c>
      <c r="J26" s="69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348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64" spans="15:15" s="338" customFormat="1" ht="17.25">
      <c r="O3864" s="397"/>
    </row>
    <row r="4150" spans="2430:2430">
      <c r="COL4150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369</v>
      </c>
      <c r="D19" s="30" t="s">
        <v>592</v>
      </c>
      <c r="G19" s="342" t="s">
        <v>350</v>
      </c>
    </row>
    <row r="20" spans="1:7">
      <c r="A20" s="30" t="s">
        <v>362</v>
      </c>
      <c r="D20" s="30">
        <v>150</v>
      </c>
      <c r="G20" s="342" t="s">
        <v>351</v>
      </c>
    </row>
    <row r="21" spans="1:7">
      <c r="A21" s="30" t="s">
        <v>363</v>
      </c>
      <c r="D21" s="30">
        <v>200</v>
      </c>
      <c r="G21" s="342" t="s">
        <v>352</v>
      </c>
    </row>
    <row r="22" spans="1:7">
      <c r="A22" s="30" t="s">
        <v>364</v>
      </c>
      <c r="D22" s="30">
        <v>250</v>
      </c>
      <c r="G22" s="342" t="s">
        <v>353</v>
      </c>
    </row>
    <row r="23" spans="1:7">
      <c r="A23" s="30" t="s">
        <v>365</v>
      </c>
      <c r="D23" s="30">
        <v>1700</v>
      </c>
      <c r="G23" s="342" t="s">
        <v>354</v>
      </c>
    </row>
    <row r="24" spans="1:7">
      <c r="A24" s="30" t="s">
        <v>366</v>
      </c>
      <c r="G24" s="342" t="s">
        <v>355</v>
      </c>
    </row>
    <row r="25" spans="1:7">
      <c r="A25" s="30" t="s">
        <v>367</v>
      </c>
      <c r="G25" s="342" t="s">
        <v>356</v>
      </c>
    </row>
    <row r="26" spans="1:7">
      <c r="A26" s="30" t="s">
        <v>368</v>
      </c>
      <c r="G26" s="342" t="s">
        <v>357</v>
      </c>
    </row>
    <row r="27" spans="1:7">
      <c r="G27" s="342" t="s">
        <v>358</v>
      </c>
    </row>
    <row r="28" spans="1:7">
      <c r="G28" s="342" t="s">
        <v>359</v>
      </c>
    </row>
    <row r="29" spans="1:7">
      <c r="G29" s="342" t="s">
        <v>360</v>
      </c>
    </row>
    <row r="30" spans="1:7">
      <c r="G30" s="342" t="s">
        <v>361</v>
      </c>
    </row>
    <row r="31" spans="1:7">
      <c r="G31" s="431" t="s">
        <v>612</v>
      </c>
    </row>
    <row r="32" spans="1:7">
      <c r="G32" s="342" t="s">
        <v>625</v>
      </c>
    </row>
    <row r="33" spans="7:7">
      <c r="G33" s="342" t="s">
        <v>626</v>
      </c>
    </row>
    <row r="34" spans="7:7">
      <c r="G34" s="342" t="s">
        <v>635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668</v>
      </c>
      <c r="H5" s="189" t="s">
        <v>669</v>
      </c>
      <c r="I5" s="189" t="s">
        <v>670</v>
      </c>
      <c r="J5" s="189" t="s">
        <v>671</v>
      </c>
      <c r="K5" s="190" t="s">
        <v>672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668</v>
      </c>
      <c r="H6" s="189" t="s">
        <v>669</v>
      </c>
      <c r="I6" s="189" t="s">
        <v>670</v>
      </c>
      <c r="J6" s="189" t="s">
        <v>671</v>
      </c>
      <c r="K6" s="190" t="s">
        <v>672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668</v>
      </c>
      <c r="H7" s="189" t="s">
        <v>669</v>
      </c>
      <c r="I7" s="189" t="s">
        <v>670</v>
      </c>
      <c r="J7" s="189" t="s">
        <v>671</v>
      </c>
      <c r="K7" s="190" t="s">
        <v>672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668</v>
      </c>
      <c r="H8" s="189" t="s">
        <v>669</v>
      </c>
      <c r="I8" s="189" t="s">
        <v>670</v>
      </c>
      <c r="J8" s="189" t="s">
        <v>671</v>
      </c>
      <c r="K8" s="190" t="s">
        <v>672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668</v>
      </c>
      <c r="H9" s="189" t="s">
        <v>669</v>
      </c>
      <c r="I9" s="189" t="s">
        <v>670</v>
      </c>
      <c r="J9" s="189" t="s">
        <v>671</v>
      </c>
      <c r="K9" s="190" t="s">
        <v>672</v>
      </c>
    </row>
    <row r="10" spans="3:11" ht="97.5" customHeight="1">
      <c r="C10" s="156"/>
      <c r="D10" s="189"/>
      <c r="E10" s="189"/>
      <c r="F10" s="189"/>
      <c r="G10" s="189"/>
      <c r="H10" s="189"/>
      <c r="I10" s="189"/>
      <c r="J10" s="189"/>
      <c r="K10" s="190"/>
    </row>
    <row r="11" spans="3:11" ht="97.5" customHeight="1">
      <c r="C11" s="156"/>
      <c r="D11" s="189"/>
      <c r="E11" s="189"/>
      <c r="F11" s="189"/>
      <c r="G11" s="189"/>
      <c r="H11" s="189"/>
      <c r="I11" s="189"/>
      <c r="J11" s="189"/>
      <c r="K11" s="190"/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F11" sqref="F1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606</v>
      </c>
      <c r="AJ4" s="170" t="s">
        <v>605</v>
      </c>
      <c r="AK4" s="170" t="s">
        <v>607</v>
      </c>
      <c r="AL4" s="170" t="s">
        <v>608</v>
      </c>
      <c r="AM4" s="170" t="s">
        <v>609</v>
      </c>
      <c r="AN4" s="162" t="s">
        <v>610</v>
      </c>
    </row>
    <row r="5" spans="1:40" ht="23.1" customHeight="1">
      <c r="A5" s="156" t="s">
        <v>85</v>
      </c>
      <c r="B5" s="185">
        <v>3.6</v>
      </c>
      <c r="C5" s="185">
        <v>35.4</v>
      </c>
      <c r="D5" s="193">
        <v>5.5974937264594713</v>
      </c>
      <c r="E5" s="193">
        <v>29.802506273540526</v>
      </c>
      <c r="F5" s="185">
        <v>31.799999999999997</v>
      </c>
      <c r="G5" s="185">
        <v>250</v>
      </c>
      <c r="H5" s="185">
        <v>0.125</v>
      </c>
      <c r="I5" s="185">
        <v>210</v>
      </c>
      <c r="J5" s="185">
        <v>12</v>
      </c>
      <c r="K5" s="185">
        <v>150</v>
      </c>
      <c r="L5" s="193">
        <v>2.7078799527896127</v>
      </c>
      <c r="M5" s="185">
        <v>3</v>
      </c>
      <c r="N5" s="185">
        <v>198</v>
      </c>
      <c r="O5" s="192">
        <v>3.226</v>
      </c>
      <c r="P5" s="192">
        <v>2.6640000000000001</v>
      </c>
      <c r="Q5" s="192">
        <v>2.9450000000000003</v>
      </c>
      <c r="R5" s="185">
        <v>9.0399999999999994E-2</v>
      </c>
      <c r="S5" s="194">
        <v>2.9339999999999998E-4</v>
      </c>
      <c r="T5" s="185">
        <v>1.487E-2</v>
      </c>
      <c r="U5" s="193">
        <v>0.54159999999999997</v>
      </c>
      <c r="V5" s="193">
        <v>72.400000000000006</v>
      </c>
      <c r="W5" s="193">
        <v>88.6</v>
      </c>
      <c r="X5" s="193">
        <v>110.6</v>
      </c>
      <c r="Y5" s="192">
        <v>-2.8652316871553052</v>
      </c>
      <c r="Z5" s="192">
        <v>2.194</v>
      </c>
      <c r="AA5" s="648">
        <v>172</v>
      </c>
      <c r="AB5" s="193">
        <v>155.42949655319808</v>
      </c>
      <c r="AC5" s="193">
        <v>94</v>
      </c>
      <c r="AD5" s="193">
        <v>13.31</v>
      </c>
      <c r="AE5" s="193">
        <v>28.3</v>
      </c>
      <c r="AF5" s="185">
        <v>2.9409999999999999E-4</v>
      </c>
      <c r="AG5" s="185">
        <v>0.1132518</v>
      </c>
      <c r="AH5" s="427">
        <v>0.90116279069767447</v>
      </c>
      <c r="AI5" s="192">
        <v>1.855</v>
      </c>
      <c r="AJ5" s="192">
        <v>5.0000000000000001E-4</v>
      </c>
      <c r="AK5" s="185" t="s">
        <v>265</v>
      </c>
      <c r="AL5" s="185">
        <v>7.0415000000000001</v>
      </c>
      <c r="AM5" s="185">
        <v>7.0457000000000001</v>
      </c>
      <c r="AN5" s="187">
        <v>1.6808000000000001</v>
      </c>
    </row>
    <row r="6" spans="1:40" ht="23.1" customHeight="1">
      <c r="A6" s="156"/>
      <c r="B6" s="185"/>
      <c r="C6" s="185"/>
      <c r="D6" s="193"/>
      <c r="E6" s="193"/>
      <c r="F6" s="185"/>
      <c r="G6" s="185"/>
      <c r="H6" s="185"/>
      <c r="I6" s="185"/>
      <c r="J6" s="185"/>
      <c r="K6" s="185"/>
      <c r="L6" s="193"/>
      <c r="M6" s="185"/>
      <c r="N6" s="185"/>
      <c r="O6" s="192"/>
      <c r="P6" s="192"/>
      <c r="Q6" s="192"/>
      <c r="R6" s="185"/>
      <c r="S6" s="194"/>
      <c r="T6" s="185"/>
      <c r="U6" s="193"/>
      <c r="V6" s="193"/>
      <c r="W6" s="193"/>
      <c r="X6" s="193"/>
      <c r="Y6" s="192"/>
      <c r="Z6" s="192"/>
      <c r="AA6" s="648"/>
      <c r="AB6" s="193"/>
      <c r="AC6" s="193"/>
      <c r="AD6" s="193"/>
      <c r="AE6" s="193"/>
      <c r="AF6" s="185"/>
      <c r="AG6" s="185"/>
      <c r="AH6" s="427"/>
      <c r="AI6" s="192"/>
      <c r="AJ6" s="192"/>
      <c r="AK6" s="185"/>
      <c r="AL6" s="185"/>
      <c r="AM6" s="185"/>
      <c r="AN6" s="187"/>
    </row>
    <row r="7" spans="1:40" ht="23.1" customHeight="1">
      <c r="A7" s="156"/>
      <c r="B7" s="185"/>
      <c r="C7" s="185"/>
      <c r="D7" s="193"/>
      <c r="E7" s="193"/>
      <c r="F7" s="185"/>
      <c r="G7" s="185"/>
      <c r="H7" s="185"/>
      <c r="I7" s="185"/>
      <c r="J7" s="185"/>
      <c r="K7" s="185"/>
      <c r="L7" s="193"/>
      <c r="M7" s="185"/>
      <c r="N7" s="185"/>
      <c r="O7" s="192"/>
      <c r="P7" s="192"/>
      <c r="Q7" s="192"/>
      <c r="R7" s="185"/>
      <c r="S7" s="194"/>
      <c r="T7" s="185"/>
      <c r="U7" s="193"/>
      <c r="V7" s="193"/>
      <c r="W7" s="193"/>
      <c r="X7" s="193"/>
      <c r="Y7" s="192"/>
      <c r="Z7" s="192"/>
      <c r="AA7" s="648"/>
      <c r="AB7" s="193"/>
      <c r="AC7" s="193"/>
      <c r="AD7" s="193"/>
      <c r="AE7" s="193"/>
      <c r="AF7" s="185"/>
      <c r="AG7" s="185"/>
      <c r="AH7" s="427"/>
      <c r="AI7" s="192"/>
      <c r="AJ7" s="192"/>
      <c r="AK7" s="185"/>
      <c r="AL7" s="185"/>
      <c r="AM7" s="185"/>
      <c r="AN7" s="187"/>
    </row>
    <row r="8" spans="1:40" ht="23.1" customHeight="1">
      <c r="A8" s="156"/>
      <c r="B8" s="185"/>
      <c r="C8" s="185"/>
      <c r="D8" s="193"/>
      <c r="E8" s="193"/>
      <c r="F8" s="185"/>
      <c r="G8" s="185"/>
      <c r="H8" s="185"/>
      <c r="I8" s="185"/>
      <c r="J8" s="185"/>
      <c r="K8" s="185"/>
      <c r="L8" s="193"/>
      <c r="M8" s="185"/>
      <c r="N8" s="185"/>
      <c r="O8" s="192"/>
      <c r="P8" s="192"/>
      <c r="Q8" s="192"/>
      <c r="R8" s="185"/>
      <c r="S8" s="194"/>
      <c r="T8" s="185"/>
      <c r="U8" s="193"/>
      <c r="V8" s="193"/>
      <c r="W8" s="193"/>
      <c r="X8" s="193"/>
      <c r="Y8" s="192"/>
      <c r="Z8" s="192"/>
      <c r="AA8" s="648"/>
      <c r="AB8" s="193"/>
      <c r="AC8" s="193"/>
      <c r="AD8" s="193"/>
      <c r="AE8" s="193"/>
      <c r="AF8" s="185"/>
      <c r="AG8" s="185"/>
      <c r="AH8" s="427"/>
      <c r="AI8" s="192"/>
      <c r="AJ8" s="192"/>
      <c r="AK8" s="185"/>
      <c r="AL8" s="185"/>
      <c r="AM8" s="185"/>
      <c r="AN8" s="187"/>
    </row>
    <row r="9" spans="1:40" ht="23.1" customHeight="1">
      <c r="A9" s="156"/>
      <c r="B9" s="185"/>
      <c r="C9" s="185"/>
      <c r="D9" s="193"/>
      <c r="E9" s="193"/>
      <c r="F9" s="185"/>
      <c r="G9" s="185"/>
      <c r="H9" s="185"/>
      <c r="I9" s="185"/>
      <c r="J9" s="185"/>
      <c r="K9" s="185"/>
      <c r="L9" s="193"/>
      <c r="M9" s="185"/>
      <c r="N9" s="185"/>
      <c r="O9" s="192"/>
      <c r="P9" s="192"/>
      <c r="Q9" s="192"/>
      <c r="R9" s="185"/>
      <c r="S9" s="194"/>
      <c r="T9" s="185"/>
      <c r="U9" s="193"/>
      <c r="V9" s="193"/>
      <c r="W9" s="193"/>
      <c r="X9" s="193"/>
      <c r="Y9" s="192"/>
      <c r="Z9" s="192"/>
      <c r="AA9" s="648"/>
      <c r="AB9" s="193"/>
      <c r="AC9" s="193"/>
      <c r="AD9" s="193"/>
      <c r="AE9" s="193"/>
      <c r="AF9" s="185"/>
      <c r="AG9" s="185"/>
      <c r="AH9" s="427"/>
      <c r="AI9" s="192"/>
      <c r="AJ9" s="192"/>
      <c r="AK9" s="185"/>
      <c r="AL9" s="185"/>
      <c r="AM9" s="185"/>
      <c r="AN9" s="187"/>
    </row>
    <row r="10" spans="1:40" ht="23.1" customHeight="1">
      <c r="A10" s="156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7"/>
    </row>
    <row r="11" spans="1:40" ht="23.1" customHeight="1">
      <c r="A11" s="156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7"/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7" sqref="G1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342</v>
      </c>
      <c r="F6" s="323"/>
      <c r="G6" s="323" t="s">
        <v>343</v>
      </c>
      <c r="H6" s="323"/>
      <c r="I6" s="323" t="s">
        <v>344</v>
      </c>
      <c r="J6" s="323"/>
      <c r="K6" s="323" t="s">
        <v>345</v>
      </c>
      <c r="L6" s="324"/>
    </row>
    <row r="7" spans="1:12" ht="20.100000000000001" customHeight="1">
      <c r="D7" s="325" t="s">
        <v>346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347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643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172</v>
      </c>
      <c r="I3" s="483">
        <v>155.42949655319808</v>
      </c>
      <c r="J3" s="482">
        <v>150</v>
      </c>
      <c r="K3" s="579">
        <v>0.90116279069767447</v>
      </c>
      <c r="M3" s="599" t="s">
        <v>205</v>
      </c>
      <c r="N3" s="587">
        <f>MIN(K3:K35)</f>
        <v>0.90116279069767447</v>
      </c>
      <c r="O3" s="588">
        <f>MAX(K3:K35)</f>
        <v>0.90116279069767447</v>
      </c>
      <c r="Q3" s="580" t="s">
        <v>226</v>
      </c>
      <c r="R3" s="581">
        <v>2.9409999999999999E-4</v>
      </c>
      <c r="S3" s="582">
        <v>0.1132518</v>
      </c>
    </row>
    <row r="4" spans="7:19" ht="20.100000000000001" customHeight="1">
      <c r="G4" s="436"/>
      <c r="H4" s="437"/>
      <c r="I4" s="453"/>
      <c r="J4" s="437"/>
      <c r="K4" s="457"/>
      <c r="M4" s="599" t="s">
        <v>212</v>
      </c>
      <c r="N4" s="589">
        <f>MIN(I3:I35)</f>
        <v>155.42949655319808</v>
      </c>
      <c r="O4" s="590">
        <f>MAX(I3:I35)</f>
        <v>155.42949655319808</v>
      </c>
      <c r="Q4" s="459"/>
      <c r="R4" s="460"/>
      <c r="S4" s="461"/>
    </row>
    <row r="5" spans="7:19" ht="20.100000000000001" customHeight="1" thickBot="1">
      <c r="G5" s="481"/>
      <c r="H5" s="482"/>
      <c r="I5" s="483"/>
      <c r="J5" s="482"/>
      <c r="K5" s="579"/>
      <c r="M5" s="600" t="s">
        <v>213</v>
      </c>
      <c r="N5" s="591">
        <f>MIN(J3:J35)</f>
        <v>150</v>
      </c>
      <c r="O5" s="592">
        <f>MAX(J3:J35)</f>
        <v>150</v>
      </c>
      <c r="Q5" s="580"/>
      <c r="R5" s="581"/>
      <c r="S5" s="582"/>
    </row>
    <row r="6" spans="7:19" ht="20.100000000000001" customHeight="1">
      <c r="G6" s="436"/>
      <c r="H6" s="437"/>
      <c r="I6" s="453"/>
      <c r="J6" s="437"/>
      <c r="K6" s="458"/>
      <c r="Q6" s="459"/>
      <c r="R6" s="460"/>
      <c r="S6" s="461"/>
    </row>
    <row r="7" spans="7:19" ht="20.100000000000001" customHeight="1">
      <c r="G7" s="481"/>
      <c r="H7" s="482"/>
      <c r="I7" s="483"/>
      <c r="J7" s="482"/>
      <c r="K7" s="484"/>
      <c r="Q7" s="580"/>
      <c r="R7" s="581"/>
      <c r="S7" s="582"/>
    </row>
    <row r="8" spans="7:19" ht="20.100000000000001" customHeight="1">
      <c r="G8" s="436"/>
      <c r="H8" s="437"/>
      <c r="I8" s="453"/>
      <c r="J8" s="437"/>
      <c r="K8" s="458"/>
      <c r="Q8" s="436"/>
      <c r="R8" s="437"/>
      <c r="S8" s="440"/>
    </row>
    <row r="9" spans="7:19" ht="20.100000000000001" customHeight="1">
      <c r="G9" s="481"/>
      <c r="H9" s="482"/>
      <c r="I9" s="483"/>
      <c r="J9" s="482"/>
      <c r="K9" s="484"/>
      <c r="Q9" s="481"/>
      <c r="R9" s="482"/>
      <c r="S9" s="485"/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642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03" t="s">
        <v>226</v>
      </c>
      <c r="G43" s="699">
        <v>94</v>
      </c>
      <c r="H43" s="578">
        <v>28.3</v>
      </c>
      <c r="I43" s="701">
        <v>155.42949655319808</v>
      </c>
    </row>
    <row r="44" spans="6:19" ht="15.95" customHeight="1">
      <c r="F44" s="704"/>
      <c r="G44" s="700"/>
      <c r="H44" s="482">
        <v>13.31</v>
      </c>
      <c r="I44" s="702"/>
      <c r="K44" s="534"/>
    </row>
    <row r="45" spans="6:19" ht="15.95" customHeight="1">
      <c r="F45" s="705"/>
      <c r="G45" s="706"/>
      <c r="H45" s="437"/>
      <c r="I45" s="707"/>
      <c r="K45" s="534"/>
    </row>
    <row r="46" spans="6:19" ht="15.95" customHeight="1">
      <c r="F46" s="705"/>
      <c r="G46" s="706"/>
      <c r="H46" s="437"/>
      <c r="I46" s="707"/>
      <c r="K46" s="534"/>
    </row>
    <row r="47" spans="6:19" ht="15.95" customHeight="1">
      <c r="F47" s="704"/>
      <c r="G47" s="700"/>
      <c r="H47" s="482"/>
      <c r="I47" s="702"/>
      <c r="K47" s="534"/>
    </row>
    <row r="48" spans="6:19" ht="15.95" customHeight="1">
      <c r="F48" s="704"/>
      <c r="G48" s="700"/>
      <c r="H48" s="482"/>
      <c r="I48" s="702"/>
      <c r="K48" s="534"/>
    </row>
    <row r="49" spans="6:11" ht="15.95" customHeight="1">
      <c r="F49" s="705"/>
      <c r="G49" s="706"/>
      <c r="H49" s="437"/>
      <c r="I49" s="707"/>
      <c r="K49" s="534"/>
    </row>
    <row r="50" spans="6:11" ht="15.95" customHeight="1">
      <c r="F50" s="705"/>
      <c r="G50" s="706"/>
      <c r="H50" s="437"/>
      <c r="I50" s="707"/>
      <c r="K50" s="534"/>
    </row>
    <row r="51" spans="6:11" ht="15.95" customHeight="1">
      <c r="F51" s="704"/>
      <c r="G51" s="700"/>
      <c r="H51" s="482"/>
      <c r="I51" s="702"/>
      <c r="K51" s="534"/>
    </row>
    <row r="52" spans="6:11" ht="15.95" customHeight="1">
      <c r="F52" s="704"/>
      <c r="G52" s="700"/>
      <c r="H52" s="482"/>
      <c r="I52" s="702"/>
      <c r="K52" s="534"/>
    </row>
    <row r="53" spans="6:11" ht="15.95" customHeight="1">
      <c r="F53" s="705"/>
      <c r="G53" s="706"/>
      <c r="H53" s="437"/>
      <c r="I53" s="707"/>
      <c r="K53" s="534"/>
    </row>
    <row r="54" spans="6:11" ht="15.95" customHeight="1">
      <c r="F54" s="705"/>
      <c r="G54" s="706"/>
      <c r="H54" s="437"/>
      <c r="I54" s="707"/>
      <c r="K54" s="534"/>
    </row>
    <row r="55" spans="6:11" ht="15.95" customHeight="1">
      <c r="F55" s="704"/>
      <c r="G55" s="700"/>
      <c r="H55" s="482"/>
      <c r="I55" s="702"/>
      <c r="K55" s="534"/>
    </row>
    <row r="56" spans="6:11" ht="15.95" customHeight="1">
      <c r="F56" s="704"/>
      <c r="G56" s="700"/>
      <c r="H56" s="482"/>
      <c r="I56" s="702"/>
      <c r="K56" s="534"/>
    </row>
    <row r="57" spans="6:11" ht="15.95" customHeight="1">
      <c r="F57" s="705"/>
      <c r="G57" s="706"/>
      <c r="H57" s="437"/>
      <c r="I57" s="707"/>
      <c r="K57" s="534"/>
    </row>
    <row r="58" spans="6:11" ht="15.95" customHeight="1">
      <c r="F58" s="705"/>
      <c r="G58" s="706"/>
      <c r="H58" s="437"/>
      <c r="I58" s="707"/>
      <c r="K58" s="534"/>
    </row>
    <row r="59" spans="6:11" ht="15.95" customHeight="1">
      <c r="F59" s="704"/>
      <c r="G59" s="700"/>
      <c r="H59" s="482"/>
      <c r="I59" s="702"/>
      <c r="K59" s="534"/>
    </row>
    <row r="60" spans="6:11" ht="15.95" customHeight="1">
      <c r="F60" s="704"/>
      <c r="G60" s="700"/>
      <c r="H60" s="482"/>
      <c r="I60" s="702"/>
      <c r="K60" s="534"/>
    </row>
    <row r="61" spans="6:11" ht="15.95" customHeight="1">
      <c r="F61" s="705"/>
      <c r="G61" s="706"/>
      <c r="H61" s="437"/>
      <c r="I61" s="707"/>
      <c r="K61" s="534"/>
    </row>
    <row r="62" spans="6:11" ht="15.95" customHeight="1">
      <c r="F62" s="705"/>
      <c r="G62" s="706"/>
      <c r="H62" s="437"/>
      <c r="I62" s="707"/>
      <c r="K62" s="534"/>
    </row>
    <row r="63" spans="6:11" ht="15.95" customHeight="1">
      <c r="F63" s="704"/>
      <c r="G63" s="700"/>
      <c r="H63" s="482"/>
      <c r="I63" s="702"/>
      <c r="K63" s="534"/>
    </row>
    <row r="64" spans="6:11" ht="15.95" customHeight="1">
      <c r="F64" s="704"/>
      <c r="G64" s="700"/>
      <c r="H64" s="482"/>
      <c r="I64" s="702"/>
      <c r="K64" s="534"/>
    </row>
    <row r="65" spans="6:11" ht="15.95" customHeight="1">
      <c r="F65" s="705"/>
      <c r="G65" s="706"/>
      <c r="H65" s="437"/>
      <c r="I65" s="707"/>
      <c r="K65" s="534"/>
    </row>
    <row r="66" spans="6:11" ht="15.95" customHeight="1">
      <c r="F66" s="705"/>
      <c r="G66" s="706"/>
      <c r="H66" s="437"/>
      <c r="I66" s="707"/>
      <c r="K66" s="534"/>
    </row>
    <row r="67" spans="6:11" ht="15.95" customHeight="1">
      <c r="F67" s="704"/>
      <c r="G67" s="700"/>
      <c r="H67" s="482"/>
      <c r="I67" s="702"/>
      <c r="K67" s="534"/>
    </row>
    <row r="68" spans="6:11" ht="15.95" customHeight="1">
      <c r="F68" s="704"/>
      <c r="G68" s="700"/>
      <c r="H68" s="482"/>
      <c r="I68" s="702"/>
      <c r="K68" s="534"/>
    </row>
    <row r="69" spans="6:11" ht="15.95" customHeight="1">
      <c r="F69" s="705"/>
      <c r="G69" s="706"/>
      <c r="H69" s="437"/>
      <c r="I69" s="707"/>
      <c r="K69" s="534"/>
    </row>
    <row r="70" spans="6:11" ht="15.95" customHeight="1">
      <c r="F70" s="705"/>
      <c r="G70" s="706"/>
      <c r="H70" s="437"/>
      <c r="I70" s="707"/>
      <c r="K70" s="534"/>
    </row>
    <row r="71" spans="6:11" ht="15.95" customHeight="1">
      <c r="F71" s="704"/>
      <c r="G71" s="700"/>
      <c r="H71" s="482"/>
      <c r="I71" s="702"/>
      <c r="K71" s="534"/>
    </row>
    <row r="72" spans="6:11" ht="15.95" customHeight="1">
      <c r="F72" s="704"/>
      <c r="G72" s="700"/>
      <c r="H72" s="482"/>
      <c r="I72" s="702"/>
      <c r="K72" s="534"/>
    </row>
    <row r="73" spans="6:11" ht="15.95" customHeight="1">
      <c r="F73" s="705"/>
      <c r="G73" s="706"/>
      <c r="H73" s="437"/>
      <c r="I73" s="707"/>
    </row>
    <row r="74" spans="6:11" ht="15.95" customHeight="1">
      <c r="F74" s="705"/>
      <c r="G74" s="706"/>
      <c r="H74" s="437"/>
      <c r="I74" s="707"/>
    </row>
    <row r="75" spans="6:11" ht="15.95" customHeight="1">
      <c r="F75" s="704"/>
      <c r="G75" s="700"/>
      <c r="H75" s="482"/>
      <c r="I75" s="702"/>
    </row>
    <row r="76" spans="6:11" ht="15.95" customHeight="1">
      <c r="F76" s="704"/>
      <c r="G76" s="700"/>
      <c r="H76" s="482"/>
      <c r="I76" s="702"/>
    </row>
    <row r="77" spans="6:11" ht="15.95" customHeight="1">
      <c r="F77" s="705"/>
      <c r="G77" s="706"/>
      <c r="H77" s="437"/>
      <c r="I77" s="707"/>
    </row>
    <row r="78" spans="6:11" ht="15.95" customHeight="1">
      <c r="F78" s="705"/>
      <c r="G78" s="706"/>
      <c r="H78" s="437"/>
      <c r="I78" s="707"/>
    </row>
    <row r="79" spans="6:11" ht="15.95" customHeight="1">
      <c r="F79" s="704"/>
      <c r="G79" s="700"/>
      <c r="H79" s="482"/>
      <c r="I79" s="702"/>
    </row>
    <row r="80" spans="6:11" ht="15.95" customHeight="1">
      <c r="F80" s="704"/>
      <c r="G80" s="700"/>
      <c r="H80" s="482"/>
      <c r="I80" s="702"/>
    </row>
    <row r="81" spans="6:9" ht="15.95" customHeight="1">
      <c r="F81" s="705"/>
      <c r="G81" s="706"/>
      <c r="H81" s="437"/>
      <c r="I81" s="707"/>
    </row>
    <row r="82" spans="6:9" ht="15.95" customHeight="1">
      <c r="F82" s="705"/>
      <c r="G82" s="706"/>
      <c r="H82" s="437"/>
      <c r="I82" s="707"/>
    </row>
    <row r="83" spans="6:9" ht="15.95" customHeight="1">
      <c r="F83" s="704"/>
      <c r="G83" s="700"/>
      <c r="H83" s="482"/>
      <c r="I83" s="702"/>
    </row>
    <row r="84" spans="6:9" ht="15.95" customHeight="1">
      <c r="F84" s="704"/>
      <c r="G84" s="700"/>
      <c r="H84" s="482"/>
      <c r="I84" s="702"/>
    </row>
    <row r="85" spans="6:9" ht="15.95" customHeight="1">
      <c r="F85" s="705"/>
      <c r="G85" s="706"/>
      <c r="H85" s="437"/>
      <c r="I85" s="707"/>
    </row>
    <row r="86" spans="6:9" ht="15.95" customHeight="1">
      <c r="F86" s="705"/>
      <c r="G86" s="706"/>
      <c r="H86" s="437"/>
      <c r="I86" s="707"/>
    </row>
    <row r="87" spans="6:9" ht="15.95" customHeight="1">
      <c r="F87" s="704"/>
      <c r="G87" s="700"/>
      <c r="H87" s="482"/>
      <c r="I87" s="702"/>
    </row>
    <row r="88" spans="6:9" ht="15.95" customHeight="1">
      <c r="F88" s="704"/>
      <c r="G88" s="700"/>
      <c r="H88" s="482"/>
      <c r="I88" s="702"/>
    </row>
    <row r="89" spans="6:9" ht="15.95" customHeight="1">
      <c r="F89" s="705"/>
      <c r="G89" s="706"/>
      <c r="H89" s="437"/>
      <c r="I89" s="707"/>
    </row>
    <row r="90" spans="6:9" ht="15.95" customHeight="1">
      <c r="F90" s="705"/>
      <c r="G90" s="706"/>
      <c r="H90" s="437"/>
      <c r="I90" s="707"/>
    </row>
    <row r="91" spans="6:9" ht="15.95" customHeight="1">
      <c r="F91" s="704"/>
      <c r="G91" s="700"/>
      <c r="H91" s="482"/>
      <c r="I91" s="702"/>
    </row>
    <row r="92" spans="6:9" ht="15.95" customHeight="1">
      <c r="F92" s="704"/>
      <c r="G92" s="700"/>
      <c r="H92" s="482"/>
      <c r="I92" s="702"/>
    </row>
    <row r="93" spans="6:9" ht="15.95" customHeight="1">
      <c r="F93" s="705"/>
      <c r="G93" s="706"/>
      <c r="H93" s="437"/>
      <c r="I93" s="707"/>
    </row>
    <row r="94" spans="6:9" ht="15.95" customHeight="1">
      <c r="F94" s="705"/>
      <c r="G94" s="706"/>
      <c r="H94" s="437"/>
      <c r="I94" s="707"/>
    </row>
    <row r="95" spans="6:9" ht="15.95" customHeight="1">
      <c r="F95" s="710"/>
      <c r="G95" s="708"/>
      <c r="H95" s="278"/>
      <c r="I95" s="709"/>
    </row>
    <row r="96" spans="6:9" ht="15.95" customHeight="1">
      <c r="F96" s="710"/>
      <c r="G96" s="708"/>
      <c r="H96" s="278"/>
      <c r="I96" s="709"/>
    </row>
    <row r="97" spans="6:9" ht="15.95" customHeight="1">
      <c r="F97" s="711"/>
      <c r="G97" s="713"/>
      <c r="H97" s="448"/>
      <c r="I97" s="715"/>
    </row>
    <row r="98" spans="6:9" ht="15.95" customHeight="1">
      <c r="F98" s="711"/>
      <c r="G98" s="713"/>
      <c r="H98" s="448"/>
      <c r="I98" s="715"/>
    </row>
    <row r="99" spans="6:9" ht="15.95" customHeight="1">
      <c r="F99" s="710"/>
      <c r="G99" s="708"/>
      <c r="H99" s="278"/>
      <c r="I99" s="709"/>
    </row>
    <row r="100" spans="6:9" ht="15.95" customHeight="1">
      <c r="F100" s="710"/>
      <c r="G100" s="708"/>
      <c r="H100" s="278"/>
      <c r="I100" s="709"/>
    </row>
    <row r="101" spans="6:9" ht="15.95" customHeight="1">
      <c r="F101" s="711"/>
      <c r="G101" s="713"/>
      <c r="H101" s="448"/>
      <c r="I101" s="715"/>
    </row>
    <row r="102" spans="6:9" ht="15.95" customHeight="1" thickBot="1">
      <c r="F102" s="712"/>
      <c r="G102" s="714"/>
      <c r="H102" s="569"/>
      <c r="I102" s="71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641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632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150</v>
      </c>
      <c r="F3" s="482">
        <v>3.6</v>
      </c>
      <c r="G3" s="482">
        <v>35.4</v>
      </c>
      <c r="H3" s="482">
        <v>31.799999999999997</v>
      </c>
      <c r="I3" s="482">
        <v>0.125</v>
      </c>
      <c r="J3" s="541">
        <v>2.7078799527896127</v>
      </c>
      <c r="K3" s="534"/>
      <c r="L3" s="481">
        <v>150</v>
      </c>
      <c r="M3" s="482">
        <v>0.125</v>
      </c>
      <c r="N3" s="482">
        <v>0.125</v>
      </c>
      <c r="O3" s="482">
        <v>198</v>
      </c>
      <c r="P3" s="482">
        <v>3.226</v>
      </c>
      <c r="Q3" s="485">
        <v>9.0399999999999994E-2</v>
      </c>
      <c r="S3" s="546">
        <v>35.4</v>
      </c>
      <c r="T3" s="528">
        <v>5.5974937264594713</v>
      </c>
      <c r="U3" s="541">
        <v>29.802506273540526</v>
      </c>
    </row>
    <row r="4" spans="3:21" ht="20.100000000000001" customHeight="1">
      <c r="C4" s="436"/>
      <c r="D4" s="437"/>
      <c r="E4" s="437"/>
      <c r="F4" s="437"/>
      <c r="G4" s="437"/>
      <c r="H4" s="437"/>
      <c r="I4" s="437"/>
      <c r="J4" s="438"/>
      <c r="K4" s="534"/>
      <c r="L4" s="436"/>
      <c r="M4" s="437"/>
      <c r="N4" s="437"/>
      <c r="O4" s="437"/>
      <c r="P4" s="437"/>
      <c r="Q4" s="440"/>
      <c r="S4" s="497"/>
      <c r="T4" s="443"/>
      <c r="U4" s="438"/>
    </row>
    <row r="5" spans="3:21" ht="20.100000000000001" customHeight="1">
      <c r="C5" s="481"/>
      <c r="D5" s="482"/>
      <c r="E5" s="482"/>
      <c r="F5" s="482"/>
      <c r="G5" s="482"/>
      <c r="H5" s="482"/>
      <c r="I5" s="482"/>
      <c r="J5" s="541"/>
      <c r="K5" s="534"/>
      <c r="L5" s="481"/>
      <c r="M5" s="482"/>
      <c r="N5" s="482"/>
      <c r="O5" s="482"/>
      <c r="P5" s="482"/>
      <c r="Q5" s="485"/>
      <c r="S5" s="546"/>
      <c r="T5" s="528"/>
      <c r="U5" s="541"/>
    </row>
    <row r="6" spans="3:21" ht="20.100000000000001" customHeight="1">
      <c r="C6" s="436"/>
      <c r="D6" s="437"/>
      <c r="E6" s="437"/>
      <c r="F6" s="437"/>
      <c r="G6" s="437"/>
      <c r="H6" s="437"/>
      <c r="I6" s="437"/>
      <c r="J6" s="438"/>
      <c r="K6" s="534"/>
      <c r="L6" s="436"/>
      <c r="M6" s="437"/>
      <c r="N6" s="437"/>
      <c r="O6" s="437"/>
      <c r="P6" s="437"/>
      <c r="Q6" s="440"/>
      <c r="S6" s="497"/>
      <c r="T6" s="443"/>
      <c r="U6" s="438"/>
    </row>
    <row r="7" spans="3:21" ht="20.100000000000001" customHeight="1">
      <c r="C7" s="481"/>
      <c r="D7" s="482"/>
      <c r="E7" s="482"/>
      <c r="F7" s="482"/>
      <c r="G7" s="482"/>
      <c r="H7" s="482"/>
      <c r="I7" s="482"/>
      <c r="J7" s="541"/>
      <c r="K7" s="534"/>
      <c r="L7" s="481"/>
      <c r="M7" s="482"/>
      <c r="N7" s="482"/>
      <c r="O7" s="482"/>
      <c r="P7" s="482"/>
      <c r="Q7" s="485"/>
      <c r="S7" s="546"/>
      <c r="T7" s="528"/>
      <c r="U7" s="541"/>
    </row>
    <row r="8" spans="3:21" ht="20.100000000000001" customHeight="1">
      <c r="C8" s="436"/>
      <c r="D8" s="437"/>
      <c r="E8" s="437"/>
      <c r="F8" s="437"/>
      <c r="G8" s="437"/>
      <c r="H8" s="437"/>
      <c r="I8" s="437"/>
      <c r="J8" s="438"/>
      <c r="K8" s="534"/>
      <c r="L8" s="436"/>
      <c r="M8" s="437"/>
      <c r="N8" s="437"/>
      <c r="O8" s="437"/>
      <c r="P8" s="437"/>
      <c r="Q8" s="440"/>
      <c r="S8" s="436"/>
      <c r="T8" s="443"/>
      <c r="U8" s="438"/>
    </row>
    <row r="9" spans="3:21" ht="20.100000000000001" customHeight="1">
      <c r="C9" s="481"/>
      <c r="D9" s="482"/>
      <c r="E9" s="482"/>
      <c r="F9" s="482"/>
      <c r="G9" s="482"/>
      <c r="H9" s="482"/>
      <c r="I9" s="482"/>
      <c r="J9" s="541"/>
      <c r="K9" s="534"/>
      <c r="L9" s="481"/>
      <c r="M9" s="482"/>
      <c r="N9" s="482"/>
      <c r="O9" s="482"/>
      <c r="P9" s="482"/>
      <c r="Q9" s="485"/>
      <c r="S9" s="481"/>
      <c r="T9" s="528"/>
      <c r="U9" s="541"/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640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/>
      <c r="G37" s="618"/>
      <c r="H37" s="633"/>
      <c r="I37" s="618"/>
      <c r="J37" s="618"/>
      <c r="K37" s="618"/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2.9450000000000003</v>
      </c>
      <c r="F38" s="441"/>
      <c r="G38" s="549"/>
      <c r="H38" s="441"/>
      <c r="I38" s="549"/>
      <c r="J38" s="444"/>
      <c r="K38" s="550"/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1.487E-2</v>
      </c>
      <c r="F39" s="441"/>
      <c r="G39" s="549"/>
      <c r="H39" s="441"/>
      <c r="I39" s="549"/>
      <c r="J39" s="444"/>
      <c r="K39" s="550"/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2.9339999999999998E-4</v>
      </c>
      <c r="F40" s="442"/>
      <c r="G40" s="551"/>
      <c r="H40" s="442"/>
      <c r="I40" s="551"/>
      <c r="J40" s="445"/>
      <c r="K40" s="552"/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633</v>
      </c>
      <c r="E41" s="549">
        <v>0.54159999999999997</v>
      </c>
      <c r="F41" s="441"/>
      <c r="G41" s="549"/>
      <c r="H41" s="441"/>
      <c r="I41" s="549"/>
      <c r="J41" s="444"/>
      <c r="K41" s="550"/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31.799999999999997</v>
      </c>
      <c r="F42" s="443"/>
      <c r="G42" s="528"/>
      <c r="H42" s="443"/>
      <c r="I42" s="528"/>
      <c r="J42" s="446"/>
      <c r="K42" s="554"/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198</v>
      </c>
      <c r="F43" s="439"/>
      <c r="G43" s="487"/>
      <c r="H43" s="439"/>
      <c r="I43" s="487"/>
      <c r="J43" s="447"/>
      <c r="K43" s="556"/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634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667</v>
      </c>
      <c r="E47" s="621" t="s">
        <v>687</v>
      </c>
      <c r="F47" s="622" t="s">
        <v>688</v>
      </c>
      <c r="H47" s="620" t="s">
        <v>206</v>
      </c>
      <c r="I47" s="621" t="s">
        <v>689</v>
      </c>
      <c r="J47" s="623" t="s">
        <v>107</v>
      </c>
      <c r="K47" s="621" t="s">
        <v>693</v>
      </c>
      <c r="L47" s="621" t="s">
        <v>690</v>
      </c>
      <c r="M47" s="621" t="s">
        <v>211</v>
      </c>
      <c r="N47" s="622" t="s">
        <v>210</v>
      </c>
      <c r="P47" s="620" t="s">
        <v>206</v>
      </c>
      <c r="Q47" s="621" t="s">
        <v>691</v>
      </c>
      <c r="R47" s="622" t="s">
        <v>692</v>
      </c>
    </row>
    <row r="48" spans="3:36" ht="20.100000000000001" customHeight="1">
      <c r="C48" s="717" t="s">
        <v>85</v>
      </c>
      <c r="D48" s="278" t="s">
        <v>673</v>
      </c>
      <c r="E48" s="549">
        <v>3.226</v>
      </c>
      <c r="F48" s="553">
        <v>2.9339999999999998E-4</v>
      </c>
      <c r="G48" s="534"/>
      <c r="H48" s="572" t="s">
        <v>226</v>
      </c>
      <c r="I48" s="483">
        <v>72.400000000000006</v>
      </c>
      <c r="J48" s="483">
        <v>88.6</v>
      </c>
      <c r="K48" s="483">
        <v>110.6</v>
      </c>
      <c r="L48" s="483">
        <v>90.5</v>
      </c>
      <c r="M48" s="483">
        <v>110.6</v>
      </c>
      <c r="N48" s="573">
        <v>72.400000000000006</v>
      </c>
      <c r="P48" s="576" t="s">
        <v>226</v>
      </c>
      <c r="Q48" s="549">
        <v>-2.8652316871553052</v>
      </c>
      <c r="R48" s="577">
        <v>2.194</v>
      </c>
    </row>
    <row r="49" spans="3:18" ht="20.100000000000001" customHeight="1">
      <c r="C49" s="718"/>
      <c r="D49" s="278" t="s">
        <v>674</v>
      </c>
      <c r="E49" s="549">
        <v>2.6640000000000001</v>
      </c>
      <c r="F49" s="485"/>
      <c r="G49" s="534"/>
      <c r="H49" s="452"/>
      <c r="I49" s="453"/>
      <c r="J49" s="453"/>
      <c r="K49" s="453"/>
      <c r="L49" s="453"/>
      <c r="M49" s="453"/>
      <c r="N49" s="454"/>
      <c r="P49" s="455"/>
      <c r="Q49" s="441"/>
      <c r="R49" s="456"/>
    </row>
    <row r="50" spans="3:18" ht="20.100000000000001" customHeight="1">
      <c r="C50" s="719"/>
      <c r="D50" s="278" t="s">
        <v>675</v>
      </c>
      <c r="E50" s="479">
        <v>2.9450000000000003</v>
      </c>
      <c r="F50" s="480">
        <v>2.9339999999999998E-4</v>
      </c>
      <c r="G50" s="534"/>
      <c r="H50" s="572"/>
      <c r="I50" s="483"/>
      <c r="J50" s="483"/>
      <c r="K50" s="483"/>
      <c r="L50" s="483"/>
      <c r="M50" s="483"/>
      <c r="N50" s="573"/>
      <c r="P50" s="576"/>
      <c r="Q50" s="549"/>
      <c r="R50" s="577"/>
    </row>
    <row r="51" spans="3:18" ht="20.100000000000001" customHeight="1">
      <c r="C51" s="711" t="s">
        <v>154</v>
      </c>
      <c r="D51" s="448" t="s">
        <v>673</v>
      </c>
      <c r="E51" s="441"/>
      <c r="F51" s="449"/>
      <c r="G51" s="534"/>
      <c r="H51" s="452"/>
      <c r="I51" s="453"/>
      <c r="J51" s="453"/>
      <c r="K51" s="453"/>
      <c r="L51" s="453"/>
      <c r="M51" s="453"/>
      <c r="N51" s="454"/>
      <c r="P51" s="455"/>
      <c r="Q51" s="441"/>
      <c r="R51" s="456"/>
    </row>
    <row r="52" spans="3:18" ht="20.100000000000001" customHeight="1">
      <c r="C52" s="711"/>
      <c r="D52" s="448" t="s">
        <v>674</v>
      </c>
      <c r="E52" s="441"/>
      <c r="F52" s="440"/>
      <c r="G52" s="534"/>
      <c r="H52" s="572"/>
      <c r="I52" s="483"/>
      <c r="J52" s="483"/>
      <c r="K52" s="483"/>
      <c r="L52" s="483"/>
      <c r="M52" s="483"/>
      <c r="N52" s="573"/>
      <c r="P52" s="576"/>
      <c r="Q52" s="549"/>
      <c r="R52" s="577"/>
    </row>
    <row r="53" spans="3:18" ht="20.100000000000001" customHeight="1">
      <c r="C53" s="711"/>
      <c r="D53" s="448" t="s">
        <v>675</v>
      </c>
      <c r="E53" s="450"/>
      <c r="F53" s="451"/>
      <c r="G53" s="534"/>
      <c r="H53" s="452"/>
      <c r="I53" s="453"/>
      <c r="J53" s="453"/>
      <c r="K53" s="453"/>
      <c r="L53" s="453"/>
      <c r="M53" s="453"/>
      <c r="N53" s="454"/>
      <c r="P53" s="455"/>
      <c r="Q53" s="441"/>
      <c r="R53" s="456"/>
    </row>
    <row r="54" spans="3:18" ht="20.100000000000001" customHeight="1">
      <c r="C54" s="710" t="s">
        <v>155</v>
      </c>
      <c r="D54" s="278" t="s">
        <v>673</v>
      </c>
      <c r="E54" s="549"/>
      <c r="F54" s="553"/>
      <c r="G54" s="534"/>
      <c r="H54" s="572"/>
      <c r="I54" s="483"/>
      <c r="J54" s="483"/>
      <c r="K54" s="483"/>
      <c r="L54" s="483"/>
      <c r="M54" s="483"/>
      <c r="N54" s="573"/>
      <c r="P54" s="576"/>
      <c r="Q54" s="549"/>
      <c r="R54" s="577"/>
    </row>
    <row r="55" spans="3:18" ht="20.100000000000001" customHeight="1">
      <c r="C55" s="710"/>
      <c r="D55" s="278" t="s">
        <v>674</v>
      </c>
      <c r="E55" s="549"/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10"/>
      <c r="D56" s="278" t="s">
        <v>675</v>
      </c>
      <c r="E56" s="479"/>
      <c r="F56" s="480"/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11" t="s">
        <v>644</v>
      </c>
      <c r="D57" s="448" t="s">
        <v>673</v>
      </c>
      <c r="E57" s="441"/>
      <c r="F57" s="449"/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11"/>
      <c r="D58" s="448" t="s">
        <v>674</v>
      </c>
      <c r="E58" s="441"/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11"/>
      <c r="D59" s="448" t="s">
        <v>675</v>
      </c>
      <c r="E59" s="450"/>
      <c r="F59" s="451"/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10" t="s">
        <v>645</v>
      </c>
      <c r="D60" s="278" t="s">
        <v>673</v>
      </c>
      <c r="E60" s="549"/>
      <c r="F60" s="553"/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10"/>
      <c r="D61" s="278" t="s">
        <v>674</v>
      </c>
      <c r="E61" s="549"/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10"/>
      <c r="D62" s="278" t="s">
        <v>675</v>
      </c>
      <c r="E62" s="479"/>
      <c r="F62" s="480"/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11" t="s">
        <v>334</v>
      </c>
      <c r="D63" s="448" t="s">
        <v>246</v>
      </c>
      <c r="E63" s="441"/>
      <c r="F63" s="449"/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11"/>
      <c r="D64" s="448" t="s">
        <v>247</v>
      </c>
      <c r="E64" s="441"/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11"/>
      <c r="D65" s="448" t="s">
        <v>248</v>
      </c>
      <c r="E65" s="450"/>
      <c r="F65" s="451"/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10" t="s">
        <v>616</v>
      </c>
      <c r="D66" s="278" t="s">
        <v>246</v>
      </c>
      <c r="E66" s="549"/>
      <c r="F66" s="553"/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10"/>
      <c r="D67" s="278" t="s">
        <v>247</v>
      </c>
      <c r="E67" s="549"/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10"/>
      <c r="D68" s="278" t="s">
        <v>248</v>
      </c>
      <c r="E68" s="479"/>
      <c r="F68" s="480"/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11" t="s">
        <v>617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11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11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10" t="s">
        <v>618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10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10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11" t="s">
        <v>646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11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11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10" t="s">
        <v>647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10"/>
      <c r="D79" s="278" t="s">
        <v>247</v>
      </c>
      <c r="E79" s="479"/>
      <c r="F79" s="480"/>
      <c r="H79" s="660" t="s">
        <v>206</v>
      </c>
      <c r="I79" s="661" t="s">
        <v>694</v>
      </c>
      <c r="J79" s="662" t="s">
        <v>688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10"/>
      <c r="D80" s="278" t="s">
        <v>248</v>
      </c>
      <c r="E80" s="479"/>
      <c r="F80" s="480"/>
      <c r="H80" s="572" t="s">
        <v>226</v>
      </c>
      <c r="I80" s="651">
        <v>2.6640000000000001</v>
      </c>
      <c r="J80" s="652">
        <v>2.9339999999999998E-4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11" t="s">
        <v>648</v>
      </c>
      <c r="D81" s="448" t="s">
        <v>246</v>
      </c>
      <c r="E81" s="450"/>
      <c r="F81" s="451"/>
      <c r="H81" s="452"/>
      <c r="I81" s="655"/>
      <c r="J81" s="656"/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11"/>
      <c r="D82" s="448" t="s">
        <v>247</v>
      </c>
      <c r="E82" s="450"/>
      <c r="F82" s="451"/>
      <c r="H82" s="572"/>
      <c r="I82" s="653"/>
      <c r="J82" s="652"/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11"/>
      <c r="D83" s="448" t="s">
        <v>248</v>
      </c>
      <c r="E83" s="450"/>
      <c r="F83" s="451"/>
      <c r="H83" s="650"/>
      <c r="I83" s="657"/>
      <c r="J83" s="658"/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10" t="s">
        <v>649</v>
      </c>
      <c r="D84" s="278" t="s">
        <v>246</v>
      </c>
      <c r="E84" s="479"/>
      <c r="F84" s="480"/>
      <c r="H84" s="572"/>
      <c r="I84" s="654"/>
      <c r="J84" s="652"/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10"/>
      <c r="D85" s="278" t="s">
        <v>247</v>
      </c>
      <c r="E85" s="479"/>
      <c r="F85" s="480"/>
      <c r="H85" s="452"/>
      <c r="I85" s="655"/>
      <c r="J85" s="656"/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10"/>
      <c r="D86" s="278" t="s">
        <v>248</v>
      </c>
      <c r="E86" s="479"/>
      <c r="F86" s="480"/>
      <c r="H86" s="572"/>
      <c r="I86" s="651"/>
      <c r="J86" s="652"/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11" t="s">
        <v>650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11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11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10" t="s">
        <v>651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10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10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11" t="s">
        <v>652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11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11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10" t="s">
        <v>653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10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10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11" t="s">
        <v>654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11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11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10" t="s">
        <v>655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10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10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11" t="s">
        <v>656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11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11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10" t="s">
        <v>657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10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10"/>
      <c r="D110" s="278" t="s">
        <v>248</v>
      </c>
      <c r="E110" s="479"/>
      <c r="F110" s="480"/>
      <c r="H110" s="533"/>
    </row>
    <row r="111" spans="3:18" ht="20.100000000000001" customHeight="1">
      <c r="C111" s="711" t="s">
        <v>658</v>
      </c>
      <c r="D111" s="448" t="s">
        <v>246</v>
      </c>
      <c r="E111" s="450"/>
      <c r="F111" s="451"/>
      <c r="H111" s="533"/>
    </row>
    <row r="112" spans="3:18" ht="20.100000000000001" customHeight="1">
      <c r="C112" s="711"/>
      <c r="D112" s="448" t="s">
        <v>247</v>
      </c>
      <c r="E112" s="450"/>
      <c r="F112" s="451"/>
      <c r="H112" s="533"/>
    </row>
    <row r="113" spans="3:8" ht="20.100000000000001" customHeight="1">
      <c r="C113" s="711"/>
      <c r="D113" s="448" t="s">
        <v>248</v>
      </c>
      <c r="E113" s="450"/>
      <c r="F113" s="451"/>
      <c r="H113" s="533"/>
    </row>
    <row r="114" spans="3:8" ht="20.100000000000001" customHeight="1">
      <c r="C114" s="710" t="s">
        <v>659</v>
      </c>
      <c r="D114" s="278" t="s">
        <v>246</v>
      </c>
      <c r="E114" s="479"/>
      <c r="F114" s="480"/>
      <c r="H114" s="533"/>
    </row>
    <row r="115" spans="3:8" ht="20.100000000000001" customHeight="1">
      <c r="C115" s="710"/>
      <c r="D115" s="278" t="s">
        <v>247</v>
      </c>
      <c r="E115" s="479"/>
      <c r="F115" s="480"/>
      <c r="H115" s="533"/>
    </row>
    <row r="116" spans="3:8" ht="20.100000000000001" customHeight="1">
      <c r="C116" s="710"/>
      <c r="D116" s="278" t="s">
        <v>248</v>
      </c>
      <c r="E116" s="479"/>
      <c r="F116" s="480"/>
      <c r="H116" s="533"/>
    </row>
    <row r="117" spans="3:8" ht="20.100000000000001" customHeight="1">
      <c r="C117" s="711" t="s">
        <v>660</v>
      </c>
      <c r="D117" s="448" t="s">
        <v>246</v>
      </c>
      <c r="E117" s="450"/>
      <c r="F117" s="451"/>
      <c r="H117" s="533"/>
    </row>
    <row r="118" spans="3:8" ht="20.100000000000001" customHeight="1">
      <c r="C118" s="711"/>
      <c r="D118" s="448" t="s">
        <v>247</v>
      </c>
      <c r="E118" s="450"/>
      <c r="F118" s="451"/>
      <c r="H118" s="533"/>
    </row>
    <row r="119" spans="3:8" ht="20.100000000000001" customHeight="1">
      <c r="C119" s="711"/>
      <c r="D119" s="448" t="s">
        <v>248</v>
      </c>
      <c r="E119" s="450"/>
      <c r="F119" s="451"/>
      <c r="H119" s="533"/>
    </row>
    <row r="120" spans="3:8" ht="20.100000000000001" customHeight="1">
      <c r="C120" s="710" t="s">
        <v>661</v>
      </c>
      <c r="D120" s="278" t="s">
        <v>246</v>
      </c>
      <c r="E120" s="479"/>
      <c r="F120" s="480"/>
      <c r="H120" s="533"/>
    </row>
    <row r="121" spans="3:8" ht="20.100000000000001" customHeight="1">
      <c r="C121" s="710"/>
      <c r="D121" s="278" t="s">
        <v>247</v>
      </c>
      <c r="E121" s="479"/>
      <c r="F121" s="480"/>
      <c r="H121" s="533"/>
    </row>
    <row r="122" spans="3:8" ht="20.100000000000001" customHeight="1">
      <c r="C122" s="710"/>
      <c r="D122" s="278" t="s">
        <v>248</v>
      </c>
      <c r="E122" s="479"/>
      <c r="F122" s="480"/>
      <c r="H122" s="533"/>
    </row>
    <row r="123" spans="3:8" ht="20.100000000000001" customHeight="1">
      <c r="C123" s="711" t="s">
        <v>662</v>
      </c>
      <c r="D123" s="448" t="s">
        <v>246</v>
      </c>
      <c r="E123" s="450"/>
      <c r="F123" s="451"/>
      <c r="H123" s="533"/>
    </row>
    <row r="124" spans="3:8" ht="20.100000000000001" customHeight="1">
      <c r="C124" s="711"/>
      <c r="D124" s="448" t="s">
        <v>247</v>
      </c>
      <c r="E124" s="450"/>
      <c r="F124" s="451"/>
      <c r="H124" s="533"/>
    </row>
    <row r="125" spans="3:8" ht="20.100000000000001" customHeight="1">
      <c r="C125" s="711"/>
      <c r="D125" s="448" t="s">
        <v>248</v>
      </c>
      <c r="E125" s="450"/>
      <c r="F125" s="451"/>
      <c r="H125" s="533"/>
    </row>
    <row r="126" spans="3:8" ht="20.25" customHeight="1">
      <c r="C126" s="710" t="s">
        <v>663</v>
      </c>
      <c r="D126" s="278" t="s">
        <v>246</v>
      </c>
      <c r="E126" s="479"/>
      <c r="F126" s="480"/>
      <c r="H126" s="533"/>
    </row>
    <row r="127" spans="3:8" ht="20.100000000000001" customHeight="1">
      <c r="C127" s="710"/>
      <c r="D127" s="278" t="s">
        <v>247</v>
      </c>
      <c r="E127" s="479"/>
      <c r="F127" s="480"/>
      <c r="H127" s="533"/>
    </row>
    <row r="128" spans="3:8" ht="20.100000000000001" customHeight="1">
      <c r="C128" s="710"/>
      <c r="D128" s="278" t="s">
        <v>248</v>
      </c>
      <c r="E128" s="479"/>
      <c r="F128" s="480"/>
      <c r="H128" s="533"/>
    </row>
    <row r="129" spans="3:8" ht="20.100000000000001" customHeight="1">
      <c r="C129" s="711" t="s">
        <v>664</v>
      </c>
      <c r="D129" s="448" t="s">
        <v>246</v>
      </c>
      <c r="E129" s="564"/>
      <c r="F129" s="565"/>
      <c r="H129" s="533"/>
    </row>
    <row r="130" spans="3:8" ht="20.100000000000001" customHeight="1">
      <c r="C130" s="711"/>
      <c r="D130" s="448" t="s">
        <v>247</v>
      </c>
      <c r="E130" s="564"/>
      <c r="F130" s="566"/>
    </row>
    <row r="131" spans="3:8" ht="20.100000000000001" customHeight="1">
      <c r="C131" s="711"/>
      <c r="D131" s="448" t="s">
        <v>248</v>
      </c>
      <c r="E131" s="567"/>
      <c r="F131" s="568"/>
    </row>
    <row r="132" spans="3:8" ht="20.100000000000001" customHeight="1">
      <c r="C132" s="710" t="s">
        <v>665</v>
      </c>
      <c r="D132" s="278" t="s">
        <v>246</v>
      </c>
      <c r="E132" s="559"/>
      <c r="F132" s="560"/>
    </row>
    <row r="133" spans="3:8" ht="20.100000000000001" customHeight="1">
      <c r="C133" s="710"/>
      <c r="D133" s="278" t="s">
        <v>247</v>
      </c>
      <c r="E133" s="559"/>
      <c r="F133" s="561"/>
    </row>
    <row r="134" spans="3:8" ht="20.100000000000001" customHeight="1">
      <c r="C134" s="710"/>
      <c r="D134" s="278" t="s">
        <v>248</v>
      </c>
      <c r="E134" s="562"/>
      <c r="F134" s="563"/>
    </row>
    <row r="135" spans="3:8" ht="20.100000000000001" customHeight="1">
      <c r="C135" s="711" t="s">
        <v>666</v>
      </c>
      <c r="D135" s="448" t="s">
        <v>246</v>
      </c>
      <c r="E135" s="564"/>
      <c r="F135" s="565"/>
    </row>
    <row r="136" spans="3:8" ht="20.100000000000001" customHeight="1">
      <c r="C136" s="711"/>
      <c r="D136" s="448" t="s">
        <v>247</v>
      </c>
      <c r="E136" s="564"/>
      <c r="F136" s="566"/>
    </row>
    <row r="137" spans="3:8" ht="20.100000000000001" customHeight="1" thickBot="1">
      <c r="C137" s="712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4" sqref="B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676</v>
      </c>
      <c r="E3" s="414" t="s">
        <v>275</v>
      </c>
      <c r="F3" s="414" t="s">
        <v>278</v>
      </c>
      <c r="G3" s="414" t="s">
        <v>677</v>
      </c>
      <c r="H3" s="414" t="s">
        <v>678</v>
      </c>
      <c r="I3" s="414" t="s">
        <v>679</v>
      </c>
      <c r="J3" s="414" t="s">
        <v>680</v>
      </c>
      <c r="K3" s="414" t="s">
        <v>681</v>
      </c>
      <c r="L3" s="414" t="s">
        <v>682</v>
      </c>
      <c r="M3" s="414" t="s">
        <v>683</v>
      </c>
      <c r="N3" s="414" t="s">
        <v>684</v>
      </c>
      <c r="O3" s="415" t="s">
        <v>685</v>
      </c>
    </row>
    <row r="4" spans="3:15" ht="20.100000000000001" customHeight="1">
      <c r="C4" s="180" t="s">
        <v>226</v>
      </c>
      <c r="D4" s="181" t="s">
        <v>697</v>
      </c>
      <c r="E4" s="181">
        <v>150</v>
      </c>
      <c r="F4" s="181">
        <v>2.9449999999999998</v>
      </c>
      <c r="G4" s="643">
        <v>2.9449999999999998</v>
      </c>
      <c r="H4" s="181">
        <v>0.03</v>
      </c>
      <c r="I4" s="181">
        <v>198</v>
      </c>
      <c r="J4" s="644">
        <v>198</v>
      </c>
      <c r="K4" s="181">
        <v>152</v>
      </c>
      <c r="L4" s="644">
        <v>152</v>
      </c>
      <c r="M4" s="181">
        <v>2.5999999999999999E-3</v>
      </c>
      <c r="N4" s="643">
        <v>2.5999999999999999E-3</v>
      </c>
      <c r="O4" s="645" t="s">
        <v>238</v>
      </c>
    </row>
    <row r="5" spans="3:15" ht="20.100000000000001" customHeight="1">
      <c r="C5" s="180"/>
      <c r="D5" s="181"/>
      <c r="E5" s="181"/>
      <c r="F5" s="181"/>
      <c r="G5" s="643"/>
      <c r="H5" s="181"/>
      <c r="I5" s="181"/>
      <c r="J5" s="644"/>
      <c r="K5" s="181"/>
      <c r="L5" s="644"/>
      <c r="M5" s="181"/>
      <c r="N5" s="643"/>
      <c r="O5" s="645"/>
    </row>
    <row r="6" spans="3:15" ht="20.100000000000001" customHeight="1">
      <c r="C6" s="180"/>
      <c r="D6" s="181"/>
      <c r="E6" s="181"/>
      <c r="F6" s="181"/>
      <c r="G6" s="643"/>
      <c r="H6" s="181"/>
      <c r="I6" s="181"/>
      <c r="J6" s="644"/>
      <c r="K6" s="181"/>
      <c r="L6" s="644"/>
      <c r="M6" s="181"/>
      <c r="N6" s="643"/>
      <c r="O6" s="645"/>
    </row>
    <row r="7" spans="3:15" ht="20.100000000000001" customHeight="1">
      <c r="C7" s="180"/>
      <c r="D7" s="181"/>
      <c r="E7" s="181"/>
      <c r="F7" s="181"/>
      <c r="G7" s="643"/>
      <c r="H7" s="181"/>
      <c r="I7" s="181"/>
      <c r="J7" s="644"/>
      <c r="K7" s="181"/>
      <c r="L7" s="644"/>
      <c r="M7" s="181"/>
      <c r="N7" s="643"/>
      <c r="O7" s="645"/>
    </row>
    <row r="8" spans="3:15" ht="20.100000000000001" customHeight="1">
      <c r="C8" s="180"/>
      <c r="D8" s="181"/>
      <c r="E8" s="181"/>
      <c r="F8" s="181"/>
      <c r="G8" s="643"/>
      <c r="H8" s="181"/>
      <c r="I8" s="181"/>
      <c r="J8" s="644"/>
      <c r="K8" s="181"/>
      <c r="L8" s="644"/>
      <c r="M8" s="181"/>
      <c r="N8" s="643"/>
      <c r="O8" s="645"/>
    </row>
    <row r="9" spans="3:15" ht="20.100000000000001" customHeight="1">
      <c r="C9" s="180"/>
      <c r="D9" s="181"/>
      <c r="E9" s="181"/>
      <c r="F9" s="181"/>
      <c r="G9" s="643"/>
      <c r="H9" s="181"/>
      <c r="I9" s="181"/>
      <c r="J9" s="644"/>
      <c r="K9" s="181"/>
      <c r="L9" s="644"/>
      <c r="M9" s="181"/>
      <c r="N9" s="643"/>
      <c r="O9" s="645"/>
    </row>
    <row r="10" spans="3:15" ht="20.100000000000001" customHeight="1">
      <c r="C10" s="180"/>
      <c r="D10" s="181"/>
      <c r="E10" s="181"/>
      <c r="F10" s="181"/>
      <c r="G10" s="643"/>
      <c r="H10" s="181"/>
      <c r="I10" s="181"/>
      <c r="J10" s="644"/>
      <c r="K10" s="181"/>
      <c r="L10" s="644"/>
      <c r="M10" s="181"/>
      <c r="N10" s="643"/>
      <c r="O10" s="64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P77" sqref="P7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631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638</v>
      </c>
      <c r="L10" s="477" t="s">
        <v>639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150</v>
      </c>
      <c r="F12" s="518">
        <v>250</v>
      </c>
      <c r="G12" s="520">
        <v>3.6</v>
      </c>
      <c r="H12" s="520">
        <v>35.4</v>
      </c>
      <c r="I12" s="521">
        <v>2.9449999999999998</v>
      </c>
      <c r="J12" s="522">
        <v>2.9339999999999998E-4</v>
      </c>
      <c r="L12" s="517" t="s">
        <v>226</v>
      </c>
      <c r="M12" s="518">
        <v>150</v>
      </c>
      <c r="N12" s="518">
        <v>250</v>
      </c>
      <c r="O12" s="520">
        <v>3.6</v>
      </c>
      <c r="P12" s="520">
        <v>35.4</v>
      </c>
      <c r="Q12" s="528">
        <v>31.799999999999997</v>
      </c>
      <c r="R12" s="521">
        <v>2.9449999999999998</v>
      </c>
      <c r="S12" s="522">
        <v>2.9339999999999998E-4</v>
      </c>
    </row>
    <row r="13" spans="4:19" s="30" customFormat="1" ht="20.100000000000001" customHeight="1">
      <c r="D13" s="514" t="s">
        <v>227</v>
      </c>
      <c r="E13" s="515">
        <v>20</v>
      </c>
      <c r="F13" s="515">
        <v>300</v>
      </c>
      <c r="G13" s="536">
        <v>3.6</v>
      </c>
      <c r="H13" s="536">
        <v>35.4</v>
      </c>
      <c r="I13" s="626">
        <v>2.9449999999999998</v>
      </c>
      <c r="J13" s="627">
        <v>2.9339999999999998E-4</v>
      </c>
      <c r="L13" s="514" t="s">
        <v>227</v>
      </c>
      <c r="M13" s="515">
        <v>20</v>
      </c>
      <c r="N13" s="515">
        <v>300</v>
      </c>
      <c r="O13" s="536">
        <v>3.6</v>
      </c>
      <c r="P13" s="536">
        <v>35.4</v>
      </c>
      <c r="Q13" s="443">
        <v>31.799999999999997</v>
      </c>
      <c r="R13" s="626">
        <v>2.9449999999999998</v>
      </c>
      <c r="S13" s="627">
        <v>2.9339999999999998E-4</v>
      </c>
    </row>
    <row r="14" spans="4:19" s="30" customFormat="1" ht="20.100000000000001" customHeight="1">
      <c r="D14" s="517" t="s">
        <v>228</v>
      </c>
      <c r="E14" s="518">
        <v>20</v>
      </c>
      <c r="F14" s="518">
        <v>350</v>
      </c>
      <c r="G14" s="520">
        <v>3.6</v>
      </c>
      <c r="H14" s="520">
        <v>35.4</v>
      </c>
      <c r="I14" s="521">
        <v>2.9449999999999998</v>
      </c>
      <c r="J14" s="522">
        <v>2.9339999999999998E-4</v>
      </c>
      <c r="L14" s="517" t="s">
        <v>228</v>
      </c>
      <c r="M14" s="518">
        <v>20</v>
      </c>
      <c r="N14" s="518">
        <v>350</v>
      </c>
      <c r="O14" s="520">
        <v>3.6</v>
      </c>
      <c r="P14" s="520">
        <v>35.4</v>
      </c>
      <c r="Q14" s="528">
        <v>31.799999999999997</v>
      </c>
      <c r="R14" s="521">
        <v>2.9449999999999998</v>
      </c>
      <c r="S14" s="522">
        <v>2.9339999999999998E-4</v>
      </c>
    </row>
    <row r="15" spans="4:19" s="30" customFormat="1" ht="20.100000000000001" customHeight="1">
      <c r="D15" s="514" t="s">
        <v>332</v>
      </c>
      <c r="E15" s="515">
        <v>20</v>
      </c>
      <c r="F15" s="515">
        <v>300</v>
      </c>
      <c r="G15" s="536">
        <v>3.6</v>
      </c>
      <c r="H15" s="536">
        <v>35.4</v>
      </c>
      <c r="I15" s="626">
        <v>2.9449999999999998</v>
      </c>
      <c r="J15" s="627">
        <v>2.9339999999999998E-4</v>
      </c>
      <c r="L15" s="514" t="s">
        <v>332</v>
      </c>
      <c r="M15" s="515">
        <v>20</v>
      </c>
      <c r="N15" s="515">
        <v>300</v>
      </c>
      <c r="O15" s="536">
        <v>3.6</v>
      </c>
      <c r="P15" s="536">
        <v>35.4</v>
      </c>
      <c r="Q15" s="443">
        <v>31.799999999999997</v>
      </c>
      <c r="R15" s="626">
        <v>2.9449999999999998</v>
      </c>
      <c r="S15" s="627">
        <v>2.9339999999999998E-4</v>
      </c>
    </row>
    <row r="16" spans="4:19" s="30" customFormat="1" ht="20.100000000000001" customHeight="1">
      <c r="D16" s="517" t="s">
        <v>333</v>
      </c>
      <c r="E16" s="518">
        <v>80</v>
      </c>
      <c r="F16" s="518">
        <v>150</v>
      </c>
      <c r="G16" s="520">
        <v>3.6</v>
      </c>
      <c r="H16" s="520">
        <v>35.4</v>
      </c>
      <c r="I16" s="521">
        <v>2.9449999999999998</v>
      </c>
      <c r="J16" s="522">
        <v>2.9339999999999998E-4</v>
      </c>
      <c r="L16" s="517" t="s">
        <v>333</v>
      </c>
      <c r="M16" s="518">
        <v>80</v>
      </c>
      <c r="N16" s="518">
        <v>150</v>
      </c>
      <c r="O16" s="520">
        <v>3.6</v>
      </c>
      <c r="P16" s="520">
        <v>35.4</v>
      </c>
      <c r="Q16" s="528">
        <v>31.799999999999997</v>
      </c>
      <c r="R16" s="521">
        <v>2.9449999999999998</v>
      </c>
      <c r="S16" s="522">
        <v>2.9339999999999998E-4</v>
      </c>
    </row>
    <row r="17" spans="4:19" s="30" customFormat="1" ht="20.100000000000001" customHeight="1">
      <c r="D17" s="514" t="s">
        <v>334</v>
      </c>
      <c r="E17" s="515">
        <v>100</v>
      </c>
      <c r="F17" s="515">
        <v>80</v>
      </c>
      <c r="G17" s="536">
        <v>3.6</v>
      </c>
      <c r="H17" s="536">
        <v>35.4</v>
      </c>
      <c r="I17" s="626">
        <v>2.9449999999999998</v>
      </c>
      <c r="J17" s="627">
        <v>2.9339999999999998E-4</v>
      </c>
      <c r="L17" s="514" t="s">
        <v>334</v>
      </c>
      <c r="M17" s="515">
        <v>100</v>
      </c>
      <c r="N17" s="515">
        <v>80</v>
      </c>
      <c r="O17" s="536">
        <v>3.6</v>
      </c>
      <c r="P17" s="536">
        <v>35.4</v>
      </c>
      <c r="Q17" s="443">
        <v>31.799999999999997</v>
      </c>
      <c r="R17" s="626">
        <v>2.9449999999999998</v>
      </c>
      <c r="S17" s="627">
        <v>2.9339999999999998E-4</v>
      </c>
    </row>
    <row r="18" spans="4:19" s="30" customFormat="1" ht="20.100000000000001" customHeight="1">
      <c r="D18" s="517" t="s">
        <v>616</v>
      </c>
      <c r="E18" s="518">
        <v>60</v>
      </c>
      <c r="F18" s="518">
        <v>150</v>
      </c>
      <c r="G18" s="520">
        <v>3.6</v>
      </c>
      <c r="H18" s="520">
        <v>35.4</v>
      </c>
      <c r="I18" s="521">
        <v>2.9449999999999998</v>
      </c>
      <c r="J18" s="522">
        <v>2.9339999999999998E-4</v>
      </c>
      <c r="L18" s="517" t="s">
        <v>616</v>
      </c>
      <c r="M18" s="518">
        <v>60</v>
      </c>
      <c r="N18" s="518">
        <v>150</v>
      </c>
      <c r="O18" s="520">
        <v>3.6</v>
      </c>
      <c r="P18" s="520">
        <v>35.4</v>
      </c>
      <c r="Q18" s="528">
        <v>31.799999999999997</v>
      </c>
      <c r="R18" s="521">
        <v>2.9449999999999998</v>
      </c>
      <c r="S18" s="522">
        <v>2.9339999999999998E-4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24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24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24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24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24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24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24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24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24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24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24" ht="20.100000000000001" customHeight="1" thickBot="1">
      <c r="D43" s="532" t="s">
        <v>636</v>
      </c>
      <c r="E43" s="533"/>
      <c r="F43" s="533"/>
      <c r="G43" s="533"/>
      <c r="H43" s="533"/>
      <c r="I43" s="532" t="s">
        <v>637</v>
      </c>
      <c r="J43" s="533"/>
      <c r="M43" s="535" t="s">
        <v>630</v>
      </c>
      <c r="N43" s="533"/>
      <c r="O43" s="533"/>
    </row>
    <row r="44" spans="4:24" ht="31.5" customHeight="1" thickBot="1">
      <c r="D44" s="182" t="s">
        <v>260</v>
      </c>
      <c r="E44" s="183" t="s">
        <v>258</v>
      </c>
      <c r="F44" s="183" t="s">
        <v>259</v>
      </c>
      <c r="G44" s="184" t="s">
        <v>340</v>
      </c>
      <c r="H44" s="533"/>
      <c r="I44" s="182" t="s">
        <v>260</v>
      </c>
      <c r="J44" s="183" t="s">
        <v>281</v>
      </c>
      <c r="K44" s="184" t="s">
        <v>282</v>
      </c>
      <c r="M44" s="182" t="s">
        <v>627</v>
      </c>
      <c r="N44" s="183" t="s">
        <v>628</v>
      </c>
      <c r="O44" s="184" t="s">
        <v>629</v>
      </c>
      <c r="Q44" s="45" t="s">
        <v>349</v>
      </c>
    </row>
    <row r="45" spans="4:24" s="30" customFormat="1" ht="20.100000000000001" customHeight="1">
      <c r="D45" s="517" t="s">
        <v>226</v>
      </c>
      <c r="E45" s="518">
        <v>110.6</v>
      </c>
      <c r="F45" s="518">
        <v>119</v>
      </c>
      <c r="G45" s="519">
        <v>0</v>
      </c>
      <c r="H45" s="534"/>
      <c r="I45" s="517" t="s">
        <v>226</v>
      </c>
      <c r="J45" s="518">
        <v>125</v>
      </c>
      <c r="K45" s="519">
        <v>149</v>
      </c>
      <c r="M45" s="517">
        <v>110.6</v>
      </c>
      <c r="N45" s="518">
        <v>72.400000000000006</v>
      </c>
      <c r="O45" s="519">
        <v>90.5</v>
      </c>
      <c r="Q45" s="340">
        <f>MAX(K45:K74)</f>
        <v>149</v>
      </c>
      <c r="R45" s="341" t="s">
        <v>696</v>
      </c>
      <c r="T45" s="340" t="s">
        <v>621</v>
      </c>
      <c r="U45" s="341">
        <f>MAX(E45:E74)</f>
        <v>110.6</v>
      </c>
      <c r="W45" s="340" t="s">
        <v>623</v>
      </c>
      <c r="X45" s="341">
        <f>MAX(F45:F74)</f>
        <v>119</v>
      </c>
    </row>
    <row r="46" spans="4:24" s="30" customFormat="1" ht="20.100000000000001" customHeight="1" thickBot="1">
      <c r="D46" s="514" t="s">
        <v>227</v>
      </c>
      <c r="E46" s="515">
        <v>110.6</v>
      </c>
      <c r="F46" s="515">
        <v>119</v>
      </c>
      <c r="G46" s="516">
        <v>0</v>
      </c>
      <c r="H46" s="534"/>
      <c r="I46" s="514" t="s">
        <v>227</v>
      </c>
      <c r="J46" s="515">
        <v>125</v>
      </c>
      <c r="K46" s="516">
        <v>149</v>
      </c>
      <c r="M46" s="514">
        <v>110.6</v>
      </c>
      <c r="N46" s="515">
        <v>72.400000000000006</v>
      </c>
      <c r="O46" s="516">
        <v>90.5</v>
      </c>
      <c r="Q46" s="157">
        <f>MIN(J45:J74)</f>
        <v>125</v>
      </c>
      <c r="R46" s="188" t="s">
        <v>620</v>
      </c>
      <c r="T46" s="157" t="s">
        <v>622</v>
      </c>
      <c r="U46" s="188">
        <f>MIN(E45:E74)</f>
        <v>110.6</v>
      </c>
      <c r="W46" s="157" t="s">
        <v>624</v>
      </c>
      <c r="X46" s="188">
        <f>MIN(F45:F74)</f>
        <v>119</v>
      </c>
    </row>
    <row r="47" spans="4:24" s="30" customFormat="1" ht="20.100000000000001" customHeight="1">
      <c r="D47" s="517" t="s">
        <v>228</v>
      </c>
      <c r="E47" s="518">
        <v>110.6</v>
      </c>
      <c r="F47" s="518">
        <v>119</v>
      </c>
      <c r="G47" s="519">
        <v>0</v>
      </c>
      <c r="H47" s="534"/>
      <c r="I47" s="517" t="s">
        <v>228</v>
      </c>
      <c r="J47" s="518">
        <v>125</v>
      </c>
      <c r="K47" s="519">
        <v>149</v>
      </c>
      <c r="M47" s="517">
        <v>110.6</v>
      </c>
      <c r="N47" s="518">
        <v>72.400000000000006</v>
      </c>
      <c r="O47" s="519">
        <v>90.5</v>
      </c>
    </row>
    <row r="48" spans="4:24" s="30" customFormat="1" ht="20.100000000000001" customHeight="1">
      <c r="D48" s="514" t="s">
        <v>332</v>
      </c>
      <c r="E48" s="515">
        <v>110.6</v>
      </c>
      <c r="F48" s="515">
        <v>119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110.6</v>
      </c>
      <c r="N48" s="515">
        <v>72.400000000000006</v>
      </c>
      <c r="O48" s="516">
        <v>90.5</v>
      </c>
    </row>
    <row r="49" spans="4:15" s="30" customFormat="1" ht="20.100000000000001" customHeight="1">
      <c r="D49" s="517" t="s">
        <v>333</v>
      </c>
      <c r="E49" s="518">
        <v>110.6</v>
      </c>
      <c r="F49" s="518">
        <v>119</v>
      </c>
      <c r="G49" s="519">
        <v>0</v>
      </c>
      <c r="H49" s="534"/>
      <c r="I49" s="517" t="s">
        <v>333</v>
      </c>
      <c r="J49" s="518">
        <v>125</v>
      </c>
      <c r="K49" s="519">
        <v>149</v>
      </c>
      <c r="M49" s="517">
        <v>110.6</v>
      </c>
      <c r="N49" s="518">
        <v>72.400000000000006</v>
      </c>
      <c r="O49" s="519">
        <v>90.5</v>
      </c>
    </row>
    <row r="50" spans="4:15" s="30" customFormat="1" ht="20.100000000000001" customHeight="1">
      <c r="D50" s="514" t="s">
        <v>334</v>
      </c>
      <c r="E50" s="515">
        <v>110.6</v>
      </c>
      <c r="F50" s="515">
        <v>119</v>
      </c>
      <c r="G50" s="516">
        <v>0</v>
      </c>
      <c r="H50" s="534"/>
      <c r="I50" s="514" t="s">
        <v>334</v>
      </c>
      <c r="J50" s="515">
        <v>125</v>
      </c>
      <c r="K50" s="516">
        <v>149</v>
      </c>
      <c r="M50" s="514">
        <v>110.6</v>
      </c>
      <c r="N50" s="515">
        <v>72.400000000000006</v>
      </c>
      <c r="O50" s="516">
        <v>90.5</v>
      </c>
    </row>
    <row r="51" spans="4:15" s="30" customFormat="1" ht="20.100000000000001" customHeight="1">
      <c r="D51" s="517" t="s">
        <v>616</v>
      </c>
      <c r="E51" s="518">
        <v>110.6</v>
      </c>
      <c r="F51" s="518">
        <v>119</v>
      </c>
      <c r="G51" s="519">
        <v>0</v>
      </c>
      <c r="H51" s="534"/>
      <c r="I51" s="517" t="s">
        <v>616</v>
      </c>
      <c r="J51" s="518">
        <v>125</v>
      </c>
      <c r="K51" s="519">
        <v>149</v>
      </c>
      <c r="M51" s="517">
        <v>110.6</v>
      </c>
      <c r="N51" s="518">
        <v>72.400000000000006</v>
      </c>
      <c r="O51" s="519">
        <v>90.5</v>
      </c>
    </row>
    <row r="52" spans="4:15" s="30" customFormat="1" ht="20.100000000000001" customHeigh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</row>
    <row r="53" spans="4:15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5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5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5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5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5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5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5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5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5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5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5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616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0" customHeight="1" thickBot="1">
      <c r="D79" s="178">
        <v>250</v>
      </c>
      <c r="E79" s="179">
        <v>300</v>
      </c>
      <c r="F79" s="179">
        <v>350</v>
      </c>
      <c r="G79" s="175">
        <v>300</v>
      </c>
      <c r="H79" s="175">
        <v>150</v>
      </c>
      <c r="I79" s="175">
        <v>80</v>
      </c>
      <c r="J79" s="175">
        <v>150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616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0" customHeight="1" thickBot="1">
      <c r="D84" s="178">
        <v>150</v>
      </c>
      <c r="E84" s="179">
        <v>20</v>
      </c>
      <c r="F84" s="179">
        <v>20</v>
      </c>
      <c r="G84" s="175">
        <v>20</v>
      </c>
      <c r="H84" s="175">
        <v>80</v>
      </c>
      <c r="I84" s="175">
        <v>100</v>
      </c>
      <c r="J84" s="175">
        <v>60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616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0" customHeight="1" thickBot="1">
      <c r="D89" s="178">
        <v>15</v>
      </c>
      <c r="E89" s="179">
        <v>15</v>
      </c>
      <c r="F89" s="179">
        <v>7.5</v>
      </c>
      <c r="G89" s="175">
        <v>15</v>
      </c>
      <c r="H89" s="175">
        <v>30</v>
      </c>
      <c r="I89" s="175">
        <v>15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3.6</v>
      </c>
      <c r="F92" s="464">
        <f>MAX(D94:AG94)</f>
        <v>3.6</v>
      </c>
    </row>
    <row r="93" spans="4:33" ht="36.75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616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0" customHeight="1" thickBot="1">
      <c r="D94" s="178">
        <v>3.6</v>
      </c>
      <c r="E94" s="179">
        <v>3.6</v>
      </c>
      <c r="F94" s="179">
        <v>3.6</v>
      </c>
      <c r="G94" s="175">
        <v>3.6</v>
      </c>
      <c r="H94" s="175">
        <v>3.6</v>
      </c>
      <c r="I94" s="175">
        <v>3.6</v>
      </c>
      <c r="J94" s="175">
        <v>3.6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35.4</v>
      </c>
      <c r="F97" s="464">
        <f>MAX(D99:AG99)</f>
        <v>35.4</v>
      </c>
      <c r="G97" s="475" t="s">
        <v>619</v>
      </c>
    </row>
    <row r="98" spans="4:33" ht="36.75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616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0" customHeight="1" thickBot="1">
      <c r="D99" s="178">
        <v>35.4</v>
      </c>
      <c r="E99" s="179">
        <v>35.4</v>
      </c>
      <c r="F99" s="179">
        <v>35.4</v>
      </c>
      <c r="G99" s="175">
        <v>35.4</v>
      </c>
      <c r="H99" s="175">
        <v>35.4</v>
      </c>
      <c r="I99" s="175">
        <v>35.4</v>
      </c>
      <c r="J99" s="175">
        <v>35.4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613</v>
      </c>
    </row>
    <row r="103" spans="4:33" ht="36.75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616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0" customHeight="1" thickBot="1">
      <c r="D104" s="178">
        <v>50</v>
      </c>
      <c r="E104" s="179">
        <v>80</v>
      </c>
      <c r="F104" s="179">
        <v>80</v>
      </c>
      <c r="G104" s="175">
        <v>80</v>
      </c>
      <c r="H104" s="175">
        <v>80</v>
      </c>
      <c r="I104" s="175">
        <v>50</v>
      </c>
      <c r="J104" s="175">
        <v>50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614</v>
      </c>
    </row>
    <row r="108" spans="4:33" ht="36.75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616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0" customHeight="1" thickBot="1">
      <c r="D109" s="178">
        <v>120</v>
      </c>
      <c r="E109" s="179">
        <v>15</v>
      </c>
      <c r="F109" s="179">
        <v>15</v>
      </c>
      <c r="G109" s="175">
        <v>16</v>
      </c>
      <c r="H109" s="175">
        <v>80</v>
      </c>
      <c r="I109" s="175">
        <v>65</v>
      </c>
      <c r="J109" s="175">
        <v>50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F11" sqref="F11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710</v>
      </c>
      <c r="F1" s="32"/>
      <c r="J1" s="60"/>
    </row>
    <row r="2" spans="1:18" s="67" customFormat="1" ht="23.1" customHeight="1">
      <c r="A2" s="730" t="s">
        <v>0</v>
      </c>
      <c r="B2" s="720" t="s">
        <v>39</v>
      </c>
      <c r="C2" s="720" t="s">
        <v>6</v>
      </c>
      <c r="D2" s="720" t="s">
        <v>38</v>
      </c>
      <c r="E2" s="720" t="s">
        <v>201</v>
      </c>
      <c r="F2" s="720" t="s">
        <v>200</v>
      </c>
      <c r="G2" s="724" t="s">
        <v>1</v>
      </c>
      <c r="H2" s="724" t="s">
        <v>2</v>
      </c>
      <c r="I2" s="724" t="s">
        <v>169</v>
      </c>
      <c r="J2" s="728" t="s">
        <v>254</v>
      </c>
      <c r="K2" s="724" t="s">
        <v>253</v>
      </c>
      <c r="L2" s="724" t="s">
        <v>3</v>
      </c>
      <c r="M2" s="724" t="s">
        <v>4</v>
      </c>
      <c r="N2" s="724" t="s">
        <v>5</v>
      </c>
      <c r="O2" s="724" t="s">
        <v>252</v>
      </c>
      <c r="P2" s="726" t="s">
        <v>251</v>
      </c>
      <c r="Q2" s="720" t="s">
        <v>156</v>
      </c>
      <c r="R2" s="722" t="s">
        <v>91</v>
      </c>
    </row>
    <row r="3" spans="1:18" s="67" customFormat="1" ht="27" customHeight="1">
      <c r="A3" s="731"/>
      <c r="B3" s="721"/>
      <c r="C3" s="721"/>
      <c r="D3" s="721"/>
      <c r="E3" s="721"/>
      <c r="F3" s="721"/>
      <c r="G3" s="725"/>
      <c r="H3" s="725"/>
      <c r="I3" s="725"/>
      <c r="J3" s="729"/>
      <c r="K3" s="725"/>
      <c r="L3" s="725"/>
      <c r="M3" s="725"/>
      <c r="N3" s="725"/>
      <c r="O3" s="725"/>
      <c r="P3" s="727"/>
      <c r="Q3" s="721"/>
      <c r="R3" s="723"/>
    </row>
    <row r="4" spans="1:18" ht="23.1" customHeight="1">
      <c r="A4" s="677" t="s">
        <v>336</v>
      </c>
      <c r="B4" s="678" t="s">
        <v>351</v>
      </c>
      <c r="C4" s="679"/>
      <c r="D4" s="680" t="s">
        <v>706</v>
      </c>
      <c r="E4" s="680" t="str">
        <f>Recharge!$I$24</f>
        <v>삽교천/삽교천</v>
      </c>
      <c r="F4" s="680" t="str">
        <f>All!$B$2</f>
        <v>천안기상청</v>
      </c>
      <c r="G4" s="680">
        <v>200</v>
      </c>
      <c r="H4" s="680">
        <v>150</v>
      </c>
      <c r="I4" s="680">
        <v>250</v>
      </c>
      <c r="J4" s="680">
        <v>250</v>
      </c>
      <c r="K4" s="680">
        <v>300</v>
      </c>
      <c r="L4" s="680">
        <v>15</v>
      </c>
      <c r="M4" s="680">
        <v>120</v>
      </c>
      <c r="N4" s="681">
        <v>50</v>
      </c>
      <c r="O4" s="682">
        <f>ROUND(water!$F$7, 1)</f>
        <v>423.8</v>
      </c>
      <c r="P4" s="683">
        <v>6919125.9708000002</v>
      </c>
      <c r="Q4" s="680"/>
      <c r="R4" s="684"/>
    </row>
    <row r="5" spans="1:18" ht="23.1" customHeight="1">
      <c r="A5" s="677" t="s">
        <v>702</v>
      </c>
      <c r="B5" s="678" t="s">
        <v>351</v>
      </c>
      <c r="C5" s="679"/>
      <c r="D5" s="680" t="s">
        <v>707</v>
      </c>
      <c r="E5" s="680" t="str">
        <f>Recharge!$I$24</f>
        <v>삽교천/삽교천</v>
      </c>
      <c r="F5" s="680" t="str">
        <f>All!$B$2</f>
        <v>천안기상청</v>
      </c>
      <c r="G5" s="680">
        <v>1700</v>
      </c>
      <c r="H5" s="680">
        <v>20</v>
      </c>
      <c r="I5" s="680">
        <v>300</v>
      </c>
      <c r="J5" s="680">
        <v>300</v>
      </c>
      <c r="K5" s="680">
        <v>500</v>
      </c>
      <c r="L5" s="680">
        <v>15</v>
      </c>
      <c r="M5" s="680">
        <v>15</v>
      </c>
      <c r="N5" s="681">
        <v>80</v>
      </c>
      <c r="O5" s="682">
        <f>ROUND(water!$F$7, 1)</f>
        <v>423.8</v>
      </c>
      <c r="P5" s="683">
        <v>6919125.9708000002</v>
      </c>
      <c r="Q5" s="680"/>
      <c r="R5" s="684"/>
    </row>
    <row r="6" spans="1:18" ht="23.1" customHeight="1" thickBot="1">
      <c r="A6" s="685" t="s">
        <v>703</v>
      </c>
      <c r="B6" s="686" t="s">
        <v>351</v>
      </c>
      <c r="C6" s="687"/>
      <c r="D6" s="688" t="s">
        <v>708</v>
      </c>
      <c r="E6" s="688" t="str">
        <f>Recharge!$I$24</f>
        <v>삽교천/삽교천</v>
      </c>
      <c r="F6" s="688" t="str">
        <f>All!$B$2</f>
        <v>천안기상청</v>
      </c>
      <c r="G6" s="688">
        <v>1700</v>
      </c>
      <c r="H6" s="688">
        <v>20</v>
      </c>
      <c r="I6" s="688">
        <v>350</v>
      </c>
      <c r="J6" s="688">
        <v>350</v>
      </c>
      <c r="K6" s="688">
        <v>500</v>
      </c>
      <c r="L6" s="688">
        <v>7.5</v>
      </c>
      <c r="M6" s="688">
        <v>15</v>
      </c>
      <c r="N6" s="689">
        <v>80</v>
      </c>
      <c r="O6" s="690">
        <f>ROUND(water!$F$7, 1)</f>
        <v>423.8</v>
      </c>
      <c r="P6" s="691">
        <v>6919125.9708000002</v>
      </c>
      <c r="Q6" s="688"/>
      <c r="R6" s="692"/>
    </row>
    <row r="7" spans="1:18" ht="23.25" customHeight="1" thickBot="1">
      <c r="A7" s="141"/>
      <c r="J7" s="158"/>
      <c r="P7" s="159"/>
    </row>
    <row r="8" spans="1:18" ht="23.25" customHeight="1" thickBot="1">
      <c r="I8" s="432">
        <f>SUM(I4:I7)</f>
        <v>900</v>
      </c>
    </row>
    <row r="12" spans="1:18">
      <c r="Q12" s="30" t="s">
        <v>119</v>
      </c>
    </row>
    <row r="17" spans="14:14">
      <c r="N1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B2261965-51D7-45F9-AD84-152F1D918652}">
      <formula1>INDIRECT("Tcorp[조사자]")</formula1>
    </dataValidation>
    <dataValidation type="list" allowBlank="1" showInputMessage="1" showErrorMessage="1" sqref="E4:E6" xr:uid="{1C43CA58-80ED-4863-92C6-111B6F8E9D4A}">
      <formula1>INDIRECT("Location[name]")</formula1>
    </dataValidation>
    <dataValidation type="list" allowBlank="1" showInputMessage="1" showErrorMessage="1" sqref="F4:F6" xr:uid="{86E7334F-50DD-4E9B-B5F1-0282EBF2B8DC}">
      <formula1>INDIRECT("Tarea[area]")</formula1>
    </dataValidation>
    <dataValidation type="list" allowBlank="1" showInputMessage="1" showErrorMessage="1" sqref="G4:G6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97" r:id="rId4" name="CommandButton13">
          <controlPr defaultSize="0" autoLine="0" r:id="rId5">
            <anchor moveWithCells="1">
              <from>
                <xdr:col>12</xdr:col>
                <xdr:colOff>85725</xdr:colOff>
                <xdr:row>0</xdr:row>
                <xdr:rowOff>504825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4" name="CommandButton13"/>
      </mc:Fallback>
    </mc:AlternateContent>
    <mc:AlternateContent xmlns:mc="http://schemas.openxmlformats.org/markup-compatibility/2006">
      <mc:Choice Requires="x14">
        <control shapeId="99361" r:id="rId6" name="CommandButton11">
          <controlPr defaultSize="0" autoLine="0" r:id="rId7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6" name="CommandButton11"/>
      </mc:Fallback>
    </mc:AlternateContent>
    <mc:AlternateContent xmlns:mc="http://schemas.openxmlformats.org/markup-compatibility/2006">
      <mc:Choice Requires="x14">
        <control shapeId="99342" r:id="rId8" name="CommandButton7">
          <controlPr defaultSize="0" autoLine="0" r:id="rId9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8" name="CommandButton7"/>
      </mc:Fallback>
    </mc:AlternateContent>
    <mc:AlternateContent xmlns:mc="http://schemas.openxmlformats.org/markup-compatibility/2006">
      <mc:Choice Requires="x14">
        <control shapeId="99335" r:id="rId10" name="CommandButton5">
          <controlPr defaultSize="0" autoLine="0" r:id="rId11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10" name="CommandButton5"/>
      </mc:Fallback>
    </mc:AlternateContent>
    <mc:AlternateContent xmlns:mc="http://schemas.openxmlformats.org/markup-compatibility/2006">
      <mc:Choice Requires="x14">
        <control shapeId="99334" r:id="rId12" name="SingleColor">
          <controlPr defaultSize="0" autoLine="0" r:id="rId1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2" name="SingleColor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6" r:id="rId20" name="CommandButton6">
          <controlPr defaultSize="0" autoLine="0" r:id="rId21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20" name="CommandButton6"/>
      </mc:Fallback>
    </mc:AlternateContent>
    <mc:AlternateContent xmlns:mc="http://schemas.openxmlformats.org/markup-compatibility/2006">
      <mc:Choice Requires="x14">
        <control shapeId="99346" r:id="rId22" name="CommandButton3">
          <controlPr defaultSize="0" autoLine="0" r:id="rId2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2" name="CommandButton3"/>
      </mc:Fallback>
    </mc:AlternateContent>
    <mc:AlternateContent xmlns:mc="http://schemas.openxmlformats.org/markup-compatibility/2006">
      <mc:Choice Requires="x14">
        <control shapeId="99353" r:id="rId24" name="CommandButton8">
          <controlPr defaultSize="0" autoLine="0" autoPict="0" r:id="rId25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4" name="CommandButton8"/>
      </mc:Fallback>
    </mc:AlternateContent>
    <mc:AlternateContent xmlns:mc="http://schemas.openxmlformats.org/markup-compatibility/2006">
      <mc:Choice Requires="x14">
        <control shapeId="99359" r:id="rId26" name="CommandButton9">
          <controlPr defaultSize="0" autoLine="0" r:id="rId27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6" name="CommandButton9"/>
      </mc:Fallback>
    </mc:AlternateContent>
    <mc:AlternateContent xmlns:mc="http://schemas.openxmlformats.org/markup-compatibility/2006">
      <mc:Choice Requires="x14">
        <control shapeId="99360" r:id="rId28" name="CommandButton10">
          <controlPr defaultSize="0" autoLine="0" r:id="rId29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8" name="CommandButton10"/>
      </mc:Fallback>
    </mc:AlternateContent>
    <mc:AlternateContent xmlns:mc="http://schemas.openxmlformats.org/markup-compatibility/2006">
      <mc:Choice Requires="x14">
        <control shapeId="99366" r:id="rId30" name="CommandButton12">
          <controlPr defaultSize="0" autoLine="0" r:id="rId31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30" name="CommandButton1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2" sqref="I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>전의면 유천리 261번지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3.226</v>
      </c>
      <c r="F5" s="28">
        <f>$E$5/$C$14</f>
        <v>2.33768115942029E-2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>전의면 유천리 261번지</v>
      </c>
      <c r="D6" s="7" t="s">
        <v>56</v>
      </c>
      <c r="E6" s="434">
        <v>2.6640000000000001</v>
      </c>
      <c r="F6" s="28">
        <f>$E$6/$C$14</f>
        <v>1.9304347826086959E-2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Well!H4</f>
        <v>150</v>
      </c>
      <c r="D7" s="142" t="s">
        <v>58</v>
      </c>
      <c r="E7" s="139">
        <f>ROUND((E5+E6)/2,4)</f>
        <v>2.9449999999999998</v>
      </c>
      <c r="F7" s="29">
        <f>$E$7/$C$14</f>
        <v>2.1340579710144927E-2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250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Well!M4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Well!$I$8</f>
        <v>900</v>
      </c>
      <c r="F21" s="236">
        <f>Well!O4</f>
        <v>423.8</v>
      </c>
      <c r="G21" s="136">
        <f>G19-E21-F21</f>
        <v>1049.4775778340634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1323.8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49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2.4699745034889961E-5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 xml:space="preserve">전의면 유천리 402-2번지  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 xml:space="preserve">전의면 유천리 402-2번지 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Well!H5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300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Well!L5</f>
        <v>15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Well!M5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Well!N5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Well!$I$8</f>
        <v>900</v>
      </c>
      <c r="F21" s="236">
        <f>Well!O5</f>
        <v>423.8</v>
      </c>
      <c r="G21" s="136">
        <f>G19-E21-F21</f>
        <v>1049.4775778340634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1323.8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704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4" name="CommandButton5"/>
      </mc:Fallback>
    </mc:AlternateContent>
    <mc:AlternateContent xmlns:mc="http://schemas.openxmlformats.org/markup-compatibility/2006">
      <mc:Choice Requires="x14">
        <control shapeId="3368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6" name="Frame1"/>
      </mc:Fallback>
    </mc:AlternateContent>
    <mc:AlternateContent xmlns:mc="http://schemas.openxmlformats.org/markup-compatibility/2006">
      <mc:Choice Requires="x14">
        <control shapeId="3368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8" name="CommandButton6"/>
      </mc:Fallback>
    </mc:AlternateContent>
    <mc:AlternateContent xmlns:mc="http://schemas.openxmlformats.org/markup-compatibility/2006">
      <mc:Choice Requires="x14">
        <control shapeId="33690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workbookViewId="0">
      <selection activeCell="I12" sqref="I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 xml:space="preserve">전의면 유천리 303-1번지 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 xml:space="preserve">전의면 유천리 303-1번지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Well!H6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350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Well!L6</f>
        <v>7.5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Well!M6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Well!N6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Well!$I$8</f>
        <v>900</v>
      </c>
      <c r="F21" s="236">
        <f>Well!O6</f>
        <v>423.8</v>
      </c>
      <c r="G21" s="136">
        <f>G19-E21-F21</f>
        <v>1049.4775778340634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1323.8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705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4" name="CommandButton5"/>
      </mc:Fallback>
    </mc:AlternateContent>
    <mc:AlternateContent xmlns:mc="http://schemas.openxmlformats.org/markup-compatibility/2006">
      <mc:Choice Requires="x14">
        <control shapeId="3379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6" name="Frame1"/>
      </mc:Fallback>
    </mc:AlternateContent>
    <mc:AlternateContent xmlns:mc="http://schemas.openxmlformats.org/markup-compatibility/2006">
      <mc:Choice Requires="x14">
        <control shapeId="3379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8" name="CommandButton6"/>
      </mc:Fallback>
    </mc:AlternateContent>
    <mc:AlternateContent xmlns:mc="http://schemas.openxmlformats.org/markup-compatibility/2006">
      <mc:Choice Requires="x14">
        <control shapeId="3379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H9" sqref="H9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85</v>
      </c>
      <c r="E12" s="740"/>
      <c r="F12" s="738"/>
      <c r="H12" s="737" t="s">
        <v>85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37" t="s">
        <v>84</v>
      </c>
      <c r="C12" s="738"/>
      <c r="D12" s="743" t="s">
        <v>85</v>
      </c>
      <c r="E12" s="744"/>
      <c r="F12" s="745"/>
      <c r="G12" s="743" t="s">
        <v>154</v>
      </c>
      <c r="H12" s="744"/>
      <c r="I12" s="745"/>
      <c r="J12" s="743" t="s">
        <v>155</v>
      </c>
      <c r="K12" s="744"/>
      <c r="L12" s="745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41" t="s">
        <v>36</v>
      </c>
      <c r="C24" s="742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41" t="s">
        <v>37</v>
      </c>
      <c r="C25" s="742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37" t="s">
        <v>85</v>
      </c>
      <c r="E29" s="740"/>
      <c r="F29" s="738"/>
      <c r="H29" s="737" t="s">
        <v>154</v>
      </c>
      <c r="I29" s="740"/>
      <c r="J29" s="738"/>
      <c r="L29" s="737" t="s">
        <v>155</v>
      </c>
      <c r="M29" s="740"/>
      <c r="N29" s="738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34</vt:i4>
      </vt:variant>
    </vt:vector>
  </HeadingPairs>
  <TitlesOfParts>
    <vt:vector size="5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2024-06-04T23:51:08Z</dcterms:modified>
</cp:coreProperties>
</file>