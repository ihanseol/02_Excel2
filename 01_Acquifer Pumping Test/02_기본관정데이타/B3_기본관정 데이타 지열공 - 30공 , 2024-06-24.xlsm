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18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08D8A1B-AB77-4D0F-B355-59702705698E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192"/>
  <c r="E17" i="192"/>
  <c r="E19" i="192" s="1"/>
  <c r="C19" i="192"/>
  <c r="C18" i="192"/>
  <c r="C17" i="192"/>
  <c r="C16" i="192"/>
  <c r="C15" i="192"/>
  <c r="C8" i="192"/>
  <c r="C7" i="192"/>
  <c r="C14" i="192" s="1"/>
  <c r="F6" i="192" s="1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2"/>
  <c r="I31" i="192"/>
  <c r="H31" i="192"/>
  <c r="G31" i="192"/>
  <c r="F31" i="192"/>
  <c r="E31" i="192"/>
  <c r="D31" i="192"/>
  <c r="K31" i="192" s="1"/>
  <c r="J30" i="192"/>
  <c r="K30" i="192" s="1"/>
  <c r="I30" i="192"/>
  <c r="H30" i="192"/>
  <c r="G30" i="192"/>
  <c r="F30" i="192"/>
  <c r="E30" i="192"/>
  <c r="D30" i="192"/>
  <c r="D26" i="192"/>
  <c r="C22" i="192"/>
  <c r="K17" i="192"/>
  <c r="K18" i="192" s="1"/>
  <c r="L18" i="192" s="1"/>
  <c r="H26" i="192" s="1"/>
  <c r="K16" i="192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5" i="52"/>
  <c r="E5" i="52"/>
  <c r="E13" i="55"/>
  <c r="Q46" i="175"/>
  <c r="Q45" i="175"/>
  <c r="F7" i="192" l="1"/>
  <c r="C12" i="192"/>
  <c r="A13" i="192" s="1"/>
  <c r="A12" i="192" s="1"/>
  <c r="F5" i="192"/>
  <c r="J26" i="192"/>
  <c r="O4" i="52"/>
  <c r="F4" i="52"/>
  <c r="E4" i="5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<sst xmlns="http://schemas.openxmlformats.org/spreadsheetml/2006/main" count="1222" uniqueCount="746">
  <si>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</si>
  <si>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</si>
  <si>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</si>
  <si>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</si>
  <si>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</si>
  <si>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</si>
  <si>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</si>
  <si>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</si>
  <si>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</si>
  <si>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</si>
  <si>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</si>
  <si>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</si>
  <si>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</si>
  <si>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</si>
  <si>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</si>
  <si>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</si>
  <si>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</si>
  <si>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</si>
  <si>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</si>
  <si>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</si>
  <si>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</si>
  <si>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</si>
  <si>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</si>
  <si>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</si>
  <si>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</si>
  <si>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</si>
  <si>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</si>
  <si>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</si>
  <si>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</si>
  <si>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</si>
  <si>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</si>
  <si>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</si>
  <si>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</si>
  <si>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</si>
  <si>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</si>
  <si>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</si>
  <si>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</si>
  <si>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</si>
  <si>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</si>
  <si>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</si>
  <si>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</si>
  <si>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</si>
  <si>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</si>
  <si>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</si>
  <si>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</si>
  <si>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</si>
  <si>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</si>
  <si>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</si>
  <si>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</si>
  <si>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</si>
  <si>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</si>
  <si>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</si>
  <si>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</si>
  <si>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</si>
  <si>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</si>
  <si>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</si>
  <si>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</si>
  <si>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</si>
  <si>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</si>
  <si>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</si>
  <si>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</si>
  <si>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</si>
  <si>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</si>
  <si>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</si>
  <si>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</si>
  <si>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</si>
  <si>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</si>
  <si>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</si>
  <si>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</si>
  <si>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</si>
  <si>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</si>
  <si>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</si>
  <si>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</si>
  <si>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</si>
  <si>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</si>
  <si>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</si>
  <si>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</si>
  <si>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</si>
  <si>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</si>
  <si>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</si>
  <si>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</si>
  <si>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</si>
  <si>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</si>
  <si>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</si>
  <si>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</si>
  <si>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</si>
  <si>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</si>
  <si>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</si>
  <si>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</si>
  <si>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</si>
  <si>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</si>
  <si>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</si>
  <si>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</si>
  <si>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</si>
  <si>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</si>
  <si>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</si>
  <si>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</si>
  <si>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</si>
  <si>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</si>
  <si>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</si>
  <si>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</si>
  <si>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</si>
  <si>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</si>
  <si>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</si>
  <si>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</si>
  <si>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</si>
  <si>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</si>
  <si>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</si>
  <si>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</si>
  <si>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</si>
  <si>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</si>
  <si>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</si>
  <si>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</si>
  <si>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</si>
  <si>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</si>
  <si>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</si>
  <si>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</si>
  <si>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</si>
  <si>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</si>
  <si>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</si>
  <si>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</si>
  <si>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</si>
  <si>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</si>
  <si>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</si>
  <si>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</si>
  <si>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</si>
  <si>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</si>
  <si>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</si>
  <si>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</si>
  <si>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</si>
  <si>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</si>
  <si>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</si>
  <si>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</si>
  <si>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</si>
  <si>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</si>
  <si>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</si>
  <si>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</si>
  <si>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</si>
  <si>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</si>
  <si>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</si>
  <si>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</si>
  <si>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</si>
  <si>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</si>
  <si>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</si>
  <si>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</si>
  <si>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</si>
  <si>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</si>
  <si>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</si>
  <si>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</si>
  <si>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</si>
  <si>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</si>
  <si>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</si>
  <si>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</si>
  <si>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</si>
  <si>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</si>
  <si>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</si>
  <si>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</si>
  <si>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</si>
  <si>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</si>
  <si>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</si>
  <si>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</si>
  <si>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</si>
  <si>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</si>
  <si>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</si>
  <si>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</si>
  <si>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</si>
  <si>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</si>
  <si>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</si>
  <si>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</si>
  <si>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</si>
  <si>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</si>
  <si>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</si>
  <si>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</si>
  <si>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</si>
  <si>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</si>
  <si>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</si>
  <si>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</si>
  <si>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</si>
  <si>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</si>
  <si>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</si>
  <si>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</si>
  <si>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</si>
  <si>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</si>
  <si>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</si>
  <si>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</si>
  <si>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</si>
  <si>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</si>
  <si>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</si>
  <si>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</si>
  <si>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</si>
  <si>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</si>
  <si>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</si>
  <si>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</si>
  <si>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</si>
  <si>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</si>
  <si>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</si>
  <si>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</si>
  <si>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</si>
  <si>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</si>
  <si>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</si>
  <si>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</si>
  <si>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</si>
  <si>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</si>
  <si>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</si>
  <si>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</si>
  <si>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</si>
  <si>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</si>
  <si>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</si>
  <si>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</si>
  <si>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</si>
  <si>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</si>
  <si>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</si>
  <si>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</si>
  <si>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</si>
  <si>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</si>
  <si>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</si>
  <si>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</si>
  <si>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</si>
  <si>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</si>
  <si>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</si>
  <si>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</si>
  <si>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</si>
  <si>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</si>
  <si>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</si>
  <si>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</si>
  <si>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</si>
  <si>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</si>
  <si>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</si>
  <si>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</si>
  <si>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</si>
  <si>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</si>
  <si>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</si>
  <si>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</si>
  <si>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</si>
  <si>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</si>
  <si>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</si>
  <si>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</si>
  <si>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</si>
  <si>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</si>
  <si>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</si>
  <si>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</si>
  <si>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</si>
  <si>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</si>
  <si>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</si>
  <si>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</si>
  <si>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</si>
  <si>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</si>
  <si>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</si>
  <si>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</si>
  <si>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</si>
  <si>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</si>
  <si>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</si>
  <si>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</si>
  <si>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</si>
  <si>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</si>
  <si>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</si>
  <si>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</si>
  <si>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</si>
  <si>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</si>
  <si>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</si>
  <si>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</si>
  <si>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</si>
  <si>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</si>
  <si>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</si>
  <si>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</si>
  <si>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</si>
  <si>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</si>
  <si>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</si>
  <si>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</si>
  <si>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</si>
  <si>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</si>
  <si>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</si>
  <si>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</si>
  <si>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</si>
  <si>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</si>
  <si>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</si>
  <si>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</si>
  <si>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</si>
  <si>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</si>
  <si>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</si>
  <si>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</si>
  <si>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</si>
  <si>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</si>
  <si>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</si>
  <si>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</si>
  <si>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</si>
  <si>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</si>
  <si>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</si>
  <si>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</si>
  <si>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</si>
  <si>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</si>
  <si>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</si>
  <si>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</si>
  <si>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</si>
  <si>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</si>
  <si>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</si>
  <si>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</si>
  <si>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</si>
  <si>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</si>
  <si>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</si>
  <si>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</si>
  <si>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</si>
  <si>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</si>
  <si>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</si>
  <si>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</si>
  <si>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</si>
  <si>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</si>
  <si>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</si>
  <si>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</si>
  <si>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</si>
  <si>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</si>
  <si>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</si>
  <si>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</si>
  <si>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</si>
  <si>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</si>
  <si>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</si>
  <si>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</si>
  <si>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</si>
  <si>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</si>
  <si>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</si>
  <si>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</si>
  <si>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</si>
  <si>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</si>
  <si>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</si>
  <si>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</si>
  <si>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</si>
  <si>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</si>
  <si>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</si>
  <si>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</si>
  <si>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</si>
  <si>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</si>
  <si>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</si>
  <si>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</si>
  <si>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</si>
  <si>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</si>
  <si>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</si>
  <si>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</si>
  <si>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</si>
  <si>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</si>
  <si>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</si>
  <si>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</si>
  <si>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</si>
  <si>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</si>
  <si>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</si>
  <si>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</si>
  <si>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</si>
  <si>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</si>
  <si>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</si>
  <si>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</si>
  <si>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</si>
  <si>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</si>
  <si>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</si>
  <si>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</si>
  <si>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</si>
  <si>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</si>
  <si>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</si>
  <si>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</si>
  <si>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</si>
  <si>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</si>
  <si>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</si>
  <si>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</si>
  <si>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</si>
  <si>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</si>
  <si>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</si>
  <si>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</si>
  <si>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</si>
  <si>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</si>
  <si>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</si>
  <si>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</si>
  <si>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</si>
  <si>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</si>
  <si>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</si>
  <si>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</si>
  <si>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</si>
  <si>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</si>
  <si>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</si>
  <si>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</si>
  <si>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</si>
  <si>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</si>
  <si>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</si>
  <si>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</si>
  <si>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</si>
  <si>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</si>
  <si>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</si>
  <si>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</si>
  <si>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</si>
  <si>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</si>
  <si>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</si>
  <si>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</si>
  <si>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</si>
  <si>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</si>
  <si>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</si>
  <si>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</si>
  <si>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</si>
  <si>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</si>
  <si>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</si>
  <si>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</si>
  <si>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</si>
  <si>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</si>
  <si>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</si>
  <si>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</si>
  <si>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</si>
  <si>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</si>
  <si>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</si>
  <si>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</si>
  <si>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</si>
  <si>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</si>
  <si>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</si>
  <si>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</si>
  <si>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</si>
  <si>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</si>
  <si>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</si>
  <si>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</si>
  <si>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</si>
  <si>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</si>
  <si>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</si>
  <si>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</si>
  <si>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</si>
  <si>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</si>
  <si>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</si>
  <si>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</si>
  <si>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</si>
  <si>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</si>
  <si>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</si>
  <si>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</si>
  <si>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</si>
  <si>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</si>
  <si>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</si>
  <si>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</si>
  <si>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</si>
  <si>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</si>
  <si>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</si>
  <si>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</si>
  <si>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</si>
  <si>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</si>
  <si>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</si>
  <si>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</si>
  <si>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</si>
  <si>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</si>
  <si>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</si>
  <si>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</si>
  <si>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</si>
  <si>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</si>
  <si>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</si>
  <si>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</si>
  <si>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</si>
  <si>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</si>
  <si>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</si>
  <si>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</si>
  <si>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</si>
  <si>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</si>
  <si>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</si>
  <si>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</si>
  <si>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</si>
  <si>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</si>
  <si>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</si>
  <si>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</si>
  <si>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</si>
  <si>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</si>
  <si>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</si>
  <si>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</si>
  <si>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</si>
  <si>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</si>
  <si>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</si>
  <si>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</si>
  <si>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</si>
  <si>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</si>
  <si>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</si>
  <si>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</si>
  <si>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</si>
  <si>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</si>
  <si>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</si>
  <si>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</si>
  <si>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</si>
  <si>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</si>
  <si>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</si>
  <si>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</si>
  <si>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</si>
  <si>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</si>
  <si>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</si>
  <si>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</si>
  <si>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</si>
  <si>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</si>
  <si>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</si>
  <si>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</si>
  <si>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</si>
  <si>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</si>
  <si>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</si>
  <si>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</si>
  <si>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</si>
  <si>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</si>
  <si>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</si>
  <si>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</si>
  <si>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</si>
  <si>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</si>
  <si>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</si>
  <si>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</si>
  <si>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</si>
  <si>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</si>
  <si>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</si>
  <si>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</si>
  <si>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</si>
  <si>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</si>
  <si>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</si>
  <si>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</si>
  <si>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</si>
  <si>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</si>
  <si>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</si>
  <si>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</si>
  <si>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</si>
  <si>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</si>
  <si>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</si>
  <si>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</si>
  <si>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</si>
  <si>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</si>
  <si>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</si>
  <si>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</si>
  <si>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</si>
  <si>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</si>
  <si>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</si>
  <si>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</si>
  <si>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</si>
  <si>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</si>
  <si>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</si>
  <si>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</si>
  <si>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</si>
  <si>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</si>
  <si>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</si>
  <si>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</si>
  <si>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</si>
  <si>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</si>
  <si>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</si>
  <si>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</si>
  <si>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</si>
  <si>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</si>
  <si>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</si>
  <si>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</si>
  <si>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</si>
  <si>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</si>
  <si>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</si>
  <si>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</si>
  <si>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</si>
  <si>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</si>
  <si>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</si>
  <si>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</si>
  <si>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</si>
  <si>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</si>
  <si>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</si>
  <si>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</si>
  <si>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</si>
  <si>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</si>
  <si>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</si>
  <si>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</si>
  <si>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</si>
  <si>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</si>
  <si>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</si>
  <si>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</si>
  <si>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</si>
  <si>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</si>
  <si>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</si>
  <si>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</si>
  <si>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</si>
  <si>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</si>
  <si>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</si>
  <si>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</si>
  <si>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</si>
  <si>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</si>
  <si>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</si>
  <si>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</si>
  <si>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</si>
  <si>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</si>
  <si>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</si>
  <si>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</si>
  <si>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</si>
  <si>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</si>
  <si>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</si>
  <si>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</si>
  <si>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</si>
  <si>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</si>
  <si>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</si>
  <si>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</si>
  <si>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</si>
  <si>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</si>
  <si>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</si>
  <si>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</si>
  <si>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</si>
  <si>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</si>
  <si>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</si>
  <si>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</si>
  <si>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</si>
  <si>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</si>
  <si>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</si>
  <si>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</si>
  <si>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</si>
  <si>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</si>
  <si>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</si>
  <si>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</si>
  <si>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</si>
  <si>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</si>
  <si>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</si>
  <si>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</si>
  <si>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</si>
  <si>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</si>
  <si>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</si>
  <si>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</si>
  <si>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</si>
  <si>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</si>
  <si>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</si>
  <si>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</si>
  <si>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</si>
  <si>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</si>
  <si>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</si>
  <si>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</si>
  <si>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</si>
  <si>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</si>
  <si>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</si>
  <si>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</si>
  <si>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</si>
  <si>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</si>
  <si>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</si>
  <si>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</si>
  <si>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</si>
  <si>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</si>
  <si>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</si>
  <si>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</si>
  <si>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</si>
  <si>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</si>
  <si>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</si>
  <si>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</si>
  <si>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</si>
  <si>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</si>
  <si>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</si>
  <si>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</si>
  <si>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</si>
  <si>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</si>
  <si>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</si>
  <si>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</si>
  <si>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</si>
  <si>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</si>
  <si>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</si>
  <si>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</si>
  <si>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</si>
  <si>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</si>
  <si>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</si>
  <si>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</si>
  <si>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</si>
  <si>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</si>
  <si>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</si>
  <si>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</si>
  <si>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</si>
  <si>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</si>
  <si>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</si>
  <si>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</si>
  <si>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</si>
  <si>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</si>
  <si>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</si>
  <si>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</si>
  <si>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</si>
  <si>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</si>
  <si>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</si>
  <si>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</si>
  <si>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</si>
  <si>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</si>
  <si>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</si>
  <si>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</si>
  <si>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</si>
  <si>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</si>
  <si>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</si>
  <si>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</si>
  <si>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</si>
  <si>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</si>
  <si>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</si>
  <si>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</si>
  <si>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</si>
  <si>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</si>
  <si>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</si>
  <si>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</si>
  <si>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</si>
  <si>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</si>
  <si>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</si>
  <si>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</si>
  <si>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</si>
  <si>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</si>
  <si>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</si>
  <si>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</si>
  <si>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 xml:space="preserve"> 전의면 유천리 227번지 </t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</si>
  <si>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</si>
  <si>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</si>
  <si>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</si>
  <si>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</si>
  <si>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</si>
  <si>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</si>
  <si>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</si>
  <si>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</si>
  <si>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</si>
  <si>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</si>
  <si>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</si>
  <si>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</si>
  <si>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</si>
  <si>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</si>
  <si>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</si>
  <si>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</si>
  <si>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</si>
  <si>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</si>
  <si>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</si>
  <si>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</si>
  <si>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</si>
  <si>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</si>
  <si>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</si>
  <si>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</si>
  <si>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</si>
  <si>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</si>
  <si>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</si>
  <si>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</si>
  <si>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</si>
  <si>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</si>
  <si>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</si>
  <si>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</si>
  <si>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</si>
  <si>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</si>
  <si>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</si>
  <si>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</si>
  <si>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</si>
  <si>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W1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</si>
  <si>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</si>
  <si>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</si>
  <si>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</si>
  <si>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W2</t>
    <phoneticPr fontId="7" type="noConversion"/>
  </si>
  <si>
    <t>W-2</t>
    <phoneticPr fontId="14" type="noConversion"/>
  </si>
  <si>
    <t>충청도</t>
  </si>
  <si>
    <t>보령</t>
  </si>
  <si>
    <t>금강서해/금강서해</t>
  </si>
  <si>
    <t>394.2 m</t>
  </si>
  <si>
    <t>580 m</t>
  </si>
  <si>
    <t>0 m</t>
  </si>
  <si>
    <t>212.3 m</t>
  </si>
  <si>
    <t>309.5 m</t>
  </si>
  <si>
    <t>80 ㎥/일</t>
  </si>
  <si>
    <t>100 m</t>
  </si>
  <si>
    <t>15 Hp</t>
  </si>
  <si>
    <t>3.6 m</t>
  </si>
  <si>
    <t>10.5 m</t>
  </si>
  <si>
    <t>50 mm</t>
  </si>
  <si>
    <t>65 m</t>
  </si>
  <si>
    <t>12 m</t>
  </si>
  <si>
    <t>200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</si>
</sst>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5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10" fontId="42" fillId="23" borderId="22" xfId="16" applyNumberFormat="1" applyFont="1" applyFill="1" applyBorder="1" applyAlignment="1">
      <alignment horizontal="center" vertical="center"/>
    </xf>
    <xf numFmtId="10" fontId="42" fillId="23" borderId="23" xfId="16" applyNumberFormat="1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67" fillId="23" borderId="24" xfId="23" applyFont="1" applyFill="1" applyBorder="1" applyAlignment="1">
      <alignment horizontal="center" vertical="center"/>
    </xf>
    <xf numFmtId="0" fontId="36" fillId="23" borderId="26" xfId="23" applyFont="1" applyFill="1" applyBorder="1" applyAlignment="1">
      <alignment horizontal="center" vertical="center"/>
    </xf>
    <xf numFmtId="0" fontId="36" fillId="23" borderId="26" xfId="20" applyNumberFormat="1" applyFont="1" applyFill="1" applyBorder="1" applyAlignment="1">
      <alignment horizontal="center" vertical="center"/>
    </xf>
    <xf numFmtId="0" fontId="67" fillId="23" borderId="27" xfId="23" applyFont="1" applyFill="1" applyBorder="1" applyAlignment="1">
      <alignment horizontal="center" vertical="center"/>
    </xf>
    <xf numFmtId="0" fontId="67" fillId="23" borderId="36" xfId="23" applyFont="1" applyFill="1" applyBorder="1" applyAlignment="1">
      <alignment horizontal="center" vertical="center"/>
    </xf>
    <xf numFmtId="0" fontId="67" fillId="23" borderId="35" xfId="23" applyFont="1" applyFill="1" applyBorder="1" applyAlignment="1">
      <alignment horizontal="center" vertical="center"/>
    </xf>
    <xf numFmtId="0" fontId="67" fillId="23" borderId="18" xfId="23" applyFont="1" applyFill="1" applyBorder="1" applyAlignment="1">
      <alignment horizontal="center" vertical="center"/>
    </xf>
    <xf numFmtId="10" fontId="42" fillId="23" borderId="9" xfId="16" applyNumberFormat="1" applyFont="1" applyFill="1" applyBorder="1" applyAlignment="1">
      <alignment horizontal="center" vertical="center"/>
    </xf>
    <xf numFmtId="10" fontId="42" fillId="23" borderId="10" xfId="16" applyNumberFormat="1" applyFont="1" applyFill="1" applyBorder="1" applyAlignment="1">
      <alignment horizontal="center"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0" xfId="0" applyFont="1" applyBorder="1" applyAlignment="1">
      <alignment horizontal="center" vertical="center"/>
    </xf>
    <xf numFmtId="0" fontId="29" fillId="0" borderId="81" xfId="0" applyFont="1" applyBorder="1" applyAlignment="1">
      <alignment horizontal="center" vertical="center"/>
    </xf>
    <xf numFmtId="17" fontId="34" fillId="0" borderId="81" xfId="0" applyNumberFormat="1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4" fillId="0" borderId="81" xfId="20" applyFont="1" applyBorder="1">
      <alignment vertical="center"/>
    </xf>
    <xf numFmtId="0" fontId="34" fillId="0" borderId="82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29" fillId="0" borderId="84" xfId="0" applyFont="1" applyBorder="1" applyAlignment="1">
      <alignment horizontal="center" vertical="center"/>
    </xf>
    <xf numFmtId="17" fontId="34" fillId="0" borderId="84" xfId="0" applyNumberFormat="1" applyFont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4" fillId="0" borderId="84" xfId="20" applyFont="1" applyBorder="1">
      <alignment vertical="center"/>
    </xf>
    <xf numFmtId="0" fontId="34" fillId="0" borderId="85" xfId="0" applyFont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23" borderId="21" xfId="16" applyFont="1" applyFill="1" applyBorder="1" applyAlignment="1">
      <alignment horizontal="center" vertical="center"/>
    </xf>
    <xf numFmtId="0" fontId="41" fillId="23" borderId="22" xfId="16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76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75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75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75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 wrapText="1"/>
    </xf>
    <xf numFmtId="0" fontId="29" fillId="3" borderId="81" xfId="0" applyFont="1" applyFill="1" applyBorder="1" applyAlignment="1">
      <alignment horizontal="center" vertical="center" wrapText="1"/>
    </xf>
    <xf numFmtId="41" fontId="29" fillId="3" borderId="78" xfId="20" applyFont="1" applyFill="1" applyBorder="1" applyAlignment="1">
      <alignment horizontal="center" vertical="center" wrapText="1"/>
    </xf>
    <xf numFmtId="41" fontId="29" fillId="3" borderId="81" xfId="20" applyFont="1" applyFill="1" applyBorder="1" applyAlignment="1">
      <alignment horizontal="center" vertical="center" wrapText="1"/>
    </xf>
    <xf numFmtId="0" fontId="43" fillId="3" borderId="78" xfId="21" applyFont="1" applyFill="1" applyBorder="1" applyAlignment="1">
      <alignment horizontal="center" vertical="center" wrapText="1"/>
    </xf>
    <xf numFmtId="0" fontId="43" fillId="3" borderId="81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  <xf numFmtId="0" fontId="56" fillId="0" borderId="0" xfId="0" applyNumberFormat="1" applyFont="1"/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2002</c:v>
                </c:pt>
                <c:pt idx="2">
                  <c:v>918.6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1078.7</c:v>
                </c:pt>
                <c:pt idx="8">
                  <c:v>3572.2</c:v>
                </c:pt>
                <c:pt idx="9">
                  <c:v>1264.7</c:v>
                </c:pt>
                <c:pt idx="10">
                  <c:v>1061.2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1304.4000000000001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2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2.emf"/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34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image" Target="../media/image36.emf"/><Relationship Id="rId3" Type="http://schemas.openxmlformats.org/officeDocument/2006/relationships/image" Target="../media/image44.emf"/><Relationship Id="rId7" Type="http://schemas.openxmlformats.org/officeDocument/2006/relationships/image" Target="../media/image47.emf"/><Relationship Id="rId12" Type="http://schemas.openxmlformats.org/officeDocument/2006/relationships/image" Target="../media/image48.emf"/><Relationship Id="rId2" Type="http://schemas.openxmlformats.org/officeDocument/2006/relationships/image" Target="../media/image43.emf"/><Relationship Id="rId16" Type="http://schemas.openxmlformats.org/officeDocument/2006/relationships/image" Target="../media/image50.emf"/><Relationship Id="rId1" Type="http://schemas.openxmlformats.org/officeDocument/2006/relationships/image" Target="../media/image42.emf"/><Relationship Id="rId6" Type="http://schemas.openxmlformats.org/officeDocument/2006/relationships/image" Target="../media/image41.emf"/><Relationship Id="rId11" Type="http://schemas.openxmlformats.org/officeDocument/2006/relationships/image" Target="../media/image37.emf"/><Relationship Id="rId5" Type="http://schemas.openxmlformats.org/officeDocument/2006/relationships/image" Target="../media/image46.emf"/><Relationship Id="rId15" Type="http://schemas.openxmlformats.org/officeDocument/2006/relationships/image" Target="../media/image35.emf"/><Relationship Id="rId10" Type="http://schemas.openxmlformats.org/officeDocument/2006/relationships/image" Target="../media/image38.emf"/><Relationship Id="rId4" Type="http://schemas.openxmlformats.org/officeDocument/2006/relationships/image" Target="../media/image45.emf"/><Relationship Id="rId9" Type="http://schemas.openxmlformats.org/officeDocument/2006/relationships/image" Target="../media/image39.emf"/><Relationship Id="rId14" Type="http://schemas.openxmlformats.org/officeDocument/2006/relationships/image" Target="../media/image4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3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5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0</xdr:row>
          <xdr:rowOff>1019175</xdr:rowOff>
        </xdr:from>
        <xdr:to>
          <xdr:col>17</xdr:col>
          <xdr:colOff>676275</xdr:colOff>
          <xdr:row>0</xdr:row>
          <xdr:rowOff>1314450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57150</xdr:rowOff>
        </xdr:from>
        <xdr:to>
          <xdr:col>1</xdr:col>
          <xdr:colOff>295275</xdr:colOff>
          <xdr:row>0</xdr:row>
          <xdr:rowOff>352425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Relationship Id="rId9" Type="http://schemas.openxmlformats.org/officeDocument/2006/relationships/image" Target="../media/image22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0.emf"/><Relationship Id="rId5" Type="http://schemas.openxmlformats.org/officeDocument/2006/relationships/control" Target="../activeX/activeX31.xml"/><Relationship Id="rId4" Type="http://schemas.openxmlformats.org/officeDocument/2006/relationships/image" Target="../media/image29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1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3.emf"/><Relationship Id="rId34" Type="http://schemas.openxmlformats.org/officeDocument/2006/relationships/control" Target="../activeX/activeX50.x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33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7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2.emf"/><Relationship Id="rId31" Type="http://schemas.openxmlformats.org/officeDocument/2006/relationships/image" Target="../media/image48.emf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6.emf"/><Relationship Id="rId30" Type="http://schemas.openxmlformats.org/officeDocument/2006/relationships/control" Target="../activeX/activeX48.xml"/><Relationship Id="rId35" Type="http://schemas.openxmlformats.org/officeDocument/2006/relationships/image" Target="../media/image50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7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3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0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1.emf"/><Relationship Id="rId5" Type="http://schemas.openxmlformats.org/officeDocument/2006/relationships/image" Target="../media/image62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367</v>
      </c>
      <c r="B1" s="189" t="s">
        <v>196</v>
      </c>
      <c r="C1" s="189" t="s">
        <v>499</v>
      </c>
      <c r="D1" s="189" t="s">
        <v>498</v>
      </c>
      <c r="F1" s="189" t="s">
        <v>367</v>
      </c>
      <c r="G1" s="189" t="s">
        <v>196</v>
      </c>
      <c r="H1" s="189" t="s">
        <v>499</v>
      </c>
      <c r="I1" s="189" t="s">
        <v>498</v>
      </c>
      <c r="K1" s="189" t="s">
        <v>367</v>
      </c>
      <c r="L1" s="189" t="s">
        <v>196</v>
      </c>
      <c r="M1" s="189" t="s">
        <v>499</v>
      </c>
      <c r="N1" s="189" t="s">
        <v>498</v>
      </c>
      <c r="P1" s="189" t="s">
        <v>367</v>
      </c>
      <c r="Q1" s="189" t="s">
        <v>499</v>
      </c>
    </row>
    <row r="2" spans="1:17">
      <c r="A2" s="189" t="s">
        <v>582</v>
      </c>
      <c r="B2" s="189" t="s">
        <v>581</v>
      </c>
      <c r="C2" s="189">
        <v>116</v>
      </c>
      <c r="D2" s="189">
        <v>14</v>
      </c>
      <c r="F2" s="189" t="s">
        <v>580</v>
      </c>
      <c r="G2" s="189" t="s">
        <v>579</v>
      </c>
      <c r="H2" s="189">
        <v>105</v>
      </c>
      <c r="I2" s="189">
        <v>38</v>
      </c>
      <c r="K2" s="189" t="s">
        <v>578</v>
      </c>
      <c r="L2" s="189" t="s">
        <v>577</v>
      </c>
      <c r="M2" s="189">
        <v>226</v>
      </c>
      <c r="N2" s="189">
        <v>54</v>
      </c>
      <c r="P2" s="189" t="s">
        <v>576</v>
      </c>
      <c r="Q2" s="189" t="s">
        <v>575</v>
      </c>
    </row>
    <row r="3" spans="1:17">
      <c r="A3" s="189" t="s">
        <v>574</v>
      </c>
      <c r="B3" s="189" t="s">
        <v>573</v>
      </c>
      <c r="C3" s="189">
        <v>108</v>
      </c>
      <c r="D3" s="189">
        <v>14</v>
      </c>
      <c r="F3" s="189" t="s">
        <v>572</v>
      </c>
      <c r="G3" s="189" t="s">
        <v>571</v>
      </c>
      <c r="H3" s="189">
        <v>100</v>
      </c>
      <c r="I3" s="189">
        <v>38</v>
      </c>
      <c r="K3" s="189" t="s">
        <v>570</v>
      </c>
      <c r="L3" s="189" t="s">
        <v>569</v>
      </c>
      <c r="M3" s="189">
        <v>221</v>
      </c>
      <c r="N3" s="189">
        <v>54</v>
      </c>
      <c r="P3" s="189" t="s">
        <v>568</v>
      </c>
      <c r="Q3" s="189" t="s">
        <v>567</v>
      </c>
    </row>
    <row r="4" spans="1:17">
      <c r="A4" s="189" t="s">
        <v>566</v>
      </c>
      <c r="B4" s="189" t="s">
        <v>565</v>
      </c>
      <c r="C4" s="189">
        <v>201</v>
      </c>
      <c r="D4" s="189">
        <v>22</v>
      </c>
      <c r="F4" s="189" t="s">
        <v>564</v>
      </c>
      <c r="G4" s="189" t="s">
        <v>563</v>
      </c>
      <c r="H4" s="189">
        <v>106</v>
      </c>
      <c r="I4" s="189">
        <v>38</v>
      </c>
      <c r="K4" s="189" t="s">
        <v>562</v>
      </c>
      <c r="L4" s="189" t="s">
        <v>561</v>
      </c>
      <c r="M4" s="189">
        <v>131</v>
      </c>
      <c r="N4" s="189">
        <v>54</v>
      </c>
      <c r="P4" s="189" t="s">
        <v>560</v>
      </c>
      <c r="Q4" s="189" t="s">
        <v>559</v>
      </c>
    </row>
    <row r="5" spans="1:17">
      <c r="A5" s="189" t="s">
        <v>558</v>
      </c>
      <c r="B5" s="189" t="s">
        <v>557</v>
      </c>
      <c r="C5" s="189">
        <v>102</v>
      </c>
      <c r="D5" s="189">
        <v>22</v>
      </c>
      <c r="F5" s="189" t="s">
        <v>556</v>
      </c>
      <c r="G5" s="189" t="s">
        <v>555</v>
      </c>
      <c r="H5" s="189">
        <v>104</v>
      </c>
      <c r="I5" s="189">
        <v>38</v>
      </c>
      <c r="K5" s="189" t="s">
        <v>554</v>
      </c>
      <c r="L5" s="189" t="s">
        <v>553</v>
      </c>
      <c r="M5" s="189">
        <v>135</v>
      </c>
      <c r="N5" s="189">
        <v>54</v>
      </c>
      <c r="P5" s="189" t="s">
        <v>552</v>
      </c>
      <c r="Q5" s="189" t="s">
        <v>551</v>
      </c>
    </row>
    <row r="6" spans="1:17">
      <c r="A6" s="189" t="s">
        <v>550</v>
      </c>
      <c r="B6" s="189" t="s">
        <v>549</v>
      </c>
      <c r="C6" s="189">
        <v>112</v>
      </c>
      <c r="D6" s="189">
        <v>22</v>
      </c>
      <c r="F6" s="189" t="s">
        <v>548</v>
      </c>
      <c r="G6" s="189" t="s">
        <v>547</v>
      </c>
      <c r="H6" s="189">
        <v>93</v>
      </c>
      <c r="I6" s="189">
        <v>38</v>
      </c>
      <c r="K6" s="189">
        <v>44</v>
      </c>
      <c r="L6" s="189" t="s">
        <v>546</v>
      </c>
      <c r="M6" s="189">
        <v>127</v>
      </c>
      <c r="N6" s="189">
        <v>54</v>
      </c>
      <c r="P6" s="189" t="s">
        <v>545</v>
      </c>
      <c r="Q6" s="189" t="s">
        <v>544</v>
      </c>
    </row>
    <row r="7" spans="1:17">
      <c r="A7" s="189" t="s">
        <v>543</v>
      </c>
      <c r="B7" s="189" t="s">
        <v>542</v>
      </c>
      <c r="C7" s="189">
        <v>98</v>
      </c>
      <c r="D7" s="189">
        <v>32</v>
      </c>
      <c r="F7" s="189" t="s">
        <v>541</v>
      </c>
      <c r="G7" s="189" t="s">
        <v>540</v>
      </c>
      <c r="H7" s="189">
        <v>214</v>
      </c>
      <c r="I7" s="189">
        <v>38</v>
      </c>
      <c r="K7" s="189">
        <v>32</v>
      </c>
      <c r="L7" s="189" t="s">
        <v>539</v>
      </c>
      <c r="M7" s="189">
        <v>133</v>
      </c>
      <c r="N7" s="189">
        <v>28</v>
      </c>
      <c r="P7" s="189" t="s">
        <v>538</v>
      </c>
      <c r="Q7" s="189" t="s">
        <v>537</v>
      </c>
    </row>
    <row r="8" spans="1:17">
      <c r="A8" s="189" t="s">
        <v>536</v>
      </c>
      <c r="B8" s="189" t="s">
        <v>535</v>
      </c>
      <c r="C8" s="189">
        <v>119</v>
      </c>
      <c r="D8" s="189">
        <v>32</v>
      </c>
      <c r="F8" s="189" t="s">
        <v>534</v>
      </c>
      <c r="G8" s="189" t="s">
        <v>533</v>
      </c>
      <c r="H8" s="189">
        <v>90</v>
      </c>
      <c r="I8" s="189">
        <v>38</v>
      </c>
      <c r="K8" s="189" t="s">
        <v>532</v>
      </c>
      <c r="L8" s="189" t="s">
        <v>531</v>
      </c>
      <c r="M8" s="189">
        <v>239</v>
      </c>
      <c r="N8" s="189">
        <v>132</v>
      </c>
    </row>
    <row r="9" spans="1:17">
      <c r="A9" s="189" t="s">
        <v>530</v>
      </c>
      <c r="B9" s="189" t="s">
        <v>529</v>
      </c>
      <c r="C9" s="189">
        <v>202</v>
      </c>
      <c r="D9" s="189">
        <v>32</v>
      </c>
      <c r="F9" s="189" t="s">
        <v>528</v>
      </c>
      <c r="G9" s="189" t="s">
        <v>527</v>
      </c>
      <c r="H9" s="189">
        <v>121</v>
      </c>
      <c r="I9" s="189">
        <v>38</v>
      </c>
      <c r="K9" s="189" t="s">
        <v>526</v>
      </c>
      <c r="L9" s="189" t="s">
        <v>525</v>
      </c>
      <c r="M9" s="189">
        <v>238</v>
      </c>
      <c r="N9" s="189">
        <v>60</v>
      </c>
    </row>
    <row r="10" spans="1:17">
      <c r="A10" s="189" t="s">
        <v>524</v>
      </c>
      <c r="B10" s="189" t="s">
        <v>523</v>
      </c>
      <c r="C10" s="189">
        <v>203</v>
      </c>
      <c r="D10" s="189">
        <v>32</v>
      </c>
      <c r="F10" s="189" t="s">
        <v>522</v>
      </c>
      <c r="G10" s="189" t="s">
        <v>521</v>
      </c>
      <c r="H10" s="189">
        <v>114</v>
      </c>
      <c r="I10" s="189">
        <v>38</v>
      </c>
      <c r="K10" s="189" t="s">
        <v>520</v>
      </c>
      <c r="L10" s="189" t="s">
        <v>519</v>
      </c>
      <c r="M10" s="189">
        <v>235</v>
      </c>
      <c r="N10" s="189">
        <v>60</v>
      </c>
    </row>
    <row r="11" spans="1:17">
      <c r="A11" s="189" t="s">
        <v>518</v>
      </c>
      <c r="B11" s="189" t="s">
        <v>517</v>
      </c>
      <c r="C11" s="189">
        <v>99</v>
      </c>
      <c r="D11" s="189">
        <v>32</v>
      </c>
      <c r="F11" s="189" t="s">
        <v>516</v>
      </c>
      <c r="G11" s="189" t="s">
        <v>515</v>
      </c>
      <c r="H11" s="189">
        <v>211</v>
      </c>
      <c r="I11" s="189">
        <v>38</v>
      </c>
      <c r="K11" s="189" t="s">
        <v>514</v>
      </c>
      <c r="L11" s="189" t="s">
        <v>513</v>
      </c>
      <c r="M11" s="189">
        <v>236</v>
      </c>
      <c r="N11" s="189">
        <v>60</v>
      </c>
    </row>
    <row r="12" spans="1:17">
      <c r="F12" s="189" t="s">
        <v>512</v>
      </c>
      <c r="G12" s="189" t="s">
        <v>511</v>
      </c>
      <c r="H12" s="189">
        <v>217</v>
      </c>
      <c r="I12" s="189">
        <v>38</v>
      </c>
      <c r="K12" s="189">
        <v>156</v>
      </c>
      <c r="L12" s="189" t="s">
        <v>510</v>
      </c>
      <c r="M12" s="189">
        <v>129</v>
      </c>
      <c r="N12" s="189">
        <v>60</v>
      </c>
    </row>
    <row r="13" spans="1:17">
      <c r="F13" s="189" t="s">
        <v>509</v>
      </c>
      <c r="G13" s="189" t="s">
        <v>508</v>
      </c>
      <c r="H13" s="189">
        <v>95</v>
      </c>
      <c r="I13" s="189">
        <v>38</v>
      </c>
      <c r="K13" s="189">
        <v>366</v>
      </c>
      <c r="L13" s="189" t="s">
        <v>507</v>
      </c>
      <c r="M13" s="189">
        <v>232</v>
      </c>
      <c r="N13" s="189">
        <v>60</v>
      </c>
    </row>
    <row r="14" spans="1:17">
      <c r="F14" s="189" t="s">
        <v>506</v>
      </c>
      <c r="G14" s="189" t="s">
        <v>505</v>
      </c>
      <c r="H14" s="189">
        <v>101</v>
      </c>
      <c r="I14" s="189">
        <v>38</v>
      </c>
      <c r="K14" s="189">
        <v>46</v>
      </c>
      <c r="L14" s="189" t="s">
        <v>504</v>
      </c>
      <c r="M14" s="189">
        <v>177</v>
      </c>
      <c r="N14" s="189">
        <v>60</v>
      </c>
    </row>
    <row r="15" spans="1:17">
      <c r="F15" s="189" t="s">
        <v>503</v>
      </c>
      <c r="G15" s="189" t="s">
        <v>502</v>
      </c>
      <c r="H15" s="189">
        <v>216</v>
      </c>
      <c r="I15" s="189">
        <v>38</v>
      </c>
      <c r="K15" s="189">
        <v>37</v>
      </c>
      <c r="N15" s="724"/>
    </row>
    <row r="16" spans="1:17">
      <c r="F16" s="189" t="s">
        <v>501</v>
      </c>
      <c r="G16" s="189" t="s">
        <v>500</v>
      </c>
      <c r="H16" s="189">
        <v>212</v>
      </c>
      <c r="I16" s="189">
        <v>38</v>
      </c>
    </row>
    <row r="22" spans="1:14">
      <c r="A22" s="189" t="s">
        <v>367</v>
      </c>
      <c r="B22" s="189" t="s">
        <v>196</v>
      </c>
      <c r="C22" s="189" t="s">
        <v>499</v>
      </c>
      <c r="D22" s="189" t="s">
        <v>498</v>
      </c>
      <c r="F22" s="189" t="s">
        <v>367</v>
      </c>
      <c r="G22" s="189" t="s">
        <v>196</v>
      </c>
      <c r="H22" s="189" t="s">
        <v>499</v>
      </c>
      <c r="I22" s="189" t="s">
        <v>498</v>
      </c>
      <c r="K22" s="189" t="s">
        <v>367</v>
      </c>
      <c r="L22" s="189" t="s">
        <v>196</v>
      </c>
      <c r="M22" s="189" t="s">
        <v>499</v>
      </c>
      <c r="N22" s="189" t="s">
        <v>498</v>
      </c>
    </row>
    <row r="23" spans="1:14">
      <c r="A23" s="189" t="s">
        <v>497</v>
      </c>
      <c r="B23" s="189" t="s">
        <v>496</v>
      </c>
      <c r="C23" s="189">
        <v>156</v>
      </c>
      <c r="D23" s="189">
        <v>26</v>
      </c>
      <c r="F23" s="189" t="s">
        <v>495</v>
      </c>
      <c r="G23" s="189" t="s">
        <v>494</v>
      </c>
      <c r="H23" s="189">
        <v>143</v>
      </c>
      <c r="I23" s="189">
        <v>19</v>
      </c>
      <c r="K23" s="189" t="s">
        <v>493</v>
      </c>
      <c r="L23" s="189" t="s">
        <v>492</v>
      </c>
      <c r="M23" s="189">
        <v>185</v>
      </c>
      <c r="N23" s="189">
        <v>125</v>
      </c>
    </row>
    <row r="24" spans="1:14">
      <c r="A24" s="189" t="s">
        <v>491</v>
      </c>
      <c r="B24" s="189" t="s">
        <v>490</v>
      </c>
      <c r="C24" s="189">
        <v>172</v>
      </c>
      <c r="D24" s="189">
        <v>67</v>
      </c>
      <c r="F24" s="189" t="s">
        <v>489</v>
      </c>
      <c r="G24" s="189" t="s">
        <v>488</v>
      </c>
      <c r="H24" s="189">
        <v>176</v>
      </c>
      <c r="I24" s="189">
        <v>19</v>
      </c>
      <c r="K24" s="189" t="s">
        <v>487</v>
      </c>
      <c r="L24" s="189" t="s">
        <v>486</v>
      </c>
      <c r="M24" s="189">
        <v>189</v>
      </c>
      <c r="N24" s="189">
        <v>125</v>
      </c>
    </row>
    <row r="25" spans="1:14">
      <c r="A25" s="189" t="s">
        <v>485</v>
      </c>
      <c r="B25" s="189" t="s">
        <v>484</v>
      </c>
      <c r="C25" s="189">
        <v>251</v>
      </c>
      <c r="D25" s="189">
        <v>67</v>
      </c>
      <c r="F25" s="189" t="s">
        <v>483</v>
      </c>
      <c r="G25" s="189" t="s">
        <v>482</v>
      </c>
      <c r="H25" s="189">
        <v>152</v>
      </c>
      <c r="I25" s="189">
        <v>30</v>
      </c>
      <c r="K25" s="189" t="s">
        <v>476</v>
      </c>
      <c r="L25" s="189" t="s">
        <v>481</v>
      </c>
      <c r="M25" s="189">
        <v>188</v>
      </c>
      <c r="N25" s="189">
        <v>125</v>
      </c>
    </row>
    <row r="26" spans="1:14">
      <c r="A26" s="189" t="s">
        <v>480</v>
      </c>
      <c r="B26" s="189" t="s">
        <v>479</v>
      </c>
      <c r="C26" s="189">
        <v>140</v>
      </c>
      <c r="D26" s="189">
        <v>67</v>
      </c>
      <c r="F26" s="189" t="s">
        <v>478</v>
      </c>
      <c r="G26" s="189" t="s">
        <v>477</v>
      </c>
      <c r="H26" s="189">
        <v>159</v>
      </c>
      <c r="I26" s="189">
        <v>17</v>
      </c>
      <c r="K26" s="189" t="s">
        <v>604</v>
      </c>
      <c r="L26" s="189" t="s">
        <v>475</v>
      </c>
      <c r="M26" s="189">
        <v>187</v>
      </c>
      <c r="N26" s="189">
        <v>125</v>
      </c>
    </row>
    <row r="27" spans="1:14">
      <c r="A27" s="189" t="s">
        <v>474</v>
      </c>
      <c r="B27" s="189" t="s">
        <v>473</v>
      </c>
      <c r="C27" s="189">
        <v>247</v>
      </c>
      <c r="D27" s="189">
        <v>67</v>
      </c>
      <c r="F27" s="189" t="s">
        <v>472</v>
      </c>
      <c r="G27" s="189" t="s">
        <v>471</v>
      </c>
      <c r="H27" s="189">
        <v>283</v>
      </c>
      <c r="I27" s="189">
        <v>95</v>
      </c>
      <c r="K27" s="189" t="s">
        <v>470</v>
      </c>
      <c r="L27" s="189" t="s">
        <v>469</v>
      </c>
      <c r="M27" s="189">
        <v>265</v>
      </c>
      <c r="N27" s="189">
        <v>125</v>
      </c>
    </row>
    <row r="28" spans="1:14">
      <c r="A28" s="189" t="s">
        <v>468</v>
      </c>
      <c r="B28" s="189" t="s">
        <v>467</v>
      </c>
      <c r="C28" s="189">
        <v>243</v>
      </c>
      <c r="D28" s="189">
        <v>67</v>
      </c>
      <c r="F28" s="189" t="s">
        <v>466</v>
      </c>
      <c r="G28" s="189" t="s">
        <v>465</v>
      </c>
      <c r="H28" s="189">
        <v>279</v>
      </c>
      <c r="I28" s="189">
        <v>95</v>
      </c>
      <c r="K28" s="189" t="s">
        <v>464</v>
      </c>
      <c r="L28" s="189" t="s">
        <v>463</v>
      </c>
      <c r="M28" s="189">
        <v>184</v>
      </c>
      <c r="N28" s="189">
        <v>125</v>
      </c>
    </row>
    <row r="29" spans="1:14">
      <c r="A29" s="189" t="s">
        <v>462</v>
      </c>
      <c r="B29" s="189" t="s">
        <v>461</v>
      </c>
      <c r="C29" s="189">
        <v>254</v>
      </c>
      <c r="D29" s="189">
        <v>67</v>
      </c>
      <c r="F29" s="189" t="s">
        <v>460</v>
      </c>
      <c r="G29" s="189" t="s">
        <v>459</v>
      </c>
      <c r="H29" s="189">
        <v>273</v>
      </c>
      <c r="I29" s="189">
        <v>95</v>
      </c>
    </row>
    <row r="30" spans="1:14">
      <c r="A30" s="189" t="s">
        <v>458</v>
      </c>
      <c r="B30" s="189" t="s">
        <v>457</v>
      </c>
      <c r="C30" s="189">
        <v>244</v>
      </c>
      <c r="D30" s="189">
        <v>67</v>
      </c>
      <c r="F30" s="189" t="s">
        <v>456</v>
      </c>
      <c r="G30" s="189" t="s">
        <v>455</v>
      </c>
      <c r="H30" s="189">
        <v>271</v>
      </c>
      <c r="I30" s="189">
        <v>95</v>
      </c>
    </row>
    <row r="31" spans="1:14">
      <c r="A31" s="189" t="s">
        <v>454</v>
      </c>
      <c r="B31" s="189" t="s">
        <v>453</v>
      </c>
      <c r="C31" s="189">
        <v>248</v>
      </c>
      <c r="D31" s="189">
        <v>67</v>
      </c>
      <c r="F31" s="189" t="s">
        <v>452</v>
      </c>
      <c r="G31" s="189" t="s">
        <v>451</v>
      </c>
      <c r="H31" s="189">
        <v>137</v>
      </c>
      <c r="I31" s="189">
        <v>95</v>
      </c>
    </row>
    <row r="32" spans="1:14">
      <c r="A32" s="189" t="s">
        <v>450</v>
      </c>
      <c r="B32" s="189" t="s">
        <v>449</v>
      </c>
      <c r="C32" s="189">
        <v>146</v>
      </c>
      <c r="D32" s="189">
        <v>67</v>
      </c>
      <c r="F32" s="189" t="s">
        <v>448</v>
      </c>
      <c r="G32" s="189" t="s">
        <v>447</v>
      </c>
      <c r="H32" s="189">
        <v>136</v>
      </c>
      <c r="I32" s="189">
        <v>95</v>
      </c>
    </row>
    <row r="33" spans="1:9">
      <c r="A33" s="189" t="s">
        <v>446</v>
      </c>
      <c r="B33" s="189" t="s">
        <v>445</v>
      </c>
      <c r="C33" s="189">
        <v>245</v>
      </c>
      <c r="D33" s="189">
        <v>67</v>
      </c>
      <c r="F33" s="189" t="s">
        <v>444</v>
      </c>
      <c r="G33" s="189" t="s">
        <v>443</v>
      </c>
      <c r="H33" s="189">
        <v>277</v>
      </c>
      <c r="I33" s="189">
        <v>95</v>
      </c>
    </row>
    <row r="34" spans="1:9">
      <c r="A34" s="189" t="s">
        <v>442</v>
      </c>
      <c r="B34" s="189" t="s">
        <v>441</v>
      </c>
      <c r="C34" s="189">
        <v>259</v>
      </c>
      <c r="D34" s="189">
        <v>78</v>
      </c>
      <c r="F34" s="189" t="s">
        <v>440</v>
      </c>
      <c r="G34" s="189" t="s">
        <v>439</v>
      </c>
      <c r="H34" s="189">
        <v>272</v>
      </c>
      <c r="I34" s="189">
        <v>95</v>
      </c>
    </row>
    <row r="35" spans="1:9">
      <c r="A35" s="189" t="s">
        <v>438</v>
      </c>
      <c r="B35" s="189" t="s">
        <v>437</v>
      </c>
      <c r="C35" s="189">
        <v>262</v>
      </c>
      <c r="D35" s="189">
        <v>78</v>
      </c>
      <c r="F35" s="189" t="s">
        <v>436</v>
      </c>
      <c r="G35" s="189" t="s">
        <v>435</v>
      </c>
      <c r="H35" s="189">
        <v>281</v>
      </c>
      <c r="I35" s="189">
        <v>95</v>
      </c>
    </row>
    <row r="36" spans="1:9">
      <c r="A36" s="189" t="s">
        <v>434</v>
      </c>
      <c r="B36" s="189" t="s">
        <v>433</v>
      </c>
      <c r="C36" s="189">
        <v>266</v>
      </c>
      <c r="D36" s="189">
        <v>78</v>
      </c>
      <c r="F36" s="189" t="s">
        <v>432</v>
      </c>
      <c r="G36" s="189" t="s">
        <v>431</v>
      </c>
      <c r="H36" s="189">
        <v>115</v>
      </c>
      <c r="I36" s="189">
        <v>95</v>
      </c>
    </row>
    <row r="37" spans="1:9">
      <c r="A37" s="189" t="s">
        <v>430</v>
      </c>
      <c r="B37" s="189" t="s">
        <v>429</v>
      </c>
      <c r="C37" s="189">
        <v>165</v>
      </c>
      <c r="D37" s="189">
        <v>78</v>
      </c>
      <c r="F37" s="189" t="s">
        <v>428</v>
      </c>
      <c r="G37" s="189" t="s">
        <v>427</v>
      </c>
      <c r="H37" s="189">
        <v>130</v>
      </c>
      <c r="I37" s="189">
        <v>95</v>
      </c>
    </row>
    <row r="38" spans="1:9">
      <c r="A38" s="189" t="s">
        <v>426</v>
      </c>
      <c r="B38" s="189" t="s">
        <v>425</v>
      </c>
      <c r="C38" s="189">
        <v>164</v>
      </c>
      <c r="D38" s="189">
        <v>78</v>
      </c>
      <c r="F38" s="189" t="s">
        <v>424</v>
      </c>
      <c r="G38" s="189" t="s">
        <v>423</v>
      </c>
      <c r="H38" s="189">
        <v>278</v>
      </c>
      <c r="I38" s="189">
        <v>95</v>
      </c>
    </row>
    <row r="39" spans="1:9">
      <c r="A39" s="189" t="s">
        <v>422</v>
      </c>
      <c r="B39" s="189" t="s">
        <v>421</v>
      </c>
      <c r="C39" s="189">
        <v>258</v>
      </c>
      <c r="D39" s="189">
        <v>78</v>
      </c>
      <c r="F39" s="189" t="s">
        <v>420</v>
      </c>
      <c r="G39" s="189" t="s">
        <v>419</v>
      </c>
      <c r="H39" s="189">
        <v>276</v>
      </c>
      <c r="I39" s="189">
        <v>95</v>
      </c>
    </row>
    <row r="40" spans="1:9">
      <c r="A40" s="189" t="s">
        <v>418</v>
      </c>
      <c r="B40" s="189" t="s">
        <v>417</v>
      </c>
      <c r="C40" s="189">
        <v>174</v>
      </c>
      <c r="D40" s="189">
        <v>78</v>
      </c>
      <c r="F40" s="189" t="s">
        <v>416</v>
      </c>
      <c r="G40" s="189" t="s">
        <v>415</v>
      </c>
      <c r="H40" s="189">
        <v>138</v>
      </c>
      <c r="I40" s="189">
        <v>95</v>
      </c>
    </row>
    <row r="41" spans="1:9">
      <c r="A41" s="189" t="s">
        <v>414</v>
      </c>
      <c r="B41" s="189" t="s">
        <v>413</v>
      </c>
      <c r="C41" s="189">
        <v>168</v>
      </c>
      <c r="D41" s="189">
        <v>78</v>
      </c>
      <c r="F41" s="189" t="s">
        <v>412</v>
      </c>
      <c r="G41" s="189" t="s">
        <v>411</v>
      </c>
      <c r="H41" s="189">
        <v>294</v>
      </c>
      <c r="I41" s="189">
        <v>110</v>
      </c>
    </row>
    <row r="42" spans="1:9">
      <c r="A42" s="189" t="s">
        <v>410</v>
      </c>
      <c r="B42" s="189" t="s">
        <v>409</v>
      </c>
      <c r="C42" s="189">
        <v>252</v>
      </c>
      <c r="D42" s="189">
        <v>78</v>
      </c>
      <c r="F42" s="189" t="s">
        <v>408</v>
      </c>
      <c r="G42" s="189" t="s">
        <v>407</v>
      </c>
      <c r="H42" s="189">
        <v>284</v>
      </c>
      <c r="I42" s="189">
        <v>110</v>
      </c>
    </row>
    <row r="43" spans="1:9">
      <c r="A43" s="189" t="s">
        <v>406</v>
      </c>
      <c r="B43" s="189" t="s">
        <v>405</v>
      </c>
      <c r="C43" s="189">
        <v>170</v>
      </c>
      <c r="D43" s="189">
        <v>78</v>
      </c>
      <c r="F43" s="189" t="s">
        <v>404</v>
      </c>
      <c r="G43" s="189" t="s">
        <v>403</v>
      </c>
      <c r="H43" s="189">
        <v>253</v>
      </c>
      <c r="I43" s="189">
        <v>110</v>
      </c>
    </row>
    <row r="44" spans="1:9">
      <c r="A44" s="189" t="s">
        <v>402</v>
      </c>
      <c r="B44" s="189" t="s">
        <v>401</v>
      </c>
      <c r="C44" s="189">
        <v>260</v>
      </c>
      <c r="D44" s="189">
        <v>78</v>
      </c>
      <c r="F44" s="189" t="s">
        <v>400</v>
      </c>
      <c r="G44" s="189" t="s">
        <v>399</v>
      </c>
      <c r="H44" s="189">
        <v>295</v>
      </c>
      <c r="I44" s="189">
        <v>110</v>
      </c>
    </row>
    <row r="45" spans="1:9">
      <c r="A45" s="189" t="s">
        <v>398</v>
      </c>
      <c r="B45" s="189" t="s">
        <v>397</v>
      </c>
      <c r="C45" s="189">
        <v>256</v>
      </c>
      <c r="D45" s="189">
        <v>78</v>
      </c>
      <c r="F45" s="189" t="s">
        <v>396</v>
      </c>
      <c r="G45" s="189" t="s">
        <v>395</v>
      </c>
      <c r="H45" s="189">
        <v>288</v>
      </c>
      <c r="I45" s="189">
        <v>110</v>
      </c>
    </row>
    <row r="46" spans="1:9">
      <c r="A46" s="189" t="s">
        <v>394</v>
      </c>
      <c r="B46" s="189" t="s">
        <v>393</v>
      </c>
      <c r="C46" s="189">
        <v>175</v>
      </c>
      <c r="D46" s="189">
        <v>78</v>
      </c>
      <c r="F46" s="189" t="s">
        <v>392</v>
      </c>
      <c r="G46" s="189" t="s">
        <v>391</v>
      </c>
      <c r="H46" s="189">
        <v>255</v>
      </c>
      <c r="I46" s="189">
        <v>110</v>
      </c>
    </row>
    <row r="47" spans="1:9">
      <c r="A47" s="189" t="s">
        <v>390</v>
      </c>
      <c r="B47" s="189" t="s">
        <v>389</v>
      </c>
      <c r="C47" s="189">
        <v>268</v>
      </c>
      <c r="D47" s="189">
        <v>78</v>
      </c>
      <c r="F47" s="189" t="s">
        <v>388</v>
      </c>
      <c r="G47" s="189" t="s">
        <v>387</v>
      </c>
      <c r="H47" s="189">
        <v>289</v>
      </c>
      <c r="I47" s="189">
        <v>110</v>
      </c>
    </row>
    <row r="48" spans="1:9">
      <c r="A48" s="189" t="s">
        <v>386</v>
      </c>
      <c r="B48" s="189" t="s">
        <v>385</v>
      </c>
      <c r="C48" s="189">
        <v>261</v>
      </c>
      <c r="D48" s="189">
        <v>78</v>
      </c>
      <c r="F48" s="189" t="s">
        <v>384</v>
      </c>
      <c r="G48" s="189" t="s">
        <v>383</v>
      </c>
      <c r="H48" s="189">
        <v>257</v>
      </c>
      <c r="I48" s="189">
        <v>110</v>
      </c>
    </row>
    <row r="49" spans="1:9">
      <c r="A49" s="189" t="s">
        <v>382</v>
      </c>
      <c r="B49" s="189" t="s">
        <v>381</v>
      </c>
      <c r="C49" s="189">
        <v>169</v>
      </c>
      <c r="D49" s="189">
        <v>78</v>
      </c>
      <c r="F49" s="189" t="s">
        <v>380</v>
      </c>
      <c r="G49" s="189" t="s">
        <v>379</v>
      </c>
      <c r="H49" s="189">
        <v>263</v>
      </c>
      <c r="I49" s="189">
        <v>110</v>
      </c>
    </row>
    <row r="50" spans="1:9">
      <c r="F50" s="189" t="s">
        <v>378</v>
      </c>
      <c r="G50" s="189" t="s">
        <v>377</v>
      </c>
      <c r="H50" s="189">
        <v>192</v>
      </c>
      <c r="I50" s="189">
        <v>110</v>
      </c>
    </row>
    <row r="51" spans="1:9">
      <c r="F51" s="189" t="s">
        <v>376</v>
      </c>
      <c r="G51" s="189" t="s">
        <v>375</v>
      </c>
      <c r="H51" s="189">
        <v>155</v>
      </c>
      <c r="I51" s="189">
        <v>110</v>
      </c>
    </row>
    <row r="52" spans="1:9">
      <c r="F52" s="189" t="s">
        <v>374</v>
      </c>
      <c r="G52" s="189" t="s">
        <v>373</v>
      </c>
      <c r="H52" s="189">
        <v>162</v>
      </c>
      <c r="I52" s="189">
        <v>110</v>
      </c>
    </row>
    <row r="53" spans="1:9">
      <c r="F53" s="189" t="s">
        <v>372</v>
      </c>
      <c r="G53" s="189" t="s">
        <v>371</v>
      </c>
      <c r="H53" s="189">
        <v>264</v>
      </c>
      <c r="I53" s="189">
        <v>110</v>
      </c>
    </row>
    <row r="54" spans="1:9">
      <c r="F54" s="189" t="s">
        <v>370</v>
      </c>
      <c r="G54" s="189" t="s">
        <v>369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5" sqref="S15"/>
    </sheetView>
  </sheetViews>
  <sheetFormatPr defaultRowHeight="16.5"/>
  <cols>
    <col min="1" max="1" width="8.88671875" style="496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496" bestFit="1" customWidth="1"/>
    <col min="18" max="18" width="13" style="496" customWidth="1"/>
    <col min="19" max="19" width="17.88671875" style="496" customWidth="1"/>
    <col min="20" max="20" width="21.21875" style="496" customWidth="1"/>
    <col min="21" max="21" width="21.88671875" style="496" customWidth="1"/>
    <col min="22" max="16384" width="8.88671875" style="496"/>
  </cols>
  <sheetData>
    <row r="2" spans="2:23" ht="26.25" customHeight="1">
      <c r="B2" s="493" t="s">
        <v>360</v>
      </c>
      <c r="C2" s="494"/>
      <c r="D2" s="494"/>
      <c r="E2" s="494"/>
      <c r="F2" s="494"/>
      <c r="G2" s="494"/>
      <c r="H2" s="495"/>
      <c r="I2" s="495"/>
      <c r="J2" s="495"/>
      <c r="K2" s="495"/>
      <c r="L2" s="495"/>
      <c r="S2" s="497" t="s">
        <v>608</v>
      </c>
      <c r="T2" s="498" t="s">
        <v>724</v>
      </c>
    </row>
    <row r="3" spans="2:23" ht="17.25" thickBot="1">
      <c r="I3" s="429"/>
      <c r="J3" s="429"/>
      <c r="K3" s="429"/>
    </row>
    <row r="4" spans="2:23" s="499" customFormat="1" ht="30.75" customHeight="1">
      <c r="B4" s="517" t="s">
        <v>41</v>
      </c>
      <c r="C4" s="518" t="s">
        <v>42</v>
      </c>
      <c r="D4" s="518" t="s">
        <v>587</v>
      </c>
      <c r="E4" s="518" t="s">
        <v>588</v>
      </c>
      <c r="F4" s="518" t="s">
        <v>589</v>
      </c>
      <c r="G4" s="518" t="s">
        <v>590</v>
      </c>
      <c r="H4" s="518" t="s">
        <v>591</v>
      </c>
      <c r="I4" s="518" t="s">
        <v>592</v>
      </c>
      <c r="J4" s="518" t="s">
        <v>593</v>
      </c>
      <c r="K4" s="518" t="s">
        <v>594</v>
      </c>
      <c r="L4" s="518" t="s">
        <v>595</v>
      </c>
      <c r="M4" s="518" t="s">
        <v>596</v>
      </c>
      <c r="N4" s="519" t="s">
        <v>597</v>
      </c>
      <c r="O4" s="520" t="s">
        <v>44</v>
      </c>
      <c r="P4" s="519" t="s">
        <v>45</v>
      </c>
      <c r="S4" s="541" t="s">
        <v>583</v>
      </c>
      <c r="T4" s="542" t="s">
        <v>584</v>
      </c>
    </row>
    <row r="5" spans="2:23" ht="22.5" customHeight="1">
      <c r="B5" s="340">
        <v>1994</v>
      </c>
      <c r="C5" s="507">
        <v>17.899999999999999</v>
      </c>
      <c r="D5" s="507">
        <v>6</v>
      </c>
      <c r="E5" s="507">
        <v>58.2</v>
      </c>
      <c r="F5" s="507">
        <v>51.5</v>
      </c>
      <c r="G5" s="507">
        <v>135.5</v>
      </c>
      <c r="H5" s="507">
        <v>207</v>
      </c>
      <c r="I5" s="507">
        <v>137</v>
      </c>
      <c r="J5" s="508">
        <v>443.5</v>
      </c>
      <c r="K5" s="507">
        <v>21</v>
      </c>
      <c r="L5" s="507">
        <v>155</v>
      </c>
      <c r="M5" s="507">
        <v>17.5</v>
      </c>
      <c r="N5" s="513">
        <v>18.899999999999999</v>
      </c>
      <c r="O5" s="521">
        <f>ROUND(SUM(C5:N5),1)</f>
        <v>1269</v>
      </c>
      <c r="P5" s="325">
        <f>ROUND(O5/12,1)</f>
        <v>105.8</v>
      </c>
      <c r="Q5" s="500"/>
      <c r="R5" s="501"/>
      <c r="S5" s="502" t="s">
        <v>729</v>
      </c>
      <c r="T5" s="503" t="s">
        <v>730</v>
      </c>
      <c r="V5" s="501"/>
      <c r="W5" s="504"/>
    </row>
    <row r="6" spans="2:23" ht="22.5" customHeight="1" thickBot="1">
      <c r="B6" s="340">
        <v>1995</v>
      </c>
      <c r="C6" s="507">
        <v>15.7</v>
      </c>
      <c r="D6" s="507">
        <v>11</v>
      </c>
      <c r="E6" s="507">
        <v>19.600000000000001</v>
      </c>
      <c r="F6" s="507">
        <v>65.5</v>
      </c>
      <c r="G6" s="507">
        <v>49.5</v>
      </c>
      <c r="H6" s="507">
        <v>26.5</v>
      </c>
      <c r="I6" s="507">
        <v>144.5</v>
      </c>
      <c r="J6" s="508">
        <v>996.5</v>
      </c>
      <c r="K6" s="507">
        <v>613</v>
      </c>
      <c r="L6" s="507">
        <v>24.5</v>
      </c>
      <c r="M6" s="507">
        <v>23</v>
      </c>
      <c r="N6" s="513">
        <v>12.7</v>
      </c>
      <c r="O6" s="521">
        <f t="shared" ref="O6:O34" si="0">ROUND(SUM(C6:N6),1)</f>
        <v>2002</v>
      </c>
      <c r="P6" s="325">
        <f t="shared" ref="P6:P34" si="1">ROUND(O6/12,1)</f>
        <v>166.8</v>
      </c>
      <c r="Q6" s="500"/>
      <c r="R6" s="501"/>
      <c r="S6" s="505" t="str">
        <f>VLOOKUP(S5, tblLocation[], 2, FALSE)</f>
        <v>Table3</v>
      </c>
      <c r="T6" s="506" t="str">
        <f ca="1">IFERROR(UPPER(VLOOKUP(T5, INDIRECT(S6), 2,0)), " 지역설정")</f>
        <v>BORYUNG</v>
      </c>
      <c r="V6" s="501"/>
      <c r="W6" s="504"/>
    </row>
    <row r="7" spans="2:23" ht="22.5" customHeight="1">
      <c r="B7" s="340">
        <v>1996</v>
      </c>
      <c r="C7" s="507">
        <v>33.4</v>
      </c>
      <c r="D7" s="507">
        <v>6.8</v>
      </c>
      <c r="E7" s="507">
        <v>104.5</v>
      </c>
      <c r="F7" s="507">
        <v>34</v>
      </c>
      <c r="G7" s="507">
        <v>22.5</v>
      </c>
      <c r="H7" s="507">
        <v>235</v>
      </c>
      <c r="I7" s="507">
        <v>192.5</v>
      </c>
      <c r="J7" s="507">
        <v>44.5</v>
      </c>
      <c r="K7" s="507">
        <v>33</v>
      </c>
      <c r="L7" s="507">
        <v>106.5</v>
      </c>
      <c r="M7" s="507">
        <v>74.2</v>
      </c>
      <c r="N7" s="513">
        <v>31.7</v>
      </c>
      <c r="O7" s="521">
        <f t="shared" si="0"/>
        <v>918.6</v>
      </c>
      <c r="P7" s="325">
        <f t="shared" si="1"/>
        <v>76.599999999999994</v>
      </c>
      <c r="Q7" s="500"/>
      <c r="R7" s="501"/>
      <c r="T7" s="297"/>
      <c r="V7" s="501"/>
      <c r="W7" s="504"/>
    </row>
    <row r="8" spans="2:23" ht="22.5" customHeight="1">
      <c r="B8" s="340">
        <v>1997</v>
      </c>
      <c r="C8" s="507">
        <v>15.1</v>
      </c>
      <c r="D8" s="507">
        <v>38.4</v>
      </c>
      <c r="E8" s="507">
        <v>30.5</v>
      </c>
      <c r="F8" s="507">
        <v>57.5</v>
      </c>
      <c r="G8" s="507">
        <v>203</v>
      </c>
      <c r="H8" s="507">
        <v>272</v>
      </c>
      <c r="I8" s="507">
        <v>353.5</v>
      </c>
      <c r="J8" s="507">
        <v>211.5</v>
      </c>
      <c r="K8" s="507">
        <v>23</v>
      </c>
      <c r="L8" s="507">
        <v>10</v>
      </c>
      <c r="M8" s="507">
        <v>193.5</v>
      </c>
      <c r="N8" s="513">
        <v>34.299999999999997</v>
      </c>
      <c r="O8" s="521">
        <f t="shared" si="0"/>
        <v>1442.3</v>
      </c>
      <c r="P8" s="325">
        <f t="shared" si="1"/>
        <v>120.2</v>
      </c>
      <c r="Q8" s="500"/>
      <c r="T8" s="297"/>
      <c r="V8" s="501"/>
      <c r="W8" s="504"/>
    </row>
    <row r="9" spans="2:23" ht="22.5" customHeight="1">
      <c r="B9" s="340">
        <v>1998</v>
      </c>
      <c r="C9" s="507">
        <v>29.9</v>
      </c>
      <c r="D9" s="507">
        <v>40.200000000000003</v>
      </c>
      <c r="E9" s="507">
        <v>30.5</v>
      </c>
      <c r="F9" s="507">
        <v>138</v>
      </c>
      <c r="G9" s="507">
        <v>100</v>
      </c>
      <c r="H9" s="507">
        <v>209.5</v>
      </c>
      <c r="I9" s="507">
        <v>263</v>
      </c>
      <c r="J9" s="507">
        <v>341.7</v>
      </c>
      <c r="K9" s="507">
        <v>150.30000000000001</v>
      </c>
      <c r="L9" s="507">
        <v>61</v>
      </c>
      <c r="M9" s="507">
        <v>29.3</v>
      </c>
      <c r="N9" s="513">
        <v>3.8</v>
      </c>
      <c r="O9" s="521">
        <f t="shared" si="0"/>
        <v>1397.2</v>
      </c>
      <c r="P9" s="325">
        <f t="shared" si="1"/>
        <v>116.4</v>
      </c>
      <c r="Q9" s="500"/>
      <c r="R9" s="501"/>
      <c r="S9" s="504"/>
      <c r="T9" s="501"/>
      <c r="U9" s="504"/>
      <c r="V9" s="501"/>
      <c r="W9" s="504"/>
    </row>
    <row r="10" spans="2:23" ht="22.5" customHeight="1">
      <c r="B10" s="340">
        <v>1999</v>
      </c>
      <c r="C10" s="507">
        <v>7.9</v>
      </c>
      <c r="D10" s="507">
        <v>9.5</v>
      </c>
      <c r="E10" s="507">
        <v>71</v>
      </c>
      <c r="F10" s="507">
        <v>88.5</v>
      </c>
      <c r="G10" s="507">
        <v>124.5</v>
      </c>
      <c r="H10" s="507">
        <v>192.5</v>
      </c>
      <c r="I10" s="507">
        <v>98</v>
      </c>
      <c r="J10" s="507">
        <v>180</v>
      </c>
      <c r="K10" s="507">
        <v>292.5</v>
      </c>
      <c r="L10" s="507">
        <v>169</v>
      </c>
      <c r="M10" s="507">
        <v>24.9</v>
      </c>
      <c r="N10" s="513">
        <v>25.8</v>
      </c>
      <c r="O10" s="521">
        <f t="shared" si="0"/>
        <v>1284.0999999999999</v>
      </c>
      <c r="P10" s="325">
        <f t="shared" si="1"/>
        <v>107</v>
      </c>
      <c r="Q10" s="500"/>
      <c r="R10" s="501"/>
      <c r="S10" s="504"/>
      <c r="T10" s="501"/>
      <c r="U10" s="504"/>
      <c r="V10" s="501"/>
      <c r="W10" s="504"/>
    </row>
    <row r="11" spans="2:23" ht="22.5" customHeight="1">
      <c r="B11" s="340">
        <v>2000</v>
      </c>
      <c r="C11" s="507">
        <v>42.1</v>
      </c>
      <c r="D11" s="507">
        <v>3.2</v>
      </c>
      <c r="E11" s="507">
        <v>7</v>
      </c>
      <c r="F11" s="507">
        <v>35</v>
      </c>
      <c r="G11" s="507">
        <v>53.5</v>
      </c>
      <c r="H11" s="507">
        <v>159.5</v>
      </c>
      <c r="I11" s="507">
        <v>155</v>
      </c>
      <c r="J11" s="507">
        <v>701.5</v>
      </c>
      <c r="K11" s="507">
        <v>241</v>
      </c>
      <c r="L11" s="507">
        <v>46</v>
      </c>
      <c r="M11" s="507">
        <v>39.5</v>
      </c>
      <c r="N11" s="513">
        <v>32.1</v>
      </c>
      <c r="O11" s="521">
        <f t="shared" si="0"/>
        <v>1515.4</v>
      </c>
      <c r="P11" s="325">
        <f t="shared" si="1"/>
        <v>126.3</v>
      </c>
      <c r="R11" s="501"/>
      <c r="S11" s="504"/>
      <c r="T11" s="501"/>
      <c r="U11" s="504"/>
      <c r="V11" s="501"/>
      <c r="W11" s="504"/>
    </row>
    <row r="12" spans="2:23" ht="22.5" customHeight="1">
      <c r="B12" s="340">
        <v>2001</v>
      </c>
      <c r="C12" s="507">
        <v>73.3</v>
      </c>
      <c r="D12" s="507">
        <v>46</v>
      </c>
      <c r="E12" s="507">
        <v>15.9</v>
      </c>
      <c r="F12" s="507">
        <v>26</v>
      </c>
      <c r="G12" s="507">
        <v>17</v>
      </c>
      <c r="H12" s="507">
        <v>129</v>
      </c>
      <c r="I12" s="507">
        <v>286.5</v>
      </c>
      <c r="J12" s="507">
        <v>170</v>
      </c>
      <c r="K12" s="507">
        <v>185</v>
      </c>
      <c r="L12" s="507">
        <v>85</v>
      </c>
      <c r="M12" s="507">
        <v>13</v>
      </c>
      <c r="N12" s="513">
        <v>32</v>
      </c>
      <c r="O12" s="521">
        <f t="shared" si="0"/>
        <v>1078.7</v>
      </c>
      <c r="P12" s="325">
        <f t="shared" si="1"/>
        <v>89.9</v>
      </c>
      <c r="R12" s="501"/>
      <c r="S12" s="504"/>
      <c r="T12" s="501"/>
      <c r="U12" s="504"/>
      <c r="V12" s="501"/>
      <c r="W12" s="504"/>
    </row>
    <row r="13" spans="2:23" ht="22.5" customHeight="1">
      <c r="B13" s="340">
        <v>2002</v>
      </c>
      <c r="C13" s="507">
        <v>50.8</v>
      </c>
      <c r="D13" s="507">
        <v>5.5</v>
      </c>
      <c r="E13" s="507">
        <v>32</v>
      </c>
      <c r="F13" s="507">
        <v>169</v>
      </c>
      <c r="G13" s="507">
        <v>155.5</v>
      </c>
      <c r="H13" s="507">
        <v>72</v>
      </c>
      <c r="I13" s="507">
        <v>217.5</v>
      </c>
      <c r="J13" s="507">
        <v>477</v>
      </c>
      <c r="K13" s="507">
        <v>2146</v>
      </c>
      <c r="L13" s="507">
        <v>134</v>
      </c>
      <c r="M13" s="507">
        <v>61.1</v>
      </c>
      <c r="N13" s="513">
        <v>51.8</v>
      </c>
      <c r="O13" s="521">
        <f t="shared" si="0"/>
        <v>3572.2</v>
      </c>
      <c r="P13" s="325">
        <f t="shared" si="1"/>
        <v>297.7</v>
      </c>
      <c r="R13" s="501"/>
      <c r="S13" s="297"/>
      <c r="T13" s="501"/>
      <c r="U13" s="504"/>
      <c r="V13" s="501"/>
      <c r="W13" s="504"/>
    </row>
    <row r="14" spans="2:23" ht="22.5" customHeight="1">
      <c r="B14" s="340">
        <v>2003</v>
      </c>
      <c r="C14" s="507">
        <v>30.7</v>
      </c>
      <c r="D14" s="507">
        <v>44.5</v>
      </c>
      <c r="E14" s="507">
        <v>39.5</v>
      </c>
      <c r="F14" s="507">
        <v>168.5</v>
      </c>
      <c r="G14" s="507">
        <v>78.5</v>
      </c>
      <c r="H14" s="507">
        <v>153</v>
      </c>
      <c r="I14" s="507">
        <v>309.5</v>
      </c>
      <c r="J14" s="507">
        <v>310</v>
      </c>
      <c r="K14" s="507">
        <v>49</v>
      </c>
      <c r="L14" s="507">
        <v>23</v>
      </c>
      <c r="M14" s="507">
        <v>45.5</v>
      </c>
      <c r="N14" s="513">
        <v>13</v>
      </c>
      <c r="O14" s="521">
        <f t="shared" si="0"/>
        <v>1264.7</v>
      </c>
      <c r="P14" s="325">
        <f t="shared" si="1"/>
        <v>105.4</v>
      </c>
      <c r="R14" s="501"/>
      <c r="S14" s="297"/>
      <c r="T14" s="501"/>
      <c r="U14" s="504"/>
      <c r="V14" s="501"/>
      <c r="W14" s="504"/>
    </row>
    <row r="15" spans="2:23" ht="22.5" customHeight="1">
      <c r="B15" s="340">
        <v>2004</v>
      </c>
      <c r="C15" s="507">
        <v>22.1</v>
      </c>
      <c r="D15" s="507">
        <v>28.5</v>
      </c>
      <c r="E15" s="507">
        <v>45.7</v>
      </c>
      <c r="F15" s="507">
        <v>58</v>
      </c>
      <c r="G15" s="507">
        <v>105.5</v>
      </c>
      <c r="H15" s="507">
        <v>234.5</v>
      </c>
      <c r="I15" s="507">
        <v>263.5</v>
      </c>
      <c r="J15" s="507">
        <v>164</v>
      </c>
      <c r="K15" s="507">
        <v>40</v>
      </c>
      <c r="L15" s="507">
        <v>4</v>
      </c>
      <c r="M15" s="507">
        <v>56.5</v>
      </c>
      <c r="N15" s="513">
        <v>38.9</v>
      </c>
      <c r="O15" s="521">
        <f t="shared" si="0"/>
        <v>1061.2</v>
      </c>
      <c r="P15" s="325">
        <f t="shared" si="1"/>
        <v>88.4</v>
      </c>
      <c r="S15" s="297"/>
    </row>
    <row r="16" spans="2:23" ht="22.5" customHeight="1">
      <c r="B16" s="340">
        <v>2005</v>
      </c>
      <c r="C16" s="507">
        <v>5.8</v>
      </c>
      <c r="D16" s="507">
        <v>35.799999999999997</v>
      </c>
      <c r="E16" s="507">
        <v>30</v>
      </c>
      <c r="F16" s="507">
        <v>73.5</v>
      </c>
      <c r="G16" s="507">
        <v>48.5</v>
      </c>
      <c r="H16" s="507">
        <v>156</v>
      </c>
      <c r="I16" s="507">
        <v>260.5</v>
      </c>
      <c r="J16" s="507">
        <v>291.5</v>
      </c>
      <c r="K16" s="507">
        <v>282.5</v>
      </c>
      <c r="L16" s="507">
        <v>21</v>
      </c>
      <c r="M16" s="507">
        <v>18</v>
      </c>
      <c r="N16" s="513">
        <v>43.4</v>
      </c>
      <c r="O16" s="521">
        <f t="shared" si="0"/>
        <v>1266.5</v>
      </c>
      <c r="P16" s="325">
        <f t="shared" si="1"/>
        <v>105.5</v>
      </c>
      <c r="S16" s="297"/>
    </row>
    <row r="17" spans="2:19" ht="22.5" customHeight="1">
      <c r="B17" s="340">
        <v>2006</v>
      </c>
      <c r="C17" s="507">
        <v>27</v>
      </c>
      <c r="D17" s="507">
        <v>25.9</v>
      </c>
      <c r="E17" s="507">
        <v>10.6</v>
      </c>
      <c r="F17" s="507">
        <v>81.5</v>
      </c>
      <c r="G17" s="507">
        <v>94.5</v>
      </c>
      <c r="H17" s="507">
        <v>114.5</v>
      </c>
      <c r="I17" s="507">
        <v>321</v>
      </c>
      <c r="J17" s="507">
        <v>21.5</v>
      </c>
      <c r="K17" s="507">
        <v>23.5</v>
      </c>
      <c r="L17" s="507">
        <v>24.5</v>
      </c>
      <c r="M17" s="507">
        <v>61.5</v>
      </c>
      <c r="N17" s="513">
        <v>25.4</v>
      </c>
      <c r="O17" s="521">
        <f t="shared" si="0"/>
        <v>831.4</v>
      </c>
      <c r="P17" s="325">
        <f t="shared" si="1"/>
        <v>69.3</v>
      </c>
      <c r="S17" s="297"/>
    </row>
    <row r="18" spans="2:19" ht="22.5" customHeight="1">
      <c r="B18" s="340">
        <v>2007</v>
      </c>
      <c r="C18" s="507">
        <v>23.4</v>
      </c>
      <c r="D18" s="507">
        <v>29.8</v>
      </c>
      <c r="E18" s="507">
        <v>102</v>
      </c>
      <c r="F18" s="507">
        <v>29.5</v>
      </c>
      <c r="G18" s="507">
        <v>79</v>
      </c>
      <c r="H18" s="507">
        <v>85</v>
      </c>
      <c r="I18" s="507">
        <v>214</v>
      </c>
      <c r="J18" s="507">
        <v>239.5</v>
      </c>
      <c r="K18" s="507">
        <v>384</v>
      </c>
      <c r="L18" s="507">
        <v>59</v>
      </c>
      <c r="M18" s="507">
        <v>17.5</v>
      </c>
      <c r="N18" s="513">
        <v>33.1</v>
      </c>
      <c r="O18" s="521">
        <f t="shared" si="0"/>
        <v>1295.8</v>
      </c>
      <c r="P18" s="325">
        <f t="shared" si="1"/>
        <v>108</v>
      </c>
    </row>
    <row r="19" spans="2:19" ht="22.5" customHeight="1">
      <c r="B19" s="340">
        <v>2008</v>
      </c>
      <c r="C19" s="507">
        <v>20.9</v>
      </c>
      <c r="D19" s="507">
        <v>10.8</v>
      </c>
      <c r="E19" s="507">
        <v>48.2</v>
      </c>
      <c r="F19" s="507">
        <v>40.5</v>
      </c>
      <c r="G19" s="507">
        <v>78.900000000000006</v>
      </c>
      <c r="H19" s="507">
        <v>101.3</v>
      </c>
      <c r="I19" s="507">
        <v>257.2</v>
      </c>
      <c r="J19" s="507">
        <v>119.5</v>
      </c>
      <c r="K19" s="507">
        <v>46.9</v>
      </c>
      <c r="L19" s="507">
        <v>26.7</v>
      </c>
      <c r="M19" s="507">
        <v>37.6</v>
      </c>
      <c r="N19" s="513">
        <v>25</v>
      </c>
      <c r="O19" s="521">
        <f t="shared" si="0"/>
        <v>813.5</v>
      </c>
      <c r="P19" s="325">
        <f t="shared" si="1"/>
        <v>67.8</v>
      </c>
    </row>
    <row r="20" spans="2:19" ht="22.5" customHeight="1">
      <c r="B20" s="340">
        <v>2009</v>
      </c>
      <c r="C20" s="507">
        <v>18.5</v>
      </c>
      <c r="D20" s="507">
        <v>23.3</v>
      </c>
      <c r="E20" s="507">
        <v>55.1</v>
      </c>
      <c r="F20" s="507">
        <v>41.5</v>
      </c>
      <c r="G20" s="507">
        <v>154.5</v>
      </c>
      <c r="H20" s="507">
        <v>115.1</v>
      </c>
      <c r="I20" s="507">
        <v>320.89999999999998</v>
      </c>
      <c r="J20" s="507">
        <v>176.6</v>
      </c>
      <c r="K20" s="507">
        <v>25.5</v>
      </c>
      <c r="L20" s="507">
        <v>39.5</v>
      </c>
      <c r="M20" s="507">
        <v>52.9</v>
      </c>
      <c r="N20" s="513">
        <v>58</v>
      </c>
      <c r="O20" s="521">
        <f t="shared" si="0"/>
        <v>1081.4000000000001</v>
      </c>
      <c r="P20" s="325">
        <f t="shared" si="1"/>
        <v>90.1</v>
      </c>
    </row>
    <row r="21" spans="2:19" ht="22.5" customHeight="1">
      <c r="B21" s="340">
        <v>2010</v>
      </c>
      <c r="C21" s="507">
        <v>30.1</v>
      </c>
      <c r="D21" s="507">
        <v>73.5</v>
      </c>
      <c r="E21" s="507">
        <v>75.900000000000006</v>
      </c>
      <c r="F21" s="507">
        <v>58.5</v>
      </c>
      <c r="G21" s="507">
        <v>122.8</v>
      </c>
      <c r="H21" s="507">
        <v>60.8</v>
      </c>
      <c r="I21" s="507">
        <v>396.5</v>
      </c>
      <c r="J21" s="507">
        <v>402.7</v>
      </c>
      <c r="K21" s="507">
        <v>213.1</v>
      </c>
      <c r="L21" s="507">
        <v>19.2</v>
      </c>
      <c r="M21" s="507">
        <v>16.3</v>
      </c>
      <c r="N21" s="513">
        <v>32.9</v>
      </c>
      <c r="O21" s="521">
        <f t="shared" si="0"/>
        <v>1502.3</v>
      </c>
      <c r="P21" s="325">
        <f t="shared" si="1"/>
        <v>125.2</v>
      </c>
    </row>
    <row r="22" spans="2:19" ht="22.5" customHeight="1">
      <c r="B22" s="340">
        <v>2011</v>
      </c>
      <c r="C22" s="507">
        <v>11.1</v>
      </c>
      <c r="D22" s="507">
        <v>37.5</v>
      </c>
      <c r="E22" s="507">
        <v>18</v>
      </c>
      <c r="F22" s="507">
        <v>72.099999999999994</v>
      </c>
      <c r="G22" s="507">
        <v>115.3</v>
      </c>
      <c r="H22" s="507">
        <v>318</v>
      </c>
      <c r="I22" s="507">
        <v>723.1</v>
      </c>
      <c r="J22" s="507">
        <v>289.39999999999998</v>
      </c>
      <c r="K22" s="507">
        <v>70.8</v>
      </c>
      <c r="L22" s="507">
        <v>13.9</v>
      </c>
      <c r="M22" s="507">
        <v>61.3</v>
      </c>
      <c r="N22" s="513">
        <v>12.5</v>
      </c>
      <c r="O22" s="521">
        <f t="shared" si="0"/>
        <v>1743</v>
      </c>
      <c r="P22" s="325">
        <f t="shared" si="1"/>
        <v>145.30000000000001</v>
      </c>
    </row>
    <row r="23" spans="2:19" ht="22.5" customHeight="1">
      <c r="B23" s="340">
        <v>2012</v>
      </c>
      <c r="C23" s="507">
        <v>24.2</v>
      </c>
      <c r="D23" s="507">
        <v>9.1999999999999993</v>
      </c>
      <c r="E23" s="507">
        <v>45</v>
      </c>
      <c r="F23" s="507">
        <v>68.900000000000006</v>
      </c>
      <c r="G23" s="507">
        <v>14.6</v>
      </c>
      <c r="H23" s="507">
        <v>76.8</v>
      </c>
      <c r="I23" s="507">
        <v>231.1</v>
      </c>
      <c r="J23" s="507">
        <v>450.2</v>
      </c>
      <c r="K23" s="507">
        <v>207.7</v>
      </c>
      <c r="L23" s="507">
        <v>65</v>
      </c>
      <c r="M23" s="507">
        <v>61.1</v>
      </c>
      <c r="N23" s="513">
        <v>65.2</v>
      </c>
      <c r="O23" s="521">
        <f t="shared" si="0"/>
        <v>1319</v>
      </c>
      <c r="P23" s="325">
        <f t="shared" si="1"/>
        <v>109.9</v>
      </c>
    </row>
    <row r="24" spans="2:19" ht="22.5" customHeight="1">
      <c r="B24" s="340">
        <v>2013</v>
      </c>
      <c r="C24" s="507">
        <v>28.4</v>
      </c>
      <c r="D24" s="507">
        <v>40.700000000000003</v>
      </c>
      <c r="E24" s="507">
        <v>53.4</v>
      </c>
      <c r="F24" s="507">
        <v>68.2</v>
      </c>
      <c r="G24" s="507">
        <v>116.6</v>
      </c>
      <c r="H24" s="507">
        <v>159.9</v>
      </c>
      <c r="I24" s="507">
        <v>267.5</v>
      </c>
      <c r="J24" s="507">
        <v>214.6</v>
      </c>
      <c r="K24" s="507">
        <v>320</v>
      </c>
      <c r="L24" s="507">
        <v>10.9</v>
      </c>
      <c r="M24" s="507">
        <v>81.099999999999994</v>
      </c>
      <c r="N24" s="513">
        <v>26.4</v>
      </c>
      <c r="O24" s="521">
        <f t="shared" si="0"/>
        <v>1387.7</v>
      </c>
      <c r="P24" s="325">
        <f t="shared" si="1"/>
        <v>115.6</v>
      </c>
    </row>
    <row r="25" spans="2:19" ht="22.5" customHeight="1">
      <c r="B25" s="340">
        <v>2014</v>
      </c>
      <c r="C25" s="507">
        <v>3.4</v>
      </c>
      <c r="D25" s="507">
        <v>20.5</v>
      </c>
      <c r="E25" s="507">
        <v>56.3</v>
      </c>
      <c r="F25" s="507">
        <v>70</v>
      </c>
      <c r="G25" s="507">
        <v>47.1</v>
      </c>
      <c r="H25" s="507">
        <v>125.8</v>
      </c>
      <c r="I25" s="507">
        <v>104</v>
      </c>
      <c r="J25" s="507">
        <v>168.5</v>
      </c>
      <c r="K25" s="507">
        <v>152</v>
      </c>
      <c r="L25" s="507">
        <v>156</v>
      </c>
      <c r="M25" s="507">
        <v>39.9</v>
      </c>
      <c r="N25" s="513">
        <v>66.599999999999994</v>
      </c>
      <c r="O25" s="521">
        <f t="shared" si="0"/>
        <v>1010.1</v>
      </c>
      <c r="P25" s="325">
        <f t="shared" si="1"/>
        <v>84.2</v>
      </c>
    </row>
    <row r="26" spans="2:19" ht="22.5" customHeight="1">
      <c r="B26" s="340">
        <v>2015</v>
      </c>
      <c r="C26" s="507">
        <v>29.9</v>
      </c>
      <c r="D26" s="507">
        <v>23.4</v>
      </c>
      <c r="E26" s="507">
        <v>30.9</v>
      </c>
      <c r="F26" s="507">
        <v>129.69999999999999</v>
      </c>
      <c r="G26" s="507">
        <v>38.799999999999997</v>
      </c>
      <c r="H26" s="507">
        <v>83.9</v>
      </c>
      <c r="I26" s="507">
        <v>94.7</v>
      </c>
      <c r="J26" s="507">
        <v>30.2</v>
      </c>
      <c r="K26" s="507">
        <v>13.3</v>
      </c>
      <c r="L26" s="507">
        <v>90</v>
      </c>
      <c r="M26" s="507">
        <v>155.6</v>
      </c>
      <c r="N26" s="513">
        <v>65</v>
      </c>
      <c r="O26" s="521">
        <f t="shared" si="0"/>
        <v>785.4</v>
      </c>
      <c r="P26" s="325">
        <f t="shared" si="1"/>
        <v>65.5</v>
      </c>
    </row>
    <row r="27" spans="2:19" ht="22.5" customHeight="1">
      <c r="B27" s="340">
        <v>2016</v>
      </c>
      <c r="C27" s="507">
        <v>7.8</v>
      </c>
      <c r="D27" s="507">
        <v>54.2</v>
      </c>
      <c r="E27" s="507">
        <v>18.7</v>
      </c>
      <c r="F27" s="507">
        <v>105.1</v>
      </c>
      <c r="G27" s="507">
        <v>146.5</v>
      </c>
      <c r="H27" s="507">
        <v>23.7</v>
      </c>
      <c r="I27" s="507">
        <v>200.2</v>
      </c>
      <c r="J27" s="507">
        <v>5.0999999999999996</v>
      </c>
      <c r="K27" s="507">
        <v>73.400000000000006</v>
      </c>
      <c r="L27" s="507">
        <v>108</v>
      </c>
      <c r="M27" s="507">
        <v>5.6</v>
      </c>
      <c r="N27" s="513">
        <v>44.5</v>
      </c>
      <c r="O27" s="521">
        <f t="shared" si="0"/>
        <v>792.8</v>
      </c>
      <c r="P27" s="325">
        <f t="shared" si="1"/>
        <v>66.099999999999994</v>
      </c>
    </row>
    <row r="28" spans="2:19" ht="22.5" customHeight="1">
      <c r="B28" s="340">
        <v>2017</v>
      </c>
      <c r="C28" s="507">
        <v>14.8</v>
      </c>
      <c r="D28" s="507">
        <v>30.2</v>
      </c>
      <c r="E28" s="507">
        <v>14.4</v>
      </c>
      <c r="F28" s="507">
        <v>57.6</v>
      </c>
      <c r="G28" s="507">
        <v>58.9</v>
      </c>
      <c r="H28" s="507">
        <v>21.1</v>
      </c>
      <c r="I28" s="507">
        <v>278.10000000000002</v>
      </c>
      <c r="J28" s="507">
        <v>210</v>
      </c>
      <c r="K28" s="507">
        <v>90</v>
      </c>
      <c r="L28" s="507">
        <v>26.6</v>
      </c>
      <c r="M28" s="507">
        <v>15.9</v>
      </c>
      <c r="N28" s="513">
        <v>38.6</v>
      </c>
      <c r="O28" s="521">
        <f t="shared" si="0"/>
        <v>856.2</v>
      </c>
      <c r="P28" s="325">
        <f t="shared" si="1"/>
        <v>71.400000000000006</v>
      </c>
    </row>
    <row r="29" spans="2:19" ht="22.5" customHeight="1">
      <c r="B29" s="340">
        <v>2018</v>
      </c>
      <c r="C29" s="507">
        <v>15</v>
      </c>
      <c r="D29" s="507">
        <v>33.6</v>
      </c>
      <c r="E29" s="507">
        <v>92</v>
      </c>
      <c r="F29" s="507">
        <v>128.1</v>
      </c>
      <c r="G29" s="507">
        <v>104.5</v>
      </c>
      <c r="H29" s="507">
        <v>71</v>
      </c>
      <c r="I29" s="507">
        <v>262.7</v>
      </c>
      <c r="J29" s="507">
        <v>239.6</v>
      </c>
      <c r="K29" s="507">
        <v>158.19999999999999</v>
      </c>
      <c r="L29" s="507">
        <v>154.69999999999999</v>
      </c>
      <c r="M29" s="507">
        <v>46.7</v>
      </c>
      <c r="N29" s="513">
        <v>31.1</v>
      </c>
      <c r="O29" s="521">
        <f t="shared" si="0"/>
        <v>1337.2</v>
      </c>
      <c r="P29" s="325">
        <f t="shared" si="1"/>
        <v>111.4</v>
      </c>
    </row>
    <row r="30" spans="2:19" ht="22.5" customHeight="1">
      <c r="B30" s="340">
        <v>2019</v>
      </c>
      <c r="C30" s="507">
        <v>1.9</v>
      </c>
      <c r="D30" s="507">
        <v>17.8</v>
      </c>
      <c r="E30" s="507">
        <v>18.2</v>
      </c>
      <c r="F30" s="507">
        <v>71.900000000000006</v>
      </c>
      <c r="G30" s="507">
        <v>31.3</v>
      </c>
      <c r="H30" s="507">
        <v>56</v>
      </c>
      <c r="I30" s="507">
        <v>149</v>
      </c>
      <c r="J30" s="507">
        <v>131.30000000000001</v>
      </c>
      <c r="K30" s="507">
        <v>118.7</v>
      </c>
      <c r="L30" s="507">
        <v>63.9</v>
      </c>
      <c r="M30" s="507">
        <v>130.6</v>
      </c>
      <c r="N30" s="513">
        <v>31.3</v>
      </c>
      <c r="O30" s="521">
        <f t="shared" si="0"/>
        <v>821.9</v>
      </c>
      <c r="P30" s="325">
        <f t="shared" si="1"/>
        <v>68.5</v>
      </c>
    </row>
    <row r="31" spans="2:19" ht="22.5" customHeight="1">
      <c r="B31" s="340">
        <v>2020</v>
      </c>
      <c r="C31" s="507">
        <v>49.4</v>
      </c>
      <c r="D31" s="507">
        <v>75.3</v>
      </c>
      <c r="E31" s="507">
        <v>22.8</v>
      </c>
      <c r="F31" s="507">
        <v>16.5</v>
      </c>
      <c r="G31" s="507">
        <v>92.4</v>
      </c>
      <c r="H31" s="507">
        <v>139.69999999999999</v>
      </c>
      <c r="I31" s="507">
        <v>345.9</v>
      </c>
      <c r="J31" s="507">
        <v>321.5</v>
      </c>
      <c r="K31" s="507">
        <v>177.1</v>
      </c>
      <c r="L31" s="507">
        <v>16.2</v>
      </c>
      <c r="M31" s="507">
        <v>35.4</v>
      </c>
      <c r="N31" s="513">
        <v>9.6999999999999993</v>
      </c>
      <c r="O31" s="521">
        <f t="shared" si="0"/>
        <v>1301.9000000000001</v>
      </c>
      <c r="P31" s="325">
        <f t="shared" si="1"/>
        <v>108.5</v>
      </c>
    </row>
    <row r="32" spans="2:19" ht="22.5" customHeight="1">
      <c r="B32" s="340">
        <v>2021</v>
      </c>
      <c r="C32" s="507">
        <v>32</v>
      </c>
      <c r="D32" s="507">
        <v>18.7</v>
      </c>
      <c r="E32" s="507">
        <v>76.099999999999994</v>
      </c>
      <c r="F32" s="507">
        <v>43.4</v>
      </c>
      <c r="G32" s="507">
        <v>110</v>
      </c>
      <c r="H32" s="507">
        <v>55</v>
      </c>
      <c r="I32" s="507">
        <v>131.30000000000001</v>
      </c>
      <c r="J32" s="507">
        <v>253.7</v>
      </c>
      <c r="K32" s="507">
        <v>215.9</v>
      </c>
      <c r="L32" s="507">
        <v>39.6</v>
      </c>
      <c r="M32" s="507">
        <v>117.8</v>
      </c>
      <c r="N32" s="513">
        <v>14.4</v>
      </c>
      <c r="O32" s="521">
        <f t="shared" si="0"/>
        <v>1107.9000000000001</v>
      </c>
      <c r="P32" s="325">
        <f t="shared" si="1"/>
        <v>92.3</v>
      </c>
    </row>
    <row r="33" spans="2:16" ht="22.5" customHeight="1">
      <c r="B33" s="340">
        <v>2022</v>
      </c>
      <c r="C33" s="507">
        <v>8.4</v>
      </c>
      <c r="D33" s="507">
        <v>5.3</v>
      </c>
      <c r="E33" s="507">
        <v>60.9</v>
      </c>
      <c r="F33" s="507">
        <v>34.799999999999997</v>
      </c>
      <c r="G33" s="507">
        <v>5.7</v>
      </c>
      <c r="H33" s="507">
        <v>225</v>
      </c>
      <c r="I33" s="507">
        <v>119.9</v>
      </c>
      <c r="J33" s="507">
        <v>637.1</v>
      </c>
      <c r="K33" s="507">
        <v>102</v>
      </c>
      <c r="L33" s="507">
        <v>112</v>
      </c>
      <c r="M33" s="507">
        <v>23.3</v>
      </c>
      <c r="N33" s="513">
        <v>14</v>
      </c>
      <c r="O33" s="521">
        <f t="shared" si="0"/>
        <v>1348.4</v>
      </c>
      <c r="P33" s="325">
        <f t="shared" si="1"/>
        <v>112.4</v>
      </c>
    </row>
    <row r="34" spans="2:16" ht="22.5" customHeight="1" thickBot="1">
      <c r="B34" s="524">
        <v>2023</v>
      </c>
      <c r="C34" s="525">
        <v>19.2</v>
      </c>
      <c r="D34" s="525">
        <v>0.4</v>
      </c>
      <c r="E34" s="525">
        <v>7.2</v>
      </c>
      <c r="F34" s="525">
        <v>42.4</v>
      </c>
      <c r="G34" s="525">
        <v>190.8</v>
      </c>
      <c r="H34" s="525">
        <v>95.1</v>
      </c>
      <c r="I34" s="525">
        <v>772.2</v>
      </c>
      <c r="J34" s="525">
        <v>107.8</v>
      </c>
      <c r="K34" s="525">
        <v>288.39999999999998</v>
      </c>
      <c r="L34" s="525">
        <v>25.5</v>
      </c>
      <c r="M34" s="525">
        <v>65.2</v>
      </c>
      <c r="N34" s="526">
        <v>110.6</v>
      </c>
      <c r="O34" s="527">
        <f t="shared" si="0"/>
        <v>1724.8</v>
      </c>
      <c r="P34" s="528">
        <f t="shared" si="1"/>
        <v>143.69999999999999</v>
      </c>
    </row>
    <row r="35" spans="2:16" ht="22.5" customHeight="1">
      <c r="B35" s="427" t="s">
        <v>36</v>
      </c>
      <c r="C35" s="529">
        <f>MAX(C5:C34)</f>
        <v>73.3</v>
      </c>
      <c r="D35" s="529">
        <f t="shared" ref="D35:N35" si="2">MAX(D5:D34)</f>
        <v>75.3</v>
      </c>
      <c r="E35" s="529">
        <f t="shared" si="2"/>
        <v>104.5</v>
      </c>
      <c r="F35" s="529">
        <f t="shared" si="2"/>
        <v>169</v>
      </c>
      <c r="G35" s="529">
        <f t="shared" si="2"/>
        <v>203</v>
      </c>
      <c r="H35" s="529">
        <f t="shared" si="2"/>
        <v>318</v>
      </c>
      <c r="I35" s="529">
        <f t="shared" si="2"/>
        <v>772.2</v>
      </c>
      <c r="J35" s="529">
        <f t="shared" si="2"/>
        <v>996.5</v>
      </c>
      <c r="K35" s="529">
        <f t="shared" si="2"/>
        <v>2146</v>
      </c>
      <c r="L35" s="529">
        <f t="shared" si="2"/>
        <v>169</v>
      </c>
      <c r="M35" s="529">
        <f t="shared" si="2"/>
        <v>193.5</v>
      </c>
      <c r="N35" s="428">
        <f t="shared" si="2"/>
        <v>110.6</v>
      </c>
      <c r="O35" s="530">
        <f t="shared" ref="O35" si="3">MAX(O5:O34)</f>
        <v>3572.2</v>
      </c>
      <c r="P35" s="428">
        <f>MAX(P5:P34)</f>
        <v>297.7</v>
      </c>
    </row>
    <row r="36" spans="2:16" ht="22.5" customHeight="1">
      <c r="B36" s="340" t="s">
        <v>37</v>
      </c>
      <c r="C36" s="144">
        <f>ROUND(MIN(C5:C34),1)</f>
        <v>1.9</v>
      </c>
      <c r="D36" s="144">
        <f t="shared" ref="D36:N36" si="4">ROUND(MIN(D5:D34),1)</f>
        <v>0.4</v>
      </c>
      <c r="E36" s="144">
        <f t="shared" si="4"/>
        <v>7</v>
      </c>
      <c r="F36" s="144">
        <f t="shared" si="4"/>
        <v>16.5</v>
      </c>
      <c r="G36" s="144">
        <f t="shared" si="4"/>
        <v>5.7</v>
      </c>
      <c r="H36" s="144">
        <f t="shared" si="4"/>
        <v>21.1</v>
      </c>
      <c r="I36" s="144">
        <f t="shared" si="4"/>
        <v>94.7</v>
      </c>
      <c r="J36" s="144">
        <f t="shared" si="4"/>
        <v>5.0999999999999996</v>
      </c>
      <c r="K36" s="144">
        <f t="shared" si="4"/>
        <v>13.3</v>
      </c>
      <c r="L36" s="144">
        <f t="shared" si="4"/>
        <v>4</v>
      </c>
      <c r="M36" s="144">
        <f t="shared" si="4"/>
        <v>5.6</v>
      </c>
      <c r="N36" s="325">
        <f t="shared" si="4"/>
        <v>3.8</v>
      </c>
      <c r="O36" s="522">
        <f>ROUND(MIN(O5:O34),1)</f>
        <v>785.4</v>
      </c>
      <c r="P36" s="513">
        <f>ROUND(MIN(P5:P34),1)</f>
        <v>65.5</v>
      </c>
    </row>
    <row r="37" spans="2:16" ht="22.5" customHeight="1" thickBot="1">
      <c r="B37" s="308" t="s">
        <v>45</v>
      </c>
      <c r="C37" s="306">
        <f>ROUND(AVERAGE(C5:C34),1)</f>
        <v>23.7</v>
      </c>
      <c r="D37" s="306">
        <f t="shared" ref="D37:N37" si="5">ROUND(AVERAGE(D5:D34),1)</f>
        <v>26.9</v>
      </c>
      <c r="E37" s="306">
        <f t="shared" si="5"/>
        <v>43</v>
      </c>
      <c r="F37" s="306">
        <f t="shared" si="5"/>
        <v>70.8</v>
      </c>
      <c r="G37" s="306">
        <f t="shared" si="5"/>
        <v>89.9</v>
      </c>
      <c r="H37" s="306">
        <f t="shared" si="5"/>
        <v>132.5</v>
      </c>
      <c r="I37" s="306">
        <f t="shared" si="5"/>
        <v>262.3</v>
      </c>
      <c r="J37" s="306">
        <f t="shared" si="5"/>
        <v>278.39999999999998</v>
      </c>
      <c r="K37" s="306">
        <f t="shared" si="5"/>
        <v>225.2</v>
      </c>
      <c r="L37" s="306">
        <f t="shared" si="5"/>
        <v>63</v>
      </c>
      <c r="M37" s="306">
        <f t="shared" si="5"/>
        <v>54</v>
      </c>
      <c r="N37" s="309">
        <f t="shared" si="5"/>
        <v>34.799999999999997</v>
      </c>
      <c r="O37" s="523">
        <f>ROUND(AVERAGE(O5:O34),1)</f>
        <v>1304.4000000000001</v>
      </c>
      <c r="P37" s="516">
        <f>ROUND(AVERAGE(P5:P34),1)</f>
        <v>108.7</v>
      </c>
    </row>
    <row r="38" spans="2:16" ht="21.95" customHeight="1"/>
    <row r="39" spans="2:16" ht="21.95" customHeight="1" thickBot="1"/>
    <row r="40" spans="2:16" ht="34.5" customHeight="1">
      <c r="B40" s="509" t="s">
        <v>40</v>
      </c>
      <c r="C40" s="510" t="s">
        <v>31</v>
      </c>
      <c r="D40" s="510" t="s">
        <v>32</v>
      </c>
      <c r="E40" s="510" t="s">
        <v>33</v>
      </c>
      <c r="F40" s="510" t="s">
        <v>34</v>
      </c>
      <c r="G40" s="510" t="s">
        <v>35</v>
      </c>
      <c r="H40" s="510" t="s">
        <v>12</v>
      </c>
      <c r="I40" s="510" t="s">
        <v>13</v>
      </c>
      <c r="J40" s="510" t="s">
        <v>14</v>
      </c>
      <c r="K40" s="510" t="s">
        <v>15</v>
      </c>
      <c r="L40" s="510" t="s">
        <v>16</v>
      </c>
      <c r="M40" s="510" t="s">
        <v>17</v>
      </c>
      <c r="N40" s="531" t="s">
        <v>18</v>
      </c>
      <c r="O40" s="509" t="s">
        <v>43</v>
      </c>
      <c r="P40" s="511" t="s">
        <v>30</v>
      </c>
    </row>
    <row r="41" spans="2:16" ht="22.5" customHeight="1">
      <c r="B41" s="512">
        <f>B25</f>
        <v>2014</v>
      </c>
      <c r="C41" s="507">
        <f t="shared" ref="C41:N41" si="6">C25</f>
        <v>3.4</v>
      </c>
      <c r="D41" s="507">
        <f t="shared" si="6"/>
        <v>20.5</v>
      </c>
      <c r="E41" s="507">
        <f t="shared" si="6"/>
        <v>56.3</v>
      </c>
      <c r="F41" s="507">
        <f t="shared" si="6"/>
        <v>70</v>
      </c>
      <c r="G41" s="507">
        <f t="shared" si="6"/>
        <v>47.1</v>
      </c>
      <c r="H41" s="507">
        <f t="shared" si="6"/>
        <v>125.8</v>
      </c>
      <c r="I41" s="507">
        <f t="shared" si="6"/>
        <v>104</v>
      </c>
      <c r="J41" s="507">
        <f t="shared" si="6"/>
        <v>168.5</v>
      </c>
      <c r="K41" s="507">
        <f t="shared" si="6"/>
        <v>152</v>
      </c>
      <c r="L41" s="507">
        <f t="shared" si="6"/>
        <v>156</v>
      </c>
      <c r="M41" s="507">
        <f t="shared" si="6"/>
        <v>39.9</v>
      </c>
      <c r="N41" s="532">
        <f t="shared" si="6"/>
        <v>66.599999999999994</v>
      </c>
      <c r="O41" s="512">
        <f>ROUND(SUM(C41:N41),1)</f>
        <v>1010.1</v>
      </c>
      <c r="P41" s="513">
        <f>ROUND(O41/12,1)</f>
        <v>84.2</v>
      </c>
    </row>
    <row r="42" spans="2:16" ht="22.5" customHeight="1">
      <c r="B42" s="512">
        <f t="shared" ref="B42:N42" si="7">B26</f>
        <v>2015</v>
      </c>
      <c r="C42" s="507">
        <f t="shared" si="7"/>
        <v>29.9</v>
      </c>
      <c r="D42" s="507">
        <f t="shared" si="7"/>
        <v>23.4</v>
      </c>
      <c r="E42" s="507">
        <f t="shared" si="7"/>
        <v>30.9</v>
      </c>
      <c r="F42" s="507">
        <f t="shared" si="7"/>
        <v>129.69999999999999</v>
      </c>
      <c r="G42" s="507">
        <f t="shared" si="7"/>
        <v>38.799999999999997</v>
      </c>
      <c r="H42" s="507">
        <f t="shared" si="7"/>
        <v>83.9</v>
      </c>
      <c r="I42" s="507">
        <f t="shared" si="7"/>
        <v>94.7</v>
      </c>
      <c r="J42" s="507">
        <f t="shared" si="7"/>
        <v>30.2</v>
      </c>
      <c r="K42" s="507">
        <f t="shared" si="7"/>
        <v>13.3</v>
      </c>
      <c r="L42" s="507">
        <f t="shared" si="7"/>
        <v>90</v>
      </c>
      <c r="M42" s="507">
        <f t="shared" si="7"/>
        <v>155.6</v>
      </c>
      <c r="N42" s="532">
        <f t="shared" si="7"/>
        <v>65</v>
      </c>
      <c r="O42" s="512">
        <f t="shared" ref="O42:O50" si="8">ROUND(SUM(C42:N42),1)</f>
        <v>785.4</v>
      </c>
      <c r="P42" s="513">
        <f t="shared" ref="P42:P50" si="9">ROUND(O42/12,1)</f>
        <v>65.5</v>
      </c>
    </row>
    <row r="43" spans="2:16" ht="22.5" customHeight="1">
      <c r="B43" s="512">
        <f t="shared" ref="B43:N43" si="10">B27</f>
        <v>2016</v>
      </c>
      <c r="C43" s="507">
        <f t="shared" si="10"/>
        <v>7.8</v>
      </c>
      <c r="D43" s="507">
        <f t="shared" si="10"/>
        <v>54.2</v>
      </c>
      <c r="E43" s="507">
        <f t="shared" si="10"/>
        <v>18.7</v>
      </c>
      <c r="F43" s="507">
        <f t="shared" si="10"/>
        <v>105.1</v>
      </c>
      <c r="G43" s="507">
        <f t="shared" si="10"/>
        <v>146.5</v>
      </c>
      <c r="H43" s="507">
        <f t="shared" si="10"/>
        <v>23.7</v>
      </c>
      <c r="I43" s="507">
        <f t="shared" si="10"/>
        <v>200.2</v>
      </c>
      <c r="J43" s="507">
        <f t="shared" si="10"/>
        <v>5.0999999999999996</v>
      </c>
      <c r="K43" s="507">
        <f t="shared" si="10"/>
        <v>73.400000000000006</v>
      </c>
      <c r="L43" s="507">
        <f t="shared" si="10"/>
        <v>108</v>
      </c>
      <c r="M43" s="507">
        <f t="shared" si="10"/>
        <v>5.6</v>
      </c>
      <c r="N43" s="532">
        <f t="shared" si="10"/>
        <v>44.5</v>
      </c>
      <c r="O43" s="512">
        <f t="shared" si="8"/>
        <v>792.8</v>
      </c>
      <c r="P43" s="513">
        <f t="shared" si="9"/>
        <v>66.099999999999994</v>
      </c>
    </row>
    <row r="44" spans="2:16" ht="22.5" customHeight="1">
      <c r="B44" s="512">
        <f t="shared" ref="B44:N44" si="11">B28</f>
        <v>2017</v>
      </c>
      <c r="C44" s="507">
        <f t="shared" si="11"/>
        <v>14.8</v>
      </c>
      <c r="D44" s="507">
        <f t="shared" si="11"/>
        <v>30.2</v>
      </c>
      <c r="E44" s="507">
        <f t="shared" si="11"/>
        <v>14.4</v>
      </c>
      <c r="F44" s="507">
        <f t="shared" si="11"/>
        <v>57.6</v>
      </c>
      <c r="G44" s="507">
        <f t="shared" si="11"/>
        <v>58.9</v>
      </c>
      <c r="H44" s="507">
        <f t="shared" si="11"/>
        <v>21.1</v>
      </c>
      <c r="I44" s="507">
        <f t="shared" si="11"/>
        <v>278.10000000000002</v>
      </c>
      <c r="J44" s="507">
        <f t="shared" si="11"/>
        <v>210</v>
      </c>
      <c r="K44" s="507">
        <f t="shared" si="11"/>
        <v>90</v>
      </c>
      <c r="L44" s="507">
        <f t="shared" si="11"/>
        <v>26.6</v>
      </c>
      <c r="M44" s="507">
        <f t="shared" si="11"/>
        <v>15.9</v>
      </c>
      <c r="N44" s="532">
        <f t="shared" si="11"/>
        <v>38.6</v>
      </c>
      <c r="O44" s="512">
        <f t="shared" si="8"/>
        <v>856.2</v>
      </c>
      <c r="P44" s="513">
        <f t="shared" si="9"/>
        <v>71.400000000000006</v>
      </c>
    </row>
    <row r="45" spans="2:16" ht="22.5" customHeight="1">
      <c r="B45" s="512">
        <f t="shared" ref="B45:N45" si="12">B29</f>
        <v>2018</v>
      </c>
      <c r="C45" s="507">
        <f t="shared" si="12"/>
        <v>15</v>
      </c>
      <c r="D45" s="507">
        <f t="shared" si="12"/>
        <v>33.6</v>
      </c>
      <c r="E45" s="507">
        <f t="shared" si="12"/>
        <v>92</v>
      </c>
      <c r="F45" s="507">
        <f t="shared" si="12"/>
        <v>128.1</v>
      </c>
      <c r="G45" s="507">
        <f t="shared" si="12"/>
        <v>104.5</v>
      </c>
      <c r="H45" s="507">
        <f t="shared" si="12"/>
        <v>71</v>
      </c>
      <c r="I45" s="507">
        <f t="shared" si="12"/>
        <v>262.7</v>
      </c>
      <c r="J45" s="507">
        <f t="shared" si="12"/>
        <v>239.6</v>
      </c>
      <c r="K45" s="507">
        <f t="shared" si="12"/>
        <v>158.19999999999999</v>
      </c>
      <c r="L45" s="507">
        <f t="shared" si="12"/>
        <v>154.69999999999999</v>
      </c>
      <c r="M45" s="507">
        <f t="shared" si="12"/>
        <v>46.7</v>
      </c>
      <c r="N45" s="532">
        <f t="shared" si="12"/>
        <v>31.1</v>
      </c>
      <c r="O45" s="512">
        <f t="shared" si="8"/>
        <v>1337.2</v>
      </c>
      <c r="P45" s="513">
        <f t="shared" si="9"/>
        <v>111.4</v>
      </c>
    </row>
    <row r="46" spans="2:16" ht="22.5" customHeight="1">
      <c r="B46" s="512">
        <f t="shared" ref="B46:N46" si="13">B30</f>
        <v>2019</v>
      </c>
      <c r="C46" s="507">
        <f t="shared" si="13"/>
        <v>1.9</v>
      </c>
      <c r="D46" s="507">
        <f t="shared" si="13"/>
        <v>17.8</v>
      </c>
      <c r="E46" s="507">
        <f t="shared" si="13"/>
        <v>18.2</v>
      </c>
      <c r="F46" s="507">
        <f t="shared" si="13"/>
        <v>71.900000000000006</v>
      </c>
      <c r="G46" s="507">
        <f t="shared" si="13"/>
        <v>31.3</v>
      </c>
      <c r="H46" s="507">
        <f t="shared" si="13"/>
        <v>56</v>
      </c>
      <c r="I46" s="507">
        <f t="shared" si="13"/>
        <v>149</v>
      </c>
      <c r="J46" s="507">
        <f t="shared" si="13"/>
        <v>131.30000000000001</v>
      </c>
      <c r="K46" s="507">
        <f t="shared" si="13"/>
        <v>118.7</v>
      </c>
      <c r="L46" s="507">
        <f t="shared" si="13"/>
        <v>63.9</v>
      </c>
      <c r="M46" s="507">
        <f t="shared" si="13"/>
        <v>130.6</v>
      </c>
      <c r="N46" s="532">
        <f t="shared" si="13"/>
        <v>31.3</v>
      </c>
      <c r="O46" s="512">
        <f t="shared" si="8"/>
        <v>821.9</v>
      </c>
      <c r="P46" s="513">
        <f t="shared" si="9"/>
        <v>68.5</v>
      </c>
    </row>
    <row r="47" spans="2:16" ht="22.5" customHeight="1">
      <c r="B47" s="512">
        <f t="shared" ref="B47:N47" si="14">B31</f>
        <v>2020</v>
      </c>
      <c r="C47" s="507">
        <f t="shared" si="14"/>
        <v>49.4</v>
      </c>
      <c r="D47" s="507">
        <f t="shared" si="14"/>
        <v>75.3</v>
      </c>
      <c r="E47" s="507">
        <f t="shared" si="14"/>
        <v>22.8</v>
      </c>
      <c r="F47" s="507">
        <f t="shared" si="14"/>
        <v>16.5</v>
      </c>
      <c r="G47" s="507">
        <f t="shared" si="14"/>
        <v>92.4</v>
      </c>
      <c r="H47" s="507">
        <f t="shared" si="14"/>
        <v>139.69999999999999</v>
      </c>
      <c r="I47" s="507">
        <f t="shared" si="14"/>
        <v>345.9</v>
      </c>
      <c r="J47" s="507">
        <f t="shared" si="14"/>
        <v>321.5</v>
      </c>
      <c r="K47" s="507">
        <f t="shared" si="14"/>
        <v>177.1</v>
      </c>
      <c r="L47" s="507">
        <f t="shared" si="14"/>
        <v>16.2</v>
      </c>
      <c r="M47" s="507">
        <f t="shared" si="14"/>
        <v>35.4</v>
      </c>
      <c r="N47" s="532">
        <f t="shared" si="14"/>
        <v>9.6999999999999993</v>
      </c>
      <c r="O47" s="512">
        <f t="shared" si="8"/>
        <v>1301.9000000000001</v>
      </c>
      <c r="P47" s="513">
        <f t="shared" si="9"/>
        <v>108.5</v>
      </c>
    </row>
    <row r="48" spans="2:16" ht="22.5" customHeight="1">
      <c r="B48" s="512">
        <f t="shared" ref="B48:N48" si="15">B32</f>
        <v>2021</v>
      </c>
      <c r="C48" s="507">
        <f t="shared" si="15"/>
        <v>32</v>
      </c>
      <c r="D48" s="507">
        <f t="shared" si="15"/>
        <v>18.7</v>
      </c>
      <c r="E48" s="507">
        <f t="shared" si="15"/>
        <v>76.099999999999994</v>
      </c>
      <c r="F48" s="507">
        <f t="shared" si="15"/>
        <v>43.4</v>
      </c>
      <c r="G48" s="507">
        <f t="shared" si="15"/>
        <v>110</v>
      </c>
      <c r="H48" s="507">
        <f t="shared" si="15"/>
        <v>55</v>
      </c>
      <c r="I48" s="507">
        <f t="shared" si="15"/>
        <v>131.30000000000001</v>
      </c>
      <c r="J48" s="507">
        <f t="shared" si="15"/>
        <v>253.7</v>
      </c>
      <c r="K48" s="507">
        <f t="shared" si="15"/>
        <v>215.9</v>
      </c>
      <c r="L48" s="507">
        <f t="shared" si="15"/>
        <v>39.6</v>
      </c>
      <c r="M48" s="507">
        <f t="shared" si="15"/>
        <v>117.8</v>
      </c>
      <c r="N48" s="532">
        <f t="shared" si="15"/>
        <v>14.4</v>
      </c>
      <c r="O48" s="512">
        <f t="shared" si="8"/>
        <v>1107.9000000000001</v>
      </c>
      <c r="P48" s="513">
        <f t="shared" si="9"/>
        <v>92.3</v>
      </c>
    </row>
    <row r="49" spans="2:16" ht="22.5" customHeight="1">
      <c r="B49" s="512">
        <f t="shared" ref="B49:N49" si="16">B33</f>
        <v>2022</v>
      </c>
      <c r="C49" s="507">
        <f t="shared" si="16"/>
        <v>8.4</v>
      </c>
      <c r="D49" s="507">
        <f t="shared" si="16"/>
        <v>5.3</v>
      </c>
      <c r="E49" s="507">
        <f t="shared" si="16"/>
        <v>60.9</v>
      </c>
      <c r="F49" s="507">
        <f t="shared" si="16"/>
        <v>34.799999999999997</v>
      </c>
      <c r="G49" s="507">
        <f t="shared" si="16"/>
        <v>5.7</v>
      </c>
      <c r="H49" s="507">
        <f t="shared" si="16"/>
        <v>225</v>
      </c>
      <c r="I49" s="507">
        <f t="shared" si="16"/>
        <v>119.9</v>
      </c>
      <c r="J49" s="507">
        <f t="shared" si="16"/>
        <v>637.1</v>
      </c>
      <c r="K49" s="507">
        <f t="shared" si="16"/>
        <v>102</v>
      </c>
      <c r="L49" s="507">
        <f t="shared" si="16"/>
        <v>112</v>
      </c>
      <c r="M49" s="507">
        <f t="shared" si="16"/>
        <v>23.3</v>
      </c>
      <c r="N49" s="532">
        <f t="shared" si="16"/>
        <v>14</v>
      </c>
      <c r="O49" s="512">
        <f t="shared" si="8"/>
        <v>1348.4</v>
      </c>
      <c r="P49" s="513">
        <f t="shared" si="9"/>
        <v>112.4</v>
      </c>
    </row>
    <row r="50" spans="2:16" ht="22.5" customHeight="1" thickBot="1">
      <c r="B50" s="535">
        <f t="shared" ref="B50:N50" si="17">B34</f>
        <v>2023</v>
      </c>
      <c r="C50" s="525">
        <f t="shared" si="17"/>
        <v>19.2</v>
      </c>
      <c r="D50" s="525">
        <f t="shared" si="17"/>
        <v>0.4</v>
      </c>
      <c r="E50" s="525">
        <f>E34</f>
        <v>7.2</v>
      </c>
      <c r="F50" s="525">
        <f t="shared" si="17"/>
        <v>42.4</v>
      </c>
      <c r="G50" s="525">
        <f t="shared" si="17"/>
        <v>190.8</v>
      </c>
      <c r="H50" s="525">
        <f t="shared" si="17"/>
        <v>95.1</v>
      </c>
      <c r="I50" s="525">
        <f t="shared" si="17"/>
        <v>772.2</v>
      </c>
      <c r="J50" s="525">
        <f t="shared" si="17"/>
        <v>107.8</v>
      </c>
      <c r="K50" s="525">
        <f t="shared" si="17"/>
        <v>288.39999999999998</v>
      </c>
      <c r="L50" s="525">
        <f t="shared" si="17"/>
        <v>25.5</v>
      </c>
      <c r="M50" s="525">
        <f t="shared" si="17"/>
        <v>65.2</v>
      </c>
      <c r="N50" s="536">
        <f t="shared" si="17"/>
        <v>110.6</v>
      </c>
      <c r="O50" s="535">
        <f t="shared" si="8"/>
        <v>1724.8</v>
      </c>
      <c r="P50" s="526">
        <f t="shared" si="9"/>
        <v>143.69999999999999</v>
      </c>
    </row>
    <row r="51" spans="2:16" ht="22.5" customHeight="1">
      <c r="B51" s="537" t="s">
        <v>46</v>
      </c>
      <c r="C51" s="538">
        <f>MAX(C41:C50)</f>
        <v>49.4</v>
      </c>
      <c r="D51" s="538">
        <f t="shared" ref="D51:P51" si="18">MAX(D41:D50)</f>
        <v>75.3</v>
      </c>
      <c r="E51" s="538">
        <f t="shared" si="18"/>
        <v>92</v>
      </c>
      <c r="F51" s="538">
        <f t="shared" si="18"/>
        <v>129.69999999999999</v>
      </c>
      <c r="G51" s="538">
        <f t="shared" si="18"/>
        <v>190.8</v>
      </c>
      <c r="H51" s="538">
        <f t="shared" si="18"/>
        <v>225</v>
      </c>
      <c r="I51" s="538">
        <f t="shared" si="18"/>
        <v>772.2</v>
      </c>
      <c r="J51" s="538">
        <f t="shared" si="18"/>
        <v>637.1</v>
      </c>
      <c r="K51" s="538">
        <f t="shared" si="18"/>
        <v>288.39999999999998</v>
      </c>
      <c r="L51" s="538">
        <f t="shared" si="18"/>
        <v>156</v>
      </c>
      <c r="M51" s="538">
        <f t="shared" si="18"/>
        <v>155.6</v>
      </c>
      <c r="N51" s="539">
        <f t="shared" si="18"/>
        <v>110.6</v>
      </c>
      <c r="O51" s="537">
        <f t="shared" si="18"/>
        <v>1724.8</v>
      </c>
      <c r="P51" s="540">
        <f t="shared" si="18"/>
        <v>143.69999999999999</v>
      </c>
    </row>
    <row r="52" spans="2:16" ht="22.5" customHeight="1">
      <c r="B52" s="512" t="s">
        <v>47</v>
      </c>
      <c r="C52" s="507">
        <f>MIN(C41:C50)</f>
        <v>1.9</v>
      </c>
      <c r="D52" s="507">
        <f t="shared" ref="D52:P52" si="19">MIN(D41:D50)</f>
        <v>0.4</v>
      </c>
      <c r="E52" s="507">
        <f t="shared" si="19"/>
        <v>7.2</v>
      </c>
      <c r="F52" s="507">
        <f t="shared" si="19"/>
        <v>16.5</v>
      </c>
      <c r="G52" s="507">
        <f t="shared" si="19"/>
        <v>5.7</v>
      </c>
      <c r="H52" s="507">
        <f t="shared" si="19"/>
        <v>21.1</v>
      </c>
      <c r="I52" s="507">
        <f t="shared" si="19"/>
        <v>94.7</v>
      </c>
      <c r="J52" s="507">
        <f t="shared" si="19"/>
        <v>5.0999999999999996</v>
      </c>
      <c r="K52" s="507">
        <f t="shared" si="19"/>
        <v>13.3</v>
      </c>
      <c r="L52" s="507">
        <f t="shared" si="19"/>
        <v>16.2</v>
      </c>
      <c r="M52" s="507">
        <f t="shared" si="19"/>
        <v>5.6</v>
      </c>
      <c r="N52" s="532">
        <f t="shared" si="19"/>
        <v>9.6999999999999993</v>
      </c>
      <c r="O52" s="512">
        <f>MIN(O41:O50)</f>
        <v>785.4</v>
      </c>
      <c r="P52" s="513">
        <f t="shared" si="19"/>
        <v>65.5</v>
      </c>
    </row>
    <row r="53" spans="2:16" ht="22.5" customHeight="1" thickBot="1">
      <c r="B53" s="514" t="s">
        <v>30</v>
      </c>
      <c r="C53" s="515">
        <f>ROUND(AVERAGE(C41:C50),1)</f>
        <v>18.2</v>
      </c>
      <c r="D53" s="515">
        <f t="shared" ref="D53:N53" si="20">ROUND(AVERAGE(D41:D50),1)</f>
        <v>27.9</v>
      </c>
      <c r="E53" s="515">
        <f t="shared" si="20"/>
        <v>39.799999999999997</v>
      </c>
      <c r="F53" s="515">
        <f t="shared" si="20"/>
        <v>70</v>
      </c>
      <c r="G53" s="515">
        <f t="shared" si="20"/>
        <v>82.6</v>
      </c>
      <c r="H53" s="515">
        <f t="shared" si="20"/>
        <v>89.6</v>
      </c>
      <c r="I53" s="515">
        <f t="shared" si="20"/>
        <v>245.8</v>
      </c>
      <c r="J53" s="515">
        <f t="shared" si="20"/>
        <v>210.5</v>
      </c>
      <c r="K53" s="515">
        <f t="shared" si="20"/>
        <v>138.9</v>
      </c>
      <c r="L53" s="515">
        <f t="shared" si="20"/>
        <v>79.3</v>
      </c>
      <c r="M53" s="515">
        <f t="shared" si="20"/>
        <v>63.6</v>
      </c>
      <c r="N53" s="533">
        <f t="shared" si="20"/>
        <v>42.6</v>
      </c>
      <c r="O53" s="534">
        <f>ROUND(AVERAGE(O41:O50),1)</f>
        <v>1108.7</v>
      </c>
      <c r="P53" s="516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9" workbookViewId="0">
      <selection activeCell="W52" sqref="W52"/>
    </sheetView>
  </sheetViews>
  <sheetFormatPr defaultColWidth="8.88671875" defaultRowHeight="16.5"/>
  <cols>
    <col min="1" max="1" width="8.88671875" style="143"/>
    <col min="2" max="2" width="8.88671875" style="480"/>
    <col min="3" max="3" width="8" style="480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67"/>
      <c r="C2" s="468" t="s">
        <v>7</v>
      </c>
      <c r="D2" s="468" t="s">
        <v>8</v>
      </c>
      <c r="E2" s="468" t="s">
        <v>9</v>
      </c>
      <c r="F2" s="468" t="s">
        <v>10</v>
      </c>
      <c r="G2" s="468" t="s">
        <v>11</v>
      </c>
      <c r="H2" s="468" t="s">
        <v>12</v>
      </c>
      <c r="I2" s="468" t="s">
        <v>13</v>
      </c>
      <c r="J2" s="468" t="s">
        <v>14</v>
      </c>
      <c r="K2" s="468" t="s">
        <v>15</v>
      </c>
      <c r="L2" s="468" t="s">
        <v>16</v>
      </c>
      <c r="M2" s="468" t="s">
        <v>17</v>
      </c>
      <c r="N2" s="468" t="s">
        <v>18</v>
      </c>
      <c r="O2" s="468" t="s">
        <v>28</v>
      </c>
      <c r="P2" s="469" t="s">
        <v>20</v>
      </c>
    </row>
    <row r="3" spans="2:16">
      <c r="B3" s="470">
        <f>All!B5</f>
        <v>1994</v>
      </c>
      <c r="C3" s="466">
        <f>All!C5</f>
        <v>17.899999999999999</v>
      </c>
      <c r="D3" s="466">
        <f>All!D5</f>
        <v>6</v>
      </c>
      <c r="E3" s="466">
        <f>All!E5</f>
        <v>58.2</v>
      </c>
      <c r="F3" s="466">
        <f>All!F5</f>
        <v>51.5</v>
      </c>
      <c r="G3" s="466">
        <f>All!G5</f>
        <v>135.5</v>
      </c>
      <c r="H3" s="466">
        <f>All!H5</f>
        <v>207</v>
      </c>
      <c r="I3" s="466">
        <f>All!I5</f>
        <v>137</v>
      </c>
      <c r="J3" s="466">
        <f>All!J5</f>
        <v>443.5</v>
      </c>
      <c r="K3" s="466">
        <f>All!K5</f>
        <v>21</v>
      </c>
      <c r="L3" s="466">
        <f>All!L5</f>
        <v>155</v>
      </c>
      <c r="M3" s="466">
        <f>All!M5</f>
        <v>17.5</v>
      </c>
      <c r="N3" s="466">
        <f>All!N5</f>
        <v>18.899999999999999</v>
      </c>
      <c r="O3" s="466">
        <f>All!O5</f>
        <v>1269</v>
      </c>
      <c r="P3" s="471">
        <f>All!P5</f>
        <v>105.8</v>
      </c>
    </row>
    <row r="4" spans="2:16">
      <c r="B4" s="470">
        <f>All!B6</f>
        <v>1995</v>
      </c>
      <c r="C4" s="466">
        <f>All!C6</f>
        <v>15.7</v>
      </c>
      <c r="D4" s="466">
        <f>All!D6</f>
        <v>11</v>
      </c>
      <c r="E4" s="466">
        <f>All!E6</f>
        <v>19.600000000000001</v>
      </c>
      <c r="F4" s="466">
        <f>All!F6</f>
        <v>65.5</v>
      </c>
      <c r="G4" s="466">
        <f>All!G6</f>
        <v>49.5</v>
      </c>
      <c r="H4" s="466">
        <f>All!H6</f>
        <v>26.5</v>
      </c>
      <c r="I4" s="466">
        <f>All!I6</f>
        <v>144.5</v>
      </c>
      <c r="J4" s="466">
        <f>All!J6</f>
        <v>996.5</v>
      </c>
      <c r="K4" s="466">
        <f>All!K6</f>
        <v>613</v>
      </c>
      <c r="L4" s="466">
        <f>All!L6</f>
        <v>24.5</v>
      </c>
      <c r="M4" s="466">
        <f>All!M6</f>
        <v>23</v>
      </c>
      <c r="N4" s="466">
        <f>All!N6</f>
        <v>12.7</v>
      </c>
      <c r="O4" s="466">
        <f>All!O6</f>
        <v>2002</v>
      </c>
      <c r="P4" s="471">
        <f>All!P6</f>
        <v>166.8</v>
      </c>
    </row>
    <row r="5" spans="2:16">
      <c r="B5" s="470">
        <f>All!B7</f>
        <v>1996</v>
      </c>
      <c r="C5" s="466">
        <f>All!C7</f>
        <v>33.4</v>
      </c>
      <c r="D5" s="466">
        <f>All!D7</f>
        <v>6.8</v>
      </c>
      <c r="E5" s="466">
        <f>All!E7</f>
        <v>104.5</v>
      </c>
      <c r="F5" s="466">
        <f>All!F7</f>
        <v>34</v>
      </c>
      <c r="G5" s="466">
        <f>All!G7</f>
        <v>22.5</v>
      </c>
      <c r="H5" s="466">
        <f>All!H7</f>
        <v>235</v>
      </c>
      <c r="I5" s="466">
        <f>All!I7</f>
        <v>192.5</v>
      </c>
      <c r="J5" s="466">
        <f>All!J7</f>
        <v>44.5</v>
      </c>
      <c r="K5" s="466">
        <f>All!K7</f>
        <v>33</v>
      </c>
      <c r="L5" s="466">
        <f>All!L7</f>
        <v>106.5</v>
      </c>
      <c r="M5" s="466">
        <f>All!M7</f>
        <v>74.2</v>
      </c>
      <c r="N5" s="466">
        <f>All!N7</f>
        <v>31.7</v>
      </c>
      <c r="O5" s="466">
        <f>All!O7</f>
        <v>918.6</v>
      </c>
      <c r="P5" s="471">
        <f>All!P7</f>
        <v>76.599999999999994</v>
      </c>
    </row>
    <row r="6" spans="2:16">
      <c r="B6" s="470">
        <f>All!B8</f>
        <v>1997</v>
      </c>
      <c r="C6" s="466">
        <f>All!C8</f>
        <v>15.1</v>
      </c>
      <c r="D6" s="466">
        <f>All!D8</f>
        <v>38.4</v>
      </c>
      <c r="E6" s="466">
        <f>All!E8</f>
        <v>30.5</v>
      </c>
      <c r="F6" s="466">
        <f>All!F8</f>
        <v>57.5</v>
      </c>
      <c r="G6" s="466">
        <f>All!G8</f>
        <v>203</v>
      </c>
      <c r="H6" s="466">
        <f>All!H8</f>
        <v>272</v>
      </c>
      <c r="I6" s="466">
        <f>All!I8</f>
        <v>353.5</v>
      </c>
      <c r="J6" s="466">
        <f>All!J8</f>
        <v>211.5</v>
      </c>
      <c r="K6" s="466">
        <f>All!K8</f>
        <v>23</v>
      </c>
      <c r="L6" s="466">
        <f>All!L8</f>
        <v>10</v>
      </c>
      <c r="M6" s="466">
        <f>All!M8</f>
        <v>193.5</v>
      </c>
      <c r="N6" s="466">
        <f>All!N8</f>
        <v>34.299999999999997</v>
      </c>
      <c r="O6" s="466">
        <f>All!O8</f>
        <v>1442.3</v>
      </c>
      <c r="P6" s="471">
        <f>All!P8</f>
        <v>120.2</v>
      </c>
    </row>
    <row r="7" spans="2:16">
      <c r="B7" s="470">
        <f>All!B9</f>
        <v>1998</v>
      </c>
      <c r="C7" s="466">
        <f>All!C9</f>
        <v>29.9</v>
      </c>
      <c r="D7" s="466">
        <f>All!D9</f>
        <v>40.200000000000003</v>
      </c>
      <c r="E7" s="466">
        <f>All!E9</f>
        <v>30.5</v>
      </c>
      <c r="F7" s="466">
        <f>All!F9</f>
        <v>138</v>
      </c>
      <c r="G7" s="466">
        <f>All!G9</f>
        <v>100</v>
      </c>
      <c r="H7" s="466">
        <f>All!H9</f>
        <v>209.5</v>
      </c>
      <c r="I7" s="466">
        <f>All!I9</f>
        <v>263</v>
      </c>
      <c r="J7" s="466">
        <f>All!J9</f>
        <v>341.7</v>
      </c>
      <c r="K7" s="466">
        <f>All!K9</f>
        <v>150.30000000000001</v>
      </c>
      <c r="L7" s="466">
        <f>All!L9</f>
        <v>61</v>
      </c>
      <c r="M7" s="466">
        <f>All!M9</f>
        <v>29.3</v>
      </c>
      <c r="N7" s="466">
        <f>All!N9</f>
        <v>3.8</v>
      </c>
      <c r="O7" s="466">
        <f>All!O9</f>
        <v>1397.2</v>
      </c>
      <c r="P7" s="471">
        <f>All!P9</f>
        <v>116.4</v>
      </c>
    </row>
    <row r="8" spans="2:16">
      <c r="B8" s="470">
        <f>All!B10</f>
        <v>1999</v>
      </c>
      <c r="C8" s="466">
        <f>All!C10</f>
        <v>7.9</v>
      </c>
      <c r="D8" s="466">
        <f>All!D10</f>
        <v>9.5</v>
      </c>
      <c r="E8" s="466">
        <f>All!E10</f>
        <v>71</v>
      </c>
      <c r="F8" s="466">
        <f>All!F10</f>
        <v>88.5</v>
      </c>
      <c r="G8" s="466">
        <f>All!G10</f>
        <v>124.5</v>
      </c>
      <c r="H8" s="466">
        <f>All!H10</f>
        <v>192.5</v>
      </c>
      <c r="I8" s="466">
        <f>All!I10</f>
        <v>98</v>
      </c>
      <c r="J8" s="466">
        <f>All!J10</f>
        <v>180</v>
      </c>
      <c r="K8" s="466">
        <f>All!K10</f>
        <v>292.5</v>
      </c>
      <c r="L8" s="466">
        <f>All!L10</f>
        <v>169</v>
      </c>
      <c r="M8" s="466">
        <f>All!M10</f>
        <v>24.9</v>
      </c>
      <c r="N8" s="466">
        <f>All!N10</f>
        <v>25.8</v>
      </c>
      <c r="O8" s="466">
        <f>All!O10</f>
        <v>1284.0999999999999</v>
      </c>
      <c r="P8" s="471">
        <f>All!P10</f>
        <v>107</v>
      </c>
    </row>
    <row r="9" spans="2:16">
      <c r="B9" s="470">
        <f>All!B11</f>
        <v>2000</v>
      </c>
      <c r="C9" s="466">
        <f>All!C11</f>
        <v>42.1</v>
      </c>
      <c r="D9" s="466">
        <f>All!D11</f>
        <v>3.2</v>
      </c>
      <c r="E9" s="466">
        <f>All!E11</f>
        <v>7</v>
      </c>
      <c r="F9" s="466">
        <f>All!F11</f>
        <v>35</v>
      </c>
      <c r="G9" s="466">
        <f>All!G11</f>
        <v>53.5</v>
      </c>
      <c r="H9" s="466">
        <f>All!H11</f>
        <v>159.5</v>
      </c>
      <c r="I9" s="466">
        <f>All!I11</f>
        <v>155</v>
      </c>
      <c r="J9" s="466">
        <f>All!J11</f>
        <v>701.5</v>
      </c>
      <c r="K9" s="466">
        <f>All!K11</f>
        <v>241</v>
      </c>
      <c r="L9" s="466">
        <f>All!L11</f>
        <v>46</v>
      </c>
      <c r="M9" s="466">
        <f>All!M11</f>
        <v>39.5</v>
      </c>
      <c r="N9" s="466">
        <f>All!N11</f>
        <v>32.1</v>
      </c>
      <c r="O9" s="466">
        <f>All!O11</f>
        <v>1515.4</v>
      </c>
      <c r="P9" s="471">
        <f>All!P11</f>
        <v>126.3</v>
      </c>
    </row>
    <row r="10" spans="2:16">
      <c r="B10" s="470">
        <f>All!B12</f>
        <v>2001</v>
      </c>
      <c r="C10" s="466">
        <f>All!C12</f>
        <v>73.3</v>
      </c>
      <c r="D10" s="466">
        <f>All!D12</f>
        <v>46</v>
      </c>
      <c r="E10" s="466">
        <f>All!E12</f>
        <v>15.9</v>
      </c>
      <c r="F10" s="466">
        <f>All!F12</f>
        <v>26</v>
      </c>
      <c r="G10" s="466">
        <f>All!G12</f>
        <v>17</v>
      </c>
      <c r="H10" s="466">
        <f>All!H12</f>
        <v>129</v>
      </c>
      <c r="I10" s="466">
        <f>All!I12</f>
        <v>286.5</v>
      </c>
      <c r="J10" s="466">
        <f>All!J12</f>
        <v>170</v>
      </c>
      <c r="K10" s="466">
        <f>All!K12</f>
        <v>185</v>
      </c>
      <c r="L10" s="466">
        <f>All!L12</f>
        <v>85</v>
      </c>
      <c r="M10" s="466">
        <f>All!M12</f>
        <v>13</v>
      </c>
      <c r="N10" s="466">
        <f>All!N12</f>
        <v>32</v>
      </c>
      <c r="O10" s="466">
        <f>All!O12</f>
        <v>1078.7</v>
      </c>
      <c r="P10" s="471">
        <f>All!P12</f>
        <v>89.9</v>
      </c>
    </row>
    <row r="11" spans="2:16">
      <c r="B11" s="470">
        <f>All!B13</f>
        <v>2002</v>
      </c>
      <c r="C11" s="466">
        <f>All!C13</f>
        <v>50.8</v>
      </c>
      <c r="D11" s="466">
        <f>All!D13</f>
        <v>5.5</v>
      </c>
      <c r="E11" s="466">
        <f>All!E13</f>
        <v>32</v>
      </c>
      <c r="F11" s="466">
        <f>All!F13</f>
        <v>169</v>
      </c>
      <c r="G11" s="466">
        <f>All!G13</f>
        <v>155.5</v>
      </c>
      <c r="H11" s="466">
        <f>All!H13</f>
        <v>72</v>
      </c>
      <c r="I11" s="466">
        <f>All!I13</f>
        <v>217.5</v>
      </c>
      <c r="J11" s="466">
        <f>All!J13</f>
        <v>477</v>
      </c>
      <c r="K11" s="466">
        <f>All!K13</f>
        <v>2146</v>
      </c>
      <c r="L11" s="466">
        <f>All!L13</f>
        <v>134</v>
      </c>
      <c r="M11" s="466">
        <f>All!M13</f>
        <v>61.1</v>
      </c>
      <c r="N11" s="466">
        <f>All!N13</f>
        <v>51.8</v>
      </c>
      <c r="O11" s="466">
        <f>All!O13</f>
        <v>3572.2</v>
      </c>
      <c r="P11" s="471">
        <f>All!P13</f>
        <v>297.7</v>
      </c>
    </row>
    <row r="12" spans="2:16">
      <c r="B12" s="470">
        <f>All!B14</f>
        <v>2003</v>
      </c>
      <c r="C12" s="466">
        <f>All!C14</f>
        <v>30.7</v>
      </c>
      <c r="D12" s="466">
        <f>All!D14</f>
        <v>44.5</v>
      </c>
      <c r="E12" s="466">
        <f>All!E14</f>
        <v>39.5</v>
      </c>
      <c r="F12" s="466">
        <f>All!F14</f>
        <v>168.5</v>
      </c>
      <c r="G12" s="466">
        <f>All!G14</f>
        <v>78.5</v>
      </c>
      <c r="H12" s="466">
        <f>All!H14</f>
        <v>153</v>
      </c>
      <c r="I12" s="466">
        <f>All!I14</f>
        <v>309.5</v>
      </c>
      <c r="J12" s="466">
        <f>All!J14</f>
        <v>310</v>
      </c>
      <c r="K12" s="466">
        <f>All!K14</f>
        <v>49</v>
      </c>
      <c r="L12" s="466">
        <f>All!L14</f>
        <v>23</v>
      </c>
      <c r="M12" s="466">
        <f>All!M14</f>
        <v>45.5</v>
      </c>
      <c r="N12" s="466">
        <f>All!N14</f>
        <v>13</v>
      </c>
      <c r="O12" s="466">
        <f>All!O14</f>
        <v>1264.7</v>
      </c>
      <c r="P12" s="471">
        <f>All!P14</f>
        <v>105.4</v>
      </c>
    </row>
    <row r="13" spans="2:16">
      <c r="B13" s="470">
        <f>All!B15</f>
        <v>2004</v>
      </c>
      <c r="C13" s="466">
        <f>All!C15</f>
        <v>22.1</v>
      </c>
      <c r="D13" s="466">
        <f>All!D15</f>
        <v>28.5</v>
      </c>
      <c r="E13" s="466">
        <f>All!E15</f>
        <v>45.7</v>
      </c>
      <c r="F13" s="466">
        <f>All!F15</f>
        <v>58</v>
      </c>
      <c r="G13" s="466">
        <f>All!G15</f>
        <v>105.5</v>
      </c>
      <c r="H13" s="466">
        <f>All!H15</f>
        <v>234.5</v>
      </c>
      <c r="I13" s="466">
        <f>All!I15</f>
        <v>263.5</v>
      </c>
      <c r="J13" s="466">
        <f>All!J15</f>
        <v>164</v>
      </c>
      <c r="K13" s="466">
        <f>All!K15</f>
        <v>40</v>
      </c>
      <c r="L13" s="466">
        <f>All!L15</f>
        <v>4</v>
      </c>
      <c r="M13" s="466">
        <f>All!M15</f>
        <v>56.5</v>
      </c>
      <c r="N13" s="466">
        <f>All!N15</f>
        <v>38.9</v>
      </c>
      <c r="O13" s="466">
        <f>All!O15</f>
        <v>1061.2</v>
      </c>
      <c r="P13" s="471">
        <f>All!P15</f>
        <v>88.4</v>
      </c>
    </row>
    <row r="14" spans="2:16">
      <c r="B14" s="470">
        <f>All!B16</f>
        <v>2005</v>
      </c>
      <c r="C14" s="466">
        <f>All!C16</f>
        <v>5.8</v>
      </c>
      <c r="D14" s="466">
        <f>All!D16</f>
        <v>35.799999999999997</v>
      </c>
      <c r="E14" s="466">
        <f>All!E16</f>
        <v>30</v>
      </c>
      <c r="F14" s="466">
        <f>All!F16</f>
        <v>73.5</v>
      </c>
      <c r="G14" s="466">
        <f>All!G16</f>
        <v>48.5</v>
      </c>
      <c r="H14" s="466">
        <f>All!H16</f>
        <v>156</v>
      </c>
      <c r="I14" s="466">
        <f>All!I16</f>
        <v>260.5</v>
      </c>
      <c r="J14" s="466">
        <f>All!J16</f>
        <v>291.5</v>
      </c>
      <c r="K14" s="466">
        <f>All!K16</f>
        <v>282.5</v>
      </c>
      <c r="L14" s="466">
        <f>All!L16</f>
        <v>21</v>
      </c>
      <c r="M14" s="466">
        <f>All!M16</f>
        <v>18</v>
      </c>
      <c r="N14" s="466">
        <f>All!N16</f>
        <v>43.4</v>
      </c>
      <c r="O14" s="466">
        <f>All!O16</f>
        <v>1266.5</v>
      </c>
      <c r="P14" s="471">
        <f>All!P16</f>
        <v>105.5</v>
      </c>
    </row>
    <row r="15" spans="2:16">
      <c r="B15" s="470">
        <f>All!B17</f>
        <v>2006</v>
      </c>
      <c r="C15" s="466">
        <f>All!C17</f>
        <v>27</v>
      </c>
      <c r="D15" s="466">
        <f>All!D17</f>
        <v>25.9</v>
      </c>
      <c r="E15" s="466">
        <f>All!E17</f>
        <v>10.6</v>
      </c>
      <c r="F15" s="466">
        <f>All!F17</f>
        <v>81.5</v>
      </c>
      <c r="G15" s="466">
        <f>All!G17</f>
        <v>94.5</v>
      </c>
      <c r="H15" s="466">
        <f>All!H17</f>
        <v>114.5</v>
      </c>
      <c r="I15" s="466">
        <f>All!I17</f>
        <v>321</v>
      </c>
      <c r="J15" s="466">
        <f>All!J17</f>
        <v>21.5</v>
      </c>
      <c r="K15" s="466">
        <f>All!K17</f>
        <v>23.5</v>
      </c>
      <c r="L15" s="466">
        <f>All!L17</f>
        <v>24.5</v>
      </c>
      <c r="M15" s="466">
        <f>All!M17</f>
        <v>61.5</v>
      </c>
      <c r="N15" s="466">
        <f>All!N17</f>
        <v>25.4</v>
      </c>
      <c r="O15" s="466">
        <f>All!O17</f>
        <v>831.4</v>
      </c>
      <c r="P15" s="471">
        <f>All!P17</f>
        <v>69.3</v>
      </c>
    </row>
    <row r="16" spans="2:16">
      <c r="B16" s="470">
        <f>All!B18</f>
        <v>2007</v>
      </c>
      <c r="C16" s="466">
        <f>All!C18</f>
        <v>23.4</v>
      </c>
      <c r="D16" s="466">
        <f>All!D18</f>
        <v>29.8</v>
      </c>
      <c r="E16" s="466">
        <f>All!E18</f>
        <v>102</v>
      </c>
      <c r="F16" s="466">
        <f>All!F18</f>
        <v>29.5</v>
      </c>
      <c r="G16" s="466">
        <f>All!G18</f>
        <v>79</v>
      </c>
      <c r="H16" s="466">
        <f>All!H18</f>
        <v>85</v>
      </c>
      <c r="I16" s="466">
        <f>All!I18</f>
        <v>214</v>
      </c>
      <c r="J16" s="466">
        <f>All!J18</f>
        <v>239.5</v>
      </c>
      <c r="K16" s="466">
        <f>All!K18</f>
        <v>384</v>
      </c>
      <c r="L16" s="466">
        <f>All!L18</f>
        <v>59</v>
      </c>
      <c r="M16" s="466">
        <f>All!M18</f>
        <v>17.5</v>
      </c>
      <c r="N16" s="466">
        <f>All!N18</f>
        <v>33.1</v>
      </c>
      <c r="O16" s="466">
        <f>All!O18</f>
        <v>1295.8</v>
      </c>
      <c r="P16" s="471">
        <f>All!P18</f>
        <v>108</v>
      </c>
    </row>
    <row r="17" spans="2:16">
      <c r="B17" s="470">
        <f>All!B19</f>
        <v>2008</v>
      </c>
      <c r="C17" s="466">
        <f>All!C19</f>
        <v>20.9</v>
      </c>
      <c r="D17" s="466">
        <f>All!D19</f>
        <v>10.8</v>
      </c>
      <c r="E17" s="466">
        <f>All!E19</f>
        <v>48.2</v>
      </c>
      <c r="F17" s="466">
        <f>All!F19</f>
        <v>40.5</v>
      </c>
      <c r="G17" s="466">
        <f>All!G19</f>
        <v>78.900000000000006</v>
      </c>
      <c r="H17" s="466">
        <f>All!H19</f>
        <v>101.3</v>
      </c>
      <c r="I17" s="466">
        <f>All!I19</f>
        <v>257.2</v>
      </c>
      <c r="J17" s="466">
        <f>All!J19</f>
        <v>119.5</v>
      </c>
      <c r="K17" s="466">
        <f>All!K19</f>
        <v>46.9</v>
      </c>
      <c r="L17" s="466">
        <f>All!L19</f>
        <v>26.7</v>
      </c>
      <c r="M17" s="466">
        <f>All!M19</f>
        <v>37.6</v>
      </c>
      <c r="N17" s="466">
        <f>All!N19</f>
        <v>25</v>
      </c>
      <c r="O17" s="466">
        <f>All!O19</f>
        <v>813.5</v>
      </c>
      <c r="P17" s="471">
        <f>All!P19</f>
        <v>67.8</v>
      </c>
    </row>
    <row r="18" spans="2:16">
      <c r="B18" s="470">
        <f>All!B20</f>
        <v>2009</v>
      </c>
      <c r="C18" s="466">
        <f>All!C20</f>
        <v>18.5</v>
      </c>
      <c r="D18" s="466">
        <f>All!D20</f>
        <v>23.3</v>
      </c>
      <c r="E18" s="466">
        <f>All!E20</f>
        <v>55.1</v>
      </c>
      <c r="F18" s="466">
        <f>All!F20</f>
        <v>41.5</v>
      </c>
      <c r="G18" s="466">
        <f>All!G20</f>
        <v>154.5</v>
      </c>
      <c r="H18" s="466">
        <f>All!H20</f>
        <v>115.1</v>
      </c>
      <c r="I18" s="466">
        <f>All!I20</f>
        <v>320.89999999999998</v>
      </c>
      <c r="J18" s="466">
        <f>All!J20</f>
        <v>176.6</v>
      </c>
      <c r="K18" s="466">
        <f>All!K20</f>
        <v>25.5</v>
      </c>
      <c r="L18" s="466">
        <f>All!L20</f>
        <v>39.5</v>
      </c>
      <c r="M18" s="466">
        <f>All!M20</f>
        <v>52.9</v>
      </c>
      <c r="N18" s="466">
        <f>All!N20</f>
        <v>58</v>
      </c>
      <c r="O18" s="466">
        <f>All!O20</f>
        <v>1081.4000000000001</v>
      </c>
      <c r="P18" s="471">
        <f>All!P20</f>
        <v>90.1</v>
      </c>
    </row>
    <row r="19" spans="2:16">
      <c r="B19" s="470">
        <f>All!B21</f>
        <v>2010</v>
      </c>
      <c r="C19" s="466">
        <f>All!C21</f>
        <v>30.1</v>
      </c>
      <c r="D19" s="466">
        <f>All!D21</f>
        <v>73.5</v>
      </c>
      <c r="E19" s="466">
        <f>All!E21</f>
        <v>75.900000000000006</v>
      </c>
      <c r="F19" s="466">
        <f>All!F21</f>
        <v>58.5</v>
      </c>
      <c r="G19" s="466">
        <f>All!G21</f>
        <v>122.8</v>
      </c>
      <c r="H19" s="466">
        <f>All!H21</f>
        <v>60.8</v>
      </c>
      <c r="I19" s="466">
        <f>All!I21</f>
        <v>396.5</v>
      </c>
      <c r="J19" s="466">
        <f>All!J21</f>
        <v>402.7</v>
      </c>
      <c r="K19" s="466">
        <f>All!K21</f>
        <v>213.1</v>
      </c>
      <c r="L19" s="466">
        <f>All!L21</f>
        <v>19.2</v>
      </c>
      <c r="M19" s="466">
        <f>All!M21</f>
        <v>16.3</v>
      </c>
      <c r="N19" s="466">
        <f>All!N21</f>
        <v>32.9</v>
      </c>
      <c r="O19" s="466">
        <f>All!O21</f>
        <v>1502.3</v>
      </c>
      <c r="P19" s="471">
        <f>All!P21</f>
        <v>125.2</v>
      </c>
    </row>
    <row r="20" spans="2:16">
      <c r="B20" s="470">
        <f>All!B22</f>
        <v>2011</v>
      </c>
      <c r="C20" s="466">
        <f>All!C22</f>
        <v>11.1</v>
      </c>
      <c r="D20" s="466">
        <f>All!D22</f>
        <v>37.5</v>
      </c>
      <c r="E20" s="466">
        <f>All!E22</f>
        <v>18</v>
      </c>
      <c r="F20" s="466">
        <f>All!F22</f>
        <v>72.099999999999994</v>
      </c>
      <c r="G20" s="466">
        <f>All!G22</f>
        <v>115.3</v>
      </c>
      <c r="H20" s="466">
        <f>All!H22</f>
        <v>318</v>
      </c>
      <c r="I20" s="466">
        <f>All!I22</f>
        <v>723.1</v>
      </c>
      <c r="J20" s="466">
        <f>All!J22</f>
        <v>289.39999999999998</v>
      </c>
      <c r="K20" s="466">
        <f>All!K22</f>
        <v>70.8</v>
      </c>
      <c r="L20" s="466">
        <f>All!L22</f>
        <v>13.9</v>
      </c>
      <c r="M20" s="466">
        <f>All!M22</f>
        <v>61.3</v>
      </c>
      <c r="N20" s="466">
        <f>All!N22</f>
        <v>12.5</v>
      </c>
      <c r="O20" s="466">
        <f>All!O22</f>
        <v>1743</v>
      </c>
      <c r="P20" s="471">
        <f>All!P22</f>
        <v>145.30000000000001</v>
      </c>
    </row>
    <row r="21" spans="2:16">
      <c r="B21" s="470">
        <f>All!B23</f>
        <v>2012</v>
      </c>
      <c r="C21" s="466">
        <f>All!C23</f>
        <v>24.2</v>
      </c>
      <c r="D21" s="466">
        <f>All!D23</f>
        <v>9.1999999999999993</v>
      </c>
      <c r="E21" s="466">
        <f>All!E23</f>
        <v>45</v>
      </c>
      <c r="F21" s="466">
        <f>All!F23</f>
        <v>68.900000000000006</v>
      </c>
      <c r="G21" s="466">
        <f>All!G23</f>
        <v>14.6</v>
      </c>
      <c r="H21" s="466">
        <f>All!H23</f>
        <v>76.8</v>
      </c>
      <c r="I21" s="466">
        <f>All!I23</f>
        <v>231.1</v>
      </c>
      <c r="J21" s="466">
        <f>All!J23</f>
        <v>450.2</v>
      </c>
      <c r="K21" s="466">
        <f>All!K23</f>
        <v>207.7</v>
      </c>
      <c r="L21" s="466">
        <f>All!L23</f>
        <v>65</v>
      </c>
      <c r="M21" s="466">
        <f>All!M23</f>
        <v>61.1</v>
      </c>
      <c r="N21" s="466">
        <f>All!N23</f>
        <v>65.2</v>
      </c>
      <c r="O21" s="466">
        <f>All!O23</f>
        <v>1319</v>
      </c>
      <c r="P21" s="471">
        <f>All!P23</f>
        <v>109.9</v>
      </c>
    </row>
    <row r="22" spans="2:16">
      <c r="B22" s="470">
        <f>All!B24</f>
        <v>2013</v>
      </c>
      <c r="C22" s="466">
        <f>All!C24</f>
        <v>28.4</v>
      </c>
      <c r="D22" s="466">
        <f>All!D24</f>
        <v>40.700000000000003</v>
      </c>
      <c r="E22" s="466">
        <f>All!E24</f>
        <v>53.4</v>
      </c>
      <c r="F22" s="466">
        <f>All!F24</f>
        <v>68.2</v>
      </c>
      <c r="G22" s="466">
        <f>All!G24</f>
        <v>116.6</v>
      </c>
      <c r="H22" s="466">
        <f>All!H24</f>
        <v>159.9</v>
      </c>
      <c r="I22" s="466">
        <f>All!I24</f>
        <v>267.5</v>
      </c>
      <c r="J22" s="466">
        <f>All!J24</f>
        <v>214.6</v>
      </c>
      <c r="K22" s="466">
        <f>All!K24</f>
        <v>320</v>
      </c>
      <c r="L22" s="466">
        <f>All!L24</f>
        <v>10.9</v>
      </c>
      <c r="M22" s="466">
        <f>All!M24</f>
        <v>81.099999999999994</v>
      </c>
      <c r="N22" s="466">
        <f>All!N24</f>
        <v>26.4</v>
      </c>
      <c r="O22" s="466">
        <f>All!O24</f>
        <v>1387.7</v>
      </c>
      <c r="P22" s="471">
        <f>All!P24</f>
        <v>115.6</v>
      </c>
    </row>
    <row r="23" spans="2:16">
      <c r="B23" s="470">
        <f>All!B25</f>
        <v>2014</v>
      </c>
      <c r="C23" s="466">
        <f>All!C25</f>
        <v>3.4</v>
      </c>
      <c r="D23" s="466">
        <f>All!D25</f>
        <v>20.5</v>
      </c>
      <c r="E23" s="466">
        <f>All!E25</f>
        <v>56.3</v>
      </c>
      <c r="F23" s="466">
        <f>All!F25</f>
        <v>70</v>
      </c>
      <c r="G23" s="466">
        <f>All!G25</f>
        <v>47.1</v>
      </c>
      <c r="H23" s="466">
        <f>All!H25</f>
        <v>125.8</v>
      </c>
      <c r="I23" s="466">
        <f>All!I25</f>
        <v>104</v>
      </c>
      <c r="J23" s="466">
        <f>All!J25</f>
        <v>168.5</v>
      </c>
      <c r="K23" s="466">
        <f>All!K25</f>
        <v>152</v>
      </c>
      <c r="L23" s="466">
        <f>All!L25</f>
        <v>156</v>
      </c>
      <c r="M23" s="466">
        <f>All!M25</f>
        <v>39.9</v>
      </c>
      <c r="N23" s="466">
        <f>All!N25</f>
        <v>66.599999999999994</v>
      </c>
      <c r="O23" s="466">
        <f>All!O25</f>
        <v>1010.1</v>
      </c>
      <c r="P23" s="471">
        <f>All!P25</f>
        <v>84.2</v>
      </c>
    </row>
    <row r="24" spans="2:16">
      <c r="B24" s="470">
        <f>All!B26</f>
        <v>2015</v>
      </c>
      <c r="C24" s="466">
        <f>All!C26</f>
        <v>29.9</v>
      </c>
      <c r="D24" s="466">
        <f>All!D26</f>
        <v>23.4</v>
      </c>
      <c r="E24" s="466">
        <f>All!E26</f>
        <v>30.9</v>
      </c>
      <c r="F24" s="466">
        <f>All!F26</f>
        <v>129.69999999999999</v>
      </c>
      <c r="G24" s="466">
        <f>All!G26</f>
        <v>38.799999999999997</v>
      </c>
      <c r="H24" s="466">
        <f>All!H26</f>
        <v>83.9</v>
      </c>
      <c r="I24" s="466">
        <f>All!I26</f>
        <v>94.7</v>
      </c>
      <c r="J24" s="466">
        <f>All!J26</f>
        <v>30.2</v>
      </c>
      <c r="K24" s="466">
        <f>All!K26</f>
        <v>13.3</v>
      </c>
      <c r="L24" s="466">
        <f>All!L26</f>
        <v>90</v>
      </c>
      <c r="M24" s="466">
        <f>All!M26</f>
        <v>155.6</v>
      </c>
      <c r="N24" s="466">
        <f>All!N26</f>
        <v>65</v>
      </c>
      <c r="O24" s="466">
        <f>All!O26</f>
        <v>785.4</v>
      </c>
      <c r="P24" s="471">
        <f>All!P26</f>
        <v>65.5</v>
      </c>
    </row>
    <row r="25" spans="2:16">
      <c r="B25" s="470">
        <f>All!B27</f>
        <v>2016</v>
      </c>
      <c r="C25" s="466">
        <f>All!C27</f>
        <v>7.8</v>
      </c>
      <c r="D25" s="466">
        <f>All!D27</f>
        <v>54.2</v>
      </c>
      <c r="E25" s="466">
        <f>All!E27</f>
        <v>18.7</v>
      </c>
      <c r="F25" s="466">
        <f>All!F27</f>
        <v>105.1</v>
      </c>
      <c r="G25" s="466">
        <f>All!G27</f>
        <v>146.5</v>
      </c>
      <c r="H25" s="466">
        <f>All!H27</f>
        <v>23.7</v>
      </c>
      <c r="I25" s="466">
        <f>All!I27</f>
        <v>200.2</v>
      </c>
      <c r="J25" s="466">
        <f>All!J27</f>
        <v>5.0999999999999996</v>
      </c>
      <c r="K25" s="466">
        <f>All!K27</f>
        <v>73.400000000000006</v>
      </c>
      <c r="L25" s="466">
        <f>All!L27</f>
        <v>108</v>
      </c>
      <c r="M25" s="466">
        <f>All!M27</f>
        <v>5.6</v>
      </c>
      <c r="N25" s="466">
        <f>All!N27</f>
        <v>44.5</v>
      </c>
      <c r="O25" s="466">
        <f>All!O27</f>
        <v>792.8</v>
      </c>
      <c r="P25" s="471">
        <f>All!P27</f>
        <v>66.099999999999994</v>
      </c>
    </row>
    <row r="26" spans="2:16">
      <c r="B26" s="470">
        <f>All!B28</f>
        <v>2017</v>
      </c>
      <c r="C26" s="466">
        <f>All!C28</f>
        <v>14.8</v>
      </c>
      <c r="D26" s="466">
        <f>All!D28</f>
        <v>30.2</v>
      </c>
      <c r="E26" s="466">
        <f>All!E28</f>
        <v>14.4</v>
      </c>
      <c r="F26" s="466">
        <f>All!F28</f>
        <v>57.6</v>
      </c>
      <c r="G26" s="466">
        <f>All!G28</f>
        <v>58.9</v>
      </c>
      <c r="H26" s="466">
        <f>All!H28</f>
        <v>21.1</v>
      </c>
      <c r="I26" s="466">
        <f>All!I28</f>
        <v>278.10000000000002</v>
      </c>
      <c r="J26" s="466">
        <f>All!J28</f>
        <v>210</v>
      </c>
      <c r="K26" s="466">
        <f>All!K28</f>
        <v>90</v>
      </c>
      <c r="L26" s="466">
        <f>All!L28</f>
        <v>26.6</v>
      </c>
      <c r="M26" s="466">
        <f>All!M28</f>
        <v>15.9</v>
      </c>
      <c r="N26" s="466">
        <f>All!N28</f>
        <v>38.6</v>
      </c>
      <c r="O26" s="466">
        <f>All!O28</f>
        <v>856.2</v>
      </c>
      <c r="P26" s="471">
        <f>All!P28</f>
        <v>71.400000000000006</v>
      </c>
    </row>
    <row r="27" spans="2:16">
      <c r="B27" s="470">
        <f>All!B29</f>
        <v>2018</v>
      </c>
      <c r="C27" s="466">
        <f>All!C29</f>
        <v>15</v>
      </c>
      <c r="D27" s="466">
        <f>All!D29</f>
        <v>33.6</v>
      </c>
      <c r="E27" s="466">
        <f>All!E29</f>
        <v>92</v>
      </c>
      <c r="F27" s="466">
        <f>All!F29</f>
        <v>128.1</v>
      </c>
      <c r="G27" s="466">
        <f>All!G29</f>
        <v>104.5</v>
      </c>
      <c r="H27" s="466">
        <f>All!H29</f>
        <v>71</v>
      </c>
      <c r="I27" s="466">
        <f>All!I29</f>
        <v>262.7</v>
      </c>
      <c r="J27" s="466">
        <f>All!J29</f>
        <v>239.6</v>
      </c>
      <c r="K27" s="466">
        <f>All!K29</f>
        <v>158.19999999999999</v>
      </c>
      <c r="L27" s="466">
        <f>All!L29</f>
        <v>154.69999999999999</v>
      </c>
      <c r="M27" s="466">
        <f>All!M29</f>
        <v>46.7</v>
      </c>
      <c r="N27" s="466">
        <f>All!N29</f>
        <v>31.1</v>
      </c>
      <c r="O27" s="466">
        <f>All!O29</f>
        <v>1337.2</v>
      </c>
      <c r="P27" s="471">
        <f>All!P29</f>
        <v>111.4</v>
      </c>
    </row>
    <row r="28" spans="2:16">
      <c r="B28" s="470">
        <f>All!B30</f>
        <v>2019</v>
      </c>
      <c r="C28" s="466">
        <f>All!C30</f>
        <v>1.9</v>
      </c>
      <c r="D28" s="466">
        <f>All!D30</f>
        <v>17.8</v>
      </c>
      <c r="E28" s="466">
        <f>All!E30</f>
        <v>18.2</v>
      </c>
      <c r="F28" s="466">
        <f>All!F30</f>
        <v>71.900000000000006</v>
      </c>
      <c r="G28" s="466">
        <f>All!G30</f>
        <v>31.3</v>
      </c>
      <c r="H28" s="466">
        <f>All!H30</f>
        <v>56</v>
      </c>
      <c r="I28" s="466">
        <f>All!I30</f>
        <v>149</v>
      </c>
      <c r="J28" s="466">
        <f>All!J30</f>
        <v>131.30000000000001</v>
      </c>
      <c r="K28" s="466">
        <f>All!K30</f>
        <v>118.7</v>
      </c>
      <c r="L28" s="466">
        <f>All!L30</f>
        <v>63.9</v>
      </c>
      <c r="M28" s="466">
        <f>All!M30</f>
        <v>130.6</v>
      </c>
      <c r="N28" s="466">
        <f>All!N30</f>
        <v>31.3</v>
      </c>
      <c r="O28" s="466">
        <f>All!O30</f>
        <v>821.9</v>
      </c>
      <c r="P28" s="471">
        <f>All!P30</f>
        <v>68.5</v>
      </c>
    </row>
    <row r="29" spans="2:16">
      <c r="B29" s="470">
        <f>All!B31</f>
        <v>2020</v>
      </c>
      <c r="C29" s="466">
        <f>All!C31</f>
        <v>49.4</v>
      </c>
      <c r="D29" s="466">
        <f>All!D31</f>
        <v>75.3</v>
      </c>
      <c r="E29" s="466">
        <f>All!E31</f>
        <v>22.8</v>
      </c>
      <c r="F29" s="466">
        <f>All!F31</f>
        <v>16.5</v>
      </c>
      <c r="G29" s="466">
        <f>All!G31</f>
        <v>92.4</v>
      </c>
      <c r="H29" s="466">
        <f>All!H31</f>
        <v>139.69999999999999</v>
      </c>
      <c r="I29" s="466">
        <f>All!I31</f>
        <v>345.9</v>
      </c>
      <c r="J29" s="466">
        <f>All!J31</f>
        <v>321.5</v>
      </c>
      <c r="K29" s="466">
        <f>All!K31</f>
        <v>177.1</v>
      </c>
      <c r="L29" s="466">
        <f>All!L31</f>
        <v>16.2</v>
      </c>
      <c r="M29" s="466">
        <f>All!M31</f>
        <v>35.4</v>
      </c>
      <c r="N29" s="466">
        <f>All!N31</f>
        <v>9.6999999999999993</v>
      </c>
      <c r="O29" s="466">
        <f>All!O31</f>
        <v>1301.9000000000001</v>
      </c>
      <c r="P29" s="471">
        <f>All!P31</f>
        <v>108.5</v>
      </c>
    </row>
    <row r="30" spans="2:16">
      <c r="B30" s="470">
        <f>All!B32</f>
        <v>2021</v>
      </c>
      <c r="C30" s="466">
        <f>All!C32</f>
        <v>32</v>
      </c>
      <c r="D30" s="466">
        <f>All!D32</f>
        <v>18.7</v>
      </c>
      <c r="E30" s="466">
        <f>All!E32</f>
        <v>76.099999999999994</v>
      </c>
      <c r="F30" s="466">
        <f>All!F32</f>
        <v>43.4</v>
      </c>
      <c r="G30" s="466">
        <f>All!G32</f>
        <v>110</v>
      </c>
      <c r="H30" s="466">
        <f>All!H32</f>
        <v>55</v>
      </c>
      <c r="I30" s="466">
        <f>All!I32</f>
        <v>131.30000000000001</v>
      </c>
      <c r="J30" s="466">
        <f>All!J32</f>
        <v>253.7</v>
      </c>
      <c r="K30" s="466">
        <f>All!K32</f>
        <v>215.9</v>
      </c>
      <c r="L30" s="466">
        <f>All!L32</f>
        <v>39.6</v>
      </c>
      <c r="M30" s="466">
        <f>All!M32</f>
        <v>117.8</v>
      </c>
      <c r="N30" s="466">
        <f>All!N32</f>
        <v>14.4</v>
      </c>
      <c r="O30" s="466">
        <f>All!O32</f>
        <v>1107.9000000000001</v>
      </c>
      <c r="P30" s="471">
        <f>All!P32</f>
        <v>92.3</v>
      </c>
    </row>
    <row r="31" spans="2:16">
      <c r="B31" s="470">
        <f>All!B33</f>
        <v>2022</v>
      </c>
      <c r="C31" s="466">
        <f>All!C33</f>
        <v>8.4</v>
      </c>
      <c r="D31" s="466">
        <f>All!D33</f>
        <v>5.3</v>
      </c>
      <c r="E31" s="466">
        <f>All!E33</f>
        <v>60.9</v>
      </c>
      <c r="F31" s="466">
        <f>All!F33</f>
        <v>34.799999999999997</v>
      </c>
      <c r="G31" s="466">
        <f>All!G33</f>
        <v>5.7</v>
      </c>
      <c r="H31" s="466">
        <f>All!H33</f>
        <v>225</v>
      </c>
      <c r="I31" s="466">
        <f>All!I33</f>
        <v>119.9</v>
      </c>
      <c r="J31" s="466">
        <f>All!J33</f>
        <v>637.1</v>
      </c>
      <c r="K31" s="466">
        <f>All!K33</f>
        <v>102</v>
      </c>
      <c r="L31" s="466">
        <f>All!L33</f>
        <v>112</v>
      </c>
      <c r="M31" s="466">
        <f>All!M33</f>
        <v>23.3</v>
      </c>
      <c r="N31" s="466">
        <f>All!N33</f>
        <v>14</v>
      </c>
      <c r="O31" s="466">
        <f>All!O33</f>
        <v>1348.4</v>
      </c>
      <c r="P31" s="471">
        <f>All!P33</f>
        <v>112.4</v>
      </c>
    </row>
    <row r="32" spans="2:16">
      <c r="B32" s="470">
        <f>All!B34</f>
        <v>2023</v>
      </c>
      <c r="C32" s="466">
        <f>All!C34</f>
        <v>19.2</v>
      </c>
      <c r="D32" s="466">
        <f>All!D34</f>
        <v>0.4</v>
      </c>
      <c r="E32" s="466">
        <f>All!E34</f>
        <v>7.2</v>
      </c>
      <c r="F32" s="466">
        <f>All!F34</f>
        <v>42.4</v>
      </c>
      <c r="G32" s="466">
        <f>All!G34</f>
        <v>190.8</v>
      </c>
      <c r="H32" s="466">
        <f>All!H34</f>
        <v>95.1</v>
      </c>
      <c r="I32" s="466">
        <f>All!I34</f>
        <v>772.2</v>
      </c>
      <c r="J32" s="466">
        <f>All!J34</f>
        <v>107.8</v>
      </c>
      <c r="K32" s="466">
        <f>All!K34</f>
        <v>288.39999999999998</v>
      </c>
      <c r="L32" s="466">
        <f>All!L34</f>
        <v>25.5</v>
      </c>
      <c r="M32" s="466">
        <f>All!M34</f>
        <v>65.2</v>
      </c>
      <c r="N32" s="466">
        <f>All!N34</f>
        <v>110.6</v>
      </c>
      <c r="O32" s="466">
        <f>All!O34</f>
        <v>1724.8</v>
      </c>
      <c r="P32" s="471">
        <f>All!P34</f>
        <v>143.69999999999999</v>
      </c>
    </row>
    <row r="33" spans="2:17">
      <c r="B33" s="472" t="s">
        <v>171</v>
      </c>
      <c r="C33" s="465">
        <f>ROUND(SUM(C23:C32)/10,1)</f>
        <v>18.2</v>
      </c>
      <c r="D33" s="465">
        <f t="shared" ref="D33:P33" si="0">ROUND(SUM(D23:D32)/10,1)</f>
        <v>27.9</v>
      </c>
      <c r="E33" s="465">
        <f t="shared" si="0"/>
        <v>39.799999999999997</v>
      </c>
      <c r="F33" s="465">
        <f t="shared" si="0"/>
        <v>70</v>
      </c>
      <c r="G33" s="465">
        <f t="shared" si="0"/>
        <v>82.6</v>
      </c>
      <c r="H33" s="465">
        <f t="shared" si="0"/>
        <v>89.6</v>
      </c>
      <c r="I33" s="465">
        <f t="shared" si="0"/>
        <v>245.8</v>
      </c>
      <c r="J33" s="465">
        <f t="shared" si="0"/>
        <v>210.5</v>
      </c>
      <c r="K33" s="465">
        <f t="shared" si="0"/>
        <v>138.9</v>
      </c>
      <c r="L33" s="465">
        <f t="shared" si="0"/>
        <v>79.3</v>
      </c>
      <c r="M33" s="465">
        <f t="shared" si="0"/>
        <v>63.6</v>
      </c>
      <c r="N33" s="465">
        <f t="shared" si="0"/>
        <v>42.6</v>
      </c>
      <c r="O33" s="465">
        <f t="shared" si="0"/>
        <v>1108.7</v>
      </c>
      <c r="P33" s="473">
        <f t="shared" si="0"/>
        <v>92.4</v>
      </c>
    </row>
    <row r="34" spans="2:17" ht="17.25" thickBot="1">
      <c r="B34" s="474" t="s">
        <v>170</v>
      </c>
      <c r="C34" s="475">
        <f>All!C37</f>
        <v>23.7</v>
      </c>
      <c r="D34" s="475">
        <f>All!D37</f>
        <v>26.9</v>
      </c>
      <c r="E34" s="475">
        <f>All!E37</f>
        <v>43</v>
      </c>
      <c r="F34" s="475">
        <f>All!F37</f>
        <v>70.8</v>
      </c>
      <c r="G34" s="475">
        <f>All!G37</f>
        <v>89.9</v>
      </c>
      <c r="H34" s="475">
        <f>All!H37</f>
        <v>132.5</v>
      </c>
      <c r="I34" s="475">
        <f>All!I37</f>
        <v>262.3</v>
      </c>
      <c r="J34" s="475">
        <f>All!J37</f>
        <v>278.39999999999998</v>
      </c>
      <c r="K34" s="475">
        <f>All!K37</f>
        <v>225.2</v>
      </c>
      <c r="L34" s="475">
        <f>All!L37</f>
        <v>63</v>
      </c>
      <c r="M34" s="475">
        <f>All!M37</f>
        <v>54</v>
      </c>
      <c r="N34" s="475">
        <f>All!N37</f>
        <v>34.799999999999997</v>
      </c>
      <c r="O34" s="475">
        <f>All!O37</f>
        <v>1304.4000000000001</v>
      </c>
      <c r="P34" s="476">
        <f>All!P37</f>
        <v>108.7</v>
      </c>
    </row>
    <row r="36" spans="2:17" ht="17.25" thickBot="1"/>
    <row r="37" spans="2:17" ht="26.25" customHeight="1">
      <c r="B37" s="467" t="s">
        <v>29</v>
      </c>
      <c r="C37" s="469" t="s">
        <v>157</v>
      </c>
      <c r="D37" s="477"/>
      <c r="E37" s="478" t="s">
        <v>31</v>
      </c>
      <c r="F37" s="478" t="s">
        <v>32</v>
      </c>
      <c r="G37" s="478" t="s">
        <v>33</v>
      </c>
      <c r="H37" s="478" t="s">
        <v>34</v>
      </c>
      <c r="I37" s="478" t="s">
        <v>35</v>
      </c>
      <c r="J37" s="478" t="s">
        <v>12</v>
      </c>
      <c r="K37" s="468" t="s">
        <v>13</v>
      </c>
      <c r="L37" s="468" t="s">
        <v>14</v>
      </c>
      <c r="M37" s="468" t="s">
        <v>15</v>
      </c>
      <c r="N37" s="478" t="s">
        <v>16</v>
      </c>
      <c r="O37" s="478" t="s">
        <v>17</v>
      </c>
      <c r="P37" s="478" t="s">
        <v>18</v>
      </c>
      <c r="Q37" s="479" t="s">
        <v>30</v>
      </c>
    </row>
    <row r="38" spans="2:17" ht="17.25" thickBot="1">
      <c r="B38" s="470">
        <f>B23</f>
        <v>2014</v>
      </c>
      <c r="C38" s="471">
        <f>O23</f>
        <v>1010.1</v>
      </c>
      <c r="D38" s="481" t="s">
        <v>30</v>
      </c>
      <c r="E38" s="482">
        <f>All!C53</f>
        <v>18.2</v>
      </c>
      <c r="F38" s="482">
        <f>All!D53</f>
        <v>27.9</v>
      </c>
      <c r="G38" s="482">
        <f>All!E53</f>
        <v>39.799999999999997</v>
      </c>
      <c r="H38" s="482">
        <f>All!F53</f>
        <v>70</v>
      </c>
      <c r="I38" s="482">
        <f>All!G53</f>
        <v>82.6</v>
      </c>
      <c r="J38" s="482">
        <f>All!H53</f>
        <v>89.6</v>
      </c>
      <c r="K38" s="482">
        <f>All!I53</f>
        <v>245.8</v>
      </c>
      <c r="L38" s="482">
        <f>All!J53</f>
        <v>210.5</v>
      </c>
      <c r="M38" s="482">
        <f>All!K53</f>
        <v>138.9</v>
      </c>
      <c r="N38" s="482">
        <f>All!L53</f>
        <v>79.3</v>
      </c>
      <c r="O38" s="482">
        <f>All!M53</f>
        <v>63.6</v>
      </c>
      <c r="P38" s="482">
        <f>All!N53</f>
        <v>42.6</v>
      </c>
      <c r="Q38" s="483">
        <f>All!P53</f>
        <v>92.4</v>
      </c>
    </row>
    <row r="39" spans="2:17">
      <c r="B39" s="470">
        <f t="shared" ref="B39:B48" si="1">B24</f>
        <v>2015</v>
      </c>
      <c r="C39" s="471">
        <f t="shared" ref="C39:C48" si="2">O24</f>
        <v>785.4</v>
      </c>
    </row>
    <row r="40" spans="2:17">
      <c r="B40" s="470">
        <f t="shared" si="1"/>
        <v>2016</v>
      </c>
      <c r="C40" s="471">
        <f t="shared" si="2"/>
        <v>792.8</v>
      </c>
    </row>
    <row r="41" spans="2:17">
      <c r="B41" s="470">
        <f t="shared" si="1"/>
        <v>2017</v>
      </c>
      <c r="C41" s="471">
        <f t="shared" si="2"/>
        <v>856.2</v>
      </c>
    </row>
    <row r="42" spans="2:17">
      <c r="B42" s="470">
        <f t="shared" si="1"/>
        <v>2018</v>
      </c>
      <c r="C42" s="471">
        <f t="shared" si="2"/>
        <v>1337.2</v>
      </c>
    </row>
    <row r="43" spans="2:17">
      <c r="B43" s="470">
        <f t="shared" si="1"/>
        <v>2019</v>
      </c>
      <c r="C43" s="471">
        <f t="shared" si="2"/>
        <v>821.9</v>
      </c>
    </row>
    <row r="44" spans="2:17">
      <c r="B44" s="470">
        <f t="shared" si="1"/>
        <v>2020</v>
      </c>
      <c r="C44" s="471">
        <f t="shared" si="2"/>
        <v>1301.9000000000001</v>
      </c>
    </row>
    <row r="45" spans="2:17">
      <c r="B45" s="470">
        <f t="shared" si="1"/>
        <v>2021</v>
      </c>
      <c r="C45" s="471">
        <f t="shared" si="2"/>
        <v>1107.9000000000001</v>
      </c>
    </row>
    <row r="46" spans="2:17">
      <c r="B46" s="470">
        <f t="shared" si="1"/>
        <v>2022</v>
      </c>
      <c r="C46" s="471">
        <f t="shared" si="2"/>
        <v>1348.4</v>
      </c>
    </row>
    <row r="47" spans="2:17">
      <c r="B47" s="470">
        <f t="shared" si="1"/>
        <v>2023</v>
      </c>
      <c r="C47" s="471">
        <f t="shared" si="2"/>
        <v>1724.8</v>
      </c>
    </row>
    <row r="48" spans="2:17" ht="17.25" thickBot="1">
      <c r="B48" s="484" t="str">
        <f t="shared" si="1"/>
        <v>10년평균</v>
      </c>
      <c r="C48" s="485">
        <f t="shared" si="2"/>
        <v>1108.7</v>
      </c>
    </row>
    <row r="50" spans="2:3" ht="17.25" thickBot="1"/>
    <row r="51" spans="2:3">
      <c r="B51" s="491" t="s">
        <v>172</v>
      </c>
      <c r="C51" s="492" t="s">
        <v>157</v>
      </c>
    </row>
    <row r="52" spans="2:3">
      <c r="B52" s="488">
        <f>B3</f>
        <v>1994</v>
      </c>
      <c r="C52" s="489">
        <f>O3</f>
        <v>1269</v>
      </c>
    </row>
    <row r="53" spans="2:3">
      <c r="B53" s="488">
        <f t="shared" ref="B53:B81" si="3">B4</f>
        <v>1995</v>
      </c>
      <c r="C53" s="489">
        <f t="shared" ref="C53:C81" si="4">O4</f>
        <v>2002</v>
      </c>
    </row>
    <row r="54" spans="2:3">
      <c r="B54" s="488">
        <f t="shared" si="3"/>
        <v>1996</v>
      </c>
      <c r="C54" s="489">
        <f t="shared" si="4"/>
        <v>918.6</v>
      </c>
    </row>
    <row r="55" spans="2:3">
      <c r="B55" s="488">
        <f t="shared" si="3"/>
        <v>1997</v>
      </c>
      <c r="C55" s="489">
        <f t="shared" si="4"/>
        <v>1442.3</v>
      </c>
    </row>
    <row r="56" spans="2:3">
      <c r="B56" s="488">
        <f t="shared" si="3"/>
        <v>1998</v>
      </c>
      <c r="C56" s="489">
        <f t="shared" si="4"/>
        <v>1397.2</v>
      </c>
    </row>
    <row r="57" spans="2:3">
      <c r="B57" s="488">
        <f t="shared" si="3"/>
        <v>1999</v>
      </c>
      <c r="C57" s="489">
        <f t="shared" si="4"/>
        <v>1284.0999999999999</v>
      </c>
    </row>
    <row r="58" spans="2:3">
      <c r="B58" s="488">
        <f t="shared" si="3"/>
        <v>2000</v>
      </c>
      <c r="C58" s="489">
        <f t="shared" si="4"/>
        <v>1515.4</v>
      </c>
    </row>
    <row r="59" spans="2:3">
      <c r="B59" s="488">
        <f t="shared" si="3"/>
        <v>2001</v>
      </c>
      <c r="C59" s="489">
        <f t="shared" si="4"/>
        <v>1078.7</v>
      </c>
    </row>
    <row r="60" spans="2:3">
      <c r="B60" s="488">
        <f t="shared" si="3"/>
        <v>2002</v>
      </c>
      <c r="C60" s="489">
        <f t="shared" si="4"/>
        <v>3572.2</v>
      </c>
    </row>
    <row r="61" spans="2:3">
      <c r="B61" s="488">
        <f t="shared" si="3"/>
        <v>2003</v>
      </c>
      <c r="C61" s="489">
        <f t="shared" si="4"/>
        <v>1264.7</v>
      </c>
    </row>
    <row r="62" spans="2:3">
      <c r="B62" s="488">
        <f t="shared" si="3"/>
        <v>2004</v>
      </c>
      <c r="C62" s="489">
        <f t="shared" si="4"/>
        <v>1061.2</v>
      </c>
    </row>
    <row r="63" spans="2:3">
      <c r="B63" s="488">
        <f t="shared" si="3"/>
        <v>2005</v>
      </c>
      <c r="C63" s="489">
        <f t="shared" si="4"/>
        <v>1266.5</v>
      </c>
    </row>
    <row r="64" spans="2:3">
      <c r="B64" s="488">
        <f t="shared" si="3"/>
        <v>2006</v>
      </c>
      <c r="C64" s="489">
        <f t="shared" si="4"/>
        <v>831.4</v>
      </c>
    </row>
    <row r="65" spans="2:3">
      <c r="B65" s="488">
        <f t="shared" si="3"/>
        <v>2007</v>
      </c>
      <c r="C65" s="489">
        <f t="shared" si="4"/>
        <v>1295.8</v>
      </c>
    </row>
    <row r="66" spans="2:3">
      <c r="B66" s="488">
        <f t="shared" si="3"/>
        <v>2008</v>
      </c>
      <c r="C66" s="489">
        <f t="shared" si="4"/>
        <v>813.5</v>
      </c>
    </row>
    <row r="67" spans="2:3">
      <c r="B67" s="488">
        <f t="shared" si="3"/>
        <v>2009</v>
      </c>
      <c r="C67" s="489">
        <f t="shared" si="4"/>
        <v>1081.4000000000001</v>
      </c>
    </row>
    <row r="68" spans="2:3">
      <c r="B68" s="488">
        <f t="shared" si="3"/>
        <v>2010</v>
      </c>
      <c r="C68" s="489">
        <f t="shared" si="4"/>
        <v>1502.3</v>
      </c>
    </row>
    <row r="69" spans="2:3">
      <c r="B69" s="488">
        <f t="shared" si="3"/>
        <v>2011</v>
      </c>
      <c r="C69" s="489">
        <f t="shared" si="4"/>
        <v>1743</v>
      </c>
    </row>
    <row r="70" spans="2:3">
      <c r="B70" s="488">
        <f t="shared" si="3"/>
        <v>2012</v>
      </c>
      <c r="C70" s="489">
        <f t="shared" si="4"/>
        <v>1319</v>
      </c>
    </row>
    <row r="71" spans="2:3">
      <c r="B71" s="488">
        <f t="shared" si="3"/>
        <v>2013</v>
      </c>
      <c r="C71" s="489">
        <f t="shared" si="4"/>
        <v>1387.7</v>
      </c>
    </row>
    <row r="72" spans="2:3">
      <c r="B72" s="488">
        <f t="shared" si="3"/>
        <v>2014</v>
      </c>
      <c r="C72" s="489">
        <f t="shared" si="4"/>
        <v>1010.1</v>
      </c>
    </row>
    <row r="73" spans="2:3">
      <c r="B73" s="488">
        <f t="shared" si="3"/>
        <v>2015</v>
      </c>
      <c r="C73" s="489">
        <f t="shared" si="4"/>
        <v>785.4</v>
      </c>
    </row>
    <row r="74" spans="2:3">
      <c r="B74" s="488">
        <f t="shared" si="3"/>
        <v>2016</v>
      </c>
      <c r="C74" s="489">
        <f t="shared" si="4"/>
        <v>792.8</v>
      </c>
    </row>
    <row r="75" spans="2:3">
      <c r="B75" s="488">
        <f t="shared" si="3"/>
        <v>2017</v>
      </c>
      <c r="C75" s="489">
        <f t="shared" si="4"/>
        <v>856.2</v>
      </c>
    </row>
    <row r="76" spans="2:3">
      <c r="B76" s="488">
        <f t="shared" si="3"/>
        <v>2018</v>
      </c>
      <c r="C76" s="489">
        <f t="shared" si="4"/>
        <v>1337.2</v>
      </c>
    </row>
    <row r="77" spans="2:3">
      <c r="B77" s="488">
        <f t="shared" si="3"/>
        <v>2019</v>
      </c>
      <c r="C77" s="489">
        <f t="shared" si="4"/>
        <v>821.9</v>
      </c>
    </row>
    <row r="78" spans="2:3">
      <c r="B78" s="488">
        <f>B29</f>
        <v>2020</v>
      </c>
      <c r="C78" s="489">
        <f t="shared" si="4"/>
        <v>1301.9000000000001</v>
      </c>
    </row>
    <row r="79" spans="2:3">
      <c r="B79" s="488">
        <f t="shared" si="3"/>
        <v>2021</v>
      </c>
      <c r="C79" s="489">
        <f t="shared" si="4"/>
        <v>1107.9000000000001</v>
      </c>
    </row>
    <row r="80" spans="2:3">
      <c r="B80" s="488">
        <f t="shared" si="3"/>
        <v>2022</v>
      </c>
      <c r="C80" s="489">
        <f t="shared" si="4"/>
        <v>1348.4</v>
      </c>
    </row>
    <row r="81" spans="2:3">
      <c r="B81" s="488">
        <f t="shared" si="3"/>
        <v>2023</v>
      </c>
      <c r="C81" s="489">
        <f t="shared" si="4"/>
        <v>1724.8</v>
      </c>
    </row>
    <row r="82" spans="2:3" ht="17.25" thickBot="1">
      <c r="B82" s="481" t="str">
        <f>B34</f>
        <v>30년평균</v>
      </c>
      <c r="C82" s="490">
        <f>O34</f>
        <v>1304.4000000000001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P26" sqref="P26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5" customWidth="1"/>
    <col min="16" max="16" width="8.77734375" style="143" customWidth="1"/>
    <col min="17" max="16384" width="8.88671875" style="143"/>
  </cols>
  <sheetData>
    <row r="2" spans="2:16" ht="20.25" customHeight="1">
      <c r="B2" s="543" t="str">
        <f>All!B2</f>
        <v>보령기상청</v>
      </c>
      <c r="C2" s="544" t="s">
        <v>336</v>
      </c>
    </row>
    <row r="3" spans="2:16" ht="17.25" thickBot="1">
      <c r="I3" s="546"/>
      <c r="J3" s="546"/>
      <c r="K3" s="546"/>
    </row>
    <row r="4" spans="2:16" ht="29.25" customHeight="1">
      <c r="B4" s="597"/>
      <c r="C4" s="598" t="s">
        <v>7</v>
      </c>
      <c r="D4" s="468" t="s">
        <v>8</v>
      </c>
      <c r="E4" s="468" t="s">
        <v>9</v>
      </c>
      <c r="F4" s="468" t="s">
        <v>10</v>
      </c>
      <c r="G4" s="468" t="s">
        <v>11</v>
      </c>
      <c r="H4" s="468" t="s">
        <v>12</v>
      </c>
      <c r="I4" s="468" t="s">
        <v>13</v>
      </c>
      <c r="J4" s="468" t="s">
        <v>14</v>
      </c>
      <c r="K4" s="468" t="s">
        <v>15</v>
      </c>
      <c r="L4" s="468" t="s">
        <v>16</v>
      </c>
      <c r="M4" s="468" t="s">
        <v>17</v>
      </c>
      <c r="N4" s="469" t="s">
        <v>18</v>
      </c>
      <c r="O4" s="599" t="s">
        <v>19</v>
      </c>
      <c r="P4" s="469" t="s">
        <v>20</v>
      </c>
    </row>
    <row r="5" spans="2:16" ht="22.15" customHeight="1">
      <c r="B5" s="600">
        <f>All!B41</f>
        <v>2014</v>
      </c>
      <c r="C5" s="547">
        <f>All!C41</f>
        <v>3.4</v>
      </c>
      <c r="D5" s="466">
        <f>All!D41</f>
        <v>20.5</v>
      </c>
      <c r="E5" s="466">
        <f>All!E41</f>
        <v>56.3</v>
      </c>
      <c r="F5" s="466">
        <f>All!F41</f>
        <v>70</v>
      </c>
      <c r="G5" s="466">
        <f>All!G41</f>
        <v>47.1</v>
      </c>
      <c r="H5" s="466">
        <f>All!H41</f>
        <v>125.8</v>
      </c>
      <c r="I5" s="466">
        <f>All!I41</f>
        <v>104</v>
      </c>
      <c r="J5" s="466">
        <f>All!J41</f>
        <v>168.5</v>
      </c>
      <c r="K5" s="466">
        <f>All!K41</f>
        <v>152</v>
      </c>
      <c r="L5" s="466">
        <f>All!L41</f>
        <v>156</v>
      </c>
      <c r="M5" s="466">
        <f>All!M41</f>
        <v>39.9</v>
      </c>
      <c r="N5" s="471">
        <f>All!N41</f>
        <v>66.599999999999994</v>
      </c>
      <c r="O5" s="548">
        <f>All!O41</f>
        <v>1010.1</v>
      </c>
      <c r="P5" s="471">
        <f>All!P41</f>
        <v>84.2</v>
      </c>
    </row>
    <row r="6" spans="2:16" ht="22.15" customHeight="1">
      <c r="B6" s="600">
        <f>All!B42</f>
        <v>2015</v>
      </c>
      <c r="C6" s="547">
        <f>All!C42</f>
        <v>29.9</v>
      </c>
      <c r="D6" s="466">
        <f>All!D42</f>
        <v>23.4</v>
      </c>
      <c r="E6" s="466">
        <f>All!E42</f>
        <v>30.9</v>
      </c>
      <c r="F6" s="466">
        <f>All!F42</f>
        <v>129.69999999999999</v>
      </c>
      <c r="G6" s="466">
        <f>All!G42</f>
        <v>38.799999999999997</v>
      </c>
      <c r="H6" s="466">
        <f>All!H42</f>
        <v>83.9</v>
      </c>
      <c r="I6" s="466">
        <f>All!I42</f>
        <v>94.7</v>
      </c>
      <c r="J6" s="466">
        <f>All!J42</f>
        <v>30.2</v>
      </c>
      <c r="K6" s="466">
        <f>All!K42</f>
        <v>13.3</v>
      </c>
      <c r="L6" s="466">
        <f>All!L42</f>
        <v>90</v>
      </c>
      <c r="M6" s="466">
        <f>All!M42</f>
        <v>155.6</v>
      </c>
      <c r="N6" s="471">
        <f>All!N42</f>
        <v>65</v>
      </c>
      <c r="O6" s="549">
        <f>All!O42</f>
        <v>785.4</v>
      </c>
      <c r="P6" s="471">
        <f>All!P42</f>
        <v>65.5</v>
      </c>
    </row>
    <row r="7" spans="2:16" ht="22.15" customHeight="1">
      <c r="B7" s="600">
        <f>All!B43</f>
        <v>2016</v>
      </c>
      <c r="C7" s="547">
        <f>All!C43</f>
        <v>7.8</v>
      </c>
      <c r="D7" s="466">
        <f>All!D43</f>
        <v>54.2</v>
      </c>
      <c r="E7" s="466">
        <f>All!E43</f>
        <v>18.7</v>
      </c>
      <c r="F7" s="466">
        <f>All!F43</f>
        <v>105.1</v>
      </c>
      <c r="G7" s="466">
        <f>All!G43</f>
        <v>146.5</v>
      </c>
      <c r="H7" s="466">
        <f>All!H43</f>
        <v>23.7</v>
      </c>
      <c r="I7" s="466">
        <f>All!I43</f>
        <v>200.2</v>
      </c>
      <c r="J7" s="466">
        <f>All!J43</f>
        <v>5.0999999999999996</v>
      </c>
      <c r="K7" s="466">
        <f>All!K43</f>
        <v>73.400000000000006</v>
      </c>
      <c r="L7" s="466">
        <f>All!L43</f>
        <v>108</v>
      </c>
      <c r="M7" s="466">
        <f>All!M43</f>
        <v>5.6</v>
      </c>
      <c r="N7" s="471">
        <f>All!N43</f>
        <v>44.5</v>
      </c>
      <c r="O7" s="548">
        <f>All!O43</f>
        <v>792.8</v>
      </c>
      <c r="P7" s="471">
        <f>All!P43</f>
        <v>66.099999999999994</v>
      </c>
    </row>
    <row r="8" spans="2:16" ht="22.15" customHeight="1">
      <c r="B8" s="600">
        <f>All!B44</f>
        <v>2017</v>
      </c>
      <c r="C8" s="547">
        <f>All!C44</f>
        <v>14.8</v>
      </c>
      <c r="D8" s="466">
        <f>All!D44</f>
        <v>30.2</v>
      </c>
      <c r="E8" s="466">
        <f>All!E44</f>
        <v>14.4</v>
      </c>
      <c r="F8" s="466">
        <f>All!F44</f>
        <v>57.6</v>
      </c>
      <c r="G8" s="466">
        <f>All!G44</f>
        <v>58.9</v>
      </c>
      <c r="H8" s="466">
        <f>All!H44</f>
        <v>21.1</v>
      </c>
      <c r="I8" s="466">
        <f>All!I44</f>
        <v>278.10000000000002</v>
      </c>
      <c r="J8" s="466">
        <f>All!J44</f>
        <v>210</v>
      </c>
      <c r="K8" s="466">
        <f>All!K44</f>
        <v>90</v>
      </c>
      <c r="L8" s="466">
        <f>All!L44</f>
        <v>26.6</v>
      </c>
      <c r="M8" s="466">
        <f>All!M44</f>
        <v>15.9</v>
      </c>
      <c r="N8" s="471">
        <f>All!N44</f>
        <v>38.6</v>
      </c>
      <c r="O8" s="548">
        <f>All!O44</f>
        <v>856.2</v>
      </c>
      <c r="P8" s="471">
        <f>All!P44</f>
        <v>71.400000000000006</v>
      </c>
    </row>
    <row r="9" spans="2:16" ht="22.15" customHeight="1">
      <c r="B9" s="600">
        <f>All!B45</f>
        <v>2018</v>
      </c>
      <c r="C9" s="547">
        <f>All!C45</f>
        <v>15</v>
      </c>
      <c r="D9" s="466">
        <f>All!D45</f>
        <v>33.6</v>
      </c>
      <c r="E9" s="466">
        <f>All!E45</f>
        <v>92</v>
      </c>
      <c r="F9" s="466">
        <f>All!F45</f>
        <v>128.1</v>
      </c>
      <c r="G9" s="466">
        <f>All!G45</f>
        <v>104.5</v>
      </c>
      <c r="H9" s="466">
        <f>All!H45</f>
        <v>71</v>
      </c>
      <c r="I9" s="466">
        <f>All!I45</f>
        <v>262.7</v>
      </c>
      <c r="J9" s="466">
        <f>All!J45</f>
        <v>239.6</v>
      </c>
      <c r="K9" s="466">
        <f>All!K45</f>
        <v>158.19999999999999</v>
      </c>
      <c r="L9" s="466">
        <f>All!L45</f>
        <v>154.69999999999999</v>
      </c>
      <c r="M9" s="466">
        <f>All!M45</f>
        <v>46.7</v>
      </c>
      <c r="N9" s="471">
        <f>All!N45</f>
        <v>31.1</v>
      </c>
      <c r="O9" s="548">
        <f>All!O45</f>
        <v>1337.2</v>
      </c>
      <c r="P9" s="471">
        <f>All!P45</f>
        <v>111.4</v>
      </c>
    </row>
    <row r="10" spans="2:16" ht="22.15" customHeight="1">
      <c r="B10" s="600">
        <f>All!B46</f>
        <v>2019</v>
      </c>
      <c r="C10" s="547">
        <f>All!C46</f>
        <v>1.9</v>
      </c>
      <c r="D10" s="466">
        <f>All!D46</f>
        <v>17.8</v>
      </c>
      <c r="E10" s="466">
        <f>All!E46</f>
        <v>18.2</v>
      </c>
      <c r="F10" s="466">
        <f>All!F46</f>
        <v>71.900000000000006</v>
      </c>
      <c r="G10" s="466">
        <f>All!G46</f>
        <v>31.3</v>
      </c>
      <c r="H10" s="466">
        <f>All!H46</f>
        <v>56</v>
      </c>
      <c r="I10" s="466">
        <f>All!I46</f>
        <v>149</v>
      </c>
      <c r="J10" s="466">
        <f>All!J46</f>
        <v>131.30000000000001</v>
      </c>
      <c r="K10" s="466">
        <f>All!K46</f>
        <v>118.7</v>
      </c>
      <c r="L10" s="466">
        <f>All!L46</f>
        <v>63.9</v>
      </c>
      <c r="M10" s="466">
        <f>All!M46</f>
        <v>130.6</v>
      </c>
      <c r="N10" s="471">
        <f>All!N46</f>
        <v>31.3</v>
      </c>
      <c r="O10" s="548">
        <f>All!O46</f>
        <v>821.9</v>
      </c>
      <c r="P10" s="471">
        <f>All!P46</f>
        <v>68.5</v>
      </c>
    </row>
    <row r="11" spans="2:16" ht="22.15" customHeight="1">
      <c r="B11" s="600">
        <f>All!B47</f>
        <v>2020</v>
      </c>
      <c r="C11" s="547">
        <f>All!C47</f>
        <v>49.4</v>
      </c>
      <c r="D11" s="466">
        <f>All!D47</f>
        <v>75.3</v>
      </c>
      <c r="E11" s="466">
        <f>All!E47</f>
        <v>22.8</v>
      </c>
      <c r="F11" s="466">
        <f>All!F47</f>
        <v>16.5</v>
      </c>
      <c r="G11" s="466">
        <f>All!G47</f>
        <v>92.4</v>
      </c>
      <c r="H11" s="466">
        <f>All!H47</f>
        <v>139.69999999999999</v>
      </c>
      <c r="I11" s="466">
        <f>All!I47</f>
        <v>345.9</v>
      </c>
      <c r="J11" s="466">
        <f>All!J47</f>
        <v>321.5</v>
      </c>
      <c r="K11" s="466">
        <f>All!K47</f>
        <v>177.1</v>
      </c>
      <c r="L11" s="466">
        <f>All!L47</f>
        <v>16.2</v>
      </c>
      <c r="M11" s="466">
        <f>All!M47</f>
        <v>35.4</v>
      </c>
      <c r="N11" s="471">
        <f>All!N47</f>
        <v>9.6999999999999993</v>
      </c>
      <c r="O11" s="548">
        <f>All!O47</f>
        <v>1301.9000000000001</v>
      </c>
      <c r="P11" s="471">
        <f>All!P47</f>
        <v>108.5</v>
      </c>
    </row>
    <row r="12" spans="2:16" ht="22.15" customHeight="1">
      <c r="B12" s="600">
        <f>All!B48</f>
        <v>2021</v>
      </c>
      <c r="C12" s="547">
        <f>All!C48</f>
        <v>32</v>
      </c>
      <c r="D12" s="466">
        <f>All!D48</f>
        <v>18.7</v>
      </c>
      <c r="E12" s="466">
        <f>All!E48</f>
        <v>76.099999999999994</v>
      </c>
      <c r="F12" s="466">
        <f>All!F48</f>
        <v>43.4</v>
      </c>
      <c r="G12" s="466">
        <f>All!G48</f>
        <v>110</v>
      </c>
      <c r="H12" s="466">
        <f>All!H48</f>
        <v>55</v>
      </c>
      <c r="I12" s="466">
        <f>All!I48</f>
        <v>131.30000000000001</v>
      </c>
      <c r="J12" s="466">
        <f>All!J48</f>
        <v>253.7</v>
      </c>
      <c r="K12" s="466">
        <f>All!K48</f>
        <v>215.9</v>
      </c>
      <c r="L12" s="466">
        <f>All!L48</f>
        <v>39.6</v>
      </c>
      <c r="M12" s="466">
        <f>All!M48</f>
        <v>117.8</v>
      </c>
      <c r="N12" s="471">
        <f>All!N48</f>
        <v>14.4</v>
      </c>
      <c r="O12" s="548">
        <f>All!O48</f>
        <v>1107.9000000000001</v>
      </c>
      <c r="P12" s="471">
        <f>All!P48</f>
        <v>92.3</v>
      </c>
    </row>
    <row r="13" spans="2:16" ht="22.15" customHeight="1">
      <c r="B13" s="600">
        <f>All!B49</f>
        <v>2022</v>
      </c>
      <c r="C13" s="547">
        <f>All!C49</f>
        <v>8.4</v>
      </c>
      <c r="D13" s="466">
        <f>All!D49</f>
        <v>5.3</v>
      </c>
      <c r="E13" s="466">
        <f>All!E49</f>
        <v>60.9</v>
      </c>
      <c r="F13" s="466">
        <f>All!F49</f>
        <v>34.799999999999997</v>
      </c>
      <c r="G13" s="466">
        <f>All!G49</f>
        <v>5.7</v>
      </c>
      <c r="H13" s="466">
        <f>All!H49</f>
        <v>225</v>
      </c>
      <c r="I13" s="466">
        <f>All!I49</f>
        <v>119.9</v>
      </c>
      <c r="J13" s="466">
        <f>All!J49</f>
        <v>637.1</v>
      </c>
      <c r="K13" s="466">
        <f>All!K49</f>
        <v>102</v>
      </c>
      <c r="L13" s="466">
        <f>All!L49</f>
        <v>112</v>
      </c>
      <c r="M13" s="466">
        <f>All!M49</f>
        <v>23.3</v>
      </c>
      <c r="N13" s="471">
        <f>All!N49</f>
        <v>14</v>
      </c>
      <c r="O13" s="548">
        <f>All!O49</f>
        <v>1348.4</v>
      </c>
      <c r="P13" s="471">
        <f>All!P49</f>
        <v>112.4</v>
      </c>
    </row>
    <row r="14" spans="2:16" ht="22.15" customHeight="1" thickBot="1">
      <c r="B14" s="602">
        <f>All!B50</f>
        <v>2023</v>
      </c>
      <c r="C14" s="550">
        <f>All!C50</f>
        <v>19.2</v>
      </c>
      <c r="D14" s="551">
        <f>All!D50</f>
        <v>0.4</v>
      </c>
      <c r="E14" s="551">
        <f>All!E50</f>
        <v>7.2</v>
      </c>
      <c r="F14" s="551">
        <f>All!F50</f>
        <v>42.4</v>
      </c>
      <c r="G14" s="551">
        <f>All!G50</f>
        <v>190.8</v>
      </c>
      <c r="H14" s="551">
        <f>All!H50</f>
        <v>95.1</v>
      </c>
      <c r="I14" s="551">
        <f>All!I50</f>
        <v>772.2</v>
      </c>
      <c r="J14" s="551">
        <f>All!J50</f>
        <v>107.8</v>
      </c>
      <c r="K14" s="551">
        <f>All!K50</f>
        <v>288.39999999999998</v>
      </c>
      <c r="L14" s="551">
        <f>All!L50</f>
        <v>25.5</v>
      </c>
      <c r="M14" s="551">
        <f>All!M50</f>
        <v>65.2</v>
      </c>
      <c r="N14" s="485">
        <f>All!N50</f>
        <v>110.6</v>
      </c>
      <c r="O14" s="552">
        <f>All!O50</f>
        <v>1724.8</v>
      </c>
      <c r="P14" s="485">
        <f>All!P50</f>
        <v>143.69999999999999</v>
      </c>
    </row>
    <row r="15" spans="2:16" ht="22.15" customHeight="1">
      <c r="B15" s="601" t="s">
        <v>21</v>
      </c>
      <c r="C15" s="553">
        <f>All!C51</f>
        <v>49.4</v>
      </c>
      <c r="D15" s="554">
        <f>All!D51</f>
        <v>75.3</v>
      </c>
      <c r="E15" s="554">
        <f>All!E51</f>
        <v>92</v>
      </c>
      <c r="F15" s="554">
        <f>All!F51</f>
        <v>129.69999999999999</v>
      </c>
      <c r="G15" s="554">
        <f>All!G51</f>
        <v>190.8</v>
      </c>
      <c r="H15" s="554">
        <f>All!H51</f>
        <v>225</v>
      </c>
      <c r="I15" s="554">
        <f>All!I51</f>
        <v>772.2</v>
      </c>
      <c r="J15" s="554">
        <f>All!J51</f>
        <v>637.1</v>
      </c>
      <c r="K15" s="554">
        <f>All!K51</f>
        <v>288.39999999999998</v>
      </c>
      <c r="L15" s="554">
        <f>All!L51</f>
        <v>156</v>
      </c>
      <c r="M15" s="554">
        <f>All!M51</f>
        <v>155.6</v>
      </c>
      <c r="N15" s="555">
        <f>All!N51</f>
        <v>110.6</v>
      </c>
      <c r="O15" s="556">
        <f>All!O51</f>
        <v>1724.8</v>
      </c>
      <c r="P15" s="555">
        <f>All!P51</f>
        <v>143.69999999999999</v>
      </c>
    </row>
    <row r="16" spans="2:16" ht="22.15" customHeight="1">
      <c r="B16" s="600" t="s">
        <v>22</v>
      </c>
      <c r="C16" s="547">
        <f>All!C52</f>
        <v>1.9</v>
      </c>
      <c r="D16" s="466">
        <f>All!D52</f>
        <v>0.4</v>
      </c>
      <c r="E16" s="466">
        <f>All!E52</f>
        <v>7.2</v>
      </c>
      <c r="F16" s="466">
        <f>All!F52</f>
        <v>16.5</v>
      </c>
      <c r="G16" s="466">
        <f>All!G52</f>
        <v>5.7</v>
      </c>
      <c r="H16" s="466">
        <f>All!H52</f>
        <v>21.1</v>
      </c>
      <c r="I16" s="466">
        <f>All!I52</f>
        <v>94.7</v>
      </c>
      <c r="J16" s="466">
        <f>All!J52</f>
        <v>5.0999999999999996</v>
      </c>
      <c r="K16" s="466">
        <f>All!K52</f>
        <v>13.3</v>
      </c>
      <c r="L16" s="466">
        <f>All!L52</f>
        <v>16.2</v>
      </c>
      <c r="M16" s="466">
        <f>All!M52</f>
        <v>5.6</v>
      </c>
      <c r="N16" s="471">
        <f>All!N52</f>
        <v>9.6999999999999993</v>
      </c>
      <c r="O16" s="549">
        <f>All!O52</f>
        <v>785.4</v>
      </c>
      <c r="P16" s="471">
        <f>All!P52</f>
        <v>65.5</v>
      </c>
    </row>
    <row r="17" spans="1:16" ht="22.15" customHeight="1" thickBot="1">
      <c r="B17" s="602" t="s">
        <v>20</v>
      </c>
      <c r="C17" s="550">
        <f>All!C53</f>
        <v>18.2</v>
      </c>
      <c r="D17" s="551">
        <f>All!D53</f>
        <v>27.9</v>
      </c>
      <c r="E17" s="557">
        <f>All!E53</f>
        <v>39.799999999999997</v>
      </c>
      <c r="F17" s="551">
        <f>All!F53</f>
        <v>70</v>
      </c>
      <c r="G17" s="558">
        <f>All!G53</f>
        <v>82.6</v>
      </c>
      <c r="H17" s="558">
        <f>All!H53</f>
        <v>89.6</v>
      </c>
      <c r="I17" s="558">
        <f>All!I53</f>
        <v>245.8</v>
      </c>
      <c r="J17" s="558">
        <f>All!J53</f>
        <v>210.5</v>
      </c>
      <c r="K17" s="558">
        <f>All!K53</f>
        <v>138.9</v>
      </c>
      <c r="L17" s="551">
        <f>All!L53</f>
        <v>79.3</v>
      </c>
      <c r="M17" s="551">
        <f>All!M53</f>
        <v>63.6</v>
      </c>
      <c r="N17" s="485">
        <f>All!N53</f>
        <v>42.6</v>
      </c>
      <c r="O17" s="552">
        <f>All!O53</f>
        <v>1108.7</v>
      </c>
      <c r="P17" s="559">
        <f>All!P53</f>
        <v>92.4</v>
      </c>
    </row>
    <row r="18" spans="1:16" ht="29.25" customHeight="1" thickBot="1">
      <c r="B18" s="603" t="s">
        <v>23</v>
      </c>
      <c r="C18" s="560">
        <f>All!C37</f>
        <v>23.7</v>
      </c>
      <c r="D18" s="561">
        <f>All!D37</f>
        <v>26.9</v>
      </c>
      <c r="E18" s="561">
        <f>All!E37</f>
        <v>43</v>
      </c>
      <c r="F18" s="561">
        <f>All!F37</f>
        <v>70.8</v>
      </c>
      <c r="G18" s="561">
        <f>All!G37</f>
        <v>89.9</v>
      </c>
      <c r="H18" s="561">
        <f>All!H37</f>
        <v>132.5</v>
      </c>
      <c r="I18" s="562">
        <f>All!I37</f>
        <v>262.3</v>
      </c>
      <c r="J18" s="562">
        <f>All!J37</f>
        <v>278.39999999999998</v>
      </c>
      <c r="K18" s="562">
        <f>All!K37</f>
        <v>225.2</v>
      </c>
      <c r="L18" s="562">
        <f>All!L37</f>
        <v>63</v>
      </c>
      <c r="M18" s="562">
        <f>All!M37</f>
        <v>54</v>
      </c>
      <c r="N18" s="563">
        <f>All!N37</f>
        <v>34.799999999999997</v>
      </c>
      <c r="O18" s="564">
        <f>All!O37</f>
        <v>1304.4000000000001</v>
      </c>
      <c r="P18" s="563">
        <f>All!P37</f>
        <v>108.7</v>
      </c>
    </row>
    <row r="19" spans="1:16" ht="22.15" customHeight="1" thickBot="1"/>
    <row r="20" spans="1:16">
      <c r="B20" s="565" t="s">
        <v>24</v>
      </c>
      <c r="C20" s="566"/>
      <c r="D20" s="567">
        <f>SUM(G17:K17)</f>
        <v>767.4</v>
      </c>
      <c r="F20" s="568"/>
    </row>
    <row r="21" spans="1:16">
      <c r="B21" s="569" t="s">
        <v>163</v>
      </c>
      <c r="D21" s="570">
        <f>O17</f>
        <v>1108.7</v>
      </c>
    </row>
    <row r="22" spans="1:16" ht="17.25" thickBot="1">
      <c r="B22" s="571"/>
      <c r="C22" s="572"/>
      <c r="D22" s="573">
        <f>D20/D21</f>
        <v>0.69216199152160185</v>
      </c>
    </row>
    <row r="23" spans="1:16" ht="33.75" customHeight="1" thickBot="1">
      <c r="C23" s="574" t="s">
        <v>184</v>
      </c>
      <c r="D23" s="574" t="s">
        <v>185</v>
      </c>
      <c r="E23" s="574" t="s">
        <v>186</v>
      </c>
    </row>
    <row r="24" spans="1:16" ht="21.95" customHeight="1">
      <c r="B24" s="575" t="s">
        <v>93</v>
      </c>
      <c r="C24" s="157">
        <f>O16</f>
        <v>785.4</v>
      </c>
      <c r="D24" s="576"/>
      <c r="E24" s="487"/>
      <c r="H24" s="577" t="s">
        <v>181</v>
      </c>
      <c r="I24" s="660" t="s">
        <v>731</v>
      </c>
      <c r="J24" s="661"/>
      <c r="K24" s="604">
        <f>INDEX(Location[recharge], MATCH(I24,Location[name],0))</f>
        <v>0.155</v>
      </c>
      <c r="L24" s="605">
        <f>INDEX(Location[ratio], MATCH(I24,Location[name],0))</f>
        <v>0.69599999999999995</v>
      </c>
    </row>
    <row r="25" spans="1:16" ht="21.95" customHeight="1">
      <c r="B25" s="578" t="s">
        <v>25</v>
      </c>
      <c r="C25" s="158">
        <f>O18</f>
        <v>1304.4000000000001</v>
      </c>
      <c r="D25" s="486"/>
      <c r="E25" s="489"/>
      <c r="H25" s="577" t="s">
        <v>182</v>
      </c>
      <c r="I25" s="662" t="s">
        <v>191</v>
      </c>
      <c r="J25" s="663"/>
      <c r="K25" s="580">
        <f>INDEX(Location[recharge], MATCH(I25,Location[name],0))</f>
        <v>0.152</v>
      </c>
      <c r="L25" s="581">
        <f>INDEX(Location[ratio], MATCH(I25,Location[name],0))</f>
        <v>0.68100000000000005</v>
      </c>
    </row>
    <row r="26" spans="1:16" ht="21.95" customHeight="1" thickBot="1">
      <c r="B26" s="579" t="s">
        <v>162</v>
      </c>
      <c r="C26" s="582">
        <f>L24</f>
        <v>0.69599999999999995</v>
      </c>
      <c r="D26" s="580">
        <f>L25</f>
        <v>0.68100000000000005</v>
      </c>
      <c r="E26" s="581">
        <f>L26</f>
        <v>0.72</v>
      </c>
      <c r="H26" s="577" t="s">
        <v>183</v>
      </c>
      <c r="I26" s="664" t="s">
        <v>244</v>
      </c>
      <c r="J26" s="665"/>
      <c r="K26" s="463">
        <f>INDEX(Location[recharge], MATCH(I26,Location[name],0))</f>
        <v>0.17100000000000001</v>
      </c>
      <c r="L26" s="464">
        <f>INDEX(Location[ratio], MATCH(I26,Location[name],0))</f>
        <v>0.72</v>
      </c>
    </row>
    <row r="27" spans="1:16" ht="21.95" customHeight="1">
      <c r="B27" s="578" t="s">
        <v>26</v>
      </c>
      <c r="C27" s="159">
        <f>Well!P4</f>
        <v>6919125.9708000002</v>
      </c>
      <c r="D27" s="486"/>
      <c r="E27" s="583"/>
    </row>
    <row r="28" spans="1:16" ht="21.95" customHeight="1" thickBot="1">
      <c r="B28" s="584" t="s">
        <v>27</v>
      </c>
      <c r="C28" s="585">
        <f>K24</f>
        <v>0.155</v>
      </c>
      <c r="D28" s="586">
        <f>K25</f>
        <v>0.152</v>
      </c>
      <c r="E28" s="587">
        <f>K26</f>
        <v>0.17100000000000001</v>
      </c>
    </row>
    <row r="29" spans="1:16" ht="17.25" thickBot="1">
      <c r="E29" s="588"/>
    </row>
    <row r="30" spans="1:16" ht="22.15" customHeight="1" thickBot="1">
      <c r="B30" s="589" t="s">
        <v>164</v>
      </c>
      <c r="C30" s="590">
        <f>max*rf_1/10</f>
        <v>20.218200000000003</v>
      </c>
      <c r="D30" s="590">
        <f>max*rf_2/10</f>
        <v>19.826879999999999</v>
      </c>
      <c r="E30" s="591">
        <f>max*rf_3/10</f>
        <v>22.305240000000005</v>
      </c>
    </row>
    <row r="31" spans="1:16" ht="22.15" customHeight="1">
      <c r="E31" s="588"/>
      <c r="I31" s="592" t="s">
        <v>346</v>
      </c>
    </row>
    <row r="32" spans="1:16" ht="17.25" customHeight="1">
      <c r="A32" s="593" t="s">
        <v>165</v>
      </c>
      <c r="B32" s="546"/>
      <c r="C32" s="546"/>
      <c r="D32" s="546"/>
    </row>
    <row r="33" spans="1:6" ht="17.25" customHeight="1">
      <c r="A33" s="593" t="s">
        <v>166</v>
      </c>
    </row>
    <row r="34" spans="1:6" ht="17.25" customHeight="1">
      <c r="C34" s="546"/>
      <c r="D34" s="546"/>
    </row>
    <row r="35" spans="1:6" ht="17.25" customHeight="1"/>
    <row r="3809" spans="15:15" s="595" customFormat="1" ht="17.25">
      <c r="O3809" s="594"/>
    </row>
    <row r="4095" spans="2430:2430">
      <c r="COL4095" s="596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328</v>
      </c>
    </row>
    <row r="19" spans="1:7">
      <c r="A19" s="22" t="s">
        <v>367</v>
      </c>
      <c r="D19" s="22" t="s">
        <v>585</v>
      </c>
      <c r="G19" s="188" t="s">
        <v>348</v>
      </c>
    </row>
    <row r="20" spans="1:7">
      <c r="A20" s="22" t="s">
        <v>360</v>
      </c>
      <c r="D20" s="22">
        <v>150</v>
      </c>
      <c r="G20" s="188" t="s">
        <v>349</v>
      </c>
    </row>
    <row r="21" spans="1:7">
      <c r="A21" s="22" t="s">
        <v>361</v>
      </c>
      <c r="D21" s="22">
        <v>200</v>
      </c>
      <c r="G21" s="188" t="s">
        <v>350</v>
      </c>
    </row>
    <row r="22" spans="1:7">
      <c r="A22" s="22" t="s">
        <v>362</v>
      </c>
      <c r="D22" s="22">
        <v>250</v>
      </c>
      <c r="G22" s="188" t="s">
        <v>351</v>
      </c>
    </row>
    <row r="23" spans="1:7">
      <c r="A23" s="22" t="s">
        <v>363</v>
      </c>
      <c r="D23" s="22">
        <v>1700</v>
      </c>
      <c r="G23" s="188" t="s">
        <v>352</v>
      </c>
    </row>
    <row r="24" spans="1:7">
      <c r="A24" s="22" t="s">
        <v>364</v>
      </c>
      <c r="G24" s="188" t="s">
        <v>353</v>
      </c>
    </row>
    <row r="25" spans="1:7">
      <c r="A25" s="22" t="s">
        <v>365</v>
      </c>
      <c r="G25" s="188" t="s">
        <v>354</v>
      </c>
    </row>
    <row r="26" spans="1:7">
      <c r="A26" s="22" t="s">
        <v>366</v>
      </c>
      <c r="G26" s="188" t="s">
        <v>355</v>
      </c>
    </row>
    <row r="27" spans="1:7">
      <c r="G27" s="188" t="s">
        <v>356</v>
      </c>
    </row>
    <row r="28" spans="1:7">
      <c r="G28" s="188" t="s">
        <v>357</v>
      </c>
    </row>
    <row r="29" spans="1:7">
      <c r="G29" s="188" t="s">
        <v>358</v>
      </c>
    </row>
    <row r="30" spans="1:7">
      <c r="G30" s="188" t="s">
        <v>359</v>
      </c>
    </row>
    <row r="31" spans="1:7">
      <c r="G31" s="202" t="s">
        <v>605</v>
      </c>
    </row>
    <row r="32" spans="1:7">
      <c r="G32" s="188" t="s">
        <v>618</v>
      </c>
    </row>
    <row r="33" spans="7:7">
      <c r="G33" s="188" t="s">
        <v>619</v>
      </c>
    </row>
    <row r="34" spans="7:7">
      <c r="G34" s="188" t="s">
        <v>628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335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8" sqref="Q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290</v>
      </c>
    </row>
    <row r="4" spans="3:11" ht="40.5" customHeight="1">
      <c r="C4" s="193" t="s">
        <v>283</v>
      </c>
      <c r="D4" s="194" t="s">
        <v>260</v>
      </c>
      <c r="E4" s="194" t="s">
        <v>284</v>
      </c>
      <c r="F4" s="195" t="s">
        <v>289</v>
      </c>
      <c r="G4" s="194" t="s">
        <v>275</v>
      </c>
      <c r="H4" s="194" t="s">
        <v>285</v>
      </c>
      <c r="I4" s="194" t="s">
        <v>286</v>
      </c>
      <c r="J4" s="194" t="s">
        <v>287</v>
      </c>
      <c r="K4" s="196" t="s">
        <v>288</v>
      </c>
    </row>
    <row r="5" spans="3:11" ht="97.5" customHeight="1">
      <c r="C5" s="96" t="s">
        <v>226</v>
      </c>
      <c r="D5" s="128" t="s">
        <v>291</v>
      </c>
      <c r="E5" s="128" t="s">
        <v>292</v>
      </c>
      <c r="F5" s="128" t="s">
        <v>293</v>
      </c>
      <c r="G5" s="128" t="s">
        <v>686</v>
      </c>
      <c r="H5" s="128" t="s">
        <v>687</v>
      </c>
      <c r="I5" s="128" t="s">
        <v>688</v>
      </c>
      <c r="J5" s="128" t="s">
        <v>689</v>
      </c>
      <c r="K5" s="129" t="s">
        <v>690</v>
      </c>
    </row>
    <row r="6" spans="3:11" ht="97.5" customHeight="1">
      <c r="C6" s="96" t="s">
        <v>227</v>
      </c>
      <c r="D6" s="128" t="s">
        <v>291</v>
      </c>
      <c r="E6" s="128" t="s">
        <v>292</v>
      </c>
      <c r="F6" s="128" t="s">
        <v>293</v>
      </c>
      <c r="G6" s="128" t="s">
        <v>691</v>
      </c>
      <c r="H6" s="128" t="s">
        <v>692</v>
      </c>
      <c r="I6" s="128" t="s">
        <v>693</v>
      </c>
      <c r="J6" s="128" t="s">
        <v>694</v>
      </c>
      <c r="K6" s="129" t="s">
        <v>695</v>
      </c>
    </row>
    <row r="7" spans="3:11" ht="97.5" customHeight="1">
      <c r="C7" s="96" t="s">
        <v>228</v>
      </c>
      <c r="D7" s="128" t="s">
        <v>291</v>
      </c>
      <c r="E7" s="128" t="s">
        <v>292</v>
      </c>
      <c r="F7" s="128" t="s">
        <v>293</v>
      </c>
      <c r="G7" s="128" t="s">
        <v>696</v>
      </c>
      <c r="H7" s="128" t="s">
        <v>697</v>
      </c>
      <c r="I7" s="128" t="s">
        <v>698</v>
      </c>
      <c r="J7" s="128" t="s">
        <v>699</v>
      </c>
      <c r="K7" s="129" t="s">
        <v>700</v>
      </c>
    </row>
    <row r="8" spans="3:11" ht="97.5" customHeight="1">
      <c r="C8" s="96" t="s">
        <v>332</v>
      </c>
      <c r="D8" s="128" t="s">
        <v>291</v>
      </c>
      <c r="E8" s="128" t="s">
        <v>292</v>
      </c>
      <c r="F8" s="128" t="s">
        <v>293</v>
      </c>
      <c r="G8" s="128" t="s">
        <v>691</v>
      </c>
      <c r="H8" s="128" t="s">
        <v>701</v>
      </c>
      <c r="I8" s="128" t="s">
        <v>702</v>
      </c>
      <c r="J8" s="128" t="s">
        <v>703</v>
      </c>
      <c r="K8" s="129" t="s">
        <v>704</v>
      </c>
    </row>
    <row r="9" spans="3:11" ht="97.5" customHeight="1">
      <c r="C9" s="96" t="s">
        <v>333</v>
      </c>
      <c r="D9" s="128" t="s">
        <v>291</v>
      </c>
      <c r="E9" s="128" t="s">
        <v>292</v>
      </c>
      <c r="F9" s="128" t="s">
        <v>293</v>
      </c>
      <c r="G9" s="128" t="s">
        <v>705</v>
      </c>
      <c r="H9" s="128" t="s">
        <v>707</v>
      </c>
      <c r="I9" s="128" t="s">
        <v>708</v>
      </c>
      <c r="J9" s="128" t="s">
        <v>709</v>
      </c>
      <c r="K9" s="129" t="s">
        <v>710</v>
      </c>
    </row>
    <row r="10" spans="3:11" ht="97.5" customHeight="1">
      <c r="C10" s="96" t="s">
        <v>334</v>
      </c>
      <c r="D10" s="128" t="s">
        <v>291</v>
      </c>
      <c r="E10" s="128" t="s">
        <v>292</v>
      </c>
      <c r="F10" s="128" t="s">
        <v>293</v>
      </c>
      <c r="G10" s="128" t="s">
        <v>706</v>
      </c>
      <c r="H10" s="128" t="s">
        <v>711</v>
      </c>
      <c r="I10" s="128" t="s">
        <v>712</v>
      </c>
      <c r="J10" s="128" t="s">
        <v>713</v>
      </c>
      <c r="K10" s="129" t="s">
        <v>714</v>
      </c>
    </row>
    <row r="11" spans="3:11" ht="97.5" customHeight="1">
      <c r="C11" s="96" t="s">
        <v>609</v>
      </c>
      <c r="D11" s="128" t="s">
        <v>291</v>
      </c>
      <c r="E11" s="128" t="s">
        <v>292</v>
      </c>
      <c r="F11" s="128" t="s">
        <v>293</v>
      </c>
      <c r="G11" s="128" t="s">
        <v>706</v>
      </c>
      <c r="H11" s="128" t="s">
        <v>715</v>
      </c>
      <c r="I11" s="128" t="s">
        <v>716</v>
      </c>
      <c r="J11" s="128" t="s">
        <v>717</v>
      </c>
      <c r="K11" s="129" t="s">
        <v>718</v>
      </c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114" sqref="I11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264</v>
      </c>
      <c r="B4" s="201" t="s">
        <v>303</v>
      </c>
      <c r="C4" s="201" t="s">
        <v>304</v>
      </c>
      <c r="D4" s="201" t="s">
        <v>313</v>
      </c>
      <c r="E4" s="201" t="s">
        <v>321</v>
      </c>
      <c r="F4" s="201" t="s">
        <v>320</v>
      </c>
      <c r="G4" s="201" t="s">
        <v>305</v>
      </c>
      <c r="H4" s="110" t="s">
        <v>295</v>
      </c>
      <c r="I4" s="201" t="s">
        <v>306</v>
      </c>
      <c r="J4" s="201" t="s">
        <v>307</v>
      </c>
      <c r="K4" s="201" t="s">
        <v>311</v>
      </c>
      <c r="L4" s="201" t="s">
        <v>310</v>
      </c>
      <c r="M4" s="201" t="s">
        <v>308</v>
      </c>
      <c r="N4" s="201" t="s">
        <v>301</v>
      </c>
      <c r="O4" s="110" t="s">
        <v>296</v>
      </c>
      <c r="P4" s="110" t="s">
        <v>297</v>
      </c>
      <c r="Q4" s="201" t="s">
        <v>309</v>
      </c>
      <c r="R4" s="201" t="s">
        <v>314</v>
      </c>
      <c r="S4" s="201" t="s">
        <v>315</v>
      </c>
      <c r="T4" s="110" t="s">
        <v>300</v>
      </c>
      <c r="U4" s="201" t="s">
        <v>312</v>
      </c>
      <c r="V4" s="110" t="s">
        <v>298</v>
      </c>
      <c r="W4" s="110" t="s">
        <v>299</v>
      </c>
      <c r="X4" s="110" t="s">
        <v>302</v>
      </c>
      <c r="Y4" s="201" t="s">
        <v>318</v>
      </c>
      <c r="Z4" s="201" t="s">
        <v>319</v>
      </c>
      <c r="AA4" s="201" t="s">
        <v>326</v>
      </c>
      <c r="AB4" s="201" t="s">
        <v>327</v>
      </c>
      <c r="AC4" s="201" t="s">
        <v>322</v>
      </c>
      <c r="AD4" s="201" t="s">
        <v>316</v>
      </c>
      <c r="AE4" s="201" t="s">
        <v>317</v>
      </c>
      <c r="AF4" s="201" t="s">
        <v>323</v>
      </c>
      <c r="AG4" s="110" t="s">
        <v>324</v>
      </c>
      <c r="AH4" s="110" t="s">
        <v>325</v>
      </c>
      <c r="AI4" s="110" t="s">
        <v>599</v>
      </c>
      <c r="AJ4" s="110" t="s">
        <v>598</v>
      </c>
      <c r="AK4" s="110" t="s">
        <v>600</v>
      </c>
      <c r="AL4" s="110" t="s">
        <v>601</v>
      </c>
      <c r="AM4" s="110" t="s">
        <v>602</v>
      </c>
      <c r="AN4" s="102" t="s">
        <v>603</v>
      </c>
    </row>
    <row r="5" spans="1:40" ht="23.1" customHeight="1">
      <c r="A5" s="96" t="s">
        <v>85</v>
      </c>
      <c r="B5" s="124">
        <v>3.6</v>
      </c>
      <c r="C5" s="124">
        <v>10.5</v>
      </c>
      <c r="D5" s="132">
        <v>5.0715323639813441</v>
      </c>
      <c r="E5" s="132">
        <v>5.4284676360186559</v>
      </c>
      <c r="F5" s="124">
        <v>6.9</v>
      </c>
      <c r="G5" s="124">
        <v>1700</v>
      </c>
      <c r="H5" s="124">
        <v>0.85</v>
      </c>
      <c r="I5" s="124">
        <v>20</v>
      </c>
      <c r="J5" s="124">
        <v>12</v>
      </c>
      <c r="K5" s="124">
        <v>300</v>
      </c>
      <c r="L5" s="132">
        <v>1.0947958279694281</v>
      </c>
      <c r="M5" s="124">
        <v>15</v>
      </c>
      <c r="N5" s="124">
        <v>8</v>
      </c>
      <c r="O5" s="131">
        <v>19.029499999999999</v>
      </c>
      <c r="P5" s="131">
        <v>2.6640000000000001</v>
      </c>
      <c r="Q5" s="131">
        <v>10.84675</v>
      </c>
      <c r="R5" s="124">
        <v>9.0399999999999994E-2</v>
      </c>
      <c r="S5" s="133">
        <v>2.9339999999999998E-4</v>
      </c>
      <c r="T5" s="124">
        <v>1.3558399999999999</v>
      </c>
      <c r="U5" s="132">
        <v>0.54159999999999997</v>
      </c>
      <c r="V5" s="132">
        <v>321.89999999999998</v>
      </c>
      <c r="W5" s="132">
        <v>394.2</v>
      </c>
      <c r="X5" s="132">
        <v>212.3</v>
      </c>
      <c r="Y5" s="131">
        <v>-1.7664214100713163</v>
      </c>
      <c r="Z5" s="131">
        <v>4.9720000000000004</v>
      </c>
      <c r="AA5" s="408">
        <v>344</v>
      </c>
      <c r="AB5" s="132">
        <v>313.07308042315543</v>
      </c>
      <c r="AC5" s="132">
        <v>189</v>
      </c>
      <c r="AD5" s="132">
        <v>2.88</v>
      </c>
      <c r="AE5" s="132">
        <v>6.14</v>
      </c>
      <c r="AF5" s="124">
        <v>2.9409999999999999E-4</v>
      </c>
      <c r="AG5" s="124">
        <v>0.1132518</v>
      </c>
      <c r="AH5" s="200">
        <v>0.90988372093023251</v>
      </c>
      <c r="AI5" s="131">
        <v>1.855</v>
      </c>
      <c r="AJ5" s="131">
        <v>5.0000000000000001E-4</v>
      </c>
      <c r="AK5" s="124" t="s">
        <v>265</v>
      </c>
      <c r="AL5" s="124">
        <v>7.0415000000000001</v>
      </c>
      <c r="AM5" s="124">
        <v>7.0457000000000001</v>
      </c>
      <c r="AN5" s="126">
        <v>11.4293</v>
      </c>
    </row>
    <row r="6" spans="1:40" ht="23.1" customHeight="1">
      <c r="A6" s="96"/>
      <c r="B6" s="124"/>
      <c r="C6" s="124"/>
      <c r="D6" s="132"/>
      <c r="E6" s="132"/>
      <c r="F6" s="124"/>
      <c r="G6" s="124"/>
      <c r="H6" s="124"/>
      <c r="I6" s="124"/>
      <c r="J6" s="124"/>
      <c r="K6" s="124"/>
      <c r="L6" s="132"/>
      <c r="M6" s="124"/>
      <c r="N6" s="124"/>
      <c r="O6" s="131"/>
      <c r="P6" s="131"/>
      <c r="Q6" s="131"/>
      <c r="R6" s="124"/>
      <c r="S6" s="133"/>
      <c r="T6" s="124"/>
      <c r="U6" s="132"/>
      <c r="V6" s="132"/>
      <c r="W6" s="132"/>
      <c r="X6" s="132"/>
      <c r="Y6" s="131"/>
      <c r="Z6" s="131"/>
      <c r="AA6" s="408"/>
      <c r="AB6" s="132"/>
      <c r="AC6" s="132"/>
      <c r="AD6" s="132"/>
      <c r="AE6" s="132"/>
      <c r="AF6" s="124"/>
      <c r="AG6" s="124"/>
      <c r="AH6" s="200"/>
      <c r="AI6" s="131"/>
      <c r="AJ6" s="131"/>
      <c r="AK6" s="124"/>
      <c r="AL6" s="124"/>
      <c r="AM6" s="124"/>
      <c r="AN6" s="126"/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8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7" sqref="J27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260</v>
      </c>
      <c r="E6" s="174" t="s">
        <v>340</v>
      </c>
      <c r="F6" s="174"/>
      <c r="G6" s="174" t="s">
        <v>341</v>
      </c>
      <c r="H6" s="174"/>
      <c r="I6" s="174" t="s">
        <v>342</v>
      </c>
      <c r="J6" s="174"/>
      <c r="K6" s="174" t="s">
        <v>343</v>
      </c>
      <c r="L6" s="175"/>
    </row>
    <row r="7" spans="1:12" ht="20.100000000000001" customHeight="1">
      <c r="D7" s="176" t="s">
        <v>344</v>
      </c>
      <c r="E7" s="177">
        <v>88</v>
      </c>
      <c r="F7" s="177">
        <v>423.79000000000008</v>
      </c>
      <c r="G7" s="177">
        <v>25</v>
      </c>
      <c r="H7" s="177">
        <v>116.18999999999997</v>
      </c>
      <c r="I7" s="177">
        <v>58</v>
      </c>
      <c r="J7" s="177">
        <v>259.60000000000014</v>
      </c>
      <c r="K7" s="177">
        <v>5</v>
      </c>
      <c r="L7" s="178">
        <v>48</v>
      </c>
    </row>
    <row r="8" spans="1:12" ht="20.100000000000001" customHeight="1" thickBot="1">
      <c r="D8" s="179" t="s">
        <v>345</v>
      </c>
      <c r="E8" s="180">
        <v>35</v>
      </c>
      <c r="F8" s="180">
        <v>107.60000000000001</v>
      </c>
      <c r="G8" s="180">
        <v>22</v>
      </c>
      <c r="H8" s="180">
        <v>62.72000000000002</v>
      </c>
      <c r="I8" s="180">
        <v>13</v>
      </c>
      <c r="J8" s="180">
        <v>44.879999999999988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K58" sqref="K58"/>
    </sheetView>
  </sheetViews>
  <sheetFormatPr defaultRowHeight="20.100000000000001" customHeight="1" outlineLevelRow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636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91</v>
      </c>
      <c r="I3" s="249">
        <v>82.666507860516333</v>
      </c>
      <c r="J3" s="248">
        <v>80</v>
      </c>
      <c r="K3" s="343">
        <v>0.90109890109890112</v>
      </c>
      <c r="M3" s="363" t="s">
        <v>205</v>
      </c>
      <c r="N3" s="351">
        <f>MIN(K3:K35)</f>
        <v>0.90109890109890112</v>
      </c>
      <c r="O3" s="352">
        <f>MAX(K3:K35)</f>
        <v>0.91044776119402981</v>
      </c>
      <c r="Q3" s="344" t="s">
        <v>226</v>
      </c>
      <c r="R3" s="345">
        <v>1.2455999999999999E-3</v>
      </c>
      <c r="S3" s="346">
        <v>0.24948960000000001</v>
      </c>
    </row>
    <row r="4" spans="7:19" ht="20.100000000000001" customHeight="1">
      <c r="G4" s="206" t="s">
        <v>227</v>
      </c>
      <c r="H4" s="207">
        <v>172</v>
      </c>
      <c r="I4" s="223">
        <v>155.44483477472045</v>
      </c>
      <c r="J4" s="207">
        <v>150</v>
      </c>
      <c r="K4" s="227">
        <v>0.90116279069767447</v>
      </c>
      <c r="M4" s="363" t="s">
        <v>212</v>
      </c>
      <c r="N4" s="353">
        <f>MIN(I3:I35)</f>
        <v>82.666507860516333</v>
      </c>
      <c r="O4" s="354">
        <f>MAX(I3:I35)</f>
        <v>366.29921417026992</v>
      </c>
      <c r="Q4" s="229" t="s">
        <v>227</v>
      </c>
      <c r="R4" s="230">
        <v>3.5980000000000002E-4</v>
      </c>
      <c r="S4" s="231">
        <v>0.13854720000000001</v>
      </c>
    </row>
    <row r="5" spans="7:19" ht="20.100000000000001" customHeight="1" thickBot="1">
      <c r="G5" s="247" t="s">
        <v>228</v>
      </c>
      <c r="H5" s="248">
        <v>287</v>
      </c>
      <c r="I5" s="249">
        <v>259.59296515765442</v>
      </c>
      <c r="J5" s="248">
        <v>250</v>
      </c>
      <c r="K5" s="343">
        <v>0.90243902439024393</v>
      </c>
      <c r="M5" s="364" t="s">
        <v>213</v>
      </c>
      <c r="N5" s="355">
        <f>MIN(J3:J35)</f>
        <v>80</v>
      </c>
      <c r="O5" s="356">
        <f>MAX(J3:J35)</f>
        <v>350</v>
      </c>
      <c r="Q5" s="344" t="s">
        <v>228</v>
      </c>
      <c r="R5" s="345">
        <v>1.672E-4</v>
      </c>
      <c r="S5" s="346">
        <v>0.107053</v>
      </c>
    </row>
    <row r="6" spans="7:19" ht="20.100000000000001" customHeight="1">
      <c r="G6" s="206" t="s">
        <v>332</v>
      </c>
      <c r="H6" s="207">
        <v>172</v>
      </c>
      <c r="I6" s="223">
        <v>155.46403682527949</v>
      </c>
      <c r="J6" s="207">
        <v>150</v>
      </c>
      <c r="K6" s="228">
        <v>0.90116279069767447</v>
      </c>
      <c r="Q6" s="229" t="s">
        <v>332</v>
      </c>
      <c r="R6" s="230">
        <v>3.8690000000000003E-4</v>
      </c>
      <c r="S6" s="231">
        <v>0.14882989999999999</v>
      </c>
    </row>
    <row r="7" spans="7:19" ht="20.100000000000001" customHeight="1">
      <c r="G7" s="247" t="s">
        <v>333</v>
      </c>
      <c r="H7" s="248">
        <v>402</v>
      </c>
      <c r="I7" s="249">
        <v>366.29921417026992</v>
      </c>
      <c r="J7" s="248">
        <v>350</v>
      </c>
      <c r="K7" s="250">
        <v>0.91044776119402981</v>
      </c>
      <c r="Q7" s="344" t="s">
        <v>333</v>
      </c>
      <c r="R7" s="345">
        <v>1.1E-5</v>
      </c>
      <c r="S7" s="346">
        <v>9.0199000000000008E-3</v>
      </c>
    </row>
    <row r="8" spans="7:19" ht="20.100000000000001" customHeight="1">
      <c r="G8" s="206" t="s">
        <v>334</v>
      </c>
      <c r="H8" s="207">
        <v>344</v>
      </c>
      <c r="I8" s="223">
        <v>312.75663242516282</v>
      </c>
      <c r="J8" s="207">
        <v>300</v>
      </c>
      <c r="K8" s="228">
        <v>0.90697674418604646</v>
      </c>
      <c r="Q8" s="206" t="s">
        <v>334</v>
      </c>
      <c r="R8" s="207">
        <v>1.17E-5</v>
      </c>
      <c r="S8" s="210">
        <v>8.4457000000000004E-3</v>
      </c>
    </row>
    <row r="9" spans="7:19" ht="20.100000000000001" customHeight="1">
      <c r="G9" s="247" t="s">
        <v>609</v>
      </c>
      <c r="H9" s="248">
        <v>344</v>
      </c>
      <c r="I9" s="249">
        <v>313.14244950728158</v>
      </c>
      <c r="J9" s="248">
        <v>300</v>
      </c>
      <c r="K9" s="250">
        <v>0.90988372093023251</v>
      </c>
      <c r="Q9" s="247" t="s">
        <v>609</v>
      </c>
      <c r="R9" s="248">
        <v>1.1399999999999999E-5</v>
      </c>
      <c r="S9" s="251">
        <v>8.1954999999999997E-3</v>
      </c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hidden="1" customHeight="1" outlineLevel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hidden="1" customHeight="1" outlineLevel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hidden="1" customHeight="1" outlineLevel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hidden="1" customHeight="1" outlineLevel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hidden="1" customHeight="1" outlineLevel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hidden="1" customHeight="1" outlineLevel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hidden="1" customHeight="1" outlineLevel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hidden="1" customHeight="1" outlineLevel="1" thickBot="1">
      <c r="G35" s="252"/>
      <c r="H35" s="253"/>
      <c r="I35" s="253"/>
      <c r="J35" s="253"/>
      <c r="K35" s="277"/>
      <c r="Q35" s="252"/>
      <c r="R35" s="253"/>
      <c r="S35" s="322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635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683" t="s">
        <v>226</v>
      </c>
      <c r="G43" s="681">
        <v>50</v>
      </c>
      <c r="H43" s="342">
        <v>33.1</v>
      </c>
      <c r="I43" s="682">
        <v>82.666507860516333</v>
      </c>
    </row>
    <row r="44" spans="6:19" ht="15.95" customHeight="1">
      <c r="F44" s="676"/>
      <c r="G44" s="674"/>
      <c r="H44" s="248">
        <v>15.57</v>
      </c>
      <c r="I44" s="667"/>
      <c r="K44" s="298"/>
    </row>
    <row r="45" spans="6:19" ht="15.95" customHeight="1">
      <c r="F45" s="678" t="s">
        <v>227</v>
      </c>
      <c r="G45" s="675">
        <v>94</v>
      </c>
      <c r="H45" s="207">
        <v>34.619999999999997</v>
      </c>
      <c r="I45" s="666">
        <v>155.44483477472045</v>
      </c>
      <c r="K45" s="298"/>
    </row>
    <row r="46" spans="6:19" ht="15.95" customHeight="1">
      <c r="F46" s="678"/>
      <c r="G46" s="675"/>
      <c r="H46" s="207">
        <v>16.28</v>
      </c>
      <c r="I46" s="666"/>
      <c r="K46" s="298"/>
    </row>
    <row r="47" spans="6:19" ht="15.95" customHeight="1">
      <c r="F47" s="676" t="s">
        <v>228</v>
      </c>
      <c r="G47" s="674">
        <v>157</v>
      </c>
      <c r="H47" s="248">
        <v>44.67</v>
      </c>
      <c r="I47" s="667">
        <v>259.59296515765442</v>
      </c>
      <c r="K47" s="298"/>
    </row>
    <row r="48" spans="6:19" ht="15.95" customHeight="1">
      <c r="F48" s="676"/>
      <c r="G48" s="674"/>
      <c r="H48" s="248">
        <v>21.01</v>
      </c>
      <c r="I48" s="667"/>
      <c r="K48" s="298"/>
    </row>
    <row r="49" spans="6:11" ht="15.95" customHeight="1">
      <c r="F49" s="678" t="s">
        <v>332</v>
      </c>
      <c r="G49" s="675">
        <v>94</v>
      </c>
      <c r="H49" s="207">
        <v>37.200000000000003</v>
      </c>
      <c r="I49" s="666">
        <v>155.46403682527949</v>
      </c>
      <c r="K49" s="298"/>
    </row>
    <row r="50" spans="6:11" ht="15.95" customHeight="1">
      <c r="F50" s="678"/>
      <c r="G50" s="675"/>
      <c r="H50" s="207">
        <v>17.489999999999998</v>
      </c>
      <c r="I50" s="666"/>
      <c r="K50" s="298"/>
    </row>
    <row r="51" spans="6:11" ht="15.95" customHeight="1">
      <c r="F51" s="676" t="s">
        <v>333</v>
      </c>
      <c r="G51" s="674">
        <v>221</v>
      </c>
      <c r="H51" s="248">
        <v>5.42</v>
      </c>
      <c r="I51" s="667">
        <v>366.29921417026992</v>
      </c>
      <c r="K51" s="298"/>
    </row>
    <row r="52" spans="6:11" ht="15.95" customHeight="1">
      <c r="F52" s="676"/>
      <c r="G52" s="674"/>
      <c r="H52" s="248">
        <v>2.54</v>
      </c>
      <c r="I52" s="667"/>
      <c r="K52" s="298"/>
    </row>
    <row r="53" spans="6:11" ht="15.95" customHeight="1">
      <c r="F53" s="678" t="s">
        <v>334</v>
      </c>
      <c r="G53" s="675">
        <v>189</v>
      </c>
      <c r="H53" s="207">
        <v>4.3</v>
      </c>
      <c r="I53" s="666">
        <v>312.75663242516282</v>
      </c>
      <c r="K53" s="298"/>
    </row>
    <row r="54" spans="6:11" ht="15.95" customHeight="1">
      <c r="F54" s="678"/>
      <c r="G54" s="675"/>
      <c r="H54" s="207">
        <v>2.02</v>
      </c>
      <c r="I54" s="666"/>
      <c r="K54" s="298"/>
    </row>
    <row r="55" spans="6:11" ht="15.95" customHeight="1">
      <c r="F55" s="676" t="s">
        <v>609</v>
      </c>
      <c r="G55" s="674">
        <v>189</v>
      </c>
      <c r="H55" s="248">
        <v>4.18</v>
      </c>
      <c r="I55" s="667">
        <v>313.14244950728158</v>
      </c>
      <c r="K55" s="298"/>
    </row>
    <row r="56" spans="6:11" ht="15.95" customHeight="1">
      <c r="F56" s="676"/>
      <c r="G56" s="674"/>
      <c r="H56" s="248">
        <v>1.96</v>
      </c>
      <c r="I56" s="667"/>
      <c r="K56" s="298"/>
    </row>
    <row r="57" spans="6:11" ht="15.95" customHeight="1">
      <c r="F57" s="678"/>
      <c r="G57" s="675"/>
      <c r="H57" s="207"/>
      <c r="I57" s="666"/>
      <c r="K57" s="298"/>
    </row>
    <row r="58" spans="6:11" ht="15.95" customHeight="1">
      <c r="F58" s="678"/>
      <c r="G58" s="675"/>
      <c r="H58" s="207"/>
      <c r="I58" s="666"/>
      <c r="K58" s="298"/>
    </row>
    <row r="59" spans="6:11" ht="15.95" customHeight="1">
      <c r="F59" s="676"/>
      <c r="G59" s="674"/>
      <c r="H59" s="248"/>
      <c r="I59" s="667"/>
      <c r="K59" s="298"/>
    </row>
    <row r="60" spans="6:11" ht="15.95" customHeight="1">
      <c r="F60" s="676"/>
      <c r="G60" s="674"/>
      <c r="H60" s="248"/>
      <c r="I60" s="667"/>
      <c r="K60" s="298"/>
    </row>
    <row r="61" spans="6:11" ht="15.95" customHeight="1">
      <c r="F61" s="678"/>
      <c r="G61" s="675"/>
      <c r="H61" s="207"/>
      <c r="I61" s="666"/>
      <c r="K61" s="298"/>
    </row>
    <row r="62" spans="6:11" ht="15.95" customHeight="1">
      <c r="F62" s="678"/>
      <c r="G62" s="675"/>
      <c r="H62" s="207"/>
      <c r="I62" s="666"/>
      <c r="K62" s="298"/>
    </row>
    <row r="63" spans="6:11" ht="15.95" customHeight="1">
      <c r="F63" s="676"/>
      <c r="G63" s="674"/>
      <c r="H63" s="248"/>
      <c r="I63" s="667"/>
      <c r="K63" s="298"/>
    </row>
    <row r="64" spans="6:11" ht="15.95" customHeight="1">
      <c r="F64" s="676"/>
      <c r="G64" s="674"/>
      <c r="H64" s="248"/>
      <c r="I64" s="667"/>
      <c r="K64" s="298"/>
    </row>
    <row r="65" spans="6:11" ht="15.95" customHeight="1">
      <c r="F65" s="678"/>
      <c r="G65" s="675"/>
      <c r="H65" s="207"/>
      <c r="I65" s="666"/>
      <c r="K65" s="298"/>
    </row>
    <row r="66" spans="6:11" ht="15.95" customHeight="1">
      <c r="F66" s="678"/>
      <c r="G66" s="675"/>
      <c r="H66" s="207"/>
      <c r="I66" s="666"/>
      <c r="K66" s="298"/>
    </row>
    <row r="67" spans="6:11" ht="15.95" customHeight="1">
      <c r="F67" s="676"/>
      <c r="G67" s="674"/>
      <c r="H67" s="248"/>
      <c r="I67" s="667"/>
      <c r="K67" s="298"/>
    </row>
    <row r="68" spans="6:11" ht="15.95" customHeight="1">
      <c r="F68" s="676"/>
      <c r="G68" s="674"/>
      <c r="H68" s="248"/>
      <c r="I68" s="667"/>
      <c r="K68" s="298"/>
    </row>
    <row r="69" spans="6:11" ht="15.95" customHeight="1">
      <c r="F69" s="678"/>
      <c r="G69" s="675"/>
      <c r="H69" s="207"/>
      <c r="I69" s="666"/>
      <c r="K69" s="298"/>
    </row>
    <row r="70" spans="6:11" ht="15.95" customHeight="1">
      <c r="F70" s="678"/>
      <c r="G70" s="675"/>
      <c r="H70" s="207"/>
      <c r="I70" s="666"/>
      <c r="K70" s="298"/>
    </row>
    <row r="71" spans="6:11" ht="15.95" customHeight="1">
      <c r="F71" s="676"/>
      <c r="G71" s="674"/>
      <c r="H71" s="248"/>
      <c r="I71" s="667"/>
      <c r="K71" s="298"/>
    </row>
    <row r="72" spans="6:11" ht="15.95" customHeight="1">
      <c r="F72" s="676"/>
      <c r="G72" s="674"/>
      <c r="H72" s="248"/>
      <c r="I72" s="667"/>
      <c r="K72" s="298"/>
    </row>
    <row r="73" spans="6:11" ht="15.95" customHeight="1">
      <c r="F73" s="678"/>
      <c r="G73" s="675"/>
      <c r="H73" s="207"/>
      <c r="I73" s="666"/>
    </row>
    <row r="74" spans="6:11" ht="15.95" customHeight="1">
      <c r="F74" s="678"/>
      <c r="G74" s="675"/>
      <c r="H74" s="207"/>
      <c r="I74" s="666"/>
    </row>
    <row r="75" spans="6:11" ht="15.95" customHeight="1">
      <c r="F75" s="676"/>
      <c r="G75" s="674"/>
      <c r="H75" s="248"/>
      <c r="I75" s="667"/>
    </row>
    <row r="76" spans="6:11" ht="15.95" customHeight="1">
      <c r="F76" s="676"/>
      <c r="G76" s="674"/>
      <c r="H76" s="248"/>
      <c r="I76" s="667"/>
    </row>
    <row r="77" spans="6:11" ht="15.95" customHeight="1">
      <c r="F77" s="678"/>
      <c r="G77" s="675"/>
      <c r="H77" s="207"/>
      <c r="I77" s="666"/>
    </row>
    <row r="78" spans="6:11" ht="15.95" customHeight="1">
      <c r="F78" s="678"/>
      <c r="G78" s="675"/>
      <c r="H78" s="207"/>
      <c r="I78" s="666"/>
    </row>
    <row r="79" spans="6:11" ht="15.95" customHeight="1">
      <c r="F79" s="676"/>
      <c r="G79" s="674"/>
      <c r="H79" s="248"/>
      <c r="I79" s="667"/>
    </row>
    <row r="80" spans="6:11" ht="15.95" customHeight="1">
      <c r="F80" s="676"/>
      <c r="G80" s="674"/>
      <c r="H80" s="248"/>
      <c r="I80" s="667"/>
    </row>
    <row r="81" spans="6:9" ht="15.95" customHeight="1">
      <c r="F81" s="678"/>
      <c r="G81" s="675"/>
      <c r="H81" s="207"/>
      <c r="I81" s="666"/>
    </row>
    <row r="82" spans="6:9" ht="15.95" customHeight="1">
      <c r="F82" s="678"/>
      <c r="G82" s="675"/>
      <c r="H82" s="207"/>
      <c r="I82" s="666"/>
    </row>
    <row r="83" spans="6:9" ht="15.95" customHeight="1">
      <c r="F83" s="676"/>
      <c r="G83" s="674"/>
      <c r="H83" s="248"/>
      <c r="I83" s="667"/>
    </row>
    <row r="84" spans="6:9" ht="15.95" customHeight="1">
      <c r="F84" s="676"/>
      <c r="G84" s="674"/>
      <c r="H84" s="248"/>
      <c r="I84" s="667"/>
    </row>
    <row r="85" spans="6:9" ht="15.95" customHeight="1">
      <c r="F85" s="678"/>
      <c r="G85" s="675"/>
      <c r="H85" s="207"/>
      <c r="I85" s="666"/>
    </row>
    <row r="86" spans="6:9" ht="15.95" customHeight="1">
      <c r="F86" s="678"/>
      <c r="G86" s="675"/>
      <c r="H86" s="207"/>
      <c r="I86" s="666"/>
    </row>
    <row r="87" spans="6:9" ht="15.95" customHeight="1">
      <c r="F87" s="676"/>
      <c r="G87" s="674"/>
      <c r="H87" s="248"/>
      <c r="I87" s="667"/>
    </row>
    <row r="88" spans="6:9" ht="15.95" customHeight="1">
      <c r="F88" s="676"/>
      <c r="G88" s="674"/>
      <c r="H88" s="248"/>
      <c r="I88" s="667"/>
    </row>
    <row r="89" spans="6:9" ht="15.95" customHeight="1">
      <c r="F89" s="678"/>
      <c r="G89" s="675"/>
      <c r="H89" s="207"/>
      <c r="I89" s="666"/>
    </row>
    <row r="90" spans="6:9" ht="15.95" customHeight="1">
      <c r="F90" s="678"/>
      <c r="G90" s="675"/>
      <c r="H90" s="207"/>
      <c r="I90" s="666"/>
    </row>
    <row r="91" spans="6:9" ht="15.95" customHeight="1">
      <c r="F91" s="676"/>
      <c r="G91" s="674"/>
      <c r="H91" s="248"/>
      <c r="I91" s="667"/>
    </row>
    <row r="92" spans="6:9" ht="15.95" customHeight="1">
      <c r="F92" s="676"/>
      <c r="G92" s="674"/>
      <c r="H92" s="248"/>
      <c r="I92" s="667"/>
    </row>
    <row r="93" spans="6:9" ht="15.95" customHeight="1">
      <c r="F93" s="678"/>
      <c r="G93" s="675"/>
      <c r="H93" s="207"/>
      <c r="I93" s="666"/>
    </row>
    <row r="94" spans="6:9" ht="15.95" customHeight="1">
      <c r="F94" s="678"/>
      <c r="G94" s="675"/>
      <c r="H94" s="207"/>
      <c r="I94" s="666"/>
    </row>
    <row r="95" spans="6:9" ht="15.95" customHeight="1">
      <c r="F95" s="677"/>
      <c r="G95" s="679"/>
      <c r="H95" s="144"/>
      <c r="I95" s="680"/>
    </row>
    <row r="96" spans="6:9" ht="15.95" customHeight="1">
      <c r="F96" s="677"/>
      <c r="G96" s="679"/>
      <c r="H96" s="144"/>
      <c r="I96" s="680"/>
    </row>
    <row r="97" spans="6:9" ht="15.95" customHeight="1">
      <c r="F97" s="668"/>
      <c r="G97" s="670"/>
      <c r="H97" s="218"/>
      <c r="I97" s="672"/>
    </row>
    <row r="98" spans="6:9" ht="15.95" customHeight="1">
      <c r="F98" s="668"/>
      <c r="G98" s="670"/>
      <c r="H98" s="218"/>
      <c r="I98" s="672"/>
    </row>
    <row r="99" spans="6:9" ht="15.95" customHeight="1">
      <c r="F99" s="677"/>
      <c r="G99" s="679"/>
      <c r="H99" s="144"/>
      <c r="I99" s="680"/>
    </row>
    <row r="100" spans="6:9" ht="15.95" customHeight="1">
      <c r="F100" s="677"/>
      <c r="G100" s="679"/>
      <c r="H100" s="144"/>
      <c r="I100" s="680"/>
    </row>
    <row r="101" spans="6:9" ht="15.95" customHeight="1">
      <c r="F101" s="668"/>
      <c r="G101" s="670"/>
      <c r="H101" s="218"/>
      <c r="I101" s="672"/>
    </row>
    <row r="102" spans="6:9" ht="15.95" customHeight="1" thickBot="1">
      <c r="F102" s="669"/>
      <c r="G102" s="671"/>
      <c r="H102" s="333"/>
      <c r="I102" s="673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Q149" sqref="Q149"/>
    </sheetView>
  </sheetViews>
  <sheetFormatPr defaultRowHeight="20.100000000000001" customHeight="1" outlineLevelRow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294</v>
      </c>
      <c r="G1" s="347" t="s">
        <v>634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625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80</v>
      </c>
      <c r="F3" s="248">
        <v>1.2</v>
      </c>
      <c r="G3" s="248">
        <v>38.4</v>
      </c>
      <c r="H3" s="248">
        <v>37.199999999999996</v>
      </c>
      <c r="I3" s="248">
        <v>0.1</v>
      </c>
      <c r="J3" s="305">
        <v>2.8266465981091984</v>
      </c>
      <c r="K3" s="298"/>
      <c r="L3" s="247">
        <v>80</v>
      </c>
      <c r="M3" s="248">
        <v>0.1</v>
      </c>
      <c r="N3" s="248">
        <v>0.1</v>
      </c>
      <c r="O3" s="248">
        <v>88</v>
      </c>
      <c r="P3" s="248">
        <v>1.4419999999999999</v>
      </c>
      <c r="Q3" s="251">
        <v>7.4639999999999998E-2</v>
      </c>
      <c r="S3" s="310">
        <v>38.4</v>
      </c>
      <c r="T3" s="292">
        <v>3.2611452032809449</v>
      </c>
      <c r="U3" s="305">
        <v>35.138854796719052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6.3</v>
      </c>
      <c r="G4" s="207">
        <v>45.2</v>
      </c>
      <c r="H4" s="207">
        <v>38.900000000000006</v>
      </c>
      <c r="I4" s="207">
        <v>0.1</v>
      </c>
      <c r="J4" s="208">
        <v>3.6073248871826196</v>
      </c>
      <c r="K4" s="298"/>
      <c r="L4" s="206">
        <v>150</v>
      </c>
      <c r="M4" s="207">
        <v>0.1</v>
      </c>
      <c r="N4" s="207">
        <v>0.1</v>
      </c>
      <c r="O4" s="207">
        <v>48</v>
      </c>
      <c r="P4" s="207">
        <v>2.6859999999999999</v>
      </c>
      <c r="Q4" s="210">
        <v>0.1002</v>
      </c>
      <c r="S4" s="263">
        <v>45.2</v>
      </c>
      <c r="T4" s="213">
        <v>8.3796484190533285</v>
      </c>
      <c r="U4" s="208">
        <v>36.820351580946678</v>
      </c>
    </row>
    <row r="5" spans="3:21" ht="20.100000000000001" customHeight="1">
      <c r="C5" s="247" t="s">
        <v>228</v>
      </c>
      <c r="D5" s="248">
        <v>2880</v>
      </c>
      <c r="E5" s="248">
        <v>250</v>
      </c>
      <c r="F5" s="248">
        <v>4.5999999999999996</v>
      </c>
      <c r="G5" s="248">
        <v>54.8</v>
      </c>
      <c r="H5" s="248">
        <v>50.199999999999996</v>
      </c>
      <c r="I5" s="248">
        <v>0.1</v>
      </c>
      <c r="J5" s="305">
        <v>5.5215788442668838</v>
      </c>
      <c r="K5" s="298"/>
      <c r="L5" s="247">
        <v>250</v>
      </c>
      <c r="M5" s="248">
        <v>0.1</v>
      </c>
      <c r="N5" s="248">
        <v>0.1</v>
      </c>
      <c r="O5" s="248">
        <v>138</v>
      </c>
      <c r="P5" s="248">
        <v>3.5619999999999998</v>
      </c>
      <c r="Q5" s="251">
        <v>0.10489999999999999</v>
      </c>
      <c r="S5" s="310">
        <v>54.8</v>
      </c>
      <c r="T5" s="292">
        <v>6.7884707348968201</v>
      </c>
      <c r="U5" s="305">
        <v>48.011529265103178</v>
      </c>
    </row>
    <row r="6" spans="3:21" ht="20.100000000000001" customHeight="1">
      <c r="C6" s="206" t="s">
        <v>332</v>
      </c>
      <c r="D6" s="207">
        <v>2880</v>
      </c>
      <c r="E6" s="207">
        <v>150</v>
      </c>
      <c r="F6" s="207">
        <v>3.5</v>
      </c>
      <c r="G6" s="207">
        <v>45.3</v>
      </c>
      <c r="H6" s="207">
        <v>41.8</v>
      </c>
      <c r="I6" s="207">
        <v>0.1</v>
      </c>
      <c r="J6" s="208">
        <v>3.7609153850652088</v>
      </c>
      <c r="K6" s="298"/>
      <c r="L6" s="206">
        <v>150</v>
      </c>
      <c r="M6" s="207">
        <v>0.1</v>
      </c>
      <c r="N6" s="207">
        <v>0.1</v>
      </c>
      <c r="O6" s="207">
        <v>68</v>
      </c>
      <c r="P6" s="207">
        <v>2.4849999999999999</v>
      </c>
      <c r="Q6" s="210">
        <v>9.7619999999999998E-2</v>
      </c>
      <c r="S6" s="263">
        <v>45.3</v>
      </c>
      <c r="T6" s="213">
        <v>5.6097706985427518</v>
      </c>
      <c r="U6" s="208">
        <v>39.690229301457244</v>
      </c>
    </row>
    <row r="7" spans="3:21" ht="20.100000000000001" customHeight="1">
      <c r="C7" s="247" t="s">
        <v>333</v>
      </c>
      <c r="D7" s="248">
        <v>2880</v>
      </c>
      <c r="E7" s="248">
        <v>350</v>
      </c>
      <c r="F7" s="248">
        <v>3</v>
      </c>
      <c r="G7" s="248">
        <v>9.1</v>
      </c>
      <c r="H7" s="248">
        <v>6.1</v>
      </c>
      <c r="I7" s="248">
        <v>0.85</v>
      </c>
      <c r="J7" s="305">
        <v>0.4761044181666837</v>
      </c>
      <c r="K7" s="298"/>
      <c r="L7" s="247">
        <v>350</v>
      </c>
      <c r="M7" s="248">
        <v>0.85</v>
      </c>
      <c r="N7" s="248">
        <v>0.85</v>
      </c>
      <c r="O7" s="248">
        <v>4</v>
      </c>
      <c r="P7" s="248">
        <v>26.22</v>
      </c>
      <c r="Q7" s="251">
        <v>7.4990000000000001E-2</v>
      </c>
      <c r="S7" s="310">
        <v>9.1</v>
      </c>
      <c r="T7" s="292">
        <v>4.4357074930589429</v>
      </c>
      <c r="U7" s="305">
        <v>4.6642925069410568</v>
      </c>
    </row>
    <row r="8" spans="3:21" ht="20.100000000000001" customHeight="1">
      <c r="C8" s="206" t="s">
        <v>334</v>
      </c>
      <c r="D8" s="207">
        <v>2880</v>
      </c>
      <c r="E8" s="207">
        <v>300</v>
      </c>
      <c r="F8" s="207">
        <v>4.7</v>
      </c>
      <c r="G8" s="207">
        <v>9.5399999999999991</v>
      </c>
      <c r="H8" s="207">
        <v>4.839999999999999</v>
      </c>
      <c r="I8" s="207">
        <v>0.85</v>
      </c>
      <c r="J8" s="208">
        <v>0.40657518593608222</v>
      </c>
      <c r="K8" s="298"/>
      <c r="L8" s="206">
        <v>300</v>
      </c>
      <c r="M8" s="207">
        <v>0.85</v>
      </c>
      <c r="N8" s="207">
        <v>0.85</v>
      </c>
      <c r="O8" s="207">
        <v>4</v>
      </c>
      <c r="P8" s="207">
        <v>25.59</v>
      </c>
      <c r="Q8" s="210">
        <v>8.4229999999999999E-2</v>
      </c>
      <c r="S8" s="206">
        <v>9.5399999999999991</v>
      </c>
      <c r="T8" s="213">
        <v>6.0707841442227295</v>
      </c>
      <c r="U8" s="208">
        <v>3.4692158557772697</v>
      </c>
    </row>
    <row r="9" spans="3:21" ht="20.100000000000001" customHeight="1">
      <c r="C9" s="247" t="s">
        <v>609</v>
      </c>
      <c r="D9" s="248">
        <v>2880</v>
      </c>
      <c r="E9" s="248">
        <v>300</v>
      </c>
      <c r="F9" s="248">
        <v>5</v>
      </c>
      <c r="G9" s="248">
        <v>9.6999999999999993</v>
      </c>
      <c r="H9" s="248">
        <v>4.6999999999999993</v>
      </c>
      <c r="I9" s="248">
        <v>0.85</v>
      </c>
      <c r="J9" s="305">
        <v>0.39635994075557734</v>
      </c>
      <c r="K9" s="298"/>
      <c r="L9" s="247">
        <v>300</v>
      </c>
      <c r="M9" s="248">
        <v>0.85</v>
      </c>
      <c r="N9" s="248">
        <v>0.85</v>
      </c>
      <c r="O9" s="248">
        <v>4</v>
      </c>
      <c r="P9" s="248">
        <v>26.6</v>
      </c>
      <c r="Q9" s="251">
        <v>8.5800000000000001E-2</v>
      </c>
      <c r="S9" s="247">
        <v>9.6999999999999993</v>
      </c>
      <c r="T9" s="292">
        <v>6.3627606087515325</v>
      </c>
      <c r="U9" s="305">
        <v>3.3372393912484668</v>
      </c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hidden="1" customHeight="1" outlineLevel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 collapsed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633</v>
      </c>
      <c r="H36" s="350"/>
      <c r="T36" s="369"/>
      <c r="U36" s="369"/>
    </row>
    <row r="37" spans="3:36" s="372" customFormat="1" ht="36" customHeight="1">
      <c r="D37" s="381" t="s">
        <v>262</v>
      </c>
      <c r="E37" s="382" t="s">
        <v>226</v>
      </c>
      <c r="F37" s="382" t="s">
        <v>227</v>
      </c>
      <c r="G37" s="382" t="s">
        <v>228</v>
      </c>
      <c r="H37" s="397" t="s">
        <v>332</v>
      </c>
      <c r="I37" s="382" t="s">
        <v>333</v>
      </c>
      <c r="J37" s="382" t="s">
        <v>334</v>
      </c>
      <c r="K37" s="382" t="s">
        <v>609</v>
      </c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1.2494999999999998</v>
      </c>
      <c r="F38" s="211">
        <v>2.4424999999999999</v>
      </c>
      <c r="G38" s="313">
        <v>3.1505000000000001</v>
      </c>
      <c r="H38" s="211">
        <v>2.306</v>
      </c>
      <c r="I38" s="313">
        <v>20.484999999999999</v>
      </c>
      <c r="J38" s="214">
        <v>20.56</v>
      </c>
      <c r="K38" s="314">
        <v>20.645</v>
      </c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1.4189999999999999E-2</v>
      </c>
      <c r="F39" s="211">
        <v>5.0880000000000002E-2</v>
      </c>
      <c r="G39" s="313">
        <v>2.282E-2</v>
      </c>
      <c r="H39" s="211">
        <v>3.3910000000000003E-2</v>
      </c>
      <c r="I39" s="313">
        <v>5.1212499999999999</v>
      </c>
      <c r="J39" s="214">
        <v>5.14</v>
      </c>
      <c r="K39" s="314">
        <v>5.1612499999999999</v>
      </c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3.1629999999999999E-4</v>
      </c>
      <c r="F40" s="212">
        <v>2.7109999999999998E-4</v>
      </c>
      <c r="G40" s="315">
        <v>2.5520000000000002E-4</v>
      </c>
      <c r="H40" s="212">
        <v>2.7710000000000001E-4</v>
      </c>
      <c r="I40" s="315">
        <v>2.0799999999999998E-3</v>
      </c>
      <c r="J40" s="215">
        <v>2.441E-3</v>
      </c>
      <c r="K40" s="316">
        <v>2.186E-3</v>
      </c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626</v>
      </c>
      <c r="E41" s="313">
        <v>0.54159999999999997</v>
      </c>
      <c r="F41" s="211">
        <v>0.54159999999999997</v>
      </c>
      <c r="G41" s="313">
        <v>0.54159999999999997</v>
      </c>
      <c r="H41" s="211">
        <v>0.54159999999999997</v>
      </c>
      <c r="I41" s="313">
        <v>0.41660000000000003</v>
      </c>
      <c r="J41" s="214">
        <v>0.41660000000000003</v>
      </c>
      <c r="K41" s="314">
        <v>0.41660000000000003</v>
      </c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37.199999999999996</v>
      </c>
      <c r="F42" s="213">
        <v>38.900000000000006</v>
      </c>
      <c r="G42" s="292">
        <v>50.199999999999996</v>
      </c>
      <c r="H42" s="213">
        <v>41.8</v>
      </c>
      <c r="I42" s="292">
        <v>6.1</v>
      </c>
      <c r="J42" s="216">
        <v>4.839999999999999</v>
      </c>
      <c r="K42" s="318">
        <v>4.6999999999999993</v>
      </c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88</v>
      </c>
      <c r="F43" s="209">
        <v>48</v>
      </c>
      <c r="G43" s="253">
        <v>138</v>
      </c>
      <c r="H43" s="209">
        <v>68</v>
      </c>
      <c r="I43" s="253">
        <v>4</v>
      </c>
      <c r="J43" s="217">
        <v>4</v>
      </c>
      <c r="K43" s="320">
        <v>4</v>
      </c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627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283</v>
      </c>
      <c r="D47" s="385" t="s">
        <v>660</v>
      </c>
      <c r="E47" s="385" t="s">
        <v>674</v>
      </c>
      <c r="F47" s="386" t="s">
        <v>675</v>
      </c>
      <c r="H47" s="384" t="s">
        <v>206</v>
      </c>
      <c r="I47" s="385" t="s">
        <v>676</v>
      </c>
      <c r="J47" s="387" t="s">
        <v>107</v>
      </c>
      <c r="K47" s="385" t="s">
        <v>680</v>
      </c>
      <c r="L47" s="385" t="s">
        <v>677</v>
      </c>
      <c r="M47" s="385" t="s">
        <v>211</v>
      </c>
      <c r="N47" s="386" t="s">
        <v>210</v>
      </c>
      <c r="P47" s="384" t="s">
        <v>206</v>
      </c>
      <c r="Q47" s="385" t="s">
        <v>678</v>
      </c>
      <c r="R47" s="386" t="s">
        <v>679</v>
      </c>
    </row>
    <row r="48" spans="3:36" ht="20.100000000000001" customHeight="1">
      <c r="C48" s="684" t="s">
        <v>85</v>
      </c>
      <c r="D48" s="144" t="s">
        <v>661</v>
      </c>
      <c r="E48" s="313">
        <v>1.4419999999999999</v>
      </c>
      <c r="F48" s="317">
        <v>3.1629999999999999E-4</v>
      </c>
      <c r="G48" s="298"/>
      <c r="H48" s="336" t="s">
        <v>226</v>
      </c>
      <c r="I48" s="249">
        <v>73.599999999999994</v>
      </c>
      <c r="J48" s="249">
        <v>90.2</v>
      </c>
      <c r="K48" s="249">
        <v>69.400000000000006</v>
      </c>
      <c r="L48" s="249">
        <v>77.7</v>
      </c>
      <c r="M48" s="249">
        <v>90.2</v>
      </c>
      <c r="N48" s="337">
        <v>69.400000000000006</v>
      </c>
      <c r="P48" s="340" t="s">
        <v>226</v>
      </c>
      <c r="Q48" s="313">
        <v>-2.7317573670347643</v>
      </c>
      <c r="R48" s="341">
        <v>1.536</v>
      </c>
    </row>
    <row r="49" spans="3:18" ht="20.100000000000001" customHeight="1">
      <c r="C49" s="685"/>
      <c r="D49" s="144" t="s">
        <v>662</v>
      </c>
      <c r="E49" s="313">
        <v>1.0569999999999999</v>
      </c>
      <c r="F49" s="251"/>
      <c r="G49" s="298"/>
      <c r="H49" s="222" t="s">
        <v>227</v>
      </c>
      <c r="I49" s="223">
        <v>154</v>
      </c>
      <c r="J49" s="223">
        <v>188.6</v>
      </c>
      <c r="K49" s="223">
        <v>104.8</v>
      </c>
      <c r="L49" s="223">
        <v>149.1</v>
      </c>
      <c r="M49" s="223">
        <v>188.6</v>
      </c>
      <c r="N49" s="224">
        <v>104.8</v>
      </c>
      <c r="P49" s="225" t="s">
        <v>227</v>
      </c>
      <c r="Q49" s="211">
        <v>-2.956686047187473</v>
      </c>
      <c r="R49" s="226">
        <v>1.923</v>
      </c>
    </row>
    <row r="50" spans="3:18" ht="20.100000000000001" customHeight="1">
      <c r="C50" s="686"/>
      <c r="D50" s="144" t="s">
        <v>663</v>
      </c>
      <c r="E50" s="245">
        <v>1.2494999999999998</v>
      </c>
      <c r="F50" s="246">
        <v>3.1629999999999999E-4</v>
      </c>
      <c r="G50" s="298"/>
      <c r="H50" s="336" t="s">
        <v>228</v>
      </c>
      <c r="I50" s="249">
        <v>120.8</v>
      </c>
      <c r="J50" s="249">
        <v>147.9</v>
      </c>
      <c r="K50" s="249">
        <v>122.7</v>
      </c>
      <c r="L50" s="249">
        <v>130.5</v>
      </c>
      <c r="M50" s="249">
        <v>147.9</v>
      </c>
      <c r="N50" s="337">
        <v>120.8</v>
      </c>
      <c r="P50" s="340" t="s">
        <v>228</v>
      </c>
      <c r="Q50" s="313">
        <v>-3.0092181948336285</v>
      </c>
      <c r="R50" s="341">
        <v>2.0270000000000001</v>
      </c>
    </row>
    <row r="51" spans="3:18" ht="20.100000000000001" customHeight="1">
      <c r="C51" s="668" t="s">
        <v>154</v>
      </c>
      <c r="D51" s="218" t="s">
        <v>661</v>
      </c>
      <c r="E51" s="211">
        <v>2.6859999999999999</v>
      </c>
      <c r="F51" s="219">
        <v>2.7109999999999998E-4</v>
      </c>
      <c r="G51" s="298"/>
      <c r="H51" s="222" t="s">
        <v>332</v>
      </c>
      <c r="I51" s="223">
        <v>128.9</v>
      </c>
      <c r="J51" s="223">
        <v>157.9</v>
      </c>
      <c r="K51" s="223">
        <v>100.7</v>
      </c>
      <c r="L51" s="223">
        <v>129.19999999999999</v>
      </c>
      <c r="M51" s="223">
        <v>157.9</v>
      </c>
      <c r="N51" s="224">
        <v>100.7</v>
      </c>
      <c r="P51" s="225" t="s">
        <v>332</v>
      </c>
      <c r="Q51" s="211">
        <v>-2.9322237916409706</v>
      </c>
      <c r="R51" s="226">
        <v>1.877</v>
      </c>
    </row>
    <row r="52" spans="3:18" ht="20.100000000000001" customHeight="1">
      <c r="C52" s="668"/>
      <c r="D52" s="218" t="s">
        <v>662</v>
      </c>
      <c r="E52" s="211">
        <v>2.1989999999999998</v>
      </c>
      <c r="F52" s="210"/>
      <c r="G52" s="298"/>
      <c r="H52" s="336" t="s">
        <v>333</v>
      </c>
      <c r="I52" s="249">
        <v>193.8</v>
      </c>
      <c r="J52" s="249">
        <v>237.3</v>
      </c>
      <c r="K52" s="249">
        <v>96.1</v>
      </c>
      <c r="L52" s="249">
        <v>175.7</v>
      </c>
      <c r="M52" s="249">
        <v>237.3</v>
      </c>
      <c r="N52" s="337">
        <v>96.1</v>
      </c>
      <c r="P52" s="340" t="s">
        <v>333</v>
      </c>
      <c r="Q52" s="313">
        <v>-1.7925545800605662</v>
      </c>
      <c r="R52" s="341">
        <v>5.1040000000000001</v>
      </c>
    </row>
    <row r="53" spans="3:18" ht="20.100000000000001" customHeight="1">
      <c r="C53" s="668"/>
      <c r="D53" s="218" t="s">
        <v>663</v>
      </c>
      <c r="E53" s="220">
        <v>2.4424999999999999</v>
      </c>
      <c r="F53" s="221">
        <v>2.7109999999999998E-4</v>
      </c>
      <c r="G53" s="298"/>
      <c r="H53" s="222" t="s">
        <v>334</v>
      </c>
      <c r="I53" s="223">
        <v>159.6</v>
      </c>
      <c r="J53" s="223">
        <v>195.5</v>
      </c>
      <c r="K53" s="223">
        <v>88.9</v>
      </c>
      <c r="L53" s="223">
        <v>148</v>
      </c>
      <c r="M53" s="223">
        <v>195.5</v>
      </c>
      <c r="N53" s="224">
        <v>88.9</v>
      </c>
      <c r="P53" s="225" t="s">
        <v>334</v>
      </c>
      <c r="Q53" s="211">
        <v>-1.7866040384398794</v>
      </c>
      <c r="R53" s="226">
        <v>5.0739999999999998</v>
      </c>
    </row>
    <row r="54" spans="3:18" ht="20.100000000000001" customHeight="1">
      <c r="C54" s="677" t="s">
        <v>155</v>
      </c>
      <c r="D54" s="144" t="s">
        <v>661</v>
      </c>
      <c r="E54" s="313">
        <v>3.5619999999999998</v>
      </c>
      <c r="F54" s="317">
        <v>2.5520000000000002E-4</v>
      </c>
      <c r="G54" s="298"/>
      <c r="H54" s="336" t="s">
        <v>609</v>
      </c>
      <c r="I54" s="249">
        <v>166.5</v>
      </c>
      <c r="J54" s="249">
        <v>204</v>
      </c>
      <c r="K54" s="249">
        <v>94.1</v>
      </c>
      <c r="L54" s="249">
        <v>154.9</v>
      </c>
      <c r="M54" s="249">
        <v>204</v>
      </c>
      <c r="N54" s="337">
        <v>94.1</v>
      </c>
      <c r="P54" s="340" t="s">
        <v>609</v>
      </c>
      <c r="Q54" s="313">
        <v>-1.8030276541262953</v>
      </c>
      <c r="R54" s="341">
        <v>5.1580000000000004</v>
      </c>
    </row>
    <row r="55" spans="3:18" ht="20.100000000000001" customHeight="1">
      <c r="C55" s="677"/>
      <c r="D55" s="144" t="s">
        <v>662</v>
      </c>
      <c r="E55" s="313">
        <v>2.7389999999999999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677"/>
      <c r="D56" s="144" t="s">
        <v>663</v>
      </c>
      <c r="E56" s="245">
        <v>3.1505000000000001</v>
      </c>
      <c r="F56" s="246">
        <v>2.5520000000000002E-4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668" t="s">
        <v>637</v>
      </c>
      <c r="D57" s="218" t="s">
        <v>661</v>
      </c>
      <c r="E57" s="211">
        <v>2.4849999999999999</v>
      </c>
      <c r="F57" s="219">
        <v>2.7710000000000001E-4</v>
      </c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668"/>
      <c r="D58" s="218" t="s">
        <v>662</v>
      </c>
      <c r="E58" s="211">
        <v>2.1269999999999998</v>
      </c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668"/>
      <c r="D59" s="218" t="s">
        <v>663</v>
      </c>
      <c r="E59" s="220">
        <v>2.306</v>
      </c>
      <c r="F59" s="221">
        <v>2.7710000000000001E-4</v>
      </c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677" t="s">
        <v>638</v>
      </c>
      <c r="D60" s="144" t="s">
        <v>661</v>
      </c>
      <c r="E60" s="313">
        <v>26.22</v>
      </c>
      <c r="F60" s="317">
        <v>2.0799999999999998E-3</v>
      </c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677"/>
      <c r="D61" s="144" t="s">
        <v>662</v>
      </c>
      <c r="E61" s="313">
        <v>14.75</v>
      </c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677"/>
      <c r="D62" s="144" t="s">
        <v>663</v>
      </c>
      <c r="E62" s="245">
        <v>20.484999999999999</v>
      </c>
      <c r="F62" s="246">
        <v>2.0799999999999998E-3</v>
      </c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668" t="s">
        <v>683</v>
      </c>
      <c r="D63" s="218" t="s">
        <v>661</v>
      </c>
      <c r="E63" s="211">
        <v>25.59</v>
      </c>
      <c r="F63" s="219">
        <v>2.441E-3</v>
      </c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668"/>
      <c r="D64" s="218" t="s">
        <v>662</v>
      </c>
      <c r="E64" s="211">
        <v>15.53</v>
      </c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668"/>
      <c r="D65" s="218" t="s">
        <v>663</v>
      </c>
      <c r="E65" s="220">
        <v>20.56</v>
      </c>
      <c r="F65" s="221">
        <v>2.441E-3</v>
      </c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677" t="s">
        <v>684</v>
      </c>
      <c r="D66" s="144" t="s">
        <v>661</v>
      </c>
      <c r="E66" s="313">
        <v>26.6</v>
      </c>
      <c r="F66" s="317">
        <v>2.186E-3</v>
      </c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677"/>
      <c r="D67" s="144" t="s">
        <v>662</v>
      </c>
      <c r="E67" s="313">
        <v>14.69</v>
      </c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677"/>
      <c r="D68" s="144" t="s">
        <v>663</v>
      </c>
      <c r="E68" s="245">
        <v>20.645</v>
      </c>
      <c r="F68" s="246">
        <v>2.186E-3</v>
      </c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668" t="s">
        <v>610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668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668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677" t="s">
        <v>611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677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677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668" t="s">
        <v>639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668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668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677" t="s">
        <v>640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677"/>
      <c r="D79" s="144" t="s">
        <v>247</v>
      </c>
      <c r="E79" s="245"/>
      <c r="F79" s="246"/>
      <c r="H79" s="419" t="s">
        <v>206</v>
      </c>
      <c r="I79" s="420" t="s">
        <v>681</v>
      </c>
      <c r="J79" s="421" t="s">
        <v>675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677"/>
      <c r="D80" s="144" t="s">
        <v>248</v>
      </c>
      <c r="E80" s="245"/>
      <c r="F80" s="246"/>
      <c r="H80" s="336" t="s">
        <v>226</v>
      </c>
      <c r="I80" s="410">
        <v>1.0569999999999999</v>
      </c>
      <c r="J80" s="411">
        <v>3.1629999999999999E-4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668" t="s">
        <v>641</v>
      </c>
      <c r="D81" s="218" t="s">
        <v>246</v>
      </c>
      <c r="E81" s="220"/>
      <c r="F81" s="221"/>
      <c r="H81" s="222" t="s">
        <v>227</v>
      </c>
      <c r="I81" s="414">
        <v>2.1989999999999998</v>
      </c>
      <c r="J81" s="415">
        <v>2.7109999999999998E-4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668"/>
      <c r="D82" s="218" t="s">
        <v>247</v>
      </c>
      <c r="E82" s="220"/>
      <c r="F82" s="221"/>
      <c r="H82" s="336" t="s">
        <v>228</v>
      </c>
      <c r="I82" s="412">
        <v>2.7389999999999999</v>
      </c>
      <c r="J82" s="411">
        <v>2.5520000000000002E-4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668"/>
      <c r="D83" s="218" t="s">
        <v>248</v>
      </c>
      <c r="E83" s="220"/>
      <c r="F83" s="221"/>
      <c r="H83" s="409" t="s">
        <v>332</v>
      </c>
      <c r="I83" s="416">
        <v>2.1269999999999998</v>
      </c>
      <c r="J83" s="417">
        <v>2.7710000000000001E-4</v>
      </c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677" t="s">
        <v>642</v>
      </c>
      <c r="D84" s="144" t="s">
        <v>246</v>
      </c>
      <c r="E84" s="245"/>
      <c r="F84" s="246"/>
      <c r="H84" s="336" t="s">
        <v>333</v>
      </c>
      <c r="I84" s="413">
        <v>14.75</v>
      </c>
      <c r="J84" s="411">
        <v>2.0799999999999998E-3</v>
      </c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677"/>
      <c r="D85" s="144" t="s">
        <v>247</v>
      </c>
      <c r="E85" s="245"/>
      <c r="F85" s="246"/>
      <c r="H85" s="222" t="s">
        <v>334</v>
      </c>
      <c r="I85" s="414">
        <v>15.53</v>
      </c>
      <c r="J85" s="415">
        <v>2.441E-3</v>
      </c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677"/>
      <c r="D86" s="144" t="s">
        <v>248</v>
      </c>
      <c r="E86" s="245"/>
      <c r="F86" s="246"/>
      <c r="H86" s="336" t="s">
        <v>609</v>
      </c>
      <c r="I86" s="410">
        <v>14.69</v>
      </c>
      <c r="J86" s="411">
        <v>2.186E-3</v>
      </c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668" t="s">
        <v>643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668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668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customHeight="1">
      <c r="C90" s="677" t="s">
        <v>644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customHeight="1">
      <c r="C91" s="677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customHeight="1">
      <c r="C92" s="677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customHeight="1">
      <c r="C93" s="668" t="s">
        <v>645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customHeight="1">
      <c r="C94" s="668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customHeight="1">
      <c r="C95" s="668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customHeight="1">
      <c r="C96" s="677" t="s">
        <v>646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customHeight="1">
      <c r="C97" s="677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customHeight="1">
      <c r="C98" s="677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customHeight="1">
      <c r="C99" s="668" t="s">
        <v>647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customHeight="1">
      <c r="C100" s="668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customHeight="1">
      <c r="C101" s="668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customHeight="1">
      <c r="C102" s="677" t="s">
        <v>648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customHeight="1">
      <c r="C103" s="677"/>
      <c r="D103" s="144" t="s">
        <v>247</v>
      </c>
      <c r="E103" s="313"/>
      <c r="F103" s="251"/>
      <c r="H103" s="222"/>
      <c r="I103" s="414"/>
      <c r="J103" s="280"/>
    </row>
    <row r="104" spans="3:18" ht="20.100000000000001" customHeight="1">
      <c r="C104" s="677"/>
      <c r="D104" s="144" t="s">
        <v>248</v>
      </c>
      <c r="E104" s="245"/>
      <c r="F104" s="246"/>
      <c r="H104" s="336"/>
      <c r="I104" s="410"/>
      <c r="J104" s="283"/>
    </row>
    <row r="105" spans="3:18" ht="20.100000000000001" customHeight="1">
      <c r="C105" s="668" t="s">
        <v>649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customHeight="1">
      <c r="C106" s="668"/>
      <c r="D106" s="218" t="s">
        <v>247</v>
      </c>
      <c r="E106" s="211"/>
      <c r="F106" s="210"/>
      <c r="H106" s="336"/>
      <c r="I106" s="410"/>
      <c r="J106" s="283"/>
    </row>
    <row r="107" spans="3:18" ht="20.100000000000001" customHeight="1">
      <c r="C107" s="668"/>
      <c r="D107" s="218" t="s">
        <v>248</v>
      </c>
      <c r="E107" s="220"/>
      <c r="F107" s="221"/>
      <c r="H107" s="222"/>
      <c r="I107" s="414"/>
      <c r="J107" s="280"/>
    </row>
    <row r="108" spans="3:18" ht="20.100000000000001" customHeight="1">
      <c r="C108" s="677" t="s">
        <v>650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customHeight="1" thickBot="1">
      <c r="C109" s="677"/>
      <c r="D109" s="144" t="s">
        <v>247</v>
      </c>
      <c r="E109" s="245"/>
      <c r="F109" s="246"/>
      <c r="H109" s="257"/>
      <c r="I109" s="418"/>
      <c r="J109" s="304"/>
    </row>
    <row r="110" spans="3:18" ht="20.100000000000001" customHeight="1">
      <c r="C110" s="677"/>
      <c r="D110" s="144" t="s">
        <v>248</v>
      </c>
      <c r="E110" s="245"/>
      <c r="F110" s="246"/>
      <c r="H110" s="297"/>
    </row>
    <row r="111" spans="3:18" ht="20.100000000000001" customHeight="1">
      <c r="C111" s="668" t="s">
        <v>651</v>
      </c>
      <c r="D111" s="218" t="s">
        <v>246</v>
      </c>
      <c r="E111" s="220"/>
      <c r="F111" s="221"/>
      <c r="H111" s="297"/>
    </row>
    <row r="112" spans="3:18" ht="20.100000000000001" customHeight="1">
      <c r="C112" s="668"/>
      <c r="D112" s="218" t="s">
        <v>247</v>
      </c>
      <c r="E112" s="220"/>
      <c r="F112" s="221"/>
      <c r="H112" s="297"/>
    </row>
    <row r="113" spans="3:8" ht="20.100000000000001" customHeight="1">
      <c r="C113" s="668"/>
      <c r="D113" s="218" t="s">
        <v>248</v>
      </c>
      <c r="E113" s="220"/>
      <c r="F113" s="221"/>
      <c r="H113" s="297"/>
    </row>
    <row r="114" spans="3:8" ht="20.100000000000001" customHeight="1">
      <c r="C114" s="677" t="s">
        <v>652</v>
      </c>
      <c r="D114" s="144" t="s">
        <v>246</v>
      </c>
      <c r="E114" s="245"/>
      <c r="F114" s="246"/>
      <c r="H114" s="297"/>
    </row>
    <row r="115" spans="3:8" ht="20.100000000000001" customHeight="1">
      <c r="C115" s="677"/>
      <c r="D115" s="144" t="s">
        <v>247</v>
      </c>
      <c r="E115" s="245"/>
      <c r="F115" s="246"/>
      <c r="H115" s="297"/>
    </row>
    <row r="116" spans="3:8" ht="20.100000000000001" customHeight="1">
      <c r="C116" s="677"/>
      <c r="D116" s="144" t="s">
        <v>248</v>
      </c>
      <c r="E116" s="245"/>
      <c r="F116" s="246"/>
      <c r="H116" s="297"/>
    </row>
    <row r="117" spans="3:8" ht="20.100000000000001" customHeight="1">
      <c r="C117" s="668" t="s">
        <v>653</v>
      </c>
      <c r="D117" s="218" t="s">
        <v>246</v>
      </c>
      <c r="E117" s="220"/>
      <c r="F117" s="221"/>
      <c r="H117" s="297"/>
    </row>
    <row r="118" spans="3:8" ht="20.100000000000001" customHeight="1">
      <c r="C118" s="668"/>
      <c r="D118" s="218" t="s">
        <v>247</v>
      </c>
      <c r="E118" s="220"/>
      <c r="F118" s="221"/>
      <c r="H118" s="297"/>
    </row>
    <row r="119" spans="3:8" ht="20.100000000000001" customHeight="1">
      <c r="C119" s="668"/>
      <c r="D119" s="218" t="s">
        <v>248</v>
      </c>
      <c r="E119" s="220"/>
      <c r="F119" s="221"/>
      <c r="H119" s="297"/>
    </row>
    <row r="120" spans="3:8" ht="20.100000000000001" customHeight="1">
      <c r="C120" s="677" t="s">
        <v>654</v>
      </c>
      <c r="D120" s="144" t="s">
        <v>246</v>
      </c>
      <c r="E120" s="245"/>
      <c r="F120" s="246"/>
      <c r="H120" s="297"/>
    </row>
    <row r="121" spans="3:8" ht="20.100000000000001" customHeight="1">
      <c r="C121" s="677"/>
      <c r="D121" s="144" t="s">
        <v>247</v>
      </c>
      <c r="E121" s="245"/>
      <c r="F121" s="246"/>
      <c r="H121" s="297"/>
    </row>
    <row r="122" spans="3:8" ht="20.100000000000001" customHeight="1">
      <c r="C122" s="677"/>
      <c r="D122" s="144" t="s">
        <v>248</v>
      </c>
      <c r="E122" s="245"/>
      <c r="F122" s="246"/>
      <c r="H122" s="297"/>
    </row>
    <row r="123" spans="3:8" ht="20.100000000000001" customHeight="1">
      <c r="C123" s="668" t="s">
        <v>655</v>
      </c>
      <c r="D123" s="218" t="s">
        <v>246</v>
      </c>
      <c r="E123" s="220"/>
      <c r="F123" s="221"/>
      <c r="H123" s="297"/>
    </row>
    <row r="124" spans="3:8" ht="20.100000000000001" customHeight="1">
      <c r="C124" s="668"/>
      <c r="D124" s="218" t="s">
        <v>247</v>
      </c>
      <c r="E124" s="220"/>
      <c r="F124" s="221"/>
      <c r="H124" s="297"/>
    </row>
    <row r="125" spans="3:8" ht="20.100000000000001" customHeight="1">
      <c r="C125" s="668"/>
      <c r="D125" s="218" t="s">
        <v>248</v>
      </c>
      <c r="E125" s="220"/>
      <c r="F125" s="221"/>
      <c r="H125" s="297"/>
    </row>
    <row r="126" spans="3:8" ht="20.25" customHeight="1">
      <c r="C126" s="677" t="s">
        <v>656</v>
      </c>
      <c r="D126" s="144" t="s">
        <v>246</v>
      </c>
      <c r="E126" s="245"/>
      <c r="F126" s="246"/>
      <c r="H126" s="297"/>
    </row>
    <row r="127" spans="3:8" ht="20.100000000000001" customHeight="1">
      <c r="C127" s="677"/>
      <c r="D127" s="144" t="s">
        <v>247</v>
      </c>
      <c r="E127" s="245"/>
      <c r="F127" s="246"/>
      <c r="H127" s="297"/>
    </row>
    <row r="128" spans="3:8" ht="20.100000000000001" customHeight="1">
      <c r="C128" s="677"/>
      <c r="D128" s="144" t="s">
        <v>248</v>
      </c>
      <c r="E128" s="245"/>
      <c r="F128" s="246"/>
      <c r="H128" s="297"/>
    </row>
    <row r="129" spans="3:12" ht="20.100000000000001" customHeight="1">
      <c r="C129" s="668" t="s">
        <v>657</v>
      </c>
      <c r="D129" s="218" t="s">
        <v>246</v>
      </c>
      <c r="E129" s="328"/>
      <c r="F129" s="329"/>
      <c r="H129" s="297"/>
    </row>
    <row r="130" spans="3:12" ht="20.100000000000001" customHeight="1">
      <c r="C130" s="668"/>
      <c r="D130" s="218" t="s">
        <v>247</v>
      </c>
      <c r="E130" s="328"/>
      <c r="F130" s="330"/>
    </row>
    <row r="131" spans="3:12" ht="20.100000000000001" customHeight="1">
      <c r="C131" s="668"/>
      <c r="D131" s="218" t="s">
        <v>248</v>
      </c>
      <c r="E131" s="331"/>
      <c r="F131" s="332"/>
    </row>
    <row r="132" spans="3:12" ht="20.100000000000001" customHeight="1">
      <c r="C132" s="677" t="s">
        <v>658</v>
      </c>
      <c r="D132" s="144" t="s">
        <v>246</v>
      </c>
      <c r="E132" s="323"/>
      <c r="F132" s="324"/>
    </row>
    <row r="133" spans="3:12" ht="20.100000000000001" customHeight="1">
      <c r="C133" s="677"/>
      <c r="D133" s="144" t="s">
        <v>247</v>
      </c>
      <c r="E133" s="323"/>
      <c r="F133" s="325"/>
    </row>
    <row r="134" spans="3:12" ht="20.100000000000001" customHeight="1">
      <c r="C134" s="677"/>
      <c r="D134" s="144" t="s">
        <v>248</v>
      </c>
      <c r="E134" s="326"/>
      <c r="F134" s="327"/>
    </row>
    <row r="135" spans="3:12" ht="20.100000000000001" customHeight="1">
      <c r="C135" s="668" t="s">
        <v>659</v>
      </c>
      <c r="D135" s="218" t="s">
        <v>246</v>
      </c>
      <c r="E135" s="328"/>
      <c r="F135" s="329"/>
    </row>
    <row r="136" spans="3:12" ht="20.100000000000001" customHeight="1">
      <c r="C136" s="668"/>
      <c r="D136" s="218" t="s">
        <v>247</v>
      </c>
      <c r="E136" s="328"/>
      <c r="F136" s="330"/>
    </row>
    <row r="137" spans="3:12" ht="20.100000000000001" customHeight="1" thickBot="1">
      <c r="C137" s="669"/>
      <c r="D137" s="333" t="s">
        <v>248</v>
      </c>
      <c r="E137" s="334"/>
      <c r="F137" s="335"/>
    </row>
    <row r="138" spans="3:12" ht="20.100000000000001" customHeight="1">
      <c r="F138" s="377"/>
    </row>
    <row r="141" spans="3:12" ht="20.100000000000001" customHeight="1">
      <c r="F141" s="377"/>
    </row>
    <row r="143" spans="3:12" ht="20.100000000000001" customHeight="1">
      <c r="C143" s="297"/>
      <c r="D143" s="297"/>
      <c r="E143" s="297"/>
      <c r="F143" s="297"/>
      <c r="G143" s="297"/>
      <c r="H143" s="297"/>
      <c r="I143" s="297"/>
      <c r="J143" s="297"/>
      <c r="K143" s="297"/>
      <c r="L143" s="297"/>
    </row>
    <row r="144" spans="3:12" ht="20.100000000000001" customHeight="1">
      <c r="C144" s="297"/>
      <c r="D144" s="297"/>
      <c r="E144" s="297"/>
      <c r="F144" s="297"/>
      <c r="G144" s="297"/>
      <c r="H144" s="297"/>
      <c r="I144" s="297"/>
      <c r="J144" s="297"/>
      <c r="K144" s="297"/>
      <c r="L144" s="297"/>
    </row>
    <row r="145" spans="3:12" ht="20.100000000000001" customHeight="1">
      <c r="C145" s="297"/>
      <c r="D145" s="297"/>
      <c r="E145" s="297"/>
      <c r="F145" s="297"/>
      <c r="G145" s="297"/>
      <c r="H145" s="297"/>
      <c r="I145" s="297"/>
      <c r="J145" s="297"/>
      <c r="K145" s="297"/>
      <c r="L145" s="297"/>
    </row>
    <row r="146" spans="3:12" ht="20.100000000000001" customHeight="1">
      <c r="C146" s="297"/>
      <c r="D146" s="297"/>
      <c r="E146" s="297"/>
      <c r="F146" s="297"/>
      <c r="G146" s="297"/>
      <c r="H146" s="297"/>
      <c r="I146" s="297"/>
      <c r="J146" s="297"/>
      <c r="K146" s="297"/>
      <c r="L146" s="297"/>
    </row>
    <row r="147" spans="3:12" ht="20.100000000000001" customHeight="1">
      <c r="C147" s="297"/>
      <c r="D147" s="297"/>
      <c r="E147" s="297"/>
      <c r="F147" s="297"/>
      <c r="G147" s="297"/>
      <c r="H147" s="297"/>
      <c r="I147" s="297"/>
      <c r="J147" s="297"/>
      <c r="K147" s="297"/>
      <c r="L147" s="297"/>
    </row>
    <row r="148" spans="3:12" ht="20.100000000000001" customHeight="1">
      <c r="C148" s="297"/>
      <c r="D148" s="297"/>
      <c r="E148" s="297"/>
      <c r="F148" s="297"/>
      <c r="G148" s="297"/>
      <c r="H148" s="297"/>
      <c r="I148" s="297"/>
      <c r="J148" s="297"/>
      <c r="K148" s="297"/>
      <c r="L148" s="297"/>
    </row>
    <row r="149" spans="3:12" ht="20.100000000000001" customHeight="1">
      <c r="C149" s="297"/>
      <c r="D149" s="297"/>
      <c r="E149" s="297"/>
      <c r="F149" s="297"/>
      <c r="G149" s="297"/>
      <c r="H149" s="297"/>
      <c r="I149" s="297"/>
      <c r="J149" s="297"/>
      <c r="K149" s="297"/>
      <c r="L149" s="297"/>
    </row>
    <row r="150" spans="3:12" ht="20.100000000000001" customHeight="1">
      <c r="C150" s="297"/>
      <c r="D150" s="297"/>
      <c r="E150" s="297"/>
      <c r="F150" s="297"/>
      <c r="G150" s="297"/>
      <c r="H150" s="297"/>
      <c r="I150" s="297"/>
      <c r="J150" s="297"/>
      <c r="K150" s="297"/>
      <c r="L150" s="297"/>
    </row>
    <row r="151" spans="3:12" ht="20.100000000000001" customHeight="1">
      <c r="C151" s="297"/>
      <c r="D151" s="297"/>
      <c r="E151" s="297"/>
      <c r="F151" s="297"/>
      <c r="G151" s="297"/>
      <c r="H151" s="297"/>
      <c r="I151" s="297"/>
      <c r="J151" s="297"/>
      <c r="K151" s="297"/>
      <c r="L151" s="297"/>
    </row>
    <row r="152" spans="3:12" ht="20.100000000000001" customHeight="1">
      <c r="C152" s="297"/>
      <c r="D152" s="297"/>
      <c r="E152" s="297"/>
      <c r="F152" s="297"/>
      <c r="G152" s="297"/>
      <c r="H152" s="297"/>
      <c r="I152" s="297"/>
      <c r="J152" s="297"/>
      <c r="K152" s="297"/>
      <c r="L152" s="297"/>
    </row>
    <row r="153" spans="3:12" ht="20.100000000000001" customHeight="1">
      <c r="C153" s="297"/>
      <c r="D153" s="297"/>
      <c r="E153" s="297"/>
      <c r="F153" s="297"/>
      <c r="G153" s="297"/>
      <c r="H153" s="297"/>
      <c r="I153" s="297"/>
      <c r="J153" s="297"/>
      <c r="K153" s="297"/>
      <c r="L153" s="297"/>
    </row>
    <row r="154" spans="3:12" ht="20.100000000000001" customHeight="1">
      <c r="C154" s="297"/>
      <c r="D154" s="297"/>
      <c r="E154" s="297"/>
      <c r="F154" s="297"/>
      <c r="G154" s="297"/>
      <c r="H154" s="297"/>
      <c r="I154" s="297"/>
      <c r="J154" s="297"/>
      <c r="K154" s="297"/>
      <c r="L154" s="297"/>
    </row>
    <row r="155" spans="3:12" ht="20.100000000000001" customHeight="1">
      <c r="C155" s="297"/>
      <c r="D155" s="297"/>
      <c r="E155" s="297"/>
      <c r="F155" s="297"/>
      <c r="G155" s="297"/>
      <c r="H155" s="297"/>
      <c r="I155" s="297"/>
      <c r="J155" s="297"/>
      <c r="K155" s="297"/>
      <c r="L155" s="297"/>
    </row>
    <row r="156" spans="3:12" ht="20.100000000000001" customHeight="1">
      <c r="C156" s="297"/>
      <c r="D156" s="297"/>
      <c r="E156" s="297"/>
      <c r="F156" s="297"/>
      <c r="G156" s="297"/>
      <c r="H156" s="297"/>
      <c r="I156" s="297"/>
      <c r="J156" s="297"/>
      <c r="K156" s="297"/>
      <c r="L156" s="297"/>
    </row>
    <row r="157" spans="3:12" ht="20.100000000000001" customHeight="1">
      <c r="C157" s="297"/>
      <c r="D157" s="297"/>
      <c r="E157" s="297"/>
      <c r="F157" s="297"/>
      <c r="G157" s="297"/>
      <c r="H157" s="297"/>
      <c r="I157" s="297"/>
      <c r="J157" s="297"/>
      <c r="K157" s="297"/>
      <c r="L157" s="297"/>
    </row>
    <row r="158" spans="3:12" ht="20.100000000000001" customHeight="1">
      <c r="C158" s="297"/>
      <c r="D158" s="297"/>
      <c r="E158" s="297"/>
      <c r="F158" s="297"/>
      <c r="G158" s="297"/>
      <c r="H158" s="297"/>
      <c r="I158" s="297"/>
      <c r="J158" s="297"/>
      <c r="K158" s="297"/>
      <c r="L158" s="297"/>
    </row>
    <row r="159" spans="3:12" ht="20.100000000000001" customHeight="1">
      <c r="C159" s="297"/>
      <c r="D159" s="297"/>
      <c r="E159" s="297"/>
      <c r="F159" s="297"/>
      <c r="G159" s="297"/>
      <c r="H159" s="297"/>
      <c r="I159" s="297"/>
      <c r="J159" s="297"/>
      <c r="K159" s="297"/>
      <c r="L159" s="297"/>
    </row>
    <row r="160" spans="3:12" ht="20.100000000000001" customHeight="1">
      <c r="C160" s="297"/>
      <c r="D160" s="297"/>
      <c r="E160" s="297"/>
      <c r="F160" s="297"/>
      <c r="G160" s="297"/>
      <c r="H160" s="297"/>
      <c r="I160" s="297"/>
      <c r="J160" s="297"/>
      <c r="K160" s="297"/>
      <c r="L160" s="297"/>
    </row>
    <row r="161" spans="3:12" ht="20.100000000000001" customHeight="1">
      <c r="C161" s="297"/>
      <c r="D161" s="297"/>
      <c r="E161" s="297"/>
      <c r="F161" s="297"/>
      <c r="G161" s="297"/>
      <c r="H161" s="297"/>
      <c r="I161" s="297"/>
      <c r="J161" s="297"/>
      <c r="K161" s="297"/>
      <c r="L161" s="297"/>
    </row>
    <row r="162" spans="3:12" ht="20.100000000000001" customHeight="1">
      <c r="C162" s="297"/>
      <c r="D162" s="297"/>
      <c r="E162" s="297"/>
      <c r="F162" s="297"/>
      <c r="G162" s="297"/>
      <c r="H162" s="297"/>
      <c r="I162" s="297"/>
      <c r="J162" s="297"/>
      <c r="K162" s="297"/>
      <c r="L162" s="297"/>
    </row>
    <row r="163" spans="3:12" ht="20.100000000000001" customHeight="1">
      <c r="C163" s="297"/>
      <c r="D163" s="297"/>
      <c r="E163" s="297"/>
      <c r="F163" s="297"/>
      <c r="G163" s="297"/>
      <c r="H163" s="297"/>
      <c r="I163" s="297"/>
      <c r="J163" s="297"/>
      <c r="K163" s="297"/>
      <c r="L163" s="297"/>
    </row>
    <row r="164" spans="3:12" ht="20.100000000000001" customHeight="1">
      <c r="C164" s="297"/>
      <c r="D164" s="297"/>
      <c r="E164" s="297"/>
      <c r="F164" s="297"/>
      <c r="G164" s="297"/>
      <c r="H164" s="297"/>
      <c r="I164" s="297"/>
      <c r="J164" s="297"/>
      <c r="K164" s="297"/>
      <c r="L164" s="297"/>
    </row>
    <row r="165" spans="3:12" ht="20.100000000000001" customHeight="1">
      <c r="F165" s="377"/>
    </row>
    <row r="168" spans="3:12" ht="20.100000000000001" customHeight="1">
      <c r="F168" s="377"/>
    </row>
    <row r="171" spans="3:12" ht="20.100000000000001" customHeight="1">
      <c r="F171" s="377"/>
    </row>
    <row r="174" spans="3:12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283</v>
      </c>
      <c r="D3" s="198" t="s">
        <v>664</v>
      </c>
      <c r="E3" s="198" t="s">
        <v>275</v>
      </c>
      <c r="F3" s="198" t="s">
        <v>278</v>
      </c>
      <c r="G3" s="198" t="s">
        <v>665</v>
      </c>
      <c r="H3" s="198" t="s">
        <v>666</v>
      </c>
      <c r="I3" s="198" t="s">
        <v>667</v>
      </c>
      <c r="J3" s="198" t="s">
        <v>668</v>
      </c>
      <c r="K3" s="198" t="s">
        <v>669</v>
      </c>
      <c r="L3" s="198" t="s">
        <v>670</v>
      </c>
      <c r="M3" s="198" t="s">
        <v>671</v>
      </c>
      <c r="N3" s="198" t="s">
        <v>672</v>
      </c>
      <c r="O3" s="199" t="s">
        <v>673</v>
      </c>
    </row>
    <row r="4" spans="3:15" ht="20.100000000000001" customHeight="1">
      <c r="C4" s="119" t="s">
        <v>226</v>
      </c>
      <c r="D4" s="690" t="s">
        <v>719</v>
      </c>
      <c r="E4" s="120">
        <v>80</v>
      </c>
      <c r="F4" s="120">
        <v>1.2495000000000001</v>
      </c>
      <c r="G4" s="693">
        <v>12.102600000000001</v>
      </c>
      <c r="H4" s="690">
        <v>0.03</v>
      </c>
      <c r="I4" s="120">
        <v>88</v>
      </c>
      <c r="J4" s="696">
        <v>50.6</v>
      </c>
      <c r="K4" s="120">
        <v>152</v>
      </c>
      <c r="L4" s="696">
        <v>152</v>
      </c>
      <c r="M4" s="120">
        <v>3.7000000000000002E-3</v>
      </c>
      <c r="N4" s="693">
        <v>2.3E-3</v>
      </c>
      <c r="O4" s="687" t="s">
        <v>238</v>
      </c>
    </row>
    <row r="5" spans="3:15" ht="20.100000000000001" customHeight="1">
      <c r="C5" s="119" t="s">
        <v>227</v>
      </c>
      <c r="D5" s="691"/>
      <c r="E5" s="120">
        <v>150</v>
      </c>
      <c r="F5" s="120">
        <v>2.4424999999999999</v>
      </c>
      <c r="G5" s="694"/>
      <c r="H5" s="691"/>
      <c r="I5" s="120">
        <v>48</v>
      </c>
      <c r="J5" s="697"/>
      <c r="K5" s="120">
        <v>152</v>
      </c>
      <c r="L5" s="697"/>
      <c r="M5" s="120">
        <v>1.2999999999999999E-3</v>
      </c>
      <c r="N5" s="694"/>
      <c r="O5" s="688"/>
    </row>
    <row r="6" spans="3:15" ht="20.100000000000001" customHeight="1">
      <c r="C6" s="119" t="s">
        <v>228</v>
      </c>
      <c r="D6" s="691"/>
      <c r="E6" s="120">
        <v>250</v>
      </c>
      <c r="F6" s="120">
        <v>3.1505000000000001</v>
      </c>
      <c r="G6" s="694"/>
      <c r="H6" s="691"/>
      <c r="I6" s="120">
        <v>138</v>
      </c>
      <c r="J6" s="697"/>
      <c r="K6" s="120">
        <v>152</v>
      </c>
      <c r="L6" s="697"/>
      <c r="M6" s="120">
        <v>2.0999999999999999E-3</v>
      </c>
      <c r="N6" s="694"/>
      <c r="O6" s="688"/>
    </row>
    <row r="7" spans="3:15" ht="20.100000000000001" customHeight="1">
      <c r="C7" s="119" t="s">
        <v>332</v>
      </c>
      <c r="D7" s="691"/>
      <c r="E7" s="120">
        <v>150</v>
      </c>
      <c r="F7" s="120">
        <v>2.306</v>
      </c>
      <c r="G7" s="694"/>
      <c r="H7" s="691"/>
      <c r="I7" s="120">
        <v>68</v>
      </c>
      <c r="J7" s="697"/>
      <c r="K7" s="120">
        <v>152</v>
      </c>
      <c r="L7" s="697"/>
      <c r="M7" s="120">
        <v>2.5999999999999999E-3</v>
      </c>
      <c r="N7" s="694"/>
      <c r="O7" s="688"/>
    </row>
    <row r="8" spans="3:15" ht="20.100000000000001" customHeight="1">
      <c r="C8" s="119" t="s">
        <v>333</v>
      </c>
      <c r="D8" s="691"/>
      <c r="E8" s="120">
        <v>350</v>
      </c>
      <c r="F8" s="120">
        <v>28.17</v>
      </c>
      <c r="G8" s="694"/>
      <c r="H8" s="691"/>
      <c r="I8" s="120">
        <v>4</v>
      </c>
      <c r="J8" s="697"/>
      <c r="K8" s="120">
        <v>152</v>
      </c>
      <c r="L8" s="697"/>
      <c r="M8" s="120">
        <v>2.8E-3</v>
      </c>
      <c r="N8" s="694"/>
      <c r="O8" s="688"/>
    </row>
    <row r="9" spans="3:15" ht="20.100000000000001" customHeight="1">
      <c r="C9" s="119" t="s">
        <v>334</v>
      </c>
      <c r="D9" s="691"/>
      <c r="E9" s="120">
        <v>300</v>
      </c>
      <c r="F9" s="120">
        <v>24.655000000000001</v>
      </c>
      <c r="G9" s="694"/>
      <c r="H9" s="691"/>
      <c r="I9" s="120">
        <v>4</v>
      </c>
      <c r="J9" s="697"/>
      <c r="K9" s="120">
        <v>152</v>
      </c>
      <c r="L9" s="697"/>
      <c r="M9" s="120">
        <v>2E-3</v>
      </c>
      <c r="N9" s="694"/>
      <c r="O9" s="688"/>
    </row>
    <row r="10" spans="3:15" ht="20.100000000000001" customHeight="1">
      <c r="C10" s="119" t="s">
        <v>609</v>
      </c>
      <c r="D10" s="692"/>
      <c r="E10" s="120">
        <v>300</v>
      </c>
      <c r="F10" s="120">
        <v>22.745000000000001</v>
      </c>
      <c r="G10" s="695"/>
      <c r="H10" s="692"/>
      <c r="I10" s="120">
        <v>4</v>
      </c>
      <c r="J10" s="698"/>
      <c r="K10" s="120">
        <v>152</v>
      </c>
      <c r="L10" s="698"/>
      <c r="M10" s="120">
        <v>1.9E-3</v>
      </c>
      <c r="N10" s="695"/>
      <c r="O10" s="689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23" customFormat="1" ht="27.75" customHeight="1" thickBot="1">
      <c r="D2" s="347" t="s">
        <v>250</v>
      </c>
      <c r="M2" s="347" t="s">
        <v>624</v>
      </c>
    </row>
    <row r="3" spans="1:88" s="37" customFormat="1" ht="42.75" customHeight="1">
      <c r="A3" s="375"/>
      <c r="B3" s="375"/>
      <c r="C3" s="375"/>
      <c r="D3" s="384" t="s">
        <v>266</v>
      </c>
      <c r="E3" s="388" t="s">
        <v>267</v>
      </c>
      <c r="F3" s="388" t="s">
        <v>268</v>
      </c>
      <c r="G3" s="388" t="s">
        <v>269</v>
      </c>
      <c r="H3" s="388" t="s">
        <v>270</v>
      </c>
      <c r="I3" s="388" t="s">
        <v>271</v>
      </c>
      <c r="J3" s="388" t="s">
        <v>256</v>
      </c>
      <c r="K3" s="389" t="s">
        <v>257</v>
      </c>
      <c r="L3" s="375"/>
      <c r="M3" s="384" t="s">
        <v>266</v>
      </c>
      <c r="N3" s="388" t="s">
        <v>267</v>
      </c>
      <c r="O3" s="388" t="s">
        <v>268</v>
      </c>
      <c r="P3" s="388" t="s">
        <v>270</v>
      </c>
      <c r="Q3" s="388" t="s">
        <v>271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24"/>
      <c r="B4" s="424"/>
      <c r="C4" s="424"/>
      <c r="D4" s="92">
        <v>6919125.9708000002</v>
      </c>
      <c r="E4" s="93">
        <v>1217</v>
      </c>
      <c r="F4" s="93">
        <v>3575.861171237967</v>
      </c>
      <c r="G4" s="422">
        <v>0.69599999999999995</v>
      </c>
      <c r="H4" s="93">
        <v>2488.7993751816248</v>
      </c>
      <c r="I4" s="94">
        <v>423.8</v>
      </c>
      <c r="J4" s="93">
        <v>160</v>
      </c>
      <c r="K4" s="95">
        <v>1904.9993751816248</v>
      </c>
      <c r="L4" s="424"/>
      <c r="M4" s="92">
        <f>D4</f>
        <v>6919125.9708000002</v>
      </c>
      <c r="N4" s="93">
        <f>E4</f>
        <v>1217</v>
      </c>
      <c r="O4" s="93">
        <f>F4</f>
        <v>3575.861171237967</v>
      </c>
      <c r="P4" s="93">
        <f>H4</f>
        <v>2488.7993751816248</v>
      </c>
      <c r="Q4" s="94">
        <f>I4</f>
        <v>423.8</v>
      </c>
      <c r="R4" s="93">
        <f>J4</f>
        <v>160</v>
      </c>
      <c r="S4" s="95">
        <f>K4</f>
        <v>1904.9993751816248</v>
      </c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  <c r="BK4" s="424"/>
      <c r="BL4" s="424"/>
      <c r="BM4" s="424"/>
      <c r="BN4" s="424"/>
      <c r="BO4" s="424"/>
      <c r="BP4" s="424"/>
      <c r="BQ4" s="424"/>
      <c r="BR4" s="424"/>
      <c r="BS4" s="424"/>
      <c r="BT4" s="424"/>
      <c r="BU4" s="424"/>
      <c r="BV4" s="424"/>
      <c r="BW4" s="424"/>
      <c r="BX4" s="424"/>
      <c r="BY4" s="424"/>
      <c r="BZ4" s="424"/>
      <c r="CA4" s="424"/>
      <c r="CB4" s="424"/>
      <c r="CC4" s="424"/>
      <c r="CD4" s="424"/>
      <c r="CE4" s="424"/>
      <c r="CF4" s="424"/>
      <c r="CG4" s="424"/>
      <c r="CH4" s="424"/>
      <c r="CI4" s="424"/>
      <c r="CJ4" s="424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266</v>
      </c>
      <c r="E7" s="388" t="s">
        <v>267</v>
      </c>
      <c r="F7" s="388" t="s">
        <v>268</v>
      </c>
      <c r="G7" s="388" t="s">
        <v>269</v>
      </c>
      <c r="H7" s="388" t="s">
        <v>270</v>
      </c>
      <c r="I7" s="388" t="s">
        <v>271</v>
      </c>
      <c r="J7" s="388" t="s">
        <v>272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6919125.9708000002</v>
      </c>
      <c r="E8" s="93">
        <v>1217</v>
      </c>
      <c r="F8" s="93">
        <v>3575.861171237967</v>
      </c>
      <c r="G8" s="422">
        <v>0.69599999999999995</v>
      </c>
      <c r="H8" s="93">
        <v>2488.7993751816248</v>
      </c>
      <c r="I8" s="94">
        <v>423.8</v>
      </c>
      <c r="J8" s="93">
        <v>2064.9993751816246</v>
      </c>
      <c r="K8" s="95">
        <v>160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280</v>
      </c>
      <c r="G10" s="296" t="s">
        <v>631</v>
      </c>
      <c r="L10" s="296" t="s">
        <v>632</v>
      </c>
    </row>
    <row r="11" spans="1:88" s="37" customFormat="1" ht="39" customHeight="1">
      <c r="A11" s="375"/>
      <c r="B11" s="375"/>
      <c r="C11" s="375"/>
      <c r="D11" s="121" t="s">
        <v>273</v>
      </c>
      <c r="E11" s="122" t="s">
        <v>274</v>
      </c>
      <c r="F11" s="122" t="s">
        <v>275</v>
      </c>
      <c r="G11" s="122" t="s">
        <v>276</v>
      </c>
      <c r="H11" s="122" t="s">
        <v>277</v>
      </c>
      <c r="I11" s="122" t="s">
        <v>278</v>
      </c>
      <c r="J11" s="123" t="s">
        <v>279</v>
      </c>
      <c r="K11" s="375"/>
      <c r="L11" s="121" t="s">
        <v>273</v>
      </c>
      <c r="M11" s="122" t="s">
        <v>274</v>
      </c>
      <c r="N11" s="122" t="s">
        <v>275</v>
      </c>
      <c r="O11" s="122" t="s">
        <v>276</v>
      </c>
      <c r="P11" s="122" t="s">
        <v>277</v>
      </c>
      <c r="Q11" s="122" t="s">
        <v>161</v>
      </c>
      <c r="R11" s="122" t="s">
        <v>278</v>
      </c>
      <c r="S11" s="123" t="s">
        <v>279</v>
      </c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3.6</v>
      </c>
      <c r="H12" s="284">
        <v>10.5</v>
      </c>
      <c r="I12" s="285">
        <v>10.8468</v>
      </c>
      <c r="J12" s="286">
        <v>2.9339999999999998E-4</v>
      </c>
      <c r="K12" s="298"/>
      <c r="L12" s="281" t="s">
        <v>226</v>
      </c>
      <c r="M12" s="282">
        <v>100</v>
      </c>
      <c r="N12" s="282">
        <v>80</v>
      </c>
      <c r="O12" s="284">
        <v>3.6</v>
      </c>
      <c r="P12" s="284">
        <v>10.5</v>
      </c>
      <c r="Q12" s="292">
        <v>6.9</v>
      </c>
      <c r="R12" s="285">
        <v>10.8468</v>
      </c>
      <c r="S12" s="286">
        <v>2.9339999999999998E-4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>
      <c r="A13" s="298"/>
      <c r="B13" s="298"/>
      <c r="C13" s="298"/>
      <c r="D13" s="278" t="s">
        <v>227</v>
      </c>
      <c r="E13" s="279">
        <v>100</v>
      </c>
      <c r="F13" s="279">
        <v>80</v>
      </c>
      <c r="G13" s="300">
        <v>3.6</v>
      </c>
      <c r="H13" s="300">
        <v>10.5</v>
      </c>
      <c r="I13" s="390">
        <v>10.8468</v>
      </c>
      <c r="J13" s="391">
        <v>2.9339999999999998E-4</v>
      </c>
      <c r="K13" s="298"/>
      <c r="L13" s="278" t="s">
        <v>227</v>
      </c>
      <c r="M13" s="279">
        <v>100</v>
      </c>
      <c r="N13" s="279">
        <v>80</v>
      </c>
      <c r="O13" s="300">
        <v>3.6</v>
      </c>
      <c r="P13" s="300">
        <v>10.5</v>
      </c>
      <c r="Q13" s="213">
        <v>6.9</v>
      </c>
      <c r="R13" s="390">
        <v>10.8468</v>
      </c>
      <c r="S13" s="391">
        <v>2.9339999999999998E-4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>
      <c r="A14" s="298"/>
      <c r="B14" s="298"/>
      <c r="C14" s="298"/>
      <c r="D14" s="281"/>
      <c r="E14" s="282"/>
      <c r="F14" s="282"/>
      <c r="G14" s="284"/>
      <c r="H14" s="284"/>
      <c r="I14" s="285"/>
      <c r="J14" s="286"/>
      <c r="K14" s="298"/>
      <c r="L14" s="281"/>
      <c r="M14" s="282"/>
      <c r="N14" s="282"/>
      <c r="O14" s="284"/>
      <c r="P14" s="284"/>
      <c r="Q14" s="292"/>
      <c r="R14" s="285"/>
      <c r="S14" s="286"/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>
      <c r="A15" s="298"/>
      <c r="B15" s="298"/>
      <c r="C15" s="298"/>
      <c r="D15" s="278"/>
      <c r="E15" s="279"/>
      <c r="F15" s="279"/>
      <c r="G15" s="300"/>
      <c r="H15" s="300"/>
      <c r="I15" s="390"/>
      <c r="J15" s="391"/>
      <c r="K15" s="298"/>
      <c r="L15" s="278"/>
      <c r="M15" s="279"/>
      <c r="N15" s="279"/>
      <c r="O15" s="300"/>
      <c r="P15" s="300"/>
      <c r="Q15" s="213"/>
      <c r="R15" s="390"/>
      <c r="S15" s="391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>
      <c r="A16" s="298"/>
      <c r="B16" s="298"/>
      <c r="C16" s="298"/>
      <c r="D16" s="281"/>
      <c r="E16" s="282"/>
      <c r="F16" s="282"/>
      <c r="G16" s="284"/>
      <c r="H16" s="284"/>
      <c r="I16" s="285"/>
      <c r="J16" s="286"/>
      <c r="K16" s="298"/>
      <c r="L16" s="281"/>
      <c r="M16" s="282"/>
      <c r="N16" s="282"/>
      <c r="O16" s="284"/>
      <c r="P16" s="284"/>
      <c r="Q16" s="292"/>
      <c r="R16" s="285"/>
      <c r="S16" s="286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>
      <c r="A17" s="298"/>
      <c r="B17" s="298"/>
      <c r="C17" s="298"/>
      <c r="D17" s="278"/>
      <c r="E17" s="279"/>
      <c r="F17" s="279"/>
      <c r="G17" s="300"/>
      <c r="H17" s="300"/>
      <c r="I17" s="390"/>
      <c r="J17" s="391"/>
      <c r="K17" s="298"/>
      <c r="L17" s="278"/>
      <c r="M17" s="279"/>
      <c r="N17" s="279"/>
      <c r="O17" s="300"/>
      <c r="P17" s="300"/>
      <c r="Q17" s="213"/>
      <c r="R17" s="390"/>
      <c r="S17" s="391"/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>
      <c r="A18" s="298"/>
      <c r="B18" s="298"/>
      <c r="C18" s="298"/>
      <c r="D18" s="281"/>
      <c r="E18" s="282"/>
      <c r="F18" s="282"/>
      <c r="G18" s="284"/>
      <c r="H18" s="284"/>
      <c r="I18" s="285"/>
      <c r="J18" s="286"/>
      <c r="K18" s="298"/>
      <c r="L18" s="281"/>
      <c r="M18" s="282"/>
      <c r="N18" s="282"/>
      <c r="O18" s="284"/>
      <c r="P18" s="284"/>
      <c r="Q18" s="292"/>
      <c r="R18" s="285"/>
      <c r="S18" s="286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hidden="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hidden="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hidden="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hidden="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hidden="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hidden="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hidden="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hidden="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hidden="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hidden="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hidden="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hidden="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hidden="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hidden="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hidden="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hidden="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hidden="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hidden="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hidden="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hidden="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 collapsed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629</v>
      </c>
      <c r="I43" s="296" t="s">
        <v>630</v>
      </c>
      <c r="M43" s="299" t="s">
        <v>623</v>
      </c>
    </row>
    <row r="44" spans="1:88" ht="31.5" customHeight="1" outlineLevel="1" thickBot="1">
      <c r="D44" s="121" t="s">
        <v>260</v>
      </c>
      <c r="E44" s="122" t="s">
        <v>258</v>
      </c>
      <c r="F44" s="122" t="s">
        <v>259</v>
      </c>
      <c r="G44" s="123" t="s">
        <v>338</v>
      </c>
      <c r="H44" s="297"/>
      <c r="I44" s="121" t="s">
        <v>260</v>
      </c>
      <c r="J44" s="122" t="s">
        <v>281</v>
      </c>
      <c r="K44" s="123" t="s">
        <v>282</v>
      </c>
      <c r="L44" s="297"/>
      <c r="M44" s="121" t="s">
        <v>620</v>
      </c>
      <c r="N44" s="122" t="s">
        <v>621</v>
      </c>
      <c r="O44" s="123" t="s">
        <v>622</v>
      </c>
      <c r="P44" s="297"/>
      <c r="Q44" s="375" t="s">
        <v>347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 t="s">
        <v>732</v>
      </c>
      <c r="F45" s="282" t="s">
        <v>733</v>
      </c>
      <c r="G45" s="283" t="s">
        <v>734</v>
      </c>
      <c r="H45" s="298"/>
      <c r="I45" s="281" t="s">
        <v>226</v>
      </c>
      <c r="J45" s="282">
        <v>130</v>
      </c>
      <c r="K45" s="283">
        <v>154</v>
      </c>
      <c r="L45" s="298"/>
      <c r="M45" s="281" t="s">
        <v>732</v>
      </c>
      <c r="N45" s="282" t="s">
        <v>735</v>
      </c>
      <c r="O45" s="283" t="s">
        <v>736</v>
      </c>
      <c r="P45" s="298"/>
      <c r="Q45" s="186">
        <f>MAX(K45:K74)</f>
        <v>154</v>
      </c>
      <c r="R45" s="187" t="s">
        <v>682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227</v>
      </c>
      <c r="E46" s="279" t="s">
        <v>732</v>
      </c>
      <c r="F46" s="279" t="s">
        <v>733</v>
      </c>
      <c r="G46" s="280" t="s">
        <v>734</v>
      </c>
      <c r="H46" s="298"/>
      <c r="I46" s="278" t="s">
        <v>227</v>
      </c>
      <c r="J46" s="279">
        <v>130</v>
      </c>
      <c r="K46" s="280">
        <v>154</v>
      </c>
      <c r="L46" s="298"/>
      <c r="M46" s="278" t="s">
        <v>732</v>
      </c>
      <c r="N46" s="279" t="s">
        <v>735</v>
      </c>
      <c r="O46" s="280" t="s">
        <v>736</v>
      </c>
      <c r="P46" s="298"/>
      <c r="Q46" s="97">
        <f>MIN(J45:J74)</f>
        <v>130</v>
      </c>
      <c r="R46" s="127" t="s">
        <v>613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/>
      <c r="E47" s="282"/>
      <c r="F47" s="282"/>
      <c r="G47" s="283"/>
      <c r="H47" s="298"/>
      <c r="I47" s="281"/>
      <c r="J47" s="282"/>
      <c r="K47" s="283"/>
      <c r="L47" s="298"/>
      <c r="M47" s="281"/>
      <c r="N47" s="282"/>
      <c r="O47" s="283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/>
      <c r="E48" s="279"/>
      <c r="F48" s="279"/>
      <c r="G48" s="280"/>
      <c r="H48" s="298"/>
      <c r="I48" s="278"/>
      <c r="J48" s="279"/>
      <c r="K48" s="280"/>
      <c r="L48" s="298"/>
      <c r="M48" s="278"/>
      <c r="N48" s="279"/>
      <c r="O48" s="280"/>
      <c r="P48" s="298"/>
      <c r="Q48" s="186" t="s">
        <v>614</v>
      </c>
      <c r="R48" s="187">
        <f>MAX(E45:E74)</f>
        <v>0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/>
      <c r="E49" s="282"/>
      <c r="F49" s="282"/>
      <c r="G49" s="283"/>
      <c r="H49" s="298"/>
      <c r="I49" s="281"/>
      <c r="J49" s="282"/>
      <c r="K49" s="283"/>
      <c r="L49" s="298"/>
      <c r="M49" s="281"/>
      <c r="N49" s="282"/>
      <c r="O49" s="283"/>
      <c r="P49" s="298"/>
      <c r="Q49" s="97" t="s">
        <v>615</v>
      </c>
      <c r="R49" s="127">
        <f>MIN(E45:E74)</f>
        <v>0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/>
      <c r="E50" s="279"/>
      <c r="F50" s="279"/>
      <c r="G50" s="280"/>
      <c r="H50" s="298"/>
      <c r="I50" s="278"/>
      <c r="J50" s="279"/>
      <c r="K50" s="280"/>
      <c r="L50" s="298"/>
      <c r="M50" s="278"/>
      <c r="N50" s="279"/>
      <c r="O50" s="280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/>
      <c r="E51" s="282"/>
      <c r="F51" s="282"/>
      <c r="G51" s="283"/>
      <c r="H51" s="298"/>
      <c r="I51" s="281"/>
      <c r="J51" s="282"/>
      <c r="K51" s="283"/>
      <c r="L51" s="298"/>
      <c r="M51" s="281"/>
      <c r="N51" s="282"/>
      <c r="O51" s="283"/>
      <c r="P51" s="298"/>
      <c r="Q51" s="186" t="s">
        <v>616</v>
      </c>
      <c r="R51" s="187">
        <f>MAX(F45:F74)</f>
        <v>0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19.5" customHeight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617</v>
      </c>
      <c r="R52" s="127">
        <f>MIN(F45:F74)</f>
        <v>0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hidden="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hidden="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hidden="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hidden="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hidden="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hidden="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hidden="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hidden="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hidden="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hidden="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hidden="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hidden="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hidden="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hidden="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hidden="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hidden="1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hidden="1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hidden="1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hidden="1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 collapsed="1">
      <c r="D75" s="429"/>
      <c r="L75" s="430"/>
    </row>
    <row r="76" spans="1:88" s="297" customFormat="1" ht="15.95" customHeight="1">
      <c r="D76" s="429"/>
    </row>
    <row r="77" spans="1:88" s="297" customFormat="1" ht="15.95" customHeight="1" thickBot="1">
      <c r="D77" s="431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227</v>
      </c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425"/>
      <c r="U78" s="425"/>
      <c r="V78" s="425"/>
      <c r="W78" s="425"/>
      <c r="X78" s="425"/>
      <c r="Y78" s="425"/>
      <c r="Z78" s="425"/>
      <c r="AA78" s="425"/>
      <c r="AB78" s="425"/>
      <c r="AC78" s="425"/>
      <c r="AD78" s="425"/>
      <c r="AE78" s="425"/>
      <c r="AF78" s="425"/>
      <c r="AG78" s="426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32"/>
      <c r="B79" s="432"/>
      <c r="C79" s="432"/>
      <c r="D79" s="117" t="s">
        <v>737</v>
      </c>
      <c r="E79" s="118" t="s">
        <v>737</v>
      </c>
      <c r="F79" s="118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32"/>
      <c r="AI79" s="432"/>
      <c r="AJ79" s="432"/>
      <c r="AK79" s="432"/>
      <c r="AL79" s="432"/>
      <c r="AM79" s="432"/>
      <c r="AN79" s="432"/>
      <c r="AO79" s="432"/>
      <c r="AP79" s="432"/>
      <c r="AQ79" s="432"/>
      <c r="AR79" s="432"/>
      <c r="AS79" s="432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32"/>
      <c r="BG79" s="432"/>
      <c r="BH79" s="432"/>
      <c r="BI79" s="432"/>
      <c r="BJ79" s="432"/>
      <c r="BK79" s="432"/>
      <c r="BL79" s="432"/>
      <c r="BM79" s="432"/>
      <c r="BN79" s="432"/>
      <c r="BO79" s="432"/>
      <c r="BP79" s="432"/>
      <c r="BQ79" s="432"/>
      <c r="BR79" s="432"/>
      <c r="BS79" s="432"/>
      <c r="BT79" s="432"/>
      <c r="BU79" s="432"/>
      <c r="BV79" s="432"/>
      <c r="BW79" s="432"/>
      <c r="BX79" s="432"/>
      <c r="BY79" s="432"/>
      <c r="BZ79" s="432"/>
      <c r="CA79" s="432"/>
      <c r="CB79" s="432"/>
      <c r="CC79" s="432"/>
      <c r="CD79" s="432"/>
      <c r="CE79" s="432"/>
      <c r="CF79" s="432"/>
      <c r="CG79" s="432"/>
      <c r="CH79" s="432"/>
      <c r="CI79" s="432"/>
      <c r="CJ79" s="432"/>
    </row>
    <row r="80" spans="1:88" s="297" customFormat="1" ht="15.95" customHeight="1">
      <c r="D80" s="429"/>
    </row>
    <row r="81" spans="1:88" s="297" customFormat="1" ht="15.95" customHeight="1">
      <c r="D81" s="429"/>
    </row>
    <row r="82" spans="1:88" s="297" customFormat="1" ht="15.95" customHeight="1" thickBot="1">
      <c r="D82" s="431" t="s">
        <v>261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227</v>
      </c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6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32"/>
      <c r="B84" s="432"/>
      <c r="C84" s="432"/>
      <c r="D84" s="117" t="s">
        <v>738</v>
      </c>
      <c r="E84" s="118" t="s">
        <v>738</v>
      </c>
      <c r="F84" s="118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</row>
    <row r="85" spans="1:88" s="297" customFormat="1" ht="15.95" customHeight="1">
      <c r="D85" s="429"/>
    </row>
    <row r="86" spans="1:88" s="297" customFormat="1" ht="15.95" customHeight="1">
      <c r="D86" s="429"/>
    </row>
    <row r="87" spans="1:88" s="297" customFormat="1" ht="15.95" customHeight="1" thickBot="1">
      <c r="D87" s="431" t="s">
        <v>720</v>
      </c>
    </row>
    <row r="88" spans="1:88" ht="30" customHeight="1">
      <c r="D88" s="384" t="s">
        <v>226</v>
      </c>
      <c r="E88" s="385" t="s">
        <v>227</v>
      </c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6"/>
    </row>
    <row r="89" spans="1:88" ht="30" customHeight="1" thickBot="1">
      <c r="D89" s="117" t="s">
        <v>745</v>
      </c>
      <c r="E89" s="118" t="s">
        <v>745</v>
      </c>
      <c r="F89" s="118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7"/>
      <c r="R89" s="267"/>
      <c r="S89" s="267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4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31" t="s">
        <v>220</v>
      </c>
      <c r="E92" s="435">
        <f>MIN(D94:AG94)</f>
        <v>0</v>
      </c>
      <c r="F92" s="435">
        <f>MAX(D94:AG94)</f>
        <v>0</v>
      </c>
    </row>
    <row r="93" spans="1:88" ht="30" customHeight="1">
      <c r="D93" s="384" t="s">
        <v>226</v>
      </c>
      <c r="E93" s="385" t="s">
        <v>227</v>
      </c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6"/>
    </row>
    <row r="94" spans="1:88" ht="30" customHeight="1" thickBot="1">
      <c r="D94" s="117" t="s">
        <v>740</v>
      </c>
      <c r="E94" s="118" t="s">
        <v>740</v>
      </c>
      <c r="F94" s="118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31" t="s">
        <v>221</v>
      </c>
      <c r="E97" s="435">
        <f>MIN(D99:AG99)</f>
        <v>0</v>
      </c>
      <c r="F97" s="435">
        <f>MAX(D99:AG99)</f>
        <v>0</v>
      </c>
      <c r="G97" s="436" t="s">
        <v>612</v>
      </c>
    </row>
    <row r="98" spans="1:88" ht="30" customHeight="1">
      <c r="D98" s="384" t="s">
        <v>226</v>
      </c>
      <c r="E98" s="385" t="s">
        <v>227</v>
      </c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425"/>
      <c r="U98" s="425"/>
      <c r="V98" s="425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6"/>
    </row>
    <row r="99" spans="1:88" ht="30" customHeight="1" thickBot="1">
      <c r="D99" s="117" t="s">
        <v>741</v>
      </c>
      <c r="E99" s="118" t="s">
        <v>741</v>
      </c>
      <c r="F99" s="118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7"/>
      <c r="R99" s="267"/>
      <c r="S99" s="267"/>
      <c r="T99" s="433"/>
      <c r="U99" s="433"/>
      <c r="V99" s="437"/>
      <c r="W99" s="433"/>
      <c r="X99" s="433"/>
      <c r="Y99" s="433"/>
      <c r="Z99" s="433"/>
      <c r="AA99" s="433"/>
      <c r="AB99" s="433"/>
      <c r="AC99" s="433"/>
      <c r="AD99" s="433"/>
      <c r="AE99" s="433"/>
      <c r="AF99" s="433"/>
      <c r="AG99" s="434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31" t="s">
        <v>721</v>
      </c>
    </row>
    <row r="103" spans="1:88" ht="30" customHeight="1">
      <c r="D103" s="384" t="s">
        <v>226</v>
      </c>
      <c r="E103" s="385" t="s">
        <v>227</v>
      </c>
      <c r="F103" s="385"/>
      <c r="G103" s="385"/>
      <c r="H103" s="385"/>
      <c r="I103" s="385"/>
      <c r="J103" s="385"/>
      <c r="K103" s="385"/>
      <c r="L103" s="385"/>
      <c r="M103" s="385"/>
      <c r="N103" s="385"/>
      <c r="O103" s="385"/>
      <c r="P103" s="385"/>
      <c r="Q103" s="385"/>
      <c r="R103" s="385"/>
      <c r="S103" s="38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6"/>
    </row>
    <row r="104" spans="1:88" ht="30" customHeight="1" thickBot="1">
      <c r="D104" s="117" t="s">
        <v>744</v>
      </c>
      <c r="E104" s="118" t="s">
        <v>744</v>
      </c>
      <c r="F104" s="118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7"/>
      <c r="R104" s="267"/>
      <c r="S104" s="267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4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31" t="s">
        <v>263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227</v>
      </c>
      <c r="F108" s="385"/>
      <c r="G108" s="385"/>
      <c r="H108" s="385"/>
      <c r="I108" s="385"/>
      <c r="J108" s="385"/>
      <c r="K108" s="385"/>
      <c r="L108" s="385"/>
      <c r="M108" s="385"/>
      <c r="N108" s="385"/>
      <c r="O108" s="385"/>
      <c r="P108" s="385"/>
      <c r="Q108" s="385"/>
      <c r="R108" s="385"/>
      <c r="S108" s="385"/>
      <c r="T108" s="425"/>
      <c r="U108" s="425"/>
      <c r="V108" s="425"/>
      <c r="W108" s="425"/>
      <c r="X108" s="425"/>
      <c r="Y108" s="425"/>
      <c r="Z108" s="425"/>
      <c r="AA108" s="425"/>
      <c r="AB108" s="425"/>
      <c r="AC108" s="425"/>
      <c r="AD108" s="425"/>
      <c r="AE108" s="425"/>
      <c r="AF108" s="425"/>
      <c r="AG108" s="426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32"/>
      <c r="B109" s="432"/>
      <c r="C109" s="432"/>
      <c r="D109" s="117" t="s">
        <v>739</v>
      </c>
      <c r="E109" s="118" t="s">
        <v>739</v>
      </c>
      <c r="F109" s="118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32"/>
      <c r="AI109" s="432"/>
      <c r="AJ109" s="432"/>
      <c r="AK109" s="432"/>
      <c r="AL109" s="432"/>
      <c r="AM109" s="432"/>
      <c r="AN109" s="432"/>
      <c r="AO109" s="432"/>
      <c r="AP109" s="432"/>
      <c r="AQ109" s="432"/>
      <c r="AR109" s="432"/>
      <c r="AS109" s="432"/>
      <c r="AT109" s="432"/>
      <c r="AU109" s="432"/>
      <c r="AV109" s="432"/>
      <c r="AW109" s="432"/>
      <c r="AX109" s="432"/>
      <c r="AY109" s="432"/>
      <c r="AZ109" s="432"/>
      <c r="BA109" s="432"/>
      <c r="BB109" s="432"/>
      <c r="BC109" s="432"/>
      <c r="BD109" s="432"/>
      <c r="BE109" s="432"/>
      <c r="BF109" s="432"/>
      <c r="BG109" s="432"/>
      <c r="BH109" s="432"/>
      <c r="BI109" s="432"/>
      <c r="BJ109" s="432"/>
      <c r="BK109" s="432"/>
      <c r="BL109" s="432"/>
      <c r="BM109" s="432"/>
      <c r="BN109" s="432"/>
      <c r="BO109" s="432"/>
      <c r="BP109" s="432"/>
      <c r="BQ109" s="432"/>
      <c r="BR109" s="432"/>
      <c r="BS109" s="432"/>
      <c r="BT109" s="432"/>
      <c r="BU109" s="432"/>
      <c r="BV109" s="432"/>
      <c r="BW109" s="432"/>
      <c r="BX109" s="432"/>
      <c r="BY109" s="432"/>
      <c r="BZ109" s="432"/>
      <c r="CA109" s="432"/>
      <c r="CB109" s="432"/>
      <c r="CC109" s="432"/>
      <c r="CD109" s="432"/>
      <c r="CE109" s="432"/>
      <c r="CF109" s="432"/>
      <c r="CG109" s="432"/>
      <c r="CH109" s="432"/>
      <c r="CI109" s="432"/>
      <c r="CJ109" s="432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31" t="s">
        <v>607</v>
      </c>
    </row>
    <row r="113" spans="4:33" ht="30" customHeight="1">
      <c r="D113" s="384" t="s">
        <v>226</v>
      </c>
      <c r="E113" s="385" t="s">
        <v>227</v>
      </c>
      <c r="F113" s="385"/>
      <c r="G113" s="385"/>
      <c r="H113" s="385"/>
      <c r="I113" s="385"/>
      <c r="J113" s="385"/>
      <c r="K113" s="385"/>
      <c r="L113" s="385"/>
      <c r="M113" s="385"/>
      <c r="N113" s="385"/>
      <c r="O113" s="385"/>
      <c r="P113" s="385"/>
      <c r="Q113" s="385"/>
      <c r="R113" s="385"/>
      <c r="S113" s="38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6"/>
    </row>
    <row r="114" spans="4:33" ht="30" customHeight="1" thickBot="1">
      <c r="D114" s="117" t="s">
        <v>743</v>
      </c>
      <c r="E114" s="118" t="s">
        <v>743</v>
      </c>
      <c r="F114" s="118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7"/>
      <c r="R114" s="267"/>
      <c r="S114" s="267"/>
      <c r="T114" s="433"/>
      <c r="U114" s="433"/>
      <c r="V114" s="433"/>
      <c r="W114" s="433"/>
      <c r="X114" s="433"/>
      <c r="Y114" s="433"/>
      <c r="Z114" s="433"/>
      <c r="AA114" s="433"/>
      <c r="AB114" s="433"/>
      <c r="AC114" s="433"/>
      <c r="AD114" s="433"/>
      <c r="AE114" s="433"/>
      <c r="AF114" s="433"/>
      <c r="AG114" s="434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31" t="s">
        <v>606</v>
      </c>
    </row>
    <row r="118" spans="4:33" ht="30" customHeight="1">
      <c r="D118" s="384" t="s">
        <v>226</v>
      </c>
      <c r="E118" s="385" t="s">
        <v>227</v>
      </c>
      <c r="F118" s="385"/>
      <c r="G118" s="385"/>
      <c r="H118" s="385"/>
      <c r="I118" s="385"/>
      <c r="J118" s="385"/>
      <c r="K118" s="385"/>
      <c r="L118" s="385"/>
      <c r="M118" s="385"/>
      <c r="N118" s="385"/>
      <c r="O118" s="385"/>
      <c r="P118" s="385"/>
      <c r="Q118" s="385"/>
      <c r="R118" s="385"/>
      <c r="S118" s="38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6"/>
    </row>
    <row r="119" spans="4:33" ht="30" customHeight="1" thickBot="1">
      <c r="D119" s="117" t="s">
        <v>742</v>
      </c>
      <c r="E119" s="118" t="s">
        <v>742</v>
      </c>
      <c r="F119" s="118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7"/>
      <c r="R119" s="267"/>
      <c r="S119" s="267"/>
      <c r="T119" s="433"/>
      <c r="U119" s="433"/>
      <c r="V119" s="433"/>
      <c r="W119" s="433"/>
      <c r="X119" s="433"/>
      <c r="Y119" s="433"/>
      <c r="Z119" s="433"/>
      <c r="AA119" s="433"/>
      <c r="AB119" s="433"/>
      <c r="AC119" s="433"/>
      <c r="AD119" s="433"/>
      <c r="AE119" s="433"/>
      <c r="AF119" s="433"/>
      <c r="AG119" s="434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E15" sqref="E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722</v>
      </c>
      <c r="F1" s="24"/>
      <c r="J1" s="52"/>
    </row>
    <row r="2" spans="1:18" s="55" customFormat="1" ht="23.1" customHeight="1">
      <c r="A2" s="699" t="s">
        <v>0</v>
      </c>
      <c r="B2" s="701" t="s">
        <v>39</v>
      </c>
      <c r="C2" s="701" t="s">
        <v>6</v>
      </c>
      <c r="D2" s="701" t="s">
        <v>38</v>
      </c>
      <c r="E2" s="701" t="s">
        <v>201</v>
      </c>
      <c r="F2" s="701" t="s">
        <v>200</v>
      </c>
      <c r="G2" s="705" t="s">
        <v>1</v>
      </c>
      <c r="H2" s="705" t="s">
        <v>2</v>
      </c>
      <c r="I2" s="705" t="s">
        <v>169</v>
      </c>
      <c r="J2" s="709" t="s">
        <v>254</v>
      </c>
      <c r="K2" s="705" t="s">
        <v>253</v>
      </c>
      <c r="L2" s="705" t="s">
        <v>3</v>
      </c>
      <c r="M2" s="705" t="s">
        <v>4</v>
      </c>
      <c r="N2" s="705" t="s">
        <v>5</v>
      </c>
      <c r="O2" s="705" t="s">
        <v>252</v>
      </c>
      <c r="P2" s="707" t="s">
        <v>251</v>
      </c>
      <c r="Q2" s="701" t="s">
        <v>156</v>
      </c>
      <c r="R2" s="703" t="s">
        <v>91</v>
      </c>
    </row>
    <row r="3" spans="1:18" s="55" customFormat="1" ht="27" customHeight="1">
      <c r="A3" s="700"/>
      <c r="B3" s="702"/>
      <c r="C3" s="702"/>
      <c r="D3" s="702"/>
      <c r="E3" s="702"/>
      <c r="F3" s="702"/>
      <c r="G3" s="706"/>
      <c r="H3" s="706"/>
      <c r="I3" s="706"/>
      <c r="J3" s="710"/>
      <c r="K3" s="706"/>
      <c r="L3" s="706"/>
      <c r="M3" s="706"/>
      <c r="N3" s="706"/>
      <c r="O3" s="706"/>
      <c r="P3" s="708"/>
      <c r="Q3" s="702"/>
      <c r="R3" s="704"/>
    </row>
    <row r="4" spans="1:18" ht="23.1" customHeight="1">
      <c r="A4" s="644" t="s">
        <v>723</v>
      </c>
      <c r="B4" s="645" t="s">
        <v>350</v>
      </c>
      <c r="C4" s="646"/>
      <c r="D4" s="647" t="s">
        <v>685</v>
      </c>
      <c r="E4" s="647" t="str">
        <f>Recharge!$I$24</f>
        <v>금강서해/금강서해</v>
      </c>
      <c r="F4" s="647" t="str">
        <f>All!$B$2</f>
        <v>보령기상청</v>
      </c>
      <c r="G4" s="647">
        <v>200</v>
      </c>
      <c r="H4" s="647">
        <v>100</v>
      </c>
      <c r="I4" s="647">
        <v>80</v>
      </c>
      <c r="J4" s="647">
        <v>80</v>
      </c>
      <c r="K4" s="647">
        <v>160</v>
      </c>
      <c r="L4" s="647">
        <v>15</v>
      </c>
      <c r="M4" s="647">
        <v>65</v>
      </c>
      <c r="N4" s="648">
        <v>50</v>
      </c>
      <c r="O4" s="649">
        <f>ROUND(water!$F$7, 1)</f>
        <v>423.8</v>
      </c>
      <c r="P4" s="650">
        <v>6919125.9708000002</v>
      </c>
      <c r="Q4" s="647"/>
      <c r="R4" s="651"/>
    </row>
    <row r="5" spans="1:18" ht="23.1" customHeight="1" thickBot="1">
      <c r="A5" s="652" t="s">
        <v>727</v>
      </c>
      <c r="B5" s="653" t="s">
        <v>350</v>
      </c>
      <c r="C5" s="654"/>
      <c r="D5" s="655" t="s">
        <v>685</v>
      </c>
      <c r="E5" s="655" t="str">
        <f>Recharge!$I$24</f>
        <v>금강서해/금강서해</v>
      </c>
      <c r="F5" s="655" t="str">
        <f>All!$B$2</f>
        <v>보령기상청</v>
      </c>
      <c r="G5" s="655">
        <v>200</v>
      </c>
      <c r="H5" s="655">
        <v>100</v>
      </c>
      <c r="I5" s="655">
        <v>80</v>
      </c>
      <c r="J5" s="655">
        <v>80</v>
      </c>
      <c r="K5" s="655">
        <v>160</v>
      </c>
      <c r="L5" s="655">
        <v>15</v>
      </c>
      <c r="M5" s="655">
        <v>65</v>
      </c>
      <c r="N5" s="656">
        <v>50</v>
      </c>
      <c r="O5" s="657">
        <f>ROUND(water!$F$7, 1)</f>
        <v>423.8</v>
      </c>
      <c r="P5" s="658">
        <v>6919125.9708000002</v>
      </c>
      <c r="Q5" s="655"/>
      <c r="R5" s="659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160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17</xdr:col>
                <xdr:colOff>133350</xdr:colOff>
                <xdr:row>0</xdr:row>
                <xdr:rowOff>1019175</xdr:rowOff>
              </from>
              <to>
                <xdr:col>17</xdr:col>
                <xdr:colOff>676275</xdr:colOff>
                <xdr:row>0</xdr:row>
                <xdr:rowOff>1314450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0</xdr:col>
                <xdr:colOff>200025</xdr:colOff>
                <xdr:row>0</xdr:row>
                <xdr:rowOff>57150</xdr:rowOff>
              </from>
              <to>
                <xdr:col>1</xdr:col>
                <xdr:colOff>295275</xdr:colOff>
                <xdr:row>0</xdr:row>
                <xdr:rowOff>352425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1" sqref="I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153</v>
      </c>
      <c r="C2" s="614" t="str">
        <f>Well!D4</f>
        <v xml:space="preserve"> 전의면 유천리 227번지 </v>
      </c>
      <c r="D2" s="615"/>
      <c r="E2" s="615"/>
      <c r="F2" s="615"/>
      <c r="G2" s="615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0">
        <f>Well!C4</f>
        <v>0</v>
      </c>
      <c r="D3" s="620" t="s">
        <v>49</v>
      </c>
      <c r="E3" s="621" t="s">
        <v>115</v>
      </c>
      <c r="F3" s="622" t="s">
        <v>105</v>
      </c>
      <c r="G3" s="70" t="s">
        <v>725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Well!R4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Well!Q4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Well!D4</f>
        <v xml:space="preserve"> 전의면 유천리 227번지 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44</v>
      </c>
      <c r="L6"/>
      <c r="M6"/>
    </row>
    <row r="7" spans="1:13" ht="20.100000000000001" customHeight="1" thickBot="1">
      <c r="B7" s="624" t="s">
        <v>55</v>
      </c>
      <c r="C7" s="633">
        <f>Well!H4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32</v>
      </c>
      <c r="L7"/>
      <c r="M7"/>
    </row>
    <row r="8" spans="1:13" ht="20.100000000000001" customHeight="1" thickBot="1">
      <c r="B8" s="624" t="s">
        <v>57</v>
      </c>
      <c r="C8" s="634">
        <f>Well!G4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156</v>
      </c>
      <c r="L12" s="233">
        <f>K12+180</f>
        <v>336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366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1304.4000000000001</v>
      </c>
      <c r="H14" s="10"/>
      <c r="J14" s="160" t="s">
        <v>110</v>
      </c>
      <c r="K14" s="166">
        <v>46</v>
      </c>
      <c r="L14" s="163"/>
    </row>
    <row r="15" spans="1:13" ht="20.100000000000001" customHeight="1" thickBot="1">
      <c r="B15" s="624" t="s">
        <v>67</v>
      </c>
      <c r="C15" s="634">
        <f>Well!I4</f>
        <v>80</v>
      </c>
      <c r="E15" s="26">
        <v>1</v>
      </c>
      <c r="J15" s="160" t="s">
        <v>111</v>
      </c>
      <c r="K15" s="166">
        <v>37</v>
      </c>
      <c r="L15" s="163"/>
    </row>
    <row r="16" spans="1:13" ht="20.100000000000001" customHeight="1">
      <c r="B16" s="3" t="s">
        <v>68</v>
      </c>
      <c r="C16" s="639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42.4</v>
      </c>
      <c r="L16" s="163"/>
    </row>
    <row r="17" spans="2:12" ht="20.100000000000001" customHeight="1" thickBot="1">
      <c r="B17" s="3" t="s">
        <v>69</v>
      </c>
      <c r="C17" s="640">
        <f>Well!L4</f>
        <v>15</v>
      </c>
      <c r="E17" s="135">
        <f>Well!P4</f>
        <v>6919125.9708000002</v>
      </c>
      <c r="F17" s="80">
        <f>(max*rf_1*E17/1000)</f>
        <v>1398922.7270282859</v>
      </c>
      <c r="G17" s="79">
        <f>F17*allow_ratio</f>
        <v>973650.21801168693</v>
      </c>
      <c r="J17" s="160" t="s">
        <v>112</v>
      </c>
      <c r="K17" s="167">
        <f>K16-K15</f>
        <v>5.3999999999999986</v>
      </c>
      <c r="L17" s="163"/>
    </row>
    <row r="18" spans="2:12" ht="20.100000000000001" customHeight="1" thickBot="1">
      <c r="B18" s="3" t="s">
        <v>70</v>
      </c>
      <c r="C18" s="640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1.4754098360655735E-2</v>
      </c>
      <c r="L18" s="165">
        <f>K18*100</f>
        <v>1.4754098360655734</v>
      </c>
    </row>
    <row r="19" spans="2:12" ht="20.100000000000001" customHeight="1" thickBot="1">
      <c r="B19" s="12" t="s">
        <v>74</v>
      </c>
      <c r="C19" s="641">
        <f>Well!N4</f>
        <v>50</v>
      </c>
      <c r="E19" s="135">
        <f>E17</f>
        <v>6919125.9708000002</v>
      </c>
      <c r="F19" s="77">
        <f>(max*rf_1*E19/1000)/365</f>
        <v>3832.6650055569476</v>
      </c>
      <c r="G19" s="78">
        <f>F19*allow_ratio</f>
        <v>2667.5348438676351</v>
      </c>
      <c r="H19" s="74">
        <f>G19-F21</f>
        <v>2243.7348438676349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160</v>
      </c>
      <c r="F21" s="137">
        <f>Well!O4</f>
        <v>423.8</v>
      </c>
      <c r="G21" s="79">
        <f>G19-E21-F21</f>
        <v>2083.7348438676349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583.79999999999995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586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49</v>
      </c>
      <c r="C26" s="183" t="s">
        <v>101</v>
      </c>
      <c r="D26" s="147">
        <f>C20</f>
        <v>3.6</v>
      </c>
      <c r="E26" s="148">
        <f>Recharge!C30</f>
        <v>20.218200000000003</v>
      </c>
      <c r="F26" s="149" t="s">
        <v>180</v>
      </c>
      <c r="G26" s="147" t="s">
        <v>368</v>
      </c>
      <c r="H26" s="150">
        <f>L18</f>
        <v>1.4754098360655734</v>
      </c>
      <c r="I26" s="147" t="s">
        <v>180</v>
      </c>
      <c r="J26" s="151">
        <f>(E7/C14)/864</f>
        <v>1.4266098484848485E-4</v>
      </c>
      <c r="K26" s="443" t="s">
        <v>613</v>
      </c>
    </row>
    <row r="27" spans="2:12" ht="25.5" customHeight="1">
      <c r="B27" s="712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3" t="s">
        <v>682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713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154</v>
      </c>
      <c r="C2" s="614" t="str">
        <f>Well!D5</f>
        <v xml:space="preserve"> 전의면 유천리 227번지 </v>
      </c>
      <c r="D2" s="615"/>
      <c r="E2" s="615"/>
      <c r="F2" s="615"/>
      <c r="G2" s="615"/>
      <c r="H2"/>
      <c r="I2" s="81" t="s">
        <v>726</v>
      </c>
      <c r="J2"/>
      <c r="K2"/>
      <c r="L2"/>
      <c r="M2"/>
    </row>
    <row r="3" spans="1:13" ht="20.100000000000001" customHeight="1" thickBot="1">
      <c r="B3" s="2" t="s">
        <v>6</v>
      </c>
      <c r="C3" s="630">
        <f>Well!C5</f>
        <v>0</v>
      </c>
      <c r="D3" s="620" t="s">
        <v>49</v>
      </c>
      <c r="E3" s="621" t="s">
        <v>115</v>
      </c>
      <c r="F3" s="622" t="s">
        <v>105</v>
      </c>
      <c r="G3" s="70" t="s">
        <v>725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Well!R5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Well!Q5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Well!D5</f>
        <v xml:space="preserve"> 전의면 유천리 227번지 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613</v>
      </c>
      <c r="L6"/>
      <c r="M6"/>
    </row>
    <row r="7" spans="1:13" ht="20.100000000000001" customHeight="1" thickBot="1">
      <c r="B7" s="624" t="s">
        <v>55</v>
      </c>
      <c r="C7" s="633">
        <f>Well!H5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33</v>
      </c>
      <c r="L7"/>
      <c r="M7"/>
    </row>
    <row r="8" spans="1:13" ht="20.100000000000001" customHeight="1" thickBot="1">
      <c r="B8" s="624" t="s">
        <v>57</v>
      </c>
      <c r="C8" s="634">
        <f>Well!G5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185</v>
      </c>
      <c r="L12" s="233">
        <f>K12+180</f>
        <v>365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2146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1304.4000000000001</v>
      </c>
      <c r="H14" s="10"/>
      <c r="J14" s="160" t="s">
        <v>110</v>
      </c>
      <c r="K14" s="166">
        <v>49</v>
      </c>
      <c r="L14" s="163"/>
    </row>
    <row r="15" spans="1:13" ht="20.100000000000001" customHeight="1" thickBot="1">
      <c r="B15" s="624" t="s">
        <v>67</v>
      </c>
      <c r="C15" s="634">
        <f>Well!I5</f>
        <v>80</v>
      </c>
      <c r="E15" s="26">
        <v>2</v>
      </c>
      <c r="J15" s="160" t="s">
        <v>111</v>
      </c>
      <c r="K15" s="166">
        <v>40</v>
      </c>
      <c r="L15" s="163"/>
    </row>
    <row r="16" spans="1:13" ht="20.100000000000001" customHeight="1">
      <c r="B16" s="3" t="s">
        <v>68</v>
      </c>
      <c r="C16" s="639">
        <f>Well!J5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45.4</v>
      </c>
      <c r="L16" s="163"/>
    </row>
    <row r="17" spans="2:12" ht="20.100000000000001" customHeight="1" thickBot="1">
      <c r="B17" s="3" t="s">
        <v>69</v>
      </c>
      <c r="C17" s="640">
        <f>Well!L5</f>
        <v>15</v>
      </c>
      <c r="E17" s="135">
        <f>Well!P5</f>
        <v>6919125.9708000002</v>
      </c>
      <c r="F17" s="80">
        <f>(max*rf_1*E17/1000)</f>
        <v>1398922.7270282859</v>
      </c>
      <c r="G17" s="79">
        <f>F17*allow_ratio</f>
        <v>973650.21801168693</v>
      </c>
      <c r="J17" s="160" t="s">
        <v>112</v>
      </c>
      <c r="K17" s="167">
        <f>K16-K15</f>
        <v>5.3999999999999986</v>
      </c>
      <c r="L17" s="163"/>
    </row>
    <row r="18" spans="2:12" ht="20.100000000000001" customHeight="1" thickBot="1">
      <c r="B18" s="3" t="s">
        <v>70</v>
      </c>
      <c r="C18" s="640">
        <f>Well!M5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2.5163094128611363E-3</v>
      </c>
      <c r="L18" s="165">
        <f>K18*100</f>
        <v>0.25163094128611363</v>
      </c>
    </row>
    <row r="19" spans="2:12" ht="20.100000000000001" customHeight="1" thickBot="1">
      <c r="B19" s="12" t="s">
        <v>74</v>
      </c>
      <c r="C19" s="641">
        <f>Well!N5</f>
        <v>50</v>
      </c>
      <c r="E19" s="135">
        <f>E17</f>
        <v>6919125.9708000002</v>
      </c>
      <c r="F19" s="77">
        <f>(max*rf_1*E19/1000)/365</f>
        <v>3832.6650055569476</v>
      </c>
      <c r="G19" s="78">
        <f>F19*allow_ratio</f>
        <v>2667.5348438676351</v>
      </c>
      <c r="H19" s="74">
        <f>G19-F21</f>
        <v>2243.7348438676349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160</v>
      </c>
      <c r="F21" s="137">
        <f>Well!O5</f>
        <v>423.8</v>
      </c>
      <c r="G21" s="79">
        <f>G19-E21-F21</f>
        <v>2083.7348438676349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583.79999999999995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586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728</v>
      </c>
      <c r="C26" s="183" t="s">
        <v>101</v>
      </c>
      <c r="D26" s="147">
        <f>C20</f>
        <v>3.6</v>
      </c>
      <c r="E26" s="148">
        <f>Recharge!C30</f>
        <v>20.218200000000003</v>
      </c>
      <c r="F26" s="149" t="s">
        <v>180</v>
      </c>
      <c r="G26" s="147" t="s">
        <v>368</v>
      </c>
      <c r="H26" s="150">
        <f>L18</f>
        <v>0.25163094128611363</v>
      </c>
      <c r="I26" s="147" t="s">
        <v>180</v>
      </c>
      <c r="J26" s="151">
        <f>(E7/C14)/864</f>
        <v>1.4266098484848485E-4</v>
      </c>
      <c r="K26" s="443" t="s">
        <v>613</v>
      </c>
    </row>
    <row r="27" spans="2:12" ht="25.5" customHeight="1">
      <c r="B27" s="712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3" t="s">
        <v>682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713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13" workbookViewId="0">
      <selection activeCell="M11" sqref="M11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329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6" t="s">
        <v>84</v>
      </c>
      <c r="C12" s="717"/>
      <c r="D12" s="717" t="s">
        <v>85</v>
      </c>
      <c r="E12" s="717"/>
      <c r="F12" s="718"/>
      <c r="H12" s="716" t="s">
        <v>85</v>
      </c>
      <c r="I12" s="717"/>
      <c r="J12" s="718"/>
      <c r="L12"/>
      <c r="M12"/>
      <c r="N12"/>
    </row>
    <row r="13" spans="2:14" s="22" customFormat="1" ht="26.1" customHeight="1" thickBot="1">
      <c r="B13" s="452" t="s">
        <v>80</v>
      </c>
      <c r="C13" s="444" t="s">
        <v>86</v>
      </c>
      <c r="D13" s="444" t="s">
        <v>87</v>
      </c>
      <c r="E13" s="444" t="s">
        <v>88</v>
      </c>
      <c r="F13" s="453" t="s">
        <v>89</v>
      </c>
      <c r="H13" s="244" t="s">
        <v>87</v>
      </c>
      <c r="I13" s="333" t="s">
        <v>88</v>
      </c>
      <c r="J13" s="462" t="s">
        <v>89</v>
      </c>
      <c r="L13"/>
      <c r="M13"/>
      <c r="N13"/>
    </row>
    <row r="14" spans="2:14" s="22" customFormat="1" ht="26.1" customHeight="1">
      <c r="B14" s="458">
        <f>$C$6+C14/1440</f>
        <v>45187.434027777774</v>
      </c>
      <c r="C14" s="445">
        <v>5</v>
      </c>
      <c r="D14" s="445">
        <f t="shared" ref="D14:D20" si="0">baseTemp+H14</f>
        <v>15.100000000000001</v>
      </c>
      <c r="E14" s="446">
        <f>$C$8+I14</f>
        <v>221</v>
      </c>
      <c r="F14" s="455">
        <f>$C$9+J14</f>
        <v>7.0100000000000007</v>
      </c>
      <c r="H14" s="459">
        <v>0.3</v>
      </c>
      <c r="I14" s="460">
        <v>6</v>
      </c>
      <c r="J14" s="461">
        <v>0.11</v>
      </c>
      <c r="L14"/>
      <c r="M14"/>
      <c r="N14"/>
    </row>
    <row r="15" spans="2:14" s="22" customFormat="1" ht="26.1" customHeight="1">
      <c r="B15" s="458">
        <f t="shared" ref="B15:B23" si="1">$C$6+C15/1440</f>
        <v>45187.451388888891</v>
      </c>
      <c r="C15" s="445">
        <v>30</v>
      </c>
      <c r="D15" s="445">
        <f t="shared" si="0"/>
        <v>14.5</v>
      </c>
      <c r="E15" s="446">
        <f t="shared" ref="E15:E20" si="2">$C$8+I15</f>
        <v>231</v>
      </c>
      <c r="F15" s="45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8">
        <f t="shared" si="1"/>
        <v>45187.472222222219</v>
      </c>
      <c r="C16" s="445">
        <v>60</v>
      </c>
      <c r="D16" s="445">
        <f t="shared" si="0"/>
        <v>14.600000000000001</v>
      </c>
      <c r="E16" s="446">
        <f t="shared" si="2"/>
        <v>217</v>
      </c>
      <c r="F16" s="45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8">
        <f t="shared" si="1"/>
        <v>45187.513888888891</v>
      </c>
      <c r="C17" s="445">
        <v>120</v>
      </c>
      <c r="D17" s="445">
        <f t="shared" si="0"/>
        <v>15</v>
      </c>
      <c r="E17" s="446">
        <f t="shared" si="2"/>
        <v>204</v>
      </c>
      <c r="F17" s="45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8">
        <f t="shared" si="1"/>
        <v>45187.597222222219</v>
      </c>
      <c r="C18" s="445">
        <v>240</v>
      </c>
      <c r="D18" s="445">
        <f t="shared" si="0"/>
        <v>14.9</v>
      </c>
      <c r="E18" s="446">
        <f t="shared" si="2"/>
        <v>208</v>
      </c>
      <c r="F18" s="45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8">
        <f t="shared" si="1"/>
        <v>45187.763888888891</v>
      </c>
      <c r="C19" s="445">
        <v>480</v>
      </c>
      <c r="D19" s="448">
        <f t="shared" si="0"/>
        <v>14.600000000000001</v>
      </c>
      <c r="E19" s="446">
        <f t="shared" si="2"/>
        <v>230</v>
      </c>
      <c r="F19" s="45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8">
        <f t="shared" si="1"/>
        <v>45188.430555555555</v>
      </c>
      <c r="C20" s="445">
        <v>1440</v>
      </c>
      <c r="D20" s="445">
        <f t="shared" si="0"/>
        <v>14.600000000000001</v>
      </c>
      <c r="E20" s="446">
        <f t="shared" si="2"/>
        <v>207</v>
      </c>
      <c r="F20" s="45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8">
        <f t="shared" si="1"/>
        <v>45188.597222222219</v>
      </c>
      <c r="C21" s="445">
        <v>1680</v>
      </c>
      <c r="D21" s="445">
        <f>$D$20</f>
        <v>14.600000000000001</v>
      </c>
      <c r="E21" s="446">
        <f>$E$20</f>
        <v>207</v>
      </c>
      <c r="F21" s="45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8">
        <f t="shared" si="1"/>
        <v>45188.763888888891</v>
      </c>
      <c r="C22" s="445">
        <v>1920</v>
      </c>
      <c r="D22" s="445">
        <f t="shared" ref="D22:D23" si="4">$D$20</f>
        <v>14.600000000000001</v>
      </c>
      <c r="E22" s="446">
        <f t="shared" ref="E22:E23" si="5">$E$20</f>
        <v>207</v>
      </c>
      <c r="F22" s="45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8">
        <f t="shared" si="1"/>
        <v>45189.430555555555</v>
      </c>
      <c r="C23" s="445">
        <v>2880</v>
      </c>
      <c r="D23" s="445">
        <f t="shared" si="4"/>
        <v>14.600000000000001</v>
      </c>
      <c r="E23" s="446">
        <f t="shared" si="5"/>
        <v>207</v>
      </c>
      <c r="F23" s="45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19" t="s">
        <v>36</v>
      </c>
      <c r="C24" s="720"/>
      <c r="D24" s="444">
        <f>MAX(D14:D23)</f>
        <v>15.100000000000001</v>
      </c>
      <c r="E24" s="444">
        <f t="shared" ref="E24:F24" si="7">MAX(E14:E23)</f>
        <v>231</v>
      </c>
      <c r="F24" s="453">
        <f t="shared" si="7"/>
        <v>7.0100000000000007</v>
      </c>
      <c r="H24" s="22"/>
      <c r="I24" s="22"/>
      <c r="J24" s="22"/>
    </row>
    <row r="25" spans="2:14" s="23" customFormat="1" ht="26.1" customHeight="1">
      <c r="B25" s="719" t="s">
        <v>37</v>
      </c>
      <c r="C25" s="720"/>
      <c r="D25" s="444">
        <f>MIN(D14:D23)</f>
        <v>14.5</v>
      </c>
      <c r="E25" s="444">
        <f t="shared" ref="E25:F25" si="8">MIN(E14:E23)</f>
        <v>204</v>
      </c>
      <c r="F25" s="453">
        <f t="shared" si="8"/>
        <v>6.78</v>
      </c>
      <c r="H25" s="22"/>
      <c r="I25" s="22"/>
      <c r="J25" s="22"/>
    </row>
    <row r="26" spans="2:14" s="23" customFormat="1" ht="26.1" customHeight="1" thickBot="1">
      <c r="B26" s="714" t="s">
        <v>90</v>
      </c>
      <c r="C26" s="715"/>
      <c r="D26" s="456">
        <f>D24-D25</f>
        <v>0.60000000000000142</v>
      </c>
      <c r="E26" s="456">
        <f t="shared" ref="E26:F26" si="9">E24-E25</f>
        <v>27</v>
      </c>
      <c r="F26" s="45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9" workbookViewId="0">
      <selection activeCell="F33" sqref="F33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330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8"/>
    </row>
    <row r="13" spans="2:9" s="22" customFormat="1" ht="26.1" customHeight="1">
      <c r="B13" s="452" t="s">
        <v>80</v>
      </c>
      <c r="C13" s="444" t="s">
        <v>86</v>
      </c>
      <c r="D13" s="444" t="s">
        <v>87</v>
      </c>
      <c r="E13" s="444" t="s">
        <v>88</v>
      </c>
      <c r="F13" s="444" t="s">
        <v>89</v>
      </c>
      <c r="G13" s="444" t="s">
        <v>87</v>
      </c>
      <c r="H13" s="444" t="s">
        <v>88</v>
      </c>
      <c r="I13" s="453" t="s">
        <v>89</v>
      </c>
    </row>
    <row r="14" spans="2:9" s="22" customFormat="1" ht="26.1" customHeight="1">
      <c r="B14" s="454">
        <f>$C$6+C14/1440</f>
        <v>44753.864583333328</v>
      </c>
      <c r="C14" s="445">
        <v>5</v>
      </c>
      <c r="D14" s="449">
        <f t="shared" ref="D14:D23" si="0">baseTemp+D31</f>
        <v>14</v>
      </c>
      <c r="E14" s="450">
        <f t="shared" ref="E14:E20" si="1">$C$8+E31</f>
        <v>223</v>
      </c>
      <c r="F14" s="447">
        <f t="shared" ref="F14:F20" si="2">$C$9+F31</f>
        <v>7.83</v>
      </c>
      <c r="G14" s="449">
        <f t="shared" ref="G14:G23" si="3">baseTemp2+H31</f>
        <v>14</v>
      </c>
      <c r="H14" s="450">
        <f>$D$8+I31</f>
        <v>232</v>
      </c>
      <c r="I14" s="455">
        <f>$D$9+J31</f>
        <v>7.89</v>
      </c>
    </row>
    <row r="15" spans="2:9" s="22" customFormat="1" ht="26.1" customHeight="1">
      <c r="B15" s="454">
        <f t="shared" ref="B15:B23" si="4">$C$6+C15/1440</f>
        <v>44753.881944444445</v>
      </c>
      <c r="C15" s="445">
        <v>30</v>
      </c>
      <c r="D15" s="449">
        <f t="shared" si="0"/>
        <v>14.1</v>
      </c>
      <c r="E15" s="450">
        <f t="shared" si="1"/>
        <v>224</v>
      </c>
      <c r="F15" s="447">
        <f t="shared" si="2"/>
        <v>7.82</v>
      </c>
      <c r="G15" s="449">
        <f t="shared" si="3"/>
        <v>14</v>
      </c>
      <c r="H15" s="450">
        <f t="shared" ref="H15:H20" si="5">$D$8+I32</f>
        <v>226</v>
      </c>
      <c r="I15" s="455">
        <f t="shared" ref="I15:I20" si="6">$D$9+J32</f>
        <v>7.71</v>
      </c>
    </row>
    <row r="16" spans="2:9" s="22" customFormat="1" ht="26.1" customHeight="1">
      <c r="B16" s="454">
        <f t="shared" si="4"/>
        <v>44753.902777777774</v>
      </c>
      <c r="C16" s="445">
        <v>60</v>
      </c>
      <c r="D16" s="449">
        <f t="shared" si="0"/>
        <v>14</v>
      </c>
      <c r="E16" s="450">
        <f t="shared" si="1"/>
        <v>228</v>
      </c>
      <c r="F16" s="447">
        <f t="shared" si="2"/>
        <v>8.01</v>
      </c>
      <c r="G16" s="449">
        <f t="shared" si="3"/>
        <v>13.9</v>
      </c>
      <c r="H16" s="450">
        <f t="shared" si="5"/>
        <v>232</v>
      </c>
      <c r="I16" s="455">
        <f t="shared" si="6"/>
        <v>7.7</v>
      </c>
    </row>
    <row r="17" spans="2:10" s="22" customFormat="1" ht="26.1" customHeight="1">
      <c r="B17" s="454">
        <f t="shared" si="4"/>
        <v>44753.944444444445</v>
      </c>
      <c r="C17" s="445">
        <v>120</v>
      </c>
      <c r="D17" s="449">
        <f t="shared" si="0"/>
        <v>14</v>
      </c>
      <c r="E17" s="450">
        <f t="shared" si="1"/>
        <v>228</v>
      </c>
      <c r="F17" s="447">
        <f t="shared" si="2"/>
        <v>8.01</v>
      </c>
      <c r="G17" s="449">
        <f t="shared" si="3"/>
        <v>13.9</v>
      </c>
      <c r="H17" s="450">
        <f t="shared" si="5"/>
        <v>228</v>
      </c>
      <c r="I17" s="455">
        <f t="shared" si="6"/>
        <v>7.7</v>
      </c>
    </row>
    <row r="18" spans="2:10" s="22" customFormat="1" ht="26.1" customHeight="1">
      <c r="B18" s="454">
        <f t="shared" si="4"/>
        <v>44754.027777777774</v>
      </c>
      <c r="C18" s="445">
        <v>240</v>
      </c>
      <c r="D18" s="449">
        <f t="shared" si="0"/>
        <v>14.1</v>
      </c>
      <c r="E18" s="450">
        <f t="shared" si="1"/>
        <v>227</v>
      </c>
      <c r="F18" s="447">
        <f t="shared" si="2"/>
        <v>8.01</v>
      </c>
      <c r="G18" s="449">
        <f t="shared" si="3"/>
        <v>13.9</v>
      </c>
      <c r="H18" s="450">
        <f t="shared" si="5"/>
        <v>230</v>
      </c>
      <c r="I18" s="455">
        <f t="shared" si="6"/>
        <v>7.7</v>
      </c>
    </row>
    <row r="19" spans="2:10" s="22" customFormat="1" ht="26.1" customHeight="1">
      <c r="B19" s="454">
        <f t="shared" si="4"/>
        <v>44754.194444444445</v>
      </c>
      <c r="C19" s="445">
        <v>480</v>
      </c>
      <c r="D19" s="449">
        <f t="shared" si="0"/>
        <v>14</v>
      </c>
      <c r="E19" s="450">
        <f t="shared" si="1"/>
        <v>225</v>
      </c>
      <c r="F19" s="447">
        <f t="shared" si="2"/>
        <v>7.78</v>
      </c>
      <c r="G19" s="449">
        <f t="shared" si="3"/>
        <v>13.9</v>
      </c>
      <c r="H19" s="450">
        <f t="shared" si="5"/>
        <v>228</v>
      </c>
      <c r="I19" s="455">
        <f t="shared" si="6"/>
        <v>7.92</v>
      </c>
    </row>
    <row r="20" spans="2:10" s="23" customFormat="1" ht="26.1" customHeight="1">
      <c r="B20" s="454">
        <f t="shared" si="4"/>
        <v>44754.861111111109</v>
      </c>
      <c r="C20" s="445">
        <v>1440</v>
      </c>
      <c r="D20" s="449">
        <f t="shared" si="0"/>
        <v>14.1</v>
      </c>
      <c r="E20" s="450">
        <f t="shared" si="1"/>
        <v>227</v>
      </c>
      <c r="F20" s="447">
        <f t="shared" si="2"/>
        <v>7.9700000000000006</v>
      </c>
      <c r="G20" s="449">
        <f t="shared" si="3"/>
        <v>13.9</v>
      </c>
      <c r="H20" s="450">
        <f t="shared" si="5"/>
        <v>227</v>
      </c>
      <c r="I20" s="455">
        <f t="shared" si="6"/>
        <v>7.7299999999999995</v>
      </c>
    </row>
    <row r="21" spans="2:10" s="23" customFormat="1" ht="26.1" customHeight="1">
      <c r="B21" s="454">
        <f t="shared" si="4"/>
        <v>44755.027777777774</v>
      </c>
      <c r="C21" s="445">
        <v>1680</v>
      </c>
      <c r="D21" s="449">
        <f t="shared" si="0"/>
        <v>14</v>
      </c>
      <c r="E21" s="450">
        <f>$E$20</f>
        <v>227</v>
      </c>
      <c r="F21" s="447">
        <f>$F$20</f>
        <v>7.9700000000000006</v>
      </c>
      <c r="G21" s="449">
        <f t="shared" si="3"/>
        <v>14.1</v>
      </c>
      <c r="H21" s="450">
        <f>$H$20</f>
        <v>227</v>
      </c>
      <c r="I21" s="455">
        <f>$I$20</f>
        <v>7.7299999999999995</v>
      </c>
    </row>
    <row r="22" spans="2:10" s="23" customFormat="1" ht="26.1" customHeight="1">
      <c r="B22" s="454">
        <f t="shared" si="4"/>
        <v>44755.194444444445</v>
      </c>
      <c r="C22" s="445">
        <v>1920</v>
      </c>
      <c r="D22" s="449">
        <f t="shared" si="0"/>
        <v>14</v>
      </c>
      <c r="E22" s="450">
        <f t="shared" ref="E22:E23" si="7">$E$20</f>
        <v>227</v>
      </c>
      <c r="F22" s="447">
        <f t="shared" ref="F22:F23" si="8">$F$20</f>
        <v>7.9700000000000006</v>
      </c>
      <c r="G22" s="449">
        <f t="shared" si="3"/>
        <v>13.9</v>
      </c>
      <c r="H22" s="450">
        <f t="shared" ref="H22:H23" si="9">$H$20</f>
        <v>227</v>
      </c>
      <c r="I22" s="455">
        <f t="shared" ref="I22:I23" si="10">$I$20</f>
        <v>7.7299999999999995</v>
      </c>
    </row>
    <row r="23" spans="2:10" s="23" customFormat="1" ht="26.1" customHeight="1">
      <c r="B23" s="454">
        <f t="shared" si="4"/>
        <v>44755.861111111109</v>
      </c>
      <c r="C23" s="445">
        <v>2880</v>
      </c>
      <c r="D23" s="449">
        <f t="shared" si="0"/>
        <v>14</v>
      </c>
      <c r="E23" s="450">
        <f t="shared" si="7"/>
        <v>227</v>
      </c>
      <c r="F23" s="447">
        <f t="shared" si="8"/>
        <v>7.9700000000000006</v>
      </c>
      <c r="G23" s="449">
        <f t="shared" si="3"/>
        <v>13.9</v>
      </c>
      <c r="H23" s="450">
        <f t="shared" si="9"/>
        <v>227</v>
      </c>
      <c r="I23" s="455">
        <f t="shared" si="10"/>
        <v>7.7299999999999995</v>
      </c>
    </row>
    <row r="24" spans="2:10" s="23" customFormat="1" ht="26.1" customHeight="1">
      <c r="B24" s="719" t="s">
        <v>36</v>
      </c>
      <c r="C24" s="720"/>
      <c r="D24" s="444">
        <f>MAX(D14:D23)</f>
        <v>14.1</v>
      </c>
      <c r="E24" s="444">
        <f t="shared" ref="E24:F24" si="11">MAX(E14:E23)</f>
        <v>228</v>
      </c>
      <c r="F24" s="444">
        <f t="shared" si="11"/>
        <v>8.01</v>
      </c>
      <c r="G24" s="444">
        <f>MAX(G14:G23)</f>
        <v>14.1</v>
      </c>
      <c r="H24" s="444">
        <f t="shared" ref="H24:I24" si="12">MAX(H14:H23)</f>
        <v>232</v>
      </c>
      <c r="I24" s="453">
        <f t="shared" si="12"/>
        <v>7.92</v>
      </c>
      <c r="J24" s="22"/>
    </row>
    <row r="25" spans="2:10" s="23" customFormat="1" ht="26.1" customHeight="1">
      <c r="B25" s="719" t="s">
        <v>37</v>
      </c>
      <c r="C25" s="720"/>
      <c r="D25" s="444">
        <f>MIN(D14:D23)</f>
        <v>14</v>
      </c>
      <c r="E25" s="444">
        <f t="shared" ref="E25:F25" si="13">MIN(E14:E23)</f>
        <v>223</v>
      </c>
      <c r="F25" s="451">
        <f t="shared" si="13"/>
        <v>7.78</v>
      </c>
      <c r="G25" s="444">
        <f>MIN(G14:G23)</f>
        <v>13.9</v>
      </c>
      <c r="H25" s="444">
        <f t="shared" ref="H25:I25" si="14">MIN(H14:H23)</f>
        <v>226</v>
      </c>
      <c r="I25" s="453">
        <f t="shared" si="14"/>
        <v>7.7</v>
      </c>
      <c r="J25" s="22"/>
    </row>
    <row r="26" spans="2:10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15">E24-E25</f>
        <v>5</v>
      </c>
      <c r="F26" s="456">
        <f t="shared" si="15"/>
        <v>0.22999999999999954</v>
      </c>
      <c r="G26" s="456">
        <f>G24-G25</f>
        <v>0.19999999999999929</v>
      </c>
      <c r="H26" s="456">
        <f t="shared" ref="H26:I26" si="16">H24-H25</f>
        <v>6</v>
      </c>
      <c r="I26" s="45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1" t="s">
        <v>85</v>
      </c>
      <c r="E29" s="722"/>
      <c r="F29" s="723"/>
      <c r="H29" s="721" t="s">
        <v>154</v>
      </c>
      <c r="I29" s="722"/>
      <c r="J29" s="723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5" workbookViewId="0">
      <selection activeCell="F18" sqref="F18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331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7"/>
      <c r="J12" s="717" t="s">
        <v>155</v>
      </c>
      <c r="K12" s="717"/>
      <c r="L12" s="718"/>
    </row>
    <row r="13" spans="2:12" s="22" customFormat="1" ht="26.1" customHeight="1">
      <c r="B13" s="452" t="s">
        <v>80</v>
      </c>
      <c r="C13" s="444" t="s">
        <v>86</v>
      </c>
      <c r="D13" s="444" t="s">
        <v>158</v>
      </c>
      <c r="E13" s="444" t="s">
        <v>167</v>
      </c>
      <c r="F13" s="444" t="s">
        <v>89</v>
      </c>
      <c r="G13" s="444" t="s">
        <v>158</v>
      </c>
      <c r="H13" s="444" t="s">
        <v>167</v>
      </c>
      <c r="I13" s="444" t="s">
        <v>89</v>
      </c>
      <c r="J13" s="444" t="s">
        <v>158</v>
      </c>
      <c r="K13" s="444" t="s">
        <v>167</v>
      </c>
      <c r="L13" s="453" t="s">
        <v>89</v>
      </c>
    </row>
    <row r="14" spans="2:12" s="22" customFormat="1" ht="26.1" customHeight="1">
      <c r="B14" s="454">
        <f>$C$6+C14/1440</f>
        <v>44717.434027777774</v>
      </c>
      <c r="C14" s="445">
        <v>5</v>
      </c>
      <c r="D14" s="445">
        <f t="shared" ref="D14:D20" si="0">baseTemp+D31</f>
        <v>14.7</v>
      </c>
      <c r="E14" s="450">
        <f t="shared" ref="E14:E20" si="1">$C$8+E31</f>
        <v>194</v>
      </c>
      <c r="F14" s="447">
        <f t="shared" ref="F14:F20" si="2">$C$9+F31</f>
        <v>8.33</v>
      </c>
      <c r="G14" s="449">
        <f t="shared" ref="G14:G20" si="3">bTemp2+H31</f>
        <v>14.8</v>
      </c>
      <c r="H14" s="450">
        <f>$D$8+I31</f>
        <v>200</v>
      </c>
      <c r="I14" s="447">
        <f>$D$9+J31</f>
        <v>8.39</v>
      </c>
      <c r="J14" s="449">
        <f t="shared" ref="J14:J20" si="4">bTemp3+L31</f>
        <v>14.9</v>
      </c>
      <c r="K14" s="450">
        <f>$E$8+M31</f>
        <v>195</v>
      </c>
      <c r="L14" s="455">
        <f>$E$9+N31</f>
        <v>8.2800000000000011</v>
      </c>
    </row>
    <row r="15" spans="2:12" s="22" customFormat="1" ht="26.1" customHeight="1">
      <c r="B15" s="454">
        <f t="shared" ref="B15:B23" si="5">$C$6+C15/1440</f>
        <v>44717.451388888891</v>
      </c>
      <c r="C15" s="445">
        <v>30</v>
      </c>
      <c r="D15" s="445">
        <f t="shared" si="0"/>
        <v>14.799999999999999</v>
      </c>
      <c r="E15" s="450">
        <f t="shared" si="1"/>
        <v>195</v>
      </c>
      <c r="F15" s="447">
        <f t="shared" si="2"/>
        <v>8.32</v>
      </c>
      <c r="G15" s="449">
        <f t="shared" si="3"/>
        <v>14.8</v>
      </c>
      <c r="H15" s="450">
        <f t="shared" ref="H15:H20" si="6">$D$8+I32</f>
        <v>194</v>
      </c>
      <c r="I15" s="447">
        <f t="shared" ref="I15:I20" si="7">$D$9+J32</f>
        <v>8.2100000000000009</v>
      </c>
      <c r="J15" s="449">
        <f t="shared" si="4"/>
        <v>14.9</v>
      </c>
      <c r="K15" s="450">
        <f t="shared" ref="K15:K20" si="8">$E$8+M32</f>
        <v>192</v>
      </c>
      <c r="L15" s="455">
        <f t="shared" ref="L15:L20" si="9">$E$9+N32</f>
        <v>8.49</v>
      </c>
    </row>
    <row r="16" spans="2:12" s="22" customFormat="1" ht="26.1" customHeight="1">
      <c r="B16" s="454">
        <f t="shared" si="5"/>
        <v>44717.472222222219</v>
      </c>
      <c r="C16" s="445">
        <v>60</v>
      </c>
      <c r="D16" s="445">
        <f t="shared" si="0"/>
        <v>14.7</v>
      </c>
      <c r="E16" s="450">
        <f t="shared" si="1"/>
        <v>199</v>
      </c>
      <c r="F16" s="447">
        <f t="shared" si="2"/>
        <v>8.51</v>
      </c>
      <c r="G16" s="449">
        <f t="shared" si="3"/>
        <v>14.700000000000001</v>
      </c>
      <c r="H16" s="450">
        <f t="shared" si="6"/>
        <v>200</v>
      </c>
      <c r="I16" s="447">
        <f t="shared" si="7"/>
        <v>8.2000000000000011</v>
      </c>
      <c r="J16" s="449">
        <f t="shared" si="4"/>
        <v>15</v>
      </c>
      <c r="K16" s="450">
        <f t="shared" si="8"/>
        <v>193</v>
      </c>
      <c r="L16" s="455">
        <f t="shared" si="9"/>
        <v>8.51</v>
      </c>
    </row>
    <row r="17" spans="2:14" s="22" customFormat="1" ht="26.1" customHeight="1">
      <c r="B17" s="454">
        <f t="shared" si="5"/>
        <v>44717.513888888891</v>
      </c>
      <c r="C17" s="445">
        <v>120</v>
      </c>
      <c r="D17" s="445">
        <f t="shared" si="0"/>
        <v>14.7</v>
      </c>
      <c r="E17" s="450">
        <f t="shared" si="1"/>
        <v>199</v>
      </c>
      <c r="F17" s="447">
        <f t="shared" si="2"/>
        <v>8.51</v>
      </c>
      <c r="G17" s="449">
        <f t="shared" si="3"/>
        <v>14.700000000000001</v>
      </c>
      <c r="H17" s="450">
        <f t="shared" si="6"/>
        <v>196</v>
      </c>
      <c r="I17" s="447">
        <f t="shared" si="7"/>
        <v>8.2000000000000011</v>
      </c>
      <c r="J17" s="449">
        <f t="shared" si="4"/>
        <v>15</v>
      </c>
      <c r="K17" s="450">
        <f t="shared" si="8"/>
        <v>196</v>
      </c>
      <c r="L17" s="455">
        <f t="shared" si="9"/>
        <v>8.3000000000000007</v>
      </c>
    </row>
    <row r="18" spans="2:14" s="22" customFormat="1" ht="26.1" customHeight="1">
      <c r="B18" s="454">
        <f t="shared" si="5"/>
        <v>44717.597222222219</v>
      </c>
      <c r="C18" s="445">
        <v>240</v>
      </c>
      <c r="D18" s="445">
        <f t="shared" si="0"/>
        <v>14.799999999999999</v>
      </c>
      <c r="E18" s="450">
        <f t="shared" si="1"/>
        <v>198</v>
      </c>
      <c r="F18" s="447">
        <f t="shared" si="2"/>
        <v>8.51</v>
      </c>
      <c r="G18" s="449">
        <f t="shared" si="3"/>
        <v>14.700000000000001</v>
      </c>
      <c r="H18" s="450">
        <f t="shared" si="6"/>
        <v>198</v>
      </c>
      <c r="I18" s="447">
        <f t="shared" si="7"/>
        <v>8.2000000000000011</v>
      </c>
      <c r="J18" s="449">
        <f t="shared" si="4"/>
        <v>14.8</v>
      </c>
      <c r="K18" s="450">
        <f t="shared" si="8"/>
        <v>196</v>
      </c>
      <c r="L18" s="455">
        <f t="shared" si="9"/>
        <v>8.52</v>
      </c>
    </row>
    <row r="19" spans="2:14" s="22" customFormat="1" ht="26.1" customHeight="1">
      <c r="B19" s="454">
        <f t="shared" si="5"/>
        <v>44717.763888888891</v>
      </c>
      <c r="C19" s="445">
        <v>480</v>
      </c>
      <c r="D19" s="445">
        <f t="shared" si="0"/>
        <v>14.7</v>
      </c>
      <c r="E19" s="450">
        <f t="shared" si="1"/>
        <v>196</v>
      </c>
      <c r="F19" s="447">
        <f t="shared" si="2"/>
        <v>8.2800000000000011</v>
      </c>
      <c r="G19" s="449">
        <f t="shared" si="3"/>
        <v>14.700000000000001</v>
      </c>
      <c r="H19" s="450">
        <f t="shared" si="6"/>
        <v>196</v>
      </c>
      <c r="I19" s="447">
        <f t="shared" si="7"/>
        <v>8.42</v>
      </c>
      <c r="J19" s="449">
        <f t="shared" si="4"/>
        <v>15</v>
      </c>
      <c r="K19" s="450">
        <f t="shared" si="8"/>
        <v>191</v>
      </c>
      <c r="L19" s="455">
        <f t="shared" si="9"/>
        <v>8.2800000000000011</v>
      </c>
    </row>
    <row r="20" spans="2:14" s="23" customFormat="1" ht="26.1" customHeight="1">
      <c r="B20" s="454">
        <f t="shared" si="5"/>
        <v>44718.430555555555</v>
      </c>
      <c r="C20" s="445">
        <v>1440</v>
      </c>
      <c r="D20" s="445">
        <f t="shared" si="0"/>
        <v>14.799999999999999</v>
      </c>
      <c r="E20" s="450">
        <f t="shared" si="1"/>
        <v>198</v>
      </c>
      <c r="F20" s="447">
        <f t="shared" si="2"/>
        <v>8.4700000000000006</v>
      </c>
      <c r="G20" s="449">
        <f t="shared" si="3"/>
        <v>14.700000000000001</v>
      </c>
      <c r="H20" s="450">
        <f t="shared" si="6"/>
        <v>195</v>
      </c>
      <c r="I20" s="447">
        <f t="shared" si="7"/>
        <v>8.23</v>
      </c>
      <c r="J20" s="449">
        <f t="shared" si="4"/>
        <v>14.8</v>
      </c>
      <c r="K20" s="450">
        <f t="shared" si="8"/>
        <v>191</v>
      </c>
      <c r="L20" s="455">
        <f t="shared" si="9"/>
        <v>8.33</v>
      </c>
    </row>
    <row r="21" spans="2:14" s="23" customFormat="1" ht="26.1" customHeight="1">
      <c r="B21" s="454">
        <f t="shared" si="5"/>
        <v>44718.597222222219</v>
      </c>
      <c r="C21" s="445">
        <v>1680</v>
      </c>
      <c r="D21" s="445">
        <f>$D$20</f>
        <v>14.799999999999999</v>
      </c>
      <c r="E21" s="450">
        <f>$E$20</f>
        <v>198</v>
      </c>
      <c r="F21" s="447">
        <f>$F$20</f>
        <v>8.4700000000000006</v>
      </c>
      <c r="G21" s="449">
        <f>$G$20</f>
        <v>14.700000000000001</v>
      </c>
      <c r="H21" s="450">
        <f>$H$20</f>
        <v>195</v>
      </c>
      <c r="I21" s="447">
        <f>$I$20</f>
        <v>8.23</v>
      </c>
      <c r="J21" s="449">
        <f>$J$20</f>
        <v>14.8</v>
      </c>
      <c r="K21" s="450">
        <f>$K$20</f>
        <v>191</v>
      </c>
      <c r="L21" s="455">
        <f>$L$20</f>
        <v>8.33</v>
      </c>
    </row>
    <row r="22" spans="2:14" s="23" customFormat="1" ht="26.1" customHeight="1">
      <c r="B22" s="454">
        <f t="shared" si="5"/>
        <v>44718.763888888891</v>
      </c>
      <c r="C22" s="445">
        <v>1920</v>
      </c>
      <c r="D22" s="445">
        <f t="shared" ref="D22:D23" si="10">$D$20</f>
        <v>14.799999999999999</v>
      </c>
      <c r="E22" s="450">
        <f t="shared" ref="E22:E23" si="11">$E$20</f>
        <v>198</v>
      </c>
      <c r="F22" s="447">
        <f t="shared" ref="F22:F23" si="12">$F$20</f>
        <v>8.4700000000000006</v>
      </c>
      <c r="G22" s="449">
        <f t="shared" ref="G22:G23" si="13">$G$20</f>
        <v>14.700000000000001</v>
      </c>
      <c r="H22" s="450">
        <f t="shared" ref="H22:H23" si="14">$H$20</f>
        <v>195</v>
      </c>
      <c r="I22" s="447">
        <f t="shared" ref="I22:I23" si="15">$I$20</f>
        <v>8.23</v>
      </c>
      <c r="J22" s="449">
        <f t="shared" ref="J22:J23" si="16">$J$20</f>
        <v>14.8</v>
      </c>
      <c r="K22" s="450">
        <f t="shared" ref="K22:K23" si="17">$K$20</f>
        <v>191</v>
      </c>
      <c r="L22" s="455">
        <f t="shared" ref="L22:L23" si="18">$L$20</f>
        <v>8.33</v>
      </c>
    </row>
    <row r="23" spans="2:14" s="23" customFormat="1" ht="26.1" customHeight="1">
      <c r="B23" s="454">
        <f t="shared" si="5"/>
        <v>44719.430555555555</v>
      </c>
      <c r="C23" s="445">
        <v>2880</v>
      </c>
      <c r="D23" s="445">
        <f t="shared" si="10"/>
        <v>14.799999999999999</v>
      </c>
      <c r="E23" s="450">
        <f t="shared" si="11"/>
        <v>198</v>
      </c>
      <c r="F23" s="447">
        <f t="shared" si="12"/>
        <v>8.4700000000000006</v>
      </c>
      <c r="G23" s="449">
        <f t="shared" si="13"/>
        <v>14.700000000000001</v>
      </c>
      <c r="H23" s="450">
        <f t="shared" si="14"/>
        <v>195</v>
      </c>
      <c r="I23" s="447">
        <f t="shared" si="15"/>
        <v>8.23</v>
      </c>
      <c r="J23" s="449">
        <f t="shared" si="16"/>
        <v>14.8</v>
      </c>
      <c r="K23" s="450">
        <f t="shared" si="17"/>
        <v>191</v>
      </c>
      <c r="L23" s="455">
        <f t="shared" si="18"/>
        <v>8.33</v>
      </c>
    </row>
    <row r="24" spans="2:14" s="23" customFormat="1" ht="26.1" customHeight="1">
      <c r="B24" s="719" t="s">
        <v>36</v>
      </c>
      <c r="C24" s="720"/>
      <c r="D24" s="444">
        <f>MAX(D14:D23)</f>
        <v>14.799999999999999</v>
      </c>
      <c r="E24" s="444">
        <f t="shared" ref="E24:F24" si="19">MAX(E14:E23)</f>
        <v>199</v>
      </c>
      <c r="F24" s="444">
        <f t="shared" si="19"/>
        <v>8.51</v>
      </c>
      <c r="G24" s="444">
        <f>MAX(G14:G23)</f>
        <v>14.8</v>
      </c>
      <c r="H24" s="444">
        <f t="shared" ref="H24:I24" si="20">MAX(H14:H23)</f>
        <v>200</v>
      </c>
      <c r="I24" s="444">
        <f t="shared" si="20"/>
        <v>8.42</v>
      </c>
      <c r="J24" s="444">
        <f>MAX(J14:J23)</f>
        <v>15</v>
      </c>
      <c r="K24" s="444">
        <f t="shared" ref="K24:L24" si="21">MAX(K14:K23)</f>
        <v>196</v>
      </c>
      <c r="L24" s="453">
        <f t="shared" si="21"/>
        <v>8.52</v>
      </c>
    </row>
    <row r="25" spans="2:14" s="23" customFormat="1" ht="26.1" customHeight="1">
      <c r="B25" s="719" t="s">
        <v>37</v>
      </c>
      <c r="C25" s="720"/>
      <c r="D25" s="444">
        <f>MIN(D14:D23)</f>
        <v>14.7</v>
      </c>
      <c r="E25" s="444">
        <f t="shared" ref="E25:F25" si="22">MIN(E14:E23)</f>
        <v>194</v>
      </c>
      <c r="F25" s="444">
        <f t="shared" si="22"/>
        <v>8.2800000000000011</v>
      </c>
      <c r="G25" s="444">
        <f>MIN(G14:G23)</f>
        <v>14.700000000000001</v>
      </c>
      <c r="H25" s="444">
        <f t="shared" ref="H25:I25" si="23">MIN(H14:H23)</f>
        <v>194</v>
      </c>
      <c r="I25" s="444">
        <f t="shared" si="23"/>
        <v>8.2000000000000011</v>
      </c>
      <c r="J25" s="444">
        <f>MIN(J14:J23)</f>
        <v>14.8</v>
      </c>
      <c r="K25" s="444">
        <f t="shared" ref="K25:L25" si="24">MIN(K14:K23)</f>
        <v>191</v>
      </c>
      <c r="L25" s="453">
        <f t="shared" si="24"/>
        <v>8.2800000000000011</v>
      </c>
    </row>
    <row r="26" spans="2:14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25">E24-E25</f>
        <v>5</v>
      </c>
      <c r="F26" s="456">
        <f t="shared" si="25"/>
        <v>0.22999999999999865</v>
      </c>
      <c r="G26" s="456">
        <f>G24-G25</f>
        <v>9.9999999999999645E-2</v>
      </c>
      <c r="H26" s="456">
        <f t="shared" ref="H26:I26" si="26">H24-H25</f>
        <v>6</v>
      </c>
      <c r="I26" s="456">
        <f t="shared" si="26"/>
        <v>0.21999999999999886</v>
      </c>
      <c r="J26" s="456">
        <f>J24-J25</f>
        <v>0.19999999999999929</v>
      </c>
      <c r="K26" s="456">
        <f t="shared" ref="K26:L26" si="27">K24-K25</f>
        <v>5</v>
      </c>
      <c r="L26" s="45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1" t="s">
        <v>85</v>
      </c>
      <c r="E29" s="722"/>
      <c r="F29" s="723"/>
      <c r="H29" s="721" t="s">
        <v>154</v>
      </c>
      <c r="I29" s="722"/>
      <c r="J29" s="723"/>
      <c r="L29" s="721" t="s">
        <v>155</v>
      </c>
      <c r="M29" s="722"/>
      <c r="N29" s="723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2024-06-24T03:52:25Z</dcterms:modified>
</cp:coreProperties>
</file>