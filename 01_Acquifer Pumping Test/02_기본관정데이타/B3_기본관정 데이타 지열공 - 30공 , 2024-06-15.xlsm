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35E1821-3029-4F79-B9E6-85E06690ADFA}" xr6:coauthVersionLast="47" xr6:coauthVersionMax="47" xr10:uidLastSave="{00000000-0000-0000-0000-000000000000}"/>
  <bookViews>
    <workbookView xWindow="41145" yWindow="645" windowWidth="31185" windowHeight="2017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G13" i="55"/>
  <c r="F13" i="55"/>
  <c r="E13" i="55"/>
  <c r="G19" i="55"/>
  <c r="G17" i="55"/>
  <c r="F19" i="55"/>
  <c r="F17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Q46" i="175"/>
  <c r="Q45" i="175"/>
  <c r="O4" i="52" l="1"/>
  <c r="F21" i="55" s="1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E30" i="23" l="1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<sst xmlns="http://schemas.openxmlformats.org/spreadsheetml/2006/main" count="1181" uniqueCount="736">
  <si>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</si>
  <si>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</si>
  <si>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</si>
  <si>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</si>
  <si>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</si>
  <si>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</si>
  <si>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</si>
  <si>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</si>
  <si>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</si>
  <si>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</si>
  <si>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</si>
  <si>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</si>
  <si>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</si>
  <si>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</si>
  <si>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</si>
  <si>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</si>
  <si>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</si>
  <si>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</si>
  <si>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</si>
  <si>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</si>
  <si>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</si>
  <si>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</si>
  <si>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</si>
  <si>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</si>
  <si>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</si>
  <si>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</si>
  <si>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</si>
  <si>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</si>
  <si>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</si>
  <si>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</si>
  <si>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</si>
  <si>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</si>
  <si>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</si>
  <si>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</si>
  <si>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</si>
  <si>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</si>
  <si>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</si>
  <si>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</si>
  <si>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</si>
  <si>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</si>
  <si>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</si>
  <si>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</si>
  <si>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</si>
  <si>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</si>
  <si>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</si>
  <si>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</si>
  <si>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</si>
  <si>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</si>
  <si>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</si>
  <si>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</si>
  <si>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</si>
  <si>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</si>
  <si>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</si>
  <si>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</si>
  <si>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</si>
  <si>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</si>
  <si>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</si>
  <si>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</si>
  <si>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</si>
  <si>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</si>
  <si>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</si>
  <si>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</si>
  <si>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</si>
  <si>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</si>
  <si>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</si>
  <si>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</si>
  <si>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</si>
  <si>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</si>
  <si>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</si>
  <si>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</si>
  <si>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</si>
  <si>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</si>
  <si>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</si>
  <si>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</si>
  <si>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</si>
  <si>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</si>
  <si>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</si>
  <si>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</si>
  <si>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</si>
  <si>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</si>
  <si>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</si>
  <si>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</si>
  <si>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</si>
  <si>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</si>
  <si>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</si>
  <si>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</si>
  <si>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</si>
  <si>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</si>
  <si>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</si>
  <si>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</si>
  <si>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</si>
  <si>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</si>
  <si>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</si>
  <si>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</si>
  <si>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</si>
  <si>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</si>
  <si>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</si>
  <si>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</si>
  <si>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</si>
  <si>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</si>
  <si>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</si>
  <si>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</si>
  <si>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</si>
  <si>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</si>
  <si>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</si>
  <si>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</si>
  <si>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</si>
  <si>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</si>
  <si>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</si>
  <si>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</si>
  <si>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</si>
  <si>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</si>
  <si>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</si>
  <si>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</si>
  <si>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</si>
  <si>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</si>
  <si>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</si>
  <si>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</si>
  <si>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</si>
  <si>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</si>
  <si>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</si>
  <si>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</si>
  <si>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</si>
  <si>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</si>
  <si>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</si>
  <si>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</si>
  <si>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</si>
  <si>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</si>
  <si>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</si>
  <si>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</si>
  <si>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</si>
  <si>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</si>
  <si>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</si>
  <si>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</si>
  <si>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</si>
  <si>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</si>
  <si>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</si>
  <si>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</si>
  <si>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</si>
  <si>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</si>
  <si>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</si>
  <si>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</si>
  <si>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</si>
  <si>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</si>
  <si>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</si>
  <si>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</si>
  <si>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</si>
  <si>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</si>
  <si>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</si>
  <si>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</si>
  <si>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</si>
  <si>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</si>
  <si>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</si>
  <si>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</si>
  <si>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</si>
  <si>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</si>
  <si>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</si>
  <si>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</si>
  <si>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</si>
  <si>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</si>
  <si>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</si>
  <si>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</si>
  <si>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</si>
  <si>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</si>
  <si>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</si>
  <si>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</si>
  <si>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</si>
  <si>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</si>
  <si>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</si>
  <si>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</si>
  <si>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</si>
  <si>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</si>
  <si>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</si>
  <si>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</si>
  <si>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</si>
  <si>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</si>
  <si>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</si>
  <si>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</si>
  <si>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</si>
  <si>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</si>
  <si>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</si>
  <si>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</si>
  <si>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</si>
  <si>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</si>
  <si>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</si>
  <si>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</si>
  <si>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</si>
  <si>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</si>
  <si>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</si>
  <si>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</si>
  <si>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</si>
  <si>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</si>
  <si>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</si>
  <si>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</si>
  <si>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</si>
  <si>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</si>
  <si>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</si>
  <si>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</si>
  <si>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</si>
  <si>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</si>
  <si>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</si>
  <si>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</si>
  <si>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</si>
  <si>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</si>
  <si>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</si>
  <si>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</si>
  <si>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</si>
  <si>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</si>
  <si>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</si>
  <si>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</si>
  <si>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</si>
  <si>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</si>
  <si>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</si>
  <si>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</si>
  <si>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</si>
  <si>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</si>
  <si>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</si>
  <si>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</si>
  <si>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</si>
  <si>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</si>
  <si>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</si>
  <si>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</si>
  <si>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</si>
  <si>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</si>
  <si>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</si>
  <si>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</si>
  <si>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</si>
  <si>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</si>
  <si>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</si>
  <si>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</si>
  <si>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</si>
  <si>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</si>
  <si>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</si>
  <si>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</si>
  <si>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</si>
  <si>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</si>
  <si>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</si>
  <si>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</si>
  <si>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</si>
  <si>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</si>
  <si>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</si>
  <si>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</si>
  <si>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</si>
  <si>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</si>
  <si>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</si>
  <si>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</si>
  <si>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</si>
  <si>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</si>
  <si>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</si>
  <si>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</si>
  <si>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</si>
  <si>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</si>
  <si>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</si>
  <si>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</si>
  <si>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</si>
  <si>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</si>
  <si>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</si>
  <si>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</si>
  <si>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</si>
  <si>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</si>
  <si>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</si>
  <si>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</si>
  <si>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</si>
  <si>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</si>
  <si>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</si>
  <si>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</si>
  <si>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</si>
  <si>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</si>
  <si>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</si>
  <si>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</si>
  <si>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</si>
  <si>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</si>
  <si>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</si>
  <si>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</si>
  <si>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</si>
  <si>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</si>
  <si>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</si>
  <si>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</si>
  <si>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</si>
  <si>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</si>
  <si>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</si>
  <si>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</si>
  <si>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</si>
  <si>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</si>
  <si>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</si>
  <si>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</si>
  <si>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</si>
  <si>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</si>
  <si>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</si>
  <si>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</si>
  <si>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</si>
  <si>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</si>
  <si>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</si>
  <si>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</si>
  <si>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</si>
  <si>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</si>
  <si>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</si>
  <si>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</si>
  <si>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</si>
  <si>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</si>
  <si>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</si>
  <si>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</si>
  <si>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</si>
  <si>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</si>
  <si>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</si>
  <si>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</si>
  <si>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</si>
  <si>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</si>
  <si>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</si>
  <si>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</si>
  <si>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</si>
  <si>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</si>
  <si>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</si>
  <si>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</si>
  <si>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</si>
  <si>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</si>
  <si>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</si>
  <si>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</si>
  <si>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</si>
  <si>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</si>
  <si>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</si>
  <si>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</si>
  <si>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</si>
  <si>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</si>
  <si>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</si>
  <si>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</si>
  <si>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</si>
  <si>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</si>
  <si>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</si>
  <si>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</si>
  <si>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</si>
  <si>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</si>
  <si>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</si>
  <si>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</si>
  <si>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</si>
  <si>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</si>
  <si>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</si>
  <si>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</si>
  <si>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</si>
  <si>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</si>
  <si>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</si>
  <si>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</si>
  <si>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</si>
  <si>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</si>
  <si>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</si>
  <si>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</si>
  <si>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</si>
  <si>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</si>
  <si>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</si>
  <si>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</si>
  <si>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</si>
  <si>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</si>
  <si>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</si>
  <si>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</si>
  <si>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</si>
  <si>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</si>
  <si>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</si>
  <si>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</si>
  <si>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</si>
  <si>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</si>
  <si>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</si>
  <si>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</si>
  <si>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</si>
  <si>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</si>
  <si>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</si>
  <si>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</si>
  <si>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</si>
  <si>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</si>
  <si>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</si>
  <si>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</si>
  <si>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</si>
  <si>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</si>
  <si>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</si>
  <si>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</si>
  <si>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</si>
  <si>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</si>
  <si>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</si>
  <si>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</si>
  <si>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</si>
  <si>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</si>
  <si>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</si>
  <si>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</si>
  <si>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</si>
  <si>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</si>
  <si>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</si>
  <si>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</si>
  <si>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</si>
  <si>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</si>
  <si>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</si>
  <si>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</si>
  <si>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</si>
  <si>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</si>
  <si>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</si>
  <si>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</si>
  <si>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</si>
  <si>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</si>
  <si>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</si>
  <si>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</si>
  <si>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</si>
  <si>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</si>
  <si>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</si>
  <si>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</si>
  <si>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</si>
  <si>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</si>
  <si>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</si>
  <si>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</si>
  <si>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</si>
  <si>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</si>
  <si>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</si>
  <si>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</si>
  <si>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</si>
  <si>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</si>
  <si>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</si>
  <si>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</si>
  <si>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</si>
  <si>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</si>
  <si>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</si>
  <si>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</si>
  <si>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</si>
  <si>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</si>
  <si>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</si>
  <si>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</si>
  <si>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</si>
  <si>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</si>
  <si>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</si>
  <si>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</si>
  <si>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</si>
  <si>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</si>
  <si>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</si>
  <si>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</si>
  <si>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</si>
  <si>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</si>
  <si>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</si>
  <si>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</si>
  <si>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</si>
  <si>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</si>
  <si>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</si>
  <si>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</si>
  <si>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</si>
  <si>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</si>
  <si>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</si>
  <si>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</si>
  <si>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</si>
  <si>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</si>
  <si>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</si>
  <si>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</si>
  <si>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</si>
  <si>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</si>
  <si>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</si>
  <si>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</si>
  <si>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</si>
  <si>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</si>
  <si>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</si>
  <si>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</si>
  <si>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</si>
  <si>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</si>
  <si>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</si>
  <si>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</si>
  <si>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</si>
  <si>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</si>
  <si>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</si>
  <si>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</si>
  <si>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</si>
  <si>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</si>
  <si>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</si>
  <si>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</si>
  <si>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</si>
  <si>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</si>
  <si>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</si>
  <si>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</si>
  <si>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</si>
  <si>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</si>
  <si>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</si>
  <si>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</si>
  <si>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</si>
  <si>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</si>
  <si>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</si>
  <si>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</si>
  <si>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</si>
  <si>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</si>
  <si>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</si>
  <si>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</si>
  <si>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</si>
  <si>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</si>
  <si>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</si>
  <si>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</si>
  <si>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</si>
  <si>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</si>
  <si>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</si>
  <si>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</si>
  <si>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</si>
  <si>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</si>
  <si>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</si>
  <si>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</si>
  <si>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</si>
  <si>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</si>
  <si>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</si>
  <si>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</si>
  <si>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</si>
  <si>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</si>
  <si>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</si>
  <si>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</si>
  <si>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</si>
  <si>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</si>
  <si>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</si>
  <si>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</si>
  <si>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</si>
  <si>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</si>
  <si>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</si>
  <si>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</si>
  <si>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</si>
  <si>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</si>
  <si>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</si>
  <si>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</si>
  <si>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</si>
  <si>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</si>
  <si>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</si>
  <si>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</si>
  <si>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</si>
  <si>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</si>
  <si>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</si>
  <si>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</si>
  <si>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</si>
  <si>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</si>
  <si>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</si>
  <si>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</si>
  <si>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</si>
  <si>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</si>
  <si>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</si>
  <si>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</si>
  <si>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</si>
  <si>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</si>
  <si>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</si>
  <si>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</si>
  <si>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</si>
  <si>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</si>
  <si>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</si>
  <si>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</si>
  <si>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</si>
  <si>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</si>
  <si>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</si>
  <si>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</si>
  <si>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</si>
  <si>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</si>
  <si>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</si>
  <si>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</si>
  <si>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</si>
  <si>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</si>
  <si>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</si>
  <si>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</si>
  <si>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</si>
  <si>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</si>
  <si>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</si>
  <si>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</si>
  <si>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</si>
  <si>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</si>
  <si>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</si>
  <si>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</si>
  <si>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</si>
  <si>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</si>
  <si>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</si>
  <si>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</si>
  <si>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</si>
  <si>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</si>
  <si>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</si>
  <si>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</si>
  <si>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</si>
  <si>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</si>
  <si>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</si>
  <si>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</si>
  <si>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</si>
  <si>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</si>
  <si>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</si>
  <si>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</si>
  <si>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</si>
  <si>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</si>
  <si>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</si>
  <si>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</si>
  <si>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</si>
  <si>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</si>
  <si>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</si>
  <si>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</si>
  <si>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</si>
  <si>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</si>
  <si>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</si>
  <si>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</si>
  <si>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</si>
  <si>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</si>
  <si>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</si>
  <si>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</si>
  <si>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</si>
  <si>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</si>
  <si>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</si>
  <si>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</si>
  <si>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</si>
  <si>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</si>
  <si>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</si>
  <si>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</si>
  <si>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</si>
  <si>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</si>
  <si>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</si>
  <si>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</si>
  <si>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</si>
  <si>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</si>
  <si>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</si>
  <si>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</si>
  <si>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</si>
  <si>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</si>
  <si>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</si>
  <si>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</si>
  <si>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</si>
  <si>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</si>
  <si>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</si>
  <si>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</si>
  <si>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</si>
  <si>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</si>
  <si>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</si>
  <si>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</si>
  <si>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</si>
  <si>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</si>
  <si>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</si>
  <si>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</si>
  <si>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</si>
  <si>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</si>
  <si>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</si>
  <si>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</si>
  <si>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</si>
  <si>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</si>
  <si>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</si>
  <si>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</si>
  <si>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</si>
  <si>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</si>
  <si>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</si>
  <si>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</si>
  <si>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</si>
  <si>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</si>
  <si>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</si>
  <si>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</si>
  <si>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</si>
  <si>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</si>
  <si>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</si>
  <si>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</si>
  <si>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</si>
  <si>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</si>
  <si>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</si>
  <si>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</si>
  <si>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</si>
  <si>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</si>
  <si>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</si>
  <si>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</si>
  <si>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</si>
  <si>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</si>
  <si>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</si>
  <si>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</si>
  <si>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</si>
  <si>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</si>
  <si>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</si>
  <si>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</si>
  <si>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</si>
  <si>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</si>
  <si>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</si>
  <si>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</si>
  <si>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</si>
  <si>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</si>
  <si>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</si>
  <si>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</si>
  <si>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</si>
  <si>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</si>
  <si>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</si>
  <si>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</si>
  <si>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</si>
  <si>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</si>
  <si>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</si>
  <si>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</si>
  <si>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</si>
  <si>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</si>
  <si>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</si>
  <si>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</si>
  <si>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</si>
  <si>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</si>
  <si>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</si>
  <si>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</si>
  <si>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</si>
  <si>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</si>
  <si>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</si>
  <si>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</si>
  <si>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</si>
  <si>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</si>
  <si>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</si>
  <si>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</si>
  <si>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</si>
  <si>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</si>
  <si>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</si>
  <si>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</si>
  <si>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</si>
  <si>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</si>
  <si>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</si>
  <si>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</si>
  <si>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</si>
  <si>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</si>
  <si>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</si>
  <si>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</si>
  <si>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</si>
  <si>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</si>
  <si>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</si>
  <si>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</si>
  <si>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</si>
  <si>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</si>
  <si>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</si>
  <si>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</si>
  <si>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</si>
  <si>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</si>
  <si>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</si>
  <si>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</si>
  <si>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</si>
  <si>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</si>
  <si>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</si>
  <si>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</si>
  <si>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</si>
  <si>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</si>
  <si>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</si>
  <si>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</si>
  <si>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</si>
  <si>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</si>
  <si>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</si>
  <si>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</si>
  <si>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</si>
  <si>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</si>
  <si>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</si>
  <si>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</si>
  <si>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</si>
  <si>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</si>
  <si>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</si>
  <si>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</si>
  <si>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2024/06/09일</t>
    <phoneticPr fontId="7" type="noConversion"/>
  </si>
  <si>
    <t>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</si>
</sst>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1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2" fontId="41" fillId="25" borderId="32" xfId="18" applyNumberFormat="1" applyFont="1" applyFill="1" applyBorder="1" applyAlignment="1">
      <alignment horizontal="center" vertical="center" wrapText="1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41" fillId="22" borderId="28" xfId="18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2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2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9.emf"/><Relationship Id="rId3" Type="http://schemas.openxmlformats.org/officeDocument/2006/relationships/image" Target="../media/image41.emf"/><Relationship Id="rId7" Type="http://schemas.openxmlformats.org/officeDocument/2006/relationships/image" Target="../media/image38.emf"/><Relationship Id="rId12" Type="http://schemas.openxmlformats.org/officeDocument/2006/relationships/image" Target="../media/image37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4.emf"/><Relationship Id="rId11" Type="http://schemas.openxmlformats.org/officeDocument/2006/relationships/image" Target="../media/image48.emf"/><Relationship Id="rId5" Type="http://schemas.openxmlformats.org/officeDocument/2006/relationships/image" Target="../media/image39.emf"/><Relationship Id="rId15" Type="http://schemas.openxmlformats.org/officeDocument/2006/relationships/image" Target="../media/image50.emf"/><Relationship Id="rId10" Type="http://schemas.openxmlformats.org/officeDocument/2006/relationships/image" Target="../media/image47.emf"/><Relationship Id="rId4" Type="http://schemas.openxmlformats.org/officeDocument/2006/relationships/image" Target="../media/image40.emf"/><Relationship Id="rId9" Type="http://schemas.openxmlformats.org/officeDocument/2006/relationships/image" Target="../media/image46.emf"/><Relationship Id="rId14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331257</xdr:colOff>
          <xdr:row>0</xdr:row>
          <xdr:rowOff>1023937</xdr:rowOff>
        </xdr:from>
        <xdr:to>
          <xdr:col>15</xdr:col>
          <xdr:colOff>826557</xdr:colOff>
          <xdr:row>0</xdr:row>
          <xdr:rowOff>1311937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536574</xdr:colOff>
          <xdr:row>0</xdr:row>
          <xdr:rowOff>1023937</xdr:rowOff>
        </xdr:from>
        <xdr:to>
          <xdr:col>15</xdr:col>
          <xdr:colOff>298449</xdr:colOff>
          <xdr:row>0</xdr:row>
          <xdr:rowOff>1311937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1023937</xdr:rowOff>
        </xdr:from>
        <xdr:to>
          <xdr:col>17</xdr:col>
          <xdr:colOff>1200150</xdr:colOff>
          <xdr:row>0</xdr:row>
          <xdr:rowOff>1311937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1023937</xdr:rowOff>
        </xdr:from>
        <xdr:to>
          <xdr:col>12</xdr:col>
          <xdr:colOff>200025</xdr:colOff>
          <xdr:row>0</xdr:row>
          <xdr:rowOff>1311937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434973</xdr:colOff>
          <xdr:row>0</xdr:row>
          <xdr:rowOff>1023937</xdr:rowOff>
        </xdr:from>
        <xdr:to>
          <xdr:col>16</xdr:col>
          <xdr:colOff>920748</xdr:colOff>
          <xdr:row>0</xdr:row>
          <xdr:rowOff>1311937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953556</xdr:colOff>
          <xdr:row>0</xdr:row>
          <xdr:rowOff>1023937</xdr:rowOff>
        </xdr:from>
        <xdr:to>
          <xdr:col>17</xdr:col>
          <xdr:colOff>96306</xdr:colOff>
          <xdr:row>0</xdr:row>
          <xdr:rowOff>1311937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232833</xdr:colOff>
          <xdr:row>0</xdr:row>
          <xdr:rowOff>1023937</xdr:rowOff>
        </xdr:from>
        <xdr:to>
          <xdr:col>13</xdr:col>
          <xdr:colOff>175683</xdr:colOff>
          <xdr:row>0</xdr:row>
          <xdr:rowOff>1311937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859365</xdr:colOff>
          <xdr:row>0</xdr:row>
          <xdr:rowOff>1023937</xdr:rowOff>
        </xdr:from>
        <xdr:to>
          <xdr:col>16</xdr:col>
          <xdr:colOff>402165</xdr:colOff>
          <xdr:row>0</xdr:row>
          <xdr:rowOff>1311937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208491</xdr:colOff>
          <xdr:row>0</xdr:row>
          <xdr:rowOff>1023937</xdr:rowOff>
        </xdr:from>
        <xdr:to>
          <xdr:col>14</xdr:col>
          <xdr:colOff>503766</xdr:colOff>
          <xdr:row>0</xdr:row>
          <xdr:rowOff>1311937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129114</xdr:colOff>
          <xdr:row>0</xdr:row>
          <xdr:rowOff>1023937</xdr:rowOff>
        </xdr:from>
        <xdr:to>
          <xdr:col>17</xdr:col>
          <xdr:colOff>672039</xdr:colOff>
          <xdr:row>0</xdr:row>
          <xdr:rowOff>1311937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2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2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1.emf"/><Relationship Id="rId5" Type="http://schemas.openxmlformats.org/officeDocument/2006/relationships/control" Target="../activeX/activeX31.xml"/><Relationship Id="rId4" Type="http://schemas.openxmlformats.org/officeDocument/2006/relationships/image" Target="../media/image30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4.emf"/><Relationship Id="rId34" Type="http://schemas.openxmlformats.org/officeDocument/2006/relationships/comments" Target="../comments5.xml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3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587</v>
      </c>
      <c r="B2" s="189" t="s">
        <v>586</v>
      </c>
      <c r="C2" s="189">
        <v>116</v>
      </c>
      <c r="D2" s="189">
        <v>14</v>
      </c>
      <c r="F2" s="189" t="s">
        <v>585</v>
      </c>
      <c r="G2" s="189" t="s">
        <v>584</v>
      </c>
      <c r="H2" s="189">
        <v>105</v>
      </c>
      <c r="I2" s="189">
        <v>38</v>
      </c>
      <c r="K2" s="189" t="s">
        <v>583</v>
      </c>
      <c r="L2" s="189" t="s">
        <v>582</v>
      </c>
      <c r="M2" s="189">
        <v>226</v>
      </c>
      <c r="N2" s="189">
        <v>54</v>
      </c>
      <c r="P2" s="189" t="s">
        <v>581</v>
      </c>
      <c r="Q2" s="189" t="s">
        <v>580</v>
      </c>
    </row>
    <row r="3" spans="1:17">
      <c r="A3" s="189" t="s">
        <v>579</v>
      </c>
      <c r="B3" s="189" t="s">
        <v>578</v>
      </c>
      <c r="C3" s="189">
        <v>108</v>
      </c>
      <c r="D3" s="189">
        <v>14</v>
      </c>
      <c r="F3" s="189" t="s">
        <v>577</v>
      </c>
      <c r="G3" s="189" t="s">
        <v>576</v>
      </c>
      <c r="H3" s="189">
        <v>100</v>
      </c>
      <c r="I3" s="189">
        <v>38</v>
      </c>
      <c r="K3" s="189" t="s">
        <v>575</v>
      </c>
      <c r="L3" s="189" t="s">
        <v>574</v>
      </c>
      <c r="M3" s="189">
        <v>221</v>
      </c>
      <c r="N3" s="189">
        <v>54</v>
      </c>
      <c r="P3" s="189" t="s">
        <v>573</v>
      </c>
      <c r="Q3" s="189" t="s">
        <v>572</v>
      </c>
    </row>
    <row r="4" spans="1:17">
      <c r="A4" s="189" t="s">
        <v>571</v>
      </c>
      <c r="B4" s="189" t="s">
        <v>570</v>
      </c>
      <c r="C4" s="189">
        <v>201</v>
      </c>
      <c r="D4" s="189">
        <v>22</v>
      </c>
      <c r="F4" s="189" t="s">
        <v>569</v>
      </c>
      <c r="G4" s="189" t="s">
        <v>568</v>
      </c>
      <c r="H4" s="189">
        <v>106</v>
      </c>
      <c r="I4" s="189">
        <v>38</v>
      </c>
      <c r="K4" s="189" t="s">
        <v>567</v>
      </c>
      <c r="L4" s="189" t="s">
        <v>566</v>
      </c>
      <c r="M4" s="189">
        <v>131</v>
      </c>
      <c r="N4" s="189">
        <v>54</v>
      </c>
      <c r="P4" s="189" t="s">
        <v>565</v>
      </c>
      <c r="Q4" s="189" t="s">
        <v>564</v>
      </c>
    </row>
    <row r="5" spans="1:17">
      <c r="A5" s="189" t="s">
        <v>563</v>
      </c>
      <c r="B5" s="189" t="s">
        <v>562</v>
      </c>
      <c r="C5" s="189">
        <v>102</v>
      </c>
      <c r="D5" s="189">
        <v>22</v>
      </c>
      <c r="F5" s="189" t="s">
        <v>561</v>
      </c>
      <c r="G5" s="189" t="s">
        <v>560</v>
      </c>
      <c r="H5" s="189">
        <v>104</v>
      </c>
      <c r="I5" s="189">
        <v>38</v>
      </c>
      <c r="K5" s="189" t="s">
        <v>559</v>
      </c>
      <c r="L5" s="189" t="s">
        <v>558</v>
      </c>
      <c r="M5" s="189">
        <v>135</v>
      </c>
      <c r="N5" s="189">
        <v>54</v>
      </c>
      <c r="P5" s="189" t="s">
        <v>557</v>
      </c>
      <c r="Q5" s="189" t="s">
        <v>556</v>
      </c>
    </row>
    <row r="6" spans="1:17">
      <c r="A6" s="189" t="s">
        <v>555</v>
      </c>
      <c r="B6" s="189" t="s">
        <v>554</v>
      </c>
      <c r="C6" s="189">
        <v>112</v>
      </c>
      <c r="D6" s="189">
        <v>22</v>
      </c>
      <c r="F6" s="189" t="s">
        <v>553</v>
      </c>
      <c r="G6" s="189" t="s">
        <v>552</v>
      </c>
      <c r="H6" s="189">
        <v>93</v>
      </c>
      <c r="I6" s="189">
        <v>38</v>
      </c>
      <c r="K6" s="189" t="s">
        <v>551</v>
      </c>
      <c r="L6" s="189" t="s">
        <v>550</v>
      </c>
      <c r="M6" s="189">
        <v>127</v>
      </c>
      <c r="N6" s="189">
        <v>54</v>
      </c>
      <c r="P6" s="189" t="s">
        <v>549</v>
      </c>
      <c r="Q6" s="189" t="s">
        <v>548</v>
      </c>
    </row>
    <row r="7" spans="1:17">
      <c r="A7" s="189" t="s">
        <v>547</v>
      </c>
      <c r="B7" s="189" t="s">
        <v>546</v>
      </c>
      <c r="C7" s="189">
        <v>98</v>
      </c>
      <c r="D7" s="189">
        <v>32</v>
      </c>
      <c r="F7" s="189" t="s">
        <v>545</v>
      </c>
      <c r="G7" s="189" t="s">
        <v>544</v>
      </c>
      <c r="H7" s="189">
        <v>214</v>
      </c>
      <c r="I7" s="189">
        <v>38</v>
      </c>
      <c r="K7" s="189" t="s">
        <v>543</v>
      </c>
      <c r="L7" s="189" t="s">
        <v>542</v>
      </c>
      <c r="M7" s="189">
        <v>133</v>
      </c>
      <c r="N7" s="189">
        <v>28</v>
      </c>
      <c r="P7" s="189" t="s">
        <v>541</v>
      </c>
      <c r="Q7" s="189" t="s">
        <v>540</v>
      </c>
    </row>
    <row r="8" spans="1:17">
      <c r="A8" s="189" t="s">
        <v>539</v>
      </c>
      <c r="B8" s="189" t="s">
        <v>538</v>
      </c>
      <c r="C8" s="189">
        <v>119</v>
      </c>
      <c r="D8" s="189">
        <v>32</v>
      </c>
      <c r="F8" s="189" t="s">
        <v>537</v>
      </c>
      <c r="G8" s="189" t="s">
        <v>536</v>
      </c>
      <c r="H8" s="189">
        <v>90</v>
      </c>
      <c r="I8" s="189">
        <v>38</v>
      </c>
      <c r="K8" s="189" t="s">
        <v>535</v>
      </c>
      <c r="L8" s="189" t="s">
        <v>534</v>
      </c>
      <c r="M8" s="189">
        <v>239</v>
      </c>
      <c r="N8" s="189">
        <v>132</v>
      </c>
    </row>
    <row r="9" spans="1:17">
      <c r="A9" s="189" t="s">
        <v>533</v>
      </c>
      <c r="B9" s="189" t="s">
        <v>532</v>
      </c>
      <c r="C9" s="189">
        <v>202</v>
      </c>
      <c r="D9" s="189">
        <v>32</v>
      </c>
      <c r="F9" s="189" t="s">
        <v>531</v>
      </c>
      <c r="G9" s="189" t="s">
        <v>530</v>
      </c>
      <c r="H9" s="189">
        <v>121</v>
      </c>
      <c r="I9" s="189">
        <v>38</v>
      </c>
      <c r="K9" s="189" t="s">
        <v>529</v>
      </c>
      <c r="L9" s="189" t="s">
        <v>528</v>
      </c>
      <c r="M9" s="189">
        <v>238</v>
      </c>
      <c r="N9" s="189">
        <v>60</v>
      </c>
    </row>
    <row r="10" spans="1:17">
      <c r="A10" s="189" t="s">
        <v>527</v>
      </c>
      <c r="B10" s="189" t="s">
        <v>526</v>
      </c>
      <c r="C10" s="189">
        <v>203</v>
      </c>
      <c r="D10" s="189">
        <v>32</v>
      </c>
      <c r="F10" s="189" t="s">
        <v>525</v>
      </c>
      <c r="G10" s="189" t="s">
        <v>524</v>
      </c>
      <c r="H10" s="189">
        <v>114</v>
      </c>
      <c r="I10" s="189">
        <v>38</v>
      </c>
      <c r="K10" s="189" t="s">
        <v>523</v>
      </c>
      <c r="L10" s="189" t="s">
        <v>522</v>
      </c>
      <c r="M10" s="189">
        <v>235</v>
      </c>
      <c r="N10" s="189">
        <v>60</v>
      </c>
    </row>
    <row r="11" spans="1:17">
      <c r="A11" s="189" t="s">
        <v>521</v>
      </c>
      <c r="B11" s="189" t="s">
        <v>520</v>
      </c>
      <c r="C11" s="189">
        <v>99</v>
      </c>
      <c r="D11" s="189">
        <v>32</v>
      </c>
      <c r="F11" s="189" t="s">
        <v>519</v>
      </c>
      <c r="G11" s="189" t="s">
        <v>518</v>
      </c>
      <c r="H11" s="189">
        <v>211</v>
      </c>
      <c r="I11" s="189">
        <v>38</v>
      </c>
      <c r="K11" s="189" t="s">
        <v>517</v>
      </c>
      <c r="L11" s="189" t="s">
        <v>516</v>
      </c>
      <c r="M11" s="189">
        <v>236</v>
      </c>
      <c r="N11" s="189">
        <v>60</v>
      </c>
    </row>
    <row r="12" spans="1:17">
      <c r="F12" s="189" t="s">
        <v>515</v>
      </c>
      <c r="G12" s="189" t="s">
        <v>514</v>
      </c>
      <c r="H12" s="189">
        <v>217</v>
      </c>
      <c r="I12" s="189">
        <v>38</v>
      </c>
      <c r="K12" s="189" t="s">
        <v>513</v>
      </c>
      <c r="L12" s="189" t="s">
        <v>512</v>
      </c>
      <c r="M12" s="189">
        <v>129</v>
      </c>
      <c r="N12" s="189">
        <v>60</v>
      </c>
    </row>
    <row r="13" spans="1:17">
      <c r="F13" s="189" t="s">
        <v>511</v>
      </c>
      <c r="G13" s="189" t="s">
        <v>510</v>
      </c>
      <c r="H13" s="189">
        <v>95</v>
      </c>
      <c r="I13" s="189">
        <v>38</v>
      </c>
      <c r="K13" s="189" t="s">
        <v>509</v>
      </c>
      <c r="L13" s="189" t="s">
        <v>508</v>
      </c>
      <c r="M13" s="189">
        <v>232</v>
      </c>
      <c r="N13" s="189">
        <v>60</v>
      </c>
    </row>
    <row r="14" spans="1:17">
      <c r="F14" s="189" t="s">
        <v>507</v>
      </c>
      <c r="G14" s="189" t="s">
        <v>506</v>
      </c>
      <c r="H14" s="189">
        <v>101</v>
      </c>
      <c r="I14" s="189">
        <v>38</v>
      </c>
      <c r="K14" s="189" t="s">
        <v>505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609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R12" sqref="R12"/>
    </sheetView>
  </sheetViews>
  <sheetFormatPr defaultRowHeight="16.5"/>
  <cols>
    <col min="1" max="1" width="8.88671875" style="51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516" bestFit="1" customWidth="1"/>
    <col min="18" max="18" width="13" style="516" customWidth="1"/>
    <col min="19" max="19" width="17.88671875" style="516" customWidth="1"/>
    <col min="20" max="20" width="21.21875" style="516" customWidth="1"/>
    <col min="21" max="21" width="21.88671875" style="516" customWidth="1"/>
    <col min="22" max="16384" width="8.88671875" style="516"/>
  </cols>
  <sheetData>
    <row r="2" spans="2:23" ht="26.25" customHeight="1">
      <c r="B2" s="513" t="s">
        <v>732</v>
      </c>
      <c r="C2" s="514"/>
      <c r="D2" s="514"/>
      <c r="E2" s="514"/>
      <c r="F2" s="514"/>
      <c r="G2" s="514"/>
      <c r="H2" s="515"/>
      <c r="I2" s="515"/>
      <c r="J2" s="515"/>
      <c r="K2" s="515"/>
      <c r="L2" s="515"/>
      <c r="S2" s="517" t="s">
        <v>613</v>
      </c>
      <c r="T2" s="518" t="s">
        <v>734</v>
      </c>
    </row>
    <row r="3" spans="2:23" ht="17.25" thickBot="1">
      <c r="I3" s="447"/>
      <c r="J3" s="447"/>
      <c r="K3" s="447"/>
    </row>
    <row r="4" spans="2:23" s="519" customFormat="1" ht="30.75" customHeight="1">
      <c r="B4" s="537" t="s">
        <v>41</v>
      </c>
      <c r="C4" s="538" t="s">
        <v>42</v>
      </c>
      <c r="D4" s="538" t="s">
        <v>592</v>
      </c>
      <c r="E4" s="538" t="s">
        <v>593</v>
      </c>
      <c r="F4" s="538" t="s">
        <v>594</v>
      </c>
      <c r="G4" s="538" t="s">
        <v>595</v>
      </c>
      <c r="H4" s="538" t="s">
        <v>596</v>
      </c>
      <c r="I4" s="538" t="s">
        <v>597</v>
      </c>
      <c r="J4" s="538" t="s">
        <v>598</v>
      </c>
      <c r="K4" s="538" t="s">
        <v>599</v>
      </c>
      <c r="L4" s="538" t="s">
        <v>600</v>
      </c>
      <c r="M4" s="538" t="s">
        <v>601</v>
      </c>
      <c r="N4" s="539" t="s">
        <v>602</v>
      </c>
      <c r="O4" s="540" t="s">
        <v>44</v>
      </c>
      <c r="P4" s="539" t="s">
        <v>45</v>
      </c>
      <c r="S4" s="561" t="s">
        <v>588</v>
      </c>
      <c r="T4" s="562" t="s">
        <v>589</v>
      </c>
    </row>
    <row r="5" spans="2:23" ht="22.5" customHeight="1">
      <c r="B5" s="340">
        <v>1994</v>
      </c>
      <c r="C5" s="527">
        <v>6.5</v>
      </c>
      <c r="D5" s="527">
        <v>14.8</v>
      </c>
      <c r="E5" s="527">
        <v>31.7</v>
      </c>
      <c r="F5" s="527">
        <v>44.9</v>
      </c>
      <c r="G5" s="527">
        <v>152.4</v>
      </c>
      <c r="H5" s="527">
        <v>85</v>
      </c>
      <c r="I5" s="527">
        <v>139.5</v>
      </c>
      <c r="J5" s="528">
        <v>232.7</v>
      </c>
      <c r="K5" s="527">
        <v>60.7</v>
      </c>
      <c r="L5" s="527">
        <v>214.5</v>
      </c>
      <c r="M5" s="527">
        <v>49.6</v>
      </c>
      <c r="N5" s="533">
        <v>23.5</v>
      </c>
      <c r="O5" s="541">
        <f>ROUND(SUM(C5:N5),1)</f>
        <v>1055.8</v>
      </c>
      <c r="P5" s="325">
        <f>ROUND(O5/12,1)</f>
        <v>88</v>
      </c>
      <c r="Q5" s="520"/>
      <c r="R5" s="521"/>
      <c r="S5" s="522" t="s">
        <v>730</v>
      </c>
      <c r="T5" s="523" t="s">
        <v>731</v>
      </c>
      <c r="V5" s="521"/>
      <c r="W5" s="524"/>
    </row>
    <row r="6" spans="2:23" ht="22.5" customHeight="1" thickBot="1">
      <c r="B6" s="340">
        <v>1995</v>
      </c>
      <c r="C6" s="527">
        <v>11.6</v>
      </c>
      <c r="D6" s="527">
        <v>5.2</v>
      </c>
      <c r="E6" s="527">
        <v>60.6</v>
      </c>
      <c r="F6" s="527">
        <v>44.4</v>
      </c>
      <c r="G6" s="527">
        <v>60.6</v>
      </c>
      <c r="H6" s="527">
        <v>70.7</v>
      </c>
      <c r="I6" s="527">
        <v>436.1</v>
      </c>
      <c r="J6" s="528">
        <v>786.6</v>
      </c>
      <c r="K6" s="527">
        <v>47.2</v>
      </c>
      <c r="L6" s="527">
        <v>39.299999999999997</v>
      </c>
      <c r="M6" s="527">
        <v>32.9</v>
      </c>
      <c r="N6" s="533">
        <v>3.4</v>
      </c>
      <c r="O6" s="541">
        <f t="shared" ref="O6:O34" si="0">ROUND(SUM(C6:N6),1)</f>
        <v>1598.6</v>
      </c>
      <c r="P6" s="325">
        <f t="shared" ref="P6:P34" si="1">ROUND(O6/12,1)</f>
        <v>133.19999999999999</v>
      </c>
      <c r="Q6" s="520"/>
      <c r="R6" s="521"/>
      <c r="S6" s="525" t="str">
        <f>VLOOKUP(S5, tblLocation[], 2, FALSE)</f>
        <v>Table1</v>
      </c>
      <c r="T6" s="526" t="str">
        <f ca="1">IFERROR(UPPER(VLOOKUP(T5, INDIRECT(S6), 2,0)), " 지역설정")</f>
        <v>SEOUL</v>
      </c>
      <c r="V6" s="521"/>
      <c r="W6" s="524"/>
    </row>
    <row r="7" spans="2:23" ht="22.5" customHeight="1">
      <c r="B7" s="340">
        <v>1996</v>
      </c>
      <c r="C7" s="527">
        <v>16.3</v>
      </c>
      <c r="D7" s="527">
        <v>1</v>
      </c>
      <c r="E7" s="527">
        <v>77.900000000000006</v>
      </c>
      <c r="F7" s="527">
        <v>62</v>
      </c>
      <c r="G7" s="527">
        <v>29.3</v>
      </c>
      <c r="H7" s="527">
        <v>249.7</v>
      </c>
      <c r="I7" s="527">
        <v>512.79999999999995</v>
      </c>
      <c r="J7" s="527">
        <v>132.4</v>
      </c>
      <c r="K7" s="527">
        <v>11</v>
      </c>
      <c r="L7" s="527">
        <v>90.3</v>
      </c>
      <c r="M7" s="527">
        <v>62.9</v>
      </c>
      <c r="N7" s="533">
        <v>11</v>
      </c>
      <c r="O7" s="541">
        <f t="shared" si="0"/>
        <v>1256.5999999999999</v>
      </c>
      <c r="P7" s="325">
        <f t="shared" si="1"/>
        <v>104.7</v>
      </c>
      <c r="Q7" s="520"/>
      <c r="R7" s="521"/>
      <c r="T7" s="297"/>
      <c r="V7" s="521"/>
      <c r="W7" s="524"/>
    </row>
    <row r="8" spans="2:23" ht="22.5" customHeight="1">
      <c r="B8" s="340">
        <v>1997</v>
      </c>
      <c r="C8" s="527">
        <v>16.8</v>
      </c>
      <c r="D8" s="527">
        <v>39.6</v>
      </c>
      <c r="E8" s="527">
        <v>25.3</v>
      </c>
      <c r="F8" s="527">
        <v>56.1</v>
      </c>
      <c r="G8" s="527">
        <v>291.3</v>
      </c>
      <c r="H8" s="527">
        <v>110</v>
      </c>
      <c r="I8" s="527">
        <v>299.60000000000002</v>
      </c>
      <c r="J8" s="527">
        <v>117.2</v>
      </c>
      <c r="K8" s="527">
        <v>76.900000000000006</v>
      </c>
      <c r="L8" s="527">
        <v>45.5</v>
      </c>
      <c r="M8" s="527">
        <v>93.8</v>
      </c>
      <c r="N8" s="533">
        <v>38.1</v>
      </c>
      <c r="O8" s="541">
        <f t="shared" si="0"/>
        <v>1210.2</v>
      </c>
      <c r="P8" s="325">
        <f t="shared" si="1"/>
        <v>100.9</v>
      </c>
      <c r="Q8" s="520"/>
      <c r="T8" s="297"/>
      <c r="V8" s="521"/>
      <c r="W8" s="524"/>
    </row>
    <row r="9" spans="2:23" ht="22.5" customHeight="1">
      <c r="B9" s="340">
        <v>1998</v>
      </c>
      <c r="C9" s="527">
        <v>10.4</v>
      </c>
      <c r="D9" s="527">
        <v>32.299999999999997</v>
      </c>
      <c r="E9" s="527">
        <v>45.1</v>
      </c>
      <c r="F9" s="527">
        <v>120.2</v>
      </c>
      <c r="G9" s="527">
        <v>121.5</v>
      </c>
      <c r="H9" s="527">
        <v>234.1</v>
      </c>
      <c r="I9" s="527">
        <v>311.8</v>
      </c>
      <c r="J9" s="527">
        <v>1237.8</v>
      </c>
      <c r="K9" s="527">
        <v>177.9</v>
      </c>
      <c r="L9" s="527">
        <v>27.4</v>
      </c>
      <c r="M9" s="527">
        <v>26.9</v>
      </c>
      <c r="N9" s="533">
        <v>3.7</v>
      </c>
      <c r="O9" s="541">
        <f t="shared" si="0"/>
        <v>2349.1</v>
      </c>
      <c r="P9" s="325">
        <f t="shared" si="1"/>
        <v>195.8</v>
      </c>
      <c r="Q9" s="520"/>
      <c r="R9" s="521"/>
      <c r="S9" s="524"/>
      <c r="T9" s="521"/>
      <c r="U9" s="524"/>
      <c r="V9" s="521"/>
      <c r="W9" s="524"/>
    </row>
    <row r="10" spans="2:23" ht="22.5" customHeight="1">
      <c r="B10" s="340">
        <v>1999</v>
      </c>
      <c r="C10" s="527">
        <v>10.199999999999999</v>
      </c>
      <c r="D10" s="527">
        <v>2.9</v>
      </c>
      <c r="E10" s="527">
        <v>55</v>
      </c>
      <c r="F10" s="527">
        <v>97.2</v>
      </c>
      <c r="G10" s="527">
        <v>109.7</v>
      </c>
      <c r="H10" s="527">
        <v>131.80000000000001</v>
      </c>
      <c r="I10" s="527">
        <v>230.4</v>
      </c>
      <c r="J10" s="527">
        <v>600.5</v>
      </c>
      <c r="K10" s="527">
        <v>377.3</v>
      </c>
      <c r="L10" s="527">
        <v>81.599999999999994</v>
      </c>
      <c r="M10" s="527">
        <v>19.5</v>
      </c>
      <c r="N10" s="533">
        <v>17</v>
      </c>
      <c r="O10" s="541">
        <f t="shared" si="0"/>
        <v>1733.1</v>
      </c>
      <c r="P10" s="325">
        <f t="shared" si="1"/>
        <v>144.4</v>
      </c>
      <c r="Q10" s="520"/>
      <c r="R10" s="521"/>
      <c r="S10" s="524"/>
      <c r="T10" s="521"/>
      <c r="U10" s="524"/>
      <c r="V10" s="521"/>
      <c r="W10" s="524"/>
    </row>
    <row r="11" spans="2:23" ht="22.5" customHeight="1">
      <c r="B11" s="340">
        <v>2000</v>
      </c>
      <c r="C11" s="527">
        <v>42.8</v>
      </c>
      <c r="D11" s="527">
        <v>2.1</v>
      </c>
      <c r="E11" s="527">
        <v>3.1</v>
      </c>
      <c r="F11" s="527">
        <v>30.7</v>
      </c>
      <c r="G11" s="527">
        <v>75.2</v>
      </c>
      <c r="H11" s="527">
        <v>68.099999999999994</v>
      </c>
      <c r="I11" s="527">
        <v>114.7</v>
      </c>
      <c r="J11" s="527">
        <v>599.4</v>
      </c>
      <c r="K11" s="527">
        <v>178.5</v>
      </c>
      <c r="L11" s="527">
        <v>18.100000000000001</v>
      </c>
      <c r="M11" s="527">
        <v>27.1</v>
      </c>
      <c r="N11" s="533">
        <v>27</v>
      </c>
      <c r="O11" s="541">
        <f t="shared" si="0"/>
        <v>1186.8</v>
      </c>
      <c r="P11" s="325">
        <f t="shared" si="1"/>
        <v>98.9</v>
      </c>
      <c r="R11" s="521"/>
      <c r="S11" s="524"/>
      <c r="T11" s="521"/>
      <c r="U11" s="524"/>
      <c r="V11" s="521"/>
      <c r="W11" s="524"/>
    </row>
    <row r="12" spans="2:23" ht="22.5" customHeight="1">
      <c r="B12" s="340">
        <v>2001</v>
      </c>
      <c r="C12" s="527">
        <v>39.4</v>
      </c>
      <c r="D12" s="527">
        <v>45.7</v>
      </c>
      <c r="E12" s="527">
        <v>18.100000000000001</v>
      </c>
      <c r="F12" s="527">
        <v>12.3</v>
      </c>
      <c r="G12" s="527">
        <v>16.5</v>
      </c>
      <c r="H12" s="527">
        <v>157.4</v>
      </c>
      <c r="I12" s="527">
        <v>698.4</v>
      </c>
      <c r="J12" s="527">
        <v>252</v>
      </c>
      <c r="K12" s="527">
        <v>49.3</v>
      </c>
      <c r="L12" s="527">
        <v>68.2</v>
      </c>
      <c r="M12" s="527">
        <v>13</v>
      </c>
      <c r="N12" s="533">
        <v>15.7</v>
      </c>
      <c r="O12" s="541">
        <f t="shared" si="0"/>
        <v>1386</v>
      </c>
      <c r="P12" s="325">
        <f t="shared" si="1"/>
        <v>115.5</v>
      </c>
      <c r="R12" s="521"/>
      <c r="S12" s="524"/>
      <c r="T12" s="521"/>
      <c r="U12" s="524"/>
      <c r="V12" s="521"/>
      <c r="W12" s="524"/>
    </row>
    <row r="13" spans="2:23" ht="22.5" customHeight="1">
      <c r="B13" s="340">
        <v>2002</v>
      </c>
      <c r="C13" s="527">
        <v>37.4</v>
      </c>
      <c r="D13" s="527">
        <v>2.4</v>
      </c>
      <c r="E13" s="527">
        <v>31.5</v>
      </c>
      <c r="F13" s="527">
        <v>155.1</v>
      </c>
      <c r="G13" s="527">
        <v>58</v>
      </c>
      <c r="H13" s="527">
        <v>61.4</v>
      </c>
      <c r="I13" s="527">
        <v>220.6</v>
      </c>
      <c r="J13" s="527">
        <v>688</v>
      </c>
      <c r="K13" s="527">
        <v>61.1</v>
      </c>
      <c r="L13" s="527">
        <v>45</v>
      </c>
      <c r="M13" s="527">
        <v>12.5</v>
      </c>
      <c r="N13" s="533">
        <v>15</v>
      </c>
      <c r="O13" s="541">
        <f t="shared" si="0"/>
        <v>1388</v>
      </c>
      <c r="P13" s="325">
        <f t="shared" si="1"/>
        <v>115.7</v>
      </c>
      <c r="R13" s="521"/>
      <c r="S13" s="524"/>
      <c r="T13" s="521"/>
      <c r="U13" s="524"/>
      <c r="V13" s="521"/>
      <c r="W13" s="524"/>
    </row>
    <row r="14" spans="2:23" ht="22.5" customHeight="1">
      <c r="B14" s="340">
        <v>2003</v>
      </c>
      <c r="C14" s="527">
        <v>14.1</v>
      </c>
      <c r="D14" s="527">
        <v>39.6</v>
      </c>
      <c r="E14" s="527">
        <v>26.8</v>
      </c>
      <c r="F14" s="527">
        <v>139.6</v>
      </c>
      <c r="G14" s="527">
        <v>106</v>
      </c>
      <c r="H14" s="527">
        <v>156</v>
      </c>
      <c r="I14" s="527">
        <v>469.8</v>
      </c>
      <c r="J14" s="527">
        <v>684.2</v>
      </c>
      <c r="K14" s="527">
        <v>258.2</v>
      </c>
      <c r="L14" s="527">
        <v>41.5</v>
      </c>
      <c r="M14" s="527">
        <v>69.3</v>
      </c>
      <c r="N14" s="533">
        <v>6.9</v>
      </c>
      <c r="O14" s="541">
        <f t="shared" si="0"/>
        <v>2012</v>
      </c>
      <c r="P14" s="325">
        <f t="shared" si="1"/>
        <v>167.7</v>
      </c>
      <c r="R14" s="521"/>
      <c r="S14" s="524"/>
      <c r="T14" s="521"/>
      <c r="U14" s="524"/>
      <c r="V14" s="521"/>
      <c r="W14" s="524"/>
    </row>
    <row r="15" spans="2:23" ht="22.5" customHeight="1">
      <c r="B15" s="340">
        <v>2004</v>
      </c>
      <c r="C15" s="527">
        <v>19.8</v>
      </c>
      <c r="D15" s="527">
        <v>54.6</v>
      </c>
      <c r="E15" s="527">
        <v>27.6</v>
      </c>
      <c r="F15" s="527">
        <v>74.099999999999994</v>
      </c>
      <c r="G15" s="527">
        <v>168.5</v>
      </c>
      <c r="H15" s="527">
        <v>138.1</v>
      </c>
      <c r="I15" s="527">
        <v>510.7</v>
      </c>
      <c r="J15" s="527">
        <v>193.3</v>
      </c>
      <c r="K15" s="527">
        <v>198.7</v>
      </c>
      <c r="L15" s="527">
        <v>6.5</v>
      </c>
      <c r="M15" s="527">
        <v>80</v>
      </c>
      <c r="N15" s="533">
        <v>27.2</v>
      </c>
      <c r="O15" s="541">
        <f t="shared" si="0"/>
        <v>1499.1</v>
      </c>
      <c r="P15" s="325">
        <f t="shared" si="1"/>
        <v>124.9</v>
      </c>
    </row>
    <row r="16" spans="2:23" ht="22.5" customHeight="1">
      <c r="B16" s="340">
        <v>2005</v>
      </c>
      <c r="C16" s="527">
        <v>4.5</v>
      </c>
      <c r="D16" s="527">
        <v>17.2</v>
      </c>
      <c r="E16" s="527">
        <v>12.5</v>
      </c>
      <c r="F16" s="527">
        <v>94.7</v>
      </c>
      <c r="G16" s="527">
        <v>85.8</v>
      </c>
      <c r="H16" s="527">
        <v>168.5</v>
      </c>
      <c r="I16" s="527">
        <v>269.39999999999998</v>
      </c>
      <c r="J16" s="527">
        <v>285</v>
      </c>
      <c r="K16" s="527">
        <v>313.3</v>
      </c>
      <c r="L16" s="527">
        <v>52.6</v>
      </c>
      <c r="M16" s="527">
        <v>44.6</v>
      </c>
      <c r="N16" s="533">
        <v>10.3</v>
      </c>
      <c r="O16" s="541">
        <f t="shared" si="0"/>
        <v>1358.4</v>
      </c>
      <c r="P16" s="325">
        <f t="shared" si="1"/>
        <v>113.2</v>
      </c>
    </row>
    <row r="17" spans="2:16" ht="22.5" customHeight="1">
      <c r="B17" s="340">
        <v>2006</v>
      </c>
      <c r="C17" s="527">
        <v>34.299999999999997</v>
      </c>
      <c r="D17" s="527">
        <v>15.7</v>
      </c>
      <c r="E17" s="527">
        <v>14</v>
      </c>
      <c r="F17" s="527">
        <v>51.8</v>
      </c>
      <c r="G17" s="527">
        <v>156.19999999999999</v>
      </c>
      <c r="H17" s="527">
        <v>168.5</v>
      </c>
      <c r="I17" s="527">
        <v>1014</v>
      </c>
      <c r="J17" s="527">
        <v>121.2</v>
      </c>
      <c r="K17" s="527">
        <v>11.1</v>
      </c>
      <c r="L17" s="527">
        <v>30.2</v>
      </c>
      <c r="M17" s="527">
        <v>47.6</v>
      </c>
      <c r="N17" s="533">
        <v>17.3</v>
      </c>
      <c r="O17" s="541">
        <f t="shared" si="0"/>
        <v>1681.9</v>
      </c>
      <c r="P17" s="325">
        <f t="shared" si="1"/>
        <v>140.19999999999999</v>
      </c>
    </row>
    <row r="18" spans="2:16" ht="22.5" customHeight="1">
      <c r="B18" s="340">
        <v>2007</v>
      </c>
      <c r="C18" s="527">
        <v>10.8</v>
      </c>
      <c r="D18" s="527">
        <v>12.6</v>
      </c>
      <c r="E18" s="527">
        <v>123.5</v>
      </c>
      <c r="F18" s="527">
        <v>41.1</v>
      </c>
      <c r="G18" s="527">
        <v>137.6</v>
      </c>
      <c r="H18" s="527">
        <v>54.5</v>
      </c>
      <c r="I18" s="527">
        <v>274.10000000000002</v>
      </c>
      <c r="J18" s="527">
        <v>237.6</v>
      </c>
      <c r="K18" s="527">
        <v>241.9</v>
      </c>
      <c r="L18" s="527">
        <v>39.5</v>
      </c>
      <c r="M18" s="527">
        <v>26.4</v>
      </c>
      <c r="N18" s="533">
        <v>12.7</v>
      </c>
      <c r="O18" s="541">
        <f t="shared" si="0"/>
        <v>1212.3</v>
      </c>
      <c r="P18" s="325">
        <f t="shared" si="1"/>
        <v>101</v>
      </c>
    </row>
    <row r="19" spans="2:16" ht="22.5" customHeight="1">
      <c r="B19" s="340">
        <v>2008</v>
      </c>
      <c r="C19" s="527">
        <v>17.7</v>
      </c>
      <c r="D19" s="527">
        <v>15</v>
      </c>
      <c r="E19" s="527">
        <v>53.9</v>
      </c>
      <c r="F19" s="527">
        <v>38.5</v>
      </c>
      <c r="G19" s="527">
        <v>97.7</v>
      </c>
      <c r="H19" s="527">
        <v>165</v>
      </c>
      <c r="I19" s="527">
        <v>530.79999999999995</v>
      </c>
      <c r="J19" s="527">
        <v>251.2</v>
      </c>
      <c r="K19" s="527">
        <v>99.2</v>
      </c>
      <c r="L19" s="527">
        <v>41.8</v>
      </c>
      <c r="M19" s="527">
        <v>19.600000000000001</v>
      </c>
      <c r="N19" s="533">
        <v>25.9</v>
      </c>
      <c r="O19" s="541">
        <f t="shared" si="0"/>
        <v>1356.3</v>
      </c>
      <c r="P19" s="325">
        <f t="shared" si="1"/>
        <v>113</v>
      </c>
    </row>
    <row r="20" spans="2:16" ht="22.5" customHeight="1">
      <c r="B20" s="340">
        <v>2009</v>
      </c>
      <c r="C20" s="527">
        <v>5.7</v>
      </c>
      <c r="D20" s="527">
        <v>36.9</v>
      </c>
      <c r="E20" s="527">
        <v>63.9</v>
      </c>
      <c r="F20" s="527">
        <v>66.5</v>
      </c>
      <c r="G20" s="527">
        <v>109</v>
      </c>
      <c r="H20" s="527">
        <v>132</v>
      </c>
      <c r="I20" s="527">
        <v>659.4</v>
      </c>
      <c r="J20" s="527">
        <v>285.3</v>
      </c>
      <c r="K20" s="527">
        <v>64.5</v>
      </c>
      <c r="L20" s="527">
        <v>66.900000000000006</v>
      </c>
      <c r="M20" s="527">
        <v>52.4</v>
      </c>
      <c r="N20" s="533">
        <v>21.5</v>
      </c>
      <c r="O20" s="541">
        <f t="shared" si="0"/>
        <v>1564</v>
      </c>
      <c r="P20" s="325">
        <f t="shared" si="1"/>
        <v>130.30000000000001</v>
      </c>
    </row>
    <row r="21" spans="2:16" ht="22.5" customHeight="1">
      <c r="B21" s="340">
        <v>2010</v>
      </c>
      <c r="C21" s="527">
        <v>29.3</v>
      </c>
      <c r="D21" s="527">
        <v>55.3</v>
      </c>
      <c r="E21" s="527">
        <v>82.5</v>
      </c>
      <c r="F21" s="527">
        <v>62.8</v>
      </c>
      <c r="G21" s="527">
        <v>124</v>
      </c>
      <c r="H21" s="527">
        <v>127.6</v>
      </c>
      <c r="I21" s="527">
        <v>239.2</v>
      </c>
      <c r="J21" s="527">
        <v>598.70000000000005</v>
      </c>
      <c r="K21" s="527">
        <v>671.5</v>
      </c>
      <c r="L21" s="527">
        <v>25.6</v>
      </c>
      <c r="M21" s="527">
        <v>10.9</v>
      </c>
      <c r="N21" s="533">
        <v>16.100000000000001</v>
      </c>
      <c r="O21" s="541">
        <f t="shared" si="0"/>
        <v>2043.5</v>
      </c>
      <c r="P21" s="325">
        <f t="shared" si="1"/>
        <v>170.3</v>
      </c>
    </row>
    <row r="22" spans="2:16" ht="22.5" customHeight="1">
      <c r="B22" s="340">
        <v>2011</v>
      </c>
      <c r="C22" s="527">
        <v>8.9</v>
      </c>
      <c r="D22" s="527">
        <v>29.1</v>
      </c>
      <c r="E22" s="527">
        <v>14.6</v>
      </c>
      <c r="F22" s="527">
        <v>110.1</v>
      </c>
      <c r="G22" s="527">
        <v>53.4</v>
      </c>
      <c r="H22" s="527">
        <v>404.5</v>
      </c>
      <c r="I22" s="527">
        <v>1131</v>
      </c>
      <c r="J22" s="527">
        <v>166.8</v>
      </c>
      <c r="K22" s="527">
        <v>25.6</v>
      </c>
      <c r="L22" s="527">
        <v>32</v>
      </c>
      <c r="M22" s="527">
        <v>56.2</v>
      </c>
      <c r="N22" s="533">
        <v>7.1</v>
      </c>
      <c r="O22" s="541">
        <f t="shared" si="0"/>
        <v>2039.3</v>
      </c>
      <c r="P22" s="325">
        <f t="shared" si="1"/>
        <v>169.9</v>
      </c>
    </row>
    <row r="23" spans="2:16" ht="22.5" customHeight="1">
      <c r="B23" s="340">
        <v>2012</v>
      </c>
      <c r="C23" s="527">
        <v>6.7</v>
      </c>
      <c r="D23" s="527">
        <v>0.8</v>
      </c>
      <c r="E23" s="527">
        <v>47.4</v>
      </c>
      <c r="F23" s="527">
        <v>157</v>
      </c>
      <c r="G23" s="527">
        <v>8.1999999999999993</v>
      </c>
      <c r="H23" s="527">
        <v>91.9</v>
      </c>
      <c r="I23" s="527">
        <v>448.9</v>
      </c>
      <c r="J23" s="527">
        <v>464.9</v>
      </c>
      <c r="K23" s="527">
        <v>212</v>
      </c>
      <c r="L23" s="527">
        <v>99.3</v>
      </c>
      <c r="M23" s="527">
        <v>67.8</v>
      </c>
      <c r="N23" s="533">
        <v>41.4</v>
      </c>
      <c r="O23" s="541">
        <f t="shared" si="0"/>
        <v>1646.3</v>
      </c>
      <c r="P23" s="325">
        <f t="shared" si="1"/>
        <v>137.19999999999999</v>
      </c>
    </row>
    <row r="24" spans="2:16" ht="22.5" customHeight="1">
      <c r="B24" s="340">
        <v>2013</v>
      </c>
      <c r="C24" s="527">
        <v>22.1</v>
      </c>
      <c r="D24" s="527">
        <v>74.099999999999994</v>
      </c>
      <c r="E24" s="527">
        <v>27.3</v>
      </c>
      <c r="F24" s="527">
        <v>71.7</v>
      </c>
      <c r="G24" s="527">
        <v>132</v>
      </c>
      <c r="H24" s="527">
        <v>28.3</v>
      </c>
      <c r="I24" s="527">
        <v>676.2</v>
      </c>
      <c r="J24" s="527">
        <v>148.6</v>
      </c>
      <c r="K24" s="527">
        <v>138.5</v>
      </c>
      <c r="L24" s="527">
        <v>13.5</v>
      </c>
      <c r="M24" s="527">
        <v>46.8</v>
      </c>
      <c r="N24" s="533">
        <v>24.7</v>
      </c>
      <c r="O24" s="541">
        <f t="shared" si="0"/>
        <v>1403.8</v>
      </c>
      <c r="P24" s="325">
        <f t="shared" si="1"/>
        <v>117</v>
      </c>
    </row>
    <row r="25" spans="2:16" ht="22.5" customHeight="1">
      <c r="B25" s="340">
        <v>2014</v>
      </c>
      <c r="C25" s="527">
        <v>13</v>
      </c>
      <c r="D25" s="527">
        <v>16.2</v>
      </c>
      <c r="E25" s="527">
        <v>7.2</v>
      </c>
      <c r="F25" s="527">
        <v>31</v>
      </c>
      <c r="G25" s="527">
        <v>63</v>
      </c>
      <c r="H25" s="527">
        <v>98.1</v>
      </c>
      <c r="I25" s="527">
        <v>207.9</v>
      </c>
      <c r="J25" s="527">
        <v>172.8</v>
      </c>
      <c r="K25" s="527">
        <v>88.1</v>
      </c>
      <c r="L25" s="527">
        <v>52.2</v>
      </c>
      <c r="M25" s="527">
        <v>41.5</v>
      </c>
      <c r="N25" s="533">
        <v>17.899999999999999</v>
      </c>
      <c r="O25" s="541">
        <f t="shared" si="0"/>
        <v>808.9</v>
      </c>
      <c r="P25" s="325">
        <f t="shared" si="1"/>
        <v>67.400000000000006</v>
      </c>
    </row>
    <row r="26" spans="2:16" ht="22.5" customHeight="1">
      <c r="B26" s="340">
        <v>2015</v>
      </c>
      <c r="C26" s="527">
        <v>11.3</v>
      </c>
      <c r="D26" s="527">
        <v>22.7</v>
      </c>
      <c r="E26" s="527">
        <v>9.6</v>
      </c>
      <c r="F26" s="527">
        <v>80.5</v>
      </c>
      <c r="G26" s="527">
        <v>28.9</v>
      </c>
      <c r="H26" s="527">
        <v>99</v>
      </c>
      <c r="I26" s="527">
        <v>226</v>
      </c>
      <c r="J26" s="527">
        <v>72.900000000000006</v>
      </c>
      <c r="K26" s="527">
        <v>26</v>
      </c>
      <c r="L26" s="527">
        <v>81.5</v>
      </c>
      <c r="M26" s="527">
        <v>104.6</v>
      </c>
      <c r="N26" s="533">
        <v>29.1</v>
      </c>
      <c r="O26" s="541">
        <f t="shared" si="0"/>
        <v>792.1</v>
      </c>
      <c r="P26" s="325">
        <f t="shared" si="1"/>
        <v>66</v>
      </c>
    </row>
    <row r="27" spans="2:16" ht="22.5" customHeight="1">
      <c r="B27" s="340">
        <v>2016</v>
      </c>
      <c r="C27" s="527">
        <v>1</v>
      </c>
      <c r="D27" s="527">
        <v>47.6</v>
      </c>
      <c r="E27" s="527">
        <v>40.5</v>
      </c>
      <c r="F27" s="527">
        <v>76.8</v>
      </c>
      <c r="G27" s="527">
        <v>160.5</v>
      </c>
      <c r="H27" s="527">
        <v>54.4</v>
      </c>
      <c r="I27" s="527">
        <v>358.2</v>
      </c>
      <c r="J27" s="527">
        <v>67.099999999999994</v>
      </c>
      <c r="K27" s="527">
        <v>33</v>
      </c>
      <c r="L27" s="527">
        <v>74.8</v>
      </c>
      <c r="M27" s="527">
        <v>16.7</v>
      </c>
      <c r="N27" s="533">
        <v>61.1</v>
      </c>
      <c r="O27" s="541">
        <f t="shared" si="0"/>
        <v>991.7</v>
      </c>
      <c r="P27" s="325">
        <f t="shared" si="1"/>
        <v>82.6</v>
      </c>
    </row>
    <row r="28" spans="2:16" ht="22.5" customHeight="1">
      <c r="B28" s="340">
        <v>2017</v>
      </c>
      <c r="C28" s="527">
        <v>14.9</v>
      </c>
      <c r="D28" s="527">
        <v>11.1</v>
      </c>
      <c r="E28" s="527">
        <v>7.9</v>
      </c>
      <c r="F28" s="527">
        <v>61.6</v>
      </c>
      <c r="G28" s="527">
        <v>16.100000000000001</v>
      </c>
      <c r="H28" s="527">
        <v>66.599999999999994</v>
      </c>
      <c r="I28" s="527">
        <v>621</v>
      </c>
      <c r="J28" s="527">
        <v>297</v>
      </c>
      <c r="K28" s="527">
        <v>35</v>
      </c>
      <c r="L28" s="527">
        <v>26.5</v>
      </c>
      <c r="M28" s="527">
        <v>40.700000000000003</v>
      </c>
      <c r="N28" s="533">
        <v>34.799999999999997</v>
      </c>
      <c r="O28" s="541">
        <f t="shared" si="0"/>
        <v>1233.2</v>
      </c>
      <c r="P28" s="325">
        <f t="shared" si="1"/>
        <v>102.8</v>
      </c>
    </row>
    <row r="29" spans="2:16" ht="22.5" customHeight="1">
      <c r="B29" s="340">
        <v>2018</v>
      </c>
      <c r="C29" s="527">
        <v>8.5</v>
      </c>
      <c r="D29" s="527">
        <v>29.6</v>
      </c>
      <c r="E29" s="527">
        <v>49.5</v>
      </c>
      <c r="F29" s="527">
        <v>130.30000000000001</v>
      </c>
      <c r="G29" s="527">
        <v>222</v>
      </c>
      <c r="H29" s="527">
        <v>171.5</v>
      </c>
      <c r="I29" s="527">
        <v>185.6</v>
      </c>
      <c r="J29" s="527">
        <v>202.6</v>
      </c>
      <c r="K29" s="527">
        <v>68.5</v>
      </c>
      <c r="L29" s="527">
        <v>120.5</v>
      </c>
      <c r="M29" s="527">
        <v>79.099999999999994</v>
      </c>
      <c r="N29" s="533">
        <v>16.399999999999999</v>
      </c>
      <c r="O29" s="541">
        <f t="shared" si="0"/>
        <v>1284.0999999999999</v>
      </c>
      <c r="P29" s="325">
        <f t="shared" si="1"/>
        <v>107</v>
      </c>
    </row>
    <row r="30" spans="2:16" ht="22.5" customHeight="1">
      <c r="B30" s="340">
        <v>2019</v>
      </c>
      <c r="C30" s="527">
        <v>0</v>
      </c>
      <c r="D30" s="527">
        <v>23.8</v>
      </c>
      <c r="E30" s="527">
        <v>26.8</v>
      </c>
      <c r="F30" s="527">
        <v>47.3</v>
      </c>
      <c r="G30" s="527">
        <v>37.799999999999997</v>
      </c>
      <c r="H30" s="527">
        <v>74</v>
      </c>
      <c r="I30" s="527">
        <v>194.4</v>
      </c>
      <c r="J30" s="527">
        <v>190.5</v>
      </c>
      <c r="K30" s="527">
        <v>139.80000000000001</v>
      </c>
      <c r="L30" s="527">
        <v>55.5</v>
      </c>
      <c r="M30" s="527">
        <v>78.8</v>
      </c>
      <c r="N30" s="533">
        <v>22.6</v>
      </c>
      <c r="O30" s="541">
        <f t="shared" si="0"/>
        <v>891.3</v>
      </c>
      <c r="P30" s="325">
        <f t="shared" si="1"/>
        <v>74.3</v>
      </c>
    </row>
    <row r="31" spans="2:16" ht="22.5" customHeight="1">
      <c r="B31" s="340">
        <v>2020</v>
      </c>
      <c r="C31" s="527">
        <v>60.5</v>
      </c>
      <c r="D31" s="527">
        <v>53.1</v>
      </c>
      <c r="E31" s="527">
        <v>16.3</v>
      </c>
      <c r="F31" s="527">
        <v>16.899999999999999</v>
      </c>
      <c r="G31" s="527">
        <v>112.4</v>
      </c>
      <c r="H31" s="527">
        <v>139.6</v>
      </c>
      <c r="I31" s="527">
        <v>270.39999999999998</v>
      </c>
      <c r="J31" s="527">
        <v>675.7</v>
      </c>
      <c r="K31" s="527">
        <v>181.5</v>
      </c>
      <c r="L31" s="527">
        <v>0</v>
      </c>
      <c r="M31" s="527">
        <v>120.1</v>
      </c>
      <c r="N31" s="533">
        <v>4.5999999999999996</v>
      </c>
      <c r="O31" s="541">
        <f t="shared" si="0"/>
        <v>1651.1</v>
      </c>
      <c r="P31" s="325">
        <f t="shared" si="1"/>
        <v>137.6</v>
      </c>
    </row>
    <row r="32" spans="2:16" ht="22.5" customHeight="1">
      <c r="B32" s="340">
        <v>2021</v>
      </c>
      <c r="C32" s="527">
        <v>18.899999999999999</v>
      </c>
      <c r="D32" s="527">
        <v>7.1</v>
      </c>
      <c r="E32" s="527">
        <v>110.9</v>
      </c>
      <c r="F32" s="527">
        <v>124.1</v>
      </c>
      <c r="G32" s="527">
        <v>183.1</v>
      </c>
      <c r="H32" s="527">
        <v>104.6</v>
      </c>
      <c r="I32" s="527">
        <v>168.3</v>
      </c>
      <c r="J32" s="527">
        <v>211.2</v>
      </c>
      <c r="K32" s="527">
        <v>131</v>
      </c>
      <c r="L32" s="527">
        <v>57</v>
      </c>
      <c r="M32" s="527">
        <v>62.4</v>
      </c>
      <c r="N32" s="533">
        <v>7.9</v>
      </c>
      <c r="O32" s="541">
        <f t="shared" si="0"/>
        <v>1186.5</v>
      </c>
      <c r="P32" s="325">
        <f t="shared" si="1"/>
        <v>98.9</v>
      </c>
    </row>
    <row r="33" spans="2:16" ht="22.5" customHeight="1">
      <c r="B33" s="340">
        <v>2022</v>
      </c>
      <c r="C33" s="527">
        <v>5.5</v>
      </c>
      <c r="D33" s="527">
        <v>4.7</v>
      </c>
      <c r="E33" s="527">
        <v>102.6</v>
      </c>
      <c r="F33" s="527">
        <v>20.399999999999999</v>
      </c>
      <c r="G33" s="527">
        <v>7.5</v>
      </c>
      <c r="H33" s="527">
        <v>393.8</v>
      </c>
      <c r="I33" s="527">
        <v>252.3</v>
      </c>
      <c r="J33" s="527">
        <v>564.79999999999995</v>
      </c>
      <c r="K33" s="527">
        <v>201.5</v>
      </c>
      <c r="L33" s="527">
        <v>124.1</v>
      </c>
      <c r="M33" s="527">
        <v>84.5</v>
      </c>
      <c r="N33" s="533">
        <v>13.6</v>
      </c>
      <c r="O33" s="541">
        <f t="shared" si="0"/>
        <v>1775.3</v>
      </c>
      <c r="P33" s="325">
        <f t="shared" si="1"/>
        <v>147.9</v>
      </c>
    </row>
    <row r="34" spans="2:16" ht="22.5" customHeight="1" thickBot="1">
      <c r="B34" s="544">
        <v>2023</v>
      </c>
      <c r="C34" s="545">
        <v>47.9</v>
      </c>
      <c r="D34" s="545">
        <v>1</v>
      </c>
      <c r="E34" s="545">
        <v>10.5</v>
      </c>
      <c r="F34" s="545">
        <v>96.9</v>
      </c>
      <c r="G34" s="545">
        <v>155.6</v>
      </c>
      <c r="H34" s="545">
        <v>195.6</v>
      </c>
      <c r="I34" s="545">
        <v>459.9</v>
      </c>
      <c r="J34" s="545">
        <v>298.10000000000002</v>
      </c>
      <c r="K34" s="545">
        <v>134.5</v>
      </c>
      <c r="L34" s="545">
        <v>31</v>
      </c>
      <c r="M34" s="545">
        <v>81.900000000000006</v>
      </c>
      <c r="N34" s="546">
        <v>85.9</v>
      </c>
      <c r="O34" s="547">
        <f t="shared" si="0"/>
        <v>1598.8</v>
      </c>
      <c r="P34" s="548">
        <f t="shared" si="1"/>
        <v>133.19999999999999</v>
      </c>
    </row>
    <row r="35" spans="2:16" ht="22.5" customHeight="1">
      <c r="B35" s="445" t="s">
        <v>36</v>
      </c>
      <c r="C35" s="549">
        <f>MAX(C5:C34)</f>
        <v>60.5</v>
      </c>
      <c r="D35" s="549">
        <f t="shared" ref="D35:N35" si="2">MAX(D5:D34)</f>
        <v>74.099999999999994</v>
      </c>
      <c r="E35" s="549">
        <f t="shared" si="2"/>
        <v>123.5</v>
      </c>
      <c r="F35" s="549">
        <f t="shared" si="2"/>
        <v>157</v>
      </c>
      <c r="G35" s="549">
        <f t="shared" si="2"/>
        <v>291.3</v>
      </c>
      <c r="H35" s="549">
        <f t="shared" si="2"/>
        <v>404.5</v>
      </c>
      <c r="I35" s="549">
        <f t="shared" si="2"/>
        <v>1131</v>
      </c>
      <c r="J35" s="549">
        <f t="shared" si="2"/>
        <v>1237.8</v>
      </c>
      <c r="K35" s="549">
        <f t="shared" si="2"/>
        <v>671.5</v>
      </c>
      <c r="L35" s="549">
        <f t="shared" si="2"/>
        <v>214.5</v>
      </c>
      <c r="M35" s="549">
        <f t="shared" si="2"/>
        <v>120.1</v>
      </c>
      <c r="N35" s="446">
        <f t="shared" si="2"/>
        <v>85.9</v>
      </c>
      <c r="O35" s="550">
        <f t="shared" ref="O35" si="3">MAX(O5:O34)</f>
        <v>2349.1</v>
      </c>
      <c r="P35" s="446">
        <f>MAX(P5:P34)</f>
        <v>195.8</v>
      </c>
    </row>
    <row r="36" spans="2:16" ht="22.5" customHeight="1">
      <c r="B36" s="340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5">
        <f t="shared" si="4"/>
        <v>3.4</v>
      </c>
      <c r="O36" s="542">
        <f>ROUND(MIN(O5:O34),1)</f>
        <v>792.1</v>
      </c>
      <c r="P36" s="533">
        <f>ROUND(MIN(P5:P34),1)</f>
        <v>66</v>
      </c>
    </row>
    <row r="37" spans="2:16" ht="22.5" customHeight="1" thickBot="1">
      <c r="B37" s="308" t="s">
        <v>45</v>
      </c>
      <c r="C37" s="306">
        <f>ROUND(AVERAGE(C5:C34),1)</f>
        <v>18.2</v>
      </c>
      <c r="D37" s="306">
        <f t="shared" ref="D37:N37" si="5">ROUND(AVERAGE(D5:D34),1)</f>
        <v>23.8</v>
      </c>
      <c r="E37" s="306">
        <f t="shared" si="5"/>
        <v>40.799999999999997</v>
      </c>
      <c r="F37" s="306">
        <f t="shared" si="5"/>
        <v>73.900000000000006</v>
      </c>
      <c r="G37" s="306">
        <f t="shared" si="5"/>
        <v>102.7</v>
      </c>
      <c r="H37" s="306">
        <f t="shared" si="5"/>
        <v>140</v>
      </c>
      <c r="I37" s="306">
        <f t="shared" si="5"/>
        <v>404.4</v>
      </c>
      <c r="J37" s="306">
        <f t="shared" si="5"/>
        <v>361.2</v>
      </c>
      <c r="K37" s="306">
        <f t="shared" si="5"/>
        <v>143.80000000000001</v>
      </c>
      <c r="L37" s="306">
        <f t="shared" si="5"/>
        <v>56.7</v>
      </c>
      <c r="M37" s="306">
        <f t="shared" si="5"/>
        <v>52.3</v>
      </c>
      <c r="N37" s="309">
        <f t="shared" si="5"/>
        <v>22</v>
      </c>
      <c r="O37" s="543">
        <f>ROUND(AVERAGE(O5:O34),1)</f>
        <v>1439.8</v>
      </c>
      <c r="P37" s="536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29" t="s">
        <v>40</v>
      </c>
      <c r="C40" s="530" t="s">
        <v>31</v>
      </c>
      <c r="D40" s="530" t="s">
        <v>32</v>
      </c>
      <c r="E40" s="530" t="s">
        <v>33</v>
      </c>
      <c r="F40" s="530" t="s">
        <v>34</v>
      </c>
      <c r="G40" s="530" t="s">
        <v>35</v>
      </c>
      <c r="H40" s="530" t="s">
        <v>12</v>
      </c>
      <c r="I40" s="530" t="s">
        <v>13</v>
      </c>
      <c r="J40" s="530" t="s">
        <v>14</v>
      </c>
      <c r="K40" s="530" t="s">
        <v>15</v>
      </c>
      <c r="L40" s="530" t="s">
        <v>16</v>
      </c>
      <c r="M40" s="530" t="s">
        <v>17</v>
      </c>
      <c r="N40" s="551" t="s">
        <v>18</v>
      </c>
      <c r="O40" s="529" t="s">
        <v>43</v>
      </c>
      <c r="P40" s="531" t="s">
        <v>30</v>
      </c>
    </row>
    <row r="41" spans="2:16" ht="22.5" customHeight="1">
      <c r="B41" s="532">
        <f>B25</f>
        <v>2014</v>
      </c>
      <c r="C41" s="527">
        <f t="shared" ref="C41:N41" si="6">C25</f>
        <v>13</v>
      </c>
      <c r="D41" s="527">
        <f t="shared" si="6"/>
        <v>16.2</v>
      </c>
      <c r="E41" s="527">
        <f t="shared" si="6"/>
        <v>7.2</v>
      </c>
      <c r="F41" s="527">
        <f t="shared" si="6"/>
        <v>31</v>
      </c>
      <c r="G41" s="527">
        <f t="shared" si="6"/>
        <v>63</v>
      </c>
      <c r="H41" s="527">
        <f t="shared" si="6"/>
        <v>98.1</v>
      </c>
      <c r="I41" s="527">
        <f t="shared" si="6"/>
        <v>207.9</v>
      </c>
      <c r="J41" s="527">
        <f t="shared" si="6"/>
        <v>172.8</v>
      </c>
      <c r="K41" s="527">
        <f t="shared" si="6"/>
        <v>88.1</v>
      </c>
      <c r="L41" s="527">
        <f t="shared" si="6"/>
        <v>52.2</v>
      </c>
      <c r="M41" s="527">
        <f t="shared" si="6"/>
        <v>41.5</v>
      </c>
      <c r="N41" s="552">
        <f t="shared" si="6"/>
        <v>17.899999999999999</v>
      </c>
      <c r="O41" s="532">
        <f>ROUND(SUM(C41:N41),1)</f>
        <v>808.9</v>
      </c>
      <c r="P41" s="533">
        <f>ROUND(O41/12,1)</f>
        <v>67.400000000000006</v>
      </c>
    </row>
    <row r="42" spans="2:16" ht="22.5" customHeight="1">
      <c r="B42" s="532">
        <f t="shared" ref="B42:N42" si="7">B26</f>
        <v>2015</v>
      </c>
      <c r="C42" s="527">
        <f t="shared" si="7"/>
        <v>11.3</v>
      </c>
      <c r="D42" s="527">
        <f t="shared" si="7"/>
        <v>22.7</v>
      </c>
      <c r="E42" s="527">
        <f t="shared" si="7"/>
        <v>9.6</v>
      </c>
      <c r="F42" s="527">
        <f t="shared" si="7"/>
        <v>80.5</v>
      </c>
      <c r="G42" s="527">
        <f t="shared" si="7"/>
        <v>28.9</v>
      </c>
      <c r="H42" s="527">
        <f t="shared" si="7"/>
        <v>99</v>
      </c>
      <c r="I42" s="527">
        <f t="shared" si="7"/>
        <v>226</v>
      </c>
      <c r="J42" s="527">
        <f t="shared" si="7"/>
        <v>72.900000000000006</v>
      </c>
      <c r="K42" s="527">
        <f t="shared" si="7"/>
        <v>26</v>
      </c>
      <c r="L42" s="527">
        <f t="shared" si="7"/>
        <v>81.5</v>
      </c>
      <c r="M42" s="527">
        <f t="shared" si="7"/>
        <v>104.6</v>
      </c>
      <c r="N42" s="552">
        <f t="shared" si="7"/>
        <v>29.1</v>
      </c>
      <c r="O42" s="532">
        <f t="shared" ref="O42:O50" si="8">ROUND(SUM(C42:N42),1)</f>
        <v>792.1</v>
      </c>
      <c r="P42" s="533">
        <f t="shared" ref="P42:P50" si="9">ROUND(O42/12,1)</f>
        <v>66</v>
      </c>
    </row>
    <row r="43" spans="2:16" ht="22.5" customHeight="1">
      <c r="B43" s="532">
        <f t="shared" ref="B43:N43" si="10">B27</f>
        <v>2016</v>
      </c>
      <c r="C43" s="527">
        <f t="shared" si="10"/>
        <v>1</v>
      </c>
      <c r="D43" s="527">
        <f t="shared" si="10"/>
        <v>47.6</v>
      </c>
      <c r="E43" s="527">
        <f t="shared" si="10"/>
        <v>40.5</v>
      </c>
      <c r="F43" s="527">
        <f t="shared" si="10"/>
        <v>76.8</v>
      </c>
      <c r="G43" s="527">
        <f t="shared" si="10"/>
        <v>160.5</v>
      </c>
      <c r="H43" s="527">
        <f t="shared" si="10"/>
        <v>54.4</v>
      </c>
      <c r="I43" s="527">
        <f t="shared" si="10"/>
        <v>358.2</v>
      </c>
      <c r="J43" s="527">
        <f t="shared" si="10"/>
        <v>67.099999999999994</v>
      </c>
      <c r="K43" s="527">
        <f t="shared" si="10"/>
        <v>33</v>
      </c>
      <c r="L43" s="527">
        <f t="shared" si="10"/>
        <v>74.8</v>
      </c>
      <c r="M43" s="527">
        <f t="shared" si="10"/>
        <v>16.7</v>
      </c>
      <c r="N43" s="552">
        <f t="shared" si="10"/>
        <v>61.1</v>
      </c>
      <c r="O43" s="532">
        <f t="shared" si="8"/>
        <v>991.7</v>
      </c>
      <c r="P43" s="533">
        <f t="shared" si="9"/>
        <v>82.6</v>
      </c>
    </row>
    <row r="44" spans="2:16" ht="22.5" customHeight="1">
      <c r="B44" s="532">
        <f t="shared" ref="B44:N44" si="11">B28</f>
        <v>2017</v>
      </c>
      <c r="C44" s="527">
        <f t="shared" si="11"/>
        <v>14.9</v>
      </c>
      <c r="D44" s="527">
        <f t="shared" si="11"/>
        <v>11.1</v>
      </c>
      <c r="E44" s="527">
        <f t="shared" si="11"/>
        <v>7.9</v>
      </c>
      <c r="F44" s="527">
        <f t="shared" si="11"/>
        <v>61.6</v>
      </c>
      <c r="G44" s="527">
        <f t="shared" si="11"/>
        <v>16.100000000000001</v>
      </c>
      <c r="H44" s="527">
        <f t="shared" si="11"/>
        <v>66.599999999999994</v>
      </c>
      <c r="I44" s="527">
        <f t="shared" si="11"/>
        <v>621</v>
      </c>
      <c r="J44" s="527">
        <f t="shared" si="11"/>
        <v>297</v>
      </c>
      <c r="K44" s="527">
        <f t="shared" si="11"/>
        <v>35</v>
      </c>
      <c r="L44" s="527">
        <f t="shared" si="11"/>
        <v>26.5</v>
      </c>
      <c r="M44" s="527">
        <f t="shared" si="11"/>
        <v>40.700000000000003</v>
      </c>
      <c r="N44" s="552">
        <f t="shared" si="11"/>
        <v>34.799999999999997</v>
      </c>
      <c r="O44" s="532">
        <f t="shared" si="8"/>
        <v>1233.2</v>
      </c>
      <c r="P44" s="533">
        <f t="shared" si="9"/>
        <v>102.8</v>
      </c>
    </row>
    <row r="45" spans="2:16" ht="22.5" customHeight="1">
      <c r="B45" s="532">
        <f t="shared" ref="B45:N45" si="12">B29</f>
        <v>2018</v>
      </c>
      <c r="C45" s="527">
        <f t="shared" si="12"/>
        <v>8.5</v>
      </c>
      <c r="D45" s="527">
        <f t="shared" si="12"/>
        <v>29.6</v>
      </c>
      <c r="E45" s="527">
        <f t="shared" si="12"/>
        <v>49.5</v>
      </c>
      <c r="F45" s="527">
        <f t="shared" si="12"/>
        <v>130.30000000000001</v>
      </c>
      <c r="G45" s="527">
        <f t="shared" si="12"/>
        <v>222</v>
      </c>
      <c r="H45" s="527">
        <f t="shared" si="12"/>
        <v>171.5</v>
      </c>
      <c r="I45" s="527">
        <f t="shared" si="12"/>
        <v>185.6</v>
      </c>
      <c r="J45" s="527">
        <f t="shared" si="12"/>
        <v>202.6</v>
      </c>
      <c r="K45" s="527">
        <f t="shared" si="12"/>
        <v>68.5</v>
      </c>
      <c r="L45" s="527">
        <f t="shared" si="12"/>
        <v>120.5</v>
      </c>
      <c r="M45" s="527">
        <f t="shared" si="12"/>
        <v>79.099999999999994</v>
      </c>
      <c r="N45" s="552">
        <f t="shared" si="12"/>
        <v>16.399999999999999</v>
      </c>
      <c r="O45" s="532">
        <f t="shared" si="8"/>
        <v>1284.0999999999999</v>
      </c>
      <c r="P45" s="533">
        <f t="shared" si="9"/>
        <v>107</v>
      </c>
    </row>
    <row r="46" spans="2:16" ht="22.5" customHeight="1">
      <c r="B46" s="532">
        <f t="shared" ref="B46:N46" si="13">B30</f>
        <v>2019</v>
      </c>
      <c r="C46" s="527">
        <f t="shared" si="13"/>
        <v>0</v>
      </c>
      <c r="D46" s="527">
        <f t="shared" si="13"/>
        <v>23.8</v>
      </c>
      <c r="E46" s="527">
        <f t="shared" si="13"/>
        <v>26.8</v>
      </c>
      <c r="F46" s="527">
        <f t="shared" si="13"/>
        <v>47.3</v>
      </c>
      <c r="G46" s="527">
        <f t="shared" si="13"/>
        <v>37.799999999999997</v>
      </c>
      <c r="H46" s="527">
        <f t="shared" si="13"/>
        <v>74</v>
      </c>
      <c r="I46" s="527">
        <f t="shared" si="13"/>
        <v>194.4</v>
      </c>
      <c r="J46" s="527">
        <f t="shared" si="13"/>
        <v>190.5</v>
      </c>
      <c r="K46" s="527">
        <f t="shared" si="13"/>
        <v>139.80000000000001</v>
      </c>
      <c r="L46" s="527">
        <f t="shared" si="13"/>
        <v>55.5</v>
      </c>
      <c r="M46" s="527">
        <f t="shared" si="13"/>
        <v>78.8</v>
      </c>
      <c r="N46" s="552">
        <f t="shared" si="13"/>
        <v>22.6</v>
      </c>
      <c r="O46" s="532">
        <f t="shared" si="8"/>
        <v>891.3</v>
      </c>
      <c r="P46" s="533">
        <f t="shared" si="9"/>
        <v>74.3</v>
      </c>
    </row>
    <row r="47" spans="2:16" ht="22.5" customHeight="1">
      <c r="B47" s="532">
        <f t="shared" ref="B47:N47" si="14">B31</f>
        <v>2020</v>
      </c>
      <c r="C47" s="527">
        <f t="shared" si="14"/>
        <v>60.5</v>
      </c>
      <c r="D47" s="527">
        <f t="shared" si="14"/>
        <v>53.1</v>
      </c>
      <c r="E47" s="527">
        <f t="shared" si="14"/>
        <v>16.3</v>
      </c>
      <c r="F47" s="527">
        <f t="shared" si="14"/>
        <v>16.899999999999999</v>
      </c>
      <c r="G47" s="527">
        <f t="shared" si="14"/>
        <v>112.4</v>
      </c>
      <c r="H47" s="527">
        <f t="shared" si="14"/>
        <v>139.6</v>
      </c>
      <c r="I47" s="527">
        <f t="shared" si="14"/>
        <v>270.39999999999998</v>
      </c>
      <c r="J47" s="527">
        <f t="shared" si="14"/>
        <v>675.7</v>
      </c>
      <c r="K47" s="527">
        <f t="shared" si="14"/>
        <v>181.5</v>
      </c>
      <c r="L47" s="527">
        <f t="shared" si="14"/>
        <v>0</v>
      </c>
      <c r="M47" s="527">
        <f t="shared" si="14"/>
        <v>120.1</v>
      </c>
      <c r="N47" s="552">
        <f t="shared" si="14"/>
        <v>4.5999999999999996</v>
      </c>
      <c r="O47" s="532">
        <f t="shared" si="8"/>
        <v>1651.1</v>
      </c>
      <c r="P47" s="533">
        <f t="shared" si="9"/>
        <v>137.6</v>
      </c>
    </row>
    <row r="48" spans="2:16" ht="22.5" customHeight="1">
      <c r="B48" s="532">
        <f t="shared" ref="B48:N48" si="15">B32</f>
        <v>2021</v>
      </c>
      <c r="C48" s="527">
        <f t="shared" si="15"/>
        <v>18.899999999999999</v>
      </c>
      <c r="D48" s="527">
        <f t="shared" si="15"/>
        <v>7.1</v>
      </c>
      <c r="E48" s="527">
        <f t="shared" si="15"/>
        <v>110.9</v>
      </c>
      <c r="F48" s="527">
        <f t="shared" si="15"/>
        <v>124.1</v>
      </c>
      <c r="G48" s="527">
        <f t="shared" si="15"/>
        <v>183.1</v>
      </c>
      <c r="H48" s="527">
        <f t="shared" si="15"/>
        <v>104.6</v>
      </c>
      <c r="I48" s="527">
        <f t="shared" si="15"/>
        <v>168.3</v>
      </c>
      <c r="J48" s="527">
        <f t="shared" si="15"/>
        <v>211.2</v>
      </c>
      <c r="K48" s="527">
        <f t="shared" si="15"/>
        <v>131</v>
      </c>
      <c r="L48" s="527">
        <f t="shared" si="15"/>
        <v>57</v>
      </c>
      <c r="M48" s="527">
        <f t="shared" si="15"/>
        <v>62.4</v>
      </c>
      <c r="N48" s="552">
        <f t="shared" si="15"/>
        <v>7.9</v>
      </c>
      <c r="O48" s="532">
        <f t="shared" si="8"/>
        <v>1186.5</v>
      </c>
      <c r="P48" s="533">
        <f t="shared" si="9"/>
        <v>98.9</v>
      </c>
    </row>
    <row r="49" spans="2:16" ht="22.5" customHeight="1">
      <c r="B49" s="532">
        <f t="shared" ref="B49:N49" si="16">B33</f>
        <v>2022</v>
      </c>
      <c r="C49" s="527">
        <f t="shared" si="16"/>
        <v>5.5</v>
      </c>
      <c r="D49" s="527">
        <f t="shared" si="16"/>
        <v>4.7</v>
      </c>
      <c r="E49" s="527">
        <f t="shared" si="16"/>
        <v>102.6</v>
      </c>
      <c r="F49" s="527">
        <f t="shared" si="16"/>
        <v>20.399999999999999</v>
      </c>
      <c r="G49" s="527">
        <f t="shared" si="16"/>
        <v>7.5</v>
      </c>
      <c r="H49" s="527">
        <f t="shared" si="16"/>
        <v>393.8</v>
      </c>
      <c r="I49" s="527">
        <f t="shared" si="16"/>
        <v>252.3</v>
      </c>
      <c r="J49" s="527">
        <f t="shared" si="16"/>
        <v>564.79999999999995</v>
      </c>
      <c r="K49" s="527">
        <f t="shared" si="16"/>
        <v>201.5</v>
      </c>
      <c r="L49" s="527">
        <f t="shared" si="16"/>
        <v>124.1</v>
      </c>
      <c r="M49" s="527">
        <f t="shared" si="16"/>
        <v>84.5</v>
      </c>
      <c r="N49" s="552">
        <f t="shared" si="16"/>
        <v>13.6</v>
      </c>
      <c r="O49" s="532">
        <f t="shared" si="8"/>
        <v>1775.3</v>
      </c>
      <c r="P49" s="533">
        <f t="shared" si="9"/>
        <v>147.9</v>
      </c>
    </row>
    <row r="50" spans="2:16" ht="22.5" customHeight="1" thickBot="1">
      <c r="B50" s="555">
        <f t="shared" ref="B50:N50" si="17">B34</f>
        <v>2023</v>
      </c>
      <c r="C50" s="545">
        <f t="shared" si="17"/>
        <v>47.9</v>
      </c>
      <c r="D50" s="545">
        <f t="shared" si="17"/>
        <v>1</v>
      </c>
      <c r="E50" s="545">
        <f>E34</f>
        <v>10.5</v>
      </c>
      <c r="F50" s="545">
        <f t="shared" si="17"/>
        <v>96.9</v>
      </c>
      <c r="G50" s="545">
        <f t="shared" si="17"/>
        <v>155.6</v>
      </c>
      <c r="H50" s="545">
        <f t="shared" si="17"/>
        <v>195.6</v>
      </c>
      <c r="I50" s="545">
        <f t="shared" si="17"/>
        <v>459.9</v>
      </c>
      <c r="J50" s="545">
        <f t="shared" si="17"/>
        <v>298.10000000000002</v>
      </c>
      <c r="K50" s="545">
        <f t="shared" si="17"/>
        <v>134.5</v>
      </c>
      <c r="L50" s="545">
        <f t="shared" si="17"/>
        <v>31</v>
      </c>
      <c r="M50" s="545">
        <f t="shared" si="17"/>
        <v>81.900000000000006</v>
      </c>
      <c r="N50" s="556">
        <f t="shared" si="17"/>
        <v>85.9</v>
      </c>
      <c r="O50" s="555">
        <f t="shared" si="8"/>
        <v>1598.8</v>
      </c>
      <c r="P50" s="546">
        <f t="shared" si="9"/>
        <v>133.19999999999999</v>
      </c>
    </row>
    <row r="51" spans="2:16" ht="22.5" customHeight="1">
      <c r="B51" s="557" t="s">
        <v>46</v>
      </c>
      <c r="C51" s="558">
        <f>MAX(C41:C50)</f>
        <v>60.5</v>
      </c>
      <c r="D51" s="558">
        <f t="shared" ref="D51:P51" si="18">MAX(D41:D50)</f>
        <v>53.1</v>
      </c>
      <c r="E51" s="558">
        <f t="shared" si="18"/>
        <v>110.9</v>
      </c>
      <c r="F51" s="558">
        <f t="shared" si="18"/>
        <v>130.30000000000001</v>
      </c>
      <c r="G51" s="558">
        <f t="shared" si="18"/>
        <v>222</v>
      </c>
      <c r="H51" s="558">
        <f t="shared" si="18"/>
        <v>393.8</v>
      </c>
      <c r="I51" s="558">
        <f t="shared" si="18"/>
        <v>621</v>
      </c>
      <c r="J51" s="558">
        <f t="shared" si="18"/>
        <v>675.7</v>
      </c>
      <c r="K51" s="558">
        <f t="shared" si="18"/>
        <v>201.5</v>
      </c>
      <c r="L51" s="558">
        <f t="shared" si="18"/>
        <v>124.1</v>
      </c>
      <c r="M51" s="558">
        <f t="shared" si="18"/>
        <v>120.1</v>
      </c>
      <c r="N51" s="559">
        <f t="shared" si="18"/>
        <v>85.9</v>
      </c>
      <c r="O51" s="557">
        <f t="shared" si="18"/>
        <v>1775.3</v>
      </c>
      <c r="P51" s="560">
        <f t="shared" si="18"/>
        <v>147.9</v>
      </c>
    </row>
    <row r="52" spans="2:16" ht="22.5" customHeight="1">
      <c r="B52" s="532" t="s">
        <v>47</v>
      </c>
      <c r="C52" s="527">
        <f>MIN(C41:C50)</f>
        <v>0</v>
      </c>
      <c r="D52" s="527">
        <f t="shared" ref="D52:P52" si="19">MIN(D41:D50)</f>
        <v>1</v>
      </c>
      <c r="E52" s="527">
        <f t="shared" si="19"/>
        <v>7.2</v>
      </c>
      <c r="F52" s="527">
        <f t="shared" si="19"/>
        <v>16.899999999999999</v>
      </c>
      <c r="G52" s="527">
        <f t="shared" si="19"/>
        <v>7.5</v>
      </c>
      <c r="H52" s="527">
        <f t="shared" si="19"/>
        <v>54.4</v>
      </c>
      <c r="I52" s="527">
        <f t="shared" si="19"/>
        <v>168.3</v>
      </c>
      <c r="J52" s="527">
        <f t="shared" si="19"/>
        <v>67.099999999999994</v>
      </c>
      <c r="K52" s="527">
        <f t="shared" si="19"/>
        <v>26</v>
      </c>
      <c r="L52" s="527">
        <f t="shared" si="19"/>
        <v>0</v>
      </c>
      <c r="M52" s="527">
        <f t="shared" si="19"/>
        <v>16.7</v>
      </c>
      <c r="N52" s="552">
        <f t="shared" si="19"/>
        <v>4.5999999999999996</v>
      </c>
      <c r="O52" s="532">
        <f>MIN(O41:O50)</f>
        <v>792.1</v>
      </c>
      <c r="P52" s="533">
        <f t="shared" si="19"/>
        <v>66</v>
      </c>
    </row>
    <row r="53" spans="2:16" ht="22.5" customHeight="1" thickBot="1">
      <c r="B53" s="534" t="s">
        <v>30</v>
      </c>
      <c r="C53" s="535">
        <f>ROUND(AVERAGE(C41:C50),1)</f>
        <v>18.2</v>
      </c>
      <c r="D53" s="535">
        <f t="shared" ref="D53:N53" si="20">ROUND(AVERAGE(D41:D50),1)</f>
        <v>21.7</v>
      </c>
      <c r="E53" s="535">
        <f t="shared" si="20"/>
        <v>38.200000000000003</v>
      </c>
      <c r="F53" s="535">
        <f t="shared" si="20"/>
        <v>68.599999999999994</v>
      </c>
      <c r="G53" s="535">
        <f t="shared" si="20"/>
        <v>98.7</v>
      </c>
      <c r="H53" s="535">
        <f t="shared" si="20"/>
        <v>139.69999999999999</v>
      </c>
      <c r="I53" s="535">
        <f t="shared" si="20"/>
        <v>294.39999999999998</v>
      </c>
      <c r="J53" s="535">
        <f t="shared" si="20"/>
        <v>275.3</v>
      </c>
      <c r="K53" s="535">
        <f t="shared" si="20"/>
        <v>103.9</v>
      </c>
      <c r="L53" s="535">
        <f t="shared" si="20"/>
        <v>62.3</v>
      </c>
      <c r="M53" s="535">
        <f t="shared" si="20"/>
        <v>71</v>
      </c>
      <c r="N53" s="553">
        <f t="shared" si="20"/>
        <v>29.4</v>
      </c>
      <c r="O53" s="554">
        <f>ROUND(AVERAGE(O41:O50),1)</f>
        <v>1221.3</v>
      </c>
      <c r="P53" s="536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Q74" sqref="Q74"/>
    </sheetView>
  </sheetViews>
  <sheetFormatPr defaultColWidth="8.88671875" defaultRowHeight="16.5"/>
  <cols>
    <col min="1" max="1" width="8.88671875" style="143"/>
    <col min="2" max="2" width="8.88671875" style="500"/>
    <col min="3" max="3" width="8" style="50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87"/>
      <c r="C2" s="488" t="s">
        <v>7</v>
      </c>
      <c r="D2" s="488" t="s">
        <v>8</v>
      </c>
      <c r="E2" s="488" t="s">
        <v>9</v>
      </c>
      <c r="F2" s="488" t="s">
        <v>10</v>
      </c>
      <c r="G2" s="488" t="s">
        <v>11</v>
      </c>
      <c r="H2" s="488" t="s">
        <v>12</v>
      </c>
      <c r="I2" s="488" t="s">
        <v>13</v>
      </c>
      <c r="J2" s="488" t="s">
        <v>14</v>
      </c>
      <c r="K2" s="488" t="s">
        <v>15</v>
      </c>
      <c r="L2" s="488" t="s">
        <v>16</v>
      </c>
      <c r="M2" s="488" t="s">
        <v>17</v>
      </c>
      <c r="N2" s="488" t="s">
        <v>18</v>
      </c>
      <c r="O2" s="488" t="s">
        <v>28</v>
      </c>
      <c r="P2" s="489" t="s">
        <v>20</v>
      </c>
    </row>
    <row r="3" spans="2:16">
      <c r="B3" s="490">
        <f>All!B5</f>
        <v>1994</v>
      </c>
      <c r="C3" s="486">
        <f>All!C5</f>
        <v>6.5</v>
      </c>
      <c r="D3" s="486">
        <f>All!D5</f>
        <v>14.8</v>
      </c>
      <c r="E3" s="486">
        <f>All!E5</f>
        <v>31.7</v>
      </c>
      <c r="F3" s="486">
        <f>All!F5</f>
        <v>44.9</v>
      </c>
      <c r="G3" s="486">
        <f>All!G5</f>
        <v>152.4</v>
      </c>
      <c r="H3" s="486">
        <f>All!H5</f>
        <v>85</v>
      </c>
      <c r="I3" s="486">
        <f>All!I5</f>
        <v>139.5</v>
      </c>
      <c r="J3" s="486">
        <f>All!J5</f>
        <v>232.7</v>
      </c>
      <c r="K3" s="486">
        <f>All!K5</f>
        <v>60.7</v>
      </c>
      <c r="L3" s="486">
        <f>All!L5</f>
        <v>214.5</v>
      </c>
      <c r="M3" s="486">
        <f>All!M5</f>
        <v>49.6</v>
      </c>
      <c r="N3" s="486">
        <f>All!N5</f>
        <v>23.5</v>
      </c>
      <c r="O3" s="486">
        <f>All!O5</f>
        <v>1055.8</v>
      </c>
      <c r="P3" s="491">
        <f>All!P5</f>
        <v>88</v>
      </c>
    </row>
    <row r="4" spans="2:16">
      <c r="B4" s="490">
        <f>All!B6</f>
        <v>1995</v>
      </c>
      <c r="C4" s="486">
        <f>All!C6</f>
        <v>11.6</v>
      </c>
      <c r="D4" s="486">
        <f>All!D6</f>
        <v>5.2</v>
      </c>
      <c r="E4" s="486">
        <f>All!E6</f>
        <v>60.6</v>
      </c>
      <c r="F4" s="486">
        <f>All!F6</f>
        <v>44.4</v>
      </c>
      <c r="G4" s="486">
        <f>All!G6</f>
        <v>60.6</v>
      </c>
      <c r="H4" s="486">
        <f>All!H6</f>
        <v>70.7</v>
      </c>
      <c r="I4" s="486">
        <f>All!I6</f>
        <v>436.1</v>
      </c>
      <c r="J4" s="486">
        <f>All!J6</f>
        <v>786.6</v>
      </c>
      <c r="K4" s="486">
        <f>All!K6</f>
        <v>47.2</v>
      </c>
      <c r="L4" s="486">
        <f>All!L6</f>
        <v>39.299999999999997</v>
      </c>
      <c r="M4" s="486">
        <f>All!M6</f>
        <v>32.9</v>
      </c>
      <c r="N4" s="486">
        <f>All!N6</f>
        <v>3.4</v>
      </c>
      <c r="O4" s="486">
        <f>All!O6</f>
        <v>1598.6</v>
      </c>
      <c r="P4" s="491">
        <f>All!P6</f>
        <v>133.19999999999999</v>
      </c>
    </row>
    <row r="5" spans="2:16">
      <c r="B5" s="490">
        <f>All!B7</f>
        <v>1996</v>
      </c>
      <c r="C5" s="486">
        <f>All!C7</f>
        <v>16.3</v>
      </c>
      <c r="D5" s="486">
        <f>All!D7</f>
        <v>1</v>
      </c>
      <c r="E5" s="486">
        <f>All!E7</f>
        <v>77.900000000000006</v>
      </c>
      <c r="F5" s="486">
        <f>All!F7</f>
        <v>62</v>
      </c>
      <c r="G5" s="486">
        <f>All!G7</f>
        <v>29.3</v>
      </c>
      <c r="H5" s="486">
        <f>All!H7</f>
        <v>249.7</v>
      </c>
      <c r="I5" s="486">
        <f>All!I7</f>
        <v>512.79999999999995</v>
      </c>
      <c r="J5" s="486">
        <f>All!J7</f>
        <v>132.4</v>
      </c>
      <c r="K5" s="486">
        <f>All!K7</f>
        <v>11</v>
      </c>
      <c r="L5" s="486">
        <f>All!L7</f>
        <v>90.3</v>
      </c>
      <c r="M5" s="486">
        <f>All!M7</f>
        <v>62.9</v>
      </c>
      <c r="N5" s="486">
        <f>All!N7</f>
        <v>11</v>
      </c>
      <c r="O5" s="486">
        <f>All!O7</f>
        <v>1256.5999999999999</v>
      </c>
      <c r="P5" s="491">
        <f>All!P7</f>
        <v>104.7</v>
      </c>
    </row>
    <row r="6" spans="2:16">
      <c r="B6" s="490">
        <f>All!B8</f>
        <v>1997</v>
      </c>
      <c r="C6" s="486">
        <f>All!C8</f>
        <v>16.8</v>
      </c>
      <c r="D6" s="486">
        <f>All!D8</f>
        <v>39.6</v>
      </c>
      <c r="E6" s="486">
        <f>All!E8</f>
        <v>25.3</v>
      </c>
      <c r="F6" s="486">
        <f>All!F8</f>
        <v>56.1</v>
      </c>
      <c r="G6" s="486">
        <f>All!G8</f>
        <v>291.3</v>
      </c>
      <c r="H6" s="486">
        <f>All!H8</f>
        <v>110</v>
      </c>
      <c r="I6" s="486">
        <f>All!I8</f>
        <v>299.60000000000002</v>
      </c>
      <c r="J6" s="486">
        <f>All!J8</f>
        <v>117.2</v>
      </c>
      <c r="K6" s="486">
        <f>All!K8</f>
        <v>76.900000000000006</v>
      </c>
      <c r="L6" s="486">
        <f>All!L8</f>
        <v>45.5</v>
      </c>
      <c r="M6" s="486">
        <f>All!M8</f>
        <v>93.8</v>
      </c>
      <c r="N6" s="486">
        <f>All!N8</f>
        <v>38.1</v>
      </c>
      <c r="O6" s="486">
        <f>All!O8</f>
        <v>1210.2</v>
      </c>
      <c r="P6" s="491">
        <f>All!P8</f>
        <v>100.9</v>
      </c>
    </row>
    <row r="7" spans="2:16">
      <c r="B7" s="490">
        <f>All!B9</f>
        <v>1998</v>
      </c>
      <c r="C7" s="486">
        <f>All!C9</f>
        <v>10.4</v>
      </c>
      <c r="D7" s="486">
        <f>All!D9</f>
        <v>32.299999999999997</v>
      </c>
      <c r="E7" s="486">
        <f>All!E9</f>
        <v>45.1</v>
      </c>
      <c r="F7" s="486">
        <f>All!F9</f>
        <v>120.2</v>
      </c>
      <c r="G7" s="486">
        <f>All!G9</f>
        <v>121.5</v>
      </c>
      <c r="H7" s="486">
        <f>All!H9</f>
        <v>234.1</v>
      </c>
      <c r="I7" s="486">
        <f>All!I9</f>
        <v>311.8</v>
      </c>
      <c r="J7" s="486">
        <f>All!J9</f>
        <v>1237.8</v>
      </c>
      <c r="K7" s="486">
        <f>All!K9</f>
        <v>177.9</v>
      </c>
      <c r="L7" s="486">
        <f>All!L9</f>
        <v>27.4</v>
      </c>
      <c r="M7" s="486">
        <f>All!M9</f>
        <v>26.9</v>
      </c>
      <c r="N7" s="486">
        <f>All!N9</f>
        <v>3.7</v>
      </c>
      <c r="O7" s="486">
        <f>All!O9</f>
        <v>2349.1</v>
      </c>
      <c r="P7" s="491">
        <f>All!P9</f>
        <v>195.8</v>
      </c>
    </row>
    <row r="8" spans="2:16">
      <c r="B8" s="490">
        <f>All!B10</f>
        <v>1999</v>
      </c>
      <c r="C8" s="486">
        <f>All!C10</f>
        <v>10.199999999999999</v>
      </c>
      <c r="D8" s="486">
        <f>All!D10</f>
        <v>2.9</v>
      </c>
      <c r="E8" s="486">
        <f>All!E10</f>
        <v>55</v>
      </c>
      <c r="F8" s="486">
        <f>All!F10</f>
        <v>97.2</v>
      </c>
      <c r="G8" s="486">
        <f>All!G10</f>
        <v>109.7</v>
      </c>
      <c r="H8" s="486">
        <f>All!H10</f>
        <v>131.80000000000001</v>
      </c>
      <c r="I8" s="486">
        <f>All!I10</f>
        <v>230.4</v>
      </c>
      <c r="J8" s="486">
        <f>All!J10</f>
        <v>600.5</v>
      </c>
      <c r="K8" s="486">
        <f>All!K10</f>
        <v>377.3</v>
      </c>
      <c r="L8" s="486">
        <f>All!L10</f>
        <v>81.599999999999994</v>
      </c>
      <c r="M8" s="486">
        <f>All!M10</f>
        <v>19.5</v>
      </c>
      <c r="N8" s="486">
        <f>All!N10</f>
        <v>17</v>
      </c>
      <c r="O8" s="486">
        <f>All!O10</f>
        <v>1733.1</v>
      </c>
      <c r="P8" s="491">
        <f>All!P10</f>
        <v>144.4</v>
      </c>
    </row>
    <row r="9" spans="2:16">
      <c r="B9" s="490">
        <f>All!B11</f>
        <v>2000</v>
      </c>
      <c r="C9" s="486">
        <f>All!C11</f>
        <v>42.8</v>
      </c>
      <c r="D9" s="486">
        <f>All!D11</f>
        <v>2.1</v>
      </c>
      <c r="E9" s="486">
        <f>All!E11</f>
        <v>3.1</v>
      </c>
      <c r="F9" s="486">
        <f>All!F11</f>
        <v>30.7</v>
      </c>
      <c r="G9" s="486">
        <f>All!G11</f>
        <v>75.2</v>
      </c>
      <c r="H9" s="486">
        <f>All!H11</f>
        <v>68.099999999999994</v>
      </c>
      <c r="I9" s="486">
        <f>All!I11</f>
        <v>114.7</v>
      </c>
      <c r="J9" s="486">
        <f>All!J11</f>
        <v>599.4</v>
      </c>
      <c r="K9" s="486">
        <f>All!K11</f>
        <v>178.5</v>
      </c>
      <c r="L9" s="486">
        <f>All!L11</f>
        <v>18.100000000000001</v>
      </c>
      <c r="M9" s="486">
        <f>All!M11</f>
        <v>27.1</v>
      </c>
      <c r="N9" s="486">
        <f>All!N11</f>
        <v>27</v>
      </c>
      <c r="O9" s="486">
        <f>All!O11</f>
        <v>1186.8</v>
      </c>
      <c r="P9" s="491">
        <f>All!P11</f>
        <v>98.9</v>
      </c>
    </row>
    <row r="10" spans="2:16">
      <c r="B10" s="490">
        <f>All!B12</f>
        <v>2001</v>
      </c>
      <c r="C10" s="486">
        <f>All!C12</f>
        <v>39.4</v>
      </c>
      <c r="D10" s="486">
        <f>All!D12</f>
        <v>45.7</v>
      </c>
      <c r="E10" s="486">
        <f>All!E12</f>
        <v>18.100000000000001</v>
      </c>
      <c r="F10" s="486">
        <f>All!F12</f>
        <v>12.3</v>
      </c>
      <c r="G10" s="486">
        <f>All!G12</f>
        <v>16.5</v>
      </c>
      <c r="H10" s="486">
        <f>All!H12</f>
        <v>157.4</v>
      </c>
      <c r="I10" s="486">
        <f>All!I12</f>
        <v>698.4</v>
      </c>
      <c r="J10" s="486">
        <f>All!J12</f>
        <v>252</v>
      </c>
      <c r="K10" s="486">
        <f>All!K12</f>
        <v>49.3</v>
      </c>
      <c r="L10" s="486">
        <f>All!L12</f>
        <v>68.2</v>
      </c>
      <c r="M10" s="486">
        <f>All!M12</f>
        <v>13</v>
      </c>
      <c r="N10" s="486">
        <f>All!N12</f>
        <v>15.7</v>
      </c>
      <c r="O10" s="486">
        <f>All!O12</f>
        <v>1386</v>
      </c>
      <c r="P10" s="491">
        <f>All!P12</f>
        <v>115.5</v>
      </c>
    </row>
    <row r="11" spans="2:16">
      <c r="B11" s="490">
        <f>All!B13</f>
        <v>2002</v>
      </c>
      <c r="C11" s="486">
        <f>All!C13</f>
        <v>37.4</v>
      </c>
      <c r="D11" s="486">
        <f>All!D13</f>
        <v>2.4</v>
      </c>
      <c r="E11" s="486">
        <f>All!E13</f>
        <v>31.5</v>
      </c>
      <c r="F11" s="486">
        <f>All!F13</f>
        <v>155.1</v>
      </c>
      <c r="G11" s="486">
        <f>All!G13</f>
        <v>58</v>
      </c>
      <c r="H11" s="486">
        <f>All!H13</f>
        <v>61.4</v>
      </c>
      <c r="I11" s="486">
        <f>All!I13</f>
        <v>220.6</v>
      </c>
      <c r="J11" s="486">
        <f>All!J13</f>
        <v>688</v>
      </c>
      <c r="K11" s="486">
        <f>All!K13</f>
        <v>61.1</v>
      </c>
      <c r="L11" s="486">
        <f>All!L13</f>
        <v>45</v>
      </c>
      <c r="M11" s="486">
        <f>All!M13</f>
        <v>12.5</v>
      </c>
      <c r="N11" s="486">
        <f>All!N13</f>
        <v>15</v>
      </c>
      <c r="O11" s="486">
        <f>All!O13</f>
        <v>1388</v>
      </c>
      <c r="P11" s="491">
        <f>All!P13</f>
        <v>115.7</v>
      </c>
    </row>
    <row r="12" spans="2:16">
      <c r="B12" s="490">
        <f>All!B14</f>
        <v>2003</v>
      </c>
      <c r="C12" s="486">
        <f>All!C14</f>
        <v>14.1</v>
      </c>
      <c r="D12" s="486">
        <f>All!D14</f>
        <v>39.6</v>
      </c>
      <c r="E12" s="486">
        <f>All!E14</f>
        <v>26.8</v>
      </c>
      <c r="F12" s="486">
        <f>All!F14</f>
        <v>139.6</v>
      </c>
      <c r="G12" s="486">
        <f>All!G14</f>
        <v>106</v>
      </c>
      <c r="H12" s="486">
        <f>All!H14</f>
        <v>156</v>
      </c>
      <c r="I12" s="486">
        <f>All!I14</f>
        <v>469.8</v>
      </c>
      <c r="J12" s="486">
        <f>All!J14</f>
        <v>684.2</v>
      </c>
      <c r="K12" s="486">
        <f>All!K14</f>
        <v>258.2</v>
      </c>
      <c r="L12" s="486">
        <f>All!L14</f>
        <v>41.5</v>
      </c>
      <c r="M12" s="486">
        <f>All!M14</f>
        <v>69.3</v>
      </c>
      <c r="N12" s="486">
        <f>All!N14</f>
        <v>6.9</v>
      </c>
      <c r="O12" s="486">
        <f>All!O14</f>
        <v>2012</v>
      </c>
      <c r="P12" s="491">
        <f>All!P14</f>
        <v>167.7</v>
      </c>
    </row>
    <row r="13" spans="2:16">
      <c r="B13" s="490">
        <f>All!B15</f>
        <v>2004</v>
      </c>
      <c r="C13" s="486">
        <f>All!C15</f>
        <v>19.8</v>
      </c>
      <c r="D13" s="486">
        <f>All!D15</f>
        <v>54.6</v>
      </c>
      <c r="E13" s="486">
        <f>All!E15</f>
        <v>27.6</v>
      </c>
      <c r="F13" s="486">
        <f>All!F15</f>
        <v>74.099999999999994</v>
      </c>
      <c r="G13" s="486">
        <f>All!G15</f>
        <v>168.5</v>
      </c>
      <c r="H13" s="486">
        <f>All!H15</f>
        <v>138.1</v>
      </c>
      <c r="I13" s="486">
        <f>All!I15</f>
        <v>510.7</v>
      </c>
      <c r="J13" s="486">
        <f>All!J15</f>
        <v>193.3</v>
      </c>
      <c r="K13" s="486">
        <f>All!K15</f>
        <v>198.7</v>
      </c>
      <c r="L13" s="486">
        <f>All!L15</f>
        <v>6.5</v>
      </c>
      <c r="M13" s="486">
        <f>All!M15</f>
        <v>80</v>
      </c>
      <c r="N13" s="486">
        <f>All!N15</f>
        <v>27.2</v>
      </c>
      <c r="O13" s="486">
        <f>All!O15</f>
        <v>1499.1</v>
      </c>
      <c r="P13" s="491">
        <f>All!P15</f>
        <v>124.9</v>
      </c>
    </row>
    <row r="14" spans="2:16">
      <c r="B14" s="490">
        <f>All!B16</f>
        <v>2005</v>
      </c>
      <c r="C14" s="486">
        <f>All!C16</f>
        <v>4.5</v>
      </c>
      <c r="D14" s="486">
        <f>All!D16</f>
        <v>17.2</v>
      </c>
      <c r="E14" s="486">
        <f>All!E16</f>
        <v>12.5</v>
      </c>
      <c r="F14" s="486">
        <f>All!F16</f>
        <v>94.7</v>
      </c>
      <c r="G14" s="486">
        <f>All!G16</f>
        <v>85.8</v>
      </c>
      <c r="H14" s="486">
        <f>All!H16</f>
        <v>168.5</v>
      </c>
      <c r="I14" s="486">
        <f>All!I16</f>
        <v>269.39999999999998</v>
      </c>
      <c r="J14" s="486">
        <f>All!J16</f>
        <v>285</v>
      </c>
      <c r="K14" s="486">
        <f>All!K16</f>
        <v>313.3</v>
      </c>
      <c r="L14" s="486">
        <f>All!L16</f>
        <v>52.6</v>
      </c>
      <c r="M14" s="486">
        <f>All!M16</f>
        <v>44.6</v>
      </c>
      <c r="N14" s="486">
        <f>All!N16</f>
        <v>10.3</v>
      </c>
      <c r="O14" s="486">
        <f>All!O16</f>
        <v>1358.4</v>
      </c>
      <c r="P14" s="491">
        <f>All!P16</f>
        <v>113.2</v>
      </c>
    </row>
    <row r="15" spans="2:16">
      <c r="B15" s="490">
        <f>All!B17</f>
        <v>2006</v>
      </c>
      <c r="C15" s="486">
        <f>All!C17</f>
        <v>34.299999999999997</v>
      </c>
      <c r="D15" s="486">
        <f>All!D17</f>
        <v>15.7</v>
      </c>
      <c r="E15" s="486">
        <f>All!E17</f>
        <v>14</v>
      </c>
      <c r="F15" s="486">
        <f>All!F17</f>
        <v>51.8</v>
      </c>
      <c r="G15" s="486">
        <f>All!G17</f>
        <v>156.19999999999999</v>
      </c>
      <c r="H15" s="486">
        <f>All!H17</f>
        <v>168.5</v>
      </c>
      <c r="I15" s="486">
        <f>All!I17</f>
        <v>1014</v>
      </c>
      <c r="J15" s="486">
        <f>All!J17</f>
        <v>121.2</v>
      </c>
      <c r="K15" s="486">
        <f>All!K17</f>
        <v>11.1</v>
      </c>
      <c r="L15" s="486">
        <f>All!L17</f>
        <v>30.2</v>
      </c>
      <c r="M15" s="486">
        <f>All!M17</f>
        <v>47.6</v>
      </c>
      <c r="N15" s="486">
        <f>All!N17</f>
        <v>17.3</v>
      </c>
      <c r="O15" s="486">
        <f>All!O17</f>
        <v>1681.9</v>
      </c>
      <c r="P15" s="491">
        <f>All!P17</f>
        <v>140.19999999999999</v>
      </c>
    </row>
    <row r="16" spans="2:16">
      <c r="B16" s="490">
        <f>All!B18</f>
        <v>2007</v>
      </c>
      <c r="C16" s="486">
        <f>All!C18</f>
        <v>10.8</v>
      </c>
      <c r="D16" s="486">
        <f>All!D18</f>
        <v>12.6</v>
      </c>
      <c r="E16" s="486">
        <f>All!E18</f>
        <v>123.5</v>
      </c>
      <c r="F16" s="486">
        <f>All!F18</f>
        <v>41.1</v>
      </c>
      <c r="G16" s="486">
        <f>All!G18</f>
        <v>137.6</v>
      </c>
      <c r="H16" s="486">
        <f>All!H18</f>
        <v>54.5</v>
      </c>
      <c r="I16" s="486">
        <f>All!I18</f>
        <v>274.10000000000002</v>
      </c>
      <c r="J16" s="486">
        <f>All!J18</f>
        <v>237.6</v>
      </c>
      <c r="K16" s="486">
        <f>All!K18</f>
        <v>241.9</v>
      </c>
      <c r="L16" s="486">
        <f>All!L18</f>
        <v>39.5</v>
      </c>
      <c r="M16" s="486">
        <f>All!M18</f>
        <v>26.4</v>
      </c>
      <c r="N16" s="486">
        <f>All!N18</f>
        <v>12.7</v>
      </c>
      <c r="O16" s="486">
        <f>All!O18</f>
        <v>1212.3</v>
      </c>
      <c r="P16" s="491">
        <f>All!P18</f>
        <v>101</v>
      </c>
    </row>
    <row r="17" spans="2:16">
      <c r="B17" s="490">
        <f>All!B19</f>
        <v>2008</v>
      </c>
      <c r="C17" s="486">
        <f>All!C19</f>
        <v>17.7</v>
      </c>
      <c r="D17" s="486">
        <f>All!D19</f>
        <v>15</v>
      </c>
      <c r="E17" s="486">
        <f>All!E19</f>
        <v>53.9</v>
      </c>
      <c r="F17" s="486">
        <f>All!F19</f>
        <v>38.5</v>
      </c>
      <c r="G17" s="486">
        <f>All!G19</f>
        <v>97.7</v>
      </c>
      <c r="H17" s="486">
        <f>All!H19</f>
        <v>165</v>
      </c>
      <c r="I17" s="486">
        <f>All!I19</f>
        <v>530.79999999999995</v>
      </c>
      <c r="J17" s="486">
        <f>All!J19</f>
        <v>251.2</v>
      </c>
      <c r="K17" s="486">
        <f>All!K19</f>
        <v>99.2</v>
      </c>
      <c r="L17" s="486">
        <f>All!L19</f>
        <v>41.8</v>
      </c>
      <c r="M17" s="486">
        <f>All!M19</f>
        <v>19.600000000000001</v>
      </c>
      <c r="N17" s="486">
        <f>All!N19</f>
        <v>25.9</v>
      </c>
      <c r="O17" s="486">
        <f>All!O19</f>
        <v>1356.3</v>
      </c>
      <c r="P17" s="491">
        <f>All!P19</f>
        <v>113</v>
      </c>
    </row>
    <row r="18" spans="2:16">
      <c r="B18" s="490">
        <f>All!B20</f>
        <v>2009</v>
      </c>
      <c r="C18" s="486">
        <f>All!C20</f>
        <v>5.7</v>
      </c>
      <c r="D18" s="486">
        <f>All!D20</f>
        <v>36.9</v>
      </c>
      <c r="E18" s="486">
        <f>All!E20</f>
        <v>63.9</v>
      </c>
      <c r="F18" s="486">
        <f>All!F20</f>
        <v>66.5</v>
      </c>
      <c r="G18" s="486">
        <f>All!G20</f>
        <v>109</v>
      </c>
      <c r="H18" s="486">
        <f>All!H20</f>
        <v>132</v>
      </c>
      <c r="I18" s="486">
        <f>All!I20</f>
        <v>659.4</v>
      </c>
      <c r="J18" s="486">
        <f>All!J20</f>
        <v>285.3</v>
      </c>
      <c r="K18" s="486">
        <f>All!K20</f>
        <v>64.5</v>
      </c>
      <c r="L18" s="486">
        <f>All!L20</f>
        <v>66.900000000000006</v>
      </c>
      <c r="M18" s="486">
        <f>All!M20</f>
        <v>52.4</v>
      </c>
      <c r="N18" s="486">
        <f>All!N20</f>
        <v>21.5</v>
      </c>
      <c r="O18" s="486">
        <f>All!O20</f>
        <v>1564</v>
      </c>
      <c r="P18" s="491">
        <f>All!P20</f>
        <v>130.30000000000001</v>
      </c>
    </row>
    <row r="19" spans="2:16">
      <c r="B19" s="490">
        <f>All!B21</f>
        <v>2010</v>
      </c>
      <c r="C19" s="486">
        <f>All!C21</f>
        <v>29.3</v>
      </c>
      <c r="D19" s="486">
        <f>All!D21</f>
        <v>55.3</v>
      </c>
      <c r="E19" s="486">
        <f>All!E21</f>
        <v>82.5</v>
      </c>
      <c r="F19" s="486">
        <f>All!F21</f>
        <v>62.8</v>
      </c>
      <c r="G19" s="486">
        <f>All!G21</f>
        <v>124</v>
      </c>
      <c r="H19" s="486">
        <f>All!H21</f>
        <v>127.6</v>
      </c>
      <c r="I19" s="486">
        <f>All!I21</f>
        <v>239.2</v>
      </c>
      <c r="J19" s="486">
        <f>All!J21</f>
        <v>598.70000000000005</v>
      </c>
      <c r="K19" s="486">
        <f>All!K21</f>
        <v>671.5</v>
      </c>
      <c r="L19" s="486">
        <f>All!L21</f>
        <v>25.6</v>
      </c>
      <c r="M19" s="486">
        <f>All!M21</f>
        <v>10.9</v>
      </c>
      <c r="N19" s="486">
        <f>All!N21</f>
        <v>16.100000000000001</v>
      </c>
      <c r="O19" s="486">
        <f>All!O21</f>
        <v>2043.5</v>
      </c>
      <c r="P19" s="491">
        <f>All!P21</f>
        <v>170.3</v>
      </c>
    </row>
    <row r="20" spans="2:16">
      <c r="B20" s="490">
        <f>All!B22</f>
        <v>2011</v>
      </c>
      <c r="C20" s="486">
        <f>All!C22</f>
        <v>8.9</v>
      </c>
      <c r="D20" s="486">
        <f>All!D22</f>
        <v>29.1</v>
      </c>
      <c r="E20" s="486">
        <f>All!E22</f>
        <v>14.6</v>
      </c>
      <c r="F20" s="486">
        <f>All!F22</f>
        <v>110.1</v>
      </c>
      <c r="G20" s="486">
        <f>All!G22</f>
        <v>53.4</v>
      </c>
      <c r="H20" s="486">
        <f>All!H22</f>
        <v>404.5</v>
      </c>
      <c r="I20" s="486">
        <f>All!I22</f>
        <v>1131</v>
      </c>
      <c r="J20" s="486">
        <f>All!J22</f>
        <v>166.8</v>
      </c>
      <c r="K20" s="486">
        <f>All!K22</f>
        <v>25.6</v>
      </c>
      <c r="L20" s="486">
        <f>All!L22</f>
        <v>32</v>
      </c>
      <c r="M20" s="486">
        <f>All!M22</f>
        <v>56.2</v>
      </c>
      <c r="N20" s="486">
        <f>All!N22</f>
        <v>7.1</v>
      </c>
      <c r="O20" s="486">
        <f>All!O22</f>
        <v>2039.3</v>
      </c>
      <c r="P20" s="491">
        <f>All!P22</f>
        <v>169.9</v>
      </c>
    </row>
    <row r="21" spans="2:16">
      <c r="B21" s="490">
        <f>All!B23</f>
        <v>2012</v>
      </c>
      <c r="C21" s="486">
        <f>All!C23</f>
        <v>6.7</v>
      </c>
      <c r="D21" s="486">
        <f>All!D23</f>
        <v>0.8</v>
      </c>
      <c r="E21" s="486">
        <f>All!E23</f>
        <v>47.4</v>
      </c>
      <c r="F21" s="486">
        <f>All!F23</f>
        <v>157</v>
      </c>
      <c r="G21" s="486">
        <f>All!G23</f>
        <v>8.1999999999999993</v>
      </c>
      <c r="H21" s="486">
        <f>All!H23</f>
        <v>91.9</v>
      </c>
      <c r="I21" s="486">
        <f>All!I23</f>
        <v>448.9</v>
      </c>
      <c r="J21" s="486">
        <f>All!J23</f>
        <v>464.9</v>
      </c>
      <c r="K21" s="486">
        <f>All!K23</f>
        <v>212</v>
      </c>
      <c r="L21" s="486">
        <f>All!L23</f>
        <v>99.3</v>
      </c>
      <c r="M21" s="486">
        <f>All!M23</f>
        <v>67.8</v>
      </c>
      <c r="N21" s="486">
        <f>All!N23</f>
        <v>41.4</v>
      </c>
      <c r="O21" s="486">
        <f>All!O23</f>
        <v>1646.3</v>
      </c>
      <c r="P21" s="491">
        <f>All!P23</f>
        <v>137.19999999999999</v>
      </c>
    </row>
    <row r="22" spans="2:16">
      <c r="B22" s="490">
        <f>All!B24</f>
        <v>2013</v>
      </c>
      <c r="C22" s="486">
        <f>All!C24</f>
        <v>22.1</v>
      </c>
      <c r="D22" s="486">
        <f>All!D24</f>
        <v>74.099999999999994</v>
      </c>
      <c r="E22" s="486">
        <f>All!E24</f>
        <v>27.3</v>
      </c>
      <c r="F22" s="486">
        <f>All!F24</f>
        <v>71.7</v>
      </c>
      <c r="G22" s="486">
        <f>All!G24</f>
        <v>132</v>
      </c>
      <c r="H22" s="486">
        <f>All!H24</f>
        <v>28.3</v>
      </c>
      <c r="I22" s="486">
        <f>All!I24</f>
        <v>676.2</v>
      </c>
      <c r="J22" s="486">
        <f>All!J24</f>
        <v>148.6</v>
      </c>
      <c r="K22" s="486">
        <f>All!K24</f>
        <v>138.5</v>
      </c>
      <c r="L22" s="486">
        <f>All!L24</f>
        <v>13.5</v>
      </c>
      <c r="M22" s="486">
        <f>All!M24</f>
        <v>46.8</v>
      </c>
      <c r="N22" s="486">
        <f>All!N24</f>
        <v>24.7</v>
      </c>
      <c r="O22" s="486">
        <f>All!O24</f>
        <v>1403.8</v>
      </c>
      <c r="P22" s="491">
        <f>All!P24</f>
        <v>117</v>
      </c>
    </row>
    <row r="23" spans="2:16">
      <c r="B23" s="490">
        <f>All!B25</f>
        <v>2014</v>
      </c>
      <c r="C23" s="486">
        <f>All!C25</f>
        <v>13</v>
      </c>
      <c r="D23" s="486">
        <f>All!D25</f>
        <v>16.2</v>
      </c>
      <c r="E23" s="486">
        <f>All!E25</f>
        <v>7.2</v>
      </c>
      <c r="F23" s="486">
        <f>All!F25</f>
        <v>31</v>
      </c>
      <c r="G23" s="486">
        <f>All!G25</f>
        <v>63</v>
      </c>
      <c r="H23" s="486">
        <f>All!H25</f>
        <v>98.1</v>
      </c>
      <c r="I23" s="486">
        <f>All!I25</f>
        <v>207.9</v>
      </c>
      <c r="J23" s="486">
        <f>All!J25</f>
        <v>172.8</v>
      </c>
      <c r="K23" s="486">
        <f>All!K25</f>
        <v>88.1</v>
      </c>
      <c r="L23" s="486">
        <f>All!L25</f>
        <v>52.2</v>
      </c>
      <c r="M23" s="486">
        <f>All!M25</f>
        <v>41.5</v>
      </c>
      <c r="N23" s="486">
        <f>All!N25</f>
        <v>17.899999999999999</v>
      </c>
      <c r="O23" s="486">
        <f>All!O25</f>
        <v>808.9</v>
      </c>
      <c r="P23" s="491">
        <f>All!P25</f>
        <v>67.400000000000006</v>
      </c>
    </row>
    <row r="24" spans="2:16">
      <c r="B24" s="490">
        <f>All!B26</f>
        <v>2015</v>
      </c>
      <c r="C24" s="486">
        <f>All!C26</f>
        <v>11.3</v>
      </c>
      <c r="D24" s="486">
        <f>All!D26</f>
        <v>22.7</v>
      </c>
      <c r="E24" s="486">
        <f>All!E26</f>
        <v>9.6</v>
      </c>
      <c r="F24" s="486">
        <f>All!F26</f>
        <v>80.5</v>
      </c>
      <c r="G24" s="486">
        <f>All!G26</f>
        <v>28.9</v>
      </c>
      <c r="H24" s="486">
        <f>All!H26</f>
        <v>99</v>
      </c>
      <c r="I24" s="486">
        <f>All!I26</f>
        <v>226</v>
      </c>
      <c r="J24" s="486">
        <f>All!J26</f>
        <v>72.900000000000006</v>
      </c>
      <c r="K24" s="486">
        <f>All!K26</f>
        <v>26</v>
      </c>
      <c r="L24" s="486">
        <f>All!L26</f>
        <v>81.5</v>
      </c>
      <c r="M24" s="486">
        <f>All!M26</f>
        <v>104.6</v>
      </c>
      <c r="N24" s="486">
        <f>All!N26</f>
        <v>29.1</v>
      </c>
      <c r="O24" s="486">
        <f>All!O26</f>
        <v>792.1</v>
      </c>
      <c r="P24" s="491">
        <f>All!P26</f>
        <v>66</v>
      </c>
    </row>
    <row r="25" spans="2:16">
      <c r="B25" s="490">
        <f>All!B27</f>
        <v>2016</v>
      </c>
      <c r="C25" s="486">
        <f>All!C27</f>
        <v>1</v>
      </c>
      <c r="D25" s="486">
        <f>All!D27</f>
        <v>47.6</v>
      </c>
      <c r="E25" s="486">
        <f>All!E27</f>
        <v>40.5</v>
      </c>
      <c r="F25" s="486">
        <f>All!F27</f>
        <v>76.8</v>
      </c>
      <c r="G25" s="486">
        <f>All!G27</f>
        <v>160.5</v>
      </c>
      <c r="H25" s="486">
        <f>All!H27</f>
        <v>54.4</v>
      </c>
      <c r="I25" s="486">
        <f>All!I27</f>
        <v>358.2</v>
      </c>
      <c r="J25" s="486">
        <f>All!J27</f>
        <v>67.099999999999994</v>
      </c>
      <c r="K25" s="486">
        <f>All!K27</f>
        <v>33</v>
      </c>
      <c r="L25" s="486">
        <f>All!L27</f>
        <v>74.8</v>
      </c>
      <c r="M25" s="486">
        <f>All!M27</f>
        <v>16.7</v>
      </c>
      <c r="N25" s="486">
        <f>All!N27</f>
        <v>61.1</v>
      </c>
      <c r="O25" s="486">
        <f>All!O27</f>
        <v>991.7</v>
      </c>
      <c r="P25" s="491">
        <f>All!P27</f>
        <v>82.6</v>
      </c>
    </row>
    <row r="26" spans="2:16">
      <c r="B26" s="490">
        <f>All!B28</f>
        <v>2017</v>
      </c>
      <c r="C26" s="486">
        <f>All!C28</f>
        <v>14.9</v>
      </c>
      <c r="D26" s="486">
        <f>All!D28</f>
        <v>11.1</v>
      </c>
      <c r="E26" s="486">
        <f>All!E28</f>
        <v>7.9</v>
      </c>
      <c r="F26" s="486">
        <f>All!F28</f>
        <v>61.6</v>
      </c>
      <c r="G26" s="486">
        <f>All!G28</f>
        <v>16.100000000000001</v>
      </c>
      <c r="H26" s="486">
        <f>All!H28</f>
        <v>66.599999999999994</v>
      </c>
      <c r="I26" s="486">
        <f>All!I28</f>
        <v>621</v>
      </c>
      <c r="J26" s="486">
        <f>All!J28</f>
        <v>297</v>
      </c>
      <c r="K26" s="486">
        <f>All!K28</f>
        <v>35</v>
      </c>
      <c r="L26" s="486">
        <f>All!L28</f>
        <v>26.5</v>
      </c>
      <c r="M26" s="486">
        <f>All!M28</f>
        <v>40.700000000000003</v>
      </c>
      <c r="N26" s="486">
        <f>All!N28</f>
        <v>34.799999999999997</v>
      </c>
      <c r="O26" s="486">
        <f>All!O28</f>
        <v>1233.2</v>
      </c>
      <c r="P26" s="491">
        <f>All!P28</f>
        <v>102.8</v>
      </c>
    </row>
    <row r="27" spans="2:16">
      <c r="B27" s="490">
        <f>All!B29</f>
        <v>2018</v>
      </c>
      <c r="C27" s="486">
        <f>All!C29</f>
        <v>8.5</v>
      </c>
      <c r="D27" s="486">
        <f>All!D29</f>
        <v>29.6</v>
      </c>
      <c r="E27" s="486">
        <f>All!E29</f>
        <v>49.5</v>
      </c>
      <c r="F27" s="486">
        <f>All!F29</f>
        <v>130.30000000000001</v>
      </c>
      <c r="G27" s="486">
        <f>All!G29</f>
        <v>222</v>
      </c>
      <c r="H27" s="486">
        <f>All!H29</f>
        <v>171.5</v>
      </c>
      <c r="I27" s="486">
        <f>All!I29</f>
        <v>185.6</v>
      </c>
      <c r="J27" s="486">
        <f>All!J29</f>
        <v>202.6</v>
      </c>
      <c r="K27" s="486">
        <f>All!K29</f>
        <v>68.5</v>
      </c>
      <c r="L27" s="486">
        <f>All!L29</f>
        <v>120.5</v>
      </c>
      <c r="M27" s="486">
        <f>All!M29</f>
        <v>79.099999999999994</v>
      </c>
      <c r="N27" s="486">
        <f>All!N29</f>
        <v>16.399999999999999</v>
      </c>
      <c r="O27" s="486">
        <f>All!O29</f>
        <v>1284.0999999999999</v>
      </c>
      <c r="P27" s="491">
        <f>All!P29</f>
        <v>107</v>
      </c>
    </row>
    <row r="28" spans="2:16">
      <c r="B28" s="490">
        <f>All!B30</f>
        <v>2019</v>
      </c>
      <c r="C28" s="486">
        <f>All!C30</f>
        <v>0</v>
      </c>
      <c r="D28" s="486">
        <f>All!D30</f>
        <v>23.8</v>
      </c>
      <c r="E28" s="486">
        <f>All!E30</f>
        <v>26.8</v>
      </c>
      <c r="F28" s="486">
        <f>All!F30</f>
        <v>47.3</v>
      </c>
      <c r="G28" s="486">
        <f>All!G30</f>
        <v>37.799999999999997</v>
      </c>
      <c r="H28" s="486">
        <f>All!H30</f>
        <v>74</v>
      </c>
      <c r="I28" s="486">
        <f>All!I30</f>
        <v>194.4</v>
      </c>
      <c r="J28" s="486">
        <f>All!J30</f>
        <v>190.5</v>
      </c>
      <c r="K28" s="486">
        <f>All!K30</f>
        <v>139.80000000000001</v>
      </c>
      <c r="L28" s="486">
        <f>All!L30</f>
        <v>55.5</v>
      </c>
      <c r="M28" s="486">
        <f>All!M30</f>
        <v>78.8</v>
      </c>
      <c r="N28" s="486">
        <f>All!N30</f>
        <v>22.6</v>
      </c>
      <c r="O28" s="486">
        <f>All!O30</f>
        <v>891.3</v>
      </c>
      <c r="P28" s="491">
        <f>All!P30</f>
        <v>74.3</v>
      </c>
    </row>
    <row r="29" spans="2:16">
      <c r="B29" s="490">
        <f>All!B31</f>
        <v>2020</v>
      </c>
      <c r="C29" s="486">
        <f>All!C31</f>
        <v>60.5</v>
      </c>
      <c r="D29" s="486">
        <f>All!D31</f>
        <v>53.1</v>
      </c>
      <c r="E29" s="486">
        <f>All!E31</f>
        <v>16.3</v>
      </c>
      <c r="F29" s="486">
        <f>All!F31</f>
        <v>16.899999999999999</v>
      </c>
      <c r="G29" s="486">
        <f>All!G31</f>
        <v>112.4</v>
      </c>
      <c r="H29" s="486">
        <f>All!H31</f>
        <v>139.6</v>
      </c>
      <c r="I29" s="486">
        <f>All!I31</f>
        <v>270.39999999999998</v>
      </c>
      <c r="J29" s="486">
        <f>All!J31</f>
        <v>675.7</v>
      </c>
      <c r="K29" s="486">
        <f>All!K31</f>
        <v>181.5</v>
      </c>
      <c r="L29" s="486">
        <f>All!L31</f>
        <v>0</v>
      </c>
      <c r="M29" s="486">
        <f>All!M31</f>
        <v>120.1</v>
      </c>
      <c r="N29" s="486">
        <f>All!N31</f>
        <v>4.5999999999999996</v>
      </c>
      <c r="O29" s="486">
        <f>All!O31</f>
        <v>1651.1</v>
      </c>
      <c r="P29" s="491">
        <f>All!P31</f>
        <v>137.6</v>
      </c>
    </row>
    <row r="30" spans="2:16">
      <c r="B30" s="490">
        <f>All!B32</f>
        <v>2021</v>
      </c>
      <c r="C30" s="486">
        <f>All!C32</f>
        <v>18.899999999999999</v>
      </c>
      <c r="D30" s="486">
        <f>All!D32</f>
        <v>7.1</v>
      </c>
      <c r="E30" s="486">
        <f>All!E32</f>
        <v>110.9</v>
      </c>
      <c r="F30" s="486">
        <f>All!F32</f>
        <v>124.1</v>
      </c>
      <c r="G30" s="486">
        <f>All!G32</f>
        <v>183.1</v>
      </c>
      <c r="H30" s="486">
        <f>All!H32</f>
        <v>104.6</v>
      </c>
      <c r="I30" s="486">
        <f>All!I32</f>
        <v>168.3</v>
      </c>
      <c r="J30" s="486">
        <f>All!J32</f>
        <v>211.2</v>
      </c>
      <c r="K30" s="486">
        <f>All!K32</f>
        <v>131</v>
      </c>
      <c r="L30" s="486">
        <f>All!L32</f>
        <v>57</v>
      </c>
      <c r="M30" s="486">
        <f>All!M32</f>
        <v>62.4</v>
      </c>
      <c r="N30" s="486">
        <f>All!N32</f>
        <v>7.9</v>
      </c>
      <c r="O30" s="486">
        <f>All!O32</f>
        <v>1186.5</v>
      </c>
      <c r="P30" s="491">
        <f>All!P32</f>
        <v>98.9</v>
      </c>
    </row>
    <row r="31" spans="2:16">
      <c r="B31" s="490">
        <f>All!B33</f>
        <v>2022</v>
      </c>
      <c r="C31" s="486">
        <f>All!C33</f>
        <v>5.5</v>
      </c>
      <c r="D31" s="486">
        <f>All!D33</f>
        <v>4.7</v>
      </c>
      <c r="E31" s="486">
        <f>All!E33</f>
        <v>102.6</v>
      </c>
      <c r="F31" s="486">
        <f>All!F33</f>
        <v>20.399999999999999</v>
      </c>
      <c r="G31" s="486">
        <f>All!G33</f>
        <v>7.5</v>
      </c>
      <c r="H31" s="486">
        <f>All!H33</f>
        <v>393.8</v>
      </c>
      <c r="I31" s="486">
        <f>All!I33</f>
        <v>252.3</v>
      </c>
      <c r="J31" s="486">
        <f>All!J33</f>
        <v>564.79999999999995</v>
      </c>
      <c r="K31" s="486">
        <f>All!K33</f>
        <v>201.5</v>
      </c>
      <c r="L31" s="486">
        <f>All!L33</f>
        <v>124.1</v>
      </c>
      <c r="M31" s="486">
        <f>All!M33</f>
        <v>84.5</v>
      </c>
      <c r="N31" s="486">
        <f>All!N33</f>
        <v>13.6</v>
      </c>
      <c r="O31" s="486">
        <f>All!O33</f>
        <v>1775.3</v>
      </c>
      <c r="P31" s="491">
        <f>All!P33</f>
        <v>147.9</v>
      </c>
    </row>
    <row r="32" spans="2:16">
      <c r="B32" s="490">
        <f>All!B34</f>
        <v>2023</v>
      </c>
      <c r="C32" s="486">
        <f>All!C34</f>
        <v>47.9</v>
      </c>
      <c r="D32" s="486">
        <f>All!D34</f>
        <v>1</v>
      </c>
      <c r="E32" s="486">
        <f>All!E34</f>
        <v>10.5</v>
      </c>
      <c r="F32" s="486">
        <f>All!F34</f>
        <v>96.9</v>
      </c>
      <c r="G32" s="486">
        <f>All!G34</f>
        <v>155.6</v>
      </c>
      <c r="H32" s="486">
        <f>All!H34</f>
        <v>195.6</v>
      </c>
      <c r="I32" s="486">
        <f>All!I34</f>
        <v>459.9</v>
      </c>
      <c r="J32" s="486">
        <f>All!J34</f>
        <v>298.10000000000002</v>
      </c>
      <c r="K32" s="486">
        <f>All!K34</f>
        <v>134.5</v>
      </c>
      <c r="L32" s="486">
        <f>All!L34</f>
        <v>31</v>
      </c>
      <c r="M32" s="486">
        <f>All!M34</f>
        <v>81.900000000000006</v>
      </c>
      <c r="N32" s="486">
        <f>All!N34</f>
        <v>85.9</v>
      </c>
      <c r="O32" s="486">
        <f>All!O34</f>
        <v>1598.8</v>
      </c>
      <c r="P32" s="491">
        <f>All!P34</f>
        <v>133.19999999999999</v>
      </c>
    </row>
    <row r="33" spans="2:17">
      <c r="B33" s="492" t="s">
        <v>171</v>
      </c>
      <c r="C33" s="485">
        <f>ROUND(SUM(C23:C32)/10,1)</f>
        <v>18.2</v>
      </c>
      <c r="D33" s="485">
        <f t="shared" ref="D33:P33" si="0">ROUND(SUM(D23:D32)/10,1)</f>
        <v>21.7</v>
      </c>
      <c r="E33" s="485">
        <f t="shared" si="0"/>
        <v>38.200000000000003</v>
      </c>
      <c r="F33" s="485">
        <f t="shared" si="0"/>
        <v>68.599999999999994</v>
      </c>
      <c r="G33" s="485">
        <f t="shared" si="0"/>
        <v>98.7</v>
      </c>
      <c r="H33" s="485">
        <f t="shared" si="0"/>
        <v>139.69999999999999</v>
      </c>
      <c r="I33" s="485">
        <f t="shared" si="0"/>
        <v>294.39999999999998</v>
      </c>
      <c r="J33" s="485">
        <f t="shared" si="0"/>
        <v>275.3</v>
      </c>
      <c r="K33" s="485">
        <f t="shared" si="0"/>
        <v>103.9</v>
      </c>
      <c r="L33" s="485">
        <f t="shared" si="0"/>
        <v>62.3</v>
      </c>
      <c r="M33" s="485">
        <f t="shared" si="0"/>
        <v>71</v>
      </c>
      <c r="N33" s="485">
        <f t="shared" si="0"/>
        <v>29.4</v>
      </c>
      <c r="O33" s="485">
        <f t="shared" si="0"/>
        <v>1221.3</v>
      </c>
      <c r="P33" s="493">
        <f t="shared" si="0"/>
        <v>101.8</v>
      </c>
    </row>
    <row r="34" spans="2:17" ht="17.25" thickBot="1">
      <c r="B34" s="494" t="s">
        <v>170</v>
      </c>
      <c r="C34" s="495">
        <f>All!C37</f>
        <v>18.2</v>
      </c>
      <c r="D34" s="495">
        <f>All!D37</f>
        <v>23.8</v>
      </c>
      <c r="E34" s="495">
        <f>All!E37</f>
        <v>40.799999999999997</v>
      </c>
      <c r="F34" s="495">
        <f>All!F37</f>
        <v>73.900000000000006</v>
      </c>
      <c r="G34" s="495">
        <f>All!G37</f>
        <v>102.7</v>
      </c>
      <c r="H34" s="495">
        <f>All!H37</f>
        <v>140</v>
      </c>
      <c r="I34" s="495">
        <f>All!I37</f>
        <v>404.4</v>
      </c>
      <c r="J34" s="495">
        <f>All!J37</f>
        <v>361.2</v>
      </c>
      <c r="K34" s="495">
        <f>All!K37</f>
        <v>143.80000000000001</v>
      </c>
      <c r="L34" s="495">
        <f>All!L37</f>
        <v>56.7</v>
      </c>
      <c r="M34" s="495">
        <f>All!M37</f>
        <v>52.3</v>
      </c>
      <c r="N34" s="495">
        <f>All!N37</f>
        <v>22</v>
      </c>
      <c r="O34" s="495">
        <f>All!O37</f>
        <v>1439.8</v>
      </c>
      <c r="P34" s="496">
        <f>All!P37</f>
        <v>120</v>
      </c>
    </row>
    <row r="36" spans="2:17" ht="17.25" thickBot="1"/>
    <row r="37" spans="2:17" ht="26.25" customHeight="1">
      <c r="B37" s="487" t="s">
        <v>29</v>
      </c>
      <c r="C37" s="489" t="s">
        <v>157</v>
      </c>
      <c r="D37" s="497"/>
      <c r="E37" s="498" t="s">
        <v>31</v>
      </c>
      <c r="F37" s="498" t="s">
        <v>32</v>
      </c>
      <c r="G37" s="498" t="s">
        <v>33</v>
      </c>
      <c r="H37" s="498" t="s">
        <v>34</v>
      </c>
      <c r="I37" s="498" t="s">
        <v>35</v>
      </c>
      <c r="J37" s="498" t="s">
        <v>12</v>
      </c>
      <c r="K37" s="488" t="s">
        <v>13</v>
      </c>
      <c r="L37" s="488" t="s">
        <v>14</v>
      </c>
      <c r="M37" s="488" t="s">
        <v>15</v>
      </c>
      <c r="N37" s="498" t="s">
        <v>16</v>
      </c>
      <c r="O37" s="498" t="s">
        <v>17</v>
      </c>
      <c r="P37" s="498" t="s">
        <v>18</v>
      </c>
      <c r="Q37" s="499" t="s">
        <v>30</v>
      </c>
    </row>
    <row r="38" spans="2:17" ht="17.25" thickBot="1">
      <c r="B38" s="490">
        <f>B23</f>
        <v>2014</v>
      </c>
      <c r="C38" s="491">
        <f>O23</f>
        <v>808.9</v>
      </c>
      <c r="D38" s="501" t="s">
        <v>30</v>
      </c>
      <c r="E38" s="502">
        <f>All!C53</f>
        <v>18.2</v>
      </c>
      <c r="F38" s="502">
        <f>All!D53</f>
        <v>21.7</v>
      </c>
      <c r="G38" s="502">
        <f>All!E53</f>
        <v>38.200000000000003</v>
      </c>
      <c r="H38" s="502">
        <f>All!F53</f>
        <v>68.599999999999994</v>
      </c>
      <c r="I38" s="502">
        <f>All!G53</f>
        <v>98.7</v>
      </c>
      <c r="J38" s="502">
        <f>All!H53</f>
        <v>139.69999999999999</v>
      </c>
      <c r="K38" s="502">
        <f>All!I53</f>
        <v>294.39999999999998</v>
      </c>
      <c r="L38" s="502">
        <f>All!J53</f>
        <v>275.3</v>
      </c>
      <c r="M38" s="502">
        <f>All!K53</f>
        <v>103.9</v>
      </c>
      <c r="N38" s="502">
        <f>All!L53</f>
        <v>62.3</v>
      </c>
      <c r="O38" s="502">
        <f>All!M53</f>
        <v>71</v>
      </c>
      <c r="P38" s="502">
        <f>All!N53</f>
        <v>29.4</v>
      </c>
      <c r="Q38" s="503">
        <f>All!P53</f>
        <v>101.8</v>
      </c>
    </row>
    <row r="39" spans="2:17">
      <c r="B39" s="490">
        <f t="shared" ref="B39:B48" si="1">B24</f>
        <v>2015</v>
      </c>
      <c r="C39" s="491">
        <f t="shared" ref="C39:C48" si="2">O24</f>
        <v>792.1</v>
      </c>
    </row>
    <row r="40" spans="2:17">
      <c r="B40" s="490">
        <f t="shared" si="1"/>
        <v>2016</v>
      </c>
      <c r="C40" s="491">
        <f t="shared" si="2"/>
        <v>991.7</v>
      </c>
    </row>
    <row r="41" spans="2:17">
      <c r="B41" s="490">
        <f t="shared" si="1"/>
        <v>2017</v>
      </c>
      <c r="C41" s="491">
        <f t="shared" si="2"/>
        <v>1233.2</v>
      </c>
    </row>
    <row r="42" spans="2:17">
      <c r="B42" s="490">
        <f t="shared" si="1"/>
        <v>2018</v>
      </c>
      <c r="C42" s="491">
        <f t="shared" si="2"/>
        <v>1284.0999999999999</v>
      </c>
    </row>
    <row r="43" spans="2:17">
      <c r="B43" s="490">
        <f t="shared" si="1"/>
        <v>2019</v>
      </c>
      <c r="C43" s="491">
        <f t="shared" si="2"/>
        <v>891.3</v>
      </c>
    </row>
    <row r="44" spans="2:17">
      <c r="B44" s="490">
        <f t="shared" si="1"/>
        <v>2020</v>
      </c>
      <c r="C44" s="491">
        <f t="shared" si="2"/>
        <v>1651.1</v>
      </c>
    </row>
    <row r="45" spans="2:17">
      <c r="B45" s="490">
        <f t="shared" si="1"/>
        <v>2021</v>
      </c>
      <c r="C45" s="491">
        <f t="shared" si="2"/>
        <v>1186.5</v>
      </c>
    </row>
    <row r="46" spans="2:17">
      <c r="B46" s="490">
        <f t="shared" si="1"/>
        <v>2022</v>
      </c>
      <c r="C46" s="491">
        <f t="shared" si="2"/>
        <v>1775.3</v>
      </c>
    </row>
    <row r="47" spans="2:17">
      <c r="B47" s="490">
        <f t="shared" si="1"/>
        <v>2023</v>
      </c>
      <c r="C47" s="491">
        <f t="shared" si="2"/>
        <v>1598.8</v>
      </c>
    </row>
    <row r="48" spans="2:17" ht="17.25" thickBot="1">
      <c r="B48" s="504" t="str">
        <f t="shared" si="1"/>
        <v>10년평균</v>
      </c>
      <c r="C48" s="505">
        <f t="shared" si="2"/>
        <v>1221.3</v>
      </c>
    </row>
    <row r="50" spans="2:3" ht="17.25" thickBot="1"/>
    <row r="51" spans="2:3">
      <c r="B51" s="511" t="s">
        <v>172</v>
      </c>
      <c r="C51" s="512" t="s">
        <v>157</v>
      </c>
    </row>
    <row r="52" spans="2:3">
      <c r="B52" s="508">
        <f>B3</f>
        <v>1994</v>
      </c>
      <c r="C52" s="509">
        <f>O3</f>
        <v>1055.8</v>
      </c>
    </row>
    <row r="53" spans="2:3">
      <c r="B53" s="508">
        <f t="shared" ref="B53:B81" si="3">B4</f>
        <v>1995</v>
      </c>
      <c r="C53" s="509">
        <f t="shared" ref="C53:C81" si="4">O4</f>
        <v>1598.6</v>
      </c>
    </row>
    <row r="54" spans="2:3">
      <c r="B54" s="508">
        <f t="shared" si="3"/>
        <v>1996</v>
      </c>
      <c r="C54" s="509">
        <f t="shared" si="4"/>
        <v>1256.5999999999999</v>
      </c>
    </row>
    <row r="55" spans="2:3">
      <c r="B55" s="508">
        <f t="shared" si="3"/>
        <v>1997</v>
      </c>
      <c r="C55" s="509">
        <f t="shared" si="4"/>
        <v>1210.2</v>
      </c>
    </row>
    <row r="56" spans="2:3">
      <c r="B56" s="508">
        <f t="shared" si="3"/>
        <v>1998</v>
      </c>
      <c r="C56" s="509">
        <f t="shared" si="4"/>
        <v>2349.1</v>
      </c>
    </row>
    <row r="57" spans="2:3">
      <c r="B57" s="508">
        <f t="shared" si="3"/>
        <v>1999</v>
      </c>
      <c r="C57" s="509">
        <f t="shared" si="4"/>
        <v>1733.1</v>
      </c>
    </row>
    <row r="58" spans="2:3">
      <c r="B58" s="508">
        <f t="shared" si="3"/>
        <v>2000</v>
      </c>
      <c r="C58" s="509">
        <f t="shared" si="4"/>
        <v>1186.8</v>
      </c>
    </row>
    <row r="59" spans="2:3">
      <c r="B59" s="508">
        <f t="shared" si="3"/>
        <v>2001</v>
      </c>
      <c r="C59" s="509">
        <f t="shared" si="4"/>
        <v>1386</v>
      </c>
    </row>
    <row r="60" spans="2:3">
      <c r="B60" s="508">
        <f t="shared" si="3"/>
        <v>2002</v>
      </c>
      <c r="C60" s="509">
        <f t="shared" si="4"/>
        <v>1388</v>
      </c>
    </row>
    <row r="61" spans="2:3">
      <c r="B61" s="508">
        <f t="shared" si="3"/>
        <v>2003</v>
      </c>
      <c r="C61" s="509">
        <f t="shared" si="4"/>
        <v>2012</v>
      </c>
    </row>
    <row r="62" spans="2:3">
      <c r="B62" s="508">
        <f t="shared" si="3"/>
        <v>2004</v>
      </c>
      <c r="C62" s="509">
        <f t="shared" si="4"/>
        <v>1499.1</v>
      </c>
    </row>
    <row r="63" spans="2:3">
      <c r="B63" s="508">
        <f t="shared" si="3"/>
        <v>2005</v>
      </c>
      <c r="C63" s="509">
        <f t="shared" si="4"/>
        <v>1358.4</v>
      </c>
    </row>
    <row r="64" spans="2:3">
      <c r="B64" s="508">
        <f t="shared" si="3"/>
        <v>2006</v>
      </c>
      <c r="C64" s="509">
        <f t="shared" si="4"/>
        <v>1681.9</v>
      </c>
    </row>
    <row r="65" spans="2:3">
      <c r="B65" s="508">
        <f t="shared" si="3"/>
        <v>2007</v>
      </c>
      <c r="C65" s="509">
        <f t="shared" si="4"/>
        <v>1212.3</v>
      </c>
    </row>
    <row r="66" spans="2:3">
      <c r="B66" s="508">
        <f t="shared" si="3"/>
        <v>2008</v>
      </c>
      <c r="C66" s="509">
        <f t="shared" si="4"/>
        <v>1356.3</v>
      </c>
    </row>
    <row r="67" spans="2:3">
      <c r="B67" s="508">
        <f t="shared" si="3"/>
        <v>2009</v>
      </c>
      <c r="C67" s="509">
        <f t="shared" si="4"/>
        <v>1564</v>
      </c>
    </row>
    <row r="68" spans="2:3">
      <c r="B68" s="508">
        <f t="shared" si="3"/>
        <v>2010</v>
      </c>
      <c r="C68" s="509">
        <f t="shared" si="4"/>
        <v>2043.5</v>
      </c>
    </row>
    <row r="69" spans="2:3">
      <c r="B69" s="508">
        <f t="shared" si="3"/>
        <v>2011</v>
      </c>
      <c r="C69" s="509">
        <f t="shared" si="4"/>
        <v>2039.3</v>
      </c>
    </row>
    <row r="70" spans="2:3">
      <c r="B70" s="508">
        <f t="shared" si="3"/>
        <v>2012</v>
      </c>
      <c r="C70" s="509">
        <f t="shared" si="4"/>
        <v>1646.3</v>
      </c>
    </row>
    <row r="71" spans="2:3">
      <c r="B71" s="508">
        <f t="shared" si="3"/>
        <v>2013</v>
      </c>
      <c r="C71" s="509">
        <f t="shared" si="4"/>
        <v>1403.8</v>
      </c>
    </row>
    <row r="72" spans="2:3">
      <c r="B72" s="508">
        <f t="shared" si="3"/>
        <v>2014</v>
      </c>
      <c r="C72" s="509">
        <f t="shared" si="4"/>
        <v>808.9</v>
      </c>
    </row>
    <row r="73" spans="2:3">
      <c r="B73" s="508">
        <f t="shared" si="3"/>
        <v>2015</v>
      </c>
      <c r="C73" s="509">
        <f t="shared" si="4"/>
        <v>792.1</v>
      </c>
    </row>
    <row r="74" spans="2:3">
      <c r="B74" s="508">
        <f t="shared" si="3"/>
        <v>2016</v>
      </c>
      <c r="C74" s="509">
        <f t="shared" si="4"/>
        <v>991.7</v>
      </c>
    </row>
    <row r="75" spans="2:3">
      <c r="B75" s="508">
        <f t="shared" si="3"/>
        <v>2017</v>
      </c>
      <c r="C75" s="509">
        <f t="shared" si="4"/>
        <v>1233.2</v>
      </c>
    </row>
    <row r="76" spans="2:3">
      <c r="B76" s="508">
        <f t="shared" si="3"/>
        <v>2018</v>
      </c>
      <c r="C76" s="509">
        <f t="shared" si="4"/>
        <v>1284.0999999999999</v>
      </c>
    </row>
    <row r="77" spans="2:3">
      <c r="B77" s="508">
        <f t="shared" si="3"/>
        <v>2019</v>
      </c>
      <c r="C77" s="509">
        <f t="shared" si="4"/>
        <v>891.3</v>
      </c>
    </row>
    <row r="78" spans="2:3">
      <c r="B78" s="508">
        <f>B29</f>
        <v>2020</v>
      </c>
      <c r="C78" s="509">
        <f t="shared" si="4"/>
        <v>1651.1</v>
      </c>
    </row>
    <row r="79" spans="2:3">
      <c r="B79" s="508">
        <f t="shared" si="3"/>
        <v>2021</v>
      </c>
      <c r="C79" s="509">
        <f t="shared" si="4"/>
        <v>1186.5</v>
      </c>
    </row>
    <row r="80" spans="2:3">
      <c r="B80" s="508">
        <f t="shared" si="3"/>
        <v>2022</v>
      </c>
      <c r="C80" s="509">
        <f t="shared" si="4"/>
        <v>1775.3</v>
      </c>
    </row>
    <row r="81" spans="2:3">
      <c r="B81" s="508">
        <f t="shared" si="3"/>
        <v>2023</v>
      </c>
      <c r="C81" s="509">
        <f t="shared" si="4"/>
        <v>1598.8</v>
      </c>
    </row>
    <row r="82" spans="2:3" ht="17.25" thickBot="1">
      <c r="B82" s="501" t="str">
        <f>B34</f>
        <v>30년평균</v>
      </c>
      <c r="C82" s="510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E27" sqref="E27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65" customWidth="1"/>
    <col min="16" max="16" width="8.77734375" style="143" customWidth="1"/>
    <col min="17" max="16384" width="8.88671875" style="143"/>
  </cols>
  <sheetData>
    <row r="2" spans="2:16" ht="20.25" customHeight="1">
      <c r="B2" s="563" t="str">
        <f>All!B2</f>
        <v>서울기상청</v>
      </c>
      <c r="C2" s="564" t="s">
        <v>336</v>
      </c>
    </row>
    <row r="3" spans="2:16" ht="17.25" thickBot="1">
      <c r="I3" s="566"/>
      <c r="J3" s="566"/>
      <c r="K3" s="566"/>
    </row>
    <row r="4" spans="2:16" ht="29.25" customHeight="1">
      <c r="B4" s="617"/>
      <c r="C4" s="618" t="s">
        <v>7</v>
      </c>
      <c r="D4" s="488" t="s">
        <v>8</v>
      </c>
      <c r="E4" s="488" t="s">
        <v>9</v>
      </c>
      <c r="F4" s="488" t="s">
        <v>10</v>
      </c>
      <c r="G4" s="488" t="s">
        <v>11</v>
      </c>
      <c r="H4" s="488" t="s">
        <v>12</v>
      </c>
      <c r="I4" s="488" t="s">
        <v>13</v>
      </c>
      <c r="J4" s="488" t="s">
        <v>14</v>
      </c>
      <c r="K4" s="488" t="s">
        <v>15</v>
      </c>
      <c r="L4" s="488" t="s">
        <v>16</v>
      </c>
      <c r="M4" s="488" t="s">
        <v>17</v>
      </c>
      <c r="N4" s="489" t="s">
        <v>18</v>
      </c>
      <c r="O4" s="619" t="s">
        <v>19</v>
      </c>
      <c r="P4" s="489" t="s">
        <v>20</v>
      </c>
    </row>
    <row r="5" spans="2:16" ht="22.15" customHeight="1">
      <c r="B5" s="620">
        <f>All!B41</f>
        <v>2014</v>
      </c>
      <c r="C5" s="567">
        <f>All!C41</f>
        <v>13</v>
      </c>
      <c r="D5" s="486">
        <f>All!D41</f>
        <v>16.2</v>
      </c>
      <c r="E5" s="486">
        <f>All!E41</f>
        <v>7.2</v>
      </c>
      <c r="F5" s="486">
        <f>All!F41</f>
        <v>31</v>
      </c>
      <c r="G5" s="486">
        <f>All!G41</f>
        <v>63</v>
      </c>
      <c r="H5" s="486">
        <f>All!H41</f>
        <v>98.1</v>
      </c>
      <c r="I5" s="486">
        <f>All!I41</f>
        <v>207.9</v>
      </c>
      <c r="J5" s="486">
        <f>All!J41</f>
        <v>172.8</v>
      </c>
      <c r="K5" s="486">
        <f>All!K41</f>
        <v>88.1</v>
      </c>
      <c r="L5" s="486">
        <f>All!L41</f>
        <v>52.2</v>
      </c>
      <c r="M5" s="486">
        <f>All!M41</f>
        <v>41.5</v>
      </c>
      <c r="N5" s="491">
        <f>All!N41</f>
        <v>17.899999999999999</v>
      </c>
      <c r="O5" s="568">
        <f>All!O41</f>
        <v>808.9</v>
      </c>
      <c r="P5" s="491">
        <f>All!P41</f>
        <v>67.400000000000006</v>
      </c>
    </row>
    <row r="6" spans="2:16" ht="22.15" customHeight="1">
      <c r="B6" s="620">
        <f>All!B42</f>
        <v>2015</v>
      </c>
      <c r="C6" s="567">
        <f>All!C42</f>
        <v>11.3</v>
      </c>
      <c r="D6" s="486">
        <f>All!D42</f>
        <v>22.7</v>
      </c>
      <c r="E6" s="486">
        <f>All!E42</f>
        <v>9.6</v>
      </c>
      <c r="F6" s="486">
        <f>All!F42</f>
        <v>80.5</v>
      </c>
      <c r="G6" s="486">
        <f>All!G42</f>
        <v>28.9</v>
      </c>
      <c r="H6" s="486">
        <f>All!H42</f>
        <v>99</v>
      </c>
      <c r="I6" s="486">
        <f>All!I42</f>
        <v>226</v>
      </c>
      <c r="J6" s="486">
        <f>All!J42</f>
        <v>72.900000000000006</v>
      </c>
      <c r="K6" s="486">
        <f>All!K42</f>
        <v>26</v>
      </c>
      <c r="L6" s="486">
        <f>All!L42</f>
        <v>81.5</v>
      </c>
      <c r="M6" s="486">
        <f>All!M42</f>
        <v>104.6</v>
      </c>
      <c r="N6" s="491">
        <f>All!N42</f>
        <v>29.1</v>
      </c>
      <c r="O6" s="569">
        <f>All!O42</f>
        <v>792.1</v>
      </c>
      <c r="P6" s="491">
        <f>All!P42</f>
        <v>66</v>
      </c>
    </row>
    <row r="7" spans="2:16" ht="22.15" customHeight="1">
      <c r="B7" s="620">
        <f>All!B43</f>
        <v>2016</v>
      </c>
      <c r="C7" s="567">
        <f>All!C43</f>
        <v>1</v>
      </c>
      <c r="D7" s="486">
        <f>All!D43</f>
        <v>47.6</v>
      </c>
      <c r="E7" s="486">
        <f>All!E43</f>
        <v>40.5</v>
      </c>
      <c r="F7" s="486">
        <f>All!F43</f>
        <v>76.8</v>
      </c>
      <c r="G7" s="486">
        <f>All!G43</f>
        <v>160.5</v>
      </c>
      <c r="H7" s="486">
        <f>All!H43</f>
        <v>54.4</v>
      </c>
      <c r="I7" s="486">
        <f>All!I43</f>
        <v>358.2</v>
      </c>
      <c r="J7" s="486">
        <f>All!J43</f>
        <v>67.099999999999994</v>
      </c>
      <c r="K7" s="486">
        <f>All!K43</f>
        <v>33</v>
      </c>
      <c r="L7" s="486">
        <f>All!L43</f>
        <v>74.8</v>
      </c>
      <c r="M7" s="486">
        <f>All!M43</f>
        <v>16.7</v>
      </c>
      <c r="N7" s="491">
        <f>All!N43</f>
        <v>61.1</v>
      </c>
      <c r="O7" s="568">
        <f>All!O43</f>
        <v>991.7</v>
      </c>
      <c r="P7" s="491">
        <f>All!P43</f>
        <v>82.6</v>
      </c>
    </row>
    <row r="8" spans="2:16" ht="22.15" customHeight="1">
      <c r="B8" s="620">
        <f>All!B44</f>
        <v>2017</v>
      </c>
      <c r="C8" s="567">
        <f>All!C44</f>
        <v>14.9</v>
      </c>
      <c r="D8" s="486">
        <f>All!D44</f>
        <v>11.1</v>
      </c>
      <c r="E8" s="486">
        <f>All!E44</f>
        <v>7.9</v>
      </c>
      <c r="F8" s="486">
        <f>All!F44</f>
        <v>61.6</v>
      </c>
      <c r="G8" s="486">
        <f>All!G44</f>
        <v>16.100000000000001</v>
      </c>
      <c r="H8" s="486">
        <f>All!H44</f>
        <v>66.599999999999994</v>
      </c>
      <c r="I8" s="486">
        <f>All!I44</f>
        <v>621</v>
      </c>
      <c r="J8" s="486">
        <f>All!J44</f>
        <v>297</v>
      </c>
      <c r="K8" s="486">
        <f>All!K44</f>
        <v>35</v>
      </c>
      <c r="L8" s="486">
        <f>All!L44</f>
        <v>26.5</v>
      </c>
      <c r="M8" s="486">
        <f>All!M44</f>
        <v>40.700000000000003</v>
      </c>
      <c r="N8" s="491">
        <f>All!N44</f>
        <v>34.799999999999997</v>
      </c>
      <c r="O8" s="568">
        <f>All!O44</f>
        <v>1233.2</v>
      </c>
      <c r="P8" s="491">
        <f>All!P44</f>
        <v>102.8</v>
      </c>
    </row>
    <row r="9" spans="2:16" ht="22.15" customHeight="1">
      <c r="B9" s="620">
        <f>All!B45</f>
        <v>2018</v>
      </c>
      <c r="C9" s="567">
        <f>All!C45</f>
        <v>8.5</v>
      </c>
      <c r="D9" s="486">
        <f>All!D45</f>
        <v>29.6</v>
      </c>
      <c r="E9" s="486">
        <f>All!E45</f>
        <v>49.5</v>
      </c>
      <c r="F9" s="486">
        <f>All!F45</f>
        <v>130.30000000000001</v>
      </c>
      <c r="G9" s="486">
        <f>All!G45</f>
        <v>222</v>
      </c>
      <c r="H9" s="486">
        <f>All!H45</f>
        <v>171.5</v>
      </c>
      <c r="I9" s="486">
        <f>All!I45</f>
        <v>185.6</v>
      </c>
      <c r="J9" s="486">
        <f>All!J45</f>
        <v>202.6</v>
      </c>
      <c r="K9" s="486">
        <f>All!K45</f>
        <v>68.5</v>
      </c>
      <c r="L9" s="486">
        <f>All!L45</f>
        <v>120.5</v>
      </c>
      <c r="M9" s="486">
        <f>All!M45</f>
        <v>79.099999999999994</v>
      </c>
      <c r="N9" s="491">
        <f>All!N45</f>
        <v>16.399999999999999</v>
      </c>
      <c r="O9" s="568">
        <f>All!O45</f>
        <v>1284.0999999999999</v>
      </c>
      <c r="P9" s="491">
        <f>All!P45</f>
        <v>107</v>
      </c>
    </row>
    <row r="10" spans="2:16" ht="22.15" customHeight="1">
      <c r="B10" s="620">
        <f>All!B46</f>
        <v>2019</v>
      </c>
      <c r="C10" s="567">
        <f>All!C46</f>
        <v>0</v>
      </c>
      <c r="D10" s="486">
        <f>All!D46</f>
        <v>23.8</v>
      </c>
      <c r="E10" s="486">
        <f>All!E46</f>
        <v>26.8</v>
      </c>
      <c r="F10" s="486">
        <f>All!F46</f>
        <v>47.3</v>
      </c>
      <c r="G10" s="486">
        <f>All!G46</f>
        <v>37.799999999999997</v>
      </c>
      <c r="H10" s="486">
        <f>All!H46</f>
        <v>74</v>
      </c>
      <c r="I10" s="486">
        <f>All!I46</f>
        <v>194.4</v>
      </c>
      <c r="J10" s="486">
        <f>All!J46</f>
        <v>190.5</v>
      </c>
      <c r="K10" s="486">
        <f>All!K46</f>
        <v>139.80000000000001</v>
      </c>
      <c r="L10" s="486">
        <f>All!L46</f>
        <v>55.5</v>
      </c>
      <c r="M10" s="486">
        <f>All!M46</f>
        <v>78.8</v>
      </c>
      <c r="N10" s="491">
        <f>All!N46</f>
        <v>22.6</v>
      </c>
      <c r="O10" s="568">
        <f>All!O46</f>
        <v>891.3</v>
      </c>
      <c r="P10" s="491">
        <f>All!P46</f>
        <v>74.3</v>
      </c>
    </row>
    <row r="11" spans="2:16" ht="22.15" customHeight="1">
      <c r="B11" s="620">
        <f>All!B47</f>
        <v>2020</v>
      </c>
      <c r="C11" s="567">
        <f>All!C47</f>
        <v>60.5</v>
      </c>
      <c r="D11" s="486">
        <f>All!D47</f>
        <v>53.1</v>
      </c>
      <c r="E11" s="486">
        <f>All!E47</f>
        <v>16.3</v>
      </c>
      <c r="F11" s="486">
        <f>All!F47</f>
        <v>16.899999999999999</v>
      </c>
      <c r="G11" s="486">
        <f>All!G47</f>
        <v>112.4</v>
      </c>
      <c r="H11" s="486">
        <f>All!H47</f>
        <v>139.6</v>
      </c>
      <c r="I11" s="486">
        <f>All!I47</f>
        <v>270.39999999999998</v>
      </c>
      <c r="J11" s="486">
        <f>All!J47</f>
        <v>675.7</v>
      </c>
      <c r="K11" s="486">
        <f>All!K47</f>
        <v>181.5</v>
      </c>
      <c r="L11" s="486">
        <f>All!L47</f>
        <v>0</v>
      </c>
      <c r="M11" s="486">
        <f>All!M47</f>
        <v>120.1</v>
      </c>
      <c r="N11" s="491">
        <f>All!N47</f>
        <v>4.5999999999999996</v>
      </c>
      <c r="O11" s="568">
        <f>All!O47</f>
        <v>1651.1</v>
      </c>
      <c r="P11" s="491">
        <f>All!P47</f>
        <v>137.6</v>
      </c>
    </row>
    <row r="12" spans="2:16" ht="22.15" customHeight="1">
      <c r="B12" s="620">
        <f>All!B48</f>
        <v>2021</v>
      </c>
      <c r="C12" s="567">
        <f>All!C48</f>
        <v>18.899999999999999</v>
      </c>
      <c r="D12" s="486">
        <f>All!D48</f>
        <v>7.1</v>
      </c>
      <c r="E12" s="486">
        <f>All!E48</f>
        <v>110.9</v>
      </c>
      <c r="F12" s="486">
        <f>All!F48</f>
        <v>124.1</v>
      </c>
      <c r="G12" s="486">
        <f>All!G48</f>
        <v>183.1</v>
      </c>
      <c r="H12" s="486">
        <f>All!H48</f>
        <v>104.6</v>
      </c>
      <c r="I12" s="486">
        <f>All!I48</f>
        <v>168.3</v>
      </c>
      <c r="J12" s="486">
        <f>All!J48</f>
        <v>211.2</v>
      </c>
      <c r="K12" s="486">
        <f>All!K48</f>
        <v>131</v>
      </c>
      <c r="L12" s="486">
        <f>All!L48</f>
        <v>57</v>
      </c>
      <c r="M12" s="486">
        <f>All!M48</f>
        <v>62.4</v>
      </c>
      <c r="N12" s="491">
        <f>All!N48</f>
        <v>7.9</v>
      </c>
      <c r="O12" s="568">
        <f>All!O48</f>
        <v>1186.5</v>
      </c>
      <c r="P12" s="491">
        <f>All!P48</f>
        <v>98.9</v>
      </c>
    </row>
    <row r="13" spans="2:16" ht="22.15" customHeight="1">
      <c r="B13" s="620">
        <f>All!B49</f>
        <v>2022</v>
      </c>
      <c r="C13" s="567">
        <f>All!C49</f>
        <v>5.5</v>
      </c>
      <c r="D13" s="486">
        <f>All!D49</f>
        <v>4.7</v>
      </c>
      <c r="E13" s="486">
        <f>All!E49</f>
        <v>102.6</v>
      </c>
      <c r="F13" s="486">
        <f>All!F49</f>
        <v>20.399999999999999</v>
      </c>
      <c r="G13" s="486">
        <f>All!G49</f>
        <v>7.5</v>
      </c>
      <c r="H13" s="486">
        <f>All!H49</f>
        <v>393.8</v>
      </c>
      <c r="I13" s="486">
        <f>All!I49</f>
        <v>252.3</v>
      </c>
      <c r="J13" s="486">
        <f>All!J49</f>
        <v>564.79999999999995</v>
      </c>
      <c r="K13" s="486">
        <f>All!K49</f>
        <v>201.5</v>
      </c>
      <c r="L13" s="486">
        <f>All!L49</f>
        <v>124.1</v>
      </c>
      <c r="M13" s="486">
        <f>All!M49</f>
        <v>84.5</v>
      </c>
      <c r="N13" s="491">
        <f>All!N49</f>
        <v>13.6</v>
      </c>
      <c r="O13" s="568">
        <f>All!O49</f>
        <v>1775.3</v>
      </c>
      <c r="P13" s="491">
        <f>All!P49</f>
        <v>147.9</v>
      </c>
    </row>
    <row r="14" spans="2:16" ht="22.15" customHeight="1" thickBot="1">
      <c r="B14" s="622">
        <f>All!B50</f>
        <v>2023</v>
      </c>
      <c r="C14" s="570">
        <f>All!C50</f>
        <v>47.9</v>
      </c>
      <c r="D14" s="571">
        <f>All!D50</f>
        <v>1</v>
      </c>
      <c r="E14" s="571">
        <f>All!E50</f>
        <v>10.5</v>
      </c>
      <c r="F14" s="571">
        <f>All!F50</f>
        <v>96.9</v>
      </c>
      <c r="G14" s="571">
        <f>All!G50</f>
        <v>155.6</v>
      </c>
      <c r="H14" s="571">
        <f>All!H50</f>
        <v>195.6</v>
      </c>
      <c r="I14" s="571">
        <f>All!I50</f>
        <v>459.9</v>
      </c>
      <c r="J14" s="571">
        <f>All!J50</f>
        <v>298.10000000000002</v>
      </c>
      <c r="K14" s="571">
        <f>All!K50</f>
        <v>134.5</v>
      </c>
      <c r="L14" s="571">
        <f>All!L50</f>
        <v>31</v>
      </c>
      <c r="M14" s="571">
        <f>All!M50</f>
        <v>81.900000000000006</v>
      </c>
      <c r="N14" s="505">
        <f>All!N50</f>
        <v>85.9</v>
      </c>
      <c r="O14" s="572">
        <f>All!O50</f>
        <v>1598.8</v>
      </c>
      <c r="P14" s="505">
        <f>All!P50</f>
        <v>133.19999999999999</v>
      </c>
    </row>
    <row r="15" spans="2:16" ht="22.15" customHeight="1">
      <c r="B15" s="621" t="s">
        <v>21</v>
      </c>
      <c r="C15" s="573">
        <f>All!C51</f>
        <v>60.5</v>
      </c>
      <c r="D15" s="574">
        <f>All!D51</f>
        <v>53.1</v>
      </c>
      <c r="E15" s="574">
        <f>All!E51</f>
        <v>110.9</v>
      </c>
      <c r="F15" s="574">
        <f>All!F51</f>
        <v>130.30000000000001</v>
      </c>
      <c r="G15" s="574">
        <f>All!G51</f>
        <v>222</v>
      </c>
      <c r="H15" s="574">
        <f>All!H51</f>
        <v>393.8</v>
      </c>
      <c r="I15" s="574">
        <f>All!I51</f>
        <v>621</v>
      </c>
      <c r="J15" s="574">
        <f>All!J51</f>
        <v>675.7</v>
      </c>
      <c r="K15" s="574">
        <f>All!K51</f>
        <v>201.5</v>
      </c>
      <c r="L15" s="574">
        <f>All!L51</f>
        <v>124.1</v>
      </c>
      <c r="M15" s="574">
        <f>All!M51</f>
        <v>120.1</v>
      </c>
      <c r="N15" s="575">
        <f>All!N51</f>
        <v>85.9</v>
      </c>
      <c r="O15" s="576">
        <f>All!O51</f>
        <v>1775.3</v>
      </c>
      <c r="P15" s="575">
        <f>All!P51</f>
        <v>147.9</v>
      </c>
    </row>
    <row r="16" spans="2:16" ht="22.15" customHeight="1">
      <c r="B16" s="620" t="s">
        <v>22</v>
      </c>
      <c r="C16" s="567">
        <f>All!C52</f>
        <v>0</v>
      </c>
      <c r="D16" s="486">
        <f>All!D52</f>
        <v>1</v>
      </c>
      <c r="E16" s="486">
        <f>All!E52</f>
        <v>7.2</v>
      </c>
      <c r="F16" s="486">
        <f>All!F52</f>
        <v>16.899999999999999</v>
      </c>
      <c r="G16" s="486">
        <f>All!G52</f>
        <v>7.5</v>
      </c>
      <c r="H16" s="486">
        <f>All!H52</f>
        <v>54.4</v>
      </c>
      <c r="I16" s="486">
        <f>All!I52</f>
        <v>168.3</v>
      </c>
      <c r="J16" s="486">
        <f>All!J52</f>
        <v>67.099999999999994</v>
      </c>
      <c r="K16" s="486">
        <f>All!K52</f>
        <v>26</v>
      </c>
      <c r="L16" s="486">
        <f>All!L52</f>
        <v>0</v>
      </c>
      <c r="M16" s="486">
        <f>All!M52</f>
        <v>16.7</v>
      </c>
      <c r="N16" s="491">
        <f>All!N52</f>
        <v>4.5999999999999996</v>
      </c>
      <c r="O16" s="569">
        <f>All!O52</f>
        <v>792.1</v>
      </c>
      <c r="P16" s="491">
        <f>All!P52</f>
        <v>66</v>
      </c>
    </row>
    <row r="17" spans="1:16" ht="22.15" customHeight="1" thickBot="1">
      <c r="B17" s="622" t="s">
        <v>20</v>
      </c>
      <c r="C17" s="570">
        <f>All!C53</f>
        <v>18.2</v>
      </c>
      <c r="D17" s="571">
        <f>All!D53</f>
        <v>21.7</v>
      </c>
      <c r="E17" s="577">
        <f>All!E53</f>
        <v>38.200000000000003</v>
      </c>
      <c r="F17" s="571">
        <f>All!F53</f>
        <v>68.599999999999994</v>
      </c>
      <c r="G17" s="578">
        <f>All!G53</f>
        <v>98.7</v>
      </c>
      <c r="H17" s="578">
        <f>All!H53</f>
        <v>139.69999999999999</v>
      </c>
      <c r="I17" s="578">
        <f>All!I53</f>
        <v>294.39999999999998</v>
      </c>
      <c r="J17" s="578">
        <f>All!J53</f>
        <v>275.3</v>
      </c>
      <c r="K17" s="578">
        <f>All!K53</f>
        <v>103.9</v>
      </c>
      <c r="L17" s="571">
        <f>All!L53</f>
        <v>62.3</v>
      </c>
      <c r="M17" s="571">
        <f>All!M53</f>
        <v>71</v>
      </c>
      <c r="N17" s="505">
        <f>All!N53</f>
        <v>29.4</v>
      </c>
      <c r="O17" s="572">
        <f>All!O53</f>
        <v>1221.3</v>
      </c>
      <c r="P17" s="579">
        <f>All!P53</f>
        <v>101.8</v>
      </c>
    </row>
    <row r="18" spans="1:16" ht="29.25" customHeight="1" thickBot="1">
      <c r="B18" s="623" t="s">
        <v>23</v>
      </c>
      <c r="C18" s="580">
        <f>All!C37</f>
        <v>18.2</v>
      </c>
      <c r="D18" s="581">
        <f>All!D37</f>
        <v>23.8</v>
      </c>
      <c r="E18" s="581">
        <f>All!E37</f>
        <v>40.799999999999997</v>
      </c>
      <c r="F18" s="581">
        <f>All!F37</f>
        <v>73.900000000000006</v>
      </c>
      <c r="G18" s="581">
        <f>All!G37</f>
        <v>102.7</v>
      </c>
      <c r="H18" s="581">
        <f>All!H37</f>
        <v>140</v>
      </c>
      <c r="I18" s="582">
        <f>All!I37</f>
        <v>404.4</v>
      </c>
      <c r="J18" s="582">
        <f>All!J37</f>
        <v>361.2</v>
      </c>
      <c r="K18" s="582">
        <f>All!K37</f>
        <v>143.80000000000001</v>
      </c>
      <c r="L18" s="582">
        <f>All!L37</f>
        <v>56.7</v>
      </c>
      <c r="M18" s="582">
        <f>All!M37</f>
        <v>52.3</v>
      </c>
      <c r="N18" s="583">
        <f>All!N37</f>
        <v>22</v>
      </c>
      <c r="O18" s="584">
        <f>All!O37</f>
        <v>1439.8</v>
      </c>
      <c r="P18" s="583">
        <f>All!P37</f>
        <v>120</v>
      </c>
    </row>
    <row r="19" spans="1:16" ht="22.15" customHeight="1" thickBot="1"/>
    <row r="20" spans="1:16">
      <c r="B20" s="585" t="s">
        <v>24</v>
      </c>
      <c r="C20" s="586"/>
      <c r="D20" s="587">
        <f>SUM(G17:K17)</f>
        <v>911.99999999999989</v>
      </c>
      <c r="F20" s="588"/>
    </row>
    <row r="21" spans="1:16">
      <c r="B21" s="589" t="s">
        <v>163</v>
      </c>
      <c r="D21" s="590">
        <f>O17</f>
        <v>1221.3</v>
      </c>
    </row>
    <row r="22" spans="1:16" ht="17.25" thickBot="1">
      <c r="B22" s="591"/>
      <c r="C22" s="592"/>
      <c r="D22" s="593">
        <f>D20/D21</f>
        <v>0.74674527143208047</v>
      </c>
    </row>
    <row r="23" spans="1:16" ht="33.75" customHeight="1" thickBot="1">
      <c r="C23" s="594" t="s">
        <v>184</v>
      </c>
      <c r="D23" s="594" t="s">
        <v>185</v>
      </c>
      <c r="E23" s="594" t="s">
        <v>186</v>
      </c>
    </row>
    <row r="24" spans="1:16" ht="21.95" customHeight="1">
      <c r="B24" s="595" t="s">
        <v>93</v>
      </c>
      <c r="C24" s="157">
        <f>O16</f>
        <v>792.1</v>
      </c>
      <c r="D24" s="596"/>
      <c r="E24" s="507"/>
      <c r="H24" s="597" t="s">
        <v>181</v>
      </c>
      <c r="I24" s="653" t="s">
        <v>733</v>
      </c>
      <c r="J24" s="654"/>
      <c r="K24" s="624">
        <f>INDEX(Location[recharge], MATCH(I24,Location[name],0))</f>
        <v>0.14099999999999999</v>
      </c>
      <c r="L24" s="625">
        <f>INDEX(Location[ratio], MATCH(I24,Location[name],0))</f>
        <v>0.72399999999999998</v>
      </c>
    </row>
    <row r="25" spans="1:16" ht="21.95" customHeight="1">
      <c r="B25" s="598" t="s">
        <v>25</v>
      </c>
      <c r="C25" s="158">
        <f>O18</f>
        <v>1439.8</v>
      </c>
      <c r="D25" s="506"/>
      <c r="E25" s="509"/>
      <c r="H25" s="597" t="s">
        <v>182</v>
      </c>
      <c r="I25" s="655" t="s">
        <v>191</v>
      </c>
      <c r="J25" s="656"/>
      <c r="K25" s="600">
        <f>INDEX(Location[recharge], MATCH(I25,Location[name],0))</f>
        <v>0.152</v>
      </c>
      <c r="L25" s="601">
        <f>INDEX(Location[ratio], MATCH(I25,Location[name],0))</f>
        <v>0.68100000000000005</v>
      </c>
    </row>
    <row r="26" spans="1:16" ht="21.95" customHeight="1" thickBot="1">
      <c r="B26" s="599" t="s">
        <v>162</v>
      </c>
      <c r="C26" s="602">
        <f>L24</f>
        <v>0.72399999999999998</v>
      </c>
      <c r="D26" s="600">
        <f>L25</f>
        <v>0.68100000000000005</v>
      </c>
      <c r="E26" s="601">
        <f>L26</f>
        <v>0.72</v>
      </c>
      <c r="H26" s="597" t="s">
        <v>183</v>
      </c>
      <c r="I26" s="657" t="s">
        <v>244</v>
      </c>
      <c r="J26" s="658"/>
      <c r="K26" s="483">
        <f>INDEX(Location[recharge], MATCH(I26,Location[name],0))</f>
        <v>0.17100000000000001</v>
      </c>
      <c r="L26" s="484">
        <f>INDEX(Location[ratio], MATCH(I26,Location[name],0))</f>
        <v>0.72</v>
      </c>
    </row>
    <row r="27" spans="1:16" ht="21.95" customHeight="1">
      <c r="B27" s="598" t="s">
        <v>26</v>
      </c>
      <c r="C27" s="159">
        <f>Well!P4</f>
        <v>6919125.9708000002</v>
      </c>
      <c r="D27" s="506"/>
      <c r="E27" s="603"/>
    </row>
    <row r="28" spans="1:16" ht="21.95" customHeight="1" thickBot="1">
      <c r="B28" s="604" t="s">
        <v>27</v>
      </c>
      <c r="C28" s="605">
        <f>K24</f>
        <v>0.14099999999999999</v>
      </c>
      <c r="D28" s="606">
        <f>K25</f>
        <v>0.152</v>
      </c>
      <c r="E28" s="607">
        <f>K26</f>
        <v>0.17100000000000001</v>
      </c>
    </row>
    <row r="29" spans="1:16" ht="17.25" thickBot="1">
      <c r="E29" s="608"/>
    </row>
    <row r="30" spans="1:16" ht="22.15" customHeight="1" thickBot="1">
      <c r="B30" s="609" t="s">
        <v>164</v>
      </c>
      <c r="C30" s="610">
        <f>max*rf_1/10</f>
        <v>20.301179999999995</v>
      </c>
      <c r="D30" s="610">
        <f>max*rf_2/10</f>
        <v>21.88496</v>
      </c>
      <c r="E30" s="611">
        <f>max*rf_3/10</f>
        <v>24.62058</v>
      </c>
    </row>
    <row r="31" spans="1:16" ht="22.15" customHeight="1">
      <c r="E31" s="608"/>
      <c r="I31" s="612" t="s">
        <v>346</v>
      </c>
    </row>
    <row r="32" spans="1:16" ht="17.25" customHeight="1">
      <c r="A32" s="613" t="s">
        <v>165</v>
      </c>
      <c r="B32" s="566"/>
      <c r="C32" s="566"/>
      <c r="D32" s="566"/>
    </row>
    <row r="33" spans="1:6" ht="17.25" customHeight="1">
      <c r="A33" s="613" t="s">
        <v>166</v>
      </c>
    </row>
    <row r="34" spans="1:6" ht="17.25" customHeight="1">
      <c r="C34" s="566"/>
      <c r="D34" s="566"/>
    </row>
    <row r="35" spans="1:6" ht="17.25" customHeight="1"/>
    <row r="3809" spans="15:15" s="615" customFormat="1" ht="17.25">
      <c r="O3809" s="614"/>
    </row>
    <row r="4095" spans="2430:2430">
      <c r="COL4095" s="61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590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610</v>
      </c>
    </row>
    <row r="32" spans="1:7">
      <c r="G32" s="188" t="s">
        <v>623</v>
      </c>
    </row>
    <row r="33" spans="7:7">
      <c r="G33" s="188" t="s">
        <v>624</v>
      </c>
    </row>
    <row r="34" spans="7:7">
      <c r="G34" s="188" t="s">
        <v>633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691</v>
      </c>
      <c r="H5" s="128" t="s">
        <v>692</v>
      </c>
      <c r="I5" s="128" t="s">
        <v>693</v>
      </c>
      <c r="J5" s="128" t="s">
        <v>694</v>
      </c>
      <c r="K5" s="129" t="s">
        <v>695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696</v>
      </c>
      <c r="H6" s="128" t="s">
        <v>697</v>
      </c>
      <c r="I6" s="128" t="s">
        <v>698</v>
      </c>
      <c r="J6" s="128" t="s">
        <v>699</v>
      </c>
      <c r="K6" s="129" t="s">
        <v>700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701</v>
      </c>
      <c r="H7" s="128" t="s">
        <v>702</v>
      </c>
      <c r="I7" s="128" t="s">
        <v>703</v>
      </c>
      <c r="J7" s="128" t="s">
        <v>704</v>
      </c>
      <c r="K7" s="129" t="s">
        <v>705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696</v>
      </c>
      <c r="H8" s="128" t="s">
        <v>706</v>
      </c>
      <c r="I8" s="128" t="s">
        <v>707</v>
      </c>
      <c r="J8" s="128" t="s">
        <v>708</v>
      </c>
      <c r="K8" s="129" t="s">
        <v>709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710</v>
      </c>
      <c r="H9" s="128" t="s">
        <v>713</v>
      </c>
      <c r="I9" s="128" t="s">
        <v>714</v>
      </c>
      <c r="J9" s="128" t="s">
        <v>715</v>
      </c>
      <c r="K9" s="129" t="s">
        <v>716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711</v>
      </c>
      <c r="H10" s="128" t="s">
        <v>717</v>
      </c>
      <c r="I10" s="128" t="s">
        <v>718</v>
      </c>
      <c r="J10" s="128" t="s">
        <v>719</v>
      </c>
      <c r="K10" s="129" t="s">
        <v>720</v>
      </c>
    </row>
    <row r="11" spans="3:11" ht="97.5" customHeight="1">
      <c r="C11" s="96" t="s">
        <v>614</v>
      </c>
      <c r="D11" s="128" t="s">
        <v>291</v>
      </c>
      <c r="E11" s="128" t="s">
        <v>292</v>
      </c>
      <c r="F11" s="128" t="s">
        <v>293</v>
      </c>
      <c r="G11" s="128" t="s">
        <v>711</v>
      </c>
      <c r="H11" s="128" t="s">
        <v>721</v>
      </c>
      <c r="I11" s="128" t="s">
        <v>722</v>
      </c>
      <c r="J11" s="128" t="s">
        <v>723</v>
      </c>
      <c r="K11" s="129" t="s">
        <v>724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6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604</v>
      </c>
      <c r="AJ4" s="110" t="s">
        <v>603</v>
      </c>
      <c r="AK4" s="110" t="s">
        <v>605</v>
      </c>
      <c r="AL4" s="110" t="s">
        <v>606</v>
      </c>
      <c r="AM4" s="110" t="s">
        <v>607</v>
      </c>
      <c r="AN4" s="102" t="s">
        <v>608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641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614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614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customHeight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customHeight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customHeight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customHeight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customHeight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customHeight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customHeight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customHeight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customHeight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customHeight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customHeight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customHeight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customHeight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customHeight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customHeight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customHeight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customHeight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customHeight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customHeight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customHeight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customHeight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customHeight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customHeight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customHeight="1" thickBot="1">
      <c r="G35" s="252"/>
      <c r="H35" s="253"/>
      <c r="I35" s="253"/>
      <c r="J35" s="253"/>
      <c r="K35" s="277"/>
      <c r="Q35" s="252"/>
      <c r="R35" s="253"/>
      <c r="S35" s="322"/>
    </row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640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63" t="s">
        <v>226</v>
      </c>
      <c r="G43" s="659">
        <v>50</v>
      </c>
      <c r="H43" s="342">
        <v>33.1</v>
      </c>
      <c r="I43" s="661">
        <v>82.666507860516333</v>
      </c>
    </row>
    <row r="44" spans="6:19" ht="15.95" customHeight="1">
      <c r="F44" s="664"/>
      <c r="G44" s="660"/>
      <c r="H44" s="248">
        <v>15.57</v>
      </c>
      <c r="I44" s="662"/>
      <c r="K44" s="298"/>
    </row>
    <row r="45" spans="6:19" ht="15.95" customHeight="1">
      <c r="F45" s="665" t="s">
        <v>227</v>
      </c>
      <c r="G45" s="666">
        <v>94</v>
      </c>
      <c r="H45" s="207">
        <v>34.619999999999997</v>
      </c>
      <c r="I45" s="667">
        <v>155.44483477472045</v>
      </c>
      <c r="K45" s="298"/>
    </row>
    <row r="46" spans="6:19" ht="15.95" customHeight="1">
      <c r="F46" s="665"/>
      <c r="G46" s="666"/>
      <c r="H46" s="207">
        <v>16.28</v>
      </c>
      <c r="I46" s="667"/>
      <c r="K46" s="298"/>
    </row>
    <row r="47" spans="6:19" ht="15.95" customHeight="1">
      <c r="F47" s="664" t="s">
        <v>228</v>
      </c>
      <c r="G47" s="660">
        <v>157</v>
      </c>
      <c r="H47" s="248">
        <v>44.67</v>
      </c>
      <c r="I47" s="662">
        <v>259.59296515765442</v>
      </c>
      <c r="K47" s="298"/>
    </row>
    <row r="48" spans="6:19" ht="15.95" customHeight="1">
      <c r="F48" s="664"/>
      <c r="G48" s="660"/>
      <c r="H48" s="248">
        <v>21.01</v>
      </c>
      <c r="I48" s="662"/>
      <c r="K48" s="298"/>
    </row>
    <row r="49" spans="6:11" ht="15.95" customHeight="1">
      <c r="F49" s="665" t="s">
        <v>332</v>
      </c>
      <c r="G49" s="666">
        <v>94</v>
      </c>
      <c r="H49" s="207">
        <v>37.200000000000003</v>
      </c>
      <c r="I49" s="667">
        <v>155.46403682527949</v>
      </c>
      <c r="K49" s="298"/>
    </row>
    <row r="50" spans="6:11" ht="15.95" customHeight="1">
      <c r="F50" s="665"/>
      <c r="G50" s="666"/>
      <c r="H50" s="207">
        <v>17.489999999999998</v>
      </c>
      <c r="I50" s="667"/>
      <c r="K50" s="298"/>
    </row>
    <row r="51" spans="6:11" ht="15.95" customHeight="1">
      <c r="F51" s="664" t="s">
        <v>333</v>
      </c>
      <c r="G51" s="660">
        <v>221</v>
      </c>
      <c r="H51" s="248">
        <v>5.42</v>
      </c>
      <c r="I51" s="662">
        <v>366.29921417026992</v>
      </c>
      <c r="K51" s="298"/>
    </row>
    <row r="52" spans="6:11" ht="15.95" customHeight="1">
      <c r="F52" s="664"/>
      <c r="G52" s="660"/>
      <c r="H52" s="248">
        <v>2.54</v>
      </c>
      <c r="I52" s="662"/>
      <c r="K52" s="298"/>
    </row>
    <row r="53" spans="6:11" ht="15.95" customHeight="1">
      <c r="F53" s="665" t="s">
        <v>334</v>
      </c>
      <c r="G53" s="666">
        <v>189</v>
      </c>
      <c r="H53" s="207">
        <v>4.3</v>
      </c>
      <c r="I53" s="667">
        <v>312.75663242516282</v>
      </c>
      <c r="K53" s="298"/>
    </row>
    <row r="54" spans="6:11" ht="15.95" customHeight="1">
      <c r="F54" s="665"/>
      <c r="G54" s="666"/>
      <c r="H54" s="207">
        <v>2.02</v>
      </c>
      <c r="I54" s="667"/>
      <c r="K54" s="298"/>
    </row>
    <row r="55" spans="6:11" ht="15.95" customHeight="1">
      <c r="F55" s="664" t="s">
        <v>614</v>
      </c>
      <c r="G55" s="660">
        <v>189</v>
      </c>
      <c r="H55" s="248">
        <v>4.18</v>
      </c>
      <c r="I55" s="662">
        <v>313.14244950728158</v>
      </c>
      <c r="K55" s="298"/>
    </row>
    <row r="56" spans="6:11" ht="15.95" customHeight="1">
      <c r="F56" s="664"/>
      <c r="G56" s="660"/>
      <c r="H56" s="248">
        <v>1.96</v>
      </c>
      <c r="I56" s="662"/>
      <c r="K56" s="298"/>
    </row>
    <row r="57" spans="6:11" ht="15.95" customHeight="1">
      <c r="F57" s="665"/>
      <c r="G57" s="666"/>
      <c r="H57" s="207"/>
      <c r="I57" s="667"/>
      <c r="K57" s="298"/>
    </row>
    <row r="58" spans="6:11" ht="15.95" customHeight="1">
      <c r="F58" s="665"/>
      <c r="G58" s="666"/>
      <c r="H58" s="207"/>
      <c r="I58" s="667"/>
      <c r="K58" s="298"/>
    </row>
    <row r="59" spans="6:11" ht="15.95" customHeight="1">
      <c r="F59" s="664"/>
      <c r="G59" s="660"/>
      <c r="H59" s="248"/>
      <c r="I59" s="662"/>
      <c r="K59" s="298"/>
    </row>
    <row r="60" spans="6:11" ht="15.95" customHeight="1">
      <c r="F60" s="664"/>
      <c r="G60" s="660"/>
      <c r="H60" s="248"/>
      <c r="I60" s="662"/>
      <c r="K60" s="298"/>
    </row>
    <row r="61" spans="6:11" ht="15.95" customHeight="1">
      <c r="F61" s="665"/>
      <c r="G61" s="666"/>
      <c r="H61" s="207"/>
      <c r="I61" s="667"/>
      <c r="K61" s="298"/>
    </row>
    <row r="62" spans="6:11" ht="15.95" customHeight="1">
      <c r="F62" s="665"/>
      <c r="G62" s="666"/>
      <c r="H62" s="207"/>
      <c r="I62" s="667"/>
      <c r="K62" s="298"/>
    </row>
    <row r="63" spans="6:11" ht="15.95" customHeight="1">
      <c r="F63" s="664"/>
      <c r="G63" s="660"/>
      <c r="H63" s="248"/>
      <c r="I63" s="662"/>
      <c r="K63" s="298"/>
    </row>
    <row r="64" spans="6:11" ht="15.95" customHeight="1">
      <c r="F64" s="664"/>
      <c r="G64" s="660"/>
      <c r="H64" s="248"/>
      <c r="I64" s="662"/>
      <c r="K64" s="298"/>
    </row>
    <row r="65" spans="6:11" ht="15.95" customHeight="1">
      <c r="F65" s="665"/>
      <c r="G65" s="666"/>
      <c r="H65" s="207"/>
      <c r="I65" s="667"/>
      <c r="K65" s="298"/>
    </row>
    <row r="66" spans="6:11" ht="15.95" customHeight="1">
      <c r="F66" s="665"/>
      <c r="G66" s="666"/>
      <c r="H66" s="207"/>
      <c r="I66" s="667"/>
      <c r="K66" s="298"/>
    </row>
    <row r="67" spans="6:11" ht="15.95" customHeight="1">
      <c r="F67" s="664"/>
      <c r="G67" s="660"/>
      <c r="H67" s="248"/>
      <c r="I67" s="662"/>
      <c r="K67" s="298"/>
    </row>
    <row r="68" spans="6:11" ht="15.95" customHeight="1">
      <c r="F68" s="664"/>
      <c r="G68" s="660"/>
      <c r="H68" s="248"/>
      <c r="I68" s="662"/>
      <c r="K68" s="298"/>
    </row>
    <row r="69" spans="6:11" ht="15.95" customHeight="1">
      <c r="F69" s="665"/>
      <c r="G69" s="666"/>
      <c r="H69" s="207"/>
      <c r="I69" s="667"/>
      <c r="K69" s="298"/>
    </row>
    <row r="70" spans="6:11" ht="15.95" customHeight="1">
      <c r="F70" s="665"/>
      <c r="G70" s="666"/>
      <c r="H70" s="207"/>
      <c r="I70" s="667"/>
      <c r="K70" s="298"/>
    </row>
    <row r="71" spans="6:11" ht="15.95" customHeight="1">
      <c r="F71" s="664"/>
      <c r="G71" s="660"/>
      <c r="H71" s="248"/>
      <c r="I71" s="662"/>
      <c r="K71" s="298"/>
    </row>
    <row r="72" spans="6:11" ht="15.95" customHeight="1">
      <c r="F72" s="664"/>
      <c r="G72" s="660"/>
      <c r="H72" s="248"/>
      <c r="I72" s="662"/>
      <c r="K72" s="298"/>
    </row>
    <row r="73" spans="6:11" ht="15.95" customHeight="1">
      <c r="F73" s="665"/>
      <c r="G73" s="666"/>
      <c r="H73" s="207"/>
      <c r="I73" s="667"/>
    </row>
    <row r="74" spans="6:11" ht="15.95" customHeight="1">
      <c r="F74" s="665"/>
      <c r="G74" s="666"/>
      <c r="H74" s="207"/>
      <c r="I74" s="667"/>
    </row>
    <row r="75" spans="6:11" ht="15.95" customHeight="1">
      <c r="F75" s="664"/>
      <c r="G75" s="660"/>
      <c r="H75" s="248"/>
      <c r="I75" s="662"/>
    </row>
    <row r="76" spans="6:11" ht="15.95" customHeight="1">
      <c r="F76" s="664"/>
      <c r="G76" s="660"/>
      <c r="H76" s="248"/>
      <c r="I76" s="662"/>
    </row>
    <row r="77" spans="6:11" ht="15.95" customHeight="1">
      <c r="F77" s="665"/>
      <c r="G77" s="666"/>
      <c r="H77" s="207"/>
      <c r="I77" s="667"/>
    </row>
    <row r="78" spans="6:11" ht="15.95" customHeight="1">
      <c r="F78" s="665"/>
      <c r="G78" s="666"/>
      <c r="H78" s="207"/>
      <c r="I78" s="667"/>
    </row>
    <row r="79" spans="6:11" ht="15.95" customHeight="1">
      <c r="F79" s="664"/>
      <c r="G79" s="660"/>
      <c r="H79" s="248"/>
      <c r="I79" s="662"/>
    </row>
    <row r="80" spans="6:11" ht="15.95" customHeight="1">
      <c r="F80" s="664"/>
      <c r="G80" s="660"/>
      <c r="H80" s="248"/>
      <c r="I80" s="662"/>
    </row>
    <row r="81" spans="6:9" ht="15.95" customHeight="1">
      <c r="F81" s="665"/>
      <c r="G81" s="666"/>
      <c r="H81" s="207"/>
      <c r="I81" s="667"/>
    </row>
    <row r="82" spans="6:9" ht="15.95" customHeight="1">
      <c r="F82" s="665"/>
      <c r="G82" s="666"/>
      <c r="H82" s="207"/>
      <c r="I82" s="667"/>
    </row>
    <row r="83" spans="6:9" ht="15.95" customHeight="1">
      <c r="F83" s="664"/>
      <c r="G83" s="660"/>
      <c r="H83" s="248"/>
      <c r="I83" s="662"/>
    </row>
    <row r="84" spans="6:9" ht="15.95" customHeight="1">
      <c r="F84" s="664"/>
      <c r="G84" s="660"/>
      <c r="H84" s="248"/>
      <c r="I84" s="662"/>
    </row>
    <row r="85" spans="6:9" ht="15.95" customHeight="1">
      <c r="F85" s="665"/>
      <c r="G85" s="666"/>
      <c r="H85" s="207"/>
      <c r="I85" s="667"/>
    </row>
    <row r="86" spans="6:9" ht="15.95" customHeight="1">
      <c r="F86" s="665"/>
      <c r="G86" s="666"/>
      <c r="H86" s="207"/>
      <c r="I86" s="667"/>
    </row>
    <row r="87" spans="6:9" ht="15.95" customHeight="1">
      <c r="F87" s="664"/>
      <c r="G87" s="660"/>
      <c r="H87" s="248"/>
      <c r="I87" s="662"/>
    </row>
    <row r="88" spans="6:9" ht="15.95" customHeight="1">
      <c r="F88" s="664"/>
      <c r="G88" s="660"/>
      <c r="H88" s="248"/>
      <c r="I88" s="662"/>
    </row>
    <row r="89" spans="6:9" ht="15.95" customHeight="1">
      <c r="F89" s="665"/>
      <c r="G89" s="666"/>
      <c r="H89" s="207"/>
      <c r="I89" s="667"/>
    </row>
    <row r="90" spans="6:9" ht="15.95" customHeight="1">
      <c r="F90" s="665"/>
      <c r="G90" s="666"/>
      <c r="H90" s="207"/>
      <c r="I90" s="667"/>
    </row>
    <row r="91" spans="6:9" ht="15.95" customHeight="1">
      <c r="F91" s="664"/>
      <c r="G91" s="660"/>
      <c r="H91" s="248"/>
      <c r="I91" s="662"/>
    </row>
    <row r="92" spans="6:9" ht="15.95" customHeight="1">
      <c r="F92" s="664"/>
      <c r="G92" s="660"/>
      <c r="H92" s="248"/>
      <c r="I92" s="662"/>
    </row>
    <row r="93" spans="6:9" ht="15.95" customHeight="1">
      <c r="F93" s="665"/>
      <c r="G93" s="666"/>
      <c r="H93" s="207"/>
      <c r="I93" s="667"/>
    </row>
    <row r="94" spans="6:9" ht="15.95" customHeight="1">
      <c r="F94" s="665"/>
      <c r="G94" s="666"/>
      <c r="H94" s="207"/>
      <c r="I94" s="667"/>
    </row>
    <row r="95" spans="6:9" ht="15.95" customHeight="1">
      <c r="F95" s="670"/>
      <c r="G95" s="668"/>
      <c r="H95" s="144"/>
      <c r="I95" s="669"/>
    </row>
    <row r="96" spans="6:9" ht="15.95" customHeight="1">
      <c r="F96" s="670"/>
      <c r="G96" s="668"/>
      <c r="H96" s="144"/>
      <c r="I96" s="669"/>
    </row>
    <row r="97" spans="6:9" ht="15.95" customHeight="1">
      <c r="F97" s="671"/>
      <c r="G97" s="673"/>
      <c r="H97" s="218"/>
      <c r="I97" s="675"/>
    </row>
    <row r="98" spans="6:9" ht="15.95" customHeight="1">
      <c r="F98" s="671"/>
      <c r="G98" s="673"/>
      <c r="H98" s="218"/>
      <c r="I98" s="675"/>
    </row>
    <row r="99" spans="6:9" ht="15.95" customHeight="1">
      <c r="F99" s="670"/>
      <c r="G99" s="668"/>
      <c r="H99" s="144"/>
      <c r="I99" s="669"/>
    </row>
    <row r="100" spans="6:9" ht="15.95" customHeight="1">
      <c r="F100" s="670"/>
      <c r="G100" s="668"/>
      <c r="H100" s="144"/>
      <c r="I100" s="669"/>
    </row>
    <row r="101" spans="6:9" ht="15.95" customHeight="1">
      <c r="F101" s="671"/>
      <c r="G101" s="673"/>
      <c r="H101" s="218"/>
      <c r="I101" s="675"/>
    </row>
    <row r="102" spans="6:9" ht="15.95" customHeight="1" thickBot="1">
      <c r="F102" s="672"/>
      <c r="G102" s="674"/>
      <c r="H102" s="333"/>
      <c r="I102" s="67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B2" sqref="B2"/>
    </sheetView>
  </sheetViews>
  <sheetFormatPr defaultRowHeight="20.100000000000001" customHeight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639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630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614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customHeight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customHeight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customHeight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customHeight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customHeight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customHeight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customHeight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customHeight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customHeight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customHeight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customHeight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customHeight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customHeight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customHeight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customHeight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customHeight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customHeight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customHeight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customHeight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customHeight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customHeight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customHeight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638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614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631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632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665</v>
      </c>
      <c r="E47" s="385" t="s">
        <v>679</v>
      </c>
      <c r="F47" s="386" t="s">
        <v>680</v>
      </c>
      <c r="H47" s="384" t="s">
        <v>206</v>
      </c>
      <c r="I47" s="385" t="s">
        <v>681</v>
      </c>
      <c r="J47" s="387" t="s">
        <v>107</v>
      </c>
      <c r="K47" s="385" t="s">
        <v>685</v>
      </c>
      <c r="L47" s="385" t="s">
        <v>682</v>
      </c>
      <c r="M47" s="385" t="s">
        <v>211</v>
      </c>
      <c r="N47" s="386" t="s">
        <v>210</v>
      </c>
      <c r="P47" s="384" t="s">
        <v>206</v>
      </c>
      <c r="Q47" s="385" t="s">
        <v>683</v>
      </c>
      <c r="R47" s="386" t="s">
        <v>684</v>
      </c>
    </row>
    <row r="48" spans="3:36" ht="20.100000000000001" customHeight="1">
      <c r="C48" s="677" t="s">
        <v>85</v>
      </c>
      <c r="D48" s="144" t="s">
        <v>666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78"/>
      <c r="D49" s="144" t="s">
        <v>667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79"/>
      <c r="D50" s="144" t="s">
        <v>668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71" t="s">
        <v>154</v>
      </c>
      <c r="D51" s="218" t="s">
        <v>666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71"/>
      <c r="D52" s="218" t="s">
        <v>667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71"/>
      <c r="D53" s="218" t="s">
        <v>668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0" t="s">
        <v>155</v>
      </c>
      <c r="D54" s="144" t="s">
        <v>666</v>
      </c>
      <c r="E54" s="313">
        <v>3.5619999999999998</v>
      </c>
      <c r="F54" s="317">
        <v>2.5520000000000002E-4</v>
      </c>
      <c r="G54" s="298"/>
      <c r="H54" s="336" t="s">
        <v>614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614</v>
      </c>
      <c r="Q54" s="313">
        <v>-1.8030276541262953</v>
      </c>
      <c r="R54" s="341">
        <v>5.1580000000000004</v>
      </c>
    </row>
    <row r="55" spans="3:18" ht="20.100000000000001" customHeight="1">
      <c r="C55" s="670"/>
      <c r="D55" s="144" t="s">
        <v>667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0"/>
      <c r="D56" s="144" t="s">
        <v>668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71" t="s">
        <v>642</v>
      </c>
      <c r="D57" s="218" t="s">
        <v>666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71"/>
      <c r="D58" s="218" t="s">
        <v>667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71"/>
      <c r="D59" s="218" t="s">
        <v>668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0" t="s">
        <v>643</v>
      </c>
      <c r="D60" s="144" t="s">
        <v>666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0"/>
      <c r="D61" s="144" t="s">
        <v>667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0"/>
      <c r="D62" s="144" t="s">
        <v>668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71" t="s">
        <v>688</v>
      </c>
      <c r="D63" s="218" t="s">
        <v>666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71"/>
      <c r="D64" s="218" t="s">
        <v>667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71"/>
      <c r="D65" s="218" t="s">
        <v>668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0" t="s">
        <v>689</v>
      </c>
      <c r="D66" s="144" t="s">
        <v>666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0"/>
      <c r="D67" s="144" t="s">
        <v>667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0"/>
      <c r="D68" s="144" t="s">
        <v>668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71" t="s">
        <v>615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71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71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0" t="s">
        <v>616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0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0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71" t="s">
        <v>644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71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71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0" t="s">
        <v>645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0"/>
      <c r="D79" s="144" t="s">
        <v>247</v>
      </c>
      <c r="E79" s="245"/>
      <c r="F79" s="246"/>
      <c r="H79" s="419" t="s">
        <v>206</v>
      </c>
      <c r="I79" s="420" t="s">
        <v>686</v>
      </c>
      <c r="J79" s="421" t="s">
        <v>680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0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71" t="s">
        <v>646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71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71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0" t="s">
        <v>647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0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0"/>
      <c r="D86" s="144" t="s">
        <v>248</v>
      </c>
      <c r="E86" s="245"/>
      <c r="F86" s="246"/>
      <c r="H86" s="336" t="s">
        <v>614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71" t="s">
        <v>648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71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71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0" t="s">
        <v>649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0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0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71" t="s">
        <v>650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71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71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0" t="s">
        <v>651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0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0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71" t="s">
        <v>652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71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71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0" t="s">
        <v>653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0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0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71" t="s">
        <v>654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71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71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0" t="s">
        <v>655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0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0"/>
      <c r="D110" s="144" t="s">
        <v>248</v>
      </c>
      <c r="E110" s="245"/>
      <c r="F110" s="246"/>
      <c r="H110" s="297"/>
    </row>
    <row r="111" spans="3:18" ht="20.100000000000001" customHeight="1">
      <c r="C111" s="671" t="s">
        <v>656</v>
      </c>
      <c r="D111" s="218" t="s">
        <v>246</v>
      </c>
      <c r="E111" s="220"/>
      <c r="F111" s="221"/>
      <c r="H111" s="297"/>
    </row>
    <row r="112" spans="3:18" ht="20.100000000000001" customHeight="1">
      <c r="C112" s="671"/>
      <c r="D112" s="218" t="s">
        <v>247</v>
      </c>
      <c r="E112" s="220"/>
      <c r="F112" s="221"/>
      <c r="H112" s="297"/>
    </row>
    <row r="113" spans="3:8" ht="20.100000000000001" customHeight="1">
      <c r="C113" s="671"/>
      <c r="D113" s="218" t="s">
        <v>248</v>
      </c>
      <c r="E113" s="220"/>
      <c r="F113" s="221"/>
      <c r="H113" s="297"/>
    </row>
    <row r="114" spans="3:8" ht="20.100000000000001" customHeight="1">
      <c r="C114" s="670" t="s">
        <v>657</v>
      </c>
      <c r="D114" s="144" t="s">
        <v>246</v>
      </c>
      <c r="E114" s="245"/>
      <c r="F114" s="246"/>
      <c r="H114" s="297"/>
    </row>
    <row r="115" spans="3:8" ht="20.100000000000001" customHeight="1">
      <c r="C115" s="670"/>
      <c r="D115" s="144" t="s">
        <v>247</v>
      </c>
      <c r="E115" s="245"/>
      <c r="F115" s="246"/>
      <c r="H115" s="297"/>
    </row>
    <row r="116" spans="3:8" ht="20.100000000000001" customHeight="1">
      <c r="C116" s="670"/>
      <c r="D116" s="144" t="s">
        <v>248</v>
      </c>
      <c r="E116" s="245"/>
      <c r="F116" s="246"/>
      <c r="H116" s="297"/>
    </row>
    <row r="117" spans="3:8" ht="20.100000000000001" customHeight="1">
      <c r="C117" s="671" t="s">
        <v>658</v>
      </c>
      <c r="D117" s="218" t="s">
        <v>246</v>
      </c>
      <c r="E117" s="220"/>
      <c r="F117" s="221"/>
      <c r="H117" s="297"/>
    </row>
    <row r="118" spans="3:8" ht="20.100000000000001" customHeight="1">
      <c r="C118" s="671"/>
      <c r="D118" s="218" t="s">
        <v>247</v>
      </c>
      <c r="E118" s="220"/>
      <c r="F118" s="221"/>
      <c r="H118" s="297"/>
    </row>
    <row r="119" spans="3:8" ht="20.100000000000001" customHeight="1">
      <c r="C119" s="671"/>
      <c r="D119" s="218" t="s">
        <v>248</v>
      </c>
      <c r="E119" s="220"/>
      <c r="F119" s="221"/>
      <c r="H119" s="297"/>
    </row>
    <row r="120" spans="3:8" ht="20.100000000000001" customHeight="1">
      <c r="C120" s="670" t="s">
        <v>659</v>
      </c>
      <c r="D120" s="144" t="s">
        <v>246</v>
      </c>
      <c r="E120" s="245"/>
      <c r="F120" s="246"/>
      <c r="H120" s="297"/>
    </row>
    <row r="121" spans="3:8" ht="20.100000000000001" customHeight="1">
      <c r="C121" s="670"/>
      <c r="D121" s="144" t="s">
        <v>247</v>
      </c>
      <c r="E121" s="245"/>
      <c r="F121" s="246"/>
      <c r="H121" s="297"/>
    </row>
    <row r="122" spans="3:8" ht="20.100000000000001" customHeight="1">
      <c r="C122" s="670"/>
      <c r="D122" s="144" t="s">
        <v>248</v>
      </c>
      <c r="E122" s="245"/>
      <c r="F122" s="246"/>
      <c r="H122" s="297"/>
    </row>
    <row r="123" spans="3:8" ht="20.100000000000001" customHeight="1">
      <c r="C123" s="671" t="s">
        <v>660</v>
      </c>
      <c r="D123" s="218" t="s">
        <v>246</v>
      </c>
      <c r="E123" s="220"/>
      <c r="F123" s="221"/>
      <c r="H123" s="297"/>
    </row>
    <row r="124" spans="3:8" ht="20.100000000000001" customHeight="1">
      <c r="C124" s="671"/>
      <c r="D124" s="218" t="s">
        <v>247</v>
      </c>
      <c r="E124" s="220"/>
      <c r="F124" s="221"/>
      <c r="H124" s="297"/>
    </row>
    <row r="125" spans="3:8" ht="20.100000000000001" customHeight="1">
      <c r="C125" s="671"/>
      <c r="D125" s="218" t="s">
        <v>248</v>
      </c>
      <c r="E125" s="220"/>
      <c r="F125" s="221"/>
      <c r="H125" s="297"/>
    </row>
    <row r="126" spans="3:8" ht="20.25" customHeight="1">
      <c r="C126" s="670" t="s">
        <v>661</v>
      </c>
      <c r="D126" s="144" t="s">
        <v>246</v>
      </c>
      <c r="E126" s="245"/>
      <c r="F126" s="246"/>
      <c r="H126" s="297"/>
    </row>
    <row r="127" spans="3:8" ht="20.100000000000001" customHeight="1">
      <c r="C127" s="670"/>
      <c r="D127" s="144" t="s">
        <v>247</v>
      </c>
      <c r="E127" s="245"/>
      <c r="F127" s="246"/>
      <c r="H127" s="297"/>
    </row>
    <row r="128" spans="3:8" ht="20.100000000000001" customHeight="1">
      <c r="C128" s="670"/>
      <c r="D128" s="144" t="s">
        <v>248</v>
      </c>
      <c r="E128" s="245"/>
      <c r="F128" s="246"/>
      <c r="H128" s="297"/>
    </row>
    <row r="129" spans="3:8" ht="20.100000000000001" customHeight="1">
      <c r="C129" s="671" t="s">
        <v>662</v>
      </c>
      <c r="D129" s="218" t="s">
        <v>246</v>
      </c>
      <c r="E129" s="328"/>
      <c r="F129" s="329"/>
      <c r="H129" s="297"/>
    </row>
    <row r="130" spans="3:8" ht="20.100000000000001" customHeight="1">
      <c r="C130" s="671"/>
      <c r="D130" s="218" t="s">
        <v>247</v>
      </c>
      <c r="E130" s="328"/>
      <c r="F130" s="330"/>
    </row>
    <row r="131" spans="3:8" ht="20.100000000000001" customHeight="1">
      <c r="C131" s="671"/>
      <c r="D131" s="218" t="s">
        <v>248</v>
      </c>
      <c r="E131" s="331"/>
      <c r="F131" s="332"/>
    </row>
    <row r="132" spans="3:8" ht="20.100000000000001" customHeight="1">
      <c r="C132" s="670" t="s">
        <v>663</v>
      </c>
      <c r="D132" s="144" t="s">
        <v>246</v>
      </c>
      <c r="E132" s="323"/>
      <c r="F132" s="324"/>
    </row>
    <row r="133" spans="3:8" ht="20.100000000000001" customHeight="1">
      <c r="C133" s="670"/>
      <c r="D133" s="144" t="s">
        <v>247</v>
      </c>
      <c r="E133" s="323"/>
      <c r="F133" s="325"/>
    </row>
    <row r="134" spans="3:8" ht="20.100000000000001" customHeight="1">
      <c r="C134" s="670"/>
      <c r="D134" s="144" t="s">
        <v>248</v>
      </c>
      <c r="E134" s="326"/>
      <c r="F134" s="327"/>
    </row>
    <row r="135" spans="3:8" ht="20.100000000000001" customHeight="1">
      <c r="C135" s="671" t="s">
        <v>664</v>
      </c>
      <c r="D135" s="218" t="s">
        <v>246</v>
      </c>
      <c r="E135" s="328"/>
      <c r="F135" s="329"/>
    </row>
    <row r="136" spans="3:8" ht="20.100000000000001" customHeight="1">
      <c r="C136" s="671"/>
      <c r="D136" s="218" t="s">
        <v>247</v>
      </c>
      <c r="E136" s="328"/>
      <c r="F136" s="330"/>
    </row>
    <row r="137" spans="3:8" ht="20.100000000000001" customHeight="1" thickBot="1">
      <c r="C137" s="672"/>
      <c r="D137" s="333" t="s">
        <v>248</v>
      </c>
      <c r="E137" s="334"/>
      <c r="F137" s="335"/>
    </row>
    <row r="138" spans="3:8" ht="20.100000000000001" customHeight="1">
      <c r="F138" s="377"/>
    </row>
    <row r="141" spans="3:8" ht="20.100000000000001" customHeight="1">
      <c r="F141" s="377"/>
    </row>
    <row r="144" spans="3:8" ht="20.100000000000001" customHeight="1">
      <c r="F144" s="377"/>
    </row>
    <row r="147" spans="6:6" ht="20.100000000000001" customHeight="1">
      <c r="F147" s="377"/>
    </row>
    <row r="150" spans="6:6" ht="20.100000000000001" customHeight="1">
      <c r="F150" s="377"/>
    </row>
    <row r="153" spans="6:6" ht="20.100000000000001" customHeight="1">
      <c r="F153" s="377"/>
    </row>
    <row r="156" spans="6:6" ht="20.100000000000001" customHeight="1">
      <c r="F156" s="377"/>
    </row>
    <row r="159" spans="6:6" ht="20.100000000000001" customHeight="1">
      <c r="F159" s="377"/>
    </row>
    <row r="162" spans="6:6" ht="20.100000000000001" customHeight="1">
      <c r="F162" s="377"/>
    </row>
    <row r="165" spans="6:6" ht="20.100000000000001" customHeight="1">
      <c r="F165" s="377"/>
    </row>
    <row r="168" spans="6:6" ht="20.100000000000001" customHeight="1">
      <c r="F168" s="377"/>
    </row>
    <row r="171" spans="6:6" ht="20.100000000000001" customHeight="1">
      <c r="F171" s="377"/>
    </row>
    <row r="174" spans="6:6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669</v>
      </c>
      <c r="E3" s="198" t="s">
        <v>275</v>
      </c>
      <c r="F3" s="198" t="s">
        <v>278</v>
      </c>
      <c r="G3" s="198" t="s">
        <v>670</v>
      </c>
      <c r="H3" s="198" t="s">
        <v>671</v>
      </c>
      <c r="I3" s="198" t="s">
        <v>672</v>
      </c>
      <c r="J3" s="198" t="s">
        <v>673</v>
      </c>
      <c r="K3" s="198" t="s">
        <v>674</v>
      </c>
      <c r="L3" s="198" t="s">
        <v>675</v>
      </c>
      <c r="M3" s="198" t="s">
        <v>676</v>
      </c>
      <c r="N3" s="198" t="s">
        <v>677</v>
      </c>
      <c r="O3" s="199" t="s">
        <v>678</v>
      </c>
    </row>
    <row r="4" spans="3:15" ht="20.100000000000001" customHeight="1">
      <c r="C4" s="119" t="s">
        <v>226</v>
      </c>
      <c r="D4" s="683" t="s">
        <v>725</v>
      </c>
      <c r="E4" s="120">
        <v>80</v>
      </c>
      <c r="F4" s="120">
        <v>1.2495000000000001</v>
      </c>
      <c r="G4" s="686">
        <v>12.102600000000001</v>
      </c>
      <c r="H4" s="683">
        <v>0.03</v>
      </c>
      <c r="I4" s="120">
        <v>88</v>
      </c>
      <c r="J4" s="689">
        <v>50.6</v>
      </c>
      <c r="K4" s="120">
        <v>152</v>
      </c>
      <c r="L4" s="689">
        <v>152</v>
      </c>
      <c r="M4" s="120">
        <v>3.7000000000000002E-3</v>
      </c>
      <c r="N4" s="686">
        <v>2.3E-3</v>
      </c>
      <c r="O4" s="680" t="s">
        <v>238</v>
      </c>
    </row>
    <row r="5" spans="3:15" ht="20.100000000000001" customHeight="1">
      <c r="C5" s="119" t="s">
        <v>227</v>
      </c>
      <c r="D5" s="684"/>
      <c r="E5" s="120">
        <v>150</v>
      </c>
      <c r="F5" s="120">
        <v>2.4424999999999999</v>
      </c>
      <c r="G5" s="687"/>
      <c r="H5" s="684"/>
      <c r="I5" s="120">
        <v>48</v>
      </c>
      <c r="J5" s="690"/>
      <c r="K5" s="120">
        <v>152</v>
      </c>
      <c r="L5" s="690"/>
      <c r="M5" s="120">
        <v>1.2999999999999999E-3</v>
      </c>
      <c r="N5" s="687"/>
      <c r="O5" s="681"/>
    </row>
    <row r="6" spans="3:15" ht="20.100000000000001" customHeight="1">
      <c r="C6" s="119" t="s">
        <v>228</v>
      </c>
      <c r="D6" s="684"/>
      <c r="E6" s="120">
        <v>250</v>
      </c>
      <c r="F6" s="120">
        <v>3.1505000000000001</v>
      </c>
      <c r="G6" s="687"/>
      <c r="H6" s="684"/>
      <c r="I6" s="120">
        <v>138</v>
      </c>
      <c r="J6" s="690"/>
      <c r="K6" s="120">
        <v>152</v>
      </c>
      <c r="L6" s="690"/>
      <c r="M6" s="120">
        <v>2.0999999999999999E-3</v>
      </c>
      <c r="N6" s="687"/>
      <c r="O6" s="681"/>
    </row>
    <row r="7" spans="3:15" ht="20.100000000000001" customHeight="1">
      <c r="C7" s="119" t="s">
        <v>332</v>
      </c>
      <c r="D7" s="684"/>
      <c r="E7" s="120">
        <v>150</v>
      </c>
      <c r="F7" s="120">
        <v>2.306</v>
      </c>
      <c r="G7" s="687"/>
      <c r="H7" s="684"/>
      <c r="I7" s="120">
        <v>68</v>
      </c>
      <c r="J7" s="690"/>
      <c r="K7" s="120">
        <v>152</v>
      </c>
      <c r="L7" s="690"/>
      <c r="M7" s="120">
        <v>2.5999999999999999E-3</v>
      </c>
      <c r="N7" s="687"/>
      <c r="O7" s="681"/>
    </row>
    <row r="8" spans="3:15" ht="20.100000000000001" customHeight="1">
      <c r="C8" s="119" t="s">
        <v>333</v>
      </c>
      <c r="D8" s="684"/>
      <c r="E8" s="120">
        <v>350</v>
      </c>
      <c r="F8" s="120">
        <v>28.17</v>
      </c>
      <c r="G8" s="687"/>
      <c r="H8" s="684"/>
      <c r="I8" s="120">
        <v>4</v>
      </c>
      <c r="J8" s="690"/>
      <c r="K8" s="120">
        <v>152</v>
      </c>
      <c r="L8" s="690"/>
      <c r="M8" s="120">
        <v>2.8E-3</v>
      </c>
      <c r="N8" s="687"/>
      <c r="O8" s="681"/>
    </row>
    <row r="9" spans="3:15" ht="20.100000000000001" customHeight="1">
      <c r="C9" s="119" t="s">
        <v>334</v>
      </c>
      <c r="D9" s="684"/>
      <c r="E9" s="120">
        <v>300</v>
      </c>
      <c r="F9" s="120">
        <v>24.655000000000001</v>
      </c>
      <c r="G9" s="687"/>
      <c r="H9" s="684"/>
      <c r="I9" s="120">
        <v>4</v>
      </c>
      <c r="J9" s="690"/>
      <c r="K9" s="120">
        <v>152</v>
      </c>
      <c r="L9" s="690"/>
      <c r="M9" s="120">
        <v>2E-3</v>
      </c>
      <c r="N9" s="687"/>
      <c r="O9" s="681"/>
    </row>
    <row r="10" spans="3:15" ht="20.100000000000001" customHeight="1">
      <c r="C10" s="119" t="s">
        <v>614</v>
      </c>
      <c r="D10" s="685"/>
      <c r="E10" s="120">
        <v>300</v>
      </c>
      <c r="F10" s="120">
        <v>22.745000000000001</v>
      </c>
      <c r="G10" s="688"/>
      <c r="H10" s="685"/>
      <c r="I10" s="120">
        <v>4</v>
      </c>
      <c r="J10" s="691"/>
      <c r="K10" s="120">
        <v>152</v>
      </c>
      <c r="L10" s="691"/>
      <c r="M10" s="120">
        <v>1.9E-3</v>
      </c>
      <c r="N10" s="688"/>
      <c r="O10" s="682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G25" sqref="AG2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41" customFormat="1" ht="27.75" customHeight="1" thickBot="1">
      <c r="D2" s="347" t="s">
        <v>250</v>
      </c>
      <c r="M2" s="347" t="s">
        <v>629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42"/>
      <c r="B4" s="442"/>
      <c r="C4" s="442"/>
      <c r="D4" s="92">
        <v>6919125.9708000002</v>
      </c>
      <c r="E4" s="93">
        <v>1236.0999999999999</v>
      </c>
      <c r="F4" s="93">
        <v>3444.5247864064781</v>
      </c>
      <c r="G4" s="422">
        <v>0.68899999999999995</v>
      </c>
      <c r="H4" s="93">
        <v>2373.2775778340633</v>
      </c>
      <c r="I4" s="94">
        <v>423.8</v>
      </c>
      <c r="J4" s="93">
        <v>1580</v>
      </c>
      <c r="K4" s="95">
        <v>369.47757783406331</v>
      </c>
      <c r="L4" s="442"/>
      <c r="M4" s="92">
        <f>D4</f>
        <v>6919125.9708000002</v>
      </c>
      <c r="N4" s="93">
        <f>E4</f>
        <v>1236.0999999999999</v>
      </c>
      <c r="O4" s="93">
        <f>F4</f>
        <v>3444.5247864064781</v>
      </c>
      <c r="P4" s="93">
        <f>H4</f>
        <v>2373.2775778340633</v>
      </c>
      <c r="Q4" s="94">
        <f>I4</f>
        <v>423.8</v>
      </c>
      <c r="R4" s="93">
        <f>J4</f>
        <v>1580</v>
      </c>
      <c r="S4" s="95">
        <f>K4</f>
        <v>369.47757783406331</v>
      </c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  <c r="AE4" s="442"/>
      <c r="AF4" s="442"/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2"/>
      <c r="AU4" s="442"/>
      <c r="AV4" s="442"/>
      <c r="AW4" s="442"/>
      <c r="AX4" s="442"/>
      <c r="AY4" s="442"/>
      <c r="AZ4" s="442"/>
      <c r="BA4" s="442"/>
      <c r="BB4" s="442"/>
      <c r="BC4" s="442"/>
      <c r="BD4" s="442"/>
      <c r="BE4" s="442"/>
      <c r="BF4" s="442"/>
      <c r="BG4" s="442"/>
      <c r="BH4" s="442"/>
      <c r="BI4" s="442"/>
      <c r="BJ4" s="442"/>
      <c r="BK4" s="442"/>
      <c r="BL4" s="442"/>
      <c r="BM4" s="442"/>
      <c r="BN4" s="442"/>
      <c r="BO4" s="442"/>
      <c r="BP4" s="442"/>
      <c r="BQ4" s="442"/>
      <c r="BR4" s="442"/>
      <c r="BS4" s="442"/>
      <c r="BT4" s="442"/>
      <c r="BU4" s="442"/>
      <c r="BV4" s="442"/>
      <c r="BW4" s="442"/>
      <c r="BX4" s="442"/>
      <c r="BY4" s="442"/>
      <c r="BZ4" s="442"/>
      <c r="CA4" s="442"/>
      <c r="CB4" s="442"/>
      <c r="CC4" s="442"/>
      <c r="CD4" s="442"/>
      <c r="CE4" s="442"/>
      <c r="CF4" s="442"/>
      <c r="CG4" s="442"/>
      <c r="CH4" s="442"/>
      <c r="CI4" s="442"/>
      <c r="CJ4" s="442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1236.0999999999999</v>
      </c>
      <c r="F8" s="93">
        <v>3444.5247864064781</v>
      </c>
      <c r="G8" s="422">
        <v>0.68899999999999995</v>
      </c>
      <c r="H8" s="93">
        <v>2373.2775778340633</v>
      </c>
      <c r="I8" s="94">
        <v>423.8</v>
      </c>
      <c r="J8" s="93">
        <v>1949.4775778340634</v>
      </c>
      <c r="K8" s="95">
        <v>1580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636</v>
      </c>
      <c r="L10" s="296" t="s">
        <v>637</v>
      </c>
    </row>
    <row r="11" spans="1:88" s="37" customFormat="1" ht="39" customHeight="1" outlineLevel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 outlineLevel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1.2</v>
      </c>
      <c r="H12" s="284">
        <v>38.4</v>
      </c>
      <c r="I12" s="285">
        <v>1.2495000000000001</v>
      </c>
      <c r="J12" s="286">
        <v>3.1629999999999999E-4</v>
      </c>
      <c r="K12" s="298"/>
      <c r="L12" s="281" t="s">
        <v>226</v>
      </c>
      <c r="M12" s="282">
        <v>100</v>
      </c>
      <c r="N12" s="282">
        <v>80</v>
      </c>
      <c r="O12" s="284">
        <v>1.2</v>
      </c>
      <c r="P12" s="284">
        <v>38.4</v>
      </c>
      <c r="Q12" s="292">
        <v>37.199999999999996</v>
      </c>
      <c r="R12" s="285">
        <v>1.2495000000000001</v>
      </c>
      <c r="S12" s="286">
        <v>3.1629999999999999E-4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 outlineLevel="1">
      <c r="A13" s="298"/>
      <c r="B13" s="298"/>
      <c r="C13" s="298"/>
      <c r="D13" s="278" t="s">
        <v>227</v>
      </c>
      <c r="E13" s="279">
        <v>60</v>
      </c>
      <c r="F13" s="279">
        <v>150</v>
      </c>
      <c r="G13" s="300">
        <v>6.3</v>
      </c>
      <c r="H13" s="300">
        <v>45.2</v>
      </c>
      <c r="I13" s="390">
        <v>2.4424999999999999</v>
      </c>
      <c r="J13" s="391">
        <v>2.7109999999999998E-4</v>
      </c>
      <c r="K13" s="298"/>
      <c r="L13" s="278" t="s">
        <v>227</v>
      </c>
      <c r="M13" s="279">
        <v>60</v>
      </c>
      <c r="N13" s="279">
        <v>150</v>
      </c>
      <c r="O13" s="300">
        <v>6.3</v>
      </c>
      <c r="P13" s="300">
        <v>45.2</v>
      </c>
      <c r="Q13" s="213">
        <v>38.900000000000006</v>
      </c>
      <c r="R13" s="390">
        <v>2.4424999999999999</v>
      </c>
      <c r="S13" s="391">
        <v>2.7109999999999998E-4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 outlineLevel="1">
      <c r="A14" s="298"/>
      <c r="B14" s="298"/>
      <c r="C14" s="298"/>
      <c r="D14" s="281" t="s">
        <v>228</v>
      </c>
      <c r="E14" s="282">
        <v>150</v>
      </c>
      <c r="F14" s="282">
        <v>250</v>
      </c>
      <c r="G14" s="284">
        <v>4.5999999999999996</v>
      </c>
      <c r="H14" s="284">
        <v>54.8</v>
      </c>
      <c r="I14" s="285">
        <v>3.1505000000000001</v>
      </c>
      <c r="J14" s="286">
        <v>2.5520000000000002E-4</v>
      </c>
      <c r="K14" s="298"/>
      <c r="L14" s="281" t="s">
        <v>228</v>
      </c>
      <c r="M14" s="282">
        <v>150</v>
      </c>
      <c r="N14" s="282">
        <v>250</v>
      </c>
      <c r="O14" s="284">
        <v>4.5999999999999996</v>
      </c>
      <c r="P14" s="284">
        <v>54.8</v>
      </c>
      <c r="Q14" s="292">
        <v>50.199999999999996</v>
      </c>
      <c r="R14" s="285">
        <v>3.1505000000000001</v>
      </c>
      <c r="S14" s="286">
        <v>2.5520000000000002E-4</v>
      </c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 outlineLevel="1">
      <c r="A15" s="298"/>
      <c r="B15" s="298"/>
      <c r="C15" s="298"/>
      <c r="D15" s="278" t="s">
        <v>332</v>
      </c>
      <c r="E15" s="279">
        <v>80</v>
      </c>
      <c r="F15" s="279">
        <v>150</v>
      </c>
      <c r="G15" s="300">
        <v>3.5</v>
      </c>
      <c r="H15" s="300">
        <v>45.3</v>
      </c>
      <c r="I15" s="390">
        <v>2.306</v>
      </c>
      <c r="J15" s="391">
        <v>2.7710000000000001E-4</v>
      </c>
      <c r="K15" s="298"/>
      <c r="L15" s="278" t="s">
        <v>332</v>
      </c>
      <c r="M15" s="279">
        <v>80</v>
      </c>
      <c r="N15" s="279">
        <v>150</v>
      </c>
      <c r="O15" s="300">
        <v>3.5</v>
      </c>
      <c r="P15" s="300">
        <v>45.3</v>
      </c>
      <c r="Q15" s="213">
        <v>41.8</v>
      </c>
      <c r="R15" s="390">
        <v>2.306</v>
      </c>
      <c r="S15" s="391">
        <v>2.7710000000000001E-4</v>
      </c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 outlineLevel="1">
      <c r="A16" s="298"/>
      <c r="B16" s="298"/>
      <c r="C16" s="298"/>
      <c r="D16" s="281" t="s">
        <v>333</v>
      </c>
      <c r="E16" s="282">
        <v>20</v>
      </c>
      <c r="F16" s="282">
        <v>350</v>
      </c>
      <c r="G16" s="284">
        <v>3</v>
      </c>
      <c r="H16" s="284">
        <v>9.1</v>
      </c>
      <c r="I16" s="285">
        <v>20.484999999999999</v>
      </c>
      <c r="J16" s="286">
        <v>2.0799999999999998E-3</v>
      </c>
      <c r="K16" s="298"/>
      <c r="L16" s="281" t="s">
        <v>333</v>
      </c>
      <c r="M16" s="282">
        <v>20</v>
      </c>
      <c r="N16" s="282">
        <v>350</v>
      </c>
      <c r="O16" s="284">
        <v>3</v>
      </c>
      <c r="P16" s="284">
        <v>9.1</v>
      </c>
      <c r="Q16" s="292">
        <v>6.1</v>
      </c>
      <c r="R16" s="285">
        <v>20.484999999999999</v>
      </c>
      <c r="S16" s="286">
        <v>2.0799999999999998E-3</v>
      </c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 outlineLevel="1">
      <c r="A17" s="298"/>
      <c r="B17" s="298"/>
      <c r="C17" s="298"/>
      <c r="D17" s="278" t="s">
        <v>334</v>
      </c>
      <c r="E17" s="279">
        <v>20</v>
      </c>
      <c r="F17" s="279">
        <v>300</v>
      </c>
      <c r="G17" s="300">
        <v>4.7</v>
      </c>
      <c r="H17" s="300">
        <v>9.5399999999999991</v>
      </c>
      <c r="I17" s="390">
        <v>20.56</v>
      </c>
      <c r="J17" s="391">
        <v>2.441E-3</v>
      </c>
      <c r="K17" s="298"/>
      <c r="L17" s="278" t="s">
        <v>334</v>
      </c>
      <c r="M17" s="279">
        <v>20</v>
      </c>
      <c r="N17" s="279">
        <v>300</v>
      </c>
      <c r="O17" s="300">
        <v>4.7</v>
      </c>
      <c r="P17" s="300">
        <v>9.5399999999999991</v>
      </c>
      <c r="Q17" s="213">
        <v>4.839999999999999</v>
      </c>
      <c r="R17" s="390">
        <v>20.56</v>
      </c>
      <c r="S17" s="391">
        <v>2.441E-3</v>
      </c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 outlineLevel="1">
      <c r="A18" s="298"/>
      <c r="B18" s="298"/>
      <c r="C18" s="298"/>
      <c r="D18" s="281" t="s">
        <v>614</v>
      </c>
      <c r="E18" s="282">
        <v>20</v>
      </c>
      <c r="F18" s="282">
        <v>300</v>
      </c>
      <c r="G18" s="284">
        <v>5</v>
      </c>
      <c r="H18" s="284">
        <v>9.6999999999999993</v>
      </c>
      <c r="I18" s="285">
        <v>20.645</v>
      </c>
      <c r="J18" s="286">
        <v>2.186E-3</v>
      </c>
      <c r="K18" s="298"/>
      <c r="L18" s="281" t="s">
        <v>614</v>
      </c>
      <c r="M18" s="282">
        <v>20</v>
      </c>
      <c r="N18" s="282">
        <v>300</v>
      </c>
      <c r="O18" s="284">
        <v>5</v>
      </c>
      <c r="P18" s="284">
        <v>9.6999999999999993</v>
      </c>
      <c r="Q18" s="292">
        <v>4.6999999999999993</v>
      </c>
      <c r="R18" s="285">
        <v>20.645</v>
      </c>
      <c r="S18" s="286">
        <v>2.186E-3</v>
      </c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 outlineLevel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 outlineLevel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 outlineLevel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634</v>
      </c>
      <c r="I43" s="296" t="s">
        <v>635</v>
      </c>
      <c r="M43" s="299" t="s">
        <v>628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625</v>
      </c>
      <c r="N44" s="122" t="s">
        <v>626</v>
      </c>
      <c r="O44" s="123" t="s">
        <v>627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>
        <v>90.2</v>
      </c>
      <c r="F45" s="282">
        <v>580</v>
      </c>
      <c r="G45" s="283">
        <v>0</v>
      </c>
      <c r="H45" s="298"/>
      <c r="I45" s="281" t="s">
        <v>226</v>
      </c>
      <c r="J45" s="282">
        <v>130</v>
      </c>
      <c r="K45" s="283">
        <v>154</v>
      </c>
      <c r="L45" s="298"/>
      <c r="M45" s="281">
        <v>90.2</v>
      </c>
      <c r="N45" s="282">
        <v>69.400000000000006</v>
      </c>
      <c r="O45" s="283">
        <v>77.7</v>
      </c>
      <c r="P45" s="298"/>
      <c r="Q45" s="186">
        <f>MAX(K45:K74)</f>
        <v>167</v>
      </c>
      <c r="R45" s="187" t="s">
        <v>712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>
        <v>188.6</v>
      </c>
      <c r="F46" s="279">
        <v>651</v>
      </c>
      <c r="G46" s="280">
        <v>0</v>
      </c>
      <c r="H46" s="298"/>
      <c r="I46" s="278" t="s">
        <v>227</v>
      </c>
      <c r="J46" s="279">
        <v>118</v>
      </c>
      <c r="K46" s="280">
        <v>141</v>
      </c>
      <c r="L46" s="298"/>
      <c r="M46" s="278">
        <v>188.6</v>
      </c>
      <c r="N46" s="279">
        <v>104.8</v>
      </c>
      <c r="O46" s="280">
        <v>149.1</v>
      </c>
      <c r="P46" s="298"/>
      <c r="Q46" s="97">
        <f>MIN(J45:J74)</f>
        <v>115</v>
      </c>
      <c r="R46" s="127" t="s">
        <v>618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 t="s">
        <v>228</v>
      </c>
      <c r="E47" s="282">
        <v>147.9</v>
      </c>
      <c r="F47" s="282">
        <v>746</v>
      </c>
      <c r="G47" s="283">
        <v>0</v>
      </c>
      <c r="H47" s="298"/>
      <c r="I47" s="281" t="s">
        <v>228</v>
      </c>
      <c r="J47" s="282">
        <v>115</v>
      </c>
      <c r="K47" s="283">
        <v>139</v>
      </c>
      <c r="L47" s="298"/>
      <c r="M47" s="281">
        <v>147.9</v>
      </c>
      <c r="N47" s="282">
        <v>120.8</v>
      </c>
      <c r="O47" s="283">
        <v>130.5</v>
      </c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 t="s">
        <v>332</v>
      </c>
      <c r="E48" s="279">
        <v>157.9</v>
      </c>
      <c r="F48" s="279">
        <v>707</v>
      </c>
      <c r="G48" s="280">
        <v>0</v>
      </c>
      <c r="H48" s="298"/>
      <c r="I48" s="278" t="s">
        <v>332</v>
      </c>
      <c r="J48" s="279">
        <v>125</v>
      </c>
      <c r="K48" s="280">
        <v>149</v>
      </c>
      <c r="L48" s="298"/>
      <c r="M48" s="278">
        <v>157.9</v>
      </c>
      <c r="N48" s="279">
        <v>100.7</v>
      </c>
      <c r="O48" s="280">
        <v>129.19999999999999</v>
      </c>
      <c r="P48" s="298"/>
      <c r="Q48" s="186" t="s">
        <v>619</v>
      </c>
      <c r="R48" s="187">
        <f>MAX(E45:E74)</f>
        <v>237.3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 t="s">
        <v>333</v>
      </c>
      <c r="E49" s="282">
        <v>237.3</v>
      </c>
      <c r="F49" s="282">
        <v>559</v>
      </c>
      <c r="G49" s="283">
        <v>0</v>
      </c>
      <c r="H49" s="298"/>
      <c r="I49" s="281" t="s">
        <v>333</v>
      </c>
      <c r="J49" s="282">
        <v>152</v>
      </c>
      <c r="K49" s="283">
        <v>167</v>
      </c>
      <c r="L49" s="298"/>
      <c r="M49" s="281">
        <v>237.3</v>
      </c>
      <c r="N49" s="282">
        <v>96.1</v>
      </c>
      <c r="O49" s="283">
        <v>175.7</v>
      </c>
      <c r="P49" s="298"/>
      <c r="Q49" s="97" t="s">
        <v>620</v>
      </c>
      <c r="R49" s="127">
        <f>MIN(E45:E74)</f>
        <v>90.2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 t="s">
        <v>334</v>
      </c>
      <c r="E50" s="279">
        <v>195.5</v>
      </c>
      <c r="F50" s="279">
        <v>585</v>
      </c>
      <c r="G50" s="280">
        <v>0</v>
      </c>
      <c r="H50" s="298"/>
      <c r="I50" s="278" t="s">
        <v>334</v>
      </c>
      <c r="J50" s="279">
        <v>142</v>
      </c>
      <c r="K50" s="280">
        <v>157</v>
      </c>
      <c r="L50" s="298"/>
      <c r="M50" s="278">
        <v>195.5</v>
      </c>
      <c r="N50" s="279">
        <v>88.9</v>
      </c>
      <c r="O50" s="280">
        <v>148</v>
      </c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 t="s">
        <v>614</v>
      </c>
      <c r="E51" s="282">
        <v>204</v>
      </c>
      <c r="F51" s="282">
        <v>646</v>
      </c>
      <c r="G51" s="283">
        <v>0</v>
      </c>
      <c r="H51" s="298"/>
      <c r="I51" s="281" t="s">
        <v>614</v>
      </c>
      <c r="J51" s="282">
        <v>142</v>
      </c>
      <c r="K51" s="283">
        <v>157</v>
      </c>
      <c r="L51" s="298"/>
      <c r="M51" s="281">
        <v>204</v>
      </c>
      <c r="N51" s="282">
        <v>94.1</v>
      </c>
      <c r="O51" s="283">
        <v>154.9</v>
      </c>
      <c r="P51" s="298"/>
      <c r="Q51" s="186" t="s">
        <v>621</v>
      </c>
      <c r="R51" s="187">
        <f>MAX(F45:F74)</f>
        <v>746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20.100000000000001" customHeight="1" outlineLevel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622</v>
      </c>
      <c r="R52" s="127">
        <f>MIN(F45:F74)</f>
        <v>559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 outlineLevel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 outlineLevel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 outlineLevel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>
      <c r="D75" s="447"/>
      <c r="L75" s="448"/>
    </row>
    <row r="76" spans="1:88" s="297" customFormat="1" ht="15.95" customHeight="1">
      <c r="D76" s="447"/>
    </row>
    <row r="77" spans="1:88" s="297" customFormat="1" ht="15.95" customHeight="1" thickBot="1">
      <c r="D77" s="449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 t="s">
        <v>228</v>
      </c>
      <c r="G78" s="385" t="s">
        <v>332</v>
      </c>
      <c r="H78" s="385" t="s">
        <v>333</v>
      </c>
      <c r="I78" s="385" t="s">
        <v>334</v>
      </c>
      <c r="J78" s="385" t="s">
        <v>614</v>
      </c>
      <c r="K78" s="385"/>
      <c r="L78" s="385"/>
      <c r="M78" s="385"/>
      <c r="N78" s="385"/>
      <c r="O78" s="385"/>
      <c r="P78" s="385"/>
      <c r="Q78" s="385"/>
      <c r="R78" s="385"/>
      <c r="S78" s="385"/>
      <c r="T78" s="443"/>
      <c r="U78" s="443"/>
      <c r="V78" s="443"/>
      <c r="W78" s="443"/>
      <c r="X78" s="443"/>
      <c r="Y78" s="443"/>
      <c r="Z78" s="443"/>
      <c r="AA78" s="443"/>
      <c r="AB78" s="443"/>
      <c r="AC78" s="443"/>
      <c r="AD78" s="443"/>
      <c r="AE78" s="443"/>
      <c r="AF78" s="443"/>
      <c r="AG78" s="444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50"/>
      <c r="B79" s="450"/>
      <c r="C79" s="450"/>
      <c r="D79" s="117">
        <v>80</v>
      </c>
      <c r="E79" s="118">
        <v>150</v>
      </c>
      <c r="F79" s="118">
        <v>250</v>
      </c>
      <c r="G79" s="115">
        <v>150</v>
      </c>
      <c r="H79" s="115">
        <v>350</v>
      </c>
      <c r="I79" s="115">
        <v>300</v>
      </c>
      <c r="J79" s="115">
        <v>300</v>
      </c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50"/>
      <c r="AI79" s="450"/>
      <c r="AJ79" s="450"/>
      <c r="AK79" s="450"/>
      <c r="AL79" s="450"/>
      <c r="AM79" s="450"/>
      <c r="AN79" s="450"/>
      <c r="AO79" s="450"/>
      <c r="AP79" s="450"/>
      <c r="AQ79" s="450"/>
      <c r="AR79" s="450"/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50"/>
      <c r="CB79" s="450"/>
      <c r="CC79" s="450"/>
      <c r="CD79" s="450"/>
      <c r="CE79" s="450"/>
      <c r="CF79" s="450"/>
      <c r="CG79" s="450"/>
      <c r="CH79" s="450"/>
      <c r="CI79" s="450"/>
      <c r="CJ79" s="450"/>
    </row>
    <row r="80" spans="1:88" s="297" customFormat="1" ht="15.95" customHeight="1">
      <c r="D80" s="447"/>
    </row>
    <row r="81" spans="1:88" s="297" customFormat="1" ht="15.95" customHeight="1">
      <c r="D81" s="447"/>
    </row>
    <row r="82" spans="1:88" s="297" customFormat="1" ht="15.95" customHeight="1" thickBot="1">
      <c r="D82" s="449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 t="s">
        <v>228</v>
      </c>
      <c r="G83" s="385" t="s">
        <v>332</v>
      </c>
      <c r="H83" s="385" t="s">
        <v>333</v>
      </c>
      <c r="I83" s="385" t="s">
        <v>334</v>
      </c>
      <c r="J83" s="385" t="s">
        <v>614</v>
      </c>
      <c r="K83" s="385"/>
      <c r="L83" s="385"/>
      <c r="M83" s="385"/>
      <c r="N83" s="385"/>
      <c r="O83" s="385"/>
      <c r="P83" s="385"/>
      <c r="Q83" s="385"/>
      <c r="R83" s="385"/>
      <c r="S83" s="385"/>
      <c r="T83" s="443"/>
      <c r="U83" s="443"/>
      <c r="V83" s="443"/>
      <c r="W83" s="443"/>
      <c r="X83" s="443"/>
      <c r="Y83" s="443"/>
      <c r="Z83" s="443"/>
      <c r="AA83" s="443"/>
      <c r="AB83" s="443"/>
      <c r="AC83" s="443"/>
      <c r="AD83" s="443"/>
      <c r="AE83" s="443"/>
      <c r="AF83" s="443"/>
      <c r="AG83" s="444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50"/>
      <c r="B84" s="450"/>
      <c r="C84" s="450"/>
      <c r="D84" s="117">
        <v>100</v>
      </c>
      <c r="E84" s="118">
        <v>60</v>
      </c>
      <c r="F84" s="118">
        <v>150</v>
      </c>
      <c r="G84" s="115">
        <v>80</v>
      </c>
      <c r="H84" s="115">
        <v>20</v>
      </c>
      <c r="I84" s="115">
        <v>20</v>
      </c>
      <c r="J84" s="115">
        <v>20</v>
      </c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50"/>
      <c r="AI84" s="450"/>
      <c r="AJ84" s="450"/>
      <c r="AK84" s="450"/>
      <c r="AL84" s="450"/>
      <c r="AM84" s="450"/>
      <c r="AN84" s="450"/>
      <c r="AO84" s="450"/>
      <c r="AP84" s="450"/>
      <c r="AQ84" s="450"/>
      <c r="AR84" s="450"/>
      <c r="AS84" s="450"/>
      <c r="AT84" s="450"/>
      <c r="AU84" s="450"/>
      <c r="AV84" s="450"/>
      <c r="AW84" s="450"/>
      <c r="AX84" s="450"/>
      <c r="AY84" s="450"/>
      <c r="AZ84" s="450"/>
      <c r="BA84" s="450"/>
      <c r="BB84" s="450"/>
      <c r="BC84" s="450"/>
      <c r="BD84" s="450"/>
      <c r="BE84" s="450"/>
      <c r="BF84" s="450"/>
      <c r="BG84" s="450"/>
      <c r="BH84" s="450"/>
      <c r="BI84" s="450"/>
      <c r="BJ84" s="450"/>
      <c r="BK84" s="450"/>
      <c r="BL84" s="450"/>
      <c r="BM84" s="450"/>
      <c r="BN84" s="450"/>
      <c r="BO84" s="450"/>
      <c r="BP84" s="450"/>
      <c r="BQ84" s="450"/>
      <c r="BR84" s="450"/>
      <c r="BS84" s="450"/>
      <c r="BT84" s="450"/>
      <c r="BU84" s="450"/>
      <c r="BV84" s="450"/>
      <c r="BW84" s="450"/>
      <c r="BX84" s="450"/>
      <c r="BY84" s="450"/>
      <c r="BZ84" s="450"/>
      <c r="CA84" s="450"/>
      <c r="CB84" s="450"/>
      <c r="CC84" s="450"/>
      <c r="CD84" s="450"/>
      <c r="CE84" s="450"/>
      <c r="CF84" s="450"/>
      <c r="CG84" s="450"/>
      <c r="CH84" s="450"/>
      <c r="CI84" s="450"/>
      <c r="CJ84" s="450"/>
    </row>
    <row r="85" spans="1:88" s="297" customFormat="1" ht="15.95" customHeight="1">
      <c r="D85" s="447"/>
    </row>
    <row r="86" spans="1:88" s="297" customFormat="1" ht="15.95" customHeight="1">
      <c r="D86" s="447"/>
    </row>
    <row r="87" spans="1:88" s="297" customFormat="1" ht="15.95" customHeight="1" thickBot="1">
      <c r="D87" s="449" t="s">
        <v>726</v>
      </c>
    </row>
    <row r="88" spans="1:88" ht="30" customHeight="1">
      <c r="D88" s="384" t="s">
        <v>226</v>
      </c>
      <c r="E88" s="385" t="s">
        <v>227</v>
      </c>
      <c r="F88" s="385" t="s">
        <v>228</v>
      </c>
      <c r="G88" s="385" t="s">
        <v>332</v>
      </c>
      <c r="H88" s="385" t="s">
        <v>333</v>
      </c>
      <c r="I88" s="385" t="s">
        <v>334</v>
      </c>
      <c r="J88" s="385" t="s">
        <v>614</v>
      </c>
      <c r="K88" s="385"/>
      <c r="L88" s="385"/>
      <c r="M88" s="385"/>
      <c r="N88" s="385"/>
      <c r="O88" s="385"/>
      <c r="P88" s="385"/>
      <c r="Q88" s="385"/>
      <c r="R88" s="385"/>
      <c r="S88" s="385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4"/>
    </row>
    <row r="89" spans="1:88" ht="30" customHeight="1" thickBot="1">
      <c r="D89" s="117">
        <v>200</v>
      </c>
      <c r="E89" s="118">
        <v>200</v>
      </c>
      <c r="F89" s="118">
        <v>200</v>
      </c>
      <c r="G89" s="115">
        <v>200</v>
      </c>
      <c r="H89" s="115">
        <v>1700</v>
      </c>
      <c r="I89" s="115">
        <v>1700</v>
      </c>
      <c r="J89" s="115">
        <v>1700</v>
      </c>
      <c r="K89" s="115"/>
      <c r="L89" s="115"/>
      <c r="M89" s="115"/>
      <c r="N89" s="115"/>
      <c r="O89" s="115"/>
      <c r="P89" s="115"/>
      <c r="Q89" s="267"/>
      <c r="R89" s="267"/>
      <c r="S89" s="267"/>
      <c r="T89" s="451"/>
      <c r="U89" s="451"/>
      <c r="V89" s="451"/>
      <c r="W89" s="451"/>
      <c r="X89" s="451"/>
      <c r="Y89" s="451"/>
      <c r="Z89" s="451"/>
      <c r="AA89" s="451"/>
      <c r="AB89" s="451"/>
      <c r="AC89" s="451"/>
      <c r="AD89" s="451"/>
      <c r="AE89" s="451"/>
      <c r="AF89" s="451"/>
      <c r="AG89" s="452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49" t="s">
        <v>220</v>
      </c>
      <c r="E92" s="453">
        <f>MIN(D94:AG94)</f>
        <v>1.2</v>
      </c>
      <c r="F92" s="453">
        <f>MAX(D94:AG94)</f>
        <v>6.3</v>
      </c>
    </row>
    <row r="93" spans="1:88" ht="30" customHeight="1">
      <c r="D93" s="384" t="s">
        <v>226</v>
      </c>
      <c r="E93" s="385" t="s">
        <v>227</v>
      </c>
      <c r="F93" s="385" t="s">
        <v>228</v>
      </c>
      <c r="G93" s="385" t="s">
        <v>332</v>
      </c>
      <c r="H93" s="385" t="s">
        <v>333</v>
      </c>
      <c r="I93" s="385" t="s">
        <v>334</v>
      </c>
      <c r="J93" s="385" t="s">
        <v>614</v>
      </c>
      <c r="K93" s="385"/>
      <c r="L93" s="385"/>
      <c r="M93" s="385"/>
      <c r="N93" s="385"/>
      <c r="O93" s="385"/>
      <c r="P93" s="385"/>
      <c r="Q93" s="385"/>
      <c r="R93" s="385"/>
      <c r="S93" s="385"/>
      <c r="T93" s="443"/>
      <c r="U93" s="443"/>
      <c r="V93" s="443"/>
      <c r="W93" s="443"/>
      <c r="X93" s="443"/>
      <c r="Y93" s="443"/>
      <c r="Z93" s="443"/>
      <c r="AA93" s="443"/>
      <c r="AB93" s="443"/>
      <c r="AC93" s="443"/>
      <c r="AD93" s="443"/>
      <c r="AE93" s="443"/>
      <c r="AF93" s="443"/>
      <c r="AG93" s="444"/>
    </row>
    <row r="94" spans="1:88" ht="30" customHeight="1" thickBot="1">
      <c r="D94" s="117">
        <v>1.2</v>
      </c>
      <c r="E94" s="118">
        <v>6.3</v>
      </c>
      <c r="F94" s="118">
        <v>4.5999999999999996</v>
      </c>
      <c r="G94" s="115">
        <v>3.5</v>
      </c>
      <c r="H94" s="115">
        <v>3</v>
      </c>
      <c r="I94" s="115">
        <v>4.7</v>
      </c>
      <c r="J94" s="115">
        <v>5</v>
      </c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49" t="s">
        <v>221</v>
      </c>
      <c r="E97" s="453">
        <f>MIN(D99:AG99)</f>
        <v>9.1</v>
      </c>
      <c r="F97" s="453">
        <f>MAX(D99:AG99)</f>
        <v>54.8</v>
      </c>
      <c r="G97" s="454" t="s">
        <v>617</v>
      </c>
    </row>
    <row r="98" spans="1:88" ht="30" customHeight="1">
      <c r="D98" s="384" t="s">
        <v>226</v>
      </c>
      <c r="E98" s="385" t="s">
        <v>227</v>
      </c>
      <c r="F98" s="385" t="s">
        <v>228</v>
      </c>
      <c r="G98" s="385" t="s">
        <v>332</v>
      </c>
      <c r="H98" s="385" t="s">
        <v>333</v>
      </c>
      <c r="I98" s="385" t="s">
        <v>334</v>
      </c>
      <c r="J98" s="385" t="s">
        <v>614</v>
      </c>
      <c r="K98" s="385"/>
      <c r="L98" s="385"/>
      <c r="M98" s="385"/>
      <c r="N98" s="385"/>
      <c r="O98" s="385"/>
      <c r="P98" s="385"/>
      <c r="Q98" s="385"/>
      <c r="R98" s="385"/>
      <c r="S98" s="385"/>
      <c r="T98" s="443"/>
      <c r="U98" s="443"/>
      <c r="V98" s="443"/>
      <c r="W98" s="443"/>
      <c r="X98" s="443"/>
      <c r="Y98" s="443"/>
      <c r="Z98" s="443"/>
      <c r="AA98" s="443"/>
      <c r="AB98" s="443"/>
      <c r="AC98" s="443"/>
      <c r="AD98" s="443"/>
      <c r="AE98" s="443"/>
      <c r="AF98" s="443"/>
      <c r="AG98" s="444"/>
    </row>
    <row r="99" spans="1:88" ht="30" customHeight="1" thickBot="1">
      <c r="D99" s="117">
        <v>38.4</v>
      </c>
      <c r="E99" s="118">
        <v>45.2</v>
      </c>
      <c r="F99" s="118">
        <v>54.8</v>
      </c>
      <c r="G99" s="115">
        <v>45.3</v>
      </c>
      <c r="H99" s="115">
        <v>9.1</v>
      </c>
      <c r="I99" s="115">
        <v>9.5399999999999991</v>
      </c>
      <c r="J99" s="115">
        <v>9.6999999999999993</v>
      </c>
      <c r="K99" s="115"/>
      <c r="L99" s="115"/>
      <c r="M99" s="115"/>
      <c r="N99" s="115"/>
      <c r="O99" s="115"/>
      <c r="P99" s="115"/>
      <c r="Q99" s="267"/>
      <c r="R99" s="267"/>
      <c r="S99" s="267"/>
      <c r="T99" s="451"/>
      <c r="U99" s="451"/>
      <c r="V99" s="455"/>
      <c r="W99" s="451"/>
      <c r="X99" s="451"/>
      <c r="Y99" s="451"/>
      <c r="Z99" s="451"/>
      <c r="AA99" s="451"/>
      <c r="AB99" s="451"/>
      <c r="AC99" s="451"/>
      <c r="AD99" s="451"/>
      <c r="AE99" s="451"/>
      <c r="AF99" s="451"/>
      <c r="AG99" s="452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49" t="s">
        <v>727</v>
      </c>
    </row>
    <row r="103" spans="1:88" ht="30" customHeight="1">
      <c r="D103" s="384" t="s">
        <v>226</v>
      </c>
      <c r="E103" s="385" t="s">
        <v>227</v>
      </c>
      <c r="F103" s="385" t="s">
        <v>228</v>
      </c>
      <c r="G103" s="385" t="s">
        <v>332</v>
      </c>
      <c r="H103" s="385" t="s">
        <v>333</v>
      </c>
      <c r="I103" s="385" t="s">
        <v>334</v>
      </c>
      <c r="J103" s="385" t="s">
        <v>614</v>
      </c>
      <c r="K103" s="385"/>
      <c r="L103" s="385"/>
      <c r="M103" s="385"/>
      <c r="N103" s="385"/>
      <c r="O103" s="385"/>
      <c r="P103" s="385"/>
      <c r="Q103" s="385"/>
      <c r="R103" s="385"/>
      <c r="S103" s="385"/>
      <c r="T103" s="443"/>
      <c r="U103" s="443"/>
      <c r="V103" s="443"/>
      <c r="W103" s="443"/>
      <c r="X103" s="443"/>
      <c r="Y103" s="443"/>
      <c r="Z103" s="443"/>
      <c r="AA103" s="443"/>
      <c r="AB103" s="443"/>
      <c r="AC103" s="443"/>
      <c r="AD103" s="443"/>
      <c r="AE103" s="443"/>
      <c r="AF103" s="443"/>
      <c r="AG103" s="444"/>
    </row>
    <row r="104" spans="1:88" ht="30" customHeight="1" thickBot="1">
      <c r="D104" s="117">
        <v>12</v>
      </c>
      <c r="E104" s="118">
        <v>12</v>
      </c>
      <c r="F104" s="118">
        <v>12</v>
      </c>
      <c r="G104" s="115">
        <v>12</v>
      </c>
      <c r="H104" s="115">
        <v>16</v>
      </c>
      <c r="I104" s="115">
        <v>16</v>
      </c>
      <c r="J104" s="115">
        <v>16</v>
      </c>
      <c r="K104" s="115"/>
      <c r="L104" s="115"/>
      <c r="M104" s="115"/>
      <c r="N104" s="115"/>
      <c r="O104" s="115"/>
      <c r="P104" s="115"/>
      <c r="Q104" s="267"/>
      <c r="R104" s="267"/>
      <c r="S104" s="267"/>
      <c r="T104" s="451"/>
      <c r="U104" s="451"/>
      <c r="V104" s="451"/>
      <c r="W104" s="451"/>
      <c r="X104" s="451"/>
      <c r="Y104" s="451"/>
      <c r="Z104" s="451"/>
      <c r="AA104" s="451"/>
      <c r="AB104" s="451"/>
      <c r="AC104" s="451"/>
      <c r="AD104" s="451"/>
      <c r="AE104" s="451"/>
      <c r="AF104" s="451"/>
      <c r="AG104" s="452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49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 t="s">
        <v>228</v>
      </c>
      <c r="G108" s="385" t="s">
        <v>332</v>
      </c>
      <c r="H108" s="385" t="s">
        <v>333</v>
      </c>
      <c r="I108" s="385" t="s">
        <v>334</v>
      </c>
      <c r="J108" s="385" t="s">
        <v>614</v>
      </c>
      <c r="K108" s="385"/>
      <c r="L108" s="385"/>
      <c r="M108" s="385"/>
      <c r="N108" s="385"/>
      <c r="O108" s="385"/>
      <c r="P108" s="385"/>
      <c r="Q108" s="385"/>
      <c r="R108" s="385"/>
      <c r="S108" s="385"/>
      <c r="T108" s="443"/>
      <c r="U108" s="443"/>
      <c r="V108" s="443"/>
      <c r="W108" s="443"/>
      <c r="X108" s="443"/>
      <c r="Y108" s="443"/>
      <c r="Z108" s="443"/>
      <c r="AA108" s="443"/>
      <c r="AB108" s="443"/>
      <c r="AC108" s="443"/>
      <c r="AD108" s="443"/>
      <c r="AE108" s="443"/>
      <c r="AF108" s="443"/>
      <c r="AG108" s="444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50"/>
      <c r="B109" s="450"/>
      <c r="C109" s="450"/>
      <c r="D109" s="117">
        <v>15</v>
      </c>
      <c r="E109" s="118">
        <v>30</v>
      </c>
      <c r="F109" s="118">
        <v>15</v>
      </c>
      <c r="G109" s="115">
        <v>30</v>
      </c>
      <c r="H109" s="115">
        <v>30</v>
      </c>
      <c r="I109" s="115">
        <v>30</v>
      </c>
      <c r="J109" s="115">
        <v>30</v>
      </c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50"/>
      <c r="AI109" s="450"/>
      <c r="AJ109" s="450"/>
      <c r="AK109" s="450"/>
      <c r="AL109" s="450"/>
      <c r="AM109" s="450"/>
      <c r="AN109" s="450"/>
      <c r="AO109" s="450"/>
      <c r="AP109" s="450"/>
      <c r="AQ109" s="450"/>
      <c r="AR109" s="450"/>
      <c r="AS109" s="450"/>
      <c r="AT109" s="450"/>
      <c r="AU109" s="450"/>
      <c r="AV109" s="450"/>
      <c r="AW109" s="450"/>
      <c r="AX109" s="450"/>
      <c r="AY109" s="450"/>
      <c r="AZ109" s="450"/>
      <c r="BA109" s="450"/>
      <c r="BB109" s="450"/>
      <c r="BC109" s="450"/>
      <c r="BD109" s="450"/>
      <c r="BE109" s="450"/>
      <c r="BF109" s="450"/>
      <c r="BG109" s="450"/>
      <c r="BH109" s="450"/>
      <c r="BI109" s="450"/>
      <c r="BJ109" s="450"/>
      <c r="BK109" s="450"/>
      <c r="BL109" s="450"/>
      <c r="BM109" s="450"/>
      <c r="BN109" s="450"/>
      <c r="BO109" s="450"/>
      <c r="BP109" s="450"/>
      <c r="BQ109" s="450"/>
      <c r="BR109" s="450"/>
      <c r="BS109" s="450"/>
      <c r="BT109" s="450"/>
      <c r="BU109" s="450"/>
      <c r="BV109" s="450"/>
      <c r="BW109" s="450"/>
      <c r="BX109" s="450"/>
      <c r="BY109" s="450"/>
      <c r="BZ109" s="450"/>
      <c r="CA109" s="450"/>
      <c r="CB109" s="450"/>
      <c r="CC109" s="450"/>
      <c r="CD109" s="450"/>
      <c r="CE109" s="450"/>
      <c r="CF109" s="450"/>
      <c r="CG109" s="450"/>
      <c r="CH109" s="450"/>
      <c r="CI109" s="450"/>
      <c r="CJ109" s="450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49" t="s">
        <v>612</v>
      </c>
    </row>
    <row r="113" spans="4:33" ht="30" customHeight="1">
      <c r="D113" s="384" t="s">
        <v>226</v>
      </c>
      <c r="E113" s="385" t="s">
        <v>227</v>
      </c>
      <c r="F113" s="385" t="s">
        <v>228</v>
      </c>
      <c r="G113" s="385" t="s">
        <v>332</v>
      </c>
      <c r="H113" s="385" t="s">
        <v>333</v>
      </c>
      <c r="I113" s="385" t="s">
        <v>334</v>
      </c>
      <c r="J113" s="385" t="s">
        <v>614</v>
      </c>
      <c r="K113" s="385"/>
      <c r="L113" s="385"/>
      <c r="M113" s="385"/>
      <c r="N113" s="385"/>
      <c r="O113" s="385"/>
      <c r="P113" s="385"/>
      <c r="Q113" s="385"/>
      <c r="R113" s="385"/>
      <c r="S113" s="385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4"/>
    </row>
    <row r="114" spans="4:33" ht="30" customHeight="1" thickBot="1">
      <c r="D114" s="117">
        <v>65</v>
      </c>
      <c r="E114" s="118">
        <v>50</v>
      </c>
      <c r="F114" s="118">
        <v>120</v>
      </c>
      <c r="G114" s="115">
        <v>80</v>
      </c>
      <c r="H114" s="115">
        <v>15</v>
      </c>
      <c r="I114" s="115">
        <v>16</v>
      </c>
      <c r="J114" s="115">
        <v>15</v>
      </c>
      <c r="K114" s="115"/>
      <c r="L114" s="115"/>
      <c r="M114" s="115"/>
      <c r="N114" s="115"/>
      <c r="O114" s="115"/>
      <c r="P114" s="115"/>
      <c r="Q114" s="267"/>
      <c r="R114" s="267"/>
      <c r="S114" s="267"/>
      <c r="T114" s="451"/>
      <c r="U114" s="451"/>
      <c r="V114" s="451"/>
      <c r="W114" s="451"/>
      <c r="X114" s="451"/>
      <c r="Y114" s="451"/>
      <c r="Z114" s="451"/>
      <c r="AA114" s="451"/>
      <c r="AB114" s="451"/>
      <c r="AC114" s="451"/>
      <c r="AD114" s="451"/>
      <c r="AE114" s="451"/>
      <c r="AF114" s="451"/>
      <c r="AG114" s="452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49" t="s">
        <v>611</v>
      </c>
    </row>
    <row r="118" spans="4:33" ht="30" customHeight="1">
      <c r="D118" s="384" t="s">
        <v>226</v>
      </c>
      <c r="E118" s="385" t="s">
        <v>227</v>
      </c>
      <c r="F118" s="385" t="s">
        <v>228</v>
      </c>
      <c r="G118" s="385" t="s">
        <v>332</v>
      </c>
      <c r="H118" s="385" t="s">
        <v>333</v>
      </c>
      <c r="I118" s="385" t="s">
        <v>334</v>
      </c>
      <c r="J118" s="385" t="s">
        <v>614</v>
      </c>
      <c r="K118" s="385"/>
      <c r="L118" s="385"/>
      <c r="M118" s="385"/>
      <c r="N118" s="385"/>
      <c r="O118" s="385"/>
      <c r="P118" s="385"/>
      <c r="Q118" s="385"/>
      <c r="R118" s="385"/>
      <c r="S118" s="385"/>
      <c r="T118" s="443"/>
      <c r="U118" s="443"/>
      <c r="V118" s="443"/>
      <c r="W118" s="443"/>
      <c r="X118" s="443"/>
      <c r="Y118" s="443"/>
      <c r="Z118" s="443"/>
      <c r="AA118" s="443"/>
      <c r="AB118" s="443"/>
      <c r="AC118" s="443"/>
      <c r="AD118" s="443"/>
      <c r="AE118" s="443"/>
      <c r="AF118" s="443"/>
      <c r="AG118" s="444"/>
    </row>
    <row r="119" spans="4:33" ht="30" customHeight="1" thickBot="1">
      <c r="D119" s="117">
        <v>50</v>
      </c>
      <c r="E119" s="118">
        <v>50</v>
      </c>
      <c r="F119" s="118">
        <v>50</v>
      </c>
      <c r="G119" s="115">
        <v>80</v>
      </c>
      <c r="H119" s="115">
        <v>80</v>
      </c>
      <c r="I119" s="115">
        <v>80</v>
      </c>
      <c r="J119" s="115">
        <v>80</v>
      </c>
      <c r="K119" s="115"/>
      <c r="L119" s="115"/>
      <c r="M119" s="115"/>
      <c r="N119" s="115"/>
      <c r="O119" s="115"/>
      <c r="P119" s="115"/>
      <c r="Q119" s="267"/>
      <c r="R119" s="267"/>
      <c r="S119" s="267"/>
      <c r="T119" s="451"/>
      <c r="U119" s="451"/>
      <c r="V119" s="451"/>
      <c r="W119" s="451"/>
      <c r="X119" s="451"/>
      <c r="Y119" s="451"/>
      <c r="Z119" s="451"/>
      <c r="AA119" s="451"/>
      <c r="AB119" s="451"/>
      <c r="AC119" s="451"/>
      <c r="AD119" s="451"/>
      <c r="AE119" s="451"/>
      <c r="AF119" s="451"/>
      <c r="AG119" s="452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T2" sqref="T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728</v>
      </c>
      <c r="F1" s="24"/>
      <c r="J1" s="52"/>
    </row>
    <row r="2" spans="1:18" s="55" customFormat="1" ht="23.1" customHeight="1">
      <c r="A2" s="702" t="s">
        <v>0</v>
      </c>
      <c r="B2" s="692" t="s">
        <v>39</v>
      </c>
      <c r="C2" s="692" t="s">
        <v>6</v>
      </c>
      <c r="D2" s="692" t="s">
        <v>38</v>
      </c>
      <c r="E2" s="692" t="s">
        <v>201</v>
      </c>
      <c r="F2" s="692" t="s">
        <v>200</v>
      </c>
      <c r="G2" s="696" t="s">
        <v>1</v>
      </c>
      <c r="H2" s="696" t="s">
        <v>2</v>
      </c>
      <c r="I2" s="696" t="s">
        <v>169</v>
      </c>
      <c r="J2" s="700" t="s">
        <v>254</v>
      </c>
      <c r="K2" s="696" t="s">
        <v>253</v>
      </c>
      <c r="L2" s="696" t="s">
        <v>3</v>
      </c>
      <c r="M2" s="696" t="s">
        <v>4</v>
      </c>
      <c r="N2" s="696" t="s">
        <v>5</v>
      </c>
      <c r="O2" s="696" t="s">
        <v>252</v>
      </c>
      <c r="P2" s="698" t="s">
        <v>251</v>
      </c>
      <c r="Q2" s="692" t="s">
        <v>156</v>
      </c>
      <c r="R2" s="694" t="s">
        <v>91</v>
      </c>
    </row>
    <row r="3" spans="1:18" s="55" customFormat="1" ht="27" customHeight="1">
      <c r="A3" s="703"/>
      <c r="B3" s="693"/>
      <c r="C3" s="693"/>
      <c r="D3" s="693"/>
      <c r="E3" s="693"/>
      <c r="F3" s="693"/>
      <c r="G3" s="697"/>
      <c r="H3" s="697"/>
      <c r="I3" s="697"/>
      <c r="J3" s="701"/>
      <c r="K3" s="697"/>
      <c r="L3" s="697"/>
      <c r="M3" s="697"/>
      <c r="N3" s="697"/>
      <c r="O3" s="697"/>
      <c r="P3" s="699"/>
      <c r="Q3" s="693"/>
      <c r="R3" s="695"/>
    </row>
    <row r="4" spans="1:18" ht="23.1" customHeight="1" thickBot="1">
      <c r="A4" s="433" t="s">
        <v>729</v>
      </c>
      <c r="B4" s="434" t="s">
        <v>350</v>
      </c>
      <c r="C4" s="435"/>
      <c r="D4" s="436" t="s">
        <v>690</v>
      </c>
      <c r="E4" s="436" t="str">
        <f>Recharge!$I$24</f>
        <v>한강/한강서울</v>
      </c>
      <c r="F4" s="436" t="str">
        <f>All!$B$2</f>
        <v>서울기상청</v>
      </c>
      <c r="G4" s="436">
        <v>200</v>
      </c>
      <c r="H4" s="436">
        <v>100</v>
      </c>
      <c r="I4" s="436">
        <v>80</v>
      </c>
      <c r="J4" s="436">
        <v>80</v>
      </c>
      <c r="K4" s="436">
        <v>160</v>
      </c>
      <c r="L4" s="436">
        <v>15</v>
      </c>
      <c r="M4" s="436">
        <v>65</v>
      </c>
      <c r="N4" s="437">
        <v>50</v>
      </c>
      <c r="O4" s="438">
        <f>ROUND(water!$F$7, 1)</f>
        <v>423.8</v>
      </c>
      <c r="P4" s="439">
        <v>6919125.9708000002</v>
      </c>
      <c r="Q4" s="436"/>
      <c r="R4" s="440"/>
    </row>
    <row r="5" spans="1:18" ht="23.25" customHeight="1" thickBot="1">
      <c r="A5" s="83"/>
      <c r="J5" s="98"/>
      <c r="P5" s="99"/>
    </row>
    <row r="6" spans="1:18" ht="23.25" customHeight="1" thickBot="1">
      <c r="I6" s="203">
        <f>SUM(I4:I5)</f>
        <v>80</v>
      </c>
    </row>
    <row r="10" spans="1:18">
      <c r="Q10" s="22" t="s">
        <v>119</v>
      </c>
    </row>
    <row r="12" spans="1:18">
      <c r="I12"/>
      <c r="J12"/>
      <c r="K12"/>
      <c r="L12"/>
      <c r="M12"/>
      <c r="N12"/>
      <c r="O12"/>
      <c r="P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r:id="rId25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" sqref="E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33" t="s">
        <v>153</v>
      </c>
      <c r="C2" s="634" t="str">
        <f>Well!D4</f>
        <v xml:space="preserve"> 전의면 유천리 227번지 </v>
      </c>
      <c r="D2" s="635"/>
      <c r="E2" s="635"/>
      <c r="F2" s="635"/>
      <c r="G2" s="63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424">
        <f>Well!C4</f>
        <v>0</v>
      </c>
      <c r="D3" s="642" t="s">
        <v>49</v>
      </c>
      <c r="E3" s="643" t="s">
        <v>115</v>
      </c>
      <c r="F3" s="644" t="s">
        <v>105</v>
      </c>
      <c r="G3" s="70" t="s">
        <v>735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425">
        <f>Well!R4</f>
        <v>0</v>
      </c>
      <c r="D4" s="645" t="s">
        <v>51</v>
      </c>
      <c r="E4" s="4">
        <v>0</v>
      </c>
      <c r="F4" s="5"/>
      <c r="G4" s="45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425">
        <f>Well!Q4</f>
        <v>0</v>
      </c>
      <c r="D5" s="645" t="s">
        <v>53</v>
      </c>
      <c r="E5" s="204">
        <v>19.029499999999999</v>
      </c>
      <c r="F5" s="20">
        <f>$E$5/$C$14</f>
        <v>0.21624431818181816</v>
      </c>
      <c r="G5" s="638">
        <v>2.9339999999999998E-4</v>
      </c>
      <c r="H5" s="640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426" t="str">
        <f>Well!D4</f>
        <v xml:space="preserve"> 전의면 유천리 227번지 </v>
      </c>
      <c r="D6" s="645" t="s">
        <v>56</v>
      </c>
      <c r="E6" s="205">
        <v>2.6640000000000001</v>
      </c>
      <c r="F6" s="20">
        <f>$E$6/$C$14</f>
        <v>3.0272727272727274E-2</v>
      </c>
      <c r="G6" s="639">
        <v>36.36</v>
      </c>
      <c r="H6" s="641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46" t="s">
        <v>55</v>
      </c>
      <c r="C7" s="458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46" t="s">
        <v>57</v>
      </c>
      <c r="C8" s="652">
        <f>Well!G4</f>
        <v>200</v>
      </c>
    </row>
    <row r="9" spans="1:13" ht="25.5" customHeight="1" thickBot="1">
      <c r="B9" s="646" t="s">
        <v>59</v>
      </c>
      <c r="C9" s="427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428">
        <v>5</v>
      </c>
      <c r="D10" s="155" t="s">
        <v>61</v>
      </c>
      <c r="E10" s="460">
        <v>321.89999999999998</v>
      </c>
      <c r="F10" s="461">
        <v>394.2</v>
      </c>
      <c r="G10" s="46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428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26" t="s">
        <v>114</v>
      </c>
      <c r="K11" s="62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429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429"/>
      <c r="D13" s="76" t="str">
        <f>All!B2</f>
        <v>서울기상청</v>
      </c>
      <c r="E13" s="76" t="str">
        <f>Recharge!I24</f>
        <v>한강/한강서울</v>
      </c>
      <c r="F13" s="650">
        <f>rf_1</f>
        <v>0.14099999999999999</v>
      </c>
      <c r="G13" s="650">
        <f>allow_ratio</f>
        <v>0.72399999999999998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46" t="s">
        <v>66</v>
      </c>
      <c r="C14" s="457">
        <f>C7-IF(C20&gt;C9,C20,C9)</f>
        <v>88</v>
      </c>
      <c r="F14" s="651"/>
      <c r="G14" s="650">
        <f>max</f>
        <v>1439.8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46" t="s">
        <v>67</v>
      </c>
      <c r="C15" s="652">
        <f>Well!I4</f>
        <v>80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431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430">
        <f>Well!L4</f>
        <v>15</v>
      </c>
      <c r="E17" s="135">
        <f>Well!P4</f>
        <v>6919125.9708000002</v>
      </c>
      <c r="F17" s="80">
        <f>(max*rf_1*E17/1000)</f>
        <v>1404664.2177588553</v>
      </c>
      <c r="G17" s="79">
        <f>F17*allow_ratio</f>
        <v>1016976.8936574112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43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432">
        <f>Well!N4</f>
        <v>50</v>
      </c>
      <c r="E19" s="135">
        <f>E17</f>
        <v>6919125.9708000002</v>
      </c>
      <c r="F19" s="77">
        <f>(max*rf_1*E19/1000)/365</f>
        <v>3848.3951171475487</v>
      </c>
      <c r="G19" s="78">
        <f>F19*allow_ratio</f>
        <v>2786.2380648148251</v>
      </c>
      <c r="H19" s="74">
        <f>G19-F21</f>
        <v>2362.4380648148249</v>
      </c>
    </row>
    <row r="20" spans="2:12" ht="20.100000000000001" customHeight="1">
      <c r="B20" s="648" t="s">
        <v>75</v>
      </c>
      <c r="C20" s="636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47" t="s">
        <v>78</v>
      </c>
      <c r="C21" s="637">
        <v>10.5</v>
      </c>
      <c r="D21" s="8"/>
      <c r="E21" s="136">
        <f>Well!$I$6</f>
        <v>80</v>
      </c>
      <c r="F21" s="137">
        <f>Well!O4</f>
        <v>423.8</v>
      </c>
      <c r="G21" s="79">
        <f>G19-E21-F21</f>
        <v>2282.4380648148249</v>
      </c>
    </row>
    <row r="22" spans="2:12" ht="20.100000000000001" customHeight="1" thickBot="1">
      <c r="B22" s="649" t="s">
        <v>161</v>
      </c>
      <c r="C22" s="423">
        <f>C21-C20</f>
        <v>6.9</v>
      </c>
      <c r="E22" s="398">
        <f>E21+F21</f>
        <v>503.8</v>
      </c>
      <c r="F22" s="399"/>
      <c r="G22" s="11"/>
      <c r="I22" s="10"/>
    </row>
    <row r="23" spans="2:12" ht="20.100000000000001" customHeight="1" thickBot="1">
      <c r="B23" s="130" t="s">
        <v>229</v>
      </c>
      <c r="C23" s="456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28" t="s">
        <v>591</v>
      </c>
      <c r="C25" s="629"/>
      <c r="D25" s="630" t="s">
        <v>103</v>
      </c>
      <c r="E25" s="630" t="s">
        <v>104</v>
      </c>
      <c r="F25" s="630" t="s">
        <v>96</v>
      </c>
      <c r="G25" s="630" t="s">
        <v>97</v>
      </c>
      <c r="H25" s="630" t="s">
        <v>118</v>
      </c>
      <c r="I25" s="630" t="s">
        <v>98</v>
      </c>
      <c r="J25" s="631" t="s">
        <v>99</v>
      </c>
      <c r="K25" s="632" t="s">
        <v>100</v>
      </c>
    </row>
    <row r="26" spans="2:12" ht="25.5" customHeight="1">
      <c r="B26" s="704" t="s">
        <v>49</v>
      </c>
      <c r="C26" s="183" t="s">
        <v>101</v>
      </c>
      <c r="D26" s="147">
        <f>C20</f>
        <v>3.6</v>
      </c>
      <c r="E26" s="148">
        <f>Recharge!C30</f>
        <v>20.301179999999995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63" t="s">
        <v>618</v>
      </c>
    </row>
    <row r="27" spans="2:12" ht="25.5" customHeight="1">
      <c r="B27" s="705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63" t="s">
        <v>687</v>
      </c>
    </row>
    <row r="28" spans="2:12" ht="25.5" customHeight="1">
      <c r="B28" s="705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05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05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706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09" t="s">
        <v>84</v>
      </c>
      <c r="C12" s="710"/>
      <c r="D12" s="710" t="s">
        <v>85</v>
      </c>
      <c r="E12" s="710"/>
      <c r="F12" s="711"/>
      <c r="H12" s="709" t="s">
        <v>85</v>
      </c>
      <c r="I12" s="710"/>
      <c r="J12" s="711"/>
      <c r="L12"/>
      <c r="M12"/>
      <c r="N12"/>
    </row>
    <row r="13" spans="2:14" s="22" customFormat="1" ht="26.1" customHeight="1" thickBot="1">
      <c r="B13" s="472" t="s">
        <v>80</v>
      </c>
      <c r="C13" s="464" t="s">
        <v>86</v>
      </c>
      <c r="D13" s="464" t="s">
        <v>87</v>
      </c>
      <c r="E13" s="464" t="s">
        <v>88</v>
      </c>
      <c r="F13" s="473" t="s">
        <v>89</v>
      </c>
      <c r="H13" s="244" t="s">
        <v>87</v>
      </c>
      <c r="I13" s="333" t="s">
        <v>88</v>
      </c>
      <c r="J13" s="482" t="s">
        <v>89</v>
      </c>
      <c r="L13"/>
      <c r="M13"/>
      <c r="N13"/>
    </row>
    <row r="14" spans="2:14" s="22" customFormat="1" ht="26.1" customHeight="1">
      <c r="B14" s="478">
        <f>$C$6+C14/1440</f>
        <v>45187.434027777774</v>
      </c>
      <c r="C14" s="465">
        <v>5</v>
      </c>
      <c r="D14" s="465">
        <f t="shared" ref="D14:D20" si="0">baseTemp+H14</f>
        <v>15.100000000000001</v>
      </c>
      <c r="E14" s="466">
        <f>$C$8+I14</f>
        <v>221</v>
      </c>
      <c r="F14" s="475">
        <f>$C$9+J14</f>
        <v>7.0100000000000007</v>
      </c>
      <c r="H14" s="479">
        <v>0.3</v>
      </c>
      <c r="I14" s="480">
        <v>6</v>
      </c>
      <c r="J14" s="481">
        <v>0.11</v>
      </c>
      <c r="L14"/>
      <c r="M14"/>
      <c r="N14"/>
    </row>
    <row r="15" spans="2:14" s="22" customFormat="1" ht="26.1" customHeight="1">
      <c r="B15" s="478">
        <f t="shared" ref="B15:B23" si="1">$C$6+C15/1440</f>
        <v>45187.451388888891</v>
      </c>
      <c r="C15" s="465">
        <v>30</v>
      </c>
      <c r="D15" s="465">
        <f t="shared" si="0"/>
        <v>14.5</v>
      </c>
      <c r="E15" s="466">
        <f t="shared" ref="E15:E20" si="2">$C$8+I15</f>
        <v>231</v>
      </c>
      <c r="F15" s="47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78">
        <f t="shared" si="1"/>
        <v>45187.472222222219</v>
      </c>
      <c r="C16" s="465">
        <v>60</v>
      </c>
      <c r="D16" s="465">
        <f t="shared" si="0"/>
        <v>14.600000000000001</v>
      </c>
      <c r="E16" s="466">
        <f t="shared" si="2"/>
        <v>217</v>
      </c>
      <c r="F16" s="47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78">
        <f t="shared" si="1"/>
        <v>45187.513888888891</v>
      </c>
      <c r="C17" s="465">
        <v>120</v>
      </c>
      <c r="D17" s="465">
        <f t="shared" si="0"/>
        <v>15</v>
      </c>
      <c r="E17" s="466">
        <f t="shared" si="2"/>
        <v>204</v>
      </c>
      <c r="F17" s="47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78">
        <f t="shared" si="1"/>
        <v>45187.597222222219</v>
      </c>
      <c r="C18" s="465">
        <v>240</v>
      </c>
      <c r="D18" s="465">
        <f t="shared" si="0"/>
        <v>14.9</v>
      </c>
      <c r="E18" s="466">
        <f t="shared" si="2"/>
        <v>208</v>
      </c>
      <c r="F18" s="47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78">
        <f t="shared" si="1"/>
        <v>45187.763888888891</v>
      </c>
      <c r="C19" s="465">
        <v>480</v>
      </c>
      <c r="D19" s="468">
        <f t="shared" si="0"/>
        <v>14.600000000000001</v>
      </c>
      <c r="E19" s="466">
        <f t="shared" si="2"/>
        <v>230</v>
      </c>
      <c r="F19" s="47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78">
        <f t="shared" si="1"/>
        <v>45188.430555555555</v>
      </c>
      <c r="C20" s="465">
        <v>1440</v>
      </c>
      <c r="D20" s="465">
        <f t="shared" si="0"/>
        <v>14.600000000000001</v>
      </c>
      <c r="E20" s="466">
        <f t="shared" si="2"/>
        <v>207</v>
      </c>
      <c r="F20" s="47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78">
        <f t="shared" si="1"/>
        <v>45188.597222222219</v>
      </c>
      <c r="C21" s="465">
        <v>1680</v>
      </c>
      <c r="D21" s="465">
        <f>$D$20</f>
        <v>14.600000000000001</v>
      </c>
      <c r="E21" s="466">
        <f>$E$20</f>
        <v>207</v>
      </c>
      <c r="F21" s="47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78">
        <f t="shared" si="1"/>
        <v>45188.763888888891</v>
      </c>
      <c r="C22" s="465">
        <v>1920</v>
      </c>
      <c r="D22" s="465">
        <f t="shared" ref="D22:D23" si="4">$D$20</f>
        <v>14.600000000000001</v>
      </c>
      <c r="E22" s="466">
        <f t="shared" ref="E22:E23" si="5">$E$20</f>
        <v>207</v>
      </c>
      <c r="F22" s="47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78">
        <f t="shared" si="1"/>
        <v>45189.430555555555</v>
      </c>
      <c r="C23" s="465">
        <v>2880</v>
      </c>
      <c r="D23" s="465">
        <f t="shared" si="4"/>
        <v>14.600000000000001</v>
      </c>
      <c r="E23" s="466">
        <f t="shared" si="5"/>
        <v>207</v>
      </c>
      <c r="F23" s="47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2" t="s">
        <v>36</v>
      </c>
      <c r="C24" s="713"/>
      <c r="D24" s="464">
        <f>MAX(D14:D23)</f>
        <v>15.100000000000001</v>
      </c>
      <c r="E24" s="464">
        <f t="shared" ref="E24:F24" si="7">MAX(E14:E23)</f>
        <v>231</v>
      </c>
      <c r="F24" s="473">
        <f t="shared" si="7"/>
        <v>7.0100000000000007</v>
      </c>
      <c r="H24" s="22"/>
      <c r="I24" s="22"/>
      <c r="J24" s="22"/>
    </row>
    <row r="25" spans="2:14" s="23" customFormat="1" ht="26.1" customHeight="1">
      <c r="B25" s="712" t="s">
        <v>37</v>
      </c>
      <c r="C25" s="713"/>
      <c r="D25" s="464">
        <f>MIN(D14:D23)</f>
        <v>14.5</v>
      </c>
      <c r="E25" s="464">
        <f t="shared" ref="E25:F25" si="8">MIN(E14:E23)</f>
        <v>204</v>
      </c>
      <c r="F25" s="473">
        <f t="shared" si="8"/>
        <v>6.78</v>
      </c>
      <c r="H25" s="22"/>
      <c r="I25" s="22"/>
      <c r="J25" s="22"/>
    </row>
    <row r="26" spans="2:14" s="23" customFormat="1" ht="26.1" customHeight="1" thickBot="1">
      <c r="B26" s="707" t="s">
        <v>90</v>
      </c>
      <c r="C26" s="708"/>
      <c r="D26" s="476">
        <f>D24-D25</f>
        <v>0.60000000000000142</v>
      </c>
      <c r="E26" s="476">
        <f t="shared" ref="E26:F26" si="9">E24-E25</f>
        <v>27</v>
      </c>
      <c r="F26" s="4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09" t="s">
        <v>84</v>
      </c>
      <c r="C12" s="710"/>
      <c r="D12" s="710" t="s">
        <v>85</v>
      </c>
      <c r="E12" s="710"/>
      <c r="F12" s="710"/>
      <c r="G12" s="710" t="s">
        <v>154</v>
      </c>
      <c r="H12" s="710"/>
      <c r="I12" s="711"/>
    </row>
    <row r="13" spans="2:9" s="22" customFormat="1" ht="26.1" customHeight="1">
      <c r="B13" s="472" t="s">
        <v>80</v>
      </c>
      <c r="C13" s="464" t="s">
        <v>86</v>
      </c>
      <c r="D13" s="464" t="s">
        <v>87</v>
      </c>
      <c r="E13" s="464" t="s">
        <v>88</v>
      </c>
      <c r="F13" s="464" t="s">
        <v>89</v>
      </c>
      <c r="G13" s="464" t="s">
        <v>87</v>
      </c>
      <c r="H13" s="464" t="s">
        <v>88</v>
      </c>
      <c r="I13" s="473" t="s">
        <v>89</v>
      </c>
    </row>
    <row r="14" spans="2:9" s="22" customFormat="1" ht="26.1" customHeight="1">
      <c r="B14" s="474">
        <f>$C$6+C14/1440</f>
        <v>44753.864583333328</v>
      </c>
      <c r="C14" s="465">
        <v>5</v>
      </c>
      <c r="D14" s="469">
        <f t="shared" ref="D14:D23" si="0">baseTemp+D31</f>
        <v>14</v>
      </c>
      <c r="E14" s="470">
        <f t="shared" ref="E14:E20" si="1">$C$8+E31</f>
        <v>223</v>
      </c>
      <c r="F14" s="467">
        <f t="shared" ref="F14:F20" si="2">$C$9+F31</f>
        <v>7.83</v>
      </c>
      <c r="G14" s="469">
        <f t="shared" ref="G14:G23" si="3">baseTemp2+H31</f>
        <v>14</v>
      </c>
      <c r="H14" s="470">
        <f>$D$8+I31</f>
        <v>232</v>
      </c>
      <c r="I14" s="475">
        <f>$D$9+J31</f>
        <v>7.89</v>
      </c>
    </row>
    <row r="15" spans="2:9" s="22" customFormat="1" ht="26.1" customHeight="1">
      <c r="B15" s="474">
        <f t="shared" ref="B15:B23" si="4">$C$6+C15/1440</f>
        <v>44753.881944444445</v>
      </c>
      <c r="C15" s="465">
        <v>30</v>
      </c>
      <c r="D15" s="469">
        <f t="shared" si="0"/>
        <v>14.1</v>
      </c>
      <c r="E15" s="470">
        <f t="shared" si="1"/>
        <v>224</v>
      </c>
      <c r="F15" s="467">
        <f t="shared" si="2"/>
        <v>7.82</v>
      </c>
      <c r="G15" s="469">
        <f t="shared" si="3"/>
        <v>14</v>
      </c>
      <c r="H15" s="470">
        <f t="shared" ref="H15:H20" si="5">$D$8+I32</f>
        <v>226</v>
      </c>
      <c r="I15" s="475">
        <f t="shared" ref="I15:I20" si="6">$D$9+J32</f>
        <v>7.71</v>
      </c>
    </row>
    <row r="16" spans="2:9" s="22" customFormat="1" ht="26.1" customHeight="1">
      <c r="B16" s="474">
        <f t="shared" si="4"/>
        <v>44753.902777777774</v>
      </c>
      <c r="C16" s="465">
        <v>60</v>
      </c>
      <c r="D16" s="469">
        <f t="shared" si="0"/>
        <v>14</v>
      </c>
      <c r="E16" s="470">
        <f t="shared" si="1"/>
        <v>228</v>
      </c>
      <c r="F16" s="467">
        <f t="shared" si="2"/>
        <v>8.01</v>
      </c>
      <c r="G16" s="469">
        <f t="shared" si="3"/>
        <v>13.9</v>
      </c>
      <c r="H16" s="470">
        <f t="shared" si="5"/>
        <v>232</v>
      </c>
      <c r="I16" s="475">
        <f t="shared" si="6"/>
        <v>7.7</v>
      </c>
    </row>
    <row r="17" spans="2:10" s="22" customFormat="1" ht="26.1" customHeight="1">
      <c r="B17" s="474">
        <f t="shared" si="4"/>
        <v>44753.944444444445</v>
      </c>
      <c r="C17" s="465">
        <v>120</v>
      </c>
      <c r="D17" s="469">
        <f t="shared" si="0"/>
        <v>14</v>
      </c>
      <c r="E17" s="470">
        <f t="shared" si="1"/>
        <v>228</v>
      </c>
      <c r="F17" s="467">
        <f t="shared" si="2"/>
        <v>8.01</v>
      </c>
      <c r="G17" s="469">
        <f t="shared" si="3"/>
        <v>13.9</v>
      </c>
      <c r="H17" s="470">
        <f t="shared" si="5"/>
        <v>228</v>
      </c>
      <c r="I17" s="475">
        <f t="shared" si="6"/>
        <v>7.7</v>
      </c>
    </row>
    <row r="18" spans="2:10" s="22" customFormat="1" ht="26.1" customHeight="1">
      <c r="B18" s="474">
        <f t="shared" si="4"/>
        <v>44754.027777777774</v>
      </c>
      <c r="C18" s="465">
        <v>240</v>
      </c>
      <c r="D18" s="469">
        <f t="shared" si="0"/>
        <v>14.1</v>
      </c>
      <c r="E18" s="470">
        <f t="shared" si="1"/>
        <v>227</v>
      </c>
      <c r="F18" s="467">
        <f t="shared" si="2"/>
        <v>8.01</v>
      </c>
      <c r="G18" s="469">
        <f t="shared" si="3"/>
        <v>13.9</v>
      </c>
      <c r="H18" s="470">
        <f t="shared" si="5"/>
        <v>230</v>
      </c>
      <c r="I18" s="475">
        <f t="shared" si="6"/>
        <v>7.7</v>
      </c>
    </row>
    <row r="19" spans="2:10" s="22" customFormat="1" ht="26.1" customHeight="1">
      <c r="B19" s="474">
        <f t="shared" si="4"/>
        <v>44754.194444444445</v>
      </c>
      <c r="C19" s="465">
        <v>480</v>
      </c>
      <c r="D19" s="469">
        <f t="shared" si="0"/>
        <v>14</v>
      </c>
      <c r="E19" s="470">
        <f t="shared" si="1"/>
        <v>225</v>
      </c>
      <c r="F19" s="467">
        <f t="shared" si="2"/>
        <v>7.78</v>
      </c>
      <c r="G19" s="469">
        <f t="shared" si="3"/>
        <v>13.9</v>
      </c>
      <c r="H19" s="470">
        <f t="shared" si="5"/>
        <v>228</v>
      </c>
      <c r="I19" s="475">
        <f t="shared" si="6"/>
        <v>7.92</v>
      </c>
    </row>
    <row r="20" spans="2:10" s="23" customFormat="1" ht="26.1" customHeight="1">
      <c r="B20" s="474">
        <f t="shared" si="4"/>
        <v>44754.861111111109</v>
      </c>
      <c r="C20" s="465">
        <v>1440</v>
      </c>
      <c r="D20" s="469">
        <f t="shared" si="0"/>
        <v>14.1</v>
      </c>
      <c r="E20" s="470">
        <f t="shared" si="1"/>
        <v>227</v>
      </c>
      <c r="F20" s="467">
        <f t="shared" si="2"/>
        <v>7.9700000000000006</v>
      </c>
      <c r="G20" s="469">
        <f t="shared" si="3"/>
        <v>13.9</v>
      </c>
      <c r="H20" s="470">
        <f t="shared" si="5"/>
        <v>227</v>
      </c>
      <c r="I20" s="475">
        <f t="shared" si="6"/>
        <v>7.7299999999999995</v>
      </c>
    </row>
    <row r="21" spans="2:10" s="23" customFormat="1" ht="26.1" customHeight="1">
      <c r="B21" s="474">
        <f t="shared" si="4"/>
        <v>44755.027777777774</v>
      </c>
      <c r="C21" s="465">
        <v>1680</v>
      </c>
      <c r="D21" s="469">
        <f t="shared" si="0"/>
        <v>14</v>
      </c>
      <c r="E21" s="470">
        <f>$E$20</f>
        <v>227</v>
      </c>
      <c r="F21" s="467">
        <f>$F$20</f>
        <v>7.9700000000000006</v>
      </c>
      <c r="G21" s="469">
        <f t="shared" si="3"/>
        <v>14.1</v>
      </c>
      <c r="H21" s="470">
        <f>$H$20</f>
        <v>227</v>
      </c>
      <c r="I21" s="475">
        <f>$I$20</f>
        <v>7.7299999999999995</v>
      </c>
    </row>
    <row r="22" spans="2:10" s="23" customFormat="1" ht="26.1" customHeight="1">
      <c r="B22" s="474">
        <f t="shared" si="4"/>
        <v>44755.194444444445</v>
      </c>
      <c r="C22" s="465">
        <v>1920</v>
      </c>
      <c r="D22" s="469">
        <f t="shared" si="0"/>
        <v>14</v>
      </c>
      <c r="E22" s="470">
        <f t="shared" ref="E22:E23" si="7">$E$20</f>
        <v>227</v>
      </c>
      <c r="F22" s="467">
        <f t="shared" ref="F22:F23" si="8">$F$20</f>
        <v>7.9700000000000006</v>
      </c>
      <c r="G22" s="469">
        <f t="shared" si="3"/>
        <v>13.9</v>
      </c>
      <c r="H22" s="470">
        <f t="shared" ref="H22:H23" si="9">$H$20</f>
        <v>227</v>
      </c>
      <c r="I22" s="475">
        <f t="shared" ref="I22:I23" si="10">$I$20</f>
        <v>7.7299999999999995</v>
      </c>
    </row>
    <row r="23" spans="2:10" s="23" customFormat="1" ht="26.1" customHeight="1">
      <c r="B23" s="474">
        <f t="shared" si="4"/>
        <v>44755.861111111109</v>
      </c>
      <c r="C23" s="465">
        <v>2880</v>
      </c>
      <c r="D23" s="469">
        <f t="shared" si="0"/>
        <v>14</v>
      </c>
      <c r="E23" s="470">
        <f t="shared" si="7"/>
        <v>227</v>
      </c>
      <c r="F23" s="467">
        <f t="shared" si="8"/>
        <v>7.9700000000000006</v>
      </c>
      <c r="G23" s="469">
        <f t="shared" si="3"/>
        <v>13.9</v>
      </c>
      <c r="H23" s="470">
        <f t="shared" si="9"/>
        <v>227</v>
      </c>
      <c r="I23" s="475">
        <f t="shared" si="10"/>
        <v>7.7299999999999995</v>
      </c>
    </row>
    <row r="24" spans="2:10" s="23" customFormat="1" ht="26.1" customHeight="1">
      <c r="B24" s="712" t="s">
        <v>36</v>
      </c>
      <c r="C24" s="713"/>
      <c r="D24" s="464">
        <f>MAX(D14:D23)</f>
        <v>14.1</v>
      </c>
      <c r="E24" s="464">
        <f t="shared" ref="E24:F24" si="11">MAX(E14:E23)</f>
        <v>228</v>
      </c>
      <c r="F24" s="464">
        <f t="shared" si="11"/>
        <v>8.01</v>
      </c>
      <c r="G24" s="464">
        <f>MAX(G14:G23)</f>
        <v>14.1</v>
      </c>
      <c r="H24" s="464">
        <f t="shared" ref="H24:I24" si="12">MAX(H14:H23)</f>
        <v>232</v>
      </c>
      <c r="I24" s="473">
        <f t="shared" si="12"/>
        <v>7.92</v>
      </c>
      <c r="J24" s="22"/>
    </row>
    <row r="25" spans="2:10" s="23" customFormat="1" ht="26.1" customHeight="1">
      <c r="B25" s="712" t="s">
        <v>37</v>
      </c>
      <c r="C25" s="713"/>
      <c r="D25" s="464">
        <f>MIN(D14:D23)</f>
        <v>14</v>
      </c>
      <c r="E25" s="464">
        <f t="shared" ref="E25:F25" si="13">MIN(E14:E23)</f>
        <v>223</v>
      </c>
      <c r="F25" s="471">
        <f t="shared" si="13"/>
        <v>7.78</v>
      </c>
      <c r="G25" s="464">
        <f>MIN(G14:G23)</f>
        <v>13.9</v>
      </c>
      <c r="H25" s="464">
        <f t="shared" ref="H25:I25" si="14">MIN(H14:H23)</f>
        <v>226</v>
      </c>
      <c r="I25" s="473">
        <f t="shared" si="14"/>
        <v>7.7</v>
      </c>
      <c r="J25" s="22"/>
    </row>
    <row r="26" spans="2:10" s="23" customFormat="1" ht="26.1" customHeight="1" thickBot="1">
      <c r="B26" s="707" t="s">
        <v>90</v>
      </c>
      <c r="C26" s="708"/>
      <c r="D26" s="476">
        <f>D24-D25</f>
        <v>9.9999999999999645E-2</v>
      </c>
      <c r="E26" s="476">
        <f t="shared" ref="E26:F26" si="15">E24-E25</f>
        <v>5</v>
      </c>
      <c r="F26" s="476">
        <f t="shared" si="15"/>
        <v>0.22999999999999954</v>
      </c>
      <c r="G26" s="476">
        <f>G24-G25</f>
        <v>0.19999999999999929</v>
      </c>
      <c r="H26" s="476">
        <f t="shared" ref="H26:I26" si="16">H24-H25</f>
        <v>6</v>
      </c>
      <c r="I26" s="47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14" t="s">
        <v>85</v>
      </c>
      <c r="E29" s="715"/>
      <c r="F29" s="716"/>
      <c r="H29" s="714" t="s">
        <v>154</v>
      </c>
      <c r="I29" s="715"/>
      <c r="J29" s="716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09" t="s">
        <v>84</v>
      </c>
      <c r="C12" s="710"/>
      <c r="D12" s="710" t="s">
        <v>85</v>
      </c>
      <c r="E12" s="710"/>
      <c r="F12" s="710"/>
      <c r="G12" s="710" t="s">
        <v>154</v>
      </c>
      <c r="H12" s="710"/>
      <c r="I12" s="710"/>
      <c r="J12" s="710" t="s">
        <v>155</v>
      </c>
      <c r="K12" s="710"/>
      <c r="L12" s="711"/>
    </row>
    <row r="13" spans="2:12" s="22" customFormat="1" ht="26.1" customHeight="1">
      <c r="B13" s="472" t="s">
        <v>80</v>
      </c>
      <c r="C13" s="464" t="s">
        <v>86</v>
      </c>
      <c r="D13" s="464" t="s">
        <v>158</v>
      </c>
      <c r="E13" s="464" t="s">
        <v>167</v>
      </c>
      <c r="F13" s="464" t="s">
        <v>89</v>
      </c>
      <c r="G13" s="464" t="s">
        <v>158</v>
      </c>
      <c r="H13" s="464" t="s">
        <v>167</v>
      </c>
      <c r="I13" s="464" t="s">
        <v>89</v>
      </c>
      <c r="J13" s="464" t="s">
        <v>158</v>
      </c>
      <c r="K13" s="464" t="s">
        <v>167</v>
      </c>
      <c r="L13" s="473" t="s">
        <v>89</v>
      </c>
    </row>
    <row r="14" spans="2:12" s="22" customFormat="1" ht="26.1" customHeight="1">
      <c r="B14" s="474">
        <f>$C$6+C14/1440</f>
        <v>44717.434027777774</v>
      </c>
      <c r="C14" s="465">
        <v>5</v>
      </c>
      <c r="D14" s="465">
        <f t="shared" ref="D14:D20" si="0">baseTemp+D31</f>
        <v>14.7</v>
      </c>
      <c r="E14" s="470">
        <f t="shared" ref="E14:E20" si="1">$C$8+E31</f>
        <v>194</v>
      </c>
      <c r="F14" s="467">
        <f t="shared" ref="F14:F20" si="2">$C$9+F31</f>
        <v>8.33</v>
      </c>
      <c r="G14" s="469">
        <f t="shared" ref="G14:G20" si="3">bTemp2+H31</f>
        <v>14.8</v>
      </c>
      <c r="H14" s="470">
        <f>$D$8+I31</f>
        <v>200</v>
      </c>
      <c r="I14" s="467">
        <f>$D$9+J31</f>
        <v>8.39</v>
      </c>
      <c r="J14" s="469">
        <f t="shared" ref="J14:J20" si="4">bTemp3+L31</f>
        <v>14.9</v>
      </c>
      <c r="K14" s="470">
        <f>$E$8+M31</f>
        <v>195</v>
      </c>
      <c r="L14" s="475">
        <f>$E$9+N31</f>
        <v>8.2800000000000011</v>
      </c>
    </row>
    <row r="15" spans="2:12" s="22" customFormat="1" ht="26.1" customHeight="1">
      <c r="B15" s="474">
        <f t="shared" ref="B15:B23" si="5">$C$6+C15/1440</f>
        <v>44717.451388888891</v>
      </c>
      <c r="C15" s="465">
        <v>30</v>
      </c>
      <c r="D15" s="465">
        <f t="shared" si="0"/>
        <v>14.799999999999999</v>
      </c>
      <c r="E15" s="470">
        <f t="shared" si="1"/>
        <v>195</v>
      </c>
      <c r="F15" s="467">
        <f t="shared" si="2"/>
        <v>8.32</v>
      </c>
      <c r="G15" s="469">
        <f t="shared" si="3"/>
        <v>14.8</v>
      </c>
      <c r="H15" s="470">
        <f t="shared" ref="H15:H20" si="6">$D$8+I32</f>
        <v>194</v>
      </c>
      <c r="I15" s="467">
        <f t="shared" ref="I15:I20" si="7">$D$9+J32</f>
        <v>8.2100000000000009</v>
      </c>
      <c r="J15" s="469">
        <f t="shared" si="4"/>
        <v>14.9</v>
      </c>
      <c r="K15" s="470">
        <f t="shared" ref="K15:K20" si="8">$E$8+M32</f>
        <v>192</v>
      </c>
      <c r="L15" s="475">
        <f t="shared" ref="L15:L20" si="9">$E$9+N32</f>
        <v>8.49</v>
      </c>
    </row>
    <row r="16" spans="2:12" s="22" customFormat="1" ht="26.1" customHeight="1">
      <c r="B16" s="474">
        <f t="shared" si="5"/>
        <v>44717.472222222219</v>
      </c>
      <c r="C16" s="465">
        <v>60</v>
      </c>
      <c r="D16" s="465">
        <f t="shared" si="0"/>
        <v>14.7</v>
      </c>
      <c r="E16" s="470">
        <f t="shared" si="1"/>
        <v>199</v>
      </c>
      <c r="F16" s="467">
        <f t="shared" si="2"/>
        <v>8.51</v>
      </c>
      <c r="G16" s="469">
        <f t="shared" si="3"/>
        <v>14.700000000000001</v>
      </c>
      <c r="H16" s="470">
        <f t="shared" si="6"/>
        <v>200</v>
      </c>
      <c r="I16" s="467">
        <f t="shared" si="7"/>
        <v>8.2000000000000011</v>
      </c>
      <c r="J16" s="469">
        <f t="shared" si="4"/>
        <v>15</v>
      </c>
      <c r="K16" s="470">
        <f t="shared" si="8"/>
        <v>193</v>
      </c>
      <c r="L16" s="475">
        <f t="shared" si="9"/>
        <v>8.51</v>
      </c>
    </row>
    <row r="17" spans="2:14" s="22" customFormat="1" ht="26.1" customHeight="1">
      <c r="B17" s="474">
        <f t="shared" si="5"/>
        <v>44717.513888888891</v>
      </c>
      <c r="C17" s="465">
        <v>120</v>
      </c>
      <c r="D17" s="465">
        <f t="shared" si="0"/>
        <v>14.7</v>
      </c>
      <c r="E17" s="470">
        <f t="shared" si="1"/>
        <v>199</v>
      </c>
      <c r="F17" s="467">
        <f t="shared" si="2"/>
        <v>8.51</v>
      </c>
      <c r="G17" s="469">
        <f t="shared" si="3"/>
        <v>14.700000000000001</v>
      </c>
      <c r="H17" s="470">
        <f t="shared" si="6"/>
        <v>196</v>
      </c>
      <c r="I17" s="467">
        <f t="shared" si="7"/>
        <v>8.2000000000000011</v>
      </c>
      <c r="J17" s="469">
        <f t="shared" si="4"/>
        <v>15</v>
      </c>
      <c r="K17" s="470">
        <f t="shared" si="8"/>
        <v>196</v>
      </c>
      <c r="L17" s="475">
        <f t="shared" si="9"/>
        <v>8.3000000000000007</v>
      </c>
    </row>
    <row r="18" spans="2:14" s="22" customFormat="1" ht="26.1" customHeight="1">
      <c r="B18" s="474">
        <f t="shared" si="5"/>
        <v>44717.597222222219</v>
      </c>
      <c r="C18" s="465">
        <v>240</v>
      </c>
      <c r="D18" s="465">
        <f t="shared" si="0"/>
        <v>14.799999999999999</v>
      </c>
      <c r="E18" s="470">
        <f t="shared" si="1"/>
        <v>198</v>
      </c>
      <c r="F18" s="467">
        <f t="shared" si="2"/>
        <v>8.51</v>
      </c>
      <c r="G18" s="469">
        <f t="shared" si="3"/>
        <v>14.700000000000001</v>
      </c>
      <c r="H18" s="470">
        <f t="shared" si="6"/>
        <v>198</v>
      </c>
      <c r="I18" s="467">
        <f t="shared" si="7"/>
        <v>8.2000000000000011</v>
      </c>
      <c r="J18" s="469">
        <f t="shared" si="4"/>
        <v>14.8</v>
      </c>
      <c r="K18" s="470">
        <f t="shared" si="8"/>
        <v>196</v>
      </c>
      <c r="L18" s="475">
        <f t="shared" si="9"/>
        <v>8.52</v>
      </c>
    </row>
    <row r="19" spans="2:14" s="22" customFormat="1" ht="26.1" customHeight="1">
      <c r="B19" s="474">
        <f t="shared" si="5"/>
        <v>44717.763888888891</v>
      </c>
      <c r="C19" s="465">
        <v>480</v>
      </c>
      <c r="D19" s="465">
        <f t="shared" si="0"/>
        <v>14.7</v>
      </c>
      <c r="E19" s="470">
        <f t="shared" si="1"/>
        <v>196</v>
      </c>
      <c r="F19" s="467">
        <f t="shared" si="2"/>
        <v>8.2800000000000011</v>
      </c>
      <c r="G19" s="469">
        <f t="shared" si="3"/>
        <v>14.700000000000001</v>
      </c>
      <c r="H19" s="470">
        <f t="shared" si="6"/>
        <v>196</v>
      </c>
      <c r="I19" s="467">
        <f t="shared" si="7"/>
        <v>8.42</v>
      </c>
      <c r="J19" s="469">
        <f t="shared" si="4"/>
        <v>15</v>
      </c>
      <c r="K19" s="470">
        <f t="shared" si="8"/>
        <v>191</v>
      </c>
      <c r="L19" s="475">
        <f t="shared" si="9"/>
        <v>8.2800000000000011</v>
      </c>
    </row>
    <row r="20" spans="2:14" s="23" customFormat="1" ht="26.1" customHeight="1">
      <c r="B20" s="474">
        <f t="shared" si="5"/>
        <v>44718.430555555555</v>
      </c>
      <c r="C20" s="465">
        <v>1440</v>
      </c>
      <c r="D20" s="465">
        <f t="shared" si="0"/>
        <v>14.799999999999999</v>
      </c>
      <c r="E20" s="470">
        <f t="shared" si="1"/>
        <v>198</v>
      </c>
      <c r="F20" s="467">
        <f t="shared" si="2"/>
        <v>8.4700000000000006</v>
      </c>
      <c r="G20" s="469">
        <f t="shared" si="3"/>
        <v>14.700000000000001</v>
      </c>
      <c r="H20" s="470">
        <f t="shared" si="6"/>
        <v>195</v>
      </c>
      <c r="I20" s="467">
        <f t="shared" si="7"/>
        <v>8.23</v>
      </c>
      <c r="J20" s="469">
        <f t="shared" si="4"/>
        <v>14.8</v>
      </c>
      <c r="K20" s="470">
        <f t="shared" si="8"/>
        <v>191</v>
      </c>
      <c r="L20" s="475">
        <f t="shared" si="9"/>
        <v>8.33</v>
      </c>
    </row>
    <row r="21" spans="2:14" s="23" customFormat="1" ht="26.1" customHeight="1">
      <c r="B21" s="474">
        <f t="shared" si="5"/>
        <v>44718.597222222219</v>
      </c>
      <c r="C21" s="465">
        <v>1680</v>
      </c>
      <c r="D21" s="465">
        <f>$D$20</f>
        <v>14.799999999999999</v>
      </c>
      <c r="E21" s="470">
        <f>$E$20</f>
        <v>198</v>
      </c>
      <c r="F21" s="467">
        <f>$F$20</f>
        <v>8.4700000000000006</v>
      </c>
      <c r="G21" s="469">
        <f>$G$20</f>
        <v>14.700000000000001</v>
      </c>
      <c r="H21" s="470">
        <f>$H$20</f>
        <v>195</v>
      </c>
      <c r="I21" s="467">
        <f>$I$20</f>
        <v>8.23</v>
      </c>
      <c r="J21" s="469">
        <f>$J$20</f>
        <v>14.8</v>
      </c>
      <c r="K21" s="470">
        <f>$K$20</f>
        <v>191</v>
      </c>
      <c r="L21" s="475">
        <f>$L$20</f>
        <v>8.33</v>
      </c>
    </row>
    <row r="22" spans="2:14" s="23" customFormat="1" ht="26.1" customHeight="1">
      <c r="B22" s="474">
        <f t="shared" si="5"/>
        <v>44718.763888888891</v>
      </c>
      <c r="C22" s="465">
        <v>1920</v>
      </c>
      <c r="D22" s="465">
        <f t="shared" ref="D22:D23" si="10">$D$20</f>
        <v>14.799999999999999</v>
      </c>
      <c r="E22" s="470">
        <f t="shared" ref="E22:E23" si="11">$E$20</f>
        <v>198</v>
      </c>
      <c r="F22" s="467">
        <f t="shared" ref="F22:F23" si="12">$F$20</f>
        <v>8.4700000000000006</v>
      </c>
      <c r="G22" s="469">
        <f t="shared" ref="G22:G23" si="13">$G$20</f>
        <v>14.700000000000001</v>
      </c>
      <c r="H22" s="470">
        <f t="shared" ref="H22:H23" si="14">$H$20</f>
        <v>195</v>
      </c>
      <c r="I22" s="467">
        <f t="shared" ref="I22:I23" si="15">$I$20</f>
        <v>8.23</v>
      </c>
      <c r="J22" s="469">
        <f t="shared" ref="J22:J23" si="16">$J$20</f>
        <v>14.8</v>
      </c>
      <c r="K22" s="470">
        <f t="shared" ref="K22:K23" si="17">$K$20</f>
        <v>191</v>
      </c>
      <c r="L22" s="475">
        <f t="shared" ref="L22:L23" si="18">$L$20</f>
        <v>8.33</v>
      </c>
    </row>
    <row r="23" spans="2:14" s="23" customFormat="1" ht="26.1" customHeight="1">
      <c r="B23" s="474">
        <f t="shared" si="5"/>
        <v>44719.430555555555</v>
      </c>
      <c r="C23" s="465">
        <v>2880</v>
      </c>
      <c r="D23" s="465">
        <f t="shared" si="10"/>
        <v>14.799999999999999</v>
      </c>
      <c r="E23" s="470">
        <f t="shared" si="11"/>
        <v>198</v>
      </c>
      <c r="F23" s="467">
        <f t="shared" si="12"/>
        <v>8.4700000000000006</v>
      </c>
      <c r="G23" s="469">
        <f t="shared" si="13"/>
        <v>14.700000000000001</v>
      </c>
      <c r="H23" s="470">
        <f t="shared" si="14"/>
        <v>195</v>
      </c>
      <c r="I23" s="467">
        <f t="shared" si="15"/>
        <v>8.23</v>
      </c>
      <c r="J23" s="469">
        <f t="shared" si="16"/>
        <v>14.8</v>
      </c>
      <c r="K23" s="470">
        <f t="shared" si="17"/>
        <v>191</v>
      </c>
      <c r="L23" s="475">
        <f t="shared" si="18"/>
        <v>8.33</v>
      </c>
    </row>
    <row r="24" spans="2:14" s="23" customFormat="1" ht="26.1" customHeight="1">
      <c r="B24" s="712" t="s">
        <v>36</v>
      </c>
      <c r="C24" s="713"/>
      <c r="D24" s="464">
        <f>MAX(D14:D23)</f>
        <v>14.799999999999999</v>
      </c>
      <c r="E24" s="464">
        <f t="shared" ref="E24:F24" si="19">MAX(E14:E23)</f>
        <v>199</v>
      </c>
      <c r="F24" s="464">
        <f t="shared" si="19"/>
        <v>8.51</v>
      </c>
      <c r="G24" s="464">
        <f>MAX(G14:G23)</f>
        <v>14.8</v>
      </c>
      <c r="H24" s="464">
        <f t="shared" ref="H24:I24" si="20">MAX(H14:H23)</f>
        <v>200</v>
      </c>
      <c r="I24" s="464">
        <f t="shared" si="20"/>
        <v>8.42</v>
      </c>
      <c r="J24" s="464">
        <f>MAX(J14:J23)</f>
        <v>15</v>
      </c>
      <c r="K24" s="464">
        <f t="shared" ref="K24:L24" si="21">MAX(K14:K23)</f>
        <v>196</v>
      </c>
      <c r="L24" s="473">
        <f t="shared" si="21"/>
        <v>8.52</v>
      </c>
    </row>
    <row r="25" spans="2:14" s="23" customFormat="1" ht="26.1" customHeight="1">
      <c r="B25" s="712" t="s">
        <v>37</v>
      </c>
      <c r="C25" s="713"/>
      <c r="D25" s="464">
        <f>MIN(D14:D23)</f>
        <v>14.7</v>
      </c>
      <c r="E25" s="464">
        <f t="shared" ref="E25:F25" si="22">MIN(E14:E23)</f>
        <v>194</v>
      </c>
      <c r="F25" s="464">
        <f t="shared" si="22"/>
        <v>8.2800000000000011</v>
      </c>
      <c r="G25" s="464">
        <f>MIN(G14:G23)</f>
        <v>14.700000000000001</v>
      </c>
      <c r="H25" s="464">
        <f t="shared" ref="H25:I25" si="23">MIN(H14:H23)</f>
        <v>194</v>
      </c>
      <c r="I25" s="464">
        <f t="shared" si="23"/>
        <v>8.2000000000000011</v>
      </c>
      <c r="J25" s="464">
        <f>MIN(J14:J23)</f>
        <v>14.8</v>
      </c>
      <c r="K25" s="464">
        <f t="shared" ref="K25:L25" si="24">MIN(K14:K23)</f>
        <v>191</v>
      </c>
      <c r="L25" s="473">
        <f t="shared" si="24"/>
        <v>8.2800000000000011</v>
      </c>
    </row>
    <row r="26" spans="2:14" s="23" customFormat="1" ht="26.1" customHeight="1" thickBot="1">
      <c r="B26" s="707" t="s">
        <v>90</v>
      </c>
      <c r="C26" s="708"/>
      <c r="D26" s="476">
        <f>D24-D25</f>
        <v>9.9999999999999645E-2</v>
      </c>
      <c r="E26" s="476">
        <f t="shared" ref="E26:F26" si="25">E24-E25</f>
        <v>5</v>
      </c>
      <c r="F26" s="476">
        <f t="shared" si="25"/>
        <v>0.22999999999999865</v>
      </c>
      <c r="G26" s="476">
        <f>G24-G25</f>
        <v>9.9999999999999645E-2</v>
      </c>
      <c r="H26" s="476">
        <f t="shared" ref="H26:I26" si="26">H24-H25</f>
        <v>6</v>
      </c>
      <c r="I26" s="476">
        <f t="shared" si="26"/>
        <v>0.21999999999999886</v>
      </c>
      <c r="J26" s="476">
        <f>J24-J25</f>
        <v>0.19999999999999929</v>
      </c>
      <c r="K26" s="476">
        <f t="shared" ref="K26:L26" si="27">K24-K25</f>
        <v>5</v>
      </c>
      <c r="L26" s="47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14" t="s">
        <v>85</v>
      </c>
      <c r="E29" s="715"/>
      <c r="F29" s="716"/>
      <c r="H29" s="714" t="s">
        <v>154</v>
      </c>
      <c r="I29" s="715"/>
      <c r="J29" s="716"/>
      <c r="L29" s="714" t="s">
        <v>155</v>
      </c>
      <c r="M29" s="715"/>
      <c r="N29" s="716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36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2024-06-15T01:32:57Z</dcterms:modified>
</cp:coreProperties>
</file>