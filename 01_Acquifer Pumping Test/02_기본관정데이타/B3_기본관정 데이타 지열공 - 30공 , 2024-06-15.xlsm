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32554573-5672-4410-9DD8-B7601CBEF849}" xr6:coauthVersionLast="47" xr6:coauthVersionMax="47" xr10:uidLastSave="{00000000-0000-0000-0000-000000000000}"/>
  <bookViews>
    <workbookView xWindow="-120" yWindow="-120" windowWidth="29040" windowHeight="17520" tabRatio="690" firstSheet="1" activeTab="16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2"/>
  <c r="E17" i="192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K31" i="192" s="1"/>
  <c r="J30" i="192"/>
  <c r="K30" i="192" s="1"/>
  <c r="I30" i="192"/>
  <c r="H30" i="192"/>
  <c r="G30" i="192"/>
  <c r="F30" i="192"/>
  <c r="E30" i="192"/>
  <c r="D30" i="192"/>
  <c r="D26" i="192"/>
  <c r="C22" i="192"/>
  <c r="K17" i="192"/>
  <c r="K18" i="192" s="1"/>
  <c r="L18" i="192" s="1"/>
  <c r="H26" i="192" s="1"/>
  <c r="K16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E13" i="55"/>
  <c r="Q46" i="175"/>
  <c r="Q45" i="175"/>
  <c r="F7" i="192" l="1"/>
  <c r="C12" i="192"/>
  <c r="A13" i="192" s="1"/>
  <c r="A12" i="192" s="1"/>
  <c r="F5" i="192"/>
  <c r="J26" i="192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<sst xmlns="http://schemas.openxmlformats.org/spreadsheetml/2006/main" count="1262" uniqueCount="738">
  <si>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</si>
  <si>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</si>
  <si>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</si>
  <si>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</si>
  <si>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</si>
  <si>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</si>
  <si>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</si>
  <si>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</si>
  <si>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</si>
  <si>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</si>
  <si>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</si>
  <si>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</si>
  <si>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</si>
  <si>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</si>
  <si>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</si>
  <si>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</si>
  <si>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</si>
  <si>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</si>
  <si>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</si>
  <si>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</si>
  <si>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</si>
  <si>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</si>
  <si>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</si>
  <si>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</si>
  <si>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</si>
  <si>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</si>
  <si>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</si>
  <si>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</si>
  <si>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</si>
  <si>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</si>
  <si>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</si>
  <si>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</si>
  <si>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</si>
  <si>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</si>
  <si>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</si>
  <si>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</si>
  <si>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</si>
  <si>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</si>
  <si>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</si>
  <si>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</si>
  <si>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</si>
  <si>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</si>
  <si>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</si>
  <si>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</si>
  <si>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</si>
  <si>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</si>
  <si>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</si>
  <si>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</si>
  <si>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</si>
  <si>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</si>
  <si>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</si>
  <si>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</si>
  <si>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</si>
  <si>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</si>
  <si>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</si>
  <si>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</si>
  <si>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</si>
  <si>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</si>
  <si>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</si>
  <si>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</si>
  <si>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</si>
  <si>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</si>
  <si>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</si>
  <si>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</si>
  <si>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</si>
  <si>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</si>
  <si>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</si>
  <si>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</si>
  <si>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</si>
  <si>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</si>
  <si>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</si>
  <si>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</si>
  <si>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</si>
  <si>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</si>
  <si>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</si>
  <si>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</si>
  <si>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</si>
  <si>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</si>
  <si>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</si>
  <si>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</si>
  <si>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</si>
  <si>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</si>
  <si>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</si>
  <si>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</si>
  <si>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</si>
  <si>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</si>
  <si>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</si>
  <si>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</si>
  <si>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</si>
  <si>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</si>
  <si>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</si>
  <si>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</si>
  <si>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</si>
  <si>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</si>
  <si>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</si>
  <si>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</si>
  <si>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</si>
  <si>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</si>
  <si>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</si>
  <si>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</si>
  <si>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</si>
  <si>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</si>
  <si>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</si>
  <si>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</si>
  <si>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</si>
  <si>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</si>
  <si>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</si>
  <si>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</si>
  <si>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</si>
  <si>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</si>
  <si>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</si>
  <si>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</si>
  <si>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</si>
  <si>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</si>
  <si>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</si>
  <si>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</si>
  <si>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</si>
  <si>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</si>
  <si>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</si>
  <si>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</si>
  <si>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</si>
  <si>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</si>
  <si>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</si>
  <si>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</si>
  <si>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</si>
  <si>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</si>
  <si>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</si>
  <si>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</si>
  <si>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</si>
  <si>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</si>
  <si>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</si>
  <si>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</si>
  <si>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</si>
  <si>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</si>
  <si>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</si>
  <si>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</si>
  <si>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</si>
  <si>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</si>
  <si>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</si>
  <si>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</si>
  <si>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</si>
  <si>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</si>
  <si>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</si>
  <si>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</si>
  <si>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</si>
  <si>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</si>
  <si>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</si>
  <si>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</si>
  <si>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</si>
  <si>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</si>
  <si>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</si>
  <si>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</si>
  <si>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</si>
  <si>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</si>
  <si>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</si>
  <si>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</si>
  <si>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</si>
  <si>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</si>
  <si>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</si>
  <si>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</si>
  <si>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</si>
  <si>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</si>
  <si>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</si>
  <si>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</si>
  <si>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</si>
  <si>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</si>
  <si>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</si>
  <si>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</si>
  <si>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</si>
  <si>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</si>
  <si>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</si>
  <si>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</si>
  <si>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</si>
  <si>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</si>
  <si>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</si>
  <si>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</si>
  <si>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</si>
  <si>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</si>
  <si>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</si>
  <si>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</si>
  <si>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</si>
  <si>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</si>
  <si>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</si>
  <si>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</si>
  <si>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</si>
  <si>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</si>
  <si>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</si>
  <si>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</si>
  <si>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</si>
  <si>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</si>
  <si>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</si>
  <si>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</si>
  <si>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</si>
  <si>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</si>
  <si>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</si>
  <si>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</si>
  <si>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</si>
  <si>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</si>
  <si>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</si>
  <si>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</si>
  <si>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</si>
  <si>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</si>
  <si>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</si>
  <si>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</si>
  <si>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</si>
  <si>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</si>
  <si>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</si>
  <si>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</si>
  <si>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</si>
  <si>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</si>
  <si>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</si>
  <si>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</si>
  <si>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</si>
  <si>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</si>
  <si>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</si>
  <si>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</si>
  <si>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</si>
  <si>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</si>
  <si>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</si>
  <si>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</si>
  <si>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</si>
  <si>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</si>
  <si>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</si>
  <si>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</si>
  <si>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</si>
  <si>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</si>
  <si>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</si>
  <si>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</si>
  <si>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</si>
  <si>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</si>
  <si>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</si>
  <si>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</si>
  <si>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</si>
  <si>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</si>
  <si>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</si>
  <si>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</si>
  <si>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</si>
  <si>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</si>
  <si>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</si>
  <si>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</si>
  <si>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</si>
  <si>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</si>
  <si>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</si>
  <si>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</si>
  <si>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</si>
  <si>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</si>
  <si>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</si>
  <si>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</si>
  <si>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</si>
  <si>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</si>
  <si>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</si>
  <si>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</si>
  <si>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</si>
  <si>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</si>
  <si>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</si>
  <si>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</si>
  <si>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</si>
  <si>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</si>
  <si>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</si>
  <si>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</si>
  <si>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</si>
  <si>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</si>
  <si>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</si>
  <si>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</si>
  <si>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</si>
  <si>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</si>
  <si>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</si>
  <si>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</si>
  <si>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</si>
  <si>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</si>
  <si>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</si>
  <si>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</si>
  <si>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</si>
  <si>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</si>
  <si>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</si>
  <si>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</si>
  <si>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</si>
  <si>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</si>
  <si>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</si>
  <si>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</si>
  <si>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</si>
  <si>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</si>
  <si>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</si>
  <si>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</si>
  <si>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</si>
  <si>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</si>
  <si>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</si>
  <si>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</si>
  <si>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</si>
  <si>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</si>
  <si>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</si>
  <si>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</si>
  <si>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</si>
  <si>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</si>
  <si>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</si>
  <si>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</si>
  <si>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</si>
  <si>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</si>
  <si>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</si>
  <si>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</si>
  <si>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</si>
  <si>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</si>
  <si>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</si>
  <si>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</si>
  <si>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</si>
  <si>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</si>
  <si>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</si>
  <si>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</si>
  <si>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</si>
  <si>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</si>
  <si>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</si>
  <si>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</si>
  <si>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</si>
  <si>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</si>
  <si>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</si>
  <si>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</si>
  <si>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</si>
  <si>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</si>
  <si>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</si>
  <si>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</si>
  <si>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</si>
  <si>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</si>
  <si>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</si>
  <si>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</si>
  <si>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</si>
  <si>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</si>
  <si>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</si>
  <si>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</si>
  <si>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</si>
  <si>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</si>
  <si>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</si>
  <si>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</si>
  <si>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</si>
  <si>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</si>
  <si>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</si>
  <si>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</si>
  <si>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</si>
  <si>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</si>
  <si>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</si>
  <si>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</si>
  <si>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</si>
  <si>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</si>
  <si>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</si>
  <si>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</si>
  <si>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</si>
  <si>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</si>
  <si>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</si>
  <si>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</si>
  <si>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</si>
  <si>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</si>
  <si>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</si>
  <si>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</si>
  <si>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</si>
  <si>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</si>
  <si>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</si>
  <si>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</si>
  <si>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</si>
  <si>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</si>
  <si>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</si>
  <si>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</si>
  <si>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</si>
  <si>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</si>
  <si>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</si>
  <si>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</si>
  <si>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</si>
  <si>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</si>
  <si>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</si>
  <si>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</si>
  <si>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</si>
  <si>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</si>
  <si>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</si>
  <si>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</si>
  <si>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</si>
  <si>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</si>
  <si>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</si>
  <si>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</si>
  <si>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</si>
  <si>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</si>
  <si>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</si>
  <si>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</si>
  <si>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</si>
  <si>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</si>
  <si>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</si>
  <si>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</si>
  <si>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</si>
  <si>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</si>
  <si>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</si>
  <si>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</si>
  <si>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</si>
  <si>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</si>
  <si>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</si>
  <si>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</si>
  <si>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</si>
  <si>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</si>
  <si>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</si>
  <si>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</si>
  <si>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</si>
  <si>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</si>
  <si>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</si>
  <si>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</si>
  <si>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</si>
  <si>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</si>
  <si>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</si>
  <si>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</si>
  <si>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</si>
  <si>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</si>
  <si>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</si>
  <si>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</si>
  <si>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</si>
  <si>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</si>
  <si>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</si>
  <si>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</si>
  <si>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</si>
  <si>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</si>
  <si>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</si>
  <si>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</si>
  <si>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</si>
  <si>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</si>
  <si>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</si>
  <si>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</si>
  <si>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</si>
  <si>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</si>
  <si>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</si>
  <si>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</si>
  <si>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</si>
  <si>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</si>
  <si>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</si>
  <si>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</si>
  <si>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</si>
  <si>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</si>
  <si>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</si>
  <si>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</si>
  <si>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</si>
  <si>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</si>
  <si>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</si>
  <si>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</si>
  <si>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</si>
  <si>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</si>
  <si>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</si>
  <si>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</si>
  <si>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</si>
  <si>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</si>
  <si>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</si>
  <si>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</si>
  <si>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</si>
  <si>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</si>
  <si>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</si>
  <si>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</si>
  <si>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</si>
  <si>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</si>
  <si>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</si>
  <si>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</si>
  <si>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</si>
  <si>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</si>
  <si>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</si>
  <si>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</si>
  <si>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</si>
  <si>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</si>
  <si>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</si>
  <si>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</si>
  <si>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</si>
  <si>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</si>
  <si>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</si>
  <si>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</si>
  <si>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</si>
  <si>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</si>
  <si>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</si>
  <si>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</si>
  <si>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</si>
  <si>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</si>
  <si>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</si>
  <si>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</si>
  <si>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</si>
  <si>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</si>
  <si>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</si>
  <si>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</si>
  <si>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</si>
  <si>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</si>
  <si>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</si>
  <si>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</si>
  <si>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</si>
  <si>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</si>
  <si>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</si>
  <si>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</si>
  <si>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</si>
  <si>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</si>
  <si>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</si>
  <si>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</si>
  <si>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</si>
  <si>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</si>
  <si>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</si>
  <si>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</si>
  <si>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</si>
  <si>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</si>
  <si>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</si>
  <si>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</si>
  <si>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</si>
  <si>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</si>
  <si>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</si>
  <si>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</si>
  <si>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</si>
  <si>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</si>
  <si>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</si>
  <si>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</si>
  <si>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</si>
  <si>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</si>
  <si>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</si>
  <si>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</si>
  <si>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</si>
  <si>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</si>
  <si>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</si>
  <si>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</si>
  <si>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</si>
  <si>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</si>
  <si>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</si>
  <si>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</si>
  <si>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</si>
  <si>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</si>
  <si>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</si>
  <si>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</si>
  <si>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</si>
  <si>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</si>
  <si>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</si>
  <si>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</si>
  <si>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</si>
  <si>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</si>
  <si>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</si>
  <si>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</si>
  <si>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</si>
  <si>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</si>
  <si>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</si>
  <si>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</si>
  <si>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</si>
  <si>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</si>
  <si>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</si>
  <si>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</si>
  <si>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</si>
  <si>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</si>
  <si>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</si>
  <si>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</si>
  <si>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</si>
  <si>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</si>
  <si>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</si>
  <si>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</si>
  <si>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</si>
  <si>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</si>
  <si>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</si>
  <si>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</si>
  <si>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</si>
  <si>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</si>
  <si>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</si>
  <si>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</si>
  <si>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</si>
  <si>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</si>
  <si>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</si>
  <si>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</si>
  <si>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</si>
  <si>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</si>
  <si>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</si>
  <si>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</si>
  <si>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</si>
  <si>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</si>
  <si>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</si>
  <si>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</si>
  <si>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</si>
  <si>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</si>
  <si>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</si>
  <si>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</si>
  <si>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</si>
  <si>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</si>
  <si>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</si>
  <si>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</si>
  <si>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</si>
  <si>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</si>
  <si>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</si>
  <si>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</si>
  <si>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</si>
  <si>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</si>
  <si>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</si>
  <si>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</si>
  <si>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</si>
  <si>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</si>
  <si>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</si>
  <si>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</si>
  <si>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</si>
  <si>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</si>
  <si>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</si>
  <si>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</si>
  <si>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</si>
  <si>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</si>
  <si>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</si>
  <si>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</si>
  <si>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</si>
  <si>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</si>
  <si>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</si>
  <si>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</si>
  <si>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</si>
  <si>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</si>
  <si>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</si>
  <si>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</si>
  <si>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</si>
  <si>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</si>
  <si>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</si>
  <si>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</si>
  <si>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</si>
  <si>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</si>
  <si>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</si>
  <si>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</si>
  <si>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</si>
  <si>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</si>
  <si>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</si>
  <si>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</si>
  <si>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</si>
  <si>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</si>
  <si>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</si>
  <si>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</si>
  <si>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</si>
  <si>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</si>
  <si>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</si>
  <si>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</si>
  <si>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</si>
  <si>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</si>
  <si>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</si>
  <si>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</si>
  <si>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</si>
  <si>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</si>
  <si>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</si>
  <si>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</si>
  <si>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</si>
  <si>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</si>
  <si>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</si>
  <si>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</si>
  <si>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</si>
  <si>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</si>
  <si>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</si>
  <si>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</si>
  <si>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</si>
  <si>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</si>
  <si>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</si>
  <si>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</si>
  <si>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</si>
  <si>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</si>
  <si>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</si>
  <si>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</si>
  <si>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</si>
  <si>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</si>
  <si>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</si>
  <si>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</si>
  <si>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</si>
  <si>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</si>
  <si>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</si>
  <si>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</si>
  <si>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</si>
  <si>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</si>
  <si>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</si>
  <si>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</si>
  <si>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</si>
  <si>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</si>
  <si>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</si>
  <si>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</si>
  <si>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</si>
  <si>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</si>
  <si>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</si>
  <si>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</si>
  <si>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</si>
  <si>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</si>
  <si>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</si>
  <si>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</si>
  <si>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</si>
  <si>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</si>
  <si>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</si>
  <si>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</si>
  <si>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</si>
  <si>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</si>
  <si>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</si>
  <si>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</si>
  <si>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</si>
  <si>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</si>
  <si>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</si>
  <si>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</si>
  <si>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</si>
  <si>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</si>
  <si>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</si>
  <si>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</si>
  <si>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</si>
  <si>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</si>
  <si>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</si>
  <si>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</si>
  <si>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</si>
  <si>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</si>
  <si>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</si>
  <si>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</si>
  <si>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</si>
  <si>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</si>
  <si>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</si>
  <si>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</si>
  <si>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</si>
  <si>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</si>
  <si>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</si>
  <si>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</si>
  <si>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</si>
  <si>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</si>
  <si>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</si>
  <si>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</si>
  <si>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</si>
  <si>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</si>
  <si>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</si>
  <si>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</si>
  <si>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</si>
  <si>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</si>
  <si>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</si>
  <si>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</si>
  <si>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</si>
  <si>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</si>
  <si>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</si>
  <si>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</si>
  <si>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</si>
  <si>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</si>
  <si>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</si>
  <si>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</si>
  <si>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</si>
  <si>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</si>
  <si>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</si>
  <si>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</si>
  <si>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</si>
  <si>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</si>
  <si>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</si>
  <si>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</si>
  <si>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</si>
  <si>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</si>
  <si>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</si>
  <si>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</si>
  <si>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</si>
  <si>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W2</t>
    <phoneticPr fontId="7" type="noConversion"/>
  </si>
  <si>
    <t>W-2</t>
    <phoneticPr fontId="14" type="noConversion"/>
  </si>
  <si>
    <t>충청도</t>
  </si>
  <si>
    <t>보령</t>
  </si>
  <si>
    <t>금강서해/금강서해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</si>
</sst>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2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13" Type="http://schemas.openxmlformats.org/officeDocument/2006/relationships/image" Target="../media/image50.emf"/><Relationship Id="rId3" Type="http://schemas.openxmlformats.org/officeDocument/2006/relationships/image" Target="../media/image42.emf"/><Relationship Id="rId7" Type="http://schemas.openxmlformats.org/officeDocument/2006/relationships/image" Target="../media/image39.emf"/><Relationship Id="rId12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image" Target="../media/image40.emf"/><Relationship Id="rId15" Type="http://schemas.openxmlformats.org/officeDocument/2006/relationships/image" Target="../media/image51.emf"/><Relationship Id="rId10" Type="http://schemas.openxmlformats.org/officeDocument/2006/relationships/image" Target="../media/image48.emf"/><Relationship Id="rId4" Type="http://schemas.openxmlformats.org/officeDocument/2006/relationships/image" Target="../media/image41.emf"/><Relationship Id="rId9" Type="http://schemas.openxmlformats.org/officeDocument/2006/relationships/image" Target="../media/image47.emf"/><Relationship Id="rId14" Type="http://schemas.openxmlformats.org/officeDocument/2006/relationships/image" Target="../media/image3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5" Type="http://schemas.openxmlformats.org/officeDocument/2006/relationships/image" Target="../media/image56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2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2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mments" Target="../comments5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56.emf"/><Relationship Id="rId5" Type="http://schemas.openxmlformats.org/officeDocument/2006/relationships/image" Target="../media/image57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59.emf"/><Relationship Id="rId5" Type="http://schemas.openxmlformats.org/officeDocument/2006/relationships/image" Target="../media/image60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6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587</v>
      </c>
      <c r="B2" s="189" t="s">
        <v>586</v>
      </c>
      <c r="C2" s="189">
        <v>116</v>
      </c>
      <c r="D2" s="189">
        <v>14</v>
      </c>
      <c r="F2" s="189" t="s">
        <v>585</v>
      </c>
      <c r="G2" s="189" t="s">
        <v>584</v>
      </c>
      <c r="H2" s="189">
        <v>105</v>
      </c>
      <c r="I2" s="189">
        <v>38</v>
      </c>
      <c r="K2" s="189" t="s">
        <v>583</v>
      </c>
      <c r="L2" s="189" t="s">
        <v>582</v>
      </c>
      <c r="M2" s="189">
        <v>226</v>
      </c>
      <c r="N2" s="189">
        <v>54</v>
      </c>
      <c r="P2" s="189" t="s">
        <v>581</v>
      </c>
      <c r="Q2" s="189" t="s">
        <v>580</v>
      </c>
    </row>
    <row r="3" spans="1:17">
      <c r="A3" s="189" t="s">
        <v>579</v>
      </c>
      <c r="B3" s="189" t="s">
        <v>578</v>
      </c>
      <c r="C3" s="189">
        <v>108</v>
      </c>
      <c r="D3" s="189">
        <v>14</v>
      </c>
      <c r="F3" s="189" t="s">
        <v>577</v>
      </c>
      <c r="G3" s="189" t="s">
        <v>576</v>
      </c>
      <c r="H3" s="189">
        <v>100</v>
      </c>
      <c r="I3" s="189">
        <v>38</v>
      </c>
      <c r="K3" s="189" t="s">
        <v>575</v>
      </c>
      <c r="L3" s="189" t="s">
        <v>574</v>
      </c>
      <c r="M3" s="189">
        <v>221</v>
      </c>
      <c r="N3" s="189">
        <v>54</v>
      </c>
      <c r="P3" s="189" t="s">
        <v>573</v>
      </c>
      <c r="Q3" s="189" t="s">
        <v>572</v>
      </c>
    </row>
    <row r="4" spans="1:17">
      <c r="A4" s="189" t="s">
        <v>571</v>
      </c>
      <c r="B4" s="189" t="s">
        <v>570</v>
      </c>
      <c r="C4" s="189">
        <v>201</v>
      </c>
      <c r="D4" s="189">
        <v>22</v>
      </c>
      <c r="F4" s="189" t="s">
        <v>569</v>
      </c>
      <c r="G4" s="189" t="s">
        <v>568</v>
      </c>
      <c r="H4" s="189">
        <v>106</v>
      </c>
      <c r="I4" s="189">
        <v>38</v>
      </c>
      <c r="K4" s="189" t="s">
        <v>567</v>
      </c>
      <c r="L4" s="189" t="s">
        <v>566</v>
      </c>
      <c r="M4" s="189">
        <v>131</v>
      </c>
      <c r="N4" s="189">
        <v>54</v>
      </c>
      <c r="P4" s="189" t="s">
        <v>565</v>
      </c>
      <c r="Q4" s="189" t="s">
        <v>564</v>
      </c>
    </row>
    <row r="5" spans="1:17">
      <c r="A5" s="189" t="s">
        <v>563</v>
      </c>
      <c r="B5" s="189" t="s">
        <v>562</v>
      </c>
      <c r="C5" s="189">
        <v>102</v>
      </c>
      <c r="D5" s="189">
        <v>22</v>
      </c>
      <c r="F5" s="189" t="s">
        <v>561</v>
      </c>
      <c r="G5" s="189" t="s">
        <v>560</v>
      </c>
      <c r="H5" s="189">
        <v>104</v>
      </c>
      <c r="I5" s="189">
        <v>38</v>
      </c>
      <c r="K5" s="189" t="s">
        <v>559</v>
      </c>
      <c r="L5" s="189" t="s">
        <v>558</v>
      </c>
      <c r="M5" s="189">
        <v>135</v>
      </c>
      <c r="N5" s="189">
        <v>54</v>
      </c>
      <c r="P5" s="189" t="s">
        <v>557</v>
      </c>
      <c r="Q5" s="189" t="s">
        <v>556</v>
      </c>
    </row>
    <row r="6" spans="1:17">
      <c r="A6" s="189" t="s">
        <v>555</v>
      </c>
      <c r="B6" s="189" t="s">
        <v>554</v>
      </c>
      <c r="C6" s="189">
        <v>112</v>
      </c>
      <c r="D6" s="189">
        <v>22</v>
      </c>
      <c r="F6" s="189" t="s">
        <v>553</v>
      </c>
      <c r="G6" s="189" t="s">
        <v>552</v>
      </c>
      <c r="H6" s="189">
        <v>93</v>
      </c>
      <c r="I6" s="189">
        <v>38</v>
      </c>
      <c r="K6" s="189" t="s">
        <v>551</v>
      </c>
      <c r="L6" s="189" t="s">
        <v>550</v>
      </c>
      <c r="M6" s="189">
        <v>127</v>
      </c>
      <c r="N6" s="189">
        <v>54</v>
      </c>
      <c r="P6" s="189" t="s">
        <v>549</v>
      </c>
      <c r="Q6" s="189" t="s">
        <v>548</v>
      </c>
    </row>
    <row r="7" spans="1:17">
      <c r="A7" s="189" t="s">
        <v>547</v>
      </c>
      <c r="B7" s="189" t="s">
        <v>546</v>
      </c>
      <c r="C7" s="189">
        <v>98</v>
      </c>
      <c r="D7" s="189">
        <v>32</v>
      </c>
      <c r="F7" s="189" t="s">
        <v>545</v>
      </c>
      <c r="G7" s="189" t="s">
        <v>544</v>
      </c>
      <c r="H7" s="189">
        <v>214</v>
      </c>
      <c r="I7" s="189">
        <v>38</v>
      </c>
      <c r="K7" s="189" t="s">
        <v>543</v>
      </c>
      <c r="L7" s="189" t="s">
        <v>542</v>
      </c>
      <c r="M7" s="189">
        <v>133</v>
      </c>
      <c r="N7" s="189">
        <v>28</v>
      </c>
      <c r="P7" s="189" t="s">
        <v>541</v>
      </c>
      <c r="Q7" s="189" t="s">
        <v>540</v>
      </c>
    </row>
    <row r="8" spans="1:17">
      <c r="A8" s="189" t="s">
        <v>539</v>
      </c>
      <c r="B8" s="189" t="s">
        <v>538</v>
      </c>
      <c r="C8" s="189">
        <v>119</v>
      </c>
      <c r="D8" s="189">
        <v>32</v>
      </c>
      <c r="F8" s="189" t="s">
        <v>537</v>
      </c>
      <c r="G8" s="189" t="s">
        <v>536</v>
      </c>
      <c r="H8" s="189">
        <v>90</v>
      </c>
      <c r="I8" s="189">
        <v>38</v>
      </c>
      <c r="K8" s="189" t="s">
        <v>535</v>
      </c>
      <c r="L8" s="189" t="s">
        <v>534</v>
      </c>
      <c r="M8" s="189">
        <v>239</v>
      </c>
      <c r="N8" s="189">
        <v>132</v>
      </c>
    </row>
    <row r="9" spans="1:17">
      <c r="A9" s="189" t="s">
        <v>533</v>
      </c>
      <c r="B9" s="189" t="s">
        <v>532</v>
      </c>
      <c r="C9" s="189">
        <v>202</v>
      </c>
      <c r="D9" s="189">
        <v>32</v>
      </c>
      <c r="F9" s="189" t="s">
        <v>531</v>
      </c>
      <c r="G9" s="189" t="s">
        <v>530</v>
      </c>
      <c r="H9" s="189">
        <v>121</v>
      </c>
      <c r="I9" s="189">
        <v>38</v>
      </c>
      <c r="K9" s="189" t="s">
        <v>529</v>
      </c>
      <c r="L9" s="189" t="s">
        <v>528</v>
      </c>
      <c r="M9" s="189">
        <v>238</v>
      </c>
      <c r="N9" s="189">
        <v>60</v>
      </c>
    </row>
    <row r="10" spans="1:17">
      <c r="A10" s="189" t="s">
        <v>527</v>
      </c>
      <c r="B10" s="189" t="s">
        <v>526</v>
      </c>
      <c r="C10" s="189">
        <v>203</v>
      </c>
      <c r="D10" s="189">
        <v>32</v>
      </c>
      <c r="F10" s="189" t="s">
        <v>525</v>
      </c>
      <c r="G10" s="189" t="s">
        <v>524</v>
      </c>
      <c r="H10" s="189">
        <v>114</v>
      </c>
      <c r="I10" s="189">
        <v>38</v>
      </c>
      <c r="K10" s="189" t="s">
        <v>523</v>
      </c>
      <c r="L10" s="189" t="s">
        <v>522</v>
      </c>
      <c r="M10" s="189">
        <v>235</v>
      </c>
      <c r="N10" s="189">
        <v>60</v>
      </c>
    </row>
    <row r="11" spans="1:17">
      <c r="A11" s="189" t="s">
        <v>521</v>
      </c>
      <c r="B11" s="189" t="s">
        <v>520</v>
      </c>
      <c r="C11" s="189">
        <v>99</v>
      </c>
      <c r="D11" s="189">
        <v>32</v>
      </c>
      <c r="F11" s="189" t="s">
        <v>519</v>
      </c>
      <c r="G11" s="189" t="s">
        <v>518</v>
      </c>
      <c r="H11" s="189">
        <v>211</v>
      </c>
      <c r="I11" s="189">
        <v>38</v>
      </c>
      <c r="K11" s="189" t="s">
        <v>517</v>
      </c>
      <c r="L11" s="189" t="s">
        <v>516</v>
      </c>
      <c r="M11" s="189">
        <v>236</v>
      </c>
      <c r="N11" s="189">
        <v>60</v>
      </c>
    </row>
    <row r="12" spans="1:17">
      <c r="F12" s="189" t="s">
        <v>515</v>
      </c>
      <c r="G12" s="189" t="s">
        <v>514</v>
      </c>
      <c r="H12" s="189">
        <v>217</v>
      </c>
      <c r="I12" s="189">
        <v>38</v>
      </c>
      <c r="K12" s="189" t="s">
        <v>513</v>
      </c>
      <c r="L12" s="189" t="s">
        <v>512</v>
      </c>
      <c r="M12" s="189">
        <v>129</v>
      </c>
      <c r="N12" s="189">
        <v>60</v>
      </c>
    </row>
    <row r="13" spans="1:17">
      <c r="F13" s="189" t="s">
        <v>511</v>
      </c>
      <c r="G13" s="189" t="s">
        <v>510</v>
      </c>
      <c r="H13" s="189">
        <v>95</v>
      </c>
      <c r="I13" s="189">
        <v>38</v>
      </c>
      <c r="K13" s="189" t="s">
        <v>509</v>
      </c>
      <c r="L13" s="189" t="s">
        <v>508</v>
      </c>
      <c r="M13" s="189">
        <v>232</v>
      </c>
      <c r="N13" s="189">
        <v>60</v>
      </c>
    </row>
    <row r="14" spans="1:17">
      <c r="F14" s="189" t="s">
        <v>507</v>
      </c>
      <c r="G14" s="189" t="s">
        <v>506</v>
      </c>
      <c r="H14" s="189">
        <v>101</v>
      </c>
      <c r="I14" s="189">
        <v>38</v>
      </c>
      <c r="K14" s="189" t="s">
        <v>505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609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613</v>
      </c>
      <c r="T2" s="498" t="s">
        <v>730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592</v>
      </c>
      <c r="E4" s="518" t="s">
        <v>593</v>
      </c>
      <c r="F4" s="518" t="s">
        <v>594</v>
      </c>
      <c r="G4" s="518" t="s">
        <v>595</v>
      </c>
      <c r="H4" s="518" t="s">
        <v>596</v>
      </c>
      <c r="I4" s="518" t="s">
        <v>597</v>
      </c>
      <c r="J4" s="518" t="s">
        <v>598</v>
      </c>
      <c r="K4" s="518" t="s">
        <v>599</v>
      </c>
      <c r="L4" s="518" t="s">
        <v>600</v>
      </c>
      <c r="M4" s="518" t="s">
        <v>601</v>
      </c>
      <c r="N4" s="519" t="s">
        <v>602</v>
      </c>
      <c r="O4" s="520" t="s">
        <v>44</v>
      </c>
      <c r="P4" s="519" t="s">
        <v>45</v>
      </c>
      <c r="S4" s="541" t="s">
        <v>588</v>
      </c>
      <c r="T4" s="542" t="s">
        <v>589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735</v>
      </c>
      <c r="T5" s="503" t="s">
        <v>736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70.5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1459.5</v>
      </c>
      <c r="P6" s="325">
        <f t="shared" ref="P6:P34" si="1">ROUND(O6/12,1)</f>
        <v>121.6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14</v>
      </c>
      <c r="L7" s="507">
        <v>106.5</v>
      </c>
      <c r="M7" s="507">
        <v>74.2</v>
      </c>
      <c r="N7" s="513">
        <v>31.7</v>
      </c>
      <c r="O7" s="521">
        <f t="shared" si="0"/>
        <v>899.6</v>
      </c>
      <c r="P7" s="325">
        <f t="shared" si="1"/>
        <v>75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10</v>
      </c>
      <c r="L12" s="507">
        <v>85</v>
      </c>
      <c r="M12" s="507">
        <v>13</v>
      </c>
      <c r="N12" s="513">
        <v>32</v>
      </c>
      <c r="O12" s="521">
        <f t="shared" si="0"/>
        <v>903.7</v>
      </c>
      <c r="P12" s="325">
        <f t="shared" si="1"/>
        <v>75.3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27</v>
      </c>
      <c r="L13" s="507">
        <v>134</v>
      </c>
      <c r="M13" s="507">
        <v>61.1</v>
      </c>
      <c r="N13" s="513">
        <v>51.8</v>
      </c>
      <c r="O13" s="521">
        <f t="shared" si="0"/>
        <v>1453.2</v>
      </c>
      <c r="P13" s="325">
        <f t="shared" si="1"/>
        <v>121.1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128</v>
      </c>
      <c r="L14" s="507">
        <v>23</v>
      </c>
      <c r="M14" s="507">
        <v>45.5</v>
      </c>
      <c r="N14" s="513">
        <v>13</v>
      </c>
      <c r="O14" s="521">
        <f t="shared" si="0"/>
        <v>1343.7</v>
      </c>
      <c r="P14" s="325">
        <f t="shared" si="1"/>
        <v>112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195</v>
      </c>
      <c r="L15" s="507">
        <v>4</v>
      </c>
      <c r="M15" s="507">
        <v>56.5</v>
      </c>
      <c r="N15" s="513">
        <v>38.9</v>
      </c>
      <c r="O15" s="521">
        <f t="shared" si="0"/>
        <v>1216.2</v>
      </c>
      <c r="P15" s="325">
        <f t="shared" si="1"/>
        <v>101.4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384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1743</v>
      </c>
      <c r="P35" s="428">
        <f>MAX(P5:P34)</f>
        <v>145.30000000000001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10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137.80000000000001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1217</v>
      </c>
      <c r="P37" s="516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9" workbookViewId="0">
      <selection activeCell="W52" sqref="W52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70.5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1459.5</v>
      </c>
      <c r="P4" s="471">
        <f>All!P6</f>
        <v>121.6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14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899.6</v>
      </c>
      <c r="P5" s="471">
        <f>All!P7</f>
        <v>75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10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903.7</v>
      </c>
      <c r="P10" s="471">
        <f>All!P12</f>
        <v>75.3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27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1453.2</v>
      </c>
      <c r="P11" s="471">
        <f>All!P13</f>
        <v>121.1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128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1343.7</v>
      </c>
      <c r="P12" s="471">
        <f>All!P14</f>
        <v>112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195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1216.2</v>
      </c>
      <c r="P13" s="471">
        <f>All!P15</f>
        <v>101.4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137.80000000000001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1217</v>
      </c>
      <c r="P34" s="476">
        <f>All!P37</f>
        <v>101.4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1459.5</v>
      </c>
    </row>
    <row r="54" spans="2:3">
      <c r="B54" s="488">
        <f t="shared" si="3"/>
        <v>1996</v>
      </c>
      <c r="C54" s="489">
        <f t="shared" si="4"/>
        <v>899.6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903.7</v>
      </c>
    </row>
    <row r="60" spans="2:3">
      <c r="B60" s="488">
        <f t="shared" si="3"/>
        <v>2002</v>
      </c>
      <c r="C60" s="489">
        <f t="shared" si="4"/>
        <v>1453.2</v>
      </c>
    </row>
    <row r="61" spans="2:3">
      <c r="B61" s="488">
        <f t="shared" si="3"/>
        <v>2003</v>
      </c>
      <c r="C61" s="489">
        <f t="shared" si="4"/>
        <v>1343.7</v>
      </c>
    </row>
    <row r="62" spans="2:3">
      <c r="B62" s="488">
        <f t="shared" si="3"/>
        <v>2004</v>
      </c>
      <c r="C62" s="489">
        <f t="shared" si="4"/>
        <v>1216.2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137.80000000000001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1217</v>
      </c>
      <c r="P18" s="563">
        <f>All!P37</f>
        <v>101.4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737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1217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6919125.9708000002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18.863499999999998</v>
      </c>
      <c r="D30" s="590">
        <f>max*rf_2/10</f>
        <v>18.4984</v>
      </c>
      <c r="E30" s="591">
        <f>max*rf_3/10</f>
        <v>20.810700000000004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590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610</v>
      </c>
    </row>
    <row r="32" spans="1:7">
      <c r="G32" s="188" t="s">
        <v>623</v>
      </c>
    </row>
    <row r="33" spans="7:7">
      <c r="G33" s="188" t="s">
        <v>624</v>
      </c>
    </row>
    <row r="34" spans="7:7">
      <c r="G34" s="188" t="s">
        <v>633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691</v>
      </c>
      <c r="H5" s="128" t="s">
        <v>692</v>
      </c>
      <c r="I5" s="128" t="s">
        <v>693</v>
      </c>
      <c r="J5" s="128" t="s">
        <v>694</v>
      </c>
      <c r="K5" s="129" t="s">
        <v>695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696</v>
      </c>
      <c r="H6" s="128" t="s">
        <v>697</v>
      </c>
      <c r="I6" s="128" t="s">
        <v>698</v>
      </c>
      <c r="J6" s="128" t="s">
        <v>699</v>
      </c>
      <c r="K6" s="129" t="s">
        <v>700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701</v>
      </c>
      <c r="H7" s="128" t="s">
        <v>702</v>
      </c>
      <c r="I7" s="128" t="s">
        <v>703</v>
      </c>
      <c r="J7" s="128" t="s">
        <v>704</v>
      </c>
      <c r="K7" s="129" t="s">
        <v>705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696</v>
      </c>
      <c r="H8" s="128" t="s">
        <v>706</v>
      </c>
      <c r="I8" s="128" t="s">
        <v>707</v>
      </c>
      <c r="J8" s="128" t="s">
        <v>708</v>
      </c>
      <c r="K8" s="129" t="s">
        <v>709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710</v>
      </c>
      <c r="H9" s="128" t="s">
        <v>713</v>
      </c>
      <c r="I9" s="128" t="s">
        <v>714</v>
      </c>
      <c r="J9" s="128" t="s">
        <v>715</v>
      </c>
      <c r="K9" s="129" t="s">
        <v>716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711</v>
      </c>
      <c r="H10" s="128" t="s">
        <v>717</v>
      </c>
      <c r="I10" s="128" t="s">
        <v>718</v>
      </c>
      <c r="J10" s="128" t="s">
        <v>719</v>
      </c>
      <c r="K10" s="129" t="s">
        <v>720</v>
      </c>
    </row>
    <row r="11" spans="3:11" ht="97.5" customHeight="1">
      <c r="C11" s="96" t="s">
        <v>614</v>
      </c>
      <c r="D11" s="128" t="s">
        <v>291</v>
      </c>
      <c r="E11" s="128" t="s">
        <v>292</v>
      </c>
      <c r="F11" s="128" t="s">
        <v>293</v>
      </c>
      <c r="G11" s="128" t="s">
        <v>711</v>
      </c>
      <c r="H11" s="128" t="s">
        <v>721</v>
      </c>
      <c r="I11" s="128" t="s">
        <v>722</v>
      </c>
      <c r="J11" s="128" t="s">
        <v>723</v>
      </c>
      <c r="K11" s="129" t="s">
        <v>724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604</v>
      </c>
      <c r="AJ4" s="110" t="s">
        <v>603</v>
      </c>
      <c r="AK4" s="110" t="s">
        <v>605</v>
      </c>
      <c r="AL4" s="110" t="s">
        <v>606</v>
      </c>
      <c r="AM4" s="110" t="s">
        <v>607</v>
      </c>
      <c r="AN4" s="102" t="s">
        <v>608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641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614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614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640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70" t="s">
        <v>226</v>
      </c>
      <c r="G43" s="666">
        <v>50</v>
      </c>
      <c r="H43" s="342">
        <v>33.1</v>
      </c>
      <c r="I43" s="668">
        <v>82.666507860516333</v>
      </c>
    </row>
    <row r="44" spans="6:19" ht="15.95" customHeight="1">
      <c r="F44" s="671"/>
      <c r="G44" s="667"/>
      <c r="H44" s="248">
        <v>15.57</v>
      </c>
      <c r="I44" s="669"/>
      <c r="K44" s="298"/>
    </row>
    <row r="45" spans="6:19" ht="15.95" customHeight="1">
      <c r="F45" s="672" t="s">
        <v>227</v>
      </c>
      <c r="G45" s="673">
        <v>94</v>
      </c>
      <c r="H45" s="207">
        <v>34.619999999999997</v>
      </c>
      <c r="I45" s="674">
        <v>155.44483477472045</v>
      </c>
      <c r="K45" s="298"/>
    </row>
    <row r="46" spans="6:19" ht="15.95" customHeight="1">
      <c r="F46" s="672"/>
      <c r="G46" s="673"/>
      <c r="H46" s="207">
        <v>16.28</v>
      </c>
      <c r="I46" s="674"/>
      <c r="K46" s="298"/>
    </row>
    <row r="47" spans="6:19" ht="15.95" customHeight="1">
      <c r="F47" s="671" t="s">
        <v>228</v>
      </c>
      <c r="G47" s="667">
        <v>157</v>
      </c>
      <c r="H47" s="248">
        <v>44.67</v>
      </c>
      <c r="I47" s="669">
        <v>259.59296515765442</v>
      </c>
      <c r="K47" s="298"/>
    </row>
    <row r="48" spans="6:19" ht="15.95" customHeight="1">
      <c r="F48" s="671"/>
      <c r="G48" s="667"/>
      <c r="H48" s="248">
        <v>21.01</v>
      </c>
      <c r="I48" s="669"/>
      <c r="K48" s="298"/>
    </row>
    <row r="49" spans="6:11" ht="15.95" customHeight="1">
      <c r="F49" s="672" t="s">
        <v>332</v>
      </c>
      <c r="G49" s="673">
        <v>94</v>
      </c>
      <c r="H49" s="207">
        <v>37.200000000000003</v>
      </c>
      <c r="I49" s="674">
        <v>155.46403682527949</v>
      </c>
      <c r="K49" s="298"/>
    </row>
    <row r="50" spans="6:11" ht="15.95" customHeight="1">
      <c r="F50" s="672"/>
      <c r="G50" s="673"/>
      <c r="H50" s="207">
        <v>17.489999999999998</v>
      </c>
      <c r="I50" s="674"/>
      <c r="K50" s="298"/>
    </row>
    <row r="51" spans="6:11" ht="15.95" customHeight="1">
      <c r="F51" s="671" t="s">
        <v>333</v>
      </c>
      <c r="G51" s="667">
        <v>221</v>
      </c>
      <c r="H51" s="248">
        <v>5.42</v>
      </c>
      <c r="I51" s="669">
        <v>366.29921417026992</v>
      </c>
      <c r="K51" s="298"/>
    </row>
    <row r="52" spans="6:11" ht="15.95" customHeight="1">
      <c r="F52" s="671"/>
      <c r="G52" s="667"/>
      <c r="H52" s="248">
        <v>2.54</v>
      </c>
      <c r="I52" s="669"/>
      <c r="K52" s="298"/>
    </row>
    <row r="53" spans="6:11" ht="15.95" customHeight="1">
      <c r="F53" s="672" t="s">
        <v>334</v>
      </c>
      <c r="G53" s="673">
        <v>189</v>
      </c>
      <c r="H53" s="207">
        <v>4.3</v>
      </c>
      <c r="I53" s="674">
        <v>312.75663242516282</v>
      </c>
      <c r="K53" s="298"/>
    </row>
    <row r="54" spans="6:11" ht="15.95" customHeight="1">
      <c r="F54" s="672"/>
      <c r="G54" s="673"/>
      <c r="H54" s="207">
        <v>2.02</v>
      </c>
      <c r="I54" s="674"/>
      <c r="K54" s="298"/>
    </row>
    <row r="55" spans="6:11" ht="15.95" customHeight="1">
      <c r="F55" s="671" t="s">
        <v>614</v>
      </c>
      <c r="G55" s="667">
        <v>189</v>
      </c>
      <c r="H55" s="248">
        <v>4.18</v>
      </c>
      <c r="I55" s="669">
        <v>313.14244950728158</v>
      </c>
      <c r="K55" s="298"/>
    </row>
    <row r="56" spans="6:11" ht="15.95" customHeight="1">
      <c r="F56" s="671"/>
      <c r="G56" s="667"/>
      <c r="H56" s="248">
        <v>1.96</v>
      </c>
      <c r="I56" s="669"/>
      <c r="K56" s="298"/>
    </row>
    <row r="57" spans="6:11" ht="15.95" customHeight="1">
      <c r="F57" s="672"/>
      <c r="G57" s="673"/>
      <c r="H57" s="207"/>
      <c r="I57" s="674"/>
      <c r="K57" s="298"/>
    </row>
    <row r="58" spans="6:11" ht="15.95" customHeight="1">
      <c r="F58" s="672"/>
      <c r="G58" s="673"/>
      <c r="H58" s="207"/>
      <c r="I58" s="674"/>
      <c r="K58" s="298"/>
    </row>
    <row r="59" spans="6:11" ht="15.95" customHeight="1">
      <c r="F59" s="671"/>
      <c r="G59" s="667"/>
      <c r="H59" s="248"/>
      <c r="I59" s="669"/>
      <c r="K59" s="298"/>
    </row>
    <row r="60" spans="6:11" ht="15.95" customHeight="1">
      <c r="F60" s="671"/>
      <c r="G60" s="667"/>
      <c r="H60" s="248"/>
      <c r="I60" s="669"/>
      <c r="K60" s="298"/>
    </row>
    <row r="61" spans="6:11" ht="15.95" customHeight="1">
      <c r="F61" s="672"/>
      <c r="G61" s="673"/>
      <c r="H61" s="207"/>
      <c r="I61" s="674"/>
      <c r="K61" s="298"/>
    </row>
    <row r="62" spans="6:11" ht="15.95" customHeight="1">
      <c r="F62" s="672"/>
      <c r="G62" s="673"/>
      <c r="H62" s="207"/>
      <c r="I62" s="674"/>
      <c r="K62" s="298"/>
    </row>
    <row r="63" spans="6:11" ht="15.95" customHeight="1">
      <c r="F63" s="671"/>
      <c r="G63" s="667"/>
      <c r="H63" s="248"/>
      <c r="I63" s="669"/>
      <c r="K63" s="298"/>
    </row>
    <row r="64" spans="6:11" ht="15.95" customHeight="1">
      <c r="F64" s="671"/>
      <c r="G64" s="667"/>
      <c r="H64" s="248"/>
      <c r="I64" s="669"/>
      <c r="K64" s="298"/>
    </row>
    <row r="65" spans="6:11" ht="15.95" customHeight="1">
      <c r="F65" s="672"/>
      <c r="G65" s="673"/>
      <c r="H65" s="207"/>
      <c r="I65" s="674"/>
      <c r="K65" s="298"/>
    </row>
    <row r="66" spans="6:11" ht="15.95" customHeight="1">
      <c r="F66" s="672"/>
      <c r="G66" s="673"/>
      <c r="H66" s="207"/>
      <c r="I66" s="674"/>
      <c r="K66" s="298"/>
    </row>
    <row r="67" spans="6:11" ht="15.95" customHeight="1">
      <c r="F67" s="671"/>
      <c r="G67" s="667"/>
      <c r="H67" s="248"/>
      <c r="I67" s="669"/>
      <c r="K67" s="298"/>
    </row>
    <row r="68" spans="6:11" ht="15.95" customHeight="1">
      <c r="F68" s="671"/>
      <c r="G68" s="667"/>
      <c r="H68" s="248"/>
      <c r="I68" s="669"/>
      <c r="K68" s="298"/>
    </row>
    <row r="69" spans="6:11" ht="15.95" customHeight="1">
      <c r="F69" s="672"/>
      <c r="G69" s="673"/>
      <c r="H69" s="207"/>
      <c r="I69" s="674"/>
      <c r="K69" s="298"/>
    </row>
    <row r="70" spans="6:11" ht="15.95" customHeight="1">
      <c r="F70" s="672"/>
      <c r="G70" s="673"/>
      <c r="H70" s="207"/>
      <c r="I70" s="674"/>
      <c r="K70" s="298"/>
    </row>
    <row r="71" spans="6:11" ht="15.95" customHeight="1">
      <c r="F71" s="671"/>
      <c r="G71" s="667"/>
      <c r="H71" s="248"/>
      <c r="I71" s="669"/>
      <c r="K71" s="298"/>
    </row>
    <row r="72" spans="6:11" ht="15.95" customHeight="1">
      <c r="F72" s="671"/>
      <c r="G72" s="667"/>
      <c r="H72" s="248"/>
      <c r="I72" s="669"/>
      <c r="K72" s="298"/>
    </row>
    <row r="73" spans="6:11" ht="15.95" customHeight="1">
      <c r="F73" s="672"/>
      <c r="G73" s="673"/>
      <c r="H73" s="207"/>
      <c r="I73" s="674"/>
    </row>
    <row r="74" spans="6:11" ht="15.95" customHeight="1">
      <c r="F74" s="672"/>
      <c r="G74" s="673"/>
      <c r="H74" s="207"/>
      <c r="I74" s="674"/>
    </row>
    <row r="75" spans="6:11" ht="15.95" customHeight="1">
      <c r="F75" s="671"/>
      <c r="G75" s="667"/>
      <c r="H75" s="248"/>
      <c r="I75" s="669"/>
    </row>
    <row r="76" spans="6:11" ht="15.95" customHeight="1">
      <c r="F76" s="671"/>
      <c r="G76" s="667"/>
      <c r="H76" s="248"/>
      <c r="I76" s="669"/>
    </row>
    <row r="77" spans="6:11" ht="15.95" customHeight="1">
      <c r="F77" s="672"/>
      <c r="G77" s="673"/>
      <c r="H77" s="207"/>
      <c r="I77" s="674"/>
    </row>
    <row r="78" spans="6:11" ht="15.95" customHeight="1">
      <c r="F78" s="672"/>
      <c r="G78" s="673"/>
      <c r="H78" s="207"/>
      <c r="I78" s="674"/>
    </row>
    <row r="79" spans="6:11" ht="15.95" customHeight="1">
      <c r="F79" s="671"/>
      <c r="G79" s="667"/>
      <c r="H79" s="248"/>
      <c r="I79" s="669"/>
    </row>
    <row r="80" spans="6:11" ht="15.95" customHeight="1">
      <c r="F80" s="671"/>
      <c r="G80" s="667"/>
      <c r="H80" s="248"/>
      <c r="I80" s="669"/>
    </row>
    <row r="81" spans="6:9" ht="15.95" customHeight="1">
      <c r="F81" s="672"/>
      <c r="G81" s="673"/>
      <c r="H81" s="207"/>
      <c r="I81" s="674"/>
    </row>
    <row r="82" spans="6:9" ht="15.95" customHeight="1">
      <c r="F82" s="672"/>
      <c r="G82" s="673"/>
      <c r="H82" s="207"/>
      <c r="I82" s="674"/>
    </row>
    <row r="83" spans="6:9" ht="15.95" customHeight="1">
      <c r="F83" s="671"/>
      <c r="G83" s="667"/>
      <c r="H83" s="248"/>
      <c r="I83" s="669"/>
    </row>
    <row r="84" spans="6:9" ht="15.95" customHeight="1">
      <c r="F84" s="671"/>
      <c r="G84" s="667"/>
      <c r="H84" s="248"/>
      <c r="I84" s="669"/>
    </row>
    <row r="85" spans="6:9" ht="15.95" customHeight="1">
      <c r="F85" s="672"/>
      <c r="G85" s="673"/>
      <c r="H85" s="207"/>
      <c r="I85" s="674"/>
    </row>
    <row r="86" spans="6:9" ht="15.95" customHeight="1">
      <c r="F86" s="672"/>
      <c r="G86" s="673"/>
      <c r="H86" s="207"/>
      <c r="I86" s="674"/>
    </row>
    <row r="87" spans="6:9" ht="15.95" customHeight="1">
      <c r="F87" s="671"/>
      <c r="G87" s="667"/>
      <c r="H87" s="248"/>
      <c r="I87" s="669"/>
    </row>
    <row r="88" spans="6:9" ht="15.95" customHeight="1">
      <c r="F88" s="671"/>
      <c r="G88" s="667"/>
      <c r="H88" s="248"/>
      <c r="I88" s="669"/>
    </row>
    <row r="89" spans="6:9" ht="15.95" customHeight="1">
      <c r="F89" s="672"/>
      <c r="G89" s="673"/>
      <c r="H89" s="207"/>
      <c r="I89" s="674"/>
    </row>
    <row r="90" spans="6:9" ht="15.95" customHeight="1">
      <c r="F90" s="672"/>
      <c r="G90" s="673"/>
      <c r="H90" s="207"/>
      <c r="I90" s="674"/>
    </row>
    <row r="91" spans="6:9" ht="15.95" customHeight="1">
      <c r="F91" s="671"/>
      <c r="G91" s="667"/>
      <c r="H91" s="248"/>
      <c r="I91" s="669"/>
    </row>
    <row r="92" spans="6:9" ht="15.95" customHeight="1">
      <c r="F92" s="671"/>
      <c r="G92" s="667"/>
      <c r="H92" s="248"/>
      <c r="I92" s="669"/>
    </row>
    <row r="93" spans="6:9" ht="15.95" customHeight="1">
      <c r="F93" s="672"/>
      <c r="G93" s="673"/>
      <c r="H93" s="207"/>
      <c r="I93" s="674"/>
    </row>
    <row r="94" spans="6:9" ht="15.95" customHeight="1">
      <c r="F94" s="672"/>
      <c r="G94" s="673"/>
      <c r="H94" s="207"/>
      <c r="I94" s="674"/>
    </row>
    <row r="95" spans="6:9" ht="15.95" customHeight="1">
      <c r="F95" s="677"/>
      <c r="G95" s="675"/>
      <c r="H95" s="144"/>
      <c r="I95" s="676"/>
    </row>
    <row r="96" spans="6:9" ht="15.95" customHeight="1">
      <c r="F96" s="677"/>
      <c r="G96" s="675"/>
      <c r="H96" s="144"/>
      <c r="I96" s="676"/>
    </row>
    <row r="97" spans="6:9" ht="15.95" customHeight="1">
      <c r="F97" s="678"/>
      <c r="G97" s="680"/>
      <c r="H97" s="218"/>
      <c r="I97" s="682"/>
    </row>
    <row r="98" spans="6:9" ht="15.95" customHeight="1">
      <c r="F98" s="678"/>
      <c r="G98" s="680"/>
      <c r="H98" s="218"/>
      <c r="I98" s="682"/>
    </row>
    <row r="99" spans="6:9" ht="15.95" customHeight="1">
      <c r="F99" s="677"/>
      <c r="G99" s="675"/>
      <c r="H99" s="144"/>
      <c r="I99" s="676"/>
    </row>
    <row r="100" spans="6:9" ht="15.95" customHeight="1">
      <c r="F100" s="677"/>
      <c r="G100" s="675"/>
      <c r="H100" s="144"/>
      <c r="I100" s="676"/>
    </row>
    <row r="101" spans="6:9" ht="15.95" customHeight="1">
      <c r="F101" s="678"/>
      <c r="G101" s="680"/>
      <c r="H101" s="218"/>
      <c r="I101" s="682"/>
    </row>
    <row r="102" spans="6:9" ht="15.95" customHeight="1" thickBot="1">
      <c r="F102" s="679"/>
      <c r="G102" s="681"/>
      <c r="H102" s="333"/>
      <c r="I102" s="68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639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630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614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638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614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631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632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665</v>
      </c>
      <c r="E47" s="385" t="s">
        <v>679</v>
      </c>
      <c r="F47" s="386" t="s">
        <v>680</v>
      </c>
      <c r="H47" s="384" t="s">
        <v>206</v>
      </c>
      <c r="I47" s="385" t="s">
        <v>681</v>
      </c>
      <c r="J47" s="387" t="s">
        <v>107</v>
      </c>
      <c r="K47" s="385" t="s">
        <v>685</v>
      </c>
      <c r="L47" s="385" t="s">
        <v>682</v>
      </c>
      <c r="M47" s="385" t="s">
        <v>211</v>
      </c>
      <c r="N47" s="386" t="s">
        <v>210</v>
      </c>
      <c r="P47" s="384" t="s">
        <v>206</v>
      </c>
      <c r="Q47" s="385" t="s">
        <v>683</v>
      </c>
      <c r="R47" s="386" t="s">
        <v>684</v>
      </c>
    </row>
    <row r="48" spans="3:36" ht="20.100000000000001" customHeight="1">
      <c r="C48" s="684" t="s">
        <v>85</v>
      </c>
      <c r="D48" s="144" t="s">
        <v>666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667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668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78" t="s">
        <v>154</v>
      </c>
      <c r="D51" s="218" t="s">
        <v>666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78"/>
      <c r="D52" s="218" t="s">
        <v>667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78"/>
      <c r="D53" s="218" t="s">
        <v>668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666</v>
      </c>
      <c r="E54" s="313">
        <v>3.5619999999999998</v>
      </c>
      <c r="F54" s="317">
        <v>2.5520000000000002E-4</v>
      </c>
      <c r="G54" s="298"/>
      <c r="H54" s="336" t="s">
        <v>614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614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667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668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78" t="s">
        <v>642</v>
      </c>
      <c r="D57" s="218" t="s">
        <v>666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78"/>
      <c r="D58" s="218" t="s">
        <v>667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78"/>
      <c r="D59" s="218" t="s">
        <v>668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643</v>
      </c>
      <c r="D60" s="144" t="s">
        <v>666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667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668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78" t="s">
        <v>688</v>
      </c>
      <c r="D63" s="218" t="s">
        <v>666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78"/>
      <c r="D64" s="218" t="s">
        <v>667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78"/>
      <c r="D65" s="218" t="s">
        <v>668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689</v>
      </c>
      <c r="D66" s="144" t="s">
        <v>666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667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668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78" t="s">
        <v>615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7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7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616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78" t="s">
        <v>644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7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7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645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686</v>
      </c>
      <c r="J79" s="421" t="s">
        <v>680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78" t="s">
        <v>646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7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7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647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614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78" t="s">
        <v>648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7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7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649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78" t="s">
        <v>650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7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7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651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78" t="s">
        <v>652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7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7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653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78" t="s">
        <v>654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7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7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655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78" t="s">
        <v>656</v>
      </c>
      <c r="D111" s="218" t="s">
        <v>246</v>
      </c>
      <c r="E111" s="220"/>
      <c r="F111" s="221"/>
      <c r="H111" s="297"/>
    </row>
    <row r="112" spans="3:18" ht="20.100000000000001" customHeight="1">
      <c r="C112" s="678"/>
      <c r="D112" s="218" t="s">
        <v>247</v>
      </c>
      <c r="E112" s="220"/>
      <c r="F112" s="221"/>
      <c r="H112" s="297"/>
    </row>
    <row r="113" spans="3:8" ht="20.100000000000001" customHeight="1">
      <c r="C113" s="67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657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78" t="s">
        <v>658</v>
      </c>
      <c r="D117" s="218" t="s">
        <v>246</v>
      </c>
      <c r="E117" s="220"/>
      <c r="F117" s="221"/>
      <c r="H117" s="297"/>
    </row>
    <row r="118" spans="3:8" ht="20.100000000000001" customHeight="1">
      <c r="C118" s="678"/>
      <c r="D118" s="218" t="s">
        <v>247</v>
      </c>
      <c r="E118" s="220"/>
      <c r="F118" s="221"/>
      <c r="H118" s="297"/>
    </row>
    <row r="119" spans="3:8" ht="20.100000000000001" customHeight="1">
      <c r="C119" s="67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659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78" t="s">
        <v>660</v>
      </c>
      <c r="D123" s="218" t="s">
        <v>246</v>
      </c>
      <c r="E123" s="220"/>
      <c r="F123" s="221"/>
      <c r="H123" s="297"/>
    </row>
    <row r="124" spans="3:8" ht="20.100000000000001" customHeight="1">
      <c r="C124" s="678"/>
      <c r="D124" s="218" t="s">
        <v>247</v>
      </c>
      <c r="E124" s="220"/>
      <c r="F124" s="221"/>
      <c r="H124" s="297"/>
    </row>
    <row r="125" spans="3:8" ht="20.100000000000001" customHeight="1">
      <c r="C125" s="678"/>
      <c r="D125" s="218" t="s">
        <v>248</v>
      </c>
      <c r="E125" s="220"/>
      <c r="F125" s="221"/>
      <c r="H125" s="297"/>
    </row>
    <row r="126" spans="3:8" ht="20.25" customHeight="1">
      <c r="C126" s="677" t="s">
        <v>661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78" t="s">
        <v>662</v>
      </c>
      <c r="D129" s="218" t="s">
        <v>246</v>
      </c>
      <c r="E129" s="328"/>
      <c r="F129" s="329"/>
      <c r="H129" s="297"/>
    </row>
    <row r="130" spans="3:12" ht="20.100000000000001" customHeight="1">
      <c r="C130" s="678"/>
      <c r="D130" s="218" t="s">
        <v>247</v>
      </c>
      <c r="E130" s="328"/>
      <c r="F130" s="330"/>
    </row>
    <row r="131" spans="3:12" ht="20.100000000000001" customHeight="1">
      <c r="C131" s="678"/>
      <c r="D131" s="218" t="s">
        <v>248</v>
      </c>
      <c r="E131" s="331"/>
      <c r="F131" s="332"/>
    </row>
    <row r="132" spans="3:12" ht="20.100000000000001" customHeight="1">
      <c r="C132" s="677" t="s">
        <v>663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78" t="s">
        <v>664</v>
      </c>
      <c r="D135" s="218" t="s">
        <v>246</v>
      </c>
      <c r="E135" s="328"/>
      <c r="F135" s="329"/>
    </row>
    <row r="136" spans="3:12" ht="20.100000000000001" customHeight="1">
      <c r="C136" s="678"/>
      <c r="D136" s="218" t="s">
        <v>247</v>
      </c>
      <c r="E136" s="328"/>
      <c r="F136" s="330"/>
    </row>
    <row r="137" spans="3:12" ht="20.100000000000001" customHeight="1" thickBot="1">
      <c r="C137" s="67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669</v>
      </c>
      <c r="E3" s="198" t="s">
        <v>275</v>
      </c>
      <c r="F3" s="198" t="s">
        <v>278</v>
      </c>
      <c r="G3" s="198" t="s">
        <v>670</v>
      </c>
      <c r="H3" s="198" t="s">
        <v>671</v>
      </c>
      <c r="I3" s="198" t="s">
        <v>672</v>
      </c>
      <c r="J3" s="198" t="s">
        <v>673</v>
      </c>
      <c r="K3" s="198" t="s">
        <v>674</v>
      </c>
      <c r="L3" s="198" t="s">
        <v>675</v>
      </c>
      <c r="M3" s="198" t="s">
        <v>676</v>
      </c>
      <c r="N3" s="198" t="s">
        <v>677</v>
      </c>
      <c r="O3" s="199" t="s">
        <v>678</v>
      </c>
    </row>
    <row r="4" spans="3:15" ht="20.100000000000001" customHeight="1">
      <c r="C4" s="119" t="s">
        <v>226</v>
      </c>
      <c r="D4" s="690" t="s">
        <v>725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614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30" sqref="I30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629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1236.0999999999999</v>
      </c>
      <c r="F4" s="93">
        <v>3444.5247864064781</v>
      </c>
      <c r="G4" s="422">
        <v>0.68899999999999995</v>
      </c>
      <c r="H4" s="93">
        <v>2373.2775778340633</v>
      </c>
      <c r="I4" s="94">
        <v>423.8</v>
      </c>
      <c r="J4" s="93">
        <v>1580</v>
      </c>
      <c r="K4" s="95">
        <v>369.47757783406331</v>
      </c>
      <c r="L4" s="424"/>
      <c r="M4" s="92">
        <f>D4</f>
        <v>6919125.9708000002</v>
      </c>
      <c r="N4" s="93">
        <f>E4</f>
        <v>1236.0999999999999</v>
      </c>
      <c r="O4" s="93">
        <f>F4</f>
        <v>3444.5247864064781</v>
      </c>
      <c r="P4" s="93">
        <f>H4</f>
        <v>2373.2775778340633</v>
      </c>
      <c r="Q4" s="94">
        <f>I4</f>
        <v>423.8</v>
      </c>
      <c r="R4" s="93">
        <f>J4</f>
        <v>1580</v>
      </c>
      <c r="S4" s="95">
        <f>K4</f>
        <v>369.47757783406331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1236.0999999999999</v>
      </c>
      <c r="F8" s="93">
        <v>3444.5247864064781</v>
      </c>
      <c r="G8" s="422">
        <v>0.68899999999999995</v>
      </c>
      <c r="H8" s="93">
        <v>2373.2775778340633</v>
      </c>
      <c r="I8" s="94">
        <v>423.8</v>
      </c>
      <c r="J8" s="93">
        <v>1949.4775778340634</v>
      </c>
      <c r="K8" s="95">
        <v>1580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636</v>
      </c>
      <c r="L10" s="296" t="s">
        <v>637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1.2</v>
      </c>
      <c r="H12" s="284">
        <v>38.4</v>
      </c>
      <c r="I12" s="285">
        <v>1.2495000000000001</v>
      </c>
      <c r="J12" s="286">
        <v>3.1629999999999999E-4</v>
      </c>
      <c r="K12" s="298"/>
      <c r="L12" s="281" t="s">
        <v>226</v>
      </c>
      <c r="M12" s="282">
        <v>100</v>
      </c>
      <c r="N12" s="282">
        <v>80</v>
      </c>
      <c r="O12" s="284">
        <v>1.2</v>
      </c>
      <c r="P12" s="284">
        <v>38.4</v>
      </c>
      <c r="Q12" s="292">
        <v>37.199999999999996</v>
      </c>
      <c r="R12" s="285">
        <v>1.2495000000000001</v>
      </c>
      <c r="S12" s="286">
        <v>3.1629999999999999E-4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60</v>
      </c>
      <c r="F13" s="279">
        <v>150</v>
      </c>
      <c r="G13" s="300">
        <v>6.3</v>
      </c>
      <c r="H13" s="300">
        <v>45.2</v>
      </c>
      <c r="I13" s="390">
        <v>2.4424999999999999</v>
      </c>
      <c r="J13" s="391">
        <v>2.7109999999999998E-4</v>
      </c>
      <c r="K13" s="298"/>
      <c r="L13" s="278" t="s">
        <v>227</v>
      </c>
      <c r="M13" s="279">
        <v>60</v>
      </c>
      <c r="N13" s="279">
        <v>150</v>
      </c>
      <c r="O13" s="300">
        <v>6.3</v>
      </c>
      <c r="P13" s="300">
        <v>45.2</v>
      </c>
      <c r="Q13" s="213">
        <v>38.900000000000006</v>
      </c>
      <c r="R13" s="390">
        <v>2.4424999999999999</v>
      </c>
      <c r="S13" s="391">
        <v>2.7109999999999998E-4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 t="s">
        <v>228</v>
      </c>
      <c r="E14" s="282">
        <v>150</v>
      </c>
      <c r="F14" s="282">
        <v>250</v>
      </c>
      <c r="G14" s="284">
        <v>4.5999999999999996</v>
      </c>
      <c r="H14" s="284">
        <v>54.8</v>
      </c>
      <c r="I14" s="285">
        <v>3.1505000000000001</v>
      </c>
      <c r="J14" s="286">
        <v>2.5520000000000002E-4</v>
      </c>
      <c r="K14" s="298"/>
      <c r="L14" s="281" t="s">
        <v>228</v>
      </c>
      <c r="M14" s="282">
        <v>150</v>
      </c>
      <c r="N14" s="282">
        <v>250</v>
      </c>
      <c r="O14" s="284">
        <v>4.5999999999999996</v>
      </c>
      <c r="P14" s="284">
        <v>54.8</v>
      </c>
      <c r="Q14" s="292">
        <v>50.199999999999996</v>
      </c>
      <c r="R14" s="285">
        <v>3.1505000000000001</v>
      </c>
      <c r="S14" s="286">
        <v>2.5520000000000002E-4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 t="s">
        <v>332</v>
      </c>
      <c r="E15" s="279">
        <v>80</v>
      </c>
      <c r="F15" s="279">
        <v>150</v>
      </c>
      <c r="G15" s="300">
        <v>3.5</v>
      </c>
      <c r="H15" s="300">
        <v>45.3</v>
      </c>
      <c r="I15" s="390">
        <v>2.306</v>
      </c>
      <c r="J15" s="391">
        <v>2.7710000000000001E-4</v>
      </c>
      <c r="K15" s="298"/>
      <c r="L15" s="278" t="s">
        <v>332</v>
      </c>
      <c r="M15" s="279">
        <v>80</v>
      </c>
      <c r="N15" s="279">
        <v>150</v>
      </c>
      <c r="O15" s="300">
        <v>3.5</v>
      </c>
      <c r="P15" s="300">
        <v>45.3</v>
      </c>
      <c r="Q15" s="213">
        <v>41.8</v>
      </c>
      <c r="R15" s="390">
        <v>2.306</v>
      </c>
      <c r="S15" s="391">
        <v>2.7710000000000001E-4</v>
      </c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 t="s">
        <v>333</v>
      </c>
      <c r="E16" s="282">
        <v>20</v>
      </c>
      <c r="F16" s="282">
        <v>350</v>
      </c>
      <c r="G16" s="284">
        <v>3</v>
      </c>
      <c r="H16" s="284">
        <v>9.1</v>
      </c>
      <c r="I16" s="285">
        <v>20.484999999999999</v>
      </c>
      <c r="J16" s="286">
        <v>2.0799999999999998E-3</v>
      </c>
      <c r="K16" s="298"/>
      <c r="L16" s="281" t="s">
        <v>333</v>
      </c>
      <c r="M16" s="282">
        <v>20</v>
      </c>
      <c r="N16" s="282">
        <v>350</v>
      </c>
      <c r="O16" s="284">
        <v>3</v>
      </c>
      <c r="P16" s="284">
        <v>9.1</v>
      </c>
      <c r="Q16" s="292">
        <v>6.1</v>
      </c>
      <c r="R16" s="285">
        <v>20.484999999999999</v>
      </c>
      <c r="S16" s="286">
        <v>2.0799999999999998E-3</v>
      </c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 t="s">
        <v>334</v>
      </c>
      <c r="E17" s="279">
        <v>20</v>
      </c>
      <c r="F17" s="279">
        <v>300</v>
      </c>
      <c r="G17" s="300">
        <v>4.7</v>
      </c>
      <c r="H17" s="300">
        <v>9.5399999999999991</v>
      </c>
      <c r="I17" s="390">
        <v>20.56</v>
      </c>
      <c r="J17" s="391">
        <v>2.441E-3</v>
      </c>
      <c r="K17" s="298"/>
      <c r="L17" s="278" t="s">
        <v>334</v>
      </c>
      <c r="M17" s="279">
        <v>20</v>
      </c>
      <c r="N17" s="279">
        <v>300</v>
      </c>
      <c r="O17" s="300">
        <v>4.7</v>
      </c>
      <c r="P17" s="300">
        <v>9.5399999999999991</v>
      </c>
      <c r="Q17" s="213">
        <v>4.839999999999999</v>
      </c>
      <c r="R17" s="390">
        <v>20.56</v>
      </c>
      <c r="S17" s="391">
        <v>2.441E-3</v>
      </c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 t="s">
        <v>614</v>
      </c>
      <c r="E18" s="282">
        <v>20</v>
      </c>
      <c r="F18" s="282">
        <v>300</v>
      </c>
      <c r="G18" s="284">
        <v>5</v>
      </c>
      <c r="H18" s="284">
        <v>9.6999999999999993</v>
      </c>
      <c r="I18" s="285">
        <v>20.645</v>
      </c>
      <c r="J18" s="286">
        <v>2.186E-3</v>
      </c>
      <c r="K18" s="298"/>
      <c r="L18" s="281" t="s">
        <v>614</v>
      </c>
      <c r="M18" s="282">
        <v>20</v>
      </c>
      <c r="N18" s="282">
        <v>300</v>
      </c>
      <c r="O18" s="284">
        <v>5</v>
      </c>
      <c r="P18" s="284">
        <v>9.6999999999999993</v>
      </c>
      <c r="Q18" s="292">
        <v>4.6999999999999993</v>
      </c>
      <c r="R18" s="285">
        <v>20.645</v>
      </c>
      <c r="S18" s="286">
        <v>2.186E-3</v>
      </c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634</v>
      </c>
      <c r="I43" s="296" t="s">
        <v>635</v>
      </c>
      <c r="M43" s="299" t="s">
        <v>628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625</v>
      </c>
      <c r="N44" s="122" t="s">
        <v>626</v>
      </c>
      <c r="O44" s="123" t="s">
        <v>627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>
        <v>90.2</v>
      </c>
      <c r="F45" s="282">
        <v>580</v>
      </c>
      <c r="G45" s="283">
        <v>0</v>
      </c>
      <c r="H45" s="298"/>
      <c r="I45" s="281" t="s">
        <v>226</v>
      </c>
      <c r="J45" s="282">
        <v>130</v>
      </c>
      <c r="K45" s="283">
        <v>154</v>
      </c>
      <c r="L45" s="298"/>
      <c r="M45" s="281">
        <v>90.2</v>
      </c>
      <c r="N45" s="282">
        <v>69.400000000000006</v>
      </c>
      <c r="O45" s="283">
        <v>77.7</v>
      </c>
      <c r="P45" s="298"/>
      <c r="Q45" s="186">
        <f>MAX(K45:K74)</f>
        <v>167</v>
      </c>
      <c r="R45" s="187" t="s">
        <v>712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>
        <v>188.6</v>
      </c>
      <c r="F46" s="279">
        <v>651</v>
      </c>
      <c r="G46" s="280">
        <v>0</v>
      </c>
      <c r="H46" s="298"/>
      <c r="I46" s="278" t="s">
        <v>227</v>
      </c>
      <c r="J46" s="279">
        <v>118</v>
      </c>
      <c r="K46" s="280">
        <v>141</v>
      </c>
      <c r="L46" s="298"/>
      <c r="M46" s="278">
        <v>188.6</v>
      </c>
      <c r="N46" s="279">
        <v>104.8</v>
      </c>
      <c r="O46" s="280">
        <v>149.1</v>
      </c>
      <c r="P46" s="298"/>
      <c r="Q46" s="97">
        <f>MIN(J45:J74)</f>
        <v>115</v>
      </c>
      <c r="R46" s="127" t="s">
        <v>618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228</v>
      </c>
      <c r="E47" s="282">
        <v>147.9</v>
      </c>
      <c r="F47" s="282">
        <v>746</v>
      </c>
      <c r="G47" s="283">
        <v>0</v>
      </c>
      <c r="H47" s="298"/>
      <c r="I47" s="281" t="s">
        <v>228</v>
      </c>
      <c r="J47" s="282">
        <v>115</v>
      </c>
      <c r="K47" s="283">
        <v>139</v>
      </c>
      <c r="L47" s="298"/>
      <c r="M47" s="281">
        <v>147.9</v>
      </c>
      <c r="N47" s="282">
        <v>120.8</v>
      </c>
      <c r="O47" s="283">
        <v>130.5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 t="s">
        <v>332</v>
      </c>
      <c r="E48" s="279">
        <v>157.9</v>
      </c>
      <c r="F48" s="279">
        <v>707</v>
      </c>
      <c r="G48" s="280">
        <v>0</v>
      </c>
      <c r="H48" s="298"/>
      <c r="I48" s="278" t="s">
        <v>332</v>
      </c>
      <c r="J48" s="279">
        <v>125</v>
      </c>
      <c r="K48" s="280">
        <v>149</v>
      </c>
      <c r="L48" s="298"/>
      <c r="M48" s="278">
        <v>157.9</v>
      </c>
      <c r="N48" s="279">
        <v>100.7</v>
      </c>
      <c r="O48" s="280">
        <v>129.19999999999999</v>
      </c>
      <c r="P48" s="298"/>
      <c r="Q48" s="186" t="s">
        <v>619</v>
      </c>
      <c r="R48" s="187">
        <f>MAX(E45:E74)</f>
        <v>237.3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 t="s">
        <v>333</v>
      </c>
      <c r="E49" s="282">
        <v>237.3</v>
      </c>
      <c r="F49" s="282">
        <v>559</v>
      </c>
      <c r="G49" s="283">
        <v>0</v>
      </c>
      <c r="H49" s="298"/>
      <c r="I49" s="281" t="s">
        <v>333</v>
      </c>
      <c r="J49" s="282">
        <v>152</v>
      </c>
      <c r="K49" s="283">
        <v>167</v>
      </c>
      <c r="L49" s="298"/>
      <c r="M49" s="281">
        <v>237.3</v>
      </c>
      <c r="N49" s="282">
        <v>96.1</v>
      </c>
      <c r="O49" s="283">
        <v>175.7</v>
      </c>
      <c r="P49" s="298"/>
      <c r="Q49" s="97" t="s">
        <v>620</v>
      </c>
      <c r="R49" s="127">
        <f>MIN(E45:E74)</f>
        <v>90.2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 t="s">
        <v>334</v>
      </c>
      <c r="E50" s="279">
        <v>195.5</v>
      </c>
      <c r="F50" s="279">
        <v>585</v>
      </c>
      <c r="G50" s="280">
        <v>0</v>
      </c>
      <c r="H50" s="298"/>
      <c r="I50" s="278" t="s">
        <v>334</v>
      </c>
      <c r="J50" s="279">
        <v>142</v>
      </c>
      <c r="K50" s="280">
        <v>157</v>
      </c>
      <c r="L50" s="298"/>
      <c r="M50" s="278">
        <v>195.5</v>
      </c>
      <c r="N50" s="279">
        <v>88.9</v>
      </c>
      <c r="O50" s="280">
        <v>148</v>
      </c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 t="s">
        <v>614</v>
      </c>
      <c r="E51" s="282">
        <v>204</v>
      </c>
      <c r="F51" s="282">
        <v>646</v>
      </c>
      <c r="G51" s="283">
        <v>0</v>
      </c>
      <c r="H51" s="298"/>
      <c r="I51" s="281" t="s">
        <v>614</v>
      </c>
      <c r="J51" s="282">
        <v>142</v>
      </c>
      <c r="K51" s="283">
        <v>157</v>
      </c>
      <c r="L51" s="298"/>
      <c r="M51" s="281">
        <v>204</v>
      </c>
      <c r="N51" s="282">
        <v>94.1</v>
      </c>
      <c r="O51" s="283">
        <v>154.9</v>
      </c>
      <c r="P51" s="298"/>
      <c r="Q51" s="186" t="s">
        <v>621</v>
      </c>
      <c r="R51" s="187">
        <f>MAX(F45:F74)</f>
        <v>746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622</v>
      </c>
      <c r="R52" s="127">
        <f>MIN(F45:F74)</f>
        <v>559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 t="s">
        <v>228</v>
      </c>
      <c r="G78" s="385" t="s">
        <v>332</v>
      </c>
      <c r="H78" s="385" t="s">
        <v>333</v>
      </c>
      <c r="I78" s="385" t="s">
        <v>334</v>
      </c>
      <c r="J78" s="385" t="s">
        <v>614</v>
      </c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>
        <v>80</v>
      </c>
      <c r="E79" s="118">
        <v>150</v>
      </c>
      <c r="F79" s="118">
        <v>250</v>
      </c>
      <c r="G79" s="115">
        <v>150</v>
      </c>
      <c r="H79" s="115">
        <v>350</v>
      </c>
      <c r="I79" s="115">
        <v>300</v>
      </c>
      <c r="J79" s="115">
        <v>300</v>
      </c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 t="s">
        <v>228</v>
      </c>
      <c r="G83" s="385" t="s">
        <v>332</v>
      </c>
      <c r="H83" s="385" t="s">
        <v>333</v>
      </c>
      <c r="I83" s="385" t="s">
        <v>334</v>
      </c>
      <c r="J83" s="385" t="s">
        <v>614</v>
      </c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>
        <v>100</v>
      </c>
      <c r="E84" s="118">
        <v>60</v>
      </c>
      <c r="F84" s="118">
        <v>150</v>
      </c>
      <c r="G84" s="115">
        <v>80</v>
      </c>
      <c r="H84" s="115">
        <v>20</v>
      </c>
      <c r="I84" s="115">
        <v>20</v>
      </c>
      <c r="J84" s="115">
        <v>20</v>
      </c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726</v>
      </c>
    </row>
    <row r="88" spans="1:88" ht="30" customHeight="1">
      <c r="D88" s="384" t="s">
        <v>226</v>
      </c>
      <c r="E88" s="385" t="s">
        <v>227</v>
      </c>
      <c r="F88" s="385" t="s">
        <v>228</v>
      </c>
      <c r="G88" s="385" t="s">
        <v>332</v>
      </c>
      <c r="H88" s="385" t="s">
        <v>333</v>
      </c>
      <c r="I88" s="385" t="s">
        <v>334</v>
      </c>
      <c r="J88" s="385" t="s">
        <v>614</v>
      </c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>
        <v>200</v>
      </c>
      <c r="E89" s="118">
        <v>200</v>
      </c>
      <c r="F89" s="118">
        <v>200</v>
      </c>
      <c r="G89" s="115">
        <v>200</v>
      </c>
      <c r="H89" s="115">
        <v>1700</v>
      </c>
      <c r="I89" s="115">
        <v>1700</v>
      </c>
      <c r="J89" s="115">
        <v>1700</v>
      </c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1.2</v>
      </c>
      <c r="F92" s="435">
        <f>MAX(D94:AG94)</f>
        <v>6.3</v>
      </c>
    </row>
    <row r="93" spans="1:88" ht="30" customHeight="1">
      <c r="D93" s="384" t="s">
        <v>226</v>
      </c>
      <c r="E93" s="385" t="s">
        <v>227</v>
      </c>
      <c r="F93" s="385" t="s">
        <v>228</v>
      </c>
      <c r="G93" s="385" t="s">
        <v>332</v>
      </c>
      <c r="H93" s="385" t="s">
        <v>333</v>
      </c>
      <c r="I93" s="385" t="s">
        <v>334</v>
      </c>
      <c r="J93" s="385" t="s">
        <v>614</v>
      </c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>
        <v>1.2</v>
      </c>
      <c r="E94" s="118">
        <v>6.3</v>
      </c>
      <c r="F94" s="118">
        <v>4.5999999999999996</v>
      </c>
      <c r="G94" s="115">
        <v>3.5</v>
      </c>
      <c r="H94" s="115">
        <v>3</v>
      </c>
      <c r="I94" s="115">
        <v>4.7</v>
      </c>
      <c r="J94" s="115">
        <v>5</v>
      </c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9.1</v>
      </c>
      <c r="F97" s="435">
        <f>MAX(D99:AG99)</f>
        <v>54.8</v>
      </c>
      <c r="G97" s="436" t="s">
        <v>617</v>
      </c>
    </row>
    <row r="98" spans="1:88" ht="30" customHeight="1">
      <c r="D98" s="384" t="s">
        <v>226</v>
      </c>
      <c r="E98" s="385" t="s">
        <v>227</v>
      </c>
      <c r="F98" s="385" t="s">
        <v>228</v>
      </c>
      <c r="G98" s="385" t="s">
        <v>332</v>
      </c>
      <c r="H98" s="385" t="s">
        <v>333</v>
      </c>
      <c r="I98" s="385" t="s">
        <v>334</v>
      </c>
      <c r="J98" s="385" t="s">
        <v>614</v>
      </c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>
        <v>38.4</v>
      </c>
      <c r="E99" s="118">
        <v>45.2</v>
      </c>
      <c r="F99" s="118">
        <v>54.8</v>
      </c>
      <c r="G99" s="115">
        <v>45.3</v>
      </c>
      <c r="H99" s="115">
        <v>9.1</v>
      </c>
      <c r="I99" s="115">
        <v>9.5399999999999991</v>
      </c>
      <c r="J99" s="115">
        <v>9.6999999999999993</v>
      </c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727</v>
      </c>
    </row>
    <row r="103" spans="1:88" ht="30" customHeight="1">
      <c r="D103" s="384" t="s">
        <v>226</v>
      </c>
      <c r="E103" s="385" t="s">
        <v>227</v>
      </c>
      <c r="F103" s="385" t="s">
        <v>228</v>
      </c>
      <c r="G103" s="385" t="s">
        <v>332</v>
      </c>
      <c r="H103" s="385" t="s">
        <v>333</v>
      </c>
      <c r="I103" s="385" t="s">
        <v>334</v>
      </c>
      <c r="J103" s="385" t="s">
        <v>614</v>
      </c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>
        <v>12</v>
      </c>
      <c r="E104" s="118">
        <v>12</v>
      </c>
      <c r="F104" s="118">
        <v>12</v>
      </c>
      <c r="G104" s="115">
        <v>12</v>
      </c>
      <c r="H104" s="115">
        <v>16</v>
      </c>
      <c r="I104" s="115">
        <v>16</v>
      </c>
      <c r="J104" s="115">
        <v>16</v>
      </c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 t="s">
        <v>228</v>
      </c>
      <c r="G108" s="385" t="s">
        <v>332</v>
      </c>
      <c r="H108" s="385" t="s">
        <v>333</v>
      </c>
      <c r="I108" s="385" t="s">
        <v>334</v>
      </c>
      <c r="J108" s="385" t="s">
        <v>614</v>
      </c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>
        <v>15</v>
      </c>
      <c r="E109" s="118">
        <v>30</v>
      </c>
      <c r="F109" s="118">
        <v>15</v>
      </c>
      <c r="G109" s="115">
        <v>30</v>
      </c>
      <c r="H109" s="115">
        <v>30</v>
      </c>
      <c r="I109" s="115">
        <v>30</v>
      </c>
      <c r="J109" s="115">
        <v>30</v>
      </c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612</v>
      </c>
    </row>
    <row r="113" spans="4:33" ht="30" customHeight="1">
      <c r="D113" s="384" t="s">
        <v>226</v>
      </c>
      <c r="E113" s="385" t="s">
        <v>227</v>
      </c>
      <c r="F113" s="385" t="s">
        <v>228</v>
      </c>
      <c r="G113" s="385" t="s">
        <v>332</v>
      </c>
      <c r="H113" s="385" t="s">
        <v>333</v>
      </c>
      <c r="I113" s="385" t="s">
        <v>334</v>
      </c>
      <c r="J113" s="385" t="s">
        <v>614</v>
      </c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>
        <v>65</v>
      </c>
      <c r="E114" s="118">
        <v>50</v>
      </c>
      <c r="F114" s="118">
        <v>120</v>
      </c>
      <c r="G114" s="115">
        <v>80</v>
      </c>
      <c r="H114" s="115">
        <v>15</v>
      </c>
      <c r="I114" s="115">
        <v>16</v>
      </c>
      <c r="J114" s="115">
        <v>15</v>
      </c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611</v>
      </c>
    </row>
    <row r="118" spans="4:33" ht="30" customHeight="1">
      <c r="D118" s="384" t="s">
        <v>226</v>
      </c>
      <c r="E118" s="385" t="s">
        <v>227</v>
      </c>
      <c r="F118" s="385" t="s">
        <v>228</v>
      </c>
      <c r="G118" s="385" t="s">
        <v>332</v>
      </c>
      <c r="H118" s="385" t="s">
        <v>333</v>
      </c>
      <c r="I118" s="385" t="s">
        <v>334</v>
      </c>
      <c r="J118" s="385" t="s">
        <v>614</v>
      </c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>
        <v>50</v>
      </c>
      <c r="E119" s="118">
        <v>50</v>
      </c>
      <c r="F119" s="118">
        <v>50</v>
      </c>
      <c r="G119" s="115">
        <v>80</v>
      </c>
      <c r="H119" s="115">
        <v>80</v>
      </c>
      <c r="I119" s="115">
        <v>80</v>
      </c>
      <c r="J119" s="115">
        <v>80</v>
      </c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J19" sqref="J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728</v>
      </c>
      <c r="F1" s="24"/>
      <c r="J1" s="52"/>
    </row>
    <row r="2" spans="1:18" s="55" customFormat="1" ht="23.1" customHeight="1">
      <c r="A2" s="709" t="s">
        <v>0</v>
      </c>
      <c r="B2" s="699" t="s">
        <v>39</v>
      </c>
      <c r="C2" s="699" t="s">
        <v>6</v>
      </c>
      <c r="D2" s="699" t="s">
        <v>38</v>
      </c>
      <c r="E2" s="699" t="s">
        <v>201</v>
      </c>
      <c r="F2" s="699" t="s">
        <v>200</v>
      </c>
      <c r="G2" s="703" t="s">
        <v>1</v>
      </c>
      <c r="H2" s="703" t="s">
        <v>2</v>
      </c>
      <c r="I2" s="703" t="s">
        <v>169</v>
      </c>
      <c r="J2" s="707" t="s">
        <v>254</v>
      </c>
      <c r="K2" s="703" t="s">
        <v>253</v>
      </c>
      <c r="L2" s="703" t="s">
        <v>3</v>
      </c>
      <c r="M2" s="703" t="s">
        <v>4</v>
      </c>
      <c r="N2" s="703" t="s">
        <v>5</v>
      </c>
      <c r="O2" s="703" t="s">
        <v>252</v>
      </c>
      <c r="P2" s="705" t="s">
        <v>251</v>
      </c>
      <c r="Q2" s="699" t="s">
        <v>156</v>
      </c>
      <c r="R2" s="701" t="s">
        <v>91</v>
      </c>
    </row>
    <row r="3" spans="1:18" s="55" customFormat="1" ht="27" customHeight="1">
      <c r="A3" s="710"/>
      <c r="B3" s="700"/>
      <c r="C3" s="700"/>
      <c r="D3" s="700"/>
      <c r="E3" s="700"/>
      <c r="F3" s="700"/>
      <c r="G3" s="704"/>
      <c r="H3" s="704"/>
      <c r="I3" s="704"/>
      <c r="J3" s="708"/>
      <c r="K3" s="704"/>
      <c r="L3" s="704"/>
      <c r="M3" s="704"/>
      <c r="N3" s="704"/>
      <c r="O3" s="704"/>
      <c r="P3" s="706"/>
      <c r="Q3" s="700"/>
      <c r="R3" s="702"/>
    </row>
    <row r="4" spans="1:18" ht="23.1" customHeight="1">
      <c r="A4" s="644" t="s">
        <v>729</v>
      </c>
      <c r="B4" s="645" t="s">
        <v>350</v>
      </c>
      <c r="C4" s="646"/>
      <c r="D4" s="647" t="s">
        <v>690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80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423.8</v>
      </c>
      <c r="P4" s="650">
        <v>6919125.9708000002</v>
      </c>
      <c r="Q4" s="647"/>
      <c r="R4" s="651"/>
    </row>
    <row r="5" spans="1:18" ht="23.1" customHeight="1" thickBot="1">
      <c r="A5" s="652" t="s">
        <v>733</v>
      </c>
      <c r="B5" s="653" t="s">
        <v>350</v>
      </c>
      <c r="C5" s="654"/>
      <c r="D5" s="655" t="s">
        <v>690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80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423.8</v>
      </c>
      <c r="P5" s="658">
        <v>6919125.9708000002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160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r:id="rId25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 xml:space="preserve"> 전의면 유천리 227번지 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731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1217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Well!I4</f>
        <v>80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6919125.9708000002</v>
      </c>
      <c r="F17" s="80">
        <f>(max*rf_1*E17/1000)</f>
        <v>1305189.3275018579</v>
      </c>
      <c r="G17" s="79">
        <f>F17*allow_ratio</f>
        <v>908411.77194129303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6919125.9708000002</v>
      </c>
      <c r="F19" s="77">
        <f>(max*rf_1*E19/1000)/365</f>
        <v>3575.861171237967</v>
      </c>
      <c r="G19" s="78">
        <f>F19*allow_ratio</f>
        <v>2488.7993751816248</v>
      </c>
      <c r="H19" s="74">
        <f>G19-F21</f>
        <v>2064.9993751816246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Well!O4</f>
        <v>423.8</v>
      </c>
      <c r="G21" s="79">
        <f>G19-E21-F21</f>
        <v>1904.9993751816248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18.863499999999998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tabSelected="1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 xml:space="preserve"> 전의면 유천리 227번지 </v>
      </c>
      <c r="D2" s="615"/>
      <c r="E2" s="615"/>
      <c r="F2" s="615"/>
      <c r="G2" s="615"/>
      <c r="H2"/>
      <c r="I2" s="81" t="s">
        <v>732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731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1217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Well!I5</f>
        <v>80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6919125.9708000002</v>
      </c>
      <c r="F17" s="80">
        <f>(max*rf_1*E17/1000)</f>
        <v>1305189.3275018579</v>
      </c>
      <c r="G17" s="79">
        <f>F17*allow_ratio</f>
        <v>908411.77194129303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6919125.9708000002</v>
      </c>
      <c r="F19" s="77">
        <f>(max*rf_1*E19/1000)/365</f>
        <v>3575.861171237967</v>
      </c>
      <c r="G19" s="78">
        <f>F19*allow_ratio</f>
        <v>2488.7993751816248</v>
      </c>
      <c r="H19" s="74">
        <f>G19-F21</f>
        <v>2064.9993751816246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Well!O5</f>
        <v>423.8</v>
      </c>
      <c r="G21" s="79">
        <f>G19-E21-F21</f>
        <v>1904.9993751816248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734</v>
      </c>
      <c r="C26" s="183" t="s">
        <v>101</v>
      </c>
      <c r="D26" s="147">
        <f>C20</f>
        <v>3.6</v>
      </c>
      <c r="E26" s="148">
        <f>Recharge!C30</f>
        <v>18.863499999999998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2024-06-16T13:28:51Z</dcterms:modified>
</cp:coreProperties>
</file>