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22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23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drawings/drawing24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drawings/drawing25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26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27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본관정데이타\"/>
    </mc:Choice>
  </mc:AlternateContent>
  <xr:revisionPtr revIDLastSave="0" documentId="13_ncr:1_{BC27CF49-D6D0-4F9F-A5E7-C69456095265}" xr6:coauthVersionLast="47" xr6:coauthVersionMax="47" xr10:uidLastSave="{00000000-0000-0000-0000-000000000000}"/>
  <bookViews>
    <workbookView xWindow="7125" yWindow="960" windowWidth="29085" windowHeight="19770" tabRatio="690" firstSheet="1" activeTab="21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3" r:id="rId17"/>
    <sheet name="3" sheetId="194" r:id="rId18"/>
    <sheet name="4" sheetId="195" r:id="rId19"/>
    <sheet name="5" sheetId="196" r:id="rId20"/>
    <sheet name="6" sheetId="197" r:id="rId21"/>
    <sheet name="7" sheetId="198" r:id="rId22"/>
    <sheet name="Q1" sheetId="100" r:id="rId23"/>
    <sheet name="Q2" sheetId="117" r:id="rId24"/>
    <sheet name="Q3" sheetId="115" r:id="rId25"/>
    <sheet name="p1" sheetId="206" r:id="rId26"/>
    <sheet name="p2" sheetId="207" r:id="rId27"/>
    <sheet name="p3" sheetId="208" r:id="rId28"/>
    <sheet name="p4" sheetId="209" r:id="rId29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5">'p1'!$C$7</definedName>
    <definedName name="baseTemp" localSheetId="26">'p2'!$C$7</definedName>
    <definedName name="baseTemp" localSheetId="27">'p3'!$C$7</definedName>
    <definedName name="baseTemp" localSheetId="28">'p4'!$C$7</definedName>
    <definedName name="baseTemp" localSheetId="22">'Q1'!$C$7</definedName>
    <definedName name="baseTemp" localSheetId="23">'Q2'!$C$7</definedName>
    <definedName name="baseTemp" localSheetId="24">'Q3'!$C$7</definedName>
    <definedName name="baseTemp2" localSheetId="25">'p1'!$D$7</definedName>
    <definedName name="baseTemp2" localSheetId="26">'p2'!$D$7</definedName>
    <definedName name="baseTemp2" localSheetId="27">'p3'!$D$7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Well!$I$12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98" l="1"/>
  <c r="C9" i="197"/>
  <c r="C9" i="196"/>
  <c r="C9" i="195"/>
  <c r="C9" i="194"/>
  <c r="C9" i="193"/>
  <c r="C9" i="55"/>
  <c r="O10" i="52"/>
  <c r="O9" i="52"/>
  <c r="O8" i="52"/>
  <c r="O7" i="52"/>
  <c r="O6" i="52"/>
  <c r="O5" i="52"/>
  <c r="O4" i="52"/>
  <c r="E25" i="209"/>
  <c r="D25" i="209"/>
  <c r="E23" i="209"/>
  <c r="D23" i="209"/>
  <c r="B23" i="209"/>
  <c r="E22" i="209"/>
  <c r="D22" i="209"/>
  <c r="B22" i="209"/>
  <c r="E21" i="209"/>
  <c r="D21" i="209"/>
  <c r="B21" i="209"/>
  <c r="F20" i="209"/>
  <c r="F23" i="209" s="1"/>
  <c r="E20" i="209"/>
  <c r="D20" i="209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E24" i="209" s="1"/>
  <c r="E26" i="209" s="1"/>
  <c r="D14" i="209"/>
  <c r="D24" i="209" s="1"/>
  <c r="D26" i="209" s="1"/>
  <c r="B14" i="209"/>
  <c r="G23" i="208"/>
  <c r="D23" i="208"/>
  <c r="B23" i="208"/>
  <c r="I22" i="208"/>
  <c r="H22" i="208"/>
  <c r="G22" i="208"/>
  <c r="F22" i="208"/>
  <c r="E22" i="208"/>
  <c r="D22" i="208"/>
  <c r="B22" i="208"/>
  <c r="G21" i="208"/>
  <c r="D21" i="208"/>
  <c r="B21" i="208"/>
  <c r="I20" i="208"/>
  <c r="I21" i="208" s="1"/>
  <c r="H20" i="208"/>
  <c r="H23" i="208" s="1"/>
  <c r="G20" i="208"/>
  <c r="F20" i="208"/>
  <c r="F21" i="208" s="1"/>
  <c r="E20" i="208"/>
  <c r="E21" i="208" s="1"/>
  <c r="D20" i="208"/>
  <c r="B20" i="208"/>
  <c r="I19" i="208"/>
  <c r="H19" i="208"/>
  <c r="G19" i="208"/>
  <c r="F19" i="208"/>
  <c r="E19" i="208"/>
  <c r="D19" i="208"/>
  <c r="B19" i="208"/>
  <c r="I18" i="208"/>
  <c r="H18" i="208"/>
  <c r="G18" i="208"/>
  <c r="F18" i="208"/>
  <c r="E18" i="208"/>
  <c r="D18" i="208"/>
  <c r="B18" i="208"/>
  <c r="I17" i="208"/>
  <c r="H17" i="208"/>
  <c r="G17" i="208"/>
  <c r="G24" i="208" s="1"/>
  <c r="F17" i="208"/>
  <c r="E17" i="208"/>
  <c r="D17" i="208"/>
  <c r="B17" i="208"/>
  <c r="I16" i="208"/>
  <c r="H16" i="208"/>
  <c r="G16" i="208"/>
  <c r="F16" i="208"/>
  <c r="E16" i="208"/>
  <c r="D16" i="208"/>
  <c r="B16" i="208"/>
  <c r="I15" i="208"/>
  <c r="H15" i="208"/>
  <c r="G15" i="208"/>
  <c r="F15" i="208"/>
  <c r="E15" i="208"/>
  <c r="D15" i="208"/>
  <c r="B15" i="208"/>
  <c r="I14" i="208"/>
  <c r="H14" i="208"/>
  <c r="G14" i="208"/>
  <c r="F14" i="208"/>
  <c r="E14" i="208"/>
  <c r="D14" i="208"/>
  <c r="B14" i="208"/>
  <c r="G23" i="207"/>
  <c r="D23" i="207"/>
  <c r="B23" i="207"/>
  <c r="I22" i="207"/>
  <c r="H22" i="207"/>
  <c r="G22" i="207"/>
  <c r="F22" i="207"/>
  <c r="E22" i="207"/>
  <c r="D22" i="207"/>
  <c r="B22" i="207"/>
  <c r="G21" i="207"/>
  <c r="D21" i="207"/>
  <c r="B21" i="207"/>
  <c r="I20" i="207"/>
  <c r="I21" i="207" s="1"/>
  <c r="H20" i="207"/>
  <c r="H23" i="207" s="1"/>
  <c r="G20" i="207"/>
  <c r="F20" i="207"/>
  <c r="F21" i="207" s="1"/>
  <c r="E20" i="207"/>
  <c r="E21" i="207" s="1"/>
  <c r="D20" i="207"/>
  <c r="B20" i="207"/>
  <c r="I19" i="207"/>
  <c r="H19" i="207"/>
  <c r="G19" i="207"/>
  <c r="F19" i="207"/>
  <c r="E19" i="207"/>
  <c r="D19" i="207"/>
  <c r="B19" i="207"/>
  <c r="I18" i="207"/>
  <c r="H18" i="207"/>
  <c r="G18" i="207"/>
  <c r="F18" i="207"/>
  <c r="E18" i="207"/>
  <c r="D18" i="207"/>
  <c r="B18" i="207"/>
  <c r="I17" i="207"/>
  <c r="H17" i="207"/>
  <c r="G17" i="207"/>
  <c r="F17" i="207"/>
  <c r="E17" i="207"/>
  <c r="D17" i="207"/>
  <c r="B17" i="207"/>
  <c r="I16" i="207"/>
  <c r="H16" i="207"/>
  <c r="G16" i="207"/>
  <c r="F16" i="207"/>
  <c r="E16" i="207"/>
  <c r="D16" i="207"/>
  <c r="B16" i="207"/>
  <c r="I15" i="207"/>
  <c r="H15" i="207"/>
  <c r="G15" i="207"/>
  <c r="F15" i="207"/>
  <c r="E15" i="207"/>
  <c r="D15" i="207"/>
  <c r="B15" i="207"/>
  <c r="I14" i="207"/>
  <c r="H14" i="207"/>
  <c r="G14" i="207"/>
  <c r="F14" i="207"/>
  <c r="E14" i="207"/>
  <c r="D14" i="207"/>
  <c r="B14" i="207"/>
  <c r="G23" i="206"/>
  <c r="D23" i="206"/>
  <c r="B23" i="206"/>
  <c r="I22" i="206"/>
  <c r="H22" i="206"/>
  <c r="G22" i="206"/>
  <c r="F22" i="206"/>
  <c r="E22" i="206"/>
  <c r="D22" i="206"/>
  <c r="B22" i="206"/>
  <c r="G21" i="206"/>
  <c r="D21" i="206"/>
  <c r="B21" i="206"/>
  <c r="I20" i="206"/>
  <c r="I21" i="206" s="1"/>
  <c r="H20" i="206"/>
  <c r="H23" i="206" s="1"/>
  <c r="G20" i="206"/>
  <c r="F20" i="206"/>
  <c r="F23" i="206" s="1"/>
  <c r="E20" i="206"/>
  <c r="E21" i="206" s="1"/>
  <c r="D20" i="206"/>
  <c r="B20" i="206"/>
  <c r="I19" i="206"/>
  <c r="H19" i="206"/>
  <c r="G19" i="206"/>
  <c r="F19" i="206"/>
  <c r="E19" i="206"/>
  <c r="D19" i="206"/>
  <c r="B19" i="206"/>
  <c r="I18" i="206"/>
  <c r="H18" i="206"/>
  <c r="G18" i="206"/>
  <c r="F18" i="206"/>
  <c r="E18" i="206"/>
  <c r="D18" i="206"/>
  <c r="B18" i="206"/>
  <c r="I17" i="206"/>
  <c r="H17" i="206"/>
  <c r="G17" i="206"/>
  <c r="F17" i="206"/>
  <c r="E17" i="206"/>
  <c r="D17" i="206"/>
  <c r="B17" i="206"/>
  <c r="I16" i="206"/>
  <c r="H16" i="206"/>
  <c r="G16" i="206"/>
  <c r="F16" i="206"/>
  <c r="E16" i="206"/>
  <c r="D16" i="206"/>
  <c r="B16" i="206"/>
  <c r="I15" i="206"/>
  <c r="H15" i="206"/>
  <c r="G15" i="206"/>
  <c r="F15" i="206"/>
  <c r="E15" i="206"/>
  <c r="D15" i="206"/>
  <c r="B15" i="206"/>
  <c r="I14" i="206"/>
  <c r="H14" i="206"/>
  <c r="G14" i="206"/>
  <c r="F14" i="206"/>
  <c r="E14" i="206"/>
  <c r="D14" i="206"/>
  <c r="B14" i="206"/>
  <c r="F21" i="198"/>
  <c r="F21" i="195"/>
  <c r="F21" i="194"/>
  <c r="E17" i="198"/>
  <c r="C19" i="198"/>
  <c r="C18" i="198"/>
  <c r="C17" i="198"/>
  <c r="C16" i="198"/>
  <c r="C15" i="198"/>
  <c r="C8" i="198"/>
  <c r="C7" i="198"/>
  <c r="C12" i="198" s="1"/>
  <c r="A13" i="198" s="1"/>
  <c r="A12" i="198" s="1"/>
  <c r="C6" i="198"/>
  <c r="C5" i="198"/>
  <c r="C4" i="198"/>
  <c r="C3" i="198"/>
  <c r="C2" i="198"/>
  <c r="E17" i="197"/>
  <c r="E19" i="197" s="1"/>
  <c r="C19" i="197"/>
  <c r="C18" i="197"/>
  <c r="C17" i="197"/>
  <c r="C16" i="197"/>
  <c r="C15" i="197"/>
  <c r="C8" i="197"/>
  <c r="C7" i="197"/>
  <c r="C12" i="197" s="1"/>
  <c r="A13" i="197" s="1"/>
  <c r="A12" i="197" s="1"/>
  <c r="C6" i="197"/>
  <c r="C5" i="197"/>
  <c r="C4" i="197"/>
  <c r="C3" i="197"/>
  <c r="C2" i="197"/>
  <c r="E17" i="196"/>
  <c r="E19" i="196" s="1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E17" i="195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E17" i="194"/>
  <c r="C19" i="194"/>
  <c r="C18" i="194"/>
  <c r="C17" i="194"/>
  <c r="C16" i="194"/>
  <c r="C15" i="194"/>
  <c r="C8" i="194"/>
  <c r="C7" i="194"/>
  <c r="C12" i="194" s="1"/>
  <c r="A13" i="194" s="1"/>
  <c r="A12" i="194" s="1"/>
  <c r="C6" i="194"/>
  <c r="C5" i="194"/>
  <c r="C4" i="194"/>
  <c r="C3" i="194"/>
  <c r="C2" i="194"/>
  <c r="E17" i="193"/>
  <c r="E19" i="193" s="1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8"/>
  <c r="I31" i="198"/>
  <c r="H31" i="198"/>
  <c r="G31" i="198"/>
  <c r="F31" i="198"/>
  <c r="E31" i="198"/>
  <c r="D31" i="198"/>
  <c r="K31" i="198" s="1"/>
  <c r="J30" i="198"/>
  <c r="I30" i="198"/>
  <c r="H30" i="198"/>
  <c r="G30" i="198"/>
  <c r="F30" i="198"/>
  <c r="E30" i="198"/>
  <c r="D30" i="198"/>
  <c r="K30" i="198" s="1"/>
  <c r="D26" i="198"/>
  <c r="C22" i="198"/>
  <c r="E19" i="198"/>
  <c r="K16" i="198"/>
  <c r="K17" i="198" s="1"/>
  <c r="K18" i="198" s="1"/>
  <c r="L18" i="198" s="1"/>
  <c r="H26" i="198" s="1"/>
  <c r="G14" i="198"/>
  <c r="E13" i="198"/>
  <c r="D13" i="198"/>
  <c r="L12" i="198"/>
  <c r="H11" i="198"/>
  <c r="F11" i="198"/>
  <c r="E11" i="198"/>
  <c r="H10" i="198"/>
  <c r="H9" i="198"/>
  <c r="G7" i="198"/>
  <c r="E7" i="198"/>
  <c r="F10" i="52"/>
  <c r="E10" i="52"/>
  <c r="J31" i="197"/>
  <c r="I31" i="197"/>
  <c r="H31" i="197"/>
  <c r="G31" i="197"/>
  <c r="F31" i="197"/>
  <c r="E31" i="197"/>
  <c r="D31" i="197"/>
  <c r="K31" i="197" s="1"/>
  <c r="J30" i="197"/>
  <c r="I30" i="197"/>
  <c r="H30" i="197"/>
  <c r="G30" i="197"/>
  <c r="F30" i="197"/>
  <c r="E30" i="197"/>
  <c r="D30" i="197"/>
  <c r="K30" i="197" s="1"/>
  <c r="D26" i="197"/>
  <c r="C22" i="197"/>
  <c r="K16" i="197"/>
  <c r="K17" i="197" s="1"/>
  <c r="K18" i="197" s="1"/>
  <c r="L18" i="197" s="1"/>
  <c r="H26" i="197" s="1"/>
  <c r="G14" i="197"/>
  <c r="E13" i="197"/>
  <c r="D13" i="197"/>
  <c r="L12" i="197"/>
  <c r="H11" i="197"/>
  <c r="F11" i="197"/>
  <c r="E11" i="197"/>
  <c r="H10" i="197"/>
  <c r="H9" i="197"/>
  <c r="G7" i="197"/>
  <c r="E7" i="197"/>
  <c r="F21" i="197"/>
  <c r="F9" i="52"/>
  <c r="E9" i="52"/>
  <c r="J31" i="196"/>
  <c r="I31" i="196"/>
  <c r="H31" i="196"/>
  <c r="G31" i="196"/>
  <c r="F31" i="196"/>
  <c r="E31" i="196"/>
  <c r="D31" i="196"/>
  <c r="K31" i="196" s="1"/>
  <c r="J30" i="196"/>
  <c r="I30" i="196"/>
  <c r="H30" i="196"/>
  <c r="G30" i="196"/>
  <c r="F30" i="196"/>
  <c r="E30" i="196"/>
  <c r="D30" i="196"/>
  <c r="K30" i="196" s="1"/>
  <c r="D26" i="196"/>
  <c r="C22" i="196"/>
  <c r="K16" i="196"/>
  <c r="K17" i="196" s="1"/>
  <c r="K18" i="196" s="1"/>
  <c r="L18" i="196" s="1"/>
  <c r="H26" i="196" s="1"/>
  <c r="G14" i="196"/>
  <c r="E13" i="196"/>
  <c r="D13" i="196"/>
  <c r="L12" i="196"/>
  <c r="H11" i="196"/>
  <c r="F11" i="196"/>
  <c r="E11" i="196"/>
  <c r="H10" i="196"/>
  <c r="H9" i="196"/>
  <c r="G7" i="196"/>
  <c r="E7" i="196"/>
  <c r="C12" i="196"/>
  <c r="A13" i="196" s="1"/>
  <c r="A12" i="196" s="1"/>
  <c r="F21" i="196"/>
  <c r="F8" i="52"/>
  <c r="E8" i="52"/>
  <c r="E19" i="195"/>
  <c r="J31" i="195"/>
  <c r="I31" i="195"/>
  <c r="H31" i="195"/>
  <c r="G31" i="195"/>
  <c r="F31" i="195"/>
  <c r="E31" i="195"/>
  <c r="D31" i="195"/>
  <c r="K31" i="195" s="1"/>
  <c r="J30" i="195"/>
  <c r="I30" i="195"/>
  <c r="H30" i="195"/>
  <c r="G30" i="195"/>
  <c r="F30" i="195"/>
  <c r="E30" i="195"/>
  <c r="D30" i="195"/>
  <c r="K30" i="195" s="1"/>
  <c r="D26" i="195"/>
  <c r="C22" i="195"/>
  <c r="K16" i="195"/>
  <c r="K17" i="195" s="1"/>
  <c r="K18" i="195" s="1"/>
  <c r="L18" i="195" s="1"/>
  <c r="H26" i="195" s="1"/>
  <c r="G14" i="195"/>
  <c r="E13" i="195"/>
  <c r="D13" i="195"/>
  <c r="L12" i="195"/>
  <c r="H11" i="195"/>
  <c r="F11" i="195"/>
  <c r="E11" i="195"/>
  <c r="H10" i="195"/>
  <c r="H9" i="195"/>
  <c r="G7" i="195"/>
  <c r="E7" i="195"/>
  <c r="C12" i="195"/>
  <c r="A13" i="195" s="1"/>
  <c r="A12" i="195" s="1"/>
  <c r="F7" i="52"/>
  <c r="E7" i="52"/>
  <c r="J31" i="194"/>
  <c r="I31" i="194"/>
  <c r="H31" i="194"/>
  <c r="G31" i="194"/>
  <c r="F31" i="194"/>
  <c r="E31" i="194"/>
  <c r="D31" i="194"/>
  <c r="K31" i="194" s="1"/>
  <c r="J30" i="194"/>
  <c r="I30" i="194"/>
  <c r="H30" i="194"/>
  <c r="G30" i="194"/>
  <c r="F30" i="194"/>
  <c r="E30" i="194"/>
  <c r="D30" i="194"/>
  <c r="K30" i="194" s="1"/>
  <c r="D26" i="194"/>
  <c r="C22" i="194"/>
  <c r="K16" i="194"/>
  <c r="K17" i="194" s="1"/>
  <c r="K18" i="194" s="1"/>
  <c r="L18" i="194" s="1"/>
  <c r="H26" i="194" s="1"/>
  <c r="G14" i="194"/>
  <c r="E13" i="194"/>
  <c r="D13" i="194"/>
  <c r="L12" i="194"/>
  <c r="H11" i="194"/>
  <c r="F11" i="194"/>
  <c r="E11" i="194"/>
  <c r="H10" i="194"/>
  <c r="H9" i="194"/>
  <c r="G7" i="194"/>
  <c r="E7" i="194"/>
  <c r="F6" i="52"/>
  <c r="E6" i="52"/>
  <c r="J31" i="193"/>
  <c r="I31" i="193"/>
  <c r="H31" i="193"/>
  <c r="G31" i="193"/>
  <c r="F31" i="193"/>
  <c r="E31" i="193"/>
  <c r="D31" i="193"/>
  <c r="K31" i="193" s="1"/>
  <c r="J30" i="193"/>
  <c r="I30" i="193"/>
  <c r="H30" i="193"/>
  <c r="G30" i="193"/>
  <c r="F30" i="193"/>
  <c r="E30" i="193"/>
  <c r="D30" i="193"/>
  <c r="K30" i="193" s="1"/>
  <c r="D26" i="193"/>
  <c r="C22" i="193"/>
  <c r="K16" i="193"/>
  <c r="K17" i="193" s="1"/>
  <c r="K18" i="193" s="1"/>
  <c r="L18" i="193" s="1"/>
  <c r="H26" i="193" s="1"/>
  <c r="G14" i="193"/>
  <c r="E13" i="193"/>
  <c r="D13" i="193"/>
  <c r="L12" i="193"/>
  <c r="H11" i="193"/>
  <c r="F11" i="193"/>
  <c r="E11" i="193"/>
  <c r="H10" i="193"/>
  <c r="H9" i="193"/>
  <c r="G7" i="193"/>
  <c r="E7" i="193"/>
  <c r="C12" i="193"/>
  <c r="A13" i="193" s="1"/>
  <c r="A12" i="193" s="1"/>
  <c r="F21" i="193"/>
  <c r="F5" i="52"/>
  <c r="E5" i="52"/>
  <c r="G25" i="208" l="1"/>
  <c r="G26" i="208" s="1"/>
  <c r="F21" i="209"/>
  <c r="F25" i="209" s="1"/>
  <c r="D24" i="208"/>
  <c r="D26" i="208" s="1"/>
  <c r="F22" i="209"/>
  <c r="D25" i="208"/>
  <c r="E23" i="208"/>
  <c r="E25" i="208" s="1"/>
  <c r="G24" i="207"/>
  <c r="G25" i="207"/>
  <c r="H21" i="208"/>
  <c r="H25" i="208" s="1"/>
  <c r="D25" i="207"/>
  <c r="F23" i="208"/>
  <c r="F25" i="208" s="1"/>
  <c r="D24" i="207"/>
  <c r="D26" i="207" s="1"/>
  <c r="I23" i="208"/>
  <c r="I24" i="208" s="1"/>
  <c r="I24" i="207"/>
  <c r="I25" i="207"/>
  <c r="D25" i="206"/>
  <c r="G24" i="206"/>
  <c r="G25" i="206"/>
  <c r="F23" i="207"/>
  <c r="F25" i="207" s="1"/>
  <c r="H21" i="207"/>
  <c r="H24" i="207" s="1"/>
  <c r="E23" i="207"/>
  <c r="E24" i="207" s="1"/>
  <c r="D24" i="206"/>
  <c r="I23" i="207"/>
  <c r="E23" i="206"/>
  <c r="E24" i="206" s="1"/>
  <c r="I23" i="206"/>
  <c r="I24" i="206" s="1"/>
  <c r="F21" i="206"/>
  <c r="F25" i="206" s="1"/>
  <c r="H21" i="206"/>
  <c r="H25" i="206" s="1"/>
  <c r="C14" i="198"/>
  <c r="F7" i="198" s="1"/>
  <c r="C14" i="197"/>
  <c r="F7" i="197" s="1"/>
  <c r="C14" i="196"/>
  <c r="F7" i="196" s="1"/>
  <c r="C14" i="195"/>
  <c r="F7" i="195" s="1"/>
  <c r="E19" i="194"/>
  <c r="C14" i="194"/>
  <c r="F7" i="194" s="1"/>
  <c r="C14" i="193"/>
  <c r="F7" i="193" s="1"/>
  <c r="D26" i="206" l="1"/>
  <c r="F24" i="209"/>
  <c r="F26" i="209" s="1"/>
  <c r="G26" i="207"/>
  <c r="I25" i="208"/>
  <c r="I26" i="208" s="1"/>
  <c r="H24" i="208"/>
  <c r="H26" i="208" s="1"/>
  <c r="E24" i="208"/>
  <c r="E26" i="208" s="1"/>
  <c r="F24" i="208"/>
  <c r="F26" i="208" s="1"/>
  <c r="E26" i="207"/>
  <c r="G26" i="206"/>
  <c r="F24" i="207"/>
  <c r="F26" i="207" s="1"/>
  <c r="H25" i="207"/>
  <c r="H26" i="207" s="1"/>
  <c r="I26" i="207"/>
  <c r="E25" i="207"/>
  <c r="I25" i="206"/>
  <c r="I26" i="206" s="1"/>
  <c r="F24" i="206"/>
  <c r="F26" i="206" s="1"/>
  <c r="H24" i="206"/>
  <c r="H26" i="206" s="1"/>
  <c r="E25" i="206"/>
  <c r="E26" i="206" s="1"/>
  <c r="F6" i="198"/>
  <c r="F5" i="198"/>
  <c r="J26" i="198"/>
  <c r="F5" i="197"/>
  <c r="F6" i="197"/>
  <c r="J26" i="197"/>
  <c r="F5" i="196"/>
  <c r="F6" i="196"/>
  <c r="J26" i="196"/>
  <c r="F5" i="195"/>
  <c r="F6" i="195"/>
  <c r="J26" i="195"/>
  <c r="F6" i="194"/>
  <c r="F5" i="194"/>
  <c r="J26" i="194"/>
  <c r="F6" i="193"/>
  <c r="F5" i="193"/>
  <c r="J26" i="193"/>
  <c r="F21" i="55" l="1"/>
  <c r="O5" i="148"/>
  <c r="N5" i="148"/>
  <c r="O4" i="148"/>
  <c r="N4" i="148"/>
  <c r="O3" i="148"/>
  <c r="N3" i="148"/>
  <c r="F92" i="175" l="1"/>
  <c r="E92" i="175"/>
  <c r="F97" i="175"/>
  <c r="E97" i="175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/>
  <c r="F4" i="52" l="1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2" i="52" l="1"/>
  <c r="E21" i="55" l="1"/>
  <c r="E21" i="198"/>
  <c r="E22" i="198" s="1"/>
  <c r="E21" i="196"/>
  <c r="E21" i="197"/>
  <c r="E22" i="196"/>
  <c r="E21" i="194"/>
  <c r="E22" i="194" s="1"/>
  <c r="E21" i="195"/>
  <c r="E21" i="193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7" l="1"/>
  <c r="E22" i="195"/>
  <c r="E22" i="193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4" l="1"/>
  <c r="G13" i="193"/>
  <c r="G13" i="196"/>
  <c r="G13" i="198"/>
  <c r="G13" i="197"/>
  <c r="G13" i="195"/>
  <c r="F17" i="195"/>
  <c r="G17" i="195" s="1"/>
  <c r="F13" i="195"/>
  <c r="F13" i="197"/>
  <c r="F13" i="194"/>
  <c r="F17" i="193"/>
  <c r="G17" i="193" s="1"/>
  <c r="F17" i="198"/>
  <c r="G17" i="198" s="1"/>
  <c r="F13" i="198"/>
  <c r="F13" i="196"/>
  <c r="F17" i="194"/>
  <c r="G17" i="194" s="1"/>
  <c r="F13" i="193"/>
  <c r="F19" i="196"/>
  <c r="G19" i="196" s="1"/>
  <c r="F19" i="193"/>
  <c r="G19" i="193" s="1"/>
  <c r="F19" i="195"/>
  <c r="G19" i="195" s="1"/>
  <c r="F19" i="198"/>
  <c r="G19" i="198" s="1"/>
  <c r="F19" i="197"/>
  <c r="G19" i="197" s="1"/>
  <c r="F17" i="196"/>
  <c r="G17" i="196" s="1"/>
  <c r="F17" i="197"/>
  <c r="G17" i="197" s="1"/>
  <c r="F19" i="194"/>
  <c r="G19" i="194" s="1"/>
  <c r="F13" i="55"/>
  <c r="G13" i="55"/>
  <c r="K30" i="55"/>
  <c r="H19" i="198" l="1"/>
  <c r="G21" i="198"/>
  <c r="H19" i="195"/>
  <c r="G21" i="195"/>
  <c r="H19" i="194"/>
  <c r="G21" i="194"/>
  <c r="H19" i="197"/>
  <c r="G21" i="197"/>
  <c r="H19" i="193"/>
  <c r="G21" i="193"/>
  <c r="H19" i="196"/>
  <c r="G21" i="196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197" l="1"/>
  <c r="E26" i="198"/>
  <c r="E26" i="195"/>
  <c r="E26" i="196"/>
  <c r="E26" i="193"/>
  <c r="E26" i="194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D9066B1-9D3E-4C39-8411-12ED19B48C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405A91C6-CCF5-4060-9244-B8ED152FE6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FDCB83D-91D1-4F36-880D-2E3EB285E9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DC48A74-70F2-4B01-ADF3-A626E9CBAE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783EC41F-648C-45D9-A622-A6E2027034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826A9417-7BB2-4C55-A531-56AA3EAAEE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5BFF381-39F0-4178-8834-27A75F6CFD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E2A6522-06AB-4C73-BDE6-56F2351177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6637A75D-FC60-4CA1-8C84-3476ABDBAB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DBA996BD-B688-418C-A8C7-7F48ACC1C3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81DC0018-316C-4265-9284-B5AEDBD36B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01667EFB-F50D-4C37-8328-B5456A900A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BA14F4F7-1364-4AEE-92D3-AE4B3D179F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1DBD1368-AAB1-44CB-B880-B0A0FF2F14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2BB66FE7-8CC8-4625-A7EB-552CA3E13B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700F2662-EF25-4A3F-9943-96D0360CF4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B1C38E98-7E4A-4F55-AC78-012E9032CA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3736CBCD-4751-433D-8FA5-C0FF0F63C4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122FE078-B93A-4581-8521-1F1E496F6F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5BCFDB23-7731-455F-A215-1944FAA090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3B1A3F5B-D5D4-4D12-B82F-05BE626CB2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4D270DF9-0231-4A62-B68D-798848BA45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09BFADD6-F8D6-496E-A83D-2D58649F16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BA30DC87-61FC-43B9-8050-87E89E3209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3588348-8461-40A9-850B-E1EAC80DDD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2F438E0-9583-49BF-841E-C0E06E3460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486CD4E-3176-4925-8EE0-94B99EA2D7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CDC1C2C-2643-4159-B21C-07F5D1FF50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65B8479-AE19-4ADE-8BC8-8B2B924A00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98CA8A6-9D2A-433F-95CD-3A616910BC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5D547D2-1C4F-447A-9C84-041414EE9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6BCCEED-1895-46FB-946A-53CE2547B88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74A36FC-C9A5-45FE-9EC6-0DCA8F337B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75554B7-E0C5-4CA4-B516-AE15D33FC3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6BE71B9-5FB9-40C5-A591-C7F5EEDA63B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26A9A3E-D313-4579-BFEF-F3DBFECA8C1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F33A9DC-FE24-4244-9E87-5F47204183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2AA7A5B-4FCC-4781-8558-7B07873AA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09CF8A8-1FD8-47DF-A6C8-DE849D7FBB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0D45189-7FFA-440C-8371-582EE5E8EB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146A76E-C7B3-49DA-8D1C-6349F73A03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CDA8F28-4DA8-4319-B5FC-E33896C06E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31CE874-B4CD-4517-A54A-F56D13DD8C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DC20027-FFFA-49B2-8E95-D59F9A439D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BCE70B1-05A1-4912-B213-180EF8415A9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64910AA-494A-4562-8FCA-2AA82D566A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DCA40FF-E8FC-4FDD-8062-2B92E206E6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2EBE01E-BEAA-4F44-BB94-DF8B8B8744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C199540-D0EF-4442-8640-31809FC398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14AB7D1-F247-4F13-AFC2-774FF33FE0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532351A-1523-4F45-99A7-AF5B468910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9D68CD6-C455-4365-ABC4-1C1A972E68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44208BB-CC40-44F4-9631-9B396CECFB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69A9BD1-86CF-4BC6-87B8-290AF952B0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9200ACF-BF3A-4C22-97D6-2DA9F8DB5CA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01021B1-9AAB-473F-B6E0-88952B97C34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21C3F81-B8B7-4574-B396-46707B2B58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0BF0993-04C2-4771-ADAD-6375E1CEBD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8F8F5C5-7186-4C0D-BF85-C6C3A7398D8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BE64E26-9632-4FBA-ABA8-6B0F0D8A8D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17A204A-8A42-49CC-AE05-400F9C6118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A6EC305-DED5-47F9-806A-75AF089D75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AD5665-E53E-4B9F-8C75-0B4C53BD78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E3CB894-BEB7-4905-AE5B-22BBA06EF1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59701F2-32A1-4D5F-ADEA-4290DD65C6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47EAABE-ACB3-4335-B101-5BD77FA5BF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747D678-AB46-4225-9A0F-8FBEFD52C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C282DA7-6D41-46FB-B21A-8712D07D139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CF52F28-52A5-4A64-8D60-8489FEFA7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6A03C21-0370-4A42-AB1C-3B5D2D7F57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4DCAE51-DD9F-421E-A9FE-B5D823D23B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2997069-7A16-448E-B4E7-422AE66799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599445EF-C41F-43E1-9D40-25E38741A5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BB7582B-AC00-4471-866E-995C9ED6C7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9665E4C7-6F73-451C-B66C-2F9CE40A3F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B332BD0-453F-4946-BFC8-A4BB7F919D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5F4A76E-30C5-44F2-A9FF-6238837D9C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E91E0B0-88AD-4A02-A162-BF3ADC7DFD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EDC684C-CC43-44EA-A70B-C9664DDB5F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4B5AA28-E4C6-4A2E-844D-FAD561B805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1CBA0A6-9DA2-4A70-AFE4-BEDFF5E6947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BDD06AB-FFB7-4A96-BC8B-F7A9F936A64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3241CB0-494B-45F9-97BE-DA6F6AFFA9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5DD66E6-4F9F-407E-A373-97A8A54F0E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5B31CCA-86F7-49CD-8372-3A8F6F3DF66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FF1DAF6-86BA-476C-8689-F23C836F1F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1191B9C-4109-4445-849B-EE20686984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B80CA2F-6091-46C8-A43A-B982DC0C94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9BED799-3929-46EF-AEBC-0DD8114581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34EB1C2-456E-42AB-B8CD-47D24959BC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7D23728-EC15-4A3A-81C5-F9EFB09887D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9B2D931-8438-46A4-BF5E-580C6CC1CC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5BA686D-F561-4778-91D9-E654B38690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963AD53-C55D-4DFB-BC17-8B6830D896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198A447-E10A-42DA-B1E5-2D196282A54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74CA1906-51B1-440A-9F3D-F65631B6E3C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349F107-4AC5-4A65-98B8-EC0F0564DF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35FAA90-74D6-457F-8D91-E43A0DC44A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42570DB-E996-4AAB-94D0-AA96BBE553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E7D9AF21-BC0D-459F-9081-C233D45542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125CDAD-2044-4CD9-B82C-B00EC65D82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B393B12-1C0F-46B9-8168-EF700E23F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5A1ECCA3-D620-457B-AC2A-A11C2A1E5F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D2A65A0-3F76-4AD5-B7BA-0455EC6B06A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8AF526E5-9D59-48DB-A560-1788416A3FB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E733BBB-0B2F-4A37-A61B-FE7832DF98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DD4D7C1-FC76-4CD3-931A-A606D05FD3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7A0F71E-5A98-4D32-9CA0-EF407F4826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7F2CBF-824D-4146-9DBC-112848506E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FACBDD5-6BF3-42B6-8566-096E3ED7767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A683A7F-E769-4B91-AD01-0580D2269B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09FC76D-6E44-4347-9F77-B4F730D763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C939FFB-9B3C-4B6C-A9B8-D4F610244C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256076F-B513-47AA-AD2E-88F8CFFEEDB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6252AAE-EBE5-4830-8599-81DB670A08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BECAE93-2B8F-493C-ACC4-575C13B9BC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7E94FF5-90E5-46AC-A082-4DECA4C92F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9187797-B6AC-41CA-9F21-1D51E44156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2B040AF-6A01-4D24-A8E3-01028CACC3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6FC60DE-D4B1-4945-B2A9-2CCB5C2FEF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122EE90-B303-4741-8F1D-66DA68E86E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506B632-FF17-4F5A-8651-2761139E8E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225017C-0141-48E4-8D53-B4C2A97F39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834F8C4-2B52-4BF3-A8E8-ED1971321B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16D291C-B831-44CB-99E8-2AA56C3BFA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EE884AB-D210-4907-80F5-ABC8A51B30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070F168-E683-4A6A-BC51-384614B79D3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FDE9872-7968-4F31-9B35-2D587F6C34B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56EA3D0-5866-4975-B748-0E1CC8E4BB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8F1B29A-C32B-4B3A-8E02-058F28BA89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7752711-CF5B-4B08-B8E6-CCCC674E1C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CA97AFC-0223-4DF2-A683-8A26371F64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B5C0DCE-0F88-4698-B854-AEFEAC1C47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C140D0E-92D2-40B4-9FA1-D73FBAF800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51F4538-92C6-4250-9019-9252D89A15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9CE5F3F-68A2-4B03-A95C-0D1A9201CE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E92414B3-8DE3-495B-923E-09DE6710250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F2FE00A-7FD6-4269-B38B-8130F0B0B34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EEACEBA-B614-4F76-8C79-0D6679E7F47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BF30B5B-20DF-42A0-A888-B05B09248A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6C13E47-B153-4929-858B-12D238A90D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6EA380-C7D2-453F-A542-BA4BEACDF0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212F3957-F1AB-4799-8DEE-462129D606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57380D7-6CD1-4829-BE0B-13411037A9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A943B54-2115-4B38-BFAB-A167A7B3BE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7CC4E68-5F6F-47A8-A8A3-3352EDFF9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61CDF62-77DF-49C6-A7E2-E227DF7245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9F9CD97-A884-4634-B0E8-F4C8B9B5E0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3E6D437-4ED8-408E-A6E8-B768665558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D08A30E-A31A-4C38-B77E-5F4DABFFEE8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A05CCAF-9C96-44FD-A79C-AC4561F9A08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4BFA454-19D6-4CA5-8451-DDA82C749B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820133B-F582-407D-B3FE-41A70D8C911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B48FF7B5-4064-475A-A8F4-68A2A8DFB88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E40C92C-F78D-4F69-B650-1E51F1DE32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2572D7B-B015-4B3D-ACBF-0D9CFEA915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F77F7AB-7912-4463-9D82-5A9AE3A7BA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7846006-6FB9-4A59-81BA-37B2C4E32D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7E4CE92-1521-4DA7-A22B-2F02FF4BB8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69E4261-64E9-42E6-AA49-CF7A513F3AE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097FDB-90A4-4F22-95AB-523662CF9B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2E76F1-144C-4185-AD03-83307E96BF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<sst xmlns="http://schemas.openxmlformats.org/spreadsheetml/2006/main" count="1684" uniqueCount="729">
  <si>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</si>
  <si>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</si>
  <si>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</si>
  <si>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</si>
  <si>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</si>
  <si>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</si>
  <si>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</si>
  <si>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</si>
  <si>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</si>
  <si>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</si>
  <si>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</si>
  <si>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</si>
  <si>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</si>
  <si>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</si>
  <si>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</si>
  <si>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</si>
  <si>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</si>
  <si>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</si>
  <si>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</si>
  <si>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</si>
  <si>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</si>
  <si>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</si>
  <si>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</si>
  <si>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</si>
  <si>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</si>
  <si>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</si>
  <si>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</si>
  <si>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</si>
  <si>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</si>
  <si>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</si>
  <si>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</si>
  <si>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</si>
  <si>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</si>
  <si>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</si>
  <si>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</si>
  <si>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</si>
  <si>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</si>
  <si>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</si>
  <si>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</si>
  <si>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</si>
  <si>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</si>
  <si>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</si>
  <si>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</si>
  <si>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</si>
  <si>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</si>
  <si>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</si>
  <si>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</si>
  <si>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</si>
  <si>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</si>
  <si>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</si>
  <si>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</si>
  <si>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</si>
  <si>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</si>
  <si>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</si>
  <si>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</si>
  <si>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</si>
  <si>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</si>
  <si>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</si>
  <si>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</si>
  <si>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</si>
  <si>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</si>
  <si>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</si>
  <si>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</si>
  <si>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</si>
  <si>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</si>
  <si>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</si>
  <si>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</si>
  <si>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</si>
  <si>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</si>
  <si>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</si>
  <si>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</si>
  <si>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</si>
  <si>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</si>
  <si>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</si>
  <si>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</si>
  <si>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</si>
  <si>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</si>
  <si>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</si>
  <si>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</si>
  <si>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</si>
  <si>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</si>
  <si>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</si>
  <si>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</si>
  <si>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</si>
  <si>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</si>
  <si>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</si>
  <si>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</si>
  <si>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</si>
  <si>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</si>
  <si>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</si>
  <si>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</si>
  <si>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</si>
  <si>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</si>
  <si>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</si>
  <si>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</si>
  <si>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</si>
  <si>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</si>
  <si>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</si>
  <si>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</si>
  <si>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</si>
  <si>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</si>
  <si>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</si>
  <si>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</si>
  <si>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</si>
  <si>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</si>
  <si>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</si>
  <si>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</si>
  <si>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</si>
  <si>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</si>
  <si>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</si>
  <si>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</si>
  <si>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</si>
  <si>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</si>
  <si>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</si>
  <si>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</si>
  <si>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</si>
  <si>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</si>
  <si>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</si>
  <si>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</si>
  <si>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</si>
  <si>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</si>
  <si>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</si>
  <si>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</si>
  <si>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</si>
  <si>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</si>
  <si>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</si>
  <si>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</si>
  <si>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</si>
  <si>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</si>
  <si>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</si>
  <si>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</si>
  <si>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</si>
  <si>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</si>
  <si>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</si>
  <si>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</si>
  <si>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</si>
  <si>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</si>
  <si>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</si>
  <si>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</si>
  <si>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</si>
  <si>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</si>
  <si>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</si>
  <si>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</si>
  <si>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</si>
  <si>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</si>
  <si>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</si>
  <si>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</si>
  <si>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</si>
  <si>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</si>
  <si>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</si>
  <si>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</si>
  <si>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</si>
  <si>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</si>
  <si>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</si>
  <si>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</si>
  <si>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</si>
  <si>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</si>
  <si>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</si>
  <si>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</si>
  <si>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</si>
  <si>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</si>
  <si>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</si>
  <si>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</si>
  <si>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</si>
  <si>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</si>
  <si>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</si>
  <si>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</si>
  <si>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</si>
  <si>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</si>
  <si>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</si>
  <si>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</si>
  <si>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</si>
  <si>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</si>
  <si>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</si>
  <si>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</si>
  <si>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</si>
  <si>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</si>
  <si>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</si>
  <si>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</si>
  <si>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</si>
  <si>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</si>
  <si>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</si>
  <si>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</si>
  <si>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</si>
  <si>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</si>
  <si>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</si>
  <si>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</si>
  <si>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</si>
  <si>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</si>
  <si>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</si>
  <si>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</si>
  <si>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</si>
  <si>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</si>
  <si>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</si>
  <si>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</si>
  <si>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</si>
  <si>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</si>
  <si>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</si>
  <si>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</si>
  <si>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</si>
  <si>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</si>
  <si>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</si>
  <si>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</si>
  <si>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</si>
  <si>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</si>
  <si>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</si>
  <si>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</si>
  <si>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</si>
  <si>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</si>
  <si>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</si>
  <si>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</si>
  <si>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</si>
  <si>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</si>
  <si>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</si>
  <si>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</si>
  <si>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</si>
  <si>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</si>
  <si>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</si>
  <si>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</si>
  <si>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</si>
  <si>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</si>
  <si>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</si>
  <si>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</si>
  <si>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</si>
  <si>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</si>
  <si>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</si>
  <si>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</si>
  <si>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</si>
  <si>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</si>
  <si>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</si>
  <si>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</si>
  <si>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</si>
  <si>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</si>
  <si>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</si>
  <si>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</si>
  <si>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</si>
  <si>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</si>
  <si>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</si>
  <si>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</si>
  <si>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</si>
  <si>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</si>
  <si>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</si>
  <si>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</si>
  <si>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</si>
  <si>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</si>
  <si>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</si>
  <si>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</si>
  <si>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</si>
  <si>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</si>
  <si>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</si>
  <si>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</si>
  <si>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</si>
  <si>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</si>
  <si>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</si>
  <si>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</si>
  <si>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</si>
  <si>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</si>
  <si>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</si>
  <si>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</si>
  <si>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</si>
  <si>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</si>
  <si>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</si>
  <si>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</si>
  <si>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</si>
  <si>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</si>
  <si>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</si>
  <si>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</si>
  <si>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</si>
  <si>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</si>
  <si>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</si>
  <si>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</si>
  <si>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</si>
  <si>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</si>
  <si>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</si>
  <si>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</si>
  <si>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</si>
  <si>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</si>
  <si>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</si>
  <si>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</si>
  <si>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</si>
  <si>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</si>
  <si>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</si>
  <si>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</si>
  <si>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</si>
  <si>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</si>
  <si>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</si>
  <si>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</si>
  <si>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</si>
  <si>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</si>
  <si>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</si>
  <si>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</si>
  <si>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</si>
  <si>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</si>
  <si>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</si>
  <si>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</si>
  <si>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</si>
  <si>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</si>
  <si>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</si>
  <si>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</si>
  <si>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</si>
  <si>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</si>
  <si>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</si>
  <si>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</si>
  <si>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</si>
  <si>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</si>
  <si>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</si>
  <si>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</si>
  <si>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</si>
  <si>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</si>
  <si>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</si>
  <si>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</si>
  <si>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</si>
  <si>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</si>
  <si>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</si>
  <si>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</si>
  <si>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</si>
  <si>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</si>
  <si>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</si>
  <si>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</si>
  <si>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</si>
  <si>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</si>
  <si>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</si>
  <si>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</si>
  <si>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</si>
  <si>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</si>
  <si>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</si>
  <si>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</si>
  <si>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</si>
  <si>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</si>
  <si>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</si>
  <si>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</si>
  <si>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</si>
  <si>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</si>
  <si>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</si>
  <si>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</si>
  <si>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</si>
  <si>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</si>
  <si>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</si>
  <si>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</si>
  <si>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</si>
  <si>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</si>
  <si>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</si>
  <si>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</si>
  <si>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</si>
  <si>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</si>
  <si>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</si>
  <si>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</si>
  <si>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</si>
  <si>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</si>
  <si>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</si>
  <si>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</si>
  <si>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</si>
  <si>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</si>
  <si>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</si>
  <si>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</si>
  <si>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</si>
  <si>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</si>
  <si>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</si>
  <si>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</si>
  <si>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</si>
  <si>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</si>
  <si>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</si>
  <si>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</si>
  <si>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</si>
  <si>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</si>
  <si>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</si>
  <si>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</si>
  <si>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</si>
  <si>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</si>
  <si>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</si>
  <si>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</si>
  <si>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</si>
  <si>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</si>
  <si>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</si>
  <si>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</si>
  <si>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</si>
  <si>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</si>
  <si>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</si>
  <si>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</si>
  <si>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</si>
  <si>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</si>
  <si>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</si>
  <si>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</si>
  <si>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</si>
  <si>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</si>
  <si>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</si>
  <si>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</si>
  <si>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</si>
  <si>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</si>
  <si>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</si>
  <si>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</si>
  <si>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</si>
  <si>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</si>
  <si>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</si>
  <si>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</si>
  <si>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</si>
  <si>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</si>
  <si>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</si>
  <si>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</si>
  <si>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</si>
  <si>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</si>
  <si>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</si>
  <si>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</si>
  <si>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</si>
  <si>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</si>
  <si>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</si>
  <si>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</si>
  <si>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</si>
  <si>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</si>
  <si>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</si>
  <si>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</si>
  <si>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</si>
  <si>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</si>
  <si>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</si>
  <si>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</si>
  <si>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</si>
  <si>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</si>
  <si>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</si>
  <si>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</si>
  <si>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</si>
  <si>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</si>
  <si>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</si>
  <si>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</si>
  <si>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</si>
  <si>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</si>
  <si>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</si>
  <si>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</si>
  <si>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</si>
  <si>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</si>
  <si>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</si>
  <si>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</si>
  <si>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</si>
  <si>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</si>
  <si>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</si>
  <si>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</si>
  <si>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</si>
  <si>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</si>
  <si>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</si>
  <si>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</si>
  <si>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</si>
  <si>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</si>
  <si>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</si>
  <si>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</si>
  <si>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</si>
  <si>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</si>
  <si>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</si>
  <si>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</si>
  <si>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</si>
  <si>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</si>
  <si>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</si>
  <si>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</si>
  <si>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</si>
  <si>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</si>
  <si>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</si>
  <si>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</si>
  <si>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</si>
  <si>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</si>
  <si>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</si>
  <si>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</si>
  <si>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</si>
  <si>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</si>
  <si>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</si>
  <si>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</si>
  <si>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</si>
  <si>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</si>
  <si>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</si>
  <si>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</si>
  <si>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</si>
  <si>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</si>
  <si>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</si>
  <si>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</si>
  <si>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</si>
  <si>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</si>
  <si>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</si>
  <si>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</si>
  <si>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</si>
  <si>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</si>
  <si>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</si>
  <si>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</si>
  <si>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</si>
  <si>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</si>
  <si>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</si>
  <si>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</si>
  <si>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</si>
  <si>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</si>
  <si>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</si>
  <si>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</si>
  <si>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</si>
  <si>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</si>
  <si>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</si>
  <si>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</si>
  <si>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</si>
  <si>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</si>
  <si>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</si>
  <si>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</si>
  <si>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</si>
  <si>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</si>
  <si>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</si>
  <si>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</si>
  <si>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</si>
  <si>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</si>
  <si>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</si>
  <si>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</si>
  <si>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</si>
  <si>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</si>
  <si>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</si>
  <si>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</si>
  <si>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</si>
  <si>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</si>
  <si>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</si>
  <si>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</si>
  <si>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</si>
  <si>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</si>
  <si>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</si>
  <si>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</si>
  <si>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</si>
  <si>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</si>
  <si>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</si>
  <si>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</si>
  <si>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</si>
  <si>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</si>
  <si>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</si>
  <si>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</si>
  <si>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</si>
  <si>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</si>
  <si>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</si>
  <si>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</si>
  <si>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</si>
  <si>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</si>
  <si>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</si>
  <si>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</si>
  <si>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</si>
  <si>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</si>
  <si>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</si>
  <si>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</si>
  <si>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</si>
  <si>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</si>
  <si>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</si>
  <si>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</si>
  <si>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</si>
  <si>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</si>
  <si>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</si>
  <si>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</si>
  <si>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</si>
  <si>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</si>
  <si>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</si>
  <si>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</si>
  <si>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</si>
  <si>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</si>
  <si>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</si>
  <si>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</si>
  <si>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</si>
  <si>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</si>
  <si>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</si>
  <si>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</si>
  <si>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</si>
  <si>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</si>
  <si>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</si>
  <si>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</si>
  <si>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</si>
  <si>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</si>
  <si>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</si>
  <si>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</si>
  <si>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</si>
  <si>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</si>
  <si>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</si>
  <si>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</si>
  <si>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</si>
  <si>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</si>
  <si>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</si>
  <si>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</si>
  <si>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</si>
  <si>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</si>
  <si>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</si>
  <si>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</si>
  <si>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</si>
  <si>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</si>
  <si>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</si>
  <si>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</si>
  <si>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</si>
  <si>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</si>
  <si>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</si>
  <si>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</si>
  <si>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</si>
  <si>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</si>
  <si>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</si>
  <si>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</si>
  <si>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</si>
  <si>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</si>
  <si>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</si>
  <si>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</si>
  <si>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</si>
  <si>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</si>
  <si>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</si>
  <si>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</si>
  <si>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</si>
  <si>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</si>
  <si>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</si>
  <si>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</si>
  <si>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</si>
  <si>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</si>
  <si>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</si>
  <si>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</si>
  <si>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</si>
  <si>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</si>
  <si>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</si>
  <si>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</si>
  <si>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</si>
  <si>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</si>
  <si>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</si>
  <si>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</si>
  <si>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</si>
  <si>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</si>
  <si>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</si>
  <si>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</si>
  <si>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</si>
  <si>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</si>
  <si>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</si>
  <si>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</si>
  <si>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</si>
  <si>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</si>
  <si>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</si>
  <si>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</si>
  <si>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</si>
  <si>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</si>
  <si>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</si>
  <si>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</si>
  <si>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</si>
  <si>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</si>
  <si>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</si>
  <si>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</si>
  <si>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</si>
  <si>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</si>
  <si>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</si>
  <si>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</si>
  <si>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</si>
  <si>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</si>
  <si>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</si>
  <si>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</si>
  <si>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</si>
  <si>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</si>
  <si>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</si>
  <si>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</si>
  <si>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</si>
  <si>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</si>
  <si>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</si>
  <si>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</si>
  <si>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</si>
  <si>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</si>
  <si>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</si>
  <si>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</si>
  <si>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</si>
  <si>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</si>
  <si>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</si>
  <si>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</si>
  <si>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</si>
  <si>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</si>
  <si>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</si>
  <si>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</si>
  <si>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</si>
  <si>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</si>
  <si>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</si>
  <si>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</si>
  <si>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</si>
  <si>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</si>
  <si>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</si>
  <si>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</si>
  <si>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</si>
  <si>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</si>
  <si>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</si>
  <si>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</si>
  <si>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</si>
  <si>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</si>
  <si>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</si>
  <si>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</si>
  <si>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</si>
  <si>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</si>
  <si>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</si>
  <si>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</si>
  <si>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</si>
  <si>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</si>
  <si>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</si>
  <si>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</si>
  <si>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</si>
  <si>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</si>
  <si>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</si>
  <si>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2024/03/13일</t>
    <phoneticPr fontId="7" type="noConversion"/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</si>
  <si>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</si>
  <si>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</si>
  <si>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</si>
  <si>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</si>
  <si>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</si>
  <si>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</si>
  <si>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</si>
  <si>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</si>
  <si>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충청도</t>
  </si>
  <si>
    <t>중간정도</t>
    <phoneticPr fontId="7" type="noConversion"/>
  </si>
  <si>
    <t>5년</t>
  </si>
  <si>
    <t>천안</t>
  </si>
  <si>
    <t>천안기상청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</si>
  <si>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</si>
  <si>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</si>
  <si>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A4_ge_OriginalSaveFile.xlsm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</si>
  <si>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</si>
  <si>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</si>
  <si>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</si>
  <si>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</si>
  <si>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</si>
  <si>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W2</t>
    <phoneticPr fontId="7" type="noConversion"/>
  </si>
  <si>
    <t>W3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</si>
  <si>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</si>
  <si>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</si>
  <si>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</si>
  <si>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</si>
  <si>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W-2</t>
    <phoneticPr fontId="14" type="noConversion"/>
  </si>
  <si>
    <t>W-3</t>
    <phoneticPr fontId="14" type="noConversion"/>
  </si>
  <si>
    <t>W-4</t>
    <phoneticPr fontId="14" type="noConversion"/>
  </si>
  <si>
    <t>W-5</t>
    <phoneticPr fontId="14" type="noConversion"/>
  </si>
  <si>
    <t>W-6</t>
    <phoneticPr fontId="14" type="noConversion"/>
  </si>
  <si>
    <t>W-7</t>
    <phoneticPr fontId="14" type="noConversion"/>
  </si>
  <si>
    <t>전의면 유천리 261번지</t>
    <phoneticPr fontId="7" type="noConversion"/>
  </si>
  <si>
    <t xml:space="preserve">전의면 유천리 402-2번지  </t>
    <phoneticPr fontId="7" type="noConversion"/>
  </si>
  <si>
    <t xml:space="preserve">전의면 유천리 303-1번지 </t>
    <phoneticPr fontId="7" type="noConversion"/>
  </si>
  <si>
    <t>전의면 유천리 73번지</t>
    <phoneticPr fontId="7" type="noConversion"/>
  </si>
  <si>
    <t xml:space="preserve">전의면 유천리 257번지  </t>
    <phoneticPr fontId="7" type="noConversion"/>
  </si>
  <si>
    <t>전의면 유천리 227번지</t>
    <phoneticPr fontId="7" type="noConversion"/>
  </si>
  <si>
    <t xml:space="preserve">전의면 유천리 262번지  </t>
    <phoneticPr fontId="7" type="noConversion"/>
  </si>
  <si>
    <t>삽교천/삽교천</t>
  </si>
  <si>
    <t xml:space="preserve">2024년, 세종 에머슨 골프장 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</si>
</sst>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6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46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0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2" fillId="0" borderId="25" xfId="0" applyFont="1" applyBorder="1" applyAlignment="1">
      <alignment horizontal="center" vertical="center"/>
    </xf>
    <xf numFmtId="0" fontId="62" fillId="0" borderId="26" xfId="0" applyFont="1" applyBorder="1" applyAlignment="1">
      <alignment horizontal="center" vertical="center"/>
    </xf>
    <xf numFmtId="0" fontId="48" fillId="0" borderId="103" xfId="0" applyFont="1" applyBorder="1" applyAlignment="1">
      <alignment horizontal="center" vertical="center"/>
    </xf>
    <xf numFmtId="0" fontId="62" fillId="13" borderId="67" xfId="0" applyFont="1" applyFill="1" applyBorder="1" applyAlignment="1">
      <alignment horizontal="center" vertical="center"/>
    </xf>
    <xf numFmtId="0" fontId="62" fillId="13" borderId="4" xfId="0" applyFont="1" applyFill="1" applyBorder="1" applyAlignment="1">
      <alignment horizontal="center" vertical="center"/>
    </xf>
    <xf numFmtId="0" fontId="62" fillId="13" borderId="68" xfId="0" applyFont="1" applyFill="1" applyBorder="1" applyAlignment="1">
      <alignment horizontal="center" vertical="center"/>
    </xf>
    <xf numFmtId="0" fontId="62" fillId="10" borderId="67" xfId="0" applyFont="1" applyFill="1" applyBorder="1" applyAlignment="1">
      <alignment horizontal="center" vertical="center"/>
    </xf>
    <xf numFmtId="0" fontId="62" fillId="10" borderId="4" xfId="0" applyFont="1" applyFill="1" applyBorder="1" applyAlignment="1">
      <alignment horizontal="center" vertical="center"/>
    </xf>
    <xf numFmtId="0" fontId="62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1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2" borderId="8" xfId="0" applyNumberFormat="1" applyFont="1" applyFill="1" applyBorder="1" applyAlignment="1">
      <alignment horizontal="center" vertical="center"/>
    </xf>
    <xf numFmtId="203" fontId="28" fillId="32" borderId="9" xfId="0" applyNumberFormat="1" applyFont="1" applyFill="1" applyBorder="1" applyAlignment="1">
      <alignment horizontal="center" vertical="center"/>
    </xf>
    <xf numFmtId="203" fontId="28" fillId="32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64" fillId="0" borderId="101" xfId="0" applyFont="1" applyBorder="1" applyAlignment="1">
      <alignment horizontal="center" vertical="center"/>
    </xf>
    <xf numFmtId="188" fontId="25" fillId="13" borderId="100" xfId="0" applyNumberFormat="1" applyFont="1" applyFill="1" applyBorder="1" applyAlignment="1">
      <alignment horizontal="center" vertical="center"/>
    </xf>
    <xf numFmtId="193" fontId="66" fillId="10" borderId="4" xfId="0" applyNumberFormat="1" applyFont="1" applyFill="1" applyBorder="1" applyAlignment="1">
      <alignment horizontal="center" vertical="center"/>
    </xf>
    <xf numFmtId="0" fontId="66" fillId="10" borderId="68" xfId="0" applyFont="1" applyFill="1" applyBorder="1" applyAlignment="1">
      <alignment horizontal="center" vertical="center"/>
    </xf>
    <xf numFmtId="193" fontId="66" fillId="10" borderId="5" xfId="0" applyNumberFormat="1" applyFont="1" applyFill="1" applyBorder="1" applyAlignment="1">
      <alignment horizontal="center" vertical="center"/>
    </xf>
    <xf numFmtId="193" fontId="66" fillId="10" borderId="89" xfId="0" applyNumberFormat="1" applyFont="1" applyFill="1" applyBorder="1" applyAlignment="1">
      <alignment horizontal="center" vertical="center"/>
    </xf>
    <xf numFmtId="193" fontId="66" fillId="13" borderId="4" xfId="0" applyNumberFormat="1" applyFont="1" applyFill="1" applyBorder="1" applyAlignment="1">
      <alignment horizontal="center" vertical="center"/>
    </xf>
    <xf numFmtId="0" fontId="66" fillId="13" borderId="68" xfId="0" applyFont="1" applyFill="1" applyBorder="1" applyAlignment="1">
      <alignment horizontal="center" vertical="center"/>
    </xf>
    <xf numFmtId="193" fontId="66" fillId="13" borderId="35" xfId="0" applyNumberFormat="1" applyFont="1" applyFill="1" applyBorder="1" applyAlignment="1">
      <alignment horizontal="center" vertical="center"/>
    </xf>
    <xf numFmtId="0" fontId="66" fillId="13" borderId="31" xfId="0" applyFont="1" applyFill="1" applyBorder="1" applyAlignment="1">
      <alignment horizontal="center" vertical="center"/>
    </xf>
    <xf numFmtId="193" fontId="66" fillId="13" borderId="25" xfId="0" applyNumberFormat="1" applyFont="1" applyFill="1" applyBorder="1" applyAlignment="1">
      <alignment horizontal="center" vertical="center"/>
    </xf>
    <xf numFmtId="0" fontId="65" fillId="7" borderId="8" xfId="0" applyFont="1" applyFill="1" applyBorder="1" applyAlignment="1">
      <alignment horizontal="center" vertical="center"/>
    </xf>
    <xf numFmtId="0" fontId="65" fillId="7" borderId="9" xfId="0" applyFont="1" applyFill="1" applyBorder="1" applyAlignment="1">
      <alignment horizontal="center" vertical="center"/>
    </xf>
    <xf numFmtId="0" fontId="65" fillId="7" borderId="10" xfId="0" applyFont="1" applyFill="1" applyBorder="1" applyAlignment="1">
      <alignment horizontal="center" vertical="center"/>
    </xf>
    <xf numFmtId="199" fontId="46" fillId="0" borderId="25" xfId="0" applyNumberFormat="1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29" fillId="0" borderId="110" xfId="0" applyFont="1" applyBorder="1" applyAlignment="1">
      <alignment horizontal="center" vertical="center"/>
    </xf>
    <xf numFmtId="17" fontId="34" fillId="0" borderId="110" xfId="0" applyNumberFormat="1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4" fillId="0" borderId="110" xfId="20" applyFont="1" applyBorder="1">
      <alignment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0" fontId="29" fillId="0" borderId="113" xfId="0" applyFont="1" applyBorder="1" applyAlignment="1">
      <alignment horizontal="center" vertical="center"/>
    </xf>
    <xf numFmtId="17" fontId="34" fillId="0" borderId="113" xfId="0" applyNumberFormat="1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4" fillId="0" borderId="113" xfId="20" applyFont="1" applyBorder="1">
      <alignment vertical="center"/>
    </xf>
    <xf numFmtId="0" fontId="34" fillId="0" borderId="114" xfId="0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 wrapText="1"/>
    </xf>
    <xf numFmtId="0" fontId="29" fillId="6" borderId="110" xfId="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41" fontId="29" fillId="6" borderId="110" xfId="20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44" fillId="6" borderId="110" xfId="21" applyFont="1" applyFill="1" applyBorder="1" applyAlignment="1">
      <alignment horizontal="center" vertical="center" wrapText="1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04" xfId="0" applyFont="1" applyFill="1" applyBorder="1" applyAlignment="1">
      <alignment horizontal="center" vertical="center"/>
    </xf>
    <xf numFmtId="0" fontId="28" fillId="10" borderId="103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05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1020.1</c:v>
                </c:pt>
                <c:pt idx="1">
                  <c:v>728</c:v>
                </c:pt>
                <c:pt idx="2">
                  <c:v>1004.8</c:v>
                </c:pt>
                <c:pt idx="3">
                  <c:v>1305</c:v>
                </c:pt>
                <c:pt idx="4">
                  <c:v>1163.4000000000001</c:v>
                </c:pt>
                <c:pt idx="5">
                  <c:v>845.6</c:v>
                </c:pt>
                <c:pt idx="6">
                  <c:v>1443.5</c:v>
                </c:pt>
                <c:pt idx="7">
                  <c:v>1058.9000000000001</c:v>
                </c:pt>
                <c:pt idx="8">
                  <c:v>1080.7</c:v>
                </c:pt>
                <c:pt idx="9">
                  <c:v>1499.2</c:v>
                </c:pt>
                <c:pt idx="10">
                  <c:v>1114.9000000000001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1170.2</c:v>
                </c:pt>
                <c:pt idx="1">
                  <c:v>1586</c:v>
                </c:pt>
                <c:pt idx="2">
                  <c:v>967.5</c:v>
                </c:pt>
                <c:pt idx="3">
                  <c:v>1268.8</c:v>
                </c:pt>
                <c:pt idx="4">
                  <c:v>1583.7</c:v>
                </c:pt>
                <c:pt idx="5">
                  <c:v>1365.1</c:v>
                </c:pt>
                <c:pt idx="6">
                  <c:v>1408.1</c:v>
                </c:pt>
                <c:pt idx="7">
                  <c:v>838.2</c:v>
                </c:pt>
                <c:pt idx="8">
                  <c:v>1312.5</c:v>
                </c:pt>
                <c:pt idx="9">
                  <c:v>1628.3</c:v>
                </c:pt>
                <c:pt idx="10">
                  <c:v>1363.3</c:v>
                </c:pt>
                <c:pt idx="11">
                  <c:v>1309.3</c:v>
                </c:pt>
                <c:pt idx="12">
                  <c:v>1043.3</c:v>
                </c:pt>
                <c:pt idx="13">
                  <c:v>1562.4</c:v>
                </c:pt>
                <c:pt idx="14">
                  <c:v>870.1</c:v>
                </c:pt>
                <c:pt idx="15">
                  <c:v>999.9</c:v>
                </c:pt>
                <c:pt idx="16">
                  <c:v>1378.3</c:v>
                </c:pt>
                <c:pt idx="17">
                  <c:v>1845.8</c:v>
                </c:pt>
                <c:pt idx="18">
                  <c:v>1336.7</c:v>
                </c:pt>
                <c:pt idx="19">
                  <c:v>1095.5999999999999</c:v>
                </c:pt>
                <c:pt idx="20">
                  <c:v>1020.1</c:v>
                </c:pt>
                <c:pt idx="21">
                  <c:v>728</c:v>
                </c:pt>
                <c:pt idx="22">
                  <c:v>1004.8</c:v>
                </c:pt>
                <c:pt idx="23">
                  <c:v>1305</c:v>
                </c:pt>
                <c:pt idx="24">
                  <c:v>1163.4000000000001</c:v>
                </c:pt>
                <c:pt idx="25">
                  <c:v>845.6</c:v>
                </c:pt>
                <c:pt idx="26">
                  <c:v>1443.5</c:v>
                </c:pt>
                <c:pt idx="27">
                  <c:v>1058.9000000000001</c:v>
                </c:pt>
                <c:pt idx="28">
                  <c:v>1080.7</c:v>
                </c:pt>
                <c:pt idx="29">
                  <c:v>1499.2</c:v>
                </c:pt>
                <c:pt idx="30">
                  <c:v>1236.0999999999999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16.600000000000001</c:v>
                </c:pt>
                <c:pt idx="1">
                  <c:v>24.8</c:v>
                </c:pt>
                <c:pt idx="2">
                  <c:v>34.700000000000003</c:v>
                </c:pt>
                <c:pt idx="3">
                  <c:v>62.3</c:v>
                </c:pt>
                <c:pt idx="4">
                  <c:v>63</c:v>
                </c:pt>
                <c:pt idx="5">
                  <c:v>89.9</c:v>
                </c:pt>
                <c:pt idx="6">
                  <c:v>311.5</c:v>
                </c:pt>
                <c:pt idx="7">
                  <c:v>230.5</c:v>
                </c:pt>
                <c:pt idx="8">
                  <c:v>123</c:v>
                </c:pt>
                <c:pt idx="9">
                  <c:v>67.599999999999994</c:v>
                </c:pt>
                <c:pt idx="10">
                  <c:v>59.8</c:v>
                </c:pt>
                <c:pt idx="11">
                  <c:v>31.4</c:v>
                </c:pt>
                <c:pt idx="12">
                  <c:v>92.9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13" Type="http://schemas.openxmlformats.org/officeDocument/2006/relationships/image" Target="../media/image40.emf"/><Relationship Id="rId3" Type="http://schemas.openxmlformats.org/officeDocument/2006/relationships/image" Target="../media/image32.emf"/><Relationship Id="rId7" Type="http://schemas.openxmlformats.org/officeDocument/2006/relationships/image" Target="../media/image29.emf"/><Relationship Id="rId12" Type="http://schemas.openxmlformats.org/officeDocument/2006/relationships/image" Target="../media/image28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6" Type="http://schemas.openxmlformats.org/officeDocument/2006/relationships/image" Target="../media/image35.emf"/><Relationship Id="rId11" Type="http://schemas.openxmlformats.org/officeDocument/2006/relationships/image" Target="../media/image39.emf"/><Relationship Id="rId5" Type="http://schemas.openxmlformats.org/officeDocument/2006/relationships/image" Target="../media/image30.emf"/><Relationship Id="rId10" Type="http://schemas.openxmlformats.org/officeDocument/2006/relationships/image" Target="../media/image38.emf"/><Relationship Id="rId4" Type="http://schemas.openxmlformats.org/officeDocument/2006/relationships/image" Target="../media/image31.emf"/><Relationship Id="rId9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4" Type="http://schemas.openxmlformats.org/officeDocument/2006/relationships/image" Target="../media/image52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5" Type="http://schemas.openxmlformats.org/officeDocument/2006/relationships/image" Target="../media/image57.emf"/><Relationship Id="rId4" Type="http://schemas.openxmlformats.org/officeDocument/2006/relationships/image" Target="../media/image5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4" Type="http://schemas.openxmlformats.org/officeDocument/2006/relationships/image" Target="../media/image6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4" Type="http://schemas.openxmlformats.org/officeDocument/2006/relationships/image" Target="../media/image69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73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4" Type="http://schemas.openxmlformats.org/officeDocument/2006/relationships/image" Target="../media/image81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2.emf"/><Relationship Id="rId1" Type="http://schemas.openxmlformats.org/officeDocument/2006/relationships/image" Target="../media/image83.emf"/><Relationship Id="rId4" Type="http://schemas.openxmlformats.org/officeDocument/2006/relationships/image" Target="../media/image85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4" Type="http://schemas.openxmlformats.org/officeDocument/2006/relationships/image" Target="../media/image89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2" Type="http://schemas.openxmlformats.org/officeDocument/2006/relationships/image" Target="../media/image92.emf"/><Relationship Id="rId1" Type="http://schemas.openxmlformats.org/officeDocument/2006/relationships/image" Target="../media/image91.emf"/><Relationship Id="rId4" Type="http://schemas.openxmlformats.org/officeDocument/2006/relationships/image" Target="../media/image90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4.emf"/><Relationship Id="rId1" Type="http://schemas.openxmlformats.org/officeDocument/2006/relationships/image" Target="../media/image95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6.emf"/><Relationship Id="rId1" Type="http://schemas.openxmlformats.org/officeDocument/2006/relationships/image" Target="../media/image97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8.emf"/><Relationship Id="rId1" Type="http://schemas.openxmlformats.org/officeDocument/2006/relationships/image" Target="../media/image99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6897" name="CommandButton5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0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6898" name="Frame1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10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6899" name="CommandButton6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10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6901" name="CommandButton8" hidden="1">
              <a:extLst>
                <a:ext uri="{63B3BB69-23CF-44E3-9099-C40C66FF867C}">
                  <a14:compatExt spid="_x0000_s336901"/>
                </a:ext>
                <a:ext uri="{FF2B5EF4-FFF2-40B4-BE49-F238E27FC236}">
                  <a16:creationId xmlns:a16="http://schemas.microsoft.com/office/drawing/2014/main" id="{00000000-0008-0000-1000-000005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7921" name="CommandButton5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1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7922" name="Frame1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11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7923" name="CommandButton6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11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7924" name="CommandButton8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11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2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2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2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2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3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3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3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3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4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4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4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14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5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5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5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5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6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6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6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6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7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7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7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7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8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8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8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8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6353" name="CommandButton2" hidden="1">
              <a:extLst>
                <a:ext uri="{63B3BB69-23CF-44E3-9099-C40C66FF867C}">
                  <a14:compatExt spid="_x0000_s356353"/>
                </a:ext>
                <a:ext uri="{FF2B5EF4-FFF2-40B4-BE49-F238E27FC236}">
                  <a16:creationId xmlns:a16="http://schemas.microsoft.com/office/drawing/2014/main" id="{00000000-0008-0000-1900-000001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6356" name="CommandButton5" hidden="1">
              <a:extLst>
                <a:ext uri="{63B3BB69-23CF-44E3-9099-C40C66FF867C}">
                  <a14:compatExt spid="_x0000_s356356"/>
                </a:ext>
                <a:ext uri="{FF2B5EF4-FFF2-40B4-BE49-F238E27FC236}">
                  <a16:creationId xmlns:a16="http://schemas.microsoft.com/office/drawing/2014/main" id="{00000000-0008-0000-1900-000004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7377" name="CommandButton2" hidden="1">
              <a:extLst>
                <a:ext uri="{63B3BB69-23CF-44E3-9099-C40C66FF867C}">
                  <a14:compatExt spid="_x0000_s357377"/>
                </a:ext>
                <a:ext uri="{FF2B5EF4-FFF2-40B4-BE49-F238E27FC236}">
                  <a16:creationId xmlns:a16="http://schemas.microsoft.com/office/drawing/2014/main" id="{00000000-0008-0000-1A00-000001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7380" name="CommandButton5" hidden="1">
              <a:extLst>
                <a:ext uri="{63B3BB69-23CF-44E3-9099-C40C66FF867C}">
                  <a14:compatExt spid="_x0000_s357380"/>
                </a:ext>
                <a:ext uri="{FF2B5EF4-FFF2-40B4-BE49-F238E27FC236}">
                  <a16:creationId xmlns:a16="http://schemas.microsoft.com/office/drawing/2014/main" id="{00000000-0008-0000-1A00-000004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8401" name="CommandButton2" hidden="1">
              <a:extLst>
                <a:ext uri="{63B3BB69-23CF-44E3-9099-C40C66FF867C}">
                  <a14:compatExt spid="_x0000_s358401"/>
                </a:ext>
                <a:ext uri="{FF2B5EF4-FFF2-40B4-BE49-F238E27FC236}">
                  <a16:creationId xmlns:a16="http://schemas.microsoft.com/office/drawing/2014/main" id="{00000000-0008-0000-1B00-000001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8404" name="CommandButton5" hidden="1">
              <a:extLst>
                <a:ext uri="{63B3BB69-23CF-44E3-9099-C40C66FF867C}">
                  <a14:compatExt spid="_x0000_s358404"/>
                </a:ext>
                <a:ext uri="{FF2B5EF4-FFF2-40B4-BE49-F238E27FC236}">
                  <a16:creationId xmlns:a16="http://schemas.microsoft.com/office/drawing/2014/main" id="{00000000-0008-0000-1B00-000004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359425" name="CommandButton2" hidden="1">
              <a:extLst>
                <a:ext uri="{63B3BB69-23CF-44E3-9099-C40C66FF867C}">
                  <a14:compatExt spid="_x0000_s359425"/>
                </a:ext>
                <a:ext uri="{FF2B5EF4-FFF2-40B4-BE49-F238E27FC236}">
                  <a16:creationId xmlns:a16="http://schemas.microsoft.com/office/drawing/2014/main" id="{00000000-0008-0000-1C00-000001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32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6.emf"/><Relationship Id="rId7" Type="http://schemas.openxmlformats.org/officeDocument/2006/relationships/image" Target="../media/image29.emf"/><Relationship Id="rId12" Type="http://schemas.openxmlformats.org/officeDocument/2006/relationships/control" Target="../activeX/activeX28.xml"/><Relationship Id="rId17" Type="http://schemas.openxmlformats.org/officeDocument/2006/relationships/image" Target="../media/image34.emf"/><Relationship Id="rId25" Type="http://schemas.openxmlformats.org/officeDocument/2006/relationships/image" Target="../media/image38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40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31.emf"/><Relationship Id="rId24" Type="http://schemas.openxmlformats.org/officeDocument/2006/relationships/control" Target="../activeX/activeX34.xml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23" Type="http://schemas.openxmlformats.org/officeDocument/2006/relationships/image" Target="../media/image37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35.emf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9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1.emf"/><Relationship Id="rId4" Type="http://schemas.openxmlformats.org/officeDocument/2006/relationships/control" Target="../activeX/activeX37.xml"/><Relationship Id="rId9" Type="http://schemas.openxmlformats.org/officeDocument/2006/relationships/image" Target="../media/image4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8.emf"/><Relationship Id="rId5" Type="http://schemas.openxmlformats.org/officeDocument/2006/relationships/control" Target="../activeX/activeX44.xml"/><Relationship Id="rId4" Type="http://schemas.openxmlformats.org/officeDocument/2006/relationships/image" Target="../media/image4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0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49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5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5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4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60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3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7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6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1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7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5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6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79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80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83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84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87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2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88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91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6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88.xml"/><Relationship Id="rId4" Type="http://schemas.openxmlformats.org/officeDocument/2006/relationships/control" Target="../activeX/activeX85.xml"/><Relationship Id="rId9" Type="http://schemas.openxmlformats.org/officeDocument/2006/relationships/image" Target="../media/image92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7" Type="http://schemas.openxmlformats.org/officeDocument/2006/relationships/image" Target="../media/image95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90.xml"/><Relationship Id="rId5" Type="http://schemas.openxmlformats.org/officeDocument/2006/relationships/image" Target="../media/image94.emf"/><Relationship Id="rId4" Type="http://schemas.openxmlformats.org/officeDocument/2006/relationships/control" Target="../activeX/activeX8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7" Type="http://schemas.openxmlformats.org/officeDocument/2006/relationships/image" Target="../media/image97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2.xml"/><Relationship Id="rId5" Type="http://schemas.openxmlformats.org/officeDocument/2006/relationships/image" Target="../media/image96.emf"/><Relationship Id="rId4" Type="http://schemas.openxmlformats.org/officeDocument/2006/relationships/control" Target="../activeX/activeX9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7" Type="http://schemas.openxmlformats.org/officeDocument/2006/relationships/image" Target="../media/image99.emf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4.xml"/><Relationship Id="rId5" Type="http://schemas.openxmlformats.org/officeDocument/2006/relationships/image" Target="../media/image98.emf"/><Relationship Id="rId4" Type="http://schemas.openxmlformats.org/officeDocument/2006/relationships/control" Target="../activeX/activeX9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5" Type="http://schemas.openxmlformats.org/officeDocument/2006/relationships/image" Target="../media/image100.emf"/><Relationship Id="rId4" Type="http://schemas.openxmlformats.org/officeDocument/2006/relationships/control" Target="../activeX/activeX9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3" customWidth="1"/>
    <col min="2" max="2" width="16.5546875" style="343" customWidth="1"/>
    <col min="3" max="3" width="7.5546875" style="343" customWidth="1"/>
    <col min="4" max="4" width="7.33203125" style="343" bestFit="1" customWidth="1"/>
    <col min="5" max="5" width="3.21875" style="343" customWidth="1"/>
    <col min="6" max="6" width="8.88671875" style="343"/>
    <col min="7" max="7" width="15.77734375" style="343" customWidth="1"/>
    <col min="8" max="9" width="6.77734375" style="343" customWidth="1"/>
    <col min="10" max="10" width="3.44140625" style="343" customWidth="1"/>
    <col min="11" max="11" width="8.88671875" style="343"/>
    <col min="12" max="12" width="18.77734375" style="343" customWidth="1"/>
    <col min="13" max="14" width="6" style="343" customWidth="1"/>
    <col min="15" max="15" width="3.21875" style="343" customWidth="1"/>
    <col min="16" max="16" width="10.5546875" style="343" customWidth="1"/>
    <col min="17" max="17" width="10.44140625" style="343" customWidth="1"/>
    <col min="18" max="18" width="6.88671875" style="343" customWidth="1"/>
    <col min="19" max="19" width="3.6640625" style="343" customWidth="1"/>
    <col min="20" max="21" width="8.88671875" style="343"/>
    <col min="22" max="22" width="6.44140625" style="343" customWidth="1"/>
    <col min="23" max="23" width="6.5546875" style="343" customWidth="1"/>
    <col min="24" max="24" width="4.21875" style="343" customWidth="1"/>
    <col min="25" max="26" width="8.88671875" style="343"/>
    <col min="27" max="27" width="6.33203125" style="343" customWidth="1"/>
    <col min="28" max="28" width="6.21875" style="343" customWidth="1"/>
    <col min="29" max="29" width="4.77734375" style="343" customWidth="1"/>
    <col min="30" max="30" width="8.88671875" style="343"/>
    <col min="31" max="31" width="7.109375" style="343" customWidth="1"/>
    <col min="32" max="16384" width="8.88671875" style="343"/>
  </cols>
  <sheetData>
    <row r="1" spans="1:17">
      <c r="A1" s="343" t="s">
        <v>369</v>
      </c>
      <c r="B1" s="343" t="s">
        <v>196</v>
      </c>
      <c r="C1" s="343" t="s">
        <v>501</v>
      </c>
      <c r="D1" s="343" t="s">
        <v>500</v>
      </c>
      <c r="F1" s="343" t="s">
        <v>369</v>
      </c>
      <c r="G1" s="343" t="s">
        <v>196</v>
      </c>
      <c r="H1" s="343" t="s">
        <v>501</v>
      </c>
      <c r="I1" s="343" t="s">
        <v>500</v>
      </c>
      <c r="K1" s="343" t="s">
        <v>369</v>
      </c>
      <c r="L1" s="343" t="s">
        <v>196</v>
      </c>
      <c r="M1" s="343" t="s">
        <v>501</v>
      </c>
      <c r="N1" s="343" t="s">
        <v>500</v>
      </c>
      <c r="P1" s="343" t="s">
        <v>369</v>
      </c>
      <c r="Q1" s="343" t="s">
        <v>501</v>
      </c>
    </row>
    <row r="2" spans="1:17">
      <c r="A2" s="343" t="s">
        <v>589</v>
      </c>
      <c r="B2" s="343" t="s">
        <v>588</v>
      </c>
      <c r="C2" s="343">
        <v>116</v>
      </c>
      <c r="D2" s="343">
        <v>14</v>
      </c>
      <c r="F2" s="343" t="s">
        <v>587</v>
      </c>
      <c r="G2" s="343" t="s">
        <v>586</v>
      </c>
      <c r="H2" s="343">
        <v>105</v>
      </c>
      <c r="I2" s="343">
        <v>38</v>
      </c>
      <c r="K2" s="343" t="s">
        <v>585</v>
      </c>
      <c r="L2" s="343" t="s">
        <v>584</v>
      </c>
      <c r="M2" s="343">
        <v>226</v>
      </c>
      <c r="N2" s="343">
        <v>54</v>
      </c>
      <c r="P2" s="343" t="s">
        <v>583</v>
      </c>
      <c r="Q2" s="343" t="s">
        <v>582</v>
      </c>
    </row>
    <row r="3" spans="1:17">
      <c r="A3" s="343" t="s">
        <v>581</v>
      </c>
      <c r="B3" s="343" t="s">
        <v>580</v>
      </c>
      <c r="C3" s="343">
        <v>108</v>
      </c>
      <c r="D3" s="343">
        <v>14</v>
      </c>
      <c r="F3" s="343" t="s">
        <v>579</v>
      </c>
      <c r="G3" s="343" t="s">
        <v>578</v>
      </c>
      <c r="H3" s="343">
        <v>100</v>
      </c>
      <c r="I3" s="343">
        <v>38</v>
      </c>
      <c r="K3" s="343" t="s">
        <v>577</v>
      </c>
      <c r="L3" s="343" t="s">
        <v>576</v>
      </c>
      <c r="M3" s="343">
        <v>221</v>
      </c>
      <c r="N3" s="343">
        <v>54</v>
      </c>
      <c r="P3" s="343" t="s">
        <v>575</v>
      </c>
      <c r="Q3" s="343" t="s">
        <v>574</v>
      </c>
    </row>
    <row r="4" spans="1:17">
      <c r="A4" s="343" t="s">
        <v>573</v>
      </c>
      <c r="B4" s="343" t="s">
        <v>572</v>
      </c>
      <c r="C4" s="343">
        <v>201</v>
      </c>
      <c r="D4" s="343">
        <v>22</v>
      </c>
      <c r="F4" s="343" t="s">
        <v>571</v>
      </c>
      <c r="G4" s="343" t="s">
        <v>570</v>
      </c>
      <c r="H4" s="343">
        <v>106</v>
      </c>
      <c r="I4" s="343">
        <v>38</v>
      </c>
      <c r="K4" s="343" t="s">
        <v>569</v>
      </c>
      <c r="L4" s="343" t="s">
        <v>568</v>
      </c>
      <c r="M4" s="343">
        <v>131</v>
      </c>
      <c r="N4" s="343">
        <v>54</v>
      </c>
      <c r="P4" s="343" t="s">
        <v>567</v>
      </c>
      <c r="Q4" s="343" t="s">
        <v>566</v>
      </c>
    </row>
    <row r="5" spans="1:17">
      <c r="A5" s="343" t="s">
        <v>565</v>
      </c>
      <c r="B5" s="343" t="s">
        <v>564</v>
      </c>
      <c r="C5" s="343">
        <v>102</v>
      </c>
      <c r="D5" s="343">
        <v>22</v>
      </c>
      <c r="F5" s="343" t="s">
        <v>563</v>
      </c>
      <c r="G5" s="343" t="s">
        <v>562</v>
      </c>
      <c r="H5" s="343">
        <v>104</v>
      </c>
      <c r="I5" s="343">
        <v>38</v>
      </c>
      <c r="K5" s="343" t="s">
        <v>561</v>
      </c>
      <c r="L5" s="343" t="s">
        <v>560</v>
      </c>
      <c r="M5" s="343">
        <v>135</v>
      </c>
      <c r="N5" s="343">
        <v>54</v>
      </c>
      <c r="P5" s="343" t="s">
        <v>559</v>
      </c>
      <c r="Q5" s="343" t="s">
        <v>558</v>
      </c>
    </row>
    <row r="6" spans="1:17">
      <c r="A6" s="343" t="s">
        <v>557</v>
      </c>
      <c r="B6" s="343" t="s">
        <v>556</v>
      </c>
      <c r="C6" s="343">
        <v>112</v>
      </c>
      <c r="D6" s="343">
        <v>22</v>
      </c>
      <c r="F6" s="343" t="s">
        <v>555</v>
      </c>
      <c r="G6" s="343" t="s">
        <v>554</v>
      </c>
      <c r="H6" s="343">
        <v>93</v>
      </c>
      <c r="I6" s="343">
        <v>38</v>
      </c>
      <c r="K6" s="343" t="s">
        <v>553</v>
      </c>
      <c r="L6" s="343" t="s">
        <v>552</v>
      </c>
      <c r="M6" s="343">
        <v>127</v>
      </c>
      <c r="N6" s="343">
        <v>54</v>
      </c>
      <c r="P6" s="343" t="s">
        <v>551</v>
      </c>
      <c r="Q6" s="343" t="s">
        <v>550</v>
      </c>
    </row>
    <row r="7" spans="1:17">
      <c r="A7" s="343" t="s">
        <v>549</v>
      </c>
      <c r="B7" s="343" t="s">
        <v>548</v>
      </c>
      <c r="C7" s="343">
        <v>98</v>
      </c>
      <c r="D7" s="343">
        <v>32</v>
      </c>
      <c r="F7" s="343" t="s">
        <v>547</v>
      </c>
      <c r="G7" s="343" t="s">
        <v>546</v>
      </c>
      <c r="H7" s="343">
        <v>214</v>
      </c>
      <c r="I7" s="343">
        <v>38</v>
      </c>
      <c r="K7" s="343" t="s">
        <v>545</v>
      </c>
      <c r="L7" s="343" t="s">
        <v>544</v>
      </c>
      <c r="M7" s="343">
        <v>133</v>
      </c>
      <c r="N7" s="343">
        <v>28</v>
      </c>
      <c r="P7" s="343" t="s">
        <v>543</v>
      </c>
      <c r="Q7" s="343" t="s">
        <v>542</v>
      </c>
    </row>
    <row r="8" spans="1:17">
      <c r="A8" s="343" t="s">
        <v>541</v>
      </c>
      <c r="B8" s="343" t="s">
        <v>540</v>
      </c>
      <c r="C8" s="343">
        <v>119</v>
      </c>
      <c r="D8" s="343">
        <v>32</v>
      </c>
      <c r="F8" s="343" t="s">
        <v>539</v>
      </c>
      <c r="G8" s="343" t="s">
        <v>538</v>
      </c>
      <c r="H8" s="343">
        <v>90</v>
      </c>
      <c r="I8" s="343">
        <v>38</v>
      </c>
      <c r="K8" s="343" t="s">
        <v>537</v>
      </c>
      <c r="L8" s="343" t="s">
        <v>536</v>
      </c>
      <c r="M8" s="343">
        <v>239</v>
      </c>
      <c r="N8" s="343">
        <v>132</v>
      </c>
    </row>
    <row r="9" spans="1:17">
      <c r="A9" s="343" t="s">
        <v>535</v>
      </c>
      <c r="B9" s="343" t="s">
        <v>534</v>
      </c>
      <c r="C9" s="343">
        <v>202</v>
      </c>
      <c r="D9" s="343">
        <v>32</v>
      </c>
      <c r="F9" s="343" t="s">
        <v>533</v>
      </c>
      <c r="G9" s="343" t="s">
        <v>532</v>
      </c>
      <c r="H9" s="343">
        <v>121</v>
      </c>
      <c r="I9" s="343">
        <v>38</v>
      </c>
      <c r="K9" s="343" t="s">
        <v>531</v>
      </c>
      <c r="L9" s="343" t="s">
        <v>530</v>
      </c>
      <c r="M9" s="343">
        <v>238</v>
      </c>
      <c r="N9" s="343">
        <v>60</v>
      </c>
    </row>
    <row r="10" spans="1:17">
      <c r="A10" s="343" t="s">
        <v>529</v>
      </c>
      <c r="B10" s="343" t="s">
        <v>528</v>
      </c>
      <c r="C10" s="343">
        <v>203</v>
      </c>
      <c r="D10" s="343">
        <v>32</v>
      </c>
      <c r="F10" s="343" t="s">
        <v>527</v>
      </c>
      <c r="G10" s="343" t="s">
        <v>526</v>
      </c>
      <c r="H10" s="343">
        <v>114</v>
      </c>
      <c r="I10" s="343">
        <v>38</v>
      </c>
      <c r="K10" s="343" t="s">
        <v>525</v>
      </c>
      <c r="L10" s="343" t="s">
        <v>524</v>
      </c>
      <c r="M10" s="343">
        <v>235</v>
      </c>
      <c r="N10" s="343">
        <v>60</v>
      </c>
    </row>
    <row r="11" spans="1:17">
      <c r="A11" s="343" t="s">
        <v>523</v>
      </c>
      <c r="B11" s="343" t="s">
        <v>522</v>
      </c>
      <c r="C11" s="343">
        <v>99</v>
      </c>
      <c r="D11" s="343">
        <v>32</v>
      </c>
      <c r="F11" s="343" t="s">
        <v>521</v>
      </c>
      <c r="G11" s="343" t="s">
        <v>520</v>
      </c>
      <c r="H11" s="343">
        <v>211</v>
      </c>
      <c r="I11" s="343">
        <v>38</v>
      </c>
      <c r="K11" s="343" t="s">
        <v>519</v>
      </c>
      <c r="L11" s="343" t="s">
        <v>518</v>
      </c>
      <c r="M11" s="343">
        <v>236</v>
      </c>
      <c r="N11" s="343">
        <v>60</v>
      </c>
    </row>
    <row r="12" spans="1:17">
      <c r="F12" s="343" t="s">
        <v>517</v>
      </c>
      <c r="G12" s="343" t="s">
        <v>516</v>
      </c>
      <c r="H12" s="343">
        <v>217</v>
      </c>
      <c r="I12" s="343">
        <v>38</v>
      </c>
      <c r="K12" s="343" t="s">
        <v>515</v>
      </c>
      <c r="L12" s="343" t="s">
        <v>514</v>
      </c>
      <c r="M12" s="343">
        <v>129</v>
      </c>
      <c r="N12" s="343">
        <v>60</v>
      </c>
    </row>
    <row r="13" spans="1:17">
      <c r="F13" s="343" t="s">
        <v>513</v>
      </c>
      <c r="G13" s="343" t="s">
        <v>512</v>
      </c>
      <c r="H13" s="343">
        <v>95</v>
      </c>
      <c r="I13" s="343">
        <v>38</v>
      </c>
      <c r="K13" s="343" t="s">
        <v>511</v>
      </c>
      <c r="L13" s="343" t="s">
        <v>510</v>
      </c>
      <c r="M13" s="343">
        <v>232</v>
      </c>
      <c r="N13" s="343">
        <v>60</v>
      </c>
    </row>
    <row r="14" spans="1:17">
      <c r="F14" s="343" t="s">
        <v>509</v>
      </c>
      <c r="G14" s="343" t="s">
        <v>508</v>
      </c>
      <c r="H14" s="343">
        <v>101</v>
      </c>
      <c r="I14" s="343">
        <v>38</v>
      </c>
      <c r="K14" s="343" t="s">
        <v>507</v>
      </c>
      <c r="L14" s="343" t="s">
        <v>506</v>
      </c>
      <c r="M14" s="343">
        <v>177</v>
      </c>
      <c r="N14" s="343">
        <v>60</v>
      </c>
    </row>
    <row r="15" spans="1:17">
      <c r="F15" s="343" t="s">
        <v>505</v>
      </c>
      <c r="G15" s="343" t="s">
        <v>504</v>
      </c>
      <c r="H15" s="343">
        <v>216</v>
      </c>
      <c r="I15" s="343">
        <v>38</v>
      </c>
    </row>
    <row r="16" spans="1:17">
      <c r="F16" s="343" t="s">
        <v>503</v>
      </c>
      <c r="G16" s="343" t="s">
        <v>502</v>
      </c>
      <c r="H16" s="343">
        <v>212</v>
      </c>
      <c r="I16" s="343">
        <v>38</v>
      </c>
    </row>
    <row r="22" spans="1:14">
      <c r="A22" s="343" t="s">
        <v>369</v>
      </c>
      <c r="B22" s="343" t="s">
        <v>196</v>
      </c>
      <c r="C22" s="343" t="s">
        <v>501</v>
      </c>
      <c r="D22" s="343" t="s">
        <v>500</v>
      </c>
      <c r="F22" s="343" t="s">
        <v>369</v>
      </c>
      <c r="G22" s="343" t="s">
        <v>196</v>
      </c>
      <c r="H22" s="343" t="s">
        <v>501</v>
      </c>
      <c r="I22" s="343" t="s">
        <v>500</v>
      </c>
      <c r="K22" s="343" t="s">
        <v>369</v>
      </c>
      <c r="L22" s="343" t="s">
        <v>196</v>
      </c>
      <c r="M22" s="343" t="s">
        <v>501</v>
      </c>
      <c r="N22" s="343" t="s">
        <v>500</v>
      </c>
    </row>
    <row r="23" spans="1:14">
      <c r="A23" s="343" t="s">
        <v>499</v>
      </c>
      <c r="B23" s="343" t="s">
        <v>498</v>
      </c>
      <c r="C23" s="343">
        <v>156</v>
      </c>
      <c r="D23" s="343">
        <v>26</v>
      </c>
      <c r="F23" s="343" t="s">
        <v>497</v>
      </c>
      <c r="G23" s="343" t="s">
        <v>496</v>
      </c>
      <c r="H23" s="343">
        <v>143</v>
      </c>
      <c r="I23" s="343">
        <v>19</v>
      </c>
      <c r="K23" s="343" t="s">
        <v>495</v>
      </c>
      <c r="L23" s="343" t="s">
        <v>494</v>
      </c>
      <c r="M23" s="343">
        <v>185</v>
      </c>
      <c r="N23" s="343">
        <v>125</v>
      </c>
    </row>
    <row r="24" spans="1:14">
      <c r="A24" s="343" t="s">
        <v>493</v>
      </c>
      <c r="B24" s="343" t="s">
        <v>492</v>
      </c>
      <c r="C24" s="343">
        <v>172</v>
      </c>
      <c r="D24" s="343">
        <v>67</v>
      </c>
      <c r="F24" s="343" t="s">
        <v>491</v>
      </c>
      <c r="G24" s="343" t="s">
        <v>490</v>
      </c>
      <c r="H24" s="343">
        <v>176</v>
      </c>
      <c r="I24" s="343">
        <v>19</v>
      </c>
      <c r="K24" s="343" t="s">
        <v>489</v>
      </c>
      <c r="L24" s="343" t="s">
        <v>488</v>
      </c>
      <c r="M24" s="343">
        <v>189</v>
      </c>
      <c r="N24" s="343">
        <v>125</v>
      </c>
    </row>
    <row r="25" spans="1:14">
      <c r="A25" s="343" t="s">
        <v>487</v>
      </c>
      <c r="B25" s="343" t="s">
        <v>486</v>
      </c>
      <c r="C25" s="343">
        <v>251</v>
      </c>
      <c r="D25" s="343">
        <v>67</v>
      </c>
      <c r="F25" s="343" t="s">
        <v>485</v>
      </c>
      <c r="G25" s="343" t="s">
        <v>484</v>
      </c>
      <c r="H25" s="343">
        <v>152</v>
      </c>
      <c r="I25" s="343">
        <v>30</v>
      </c>
      <c r="K25" s="343" t="s">
        <v>478</v>
      </c>
      <c r="L25" s="343" t="s">
        <v>483</v>
      </c>
      <c r="M25" s="343">
        <v>188</v>
      </c>
      <c r="N25" s="343">
        <v>125</v>
      </c>
    </row>
    <row r="26" spans="1:14">
      <c r="A26" s="343" t="s">
        <v>482</v>
      </c>
      <c r="B26" s="343" t="s">
        <v>481</v>
      </c>
      <c r="C26" s="343">
        <v>140</v>
      </c>
      <c r="D26" s="343">
        <v>67</v>
      </c>
      <c r="F26" s="343" t="s">
        <v>480</v>
      </c>
      <c r="G26" s="343" t="s">
        <v>479</v>
      </c>
      <c r="H26" s="343">
        <v>159</v>
      </c>
      <c r="I26" s="343">
        <v>17</v>
      </c>
      <c r="K26" s="343" t="s">
        <v>611</v>
      </c>
      <c r="L26" s="343" t="s">
        <v>477</v>
      </c>
      <c r="M26" s="343">
        <v>187</v>
      </c>
      <c r="N26" s="343">
        <v>125</v>
      </c>
    </row>
    <row r="27" spans="1:14">
      <c r="A27" s="343" t="s">
        <v>476</v>
      </c>
      <c r="B27" s="343" t="s">
        <v>475</v>
      </c>
      <c r="C27" s="343">
        <v>247</v>
      </c>
      <c r="D27" s="343">
        <v>67</v>
      </c>
      <c r="F27" s="343" t="s">
        <v>474</v>
      </c>
      <c r="G27" s="343" t="s">
        <v>473</v>
      </c>
      <c r="H27" s="343">
        <v>283</v>
      </c>
      <c r="I27" s="343">
        <v>95</v>
      </c>
      <c r="K27" s="343" t="s">
        <v>472</v>
      </c>
      <c r="L27" s="343" t="s">
        <v>471</v>
      </c>
      <c r="M27" s="343">
        <v>265</v>
      </c>
      <c r="N27" s="343">
        <v>125</v>
      </c>
    </row>
    <row r="28" spans="1:14">
      <c r="A28" s="343" t="s">
        <v>470</v>
      </c>
      <c r="B28" s="343" t="s">
        <v>469</v>
      </c>
      <c r="C28" s="343">
        <v>243</v>
      </c>
      <c r="D28" s="343">
        <v>67</v>
      </c>
      <c r="F28" s="343" t="s">
        <v>468</v>
      </c>
      <c r="G28" s="343" t="s">
        <v>467</v>
      </c>
      <c r="H28" s="343">
        <v>279</v>
      </c>
      <c r="I28" s="343">
        <v>95</v>
      </c>
      <c r="K28" s="343" t="s">
        <v>466</v>
      </c>
      <c r="L28" s="343" t="s">
        <v>465</v>
      </c>
      <c r="M28" s="343">
        <v>184</v>
      </c>
      <c r="N28" s="343">
        <v>125</v>
      </c>
    </row>
    <row r="29" spans="1:14">
      <c r="A29" s="343" t="s">
        <v>464</v>
      </c>
      <c r="B29" s="343" t="s">
        <v>463</v>
      </c>
      <c r="C29" s="343">
        <v>254</v>
      </c>
      <c r="D29" s="343">
        <v>67</v>
      </c>
      <c r="F29" s="343" t="s">
        <v>462</v>
      </c>
      <c r="G29" s="343" t="s">
        <v>461</v>
      </c>
      <c r="H29" s="343">
        <v>273</v>
      </c>
      <c r="I29" s="343">
        <v>95</v>
      </c>
    </row>
    <row r="30" spans="1:14">
      <c r="A30" s="343" t="s">
        <v>460</v>
      </c>
      <c r="B30" s="343" t="s">
        <v>459</v>
      </c>
      <c r="C30" s="343">
        <v>244</v>
      </c>
      <c r="D30" s="343">
        <v>67</v>
      </c>
      <c r="F30" s="343" t="s">
        <v>458</v>
      </c>
      <c r="G30" s="343" t="s">
        <v>457</v>
      </c>
      <c r="H30" s="343">
        <v>271</v>
      </c>
      <c r="I30" s="343">
        <v>95</v>
      </c>
    </row>
    <row r="31" spans="1:14">
      <c r="A31" s="343" t="s">
        <v>456</v>
      </c>
      <c r="B31" s="343" t="s">
        <v>455</v>
      </c>
      <c r="C31" s="343">
        <v>248</v>
      </c>
      <c r="D31" s="343">
        <v>67</v>
      </c>
      <c r="F31" s="343" t="s">
        <v>454</v>
      </c>
      <c r="G31" s="343" t="s">
        <v>453</v>
      </c>
      <c r="H31" s="343">
        <v>137</v>
      </c>
      <c r="I31" s="343">
        <v>95</v>
      </c>
    </row>
    <row r="32" spans="1:14">
      <c r="A32" s="343" t="s">
        <v>452</v>
      </c>
      <c r="B32" s="343" t="s">
        <v>451</v>
      </c>
      <c r="C32" s="343">
        <v>146</v>
      </c>
      <c r="D32" s="343">
        <v>67</v>
      </c>
      <c r="F32" s="343" t="s">
        <v>450</v>
      </c>
      <c r="G32" s="343" t="s">
        <v>449</v>
      </c>
      <c r="H32" s="343">
        <v>136</v>
      </c>
      <c r="I32" s="343">
        <v>95</v>
      </c>
    </row>
    <row r="33" spans="1:9">
      <c r="A33" s="343" t="s">
        <v>448</v>
      </c>
      <c r="B33" s="343" t="s">
        <v>447</v>
      </c>
      <c r="C33" s="343">
        <v>245</v>
      </c>
      <c r="D33" s="343">
        <v>67</v>
      </c>
      <c r="F33" s="343" t="s">
        <v>446</v>
      </c>
      <c r="G33" s="343" t="s">
        <v>445</v>
      </c>
      <c r="H33" s="343">
        <v>277</v>
      </c>
      <c r="I33" s="343">
        <v>95</v>
      </c>
    </row>
    <row r="34" spans="1:9">
      <c r="A34" s="343" t="s">
        <v>444</v>
      </c>
      <c r="B34" s="343" t="s">
        <v>443</v>
      </c>
      <c r="C34" s="343">
        <v>259</v>
      </c>
      <c r="D34" s="343">
        <v>78</v>
      </c>
      <c r="F34" s="343" t="s">
        <v>442</v>
      </c>
      <c r="G34" s="343" t="s">
        <v>441</v>
      </c>
      <c r="H34" s="343">
        <v>272</v>
      </c>
      <c r="I34" s="343">
        <v>95</v>
      </c>
    </row>
    <row r="35" spans="1:9">
      <c r="A35" s="343" t="s">
        <v>440</v>
      </c>
      <c r="B35" s="343" t="s">
        <v>439</v>
      </c>
      <c r="C35" s="343">
        <v>262</v>
      </c>
      <c r="D35" s="343">
        <v>78</v>
      </c>
      <c r="F35" s="343" t="s">
        <v>438</v>
      </c>
      <c r="G35" s="343" t="s">
        <v>437</v>
      </c>
      <c r="H35" s="343">
        <v>281</v>
      </c>
      <c r="I35" s="343">
        <v>95</v>
      </c>
    </row>
    <row r="36" spans="1:9">
      <c r="A36" s="343" t="s">
        <v>436</v>
      </c>
      <c r="B36" s="343" t="s">
        <v>435</v>
      </c>
      <c r="C36" s="343">
        <v>266</v>
      </c>
      <c r="D36" s="343">
        <v>78</v>
      </c>
      <c r="F36" s="343" t="s">
        <v>434</v>
      </c>
      <c r="G36" s="343" t="s">
        <v>433</v>
      </c>
      <c r="H36" s="343">
        <v>115</v>
      </c>
      <c r="I36" s="343">
        <v>95</v>
      </c>
    </row>
    <row r="37" spans="1:9">
      <c r="A37" s="343" t="s">
        <v>432</v>
      </c>
      <c r="B37" s="343" t="s">
        <v>431</v>
      </c>
      <c r="C37" s="343">
        <v>165</v>
      </c>
      <c r="D37" s="343">
        <v>78</v>
      </c>
      <c r="F37" s="343" t="s">
        <v>430</v>
      </c>
      <c r="G37" s="343" t="s">
        <v>429</v>
      </c>
      <c r="H37" s="343">
        <v>130</v>
      </c>
      <c r="I37" s="343">
        <v>95</v>
      </c>
    </row>
    <row r="38" spans="1:9">
      <c r="A38" s="343" t="s">
        <v>428</v>
      </c>
      <c r="B38" s="343" t="s">
        <v>427</v>
      </c>
      <c r="C38" s="343">
        <v>164</v>
      </c>
      <c r="D38" s="343">
        <v>78</v>
      </c>
      <c r="F38" s="343" t="s">
        <v>426</v>
      </c>
      <c r="G38" s="343" t="s">
        <v>425</v>
      </c>
      <c r="H38" s="343">
        <v>278</v>
      </c>
      <c r="I38" s="343">
        <v>95</v>
      </c>
    </row>
    <row r="39" spans="1:9">
      <c r="A39" s="343" t="s">
        <v>424</v>
      </c>
      <c r="B39" s="343" t="s">
        <v>423</v>
      </c>
      <c r="C39" s="343">
        <v>258</v>
      </c>
      <c r="D39" s="343">
        <v>78</v>
      </c>
      <c r="F39" s="343" t="s">
        <v>422</v>
      </c>
      <c r="G39" s="343" t="s">
        <v>421</v>
      </c>
      <c r="H39" s="343">
        <v>276</v>
      </c>
      <c r="I39" s="343">
        <v>95</v>
      </c>
    </row>
    <row r="40" spans="1:9">
      <c r="A40" s="343" t="s">
        <v>420</v>
      </c>
      <c r="B40" s="343" t="s">
        <v>419</v>
      </c>
      <c r="C40" s="343">
        <v>174</v>
      </c>
      <c r="D40" s="343">
        <v>78</v>
      </c>
      <c r="F40" s="343" t="s">
        <v>418</v>
      </c>
      <c r="G40" s="343" t="s">
        <v>417</v>
      </c>
      <c r="H40" s="343">
        <v>138</v>
      </c>
      <c r="I40" s="343">
        <v>95</v>
      </c>
    </row>
    <row r="41" spans="1:9">
      <c r="A41" s="343" t="s">
        <v>416</v>
      </c>
      <c r="B41" s="343" t="s">
        <v>415</v>
      </c>
      <c r="C41" s="343">
        <v>168</v>
      </c>
      <c r="D41" s="343">
        <v>78</v>
      </c>
      <c r="F41" s="343" t="s">
        <v>414</v>
      </c>
      <c r="G41" s="343" t="s">
        <v>413</v>
      </c>
      <c r="H41" s="343">
        <v>294</v>
      </c>
      <c r="I41" s="343">
        <v>110</v>
      </c>
    </row>
    <row r="42" spans="1:9">
      <c r="A42" s="343" t="s">
        <v>412</v>
      </c>
      <c r="B42" s="343" t="s">
        <v>411</v>
      </c>
      <c r="C42" s="343">
        <v>252</v>
      </c>
      <c r="D42" s="343">
        <v>78</v>
      </c>
      <c r="F42" s="343" t="s">
        <v>410</v>
      </c>
      <c r="G42" s="343" t="s">
        <v>409</v>
      </c>
      <c r="H42" s="343">
        <v>284</v>
      </c>
      <c r="I42" s="343">
        <v>110</v>
      </c>
    </row>
    <row r="43" spans="1:9">
      <c r="A43" s="343" t="s">
        <v>408</v>
      </c>
      <c r="B43" s="343" t="s">
        <v>407</v>
      </c>
      <c r="C43" s="343">
        <v>170</v>
      </c>
      <c r="D43" s="343">
        <v>78</v>
      </c>
      <c r="F43" s="343" t="s">
        <v>406</v>
      </c>
      <c r="G43" s="343" t="s">
        <v>405</v>
      </c>
      <c r="H43" s="343">
        <v>253</v>
      </c>
      <c r="I43" s="343">
        <v>110</v>
      </c>
    </row>
    <row r="44" spans="1:9">
      <c r="A44" s="343" t="s">
        <v>404</v>
      </c>
      <c r="B44" s="343" t="s">
        <v>403</v>
      </c>
      <c r="C44" s="343">
        <v>260</v>
      </c>
      <c r="D44" s="343">
        <v>78</v>
      </c>
      <c r="F44" s="343" t="s">
        <v>402</v>
      </c>
      <c r="G44" s="343" t="s">
        <v>401</v>
      </c>
      <c r="H44" s="343">
        <v>295</v>
      </c>
      <c r="I44" s="343">
        <v>110</v>
      </c>
    </row>
    <row r="45" spans="1:9">
      <c r="A45" s="343" t="s">
        <v>400</v>
      </c>
      <c r="B45" s="343" t="s">
        <v>399</v>
      </c>
      <c r="C45" s="343">
        <v>256</v>
      </c>
      <c r="D45" s="343">
        <v>78</v>
      </c>
      <c r="F45" s="343" t="s">
        <v>398</v>
      </c>
      <c r="G45" s="343" t="s">
        <v>397</v>
      </c>
      <c r="H45" s="343">
        <v>288</v>
      </c>
      <c r="I45" s="343">
        <v>110</v>
      </c>
    </row>
    <row r="46" spans="1:9">
      <c r="A46" s="343" t="s">
        <v>396</v>
      </c>
      <c r="B46" s="343" t="s">
        <v>395</v>
      </c>
      <c r="C46" s="343">
        <v>175</v>
      </c>
      <c r="D46" s="343">
        <v>78</v>
      </c>
      <c r="F46" s="343" t="s">
        <v>394</v>
      </c>
      <c r="G46" s="343" t="s">
        <v>393</v>
      </c>
      <c r="H46" s="343">
        <v>255</v>
      </c>
      <c r="I46" s="343">
        <v>110</v>
      </c>
    </row>
    <row r="47" spans="1:9">
      <c r="A47" s="343" t="s">
        <v>392</v>
      </c>
      <c r="B47" s="343" t="s">
        <v>391</v>
      </c>
      <c r="C47" s="343">
        <v>268</v>
      </c>
      <c r="D47" s="343">
        <v>78</v>
      </c>
      <c r="F47" s="343" t="s">
        <v>390</v>
      </c>
      <c r="G47" s="343" t="s">
        <v>389</v>
      </c>
      <c r="H47" s="343">
        <v>289</v>
      </c>
      <c r="I47" s="343">
        <v>110</v>
      </c>
    </row>
    <row r="48" spans="1:9">
      <c r="A48" s="343" t="s">
        <v>388</v>
      </c>
      <c r="B48" s="343" t="s">
        <v>387</v>
      </c>
      <c r="C48" s="343">
        <v>261</v>
      </c>
      <c r="D48" s="343">
        <v>78</v>
      </c>
      <c r="F48" s="343" t="s">
        <v>386</v>
      </c>
      <c r="G48" s="343" t="s">
        <v>385</v>
      </c>
      <c r="H48" s="343">
        <v>257</v>
      </c>
      <c r="I48" s="343">
        <v>110</v>
      </c>
    </row>
    <row r="49" spans="1:9">
      <c r="A49" s="343" t="s">
        <v>384</v>
      </c>
      <c r="B49" s="343" t="s">
        <v>383</v>
      </c>
      <c r="C49" s="343">
        <v>169</v>
      </c>
      <c r="D49" s="343">
        <v>78</v>
      </c>
      <c r="F49" s="343" t="s">
        <v>382</v>
      </c>
      <c r="G49" s="343" t="s">
        <v>381</v>
      </c>
      <c r="H49" s="343">
        <v>263</v>
      </c>
      <c r="I49" s="343">
        <v>110</v>
      </c>
    </row>
    <row r="50" spans="1:9">
      <c r="F50" s="343" t="s">
        <v>380</v>
      </c>
      <c r="G50" s="343" t="s">
        <v>379</v>
      </c>
      <c r="H50" s="343">
        <v>192</v>
      </c>
      <c r="I50" s="343">
        <v>110</v>
      </c>
    </row>
    <row r="51" spans="1:9">
      <c r="F51" s="343" t="s">
        <v>378</v>
      </c>
      <c r="G51" s="343" t="s">
        <v>377</v>
      </c>
      <c r="H51" s="343">
        <v>155</v>
      </c>
      <c r="I51" s="343">
        <v>110</v>
      </c>
    </row>
    <row r="52" spans="1:9">
      <c r="F52" s="343" t="s">
        <v>376</v>
      </c>
      <c r="G52" s="343" t="s">
        <v>375</v>
      </c>
      <c r="H52" s="343">
        <v>162</v>
      </c>
      <c r="I52" s="343">
        <v>110</v>
      </c>
    </row>
    <row r="53" spans="1:9">
      <c r="F53" s="343" t="s">
        <v>374</v>
      </c>
      <c r="G53" s="343" t="s">
        <v>373</v>
      </c>
      <c r="H53" s="343">
        <v>264</v>
      </c>
      <c r="I53" s="343">
        <v>110</v>
      </c>
    </row>
    <row r="54" spans="1:9">
      <c r="F54" s="343" t="s">
        <v>372</v>
      </c>
      <c r="G54" s="343" t="s">
        <v>371</v>
      </c>
      <c r="H54" s="343">
        <v>285</v>
      </c>
      <c r="I54" s="343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9" zoomScaleNormal="100" workbookViewId="0">
      <selection activeCell="S33" sqref="S33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5" t="s">
        <v>699</v>
      </c>
      <c r="C2" s="360"/>
      <c r="D2" s="360"/>
      <c r="E2" s="360"/>
      <c r="F2" s="360"/>
      <c r="G2" s="360"/>
      <c r="H2" s="361"/>
      <c r="I2" s="361"/>
      <c r="J2" s="361"/>
      <c r="K2" s="361"/>
      <c r="L2" s="361"/>
      <c r="S2" s="104" t="s">
        <v>615</v>
      </c>
      <c r="T2" s="424" t="s">
        <v>686</v>
      </c>
    </row>
    <row r="3" spans="2:23" ht="17.25" thickBot="1">
      <c r="I3" s="148"/>
      <c r="J3" s="148"/>
      <c r="K3" s="148"/>
    </row>
    <row r="4" spans="2:23" s="67" customFormat="1" ht="30.75" customHeight="1">
      <c r="B4" s="416" t="s">
        <v>41</v>
      </c>
      <c r="C4" s="417" t="s">
        <v>42</v>
      </c>
      <c r="D4" s="417" t="s">
        <v>594</v>
      </c>
      <c r="E4" s="417" t="s">
        <v>595</v>
      </c>
      <c r="F4" s="417" t="s">
        <v>596</v>
      </c>
      <c r="G4" s="417" t="s">
        <v>597</v>
      </c>
      <c r="H4" s="417" t="s">
        <v>598</v>
      </c>
      <c r="I4" s="417" t="s">
        <v>599</v>
      </c>
      <c r="J4" s="417" t="s">
        <v>600</v>
      </c>
      <c r="K4" s="417" t="s">
        <v>601</v>
      </c>
      <c r="L4" s="417" t="s">
        <v>602</v>
      </c>
      <c r="M4" s="417" t="s">
        <v>603</v>
      </c>
      <c r="N4" s="418" t="s">
        <v>604</v>
      </c>
      <c r="O4" s="419" t="s">
        <v>44</v>
      </c>
      <c r="P4" s="418" t="s">
        <v>45</v>
      </c>
      <c r="S4" s="425" t="s">
        <v>590</v>
      </c>
      <c r="T4" s="426" t="s">
        <v>591</v>
      </c>
    </row>
    <row r="5" spans="2:23" ht="22.5" customHeight="1">
      <c r="B5" s="362">
        <v>1994</v>
      </c>
      <c r="C5" s="363">
        <v>9.1</v>
      </c>
      <c r="D5" s="363">
        <v>10.1</v>
      </c>
      <c r="E5" s="363">
        <v>39.5</v>
      </c>
      <c r="F5" s="363">
        <v>13.5</v>
      </c>
      <c r="G5" s="363">
        <v>106.5</v>
      </c>
      <c r="H5" s="363">
        <v>160.5</v>
      </c>
      <c r="I5" s="363">
        <v>98</v>
      </c>
      <c r="J5" s="364">
        <v>418</v>
      </c>
      <c r="K5" s="363">
        <v>52</v>
      </c>
      <c r="L5" s="363">
        <v>220</v>
      </c>
      <c r="M5" s="363">
        <v>22</v>
      </c>
      <c r="N5" s="365">
        <v>21</v>
      </c>
      <c r="O5" s="346">
        <f>ROUND(SUM(C5:N5),1)</f>
        <v>1170.2</v>
      </c>
      <c r="P5" s="347">
        <f>ROUND(O5/12,1)</f>
        <v>97.5</v>
      </c>
      <c r="Q5" s="68"/>
      <c r="R5" s="133"/>
      <c r="S5" s="344" t="s">
        <v>695</v>
      </c>
      <c r="T5" s="345" t="s">
        <v>698</v>
      </c>
      <c r="V5" s="133"/>
      <c r="W5" s="132"/>
    </row>
    <row r="6" spans="2:23" ht="22.5" customHeight="1" thickBot="1">
      <c r="B6" s="61">
        <v>1995</v>
      </c>
      <c r="C6" s="366">
        <v>19</v>
      </c>
      <c r="D6" s="366">
        <v>8.1999999999999993</v>
      </c>
      <c r="E6" s="366">
        <v>25.3</v>
      </c>
      <c r="F6" s="366">
        <v>47</v>
      </c>
      <c r="G6" s="366">
        <v>48</v>
      </c>
      <c r="H6" s="366">
        <v>14.5</v>
      </c>
      <c r="I6" s="366">
        <v>239.9</v>
      </c>
      <c r="J6" s="367">
        <v>1082.5</v>
      </c>
      <c r="K6" s="366">
        <v>29</v>
      </c>
      <c r="L6" s="366">
        <v>23.5</v>
      </c>
      <c r="M6" s="366">
        <v>40.200000000000003</v>
      </c>
      <c r="N6" s="368">
        <v>8.9</v>
      </c>
      <c r="O6" s="348">
        <f t="shared" ref="O6:O34" si="0">ROUND(SUM(C6:N6),1)</f>
        <v>1586</v>
      </c>
      <c r="P6" s="349">
        <f t="shared" ref="P6:P34" si="1">ROUND(O6/12,1)</f>
        <v>132.19999999999999</v>
      </c>
      <c r="Q6" s="68"/>
      <c r="R6" s="133"/>
      <c r="S6" s="649" t="str">
        <f>VLOOKUP(S5, tblLocation[], 2, FALSE)</f>
        <v>Table3</v>
      </c>
      <c r="T6" s="399" t="str">
        <f ca="1">IFERROR(UPPER(VLOOKUP(T5, INDIRECT(S6), 2,0)), " 지역설정")</f>
        <v>CHEONAN</v>
      </c>
      <c r="V6" s="133"/>
      <c r="W6" s="132"/>
    </row>
    <row r="7" spans="2:23" ht="22.5" customHeight="1">
      <c r="B7" s="61">
        <v>1996</v>
      </c>
      <c r="C7" s="366">
        <v>29.5</v>
      </c>
      <c r="D7" s="366">
        <v>10.199999999999999</v>
      </c>
      <c r="E7" s="366">
        <v>115</v>
      </c>
      <c r="F7" s="366">
        <v>54.5</v>
      </c>
      <c r="G7" s="366">
        <v>19</v>
      </c>
      <c r="H7" s="366">
        <v>237</v>
      </c>
      <c r="I7" s="366">
        <v>177.5</v>
      </c>
      <c r="J7" s="366">
        <v>116.5</v>
      </c>
      <c r="K7" s="366">
        <v>8</v>
      </c>
      <c r="L7" s="366">
        <v>102.5</v>
      </c>
      <c r="M7" s="366">
        <v>71.599999999999994</v>
      </c>
      <c r="N7" s="368">
        <v>26.2</v>
      </c>
      <c r="O7" s="348">
        <f t="shared" si="0"/>
        <v>967.5</v>
      </c>
      <c r="P7" s="349">
        <f t="shared" si="1"/>
        <v>80.599999999999994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6">
        <v>10.7</v>
      </c>
      <c r="D8" s="366">
        <v>44.1</v>
      </c>
      <c r="E8" s="366">
        <v>30</v>
      </c>
      <c r="F8" s="366">
        <v>66.5</v>
      </c>
      <c r="G8" s="366">
        <v>211</v>
      </c>
      <c r="H8" s="366">
        <v>191.5</v>
      </c>
      <c r="I8" s="366">
        <v>305</v>
      </c>
      <c r="J8" s="366">
        <v>175.5</v>
      </c>
      <c r="K8" s="366">
        <v>14.5</v>
      </c>
      <c r="L8" s="366">
        <v>23</v>
      </c>
      <c r="M8" s="366">
        <v>153.5</v>
      </c>
      <c r="N8" s="368">
        <v>43.5</v>
      </c>
      <c r="O8" s="348">
        <f t="shared" si="0"/>
        <v>1268.8</v>
      </c>
      <c r="P8" s="349">
        <f t="shared" si="1"/>
        <v>105.7</v>
      </c>
      <c r="Q8" s="68"/>
      <c r="T8"/>
      <c r="V8" s="133"/>
      <c r="W8" s="132"/>
    </row>
    <row r="9" spans="2:23" ht="22.5" customHeight="1">
      <c r="B9" s="61">
        <v>1998</v>
      </c>
      <c r="C9" s="366">
        <v>20.399999999999999</v>
      </c>
      <c r="D9" s="366">
        <v>27.9</v>
      </c>
      <c r="E9" s="366">
        <v>29.5</v>
      </c>
      <c r="F9" s="366">
        <v>120.5</v>
      </c>
      <c r="G9" s="366">
        <v>85</v>
      </c>
      <c r="H9" s="366">
        <v>219.5</v>
      </c>
      <c r="I9" s="366">
        <v>277</v>
      </c>
      <c r="J9" s="366">
        <v>408.1</v>
      </c>
      <c r="K9" s="366">
        <v>283</v>
      </c>
      <c r="L9" s="366">
        <v>51.5</v>
      </c>
      <c r="M9" s="366">
        <v>52.8</v>
      </c>
      <c r="N9" s="368">
        <v>8.5</v>
      </c>
      <c r="O9" s="348">
        <f t="shared" si="0"/>
        <v>1583.7</v>
      </c>
      <c r="P9" s="349">
        <f t="shared" si="1"/>
        <v>132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6">
        <v>2.7</v>
      </c>
      <c r="D10" s="366">
        <v>2.8</v>
      </c>
      <c r="E10" s="366">
        <v>46.5</v>
      </c>
      <c r="F10" s="366">
        <v>88.5</v>
      </c>
      <c r="G10" s="366">
        <v>121.5</v>
      </c>
      <c r="H10" s="366">
        <v>163.69999999999999</v>
      </c>
      <c r="I10" s="366">
        <v>138.5</v>
      </c>
      <c r="J10" s="366">
        <v>313.5</v>
      </c>
      <c r="K10" s="366">
        <v>324.5</v>
      </c>
      <c r="L10" s="366">
        <v>134.5</v>
      </c>
      <c r="M10" s="366">
        <v>16.5</v>
      </c>
      <c r="N10" s="368">
        <v>11.9</v>
      </c>
      <c r="O10" s="348">
        <f t="shared" si="0"/>
        <v>1365.1</v>
      </c>
      <c r="P10" s="349">
        <f t="shared" si="1"/>
        <v>113.8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6">
        <v>52.3</v>
      </c>
      <c r="D11" s="366">
        <v>2.7</v>
      </c>
      <c r="E11" s="366">
        <v>7.1</v>
      </c>
      <c r="F11" s="366">
        <v>36</v>
      </c>
      <c r="G11" s="366">
        <v>36</v>
      </c>
      <c r="H11" s="366">
        <v>181</v>
      </c>
      <c r="I11" s="366">
        <v>83</v>
      </c>
      <c r="J11" s="366">
        <v>636</v>
      </c>
      <c r="K11" s="366">
        <v>287.5</v>
      </c>
      <c r="L11" s="366">
        <v>32</v>
      </c>
      <c r="M11" s="366">
        <v>32</v>
      </c>
      <c r="N11" s="368">
        <v>22.5</v>
      </c>
      <c r="O11" s="348">
        <f t="shared" si="0"/>
        <v>1408.1</v>
      </c>
      <c r="P11" s="349">
        <f t="shared" si="1"/>
        <v>117.3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6">
        <v>43.5</v>
      </c>
      <c r="D12" s="366">
        <v>44</v>
      </c>
      <c r="E12" s="366">
        <v>16.5</v>
      </c>
      <c r="F12" s="366">
        <v>19</v>
      </c>
      <c r="G12" s="366">
        <v>15</v>
      </c>
      <c r="H12" s="366">
        <v>227.5</v>
      </c>
      <c r="I12" s="366">
        <v>178</v>
      </c>
      <c r="J12" s="366">
        <v>194.5</v>
      </c>
      <c r="K12" s="366">
        <v>12</v>
      </c>
      <c r="L12" s="366">
        <v>63.5</v>
      </c>
      <c r="M12" s="366">
        <v>6.3</v>
      </c>
      <c r="N12" s="368">
        <v>18.399999999999999</v>
      </c>
      <c r="O12" s="348">
        <f t="shared" si="0"/>
        <v>838.2</v>
      </c>
      <c r="P12" s="349">
        <f t="shared" si="1"/>
        <v>69.900000000000006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6">
        <v>45.3</v>
      </c>
      <c r="D13" s="366">
        <v>6</v>
      </c>
      <c r="E13" s="366">
        <v>25.5</v>
      </c>
      <c r="F13" s="366">
        <v>128</v>
      </c>
      <c r="G13" s="366">
        <v>104</v>
      </c>
      <c r="H13" s="366">
        <v>54</v>
      </c>
      <c r="I13" s="366">
        <v>229.5</v>
      </c>
      <c r="J13" s="366">
        <v>481.5</v>
      </c>
      <c r="K13" s="366">
        <v>57</v>
      </c>
      <c r="L13" s="366">
        <v>91.5</v>
      </c>
      <c r="M13" s="366">
        <v>42.1</v>
      </c>
      <c r="N13" s="368">
        <v>48.1</v>
      </c>
      <c r="O13" s="348">
        <f t="shared" si="0"/>
        <v>1312.5</v>
      </c>
      <c r="P13" s="349">
        <f t="shared" si="1"/>
        <v>109.4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6">
        <v>18.600000000000001</v>
      </c>
      <c r="D14" s="366">
        <v>44</v>
      </c>
      <c r="E14" s="366">
        <v>38.1</v>
      </c>
      <c r="F14" s="366">
        <v>172.3</v>
      </c>
      <c r="G14" s="366">
        <v>106</v>
      </c>
      <c r="H14" s="366">
        <v>178.6</v>
      </c>
      <c r="I14" s="366">
        <v>381.2</v>
      </c>
      <c r="J14" s="366">
        <v>334.6</v>
      </c>
      <c r="K14" s="366">
        <v>264.2</v>
      </c>
      <c r="L14" s="366">
        <v>27</v>
      </c>
      <c r="M14" s="366">
        <v>46.7</v>
      </c>
      <c r="N14" s="368">
        <v>17</v>
      </c>
      <c r="O14" s="348">
        <f t="shared" si="0"/>
        <v>1628.3</v>
      </c>
      <c r="P14" s="349">
        <f t="shared" si="1"/>
        <v>135.69999999999999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6">
        <v>16.399999999999999</v>
      </c>
      <c r="D15" s="366">
        <v>21.3</v>
      </c>
      <c r="E15" s="366">
        <v>21.5</v>
      </c>
      <c r="F15" s="366">
        <v>67.5</v>
      </c>
      <c r="G15" s="366">
        <v>127.6</v>
      </c>
      <c r="H15" s="366">
        <v>235</v>
      </c>
      <c r="I15" s="366">
        <v>365.2</v>
      </c>
      <c r="J15" s="366">
        <v>229.3</v>
      </c>
      <c r="K15" s="366">
        <v>189</v>
      </c>
      <c r="L15" s="366">
        <v>4.5</v>
      </c>
      <c r="M15" s="366">
        <v>53</v>
      </c>
      <c r="N15" s="368">
        <v>33</v>
      </c>
      <c r="O15" s="348">
        <f t="shared" si="0"/>
        <v>1363.3</v>
      </c>
      <c r="P15" s="349">
        <f t="shared" si="1"/>
        <v>113.6</v>
      </c>
    </row>
    <row r="16" spans="2:23" ht="22.5" customHeight="1">
      <c r="B16" s="61">
        <v>2005</v>
      </c>
      <c r="C16" s="366">
        <v>3</v>
      </c>
      <c r="D16" s="366">
        <v>29.8</v>
      </c>
      <c r="E16" s="366">
        <v>37</v>
      </c>
      <c r="F16" s="366">
        <v>53.7</v>
      </c>
      <c r="G16" s="366">
        <v>48</v>
      </c>
      <c r="H16" s="366">
        <v>183</v>
      </c>
      <c r="I16" s="366">
        <v>313.8</v>
      </c>
      <c r="J16" s="366">
        <v>202</v>
      </c>
      <c r="K16" s="366">
        <v>377.5</v>
      </c>
      <c r="L16" s="366">
        <v>26.7</v>
      </c>
      <c r="M16" s="366">
        <v>23.5</v>
      </c>
      <c r="N16" s="368">
        <v>11.3</v>
      </c>
      <c r="O16" s="348">
        <f t="shared" si="0"/>
        <v>1309.3</v>
      </c>
      <c r="P16" s="349">
        <f t="shared" si="1"/>
        <v>109.1</v>
      </c>
    </row>
    <row r="17" spans="2:16" ht="22.5" customHeight="1">
      <c r="B17" s="61">
        <v>2006</v>
      </c>
      <c r="C17" s="366">
        <v>25.2</v>
      </c>
      <c r="D17" s="366">
        <v>18.5</v>
      </c>
      <c r="E17" s="366">
        <v>6.1</v>
      </c>
      <c r="F17" s="366">
        <v>78.599999999999994</v>
      </c>
      <c r="G17" s="366">
        <v>79</v>
      </c>
      <c r="H17" s="366">
        <v>120</v>
      </c>
      <c r="I17" s="366">
        <v>535.1</v>
      </c>
      <c r="J17" s="366">
        <v>63.5</v>
      </c>
      <c r="K17" s="366">
        <v>22.2</v>
      </c>
      <c r="L17" s="366">
        <v>21.6</v>
      </c>
      <c r="M17" s="366">
        <v>56.3</v>
      </c>
      <c r="N17" s="368">
        <v>17.2</v>
      </c>
      <c r="O17" s="348">
        <f t="shared" si="0"/>
        <v>1043.3</v>
      </c>
      <c r="P17" s="349">
        <f t="shared" si="1"/>
        <v>86.9</v>
      </c>
    </row>
    <row r="18" spans="2:16" ht="22.5" customHeight="1">
      <c r="B18" s="61">
        <v>2007</v>
      </c>
      <c r="C18" s="366">
        <v>9.4</v>
      </c>
      <c r="D18" s="366">
        <v>34.1</v>
      </c>
      <c r="E18" s="366">
        <v>108.3</v>
      </c>
      <c r="F18" s="366">
        <v>35.299999999999997</v>
      </c>
      <c r="G18" s="366">
        <v>126.2</v>
      </c>
      <c r="H18" s="366">
        <v>106.7</v>
      </c>
      <c r="I18" s="366">
        <v>215.6</v>
      </c>
      <c r="J18" s="366">
        <v>470.6</v>
      </c>
      <c r="K18" s="366">
        <v>353.3</v>
      </c>
      <c r="L18" s="366">
        <v>43.4</v>
      </c>
      <c r="M18" s="366">
        <v>15.6</v>
      </c>
      <c r="N18" s="368">
        <v>43.9</v>
      </c>
      <c r="O18" s="348">
        <f t="shared" si="0"/>
        <v>1562.4</v>
      </c>
      <c r="P18" s="349">
        <f t="shared" si="1"/>
        <v>130.19999999999999</v>
      </c>
    </row>
    <row r="19" spans="2:16" ht="22.5" customHeight="1">
      <c r="B19" s="61">
        <v>2008</v>
      </c>
      <c r="C19" s="366">
        <v>17.5</v>
      </c>
      <c r="D19" s="366">
        <v>11.1</v>
      </c>
      <c r="E19" s="366">
        <v>40.1</v>
      </c>
      <c r="F19" s="366">
        <v>34</v>
      </c>
      <c r="G19" s="366">
        <v>62.6</v>
      </c>
      <c r="H19" s="366">
        <v>126.7</v>
      </c>
      <c r="I19" s="366">
        <v>287.2</v>
      </c>
      <c r="J19" s="366">
        <v>138.80000000000001</v>
      </c>
      <c r="K19" s="366">
        <v>89.3</v>
      </c>
      <c r="L19" s="366">
        <v>30.4</v>
      </c>
      <c r="M19" s="366">
        <v>16.600000000000001</v>
      </c>
      <c r="N19" s="368">
        <v>15.8</v>
      </c>
      <c r="O19" s="348">
        <f t="shared" si="0"/>
        <v>870.1</v>
      </c>
      <c r="P19" s="349">
        <f t="shared" si="1"/>
        <v>72.5</v>
      </c>
    </row>
    <row r="20" spans="2:16" ht="22.5" customHeight="1">
      <c r="B20" s="61">
        <v>2009</v>
      </c>
      <c r="C20" s="366">
        <v>13.3</v>
      </c>
      <c r="D20" s="366">
        <v>16</v>
      </c>
      <c r="E20" s="366">
        <v>51.6</v>
      </c>
      <c r="F20" s="366">
        <v>30.6</v>
      </c>
      <c r="G20" s="366">
        <v>112.6</v>
      </c>
      <c r="H20" s="366">
        <v>55.6</v>
      </c>
      <c r="I20" s="366">
        <v>335.8</v>
      </c>
      <c r="J20" s="366">
        <v>212.3</v>
      </c>
      <c r="K20" s="366">
        <v>30.8</v>
      </c>
      <c r="L20" s="366">
        <v>61.1</v>
      </c>
      <c r="M20" s="366">
        <v>39.700000000000003</v>
      </c>
      <c r="N20" s="368">
        <v>40.5</v>
      </c>
      <c r="O20" s="348">
        <f t="shared" si="0"/>
        <v>999.9</v>
      </c>
      <c r="P20" s="349">
        <f t="shared" si="1"/>
        <v>83.3</v>
      </c>
    </row>
    <row r="21" spans="2:16" ht="22.5" customHeight="1">
      <c r="B21" s="61">
        <v>2010</v>
      </c>
      <c r="C21" s="366">
        <v>40.700000000000003</v>
      </c>
      <c r="D21" s="366">
        <v>50.4</v>
      </c>
      <c r="E21" s="366">
        <v>73.8</v>
      </c>
      <c r="F21" s="366">
        <v>61</v>
      </c>
      <c r="G21" s="366">
        <v>84</v>
      </c>
      <c r="H21" s="366">
        <v>37</v>
      </c>
      <c r="I21" s="366">
        <v>171</v>
      </c>
      <c r="J21" s="366">
        <v>486.1</v>
      </c>
      <c r="K21" s="366">
        <v>316.89999999999998</v>
      </c>
      <c r="L21" s="366">
        <v>19.399999999999999</v>
      </c>
      <c r="M21" s="366">
        <v>13.5</v>
      </c>
      <c r="N21" s="368">
        <v>24.5</v>
      </c>
      <c r="O21" s="348">
        <f t="shared" si="0"/>
        <v>1378.3</v>
      </c>
      <c r="P21" s="349">
        <f t="shared" si="1"/>
        <v>114.9</v>
      </c>
    </row>
    <row r="22" spans="2:16" ht="22.5" customHeight="1">
      <c r="B22" s="61">
        <v>2011</v>
      </c>
      <c r="C22" s="366">
        <v>7.9</v>
      </c>
      <c r="D22" s="366">
        <v>31</v>
      </c>
      <c r="E22" s="366">
        <v>26.5</v>
      </c>
      <c r="F22" s="366">
        <v>133.19999999999999</v>
      </c>
      <c r="G22" s="366">
        <v>103.3</v>
      </c>
      <c r="H22" s="366">
        <v>374.6</v>
      </c>
      <c r="I22" s="366">
        <v>645.1</v>
      </c>
      <c r="J22" s="366">
        <v>268.2</v>
      </c>
      <c r="K22" s="366">
        <v>153.19999999999999</v>
      </c>
      <c r="L22" s="366">
        <v>26.5</v>
      </c>
      <c r="M22" s="366">
        <v>65.8</v>
      </c>
      <c r="N22" s="368">
        <v>10.5</v>
      </c>
      <c r="O22" s="348">
        <f t="shared" si="0"/>
        <v>1845.8</v>
      </c>
      <c r="P22" s="349">
        <f t="shared" si="1"/>
        <v>153.80000000000001</v>
      </c>
    </row>
    <row r="23" spans="2:16" ht="22.5" customHeight="1">
      <c r="B23" s="61">
        <v>2012</v>
      </c>
      <c r="C23" s="366">
        <v>14.5</v>
      </c>
      <c r="D23" s="366">
        <v>2.2999999999999998</v>
      </c>
      <c r="E23" s="366">
        <v>44.9</v>
      </c>
      <c r="F23" s="366">
        <v>81.599999999999994</v>
      </c>
      <c r="G23" s="366">
        <v>16.8</v>
      </c>
      <c r="H23" s="366">
        <v>75.099999999999994</v>
      </c>
      <c r="I23" s="366">
        <v>252.5</v>
      </c>
      <c r="J23" s="366">
        <v>483.7</v>
      </c>
      <c r="K23" s="366">
        <v>190.1</v>
      </c>
      <c r="L23" s="366">
        <v>66.599999999999994</v>
      </c>
      <c r="M23" s="366">
        <v>52.6</v>
      </c>
      <c r="N23" s="368">
        <v>56</v>
      </c>
      <c r="O23" s="348">
        <f t="shared" si="0"/>
        <v>1336.7</v>
      </c>
      <c r="P23" s="349">
        <f t="shared" si="1"/>
        <v>111.4</v>
      </c>
    </row>
    <row r="24" spans="2:16" ht="22.5" customHeight="1">
      <c r="B24" s="61">
        <v>2013</v>
      </c>
      <c r="C24" s="366">
        <v>28.5</v>
      </c>
      <c r="D24" s="366">
        <v>35.200000000000003</v>
      </c>
      <c r="E24" s="366">
        <v>40</v>
      </c>
      <c r="F24" s="366">
        <v>56.3</v>
      </c>
      <c r="G24" s="366">
        <v>123.5</v>
      </c>
      <c r="H24" s="366">
        <v>102.1</v>
      </c>
      <c r="I24" s="366">
        <v>308.2</v>
      </c>
      <c r="J24" s="366">
        <v>173.6</v>
      </c>
      <c r="K24" s="366">
        <v>117.5</v>
      </c>
      <c r="L24" s="366">
        <v>12.2</v>
      </c>
      <c r="M24" s="366">
        <v>58.2</v>
      </c>
      <c r="N24" s="368">
        <v>40.299999999999997</v>
      </c>
      <c r="O24" s="348">
        <f t="shared" si="0"/>
        <v>1095.5999999999999</v>
      </c>
      <c r="P24" s="349">
        <f t="shared" si="1"/>
        <v>91.3</v>
      </c>
    </row>
    <row r="25" spans="2:16" ht="22.5" customHeight="1">
      <c r="B25" s="61">
        <v>2014</v>
      </c>
      <c r="C25" s="366">
        <v>4.9000000000000004</v>
      </c>
      <c r="D25" s="366">
        <v>14.7</v>
      </c>
      <c r="E25" s="366">
        <v>40.9</v>
      </c>
      <c r="F25" s="366">
        <v>62.1</v>
      </c>
      <c r="G25" s="366">
        <v>34.6</v>
      </c>
      <c r="H25" s="366">
        <v>73.900000000000006</v>
      </c>
      <c r="I25" s="366">
        <v>239</v>
      </c>
      <c r="J25" s="366">
        <v>218.7</v>
      </c>
      <c r="K25" s="366">
        <v>144</v>
      </c>
      <c r="L25" s="366">
        <v>119.5</v>
      </c>
      <c r="M25" s="366">
        <v>28.9</v>
      </c>
      <c r="N25" s="368">
        <v>38.9</v>
      </c>
      <c r="O25" s="348">
        <f t="shared" si="0"/>
        <v>1020.1</v>
      </c>
      <c r="P25" s="349">
        <f t="shared" si="1"/>
        <v>85</v>
      </c>
    </row>
    <row r="26" spans="2:16" ht="22.5" customHeight="1">
      <c r="B26" s="61">
        <v>2015</v>
      </c>
      <c r="C26" s="366">
        <v>12.7</v>
      </c>
      <c r="D26" s="366">
        <v>21.5</v>
      </c>
      <c r="E26" s="366">
        <v>23.3</v>
      </c>
      <c r="F26" s="366">
        <v>87.6</v>
      </c>
      <c r="G26" s="366">
        <v>27.5</v>
      </c>
      <c r="H26" s="366">
        <v>86</v>
      </c>
      <c r="I26" s="366">
        <v>136.80000000000001</v>
      </c>
      <c r="J26" s="366">
        <v>64.2</v>
      </c>
      <c r="K26" s="366">
        <v>29</v>
      </c>
      <c r="L26" s="366">
        <v>69</v>
      </c>
      <c r="M26" s="366">
        <v>128.6</v>
      </c>
      <c r="N26" s="368">
        <v>41.8</v>
      </c>
      <c r="O26" s="348">
        <f t="shared" si="0"/>
        <v>728</v>
      </c>
      <c r="P26" s="349">
        <f t="shared" si="1"/>
        <v>60.7</v>
      </c>
    </row>
    <row r="27" spans="2:16" ht="22.5" customHeight="1">
      <c r="B27" s="61">
        <v>2016</v>
      </c>
      <c r="C27" s="366">
        <v>8</v>
      </c>
      <c r="D27" s="366">
        <v>43.6</v>
      </c>
      <c r="E27" s="366">
        <v>16.5</v>
      </c>
      <c r="F27" s="366">
        <v>118.3</v>
      </c>
      <c r="G27" s="366">
        <v>107.2</v>
      </c>
      <c r="H27" s="366">
        <v>36.200000000000003</v>
      </c>
      <c r="I27" s="366">
        <v>364.3</v>
      </c>
      <c r="J27" s="366">
        <v>82</v>
      </c>
      <c r="K27" s="366">
        <v>55</v>
      </c>
      <c r="L27" s="366">
        <v>95.9</v>
      </c>
      <c r="M27" s="366">
        <v>33.5</v>
      </c>
      <c r="N27" s="368">
        <v>44.3</v>
      </c>
      <c r="O27" s="348">
        <f t="shared" si="0"/>
        <v>1004.8</v>
      </c>
      <c r="P27" s="349">
        <f t="shared" si="1"/>
        <v>83.7</v>
      </c>
    </row>
    <row r="28" spans="2:16" ht="22.5" customHeight="1">
      <c r="B28" s="61">
        <v>2017</v>
      </c>
      <c r="C28" s="366">
        <v>13.9</v>
      </c>
      <c r="D28" s="366">
        <v>32.200000000000003</v>
      </c>
      <c r="E28" s="366">
        <v>6.5</v>
      </c>
      <c r="F28" s="366">
        <v>42.9</v>
      </c>
      <c r="G28" s="366">
        <v>14.3</v>
      </c>
      <c r="H28" s="366">
        <v>15.6</v>
      </c>
      <c r="I28" s="366">
        <v>788.1</v>
      </c>
      <c r="J28" s="366">
        <v>291.5</v>
      </c>
      <c r="K28" s="366">
        <v>43.3</v>
      </c>
      <c r="L28" s="366">
        <v>14.1</v>
      </c>
      <c r="M28" s="366">
        <v>23.8</v>
      </c>
      <c r="N28" s="368">
        <v>18.8</v>
      </c>
      <c r="O28" s="348">
        <f t="shared" si="0"/>
        <v>1305</v>
      </c>
      <c r="P28" s="349">
        <f t="shared" si="1"/>
        <v>108.8</v>
      </c>
    </row>
    <row r="29" spans="2:16" ht="22.5" customHeight="1">
      <c r="B29" s="61">
        <v>2018</v>
      </c>
      <c r="C29" s="366">
        <v>14</v>
      </c>
      <c r="D29" s="366">
        <v>31.6</v>
      </c>
      <c r="E29" s="366">
        <v>62.2</v>
      </c>
      <c r="F29" s="366">
        <v>117</v>
      </c>
      <c r="G29" s="366">
        <v>82.7</v>
      </c>
      <c r="H29" s="366">
        <v>88.9</v>
      </c>
      <c r="I29" s="366">
        <v>185.8</v>
      </c>
      <c r="J29" s="366">
        <v>282.7</v>
      </c>
      <c r="K29" s="366">
        <v>124.6</v>
      </c>
      <c r="L29" s="366">
        <v>99.8</v>
      </c>
      <c r="M29" s="366">
        <v>48.3</v>
      </c>
      <c r="N29" s="368">
        <v>25.8</v>
      </c>
      <c r="O29" s="348">
        <f t="shared" si="0"/>
        <v>1163.4000000000001</v>
      </c>
      <c r="P29" s="349">
        <f t="shared" si="1"/>
        <v>97</v>
      </c>
    </row>
    <row r="30" spans="2:16" ht="22.5" customHeight="1">
      <c r="B30" s="61">
        <v>2019</v>
      </c>
      <c r="C30" s="366">
        <v>0.6</v>
      </c>
      <c r="D30" s="366">
        <v>25.5</v>
      </c>
      <c r="E30" s="366">
        <v>26.9</v>
      </c>
      <c r="F30" s="366">
        <v>43.9</v>
      </c>
      <c r="G30" s="366">
        <v>15.1</v>
      </c>
      <c r="H30" s="366">
        <v>84.9</v>
      </c>
      <c r="I30" s="366">
        <v>234.7</v>
      </c>
      <c r="J30" s="366">
        <v>90.7</v>
      </c>
      <c r="K30" s="366">
        <v>102.8</v>
      </c>
      <c r="L30" s="366">
        <v>81.900000000000006</v>
      </c>
      <c r="M30" s="366">
        <v>120.6</v>
      </c>
      <c r="N30" s="368">
        <v>18</v>
      </c>
      <c r="O30" s="348">
        <f t="shared" si="0"/>
        <v>845.6</v>
      </c>
      <c r="P30" s="349">
        <f t="shared" si="1"/>
        <v>70.5</v>
      </c>
    </row>
    <row r="31" spans="2:16" ht="22.5" customHeight="1">
      <c r="B31" s="61">
        <v>2020</v>
      </c>
      <c r="C31" s="366">
        <v>59.7</v>
      </c>
      <c r="D31" s="366">
        <v>63.1</v>
      </c>
      <c r="E31" s="366">
        <v>21.7</v>
      </c>
      <c r="F31" s="366">
        <v>15.1</v>
      </c>
      <c r="G31" s="366">
        <v>86.4</v>
      </c>
      <c r="H31" s="366">
        <v>121.9</v>
      </c>
      <c r="I31" s="366">
        <v>356.4</v>
      </c>
      <c r="J31" s="366">
        <v>481.7</v>
      </c>
      <c r="K31" s="366">
        <v>167.2</v>
      </c>
      <c r="L31" s="366">
        <v>18.899999999999999</v>
      </c>
      <c r="M31" s="366">
        <v>45.9</v>
      </c>
      <c r="N31" s="368">
        <v>5.5</v>
      </c>
      <c r="O31" s="348">
        <f t="shared" si="0"/>
        <v>1443.5</v>
      </c>
      <c r="P31" s="349">
        <f t="shared" si="1"/>
        <v>120.3</v>
      </c>
    </row>
    <row r="32" spans="2:16" ht="22.5" customHeight="1">
      <c r="B32" s="61">
        <v>2021</v>
      </c>
      <c r="C32" s="366">
        <v>17.8</v>
      </c>
      <c r="D32" s="366">
        <v>9.1999999999999993</v>
      </c>
      <c r="E32" s="366">
        <v>75.3</v>
      </c>
      <c r="F32" s="366">
        <v>54.7</v>
      </c>
      <c r="G32" s="366">
        <v>135.9</v>
      </c>
      <c r="H32" s="366">
        <v>44.8</v>
      </c>
      <c r="I32" s="366">
        <v>117.6</v>
      </c>
      <c r="J32" s="366">
        <v>230</v>
      </c>
      <c r="K32" s="366">
        <v>250.8</v>
      </c>
      <c r="L32" s="366">
        <v>49.5</v>
      </c>
      <c r="M32" s="366">
        <v>67.900000000000006</v>
      </c>
      <c r="N32" s="368">
        <v>5.4</v>
      </c>
      <c r="O32" s="348">
        <f t="shared" si="0"/>
        <v>1058.9000000000001</v>
      </c>
      <c r="P32" s="349">
        <f t="shared" si="1"/>
        <v>88.2</v>
      </c>
    </row>
    <row r="33" spans="2:16" ht="22.5" customHeight="1">
      <c r="B33" s="61">
        <v>2022</v>
      </c>
      <c r="C33" s="366">
        <v>3.3</v>
      </c>
      <c r="D33" s="366">
        <v>3.3</v>
      </c>
      <c r="E33" s="366">
        <v>57.6</v>
      </c>
      <c r="F33" s="366">
        <v>51.6</v>
      </c>
      <c r="G33" s="366">
        <v>9.8000000000000007</v>
      </c>
      <c r="H33" s="366">
        <v>168</v>
      </c>
      <c r="I33" s="366">
        <v>117</v>
      </c>
      <c r="J33" s="366">
        <v>366.6</v>
      </c>
      <c r="K33" s="366">
        <v>133.30000000000001</v>
      </c>
      <c r="L33" s="366">
        <v>98.2</v>
      </c>
      <c r="M33" s="366">
        <v>43.2</v>
      </c>
      <c r="N33" s="368">
        <v>28.8</v>
      </c>
      <c r="O33" s="348">
        <f t="shared" si="0"/>
        <v>1080.7</v>
      </c>
      <c r="P33" s="349">
        <f t="shared" si="1"/>
        <v>90.1</v>
      </c>
    </row>
    <row r="34" spans="2:16" ht="22.5" customHeight="1" thickBot="1">
      <c r="B34" s="369">
        <v>2023</v>
      </c>
      <c r="C34" s="370">
        <v>31</v>
      </c>
      <c r="D34" s="370">
        <v>3.1</v>
      </c>
      <c r="E34" s="370">
        <v>16.399999999999999</v>
      </c>
      <c r="F34" s="370">
        <v>29.6</v>
      </c>
      <c r="G34" s="370">
        <v>116.9</v>
      </c>
      <c r="H34" s="370">
        <v>178.9</v>
      </c>
      <c r="I34" s="370">
        <v>574.9</v>
      </c>
      <c r="J34" s="370">
        <v>196.5</v>
      </c>
      <c r="K34" s="370">
        <v>180.1</v>
      </c>
      <c r="L34" s="370">
        <v>28.7</v>
      </c>
      <c r="M34" s="370">
        <v>56.9</v>
      </c>
      <c r="N34" s="371">
        <v>86.2</v>
      </c>
      <c r="O34" s="350">
        <f t="shared" si="0"/>
        <v>1499.2</v>
      </c>
      <c r="P34" s="351">
        <f t="shared" si="1"/>
        <v>124.9</v>
      </c>
    </row>
    <row r="35" spans="2:16" ht="22.5" customHeight="1">
      <c r="B35" s="372" t="s">
        <v>36</v>
      </c>
      <c r="C35" s="373">
        <f>MAX(C5:C34)</f>
        <v>59.7</v>
      </c>
      <c r="D35" s="373">
        <f t="shared" ref="D35:N35" si="2">MAX(D5:D34)</f>
        <v>63.1</v>
      </c>
      <c r="E35" s="373">
        <f t="shared" si="2"/>
        <v>115</v>
      </c>
      <c r="F35" s="373">
        <f t="shared" si="2"/>
        <v>172.3</v>
      </c>
      <c r="G35" s="373">
        <f t="shared" si="2"/>
        <v>211</v>
      </c>
      <c r="H35" s="373">
        <f t="shared" si="2"/>
        <v>374.6</v>
      </c>
      <c r="I35" s="373">
        <f t="shared" si="2"/>
        <v>788.1</v>
      </c>
      <c r="J35" s="373">
        <f t="shared" si="2"/>
        <v>1082.5</v>
      </c>
      <c r="K35" s="373">
        <f t="shared" si="2"/>
        <v>377.5</v>
      </c>
      <c r="L35" s="373">
        <f t="shared" si="2"/>
        <v>220</v>
      </c>
      <c r="M35" s="373">
        <f t="shared" si="2"/>
        <v>153.5</v>
      </c>
      <c r="N35" s="353">
        <f t="shared" si="2"/>
        <v>86.2</v>
      </c>
      <c r="O35" s="352">
        <f t="shared" ref="O35" si="3">MAX(O5:O34)</f>
        <v>1845.8</v>
      </c>
      <c r="P35" s="353">
        <f>MAX(P5:P34)</f>
        <v>153.80000000000001</v>
      </c>
    </row>
    <row r="36" spans="2:16" ht="22.5" customHeight="1">
      <c r="B36" s="374" t="s">
        <v>37</v>
      </c>
      <c r="C36" s="375">
        <f>ROUND(MIN(C5:C34),1)</f>
        <v>0.6</v>
      </c>
      <c r="D36" s="375">
        <f t="shared" ref="D36:N36" si="4">ROUND(MIN(D5:D34),1)</f>
        <v>2.2999999999999998</v>
      </c>
      <c r="E36" s="375">
        <f t="shared" si="4"/>
        <v>6.1</v>
      </c>
      <c r="F36" s="375">
        <f t="shared" si="4"/>
        <v>13.5</v>
      </c>
      <c r="G36" s="375">
        <f t="shared" si="4"/>
        <v>9.8000000000000007</v>
      </c>
      <c r="H36" s="375">
        <f t="shared" si="4"/>
        <v>14.5</v>
      </c>
      <c r="I36" s="375">
        <f t="shared" si="4"/>
        <v>83</v>
      </c>
      <c r="J36" s="375">
        <f t="shared" si="4"/>
        <v>63.5</v>
      </c>
      <c r="K36" s="375">
        <f t="shared" si="4"/>
        <v>8</v>
      </c>
      <c r="L36" s="375">
        <f t="shared" si="4"/>
        <v>4.5</v>
      </c>
      <c r="M36" s="375">
        <f t="shared" si="4"/>
        <v>6.3</v>
      </c>
      <c r="N36" s="349">
        <f t="shared" si="4"/>
        <v>5.4</v>
      </c>
      <c r="O36" s="354">
        <f>ROUND(MIN(O5:O34),1)</f>
        <v>728</v>
      </c>
      <c r="P36" s="355">
        <f>ROUND(MIN(P5:P34),1)</f>
        <v>60.7</v>
      </c>
    </row>
    <row r="37" spans="2:16" ht="22.5" customHeight="1" thickBot="1">
      <c r="B37" s="376" t="s">
        <v>45</v>
      </c>
      <c r="C37" s="377">
        <f>ROUND(AVERAGE(C5:C34),1)</f>
        <v>19.8</v>
      </c>
      <c r="D37" s="377">
        <f t="shared" ref="D37:N37" si="5">ROUND(AVERAGE(D5:D34),1)</f>
        <v>23.3</v>
      </c>
      <c r="E37" s="377">
        <f t="shared" si="5"/>
        <v>39</v>
      </c>
      <c r="F37" s="377">
        <f t="shared" si="5"/>
        <v>66.7</v>
      </c>
      <c r="G37" s="377">
        <f t="shared" si="5"/>
        <v>78.900000000000006</v>
      </c>
      <c r="H37" s="377">
        <f t="shared" si="5"/>
        <v>131.4</v>
      </c>
      <c r="I37" s="377">
        <f t="shared" si="5"/>
        <v>288.39999999999998</v>
      </c>
      <c r="J37" s="377">
        <f t="shared" si="5"/>
        <v>306.39999999999998</v>
      </c>
      <c r="K37" s="377">
        <f t="shared" si="5"/>
        <v>146.69999999999999</v>
      </c>
      <c r="L37" s="377">
        <f t="shared" si="5"/>
        <v>58.6</v>
      </c>
      <c r="M37" s="377">
        <f t="shared" si="5"/>
        <v>49.2</v>
      </c>
      <c r="N37" s="378">
        <f t="shared" si="5"/>
        <v>27.8</v>
      </c>
      <c r="O37" s="429">
        <f>ROUND(AVERAGE(O5:O34),1)</f>
        <v>1236.0999999999999</v>
      </c>
      <c r="P37" s="357">
        <f>ROUND(AVERAGE(P5:P34),1)</f>
        <v>103</v>
      </c>
    </row>
    <row r="38" spans="2:16" ht="21.95" customHeight="1"/>
    <row r="39" spans="2:16" ht="21.95" customHeight="1" thickBot="1"/>
    <row r="40" spans="2:16" ht="34.5" customHeight="1">
      <c r="B40" s="420" t="s">
        <v>40</v>
      </c>
      <c r="C40" s="421" t="s">
        <v>31</v>
      </c>
      <c r="D40" s="421" t="s">
        <v>32</v>
      </c>
      <c r="E40" s="421" t="s">
        <v>33</v>
      </c>
      <c r="F40" s="421" t="s">
        <v>34</v>
      </c>
      <c r="G40" s="421" t="s">
        <v>35</v>
      </c>
      <c r="H40" s="421" t="s">
        <v>12</v>
      </c>
      <c r="I40" s="421" t="s">
        <v>13</v>
      </c>
      <c r="J40" s="421" t="s">
        <v>14</v>
      </c>
      <c r="K40" s="421" t="s">
        <v>15</v>
      </c>
      <c r="L40" s="421" t="s">
        <v>16</v>
      </c>
      <c r="M40" s="421" t="s">
        <v>17</v>
      </c>
      <c r="N40" s="422" t="s">
        <v>18</v>
      </c>
      <c r="O40" s="423" t="s">
        <v>43</v>
      </c>
      <c r="P40" s="422" t="s">
        <v>30</v>
      </c>
    </row>
    <row r="41" spans="2:16" ht="22.5" customHeight="1">
      <c r="B41" s="379">
        <f>B25</f>
        <v>2014</v>
      </c>
      <c r="C41" s="380">
        <f t="shared" ref="C41:N41" si="6">C25</f>
        <v>4.9000000000000004</v>
      </c>
      <c r="D41" s="380">
        <f t="shared" si="6"/>
        <v>14.7</v>
      </c>
      <c r="E41" s="380">
        <f t="shared" si="6"/>
        <v>40.9</v>
      </c>
      <c r="F41" s="380">
        <f t="shared" si="6"/>
        <v>62.1</v>
      </c>
      <c r="G41" s="380">
        <f t="shared" si="6"/>
        <v>34.6</v>
      </c>
      <c r="H41" s="380">
        <f t="shared" si="6"/>
        <v>73.900000000000006</v>
      </c>
      <c r="I41" s="380">
        <f t="shared" si="6"/>
        <v>239</v>
      </c>
      <c r="J41" s="380">
        <f t="shared" si="6"/>
        <v>218.7</v>
      </c>
      <c r="K41" s="380">
        <f t="shared" si="6"/>
        <v>144</v>
      </c>
      <c r="L41" s="380">
        <f t="shared" si="6"/>
        <v>119.5</v>
      </c>
      <c r="M41" s="380">
        <f t="shared" si="6"/>
        <v>28.9</v>
      </c>
      <c r="N41" s="355">
        <f t="shared" si="6"/>
        <v>38.9</v>
      </c>
      <c r="O41" s="354">
        <f>ROUND(SUM(C41:N41),1)</f>
        <v>1020.1</v>
      </c>
      <c r="P41" s="355">
        <f>ROUND(O41/12,1)</f>
        <v>85</v>
      </c>
    </row>
    <row r="42" spans="2:16" ht="22.5" customHeight="1">
      <c r="B42" s="379">
        <f t="shared" ref="B42:N42" si="7">B26</f>
        <v>2015</v>
      </c>
      <c r="C42" s="380">
        <f t="shared" si="7"/>
        <v>12.7</v>
      </c>
      <c r="D42" s="380">
        <f t="shared" si="7"/>
        <v>21.5</v>
      </c>
      <c r="E42" s="380">
        <f t="shared" si="7"/>
        <v>23.3</v>
      </c>
      <c r="F42" s="380">
        <f t="shared" si="7"/>
        <v>87.6</v>
      </c>
      <c r="G42" s="380">
        <f t="shared" si="7"/>
        <v>27.5</v>
      </c>
      <c r="H42" s="380">
        <f t="shared" si="7"/>
        <v>86</v>
      </c>
      <c r="I42" s="380">
        <f t="shared" si="7"/>
        <v>136.80000000000001</v>
      </c>
      <c r="J42" s="380">
        <f t="shared" si="7"/>
        <v>64.2</v>
      </c>
      <c r="K42" s="380">
        <f t="shared" si="7"/>
        <v>29</v>
      </c>
      <c r="L42" s="380">
        <f t="shared" si="7"/>
        <v>69</v>
      </c>
      <c r="M42" s="380">
        <f t="shared" si="7"/>
        <v>128.6</v>
      </c>
      <c r="N42" s="355">
        <f t="shared" si="7"/>
        <v>41.8</v>
      </c>
      <c r="O42" s="354">
        <f t="shared" ref="O42:O50" si="8">ROUND(SUM(C42:N42),1)</f>
        <v>728</v>
      </c>
      <c r="P42" s="355">
        <f t="shared" ref="P42:P50" si="9">ROUND(O42/12,1)</f>
        <v>60.7</v>
      </c>
    </row>
    <row r="43" spans="2:16" ht="22.5" customHeight="1">
      <c r="B43" s="379">
        <f t="shared" ref="B43:N43" si="10">B27</f>
        <v>2016</v>
      </c>
      <c r="C43" s="380">
        <f t="shared" si="10"/>
        <v>8</v>
      </c>
      <c r="D43" s="380">
        <f t="shared" si="10"/>
        <v>43.6</v>
      </c>
      <c r="E43" s="380">
        <f t="shared" si="10"/>
        <v>16.5</v>
      </c>
      <c r="F43" s="380">
        <f t="shared" si="10"/>
        <v>118.3</v>
      </c>
      <c r="G43" s="380">
        <f t="shared" si="10"/>
        <v>107.2</v>
      </c>
      <c r="H43" s="380">
        <f t="shared" si="10"/>
        <v>36.200000000000003</v>
      </c>
      <c r="I43" s="380">
        <f t="shared" si="10"/>
        <v>364.3</v>
      </c>
      <c r="J43" s="380">
        <f t="shared" si="10"/>
        <v>82</v>
      </c>
      <c r="K43" s="380">
        <f t="shared" si="10"/>
        <v>55</v>
      </c>
      <c r="L43" s="380">
        <f t="shared" si="10"/>
        <v>95.9</v>
      </c>
      <c r="M43" s="380">
        <f t="shared" si="10"/>
        <v>33.5</v>
      </c>
      <c r="N43" s="355">
        <f t="shared" si="10"/>
        <v>44.3</v>
      </c>
      <c r="O43" s="354">
        <f t="shared" si="8"/>
        <v>1004.8</v>
      </c>
      <c r="P43" s="355">
        <f t="shared" si="9"/>
        <v>83.7</v>
      </c>
    </row>
    <row r="44" spans="2:16" ht="22.5" customHeight="1">
      <c r="B44" s="379">
        <f t="shared" ref="B44:N44" si="11">B28</f>
        <v>2017</v>
      </c>
      <c r="C44" s="380">
        <f t="shared" si="11"/>
        <v>13.9</v>
      </c>
      <c r="D44" s="380">
        <f t="shared" si="11"/>
        <v>32.200000000000003</v>
      </c>
      <c r="E44" s="380">
        <f t="shared" si="11"/>
        <v>6.5</v>
      </c>
      <c r="F44" s="380">
        <f t="shared" si="11"/>
        <v>42.9</v>
      </c>
      <c r="G44" s="380">
        <f t="shared" si="11"/>
        <v>14.3</v>
      </c>
      <c r="H44" s="380">
        <f t="shared" si="11"/>
        <v>15.6</v>
      </c>
      <c r="I44" s="380">
        <f t="shared" si="11"/>
        <v>788.1</v>
      </c>
      <c r="J44" s="380">
        <f t="shared" si="11"/>
        <v>291.5</v>
      </c>
      <c r="K44" s="380">
        <f t="shared" si="11"/>
        <v>43.3</v>
      </c>
      <c r="L44" s="380">
        <f t="shared" si="11"/>
        <v>14.1</v>
      </c>
      <c r="M44" s="380">
        <f t="shared" si="11"/>
        <v>23.8</v>
      </c>
      <c r="N44" s="355">
        <f t="shared" si="11"/>
        <v>18.8</v>
      </c>
      <c r="O44" s="354">
        <f t="shared" si="8"/>
        <v>1305</v>
      </c>
      <c r="P44" s="355">
        <f t="shared" si="9"/>
        <v>108.8</v>
      </c>
    </row>
    <row r="45" spans="2:16" ht="22.5" customHeight="1">
      <c r="B45" s="379">
        <f t="shared" ref="B45:N45" si="12">B29</f>
        <v>2018</v>
      </c>
      <c r="C45" s="380">
        <f t="shared" si="12"/>
        <v>14</v>
      </c>
      <c r="D45" s="380">
        <f t="shared" si="12"/>
        <v>31.6</v>
      </c>
      <c r="E45" s="380">
        <f t="shared" si="12"/>
        <v>62.2</v>
      </c>
      <c r="F45" s="380">
        <f t="shared" si="12"/>
        <v>117</v>
      </c>
      <c r="G45" s="380">
        <f t="shared" si="12"/>
        <v>82.7</v>
      </c>
      <c r="H45" s="380">
        <f t="shared" si="12"/>
        <v>88.9</v>
      </c>
      <c r="I45" s="380">
        <f t="shared" si="12"/>
        <v>185.8</v>
      </c>
      <c r="J45" s="380">
        <f t="shared" si="12"/>
        <v>282.7</v>
      </c>
      <c r="K45" s="380">
        <f t="shared" si="12"/>
        <v>124.6</v>
      </c>
      <c r="L45" s="380">
        <f t="shared" si="12"/>
        <v>99.8</v>
      </c>
      <c r="M45" s="380">
        <f t="shared" si="12"/>
        <v>48.3</v>
      </c>
      <c r="N45" s="355">
        <f t="shared" si="12"/>
        <v>25.8</v>
      </c>
      <c r="O45" s="354">
        <f t="shared" si="8"/>
        <v>1163.4000000000001</v>
      </c>
      <c r="P45" s="355">
        <f t="shared" si="9"/>
        <v>97</v>
      </c>
    </row>
    <row r="46" spans="2:16" ht="22.5" customHeight="1">
      <c r="B46" s="379">
        <f t="shared" ref="B46:N46" si="13">B30</f>
        <v>2019</v>
      </c>
      <c r="C46" s="380">
        <f t="shared" si="13"/>
        <v>0.6</v>
      </c>
      <c r="D46" s="380">
        <f t="shared" si="13"/>
        <v>25.5</v>
      </c>
      <c r="E46" s="380">
        <f t="shared" si="13"/>
        <v>26.9</v>
      </c>
      <c r="F46" s="380">
        <f t="shared" si="13"/>
        <v>43.9</v>
      </c>
      <c r="G46" s="380">
        <f t="shared" si="13"/>
        <v>15.1</v>
      </c>
      <c r="H46" s="380">
        <f t="shared" si="13"/>
        <v>84.9</v>
      </c>
      <c r="I46" s="380">
        <f t="shared" si="13"/>
        <v>234.7</v>
      </c>
      <c r="J46" s="380">
        <f t="shared" si="13"/>
        <v>90.7</v>
      </c>
      <c r="K46" s="380">
        <f t="shared" si="13"/>
        <v>102.8</v>
      </c>
      <c r="L46" s="380">
        <f t="shared" si="13"/>
        <v>81.900000000000006</v>
      </c>
      <c r="M46" s="380">
        <f t="shared" si="13"/>
        <v>120.6</v>
      </c>
      <c r="N46" s="355">
        <f t="shared" si="13"/>
        <v>18</v>
      </c>
      <c r="O46" s="354">
        <f t="shared" si="8"/>
        <v>845.6</v>
      </c>
      <c r="P46" s="355">
        <f t="shared" si="9"/>
        <v>70.5</v>
      </c>
    </row>
    <row r="47" spans="2:16" ht="22.5" customHeight="1">
      <c r="B47" s="379">
        <f t="shared" ref="B47:N47" si="14">B31</f>
        <v>2020</v>
      </c>
      <c r="C47" s="380">
        <f t="shared" si="14"/>
        <v>59.7</v>
      </c>
      <c r="D47" s="380">
        <f t="shared" si="14"/>
        <v>63.1</v>
      </c>
      <c r="E47" s="380">
        <f t="shared" si="14"/>
        <v>21.7</v>
      </c>
      <c r="F47" s="380">
        <f t="shared" si="14"/>
        <v>15.1</v>
      </c>
      <c r="G47" s="380">
        <f t="shared" si="14"/>
        <v>86.4</v>
      </c>
      <c r="H47" s="380">
        <f t="shared" si="14"/>
        <v>121.9</v>
      </c>
      <c r="I47" s="380">
        <f t="shared" si="14"/>
        <v>356.4</v>
      </c>
      <c r="J47" s="380">
        <f t="shared" si="14"/>
        <v>481.7</v>
      </c>
      <c r="K47" s="380">
        <f t="shared" si="14"/>
        <v>167.2</v>
      </c>
      <c r="L47" s="380">
        <f t="shared" si="14"/>
        <v>18.899999999999999</v>
      </c>
      <c r="M47" s="380">
        <f t="shared" si="14"/>
        <v>45.9</v>
      </c>
      <c r="N47" s="355">
        <f t="shared" si="14"/>
        <v>5.5</v>
      </c>
      <c r="O47" s="354">
        <f t="shared" si="8"/>
        <v>1443.5</v>
      </c>
      <c r="P47" s="355">
        <f t="shared" si="9"/>
        <v>120.3</v>
      </c>
    </row>
    <row r="48" spans="2:16" ht="22.5" customHeight="1">
      <c r="B48" s="379">
        <f t="shared" ref="B48:N48" si="15">B32</f>
        <v>2021</v>
      </c>
      <c r="C48" s="380">
        <f t="shared" si="15"/>
        <v>17.8</v>
      </c>
      <c r="D48" s="380">
        <f t="shared" si="15"/>
        <v>9.1999999999999993</v>
      </c>
      <c r="E48" s="380">
        <f t="shared" si="15"/>
        <v>75.3</v>
      </c>
      <c r="F48" s="380">
        <f t="shared" si="15"/>
        <v>54.7</v>
      </c>
      <c r="G48" s="380">
        <f t="shared" si="15"/>
        <v>135.9</v>
      </c>
      <c r="H48" s="380">
        <f t="shared" si="15"/>
        <v>44.8</v>
      </c>
      <c r="I48" s="380">
        <f t="shared" si="15"/>
        <v>117.6</v>
      </c>
      <c r="J48" s="380">
        <f t="shared" si="15"/>
        <v>230</v>
      </c>
      <c r="K48" s="380">
        <f t="shared" si="15"/>
        <v>250.8</v>
      </c>
      <c r="L48" s="380">
        <f t="shared" si="15"/>
        <v>49.5</v>
      </c>
      <c r="M48" s="380">
        <f t="shared" si="15"/>
        <v>67.900000000000006</v>
      </c>
      <c r="N48" s="355">
        <f t="shared" si="15"/>
        <v>5.4</v>
      </c>
      <c r="O48" s="354">
        <f t="shared" si="8"/>
        <v>1058.9000000000001</v>
      </c>
      <c r="P48" s="355">
        <f t="shared" si="9"/>
        <v>88.2</v>
      </c>
    </row>
    <row r="49" spans="2:16" ht="22.5" customHeight="1">
      <c r="B49" s="379">
        <f t="shared" ref="B49:N49" si="16">B33</f>
        <v>2022</v>
      </c>
      <c r="C49" s="380">
        <f t="shared" si="16"/>
        <v>3.3</v>
      </c>
      <c r="D49" s="380">
        <f t="shared" si="16"/>
        <v>3.3</v>
      </c>
      <c r="E49" s="380">
        <f t="shared" si="16"/>
        <v>57.6</v>
      </c>
      <c r="F49" s="380">
        <f t="shared" si="16"/>
        <v>51.6</v>
      </c>
      <c r="G49" s="380">
        <f t="shared" si="16"/>
        <v>9.8000000000000007</v>
      </c>
      <c r="H49" s="380">
        <f t="shared" si="16"/>
        <v>168</v>
      </c>
      <c r="I49" s="380">
        <f t="shared" si="16"/>
        <v>117</v>
      </c>
      <c r="J49" s="380">
        <f t="shared" si="16"/>
        <v>366.6</v>
      </c>
      <c r="K49" s="380">
        <f t="shared" si="16"/>
        <v>133.30000000000001</v>
      </c>
      <c r="L49" s="380">
        <f t="shared" si="16"/>
        <v>98.2</v>
      </c>
      <c r="M49" s="380">
        <f t="shared" si="16"/>
        <v>43.2</v>
      </c>
      <c r="N49" s="355">
        <f t="shared" si="16"/>
        <v>28.8</v>
      </c>
      <c r="O49" s="354">
        <f t="shared" si="8"/>
        <v>1080.7</v>
      </c>
      <c r="P49" s="355">
        <f t="shared" si="9"/>
        <v>90.1</v>
      </c>
    </row>
    <row r="50" spans="2:16" ht="22.5" customHeight="1" thickBot="1">
      <c r="B50" s="381">
        <f t="shared" ref="B50:N50" si="17">B34</f>
        <v>2023</v>
      </c>
      <c r="C50" s="382">
        <f t="shared" si="17"/>
        <v>31</v>
      </c>
      <c r="D50" s="382">
        <f t="shared" si="17"/>
        <v>3.1</v>
      </c>
      <c r="E50" s="382">
        <f>E34</f>
        <v>16.399999999999999</v>
      </c>
      <c r="F50" s="382">
        <f t="shared" si="17"/>
        <v>29.6</v>
      </c>
      <c r="G50" s="382">
        <f t="shared" si="17"/>
        <v>116.9</v>
      </c>
      <c r="H50" s="382">
        <f t="shared" si="17"/>
        <v>178.9</v>
      </c>
      <c r="I50" s="382">
        <f t="shared" si="17"/>
        <v>574.9</v>
      </c>
      <c r="J50" s="382">
        <f t="shared" si="17"/>
        <v>196.5</v>
      </c>
      <c r="K50" s="382">
        <f t="shared" si="17"/>
        <v>180.1</v>
      </c>
      <c r="L50" s="382">
        <f t="shared" si="17"/>
        <v>28.7</v>
      </c>
      <c r="M50" s="382">
        <f t="shared" si="17"/>
        <v>56.9</v>
      </c>
      <c r="N50" s="357">
        <f t="shared" si="17"/>
        <v>86.2</v>
      </c>
      <c r="O50" s="356">
        <f t="shared" si="8"/>
        <v>1499.2</v>
      </c>
      <c r="P50" s="357">
        <f t="shared" si="9"/>
        <v>124.9</v>
      </c>
    </row>
    <row r="51" spans="2:16" ht="22.5" customHeight="1">
      <c r="B51" s="383" t="s">
        <v>46</v>
      </c>
      <c r="C51" s="384">
        <f>MAX(C41:C50)</f>
        <v>59.7</v>
      </c>
      <c r="D51" s="384">
        <f t="shared" ref="D51:P51" si="18">MAX(D41:D50)</f>
        <v>63.1</v>
      </c>
      <c r="E51" s="384">
        <f t="shared" si="18"/>
        <v>75.3</v>
      </c>
      <c r="F51" s="384">
        <f t="shared" si="18"/>
        <v>118.3</v>
      </c>
      <c r="G51" s="384">
        <f t="shared" si="18"/>
        <v>135.9</v>
      </c>
      <c r="H51" s="384">
        <f t="shared" si="18"/>
        <v>178.9</v>
      </c>
      <c r="I51" s="384">
        <f t="shared" si="18"/>
        <v>788.1</v>
      </c>
      <c r="J51" s="384">
        <f t="shared" si="18"/>
        <v>481.7</v>
      </c>
      <c r="K51" s="384">
        <f t="shared" si="18"/>
        <v>250.8</v>
      </c>
      <c r="L51" s="384">
        <f t="shared" si="18"/>
        <v>119.5</v>
      </c>
      <c r="M51" s="384">
        <f t="shared" si="18"/>
        <v>128.6</v>
      </c>
      <c r="N51" s="359">
        <f t="shared" si="18"/>
        <v>86.2</v>
      </c>
      <c r="O51" s="358">
        <f t="shared" si="18"/>
        <v>1499.2</v>
      </c>
      <c r="P51" s="359">
        <f t="shared" si="18"/>
        <v>124.9</v>
      </c>
    </row>
    <row r="52" spans="2:16" ht="22.5" customHeight="1">
      <c r="B52" s="379" t="s">
        <v>47</v>
      </c>
      <c r="C52" s="380">
        <f>MIN(C41:C50)</f>
        <v>0.6</v>
      </c>
      <c r="D52" s="380">
        <f t="shared" ref="D52:P52" si="19">MIN(D41:D50)</f>
        <v>3.1</v>
      </c>
      <c r="E52" s="380">
        <f t="shared" si="19"/>
        <v>6.5</v>
      </c>
      <c r="F52" s="380">
        <f t="shared" si="19"/>
        <v>15.1</v>
      </c>
      <c r="G52" s="380">
        <f t="shared" si="19"/>
        <v>9.8000000000000007</v>
      </c>
      <c r="H52" s="380">
        <f t="shared" si="19"/>
        <v>15.6</v>
      </c>
      <c r="I52" s="380">
        <f t="shared" si="19"/>
        <v>117</v>
      </c>
      <c r="J52" s="380">
        <f t="shared" si="19"/>
        <v>64.2</v>
      </c>
      <c r="K52" s="380">
        <f t="shared" si="19"/>
        <v>29</v>
      </c>
      <c r="L52" s="380">
        <f t="shared" si="19"/>
        <v>14.1</v>
      </c>
      <c r="M52" s="380">
        <f t="shared" si="19"/>
        <v>23.8</v>
      </c>
      <c r="N52" s="355">
        <f t="shared" si="19"/>
        <v>5.4</v>
      </c>
      <c r="O52" s="354">
        <f>MIN(O41:O50)</f>
        <v>728</v>
      </c>
      <c r="P52" s="355">
        <f t="shared" si="19"/>
        <v>60.7</v>
      </c>
    </row>
    <row r="53" spans="2:16" ht="22.5" customHeight="1" thickBot="1">
      <c r="B53" s="381" t="s">
        <v>30</v>
      </c>
      <c r="C53" s="382">
        <f>ROUND(AVERAGE(C41:C50),1)</f>
        <v>16.600000000000001</v>
      </c>
      <c r="D53" s="382">
        <f t="shared" ref="D53:N53" si="20">ROUND(AVERAGE(D41:D50),1)</f>
        <v>24.8</v>
      </c>
      <c r="E53" s="382">
        <f t="shared" si="20"/>
        <v>34.700000000000003</v>
      </c>
      <c r="F53" s="382">
        <f t="shared" si="20"/>
        <v>62.3</v>
      </c>
      <c r="G53" s="382">
        <f t="shared" si="20"/>
        <v>63</v>
      </c>
      <c r="H53" s="382">
        <f t="shared" si="20"/>
        <v>89.9</v>
      </c>
      <c r="I53" s="382">
        <f t="shared" si="20"/>
        <v>311.5</v>
      </c>
      <c r="J53" s="382">
        <f t="shared" si="20"/>
        <v>230.5</v>
      </c>
      <c r="K53" s="382">
        <f t="shared" si="20"/>
        <v>123</v>
      </c>
      <c r="L53" s="382">
        <f t="shared" si="20"/>
        <v>67.599999999999994</v>
      </c>
      <c r="M53" s="382">
        <f t="shared" si="20"/>
        <v>59.8</v>
      </c>
      <c r="N53" s="357">
        <f t="shared" si="20"/>
        <v>31.4</v>
      </c>
      <c r="O53" s="429">
        <f>ROUND(AVERAGE(O41:O50),1)</f>
        <v>1114.9000000000001</v>
      </c>
      <c r="P53" s="357">
        <f>ROUND(AVERAGE(P41:P50),1)</f>
        <v>92.9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U82" sqref="U82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9.1</v>
      </c>
      <c r="D3" s="75">
        <f>All!D5</f>
        <v>10.1</v>
      </c>
      <c r="E3" s="75">
        <f>All!E5</f>
        <v>39.5</v>
      </c>
      <c r="F3" s="75">
        <f>All!F5</f>
        <v>13.5</v>
      </c>
      <c r="G3" s="75">
        <f>All!G5</f>
        <v>106.5</v>
      </c>
      <c r="H3" s="75">
        <f>All!H5</f>
        <v>160.5</v>
      </c>
      <c r="I3" s="75">
        <f>All!I5</f>
        <v>98</v>
      </c>
      <c r="J3" s="75">
        <f>All!J5</f>
        <v>418</v>
      </c>
      <c r="K3" s="75">
        <f>All!K5</f>
        <v>52</v>
      </c>
      <c r="L3" s="75">
        <f>All!L5</f>
        <v>220</v>
      </c>
      <c r="M3" s="75">
        <f>All!M5</f>
        <v>22</v>
      </c>
      <c r="N3" s="75">
        <f>All!N5</f>
        <v>21</v>
      </c>
      <c r="O3" s="75">
        <f>All!O5</f>
        <v>1170.2</v>
      </c>
      <c r="P3" s="76">
        <f>All!P5</f>
        <v>97.5</v>
      </c>
    </row>
    <row r="4" spans="2:16">
      <c r="B4" s="74">
        <f>All!B6</f>
        <v>1995</v>
      </c>
      <c r="C4" s="75">
        <f>All!C6</f>
        <v>19</v>
      </c>
      <c r="D4" s="75">
        <f>All!D6</f>
        <v>8.1999999999999993</v>
      </c>
      <c r="E4" s="75">
        <f>All!E6</f>
        <v>25.3</v>
      </c>
      <c r="F4" s="75">
        <f>All!F6</f>
        <v>47</v>
      </c>
      <c r="G4" s="75">
        <f>All!G6</f>
        <v>48</v>
      </c>
      <c r="H4" s="75">
        <f>All!H6</f>
        <v>14.5</v>
      </c>
      <c r="I4" s="75">
        <f>All!I6</f>
        <v>239.9</v>
      </c>
      <c r="J4" s="75">
        <f>All!J6</f>
        <v>1082.5</v>
      </c>
      <c r="K4" s="75">
        <f>All!K6</f>
        <v>29</v>
      </c>
      <c r="L4" s="75">
        <f>All!L6</f>
        <v>23.5</v>
      </c>
      <c r="M4" s="75">
        <f>All!M6</f>
        <v>40.200000000000003</v>
      </c>
      <c r="N4" s="75">
        <f>All!N6</f>
        <v>8.9</v>
      </c>
      <c r="O4" s="75">
        <f>All!O6</f>
        <v>1586</v>
      </c>
      <c r="P4" s="76">
        <f>All!P6</f>
        <v>132.19999999999999</v>
      </c>
    </row>
    <row r="5" spans="2:16">
      <c r="B5" s="74">
        <f>All!B7</f>
        <v>1996</v>
      </c>
      <c r="C5" s="75">
        <f>All!C7</f>
        <v>29.5</v>
      </c>
      <c r="D5" s="75">
        <f>All!D7</f>
        <v>10.199999999999999</v>
      </c>
      <c r="E5" s="75">
        <f>All!E7</f>
        <v>115</v>
      </c>
      <c r="F5" s="75">
        <f>All!F7</f>
        <v>54.5</v>
      </c>
      <c r="G5" s="75">
        <f>All!G7</f>
        <v>19</v>
      </c>
      <c r="H5" s="75">
        <f>All!H7</f>
        <v>237</v>
      </c>
      <c r="I5" s="75">
        <f>All!I7</f>
        <v>177.5</v>
      </c>
      <c r="J5" s="75">
        <f>All!J7</f>
        <v>116.5</v>
      </c>
      <c r="K5" s="75">
        <f>All!K7</f>
        <v>8</v>
      </c>
      <c r="L5" s="75">
        <f>All!L7</f>
        <v>102.5</v>
      </c>
      <c r="M5" s="75">
        <f>All!M7</f>
        <v>71.599999999999994</v>
      </c>
      <c r="N5" s="75">
        <f>All!N7</f>
        <v>26.2</v>
      </c>
      <c r="O5" s="75">
        <f>All!O7</f>
        <v>967.5</v>
      </c>
      <c r="P5" s="76">
        <f>All!P7</f>
        <v>80.599999999999994</v>
      </c>
    </row>
    <row r="6" spans="2:16">
      <c r="B6" s="74">
        <f>All!B8</f>
        <v>1997</v>
      </c>
      <c r="C6" s="75">
        <f>All!C8</f>
        <v>10.7</v>
      </c>
      <c r="D6" s="75">
        <f>All!D8</f>
        <v>44.1</v>
      </c>
      <c r="E6" s="75">
        <f>All!E8</f>
        <v>30</v>
      </c>
      <c r="F6" s="75">
        <f>All!F8</f>
        <v>66.5</v>
      </c>
      <c r="G6" s="75">
        <f>All!G8</f>
        <v>211</v>
      </c>
      <c r="H6" s="75">
        <f>All!H8</f>
        <v>191.5</v>
      </c>
      <c r="I6" s="75">
        <f>All!I8</f>
        <v>305</v>
      </c>
      <c r="J6" s="75">
        <f>All!J8</f>
        <v>175.5</v>
      </c>
      <c r="K6" s="75">
        <f>All!K8</f>
        <v>14.5</v>
      </c>
      <c r="L6" s="75">
        <f>All!L8</f>
        <v>23</v>
      </c>
      <c r="M6" s="75">
        <f>All!M8</f>
        <v>153.5</v>
      </c>
      <c r="N6" s="75">
        <f>All!N8</f>
        <v>43.5</v>
      </c>
      <c r="O6" s="75">
        <f>All!O8</f>
        <v>1268.8</v>
      </c>
      <c r="P6" s="76">
        <f>All!P8</f>
        <v>105.7</v>
      </c>
    </row>
    <row r="7" spans="2:16">
      <c r="B7" s="74">
        <f>All!B9</f>
        <v>1998</v>
      </c>
      <c r="C7" s="75">
        <f>All!C9</f>
        <v>20.399999999999999</v>
      </c>
      <c r="D7" s="75">
        <f>All!D9</f>
        <v>27.9</v>
      </c>
      <c r="E7" s="75">
        <f>All!E9</f>
        <v>29.5</v>
      </c>
      <c r="F7" s="75">
        <f>All!F9</f>
        <v>120.5</v>
      </c>
      <c r="G7" s="75">
        <f>All!G9</f>
        <v>85</v>
      </c>
      <c r="H7" s="75">
        <f>All!H9</f>
        <v>219.5</v>
      </c>
      <c r="I7" s="75">
        <f>All!I9</f>
        <v>277</v>
      </c>
      <c r="J7" s="75">
        <f>All!J9</f>
        <v>408.1</v>
      </c>
      <c r="K7" s="75">
        <f>All!K9</f>
        <v>283</v>
      </c>
      <c r="L7" s="75">
        <f>All!L9</f>
        <v>51.5</v>
      </c>
      <c r="M7" s="75">
        <f>All!M9</f>
        <v>52.8</v>
      </c>
      <c r="N7" s="75">
        <f>All!N9</f>
        <v>8.5</v>
      </c>
      <c r="O7" s="75">
        <f>All!O9</f>
        <v>1583.7</v>
      </c>
      <c r="P7" s="76">
        <f>All!P9</f>
        <v>132</v>
      </c>
    </row>
    <row r="8" spans="2:16">
      <c r="B8" s="74">
        <f>All!B10</f>
        <v>1999</v>
      </c>
      <c r="C8" s="75">
        <f>All!C10</f>
        <v>2.7</v>
      </c>
      <c r="D8" s="75">
        <f>All!D10</f>
        <v>2.8</v>
      </c>
      <c r="E8" s="75">
        <f>All!E10</f>
        <v>46.5</v>
      </c>
      <c r="F8" s="75">
        <f>All!F10</f>
        <v>88.5</v>
      </c>
      <c r="G8" s="75">
        <f>All!G10</f>
        <v>121.5</v>
      </c>
      <c r="H8" s="75">
        <f>All!H10</f>
        <v>163.69999999999999</v>
      </c>
      <c r="I8" s="75">
        <f>All!I10</f>
        <v>138.5</v>
      </c>
      <c r="J8" s="75">
        <f>All!J10</f>
        <v>313.5</v>
      </c>
      <c r="K8" s="75">
        <f>All!K10</f>
        <v>324.5</v>
      </c>
      <c r="L8" s="75">
        <f>All!L10</f>
        <v>134.5</v>
      </c>
      <c r="M8" s="75">
        <f>All!M10</f>
        <v>16.5</v>
      </c>
      <c r="N8" s="75">
        <f>All!N10</f>
        <v>11.9</v>
      </c>
      <c r="O8" s="75">
        <f>All!O10</f>
        <v>1365.1</v>
      </c>
      <c r="P8" s="76">
        <f>All!P10</f>
        <v>113.8</v>
      </c>
    </row>
    <row r="9" spans="2:16">
      <c r="B9" s="74">
        <f>All!B11</f>
        <v>2000</v>
      </c>
      <c r="C9" s="75">
        <f>All!C11</f>
        <v>52.3</v>
      </c>
      <c r="D9" s="75">
        <f>All!D11</f>
        <v>2.7</v>
      </c>
      <c r="E9" s="75">
        <f>All!E11</f>
        <v>7.1</v>
      </c>
      <c r="F9" s="75">
        <f>All!F11</f>
        <v>36</v>
      </c>
      <c r="G9" s="75">
        <f>All!G11</f>
        <v>36</v>
      </c>
      <c r="H9" s="75">
        <f>All!H11</f>
        <v>181</v>
      </c>
      <c r="I9" s="75">
        <f>All!I11</f>
        <v>83</v>
      </c>
      <c r="J9" s="75">
        <f>All!J11</f>
        <v>636</v>
      </c>
      <c r="K9" s="75">
        <f>All!K11</f>
        <v>287.5</v>
      </c>
      <c r="L9" s="75">
        <f>All!L11</f>
        <v>32</v>
      </c>
      <c r="M9" s="75">
        <f>All!M11</f>
        <v>32</v>
      </c>
      <c r="N9" s="75">
        <f>All!N11</f>
        <v>22.5</v>
      </c>
      <c r="O9" s="75">
        <f>All!O11</f>
        <v>1408.1</v>
      </c>
      <c r="P9" s="76">
        <f>All!P11</f>
        <v>117.3</v>
      </c>
    </row>
    <row r="10" spans="2:16">
      <c r="B10" s="74">
        <f>All!B12</f>
        <v>2001</v>
      </c>
      <c r="C10" s="75">
        <f>All!C12</f>
        <v>43.5</v>
      </c>
      <c r="D10" s="75">
        <f>All!D12</f>
        <v>44</v>
      </c>
      <c r="E10" s="75">
        <f>All!E12</f>
        <v>16.5</v>
      </c>
      <c r="F10" s="75">
        <f>All!F12</f>
        <v>19</v>
      </c>
      <c r="G10" s="75">
        <f>All!G12</f>
        <v>15</v>
      </c>
      <c r="H10" s="75">
        <f>All!H12</f>
        <v>227.5</v>
      </c>
      <c r="I10" s="75">
        <f>All!I12</f>
        <v>178</v>
      </c>
      <c r="J10" s="75">
        <f>All!J12</f>
        <v>194.5</v>
      </c>
      <c r="K10" s="75">
        <f>All!K12</f>
        <v>12</v>
      </c>
      <c r="L10" s="75">
        <f>All!L12</f>
        <v>63.5</v>
      </c>
      <c r="M10" s="75">
        <f>All!M12</f>
        <v>6.3</v>
      </c>
      <c r="N10" s="75">
        <f>All!N12</f>
        <v>18.399999999999999</v>
      </c>
      <c r="O10" s="75">
        <f>All!O12</f>
        <v>838.2</v>
      </c>
      <c r="P10" s="76">
        <f>All!P12</f>
        <v>69.900000000000006</v>
      </c>
    </row>
    <row r="11" spans="2:16">
      <c r="B11" s="74">
        <f>All!B13</f>
        <v>2002</v>
      </c>
      <c r="C11" s="75">
        <f>All!C13</f>
        <v>45.3</v>
      </c>
      <c r="D11" s="75">
        <f>All!D13</f>
        <v>6</v>
      </c>
      <c r="E11" s="75">
        <f>All!E13</f>
        <v>25.5</v>
      </c>
      <c r="F11" s="75">
        <f>All!F13</f>
        <v>128</v>
      </c>
      <c r="G11" s="75">
        <f>All!G13</f>
        <v>104</v>
      </c>
      <c r="H11" s="75">
        <f>All!H13</f>
        <v>54</v>
      </c>
      <c r="I11" s="75">
        <f>All!I13</f>
        <v>229.5</v>
      </c>
      <c r="J11" s="75">
        <f>All!J13</f>
        <v>481.5</v>
      </c>
      <c r="K11" s="75">
        <f>All!K13</f>
        <v>57</v>
      </c>
      <c r="L11" s="75">
        <f>All!L13</f>
        <v>91.5</v>
      </c>
      <c r="M11" s="75">
        <f>All!M13</f>
        <v>42.1</v>
      </c>
      <c r="N11" s="75">
        <f>All!N13</f>
        <v>48.1</v>
      </c>
      <c r="O11" s="75">
        <f>All!O13</f>
        <v>1312.5</v>
      </c>
      <c r="P11" s="76">
        <f>All!P13</f>
        <v>109.4</v>
      </c>
    </row>
    <row r="12" spans="2:16">
      <c r="B12" s="74">
        <f>All!B14</f>
        <v>2003</v>
      </c>
      <c r="C12" s="75">
        <f>All!C14</f>
        <v>18.600000000000001</v>
      </c>
      <c r="D12" s="75">
        <f>All!D14</f>
        <v>44</v>
      </c>
      <c r="E12" s="75">
        <f>All!E14</f>
        <v>38.1</v>
      </c>
      <c r="F12" s="75">
        <f>All!F14</f>
        <v>172.3</v>
      </c>
      <c r="G12" s="75">
        <f>All!G14</f>
        <v>106</v>
      </c>
      <c r="H12" s="75">
        <f>All!H14</f>
        <v>178.6</v>
      </c>
      <c r="I12" s="75">
        <f>All!I14</f>
        <v>381.2</v>
      </c>
      <c r="J12" s="75">
        <f>All!J14</f>
        <v>334.6</v>
      </c>
      <c r="K12" s="75">
        <f>All!K14</f>
        <v>264.2</v>
      </c>
      <c r="L12" s="75">
        <f>All!L14</f>
        <v>27</v>
      </c>
      <c r="M12" s="75">
        <f>All!M14</f>
        <v>46.7</v>
      </c>
      <c r="N12" s="75">
        <f>All!N14</f>
        <v>17</v>
      </c>
      <c r="O12" s="75">
        <f>All!O14</f>
        <v>1628.3</v>
      </c>
      <c r="P12" s="76">
        <f>All!P14</f>
        <v>135.69999999999999</v>
      </c>
    </row>
    <row r="13" spans="2:16">
      <c r="B13" s="74">
        <f>All!B15</f>
        <v>2004</v>
      </c>
      <c r="C13" s="75">
        <f>All!C15</f>
        <v>16.399999999999999</v>
      </c>
      <c r="D13" s="75">
        <f>All!D15</f>
        <v>21.3</v>
      </c>
      <c r="E13" s="75">
        <f>All!E15</f>
        <v>21.5</v>
      </c>
      <c r="F13" s="75">
        <f>All!F15</f>
        <v>67.5</v>
      </c>
      <c r="G13" s="75">
        <f>All!G15</f>
        <v>127.6</v>
      </c>
      <c r="H13" s="75">
        <f>All!H15</f>
        <v>235</v>
      </c>
      <c r="I13" s="75">
        <f>All!I15</f>
        <v>365.2</v>
      </c>
      <c r="J13" s="75">
        <f>All!J15</f>
        <v>229.3</v>
      </c>
      <c r="K13" s="75">
        <f>All!K15</f>
        <v>189</v>
      </c>
      <c r="L13" s="75">
        <f>All!L15</f>
        <v>4.5</v>
      </c>
      <c r="M13" s="75">
        <f>All!M15</f>
        <v>53</v>
      </c>
      <c r="N13" s="75">
        <f>All!N15</f>
        <v>33</v>
      </c>
      <c r="O13" s="75">
        <f>All!O15</f>
        <v>1363.3</v>
      </c>
      <c r="P13" s="76">
        <f>All!P15</f>
        <v>113.6</v>
      </c>
    </row>
    <row r="14" spans="2:16">
      <c r="B14" s="74">
        <f>All!B16</f>
        <v>2005</v>
      </c>
      <c r="C14" s="75">
        <f>All!C16</f>
        <v>3</v>
      </c>
      <c r="D14" s="75">
        <f>All!D16</f>
        <v>29.8</v>
      </c>
      <c r="E14" s="75">
        <f>All!E16</f>
        <v>37</v>
      </c>
      <c r="F14" s="75">
        <f>All!F16</f>
        <v>53.7</v>
      </c>
      <c r="G14" s="75">
        <f>All!G16</f>
        <v>48</v>
      </c>
      <c r="H14" s="75">
        <f>All!H16</f>
        <v>183</v>
      </c>
      <c r="I14" s="75">
        <f>All!I16</f>
        <v>313.8</v>
      </c>
      <c r="J14" s="75">
        <f>All!J16</f>
        <v>202</v>
      </c>
      <c r="K14" s="75">
        <f>All!K16</f>
        <v>377.5</v>
      </c>
      <c r="L14" s="75">
        <f>All!L16</f>
        <v>26.7</v>
      </c>
      <c r="M14" s="75">
        <f>All!M16</f>
        <v>23.5</v>
      </c>
      <c r="N14" s="75">
        <f>All!N16</f>
        <v>11.3</v>
      </c>
      <c r="O14" s="75">
        <f>All!O16</f>
        <v>1309.3</v>
      </c>
      <c r="P14" s="76">
        <f>All!P16</f>
        <v>109.1</v>
      </c>
    </row>
    <row r="15" spans="2:16">
      <c r="B15" s="74">
        <f>All!B17</f>
        <v>2006</v>
      </c>
      <c r="C15" s="75">
        <f>All!C17</f>
        <v>25.2</v>
      </c>
      <c r="D15" s="75">
        <f>All!D17</f>
        <v>18.5</v>
      </c>
      <c r="E15" s="75">
        <f>All!E17</f>
        <v>6.1</v>
      </c>
      <c r="F15" s="75">
        <f>All!F17</f>
        <v>78.599999999999994</v>
      </c>
      <c r="G15" s="75">
        <f>All!G17</f>
        <v>79</v>
      </c>
      <c r="H15" s="75">
        <f>All!H17</f>
        <v>120</v>
      </c>
      <c r="I15" s="75">
        <f>All!I17</f>
        <v>535.1</v>
      </c>
      <c r="J15" s="75">
        <f>All!J17</f>
        <v>63.5</v>
      </c>
      <c r="K15" s="75">
        <f>All!K17</f>
        <v>22.2</v>
      </c>
      <c r="L15" s="75">
        <f>All!L17</f>
        <v>21.6</v>
      </c>
      <c r="M15" s="75">
        <f>All!M17</f>
        <v>56.3</v>
      </c>
      <c r="N15" s="75">
        <f>All!N17</f>
        <v>17.2</v>
      </c>
      <c r="O15" s="75">
        <f>All!O17</f>
        <v>1043.3</v>
      </c>
      <c r="P15" s="76">
        <f>All!P17</f>
        <v>86.9</v>
      </c>
    </row>
    <row r="16" spans="2:16">
      <c r="B16" s="74">
        <f>All!B18</f>
        <v>2007</v>
      </c>
      <c r="C16" s="75">
        <f>All!C18</f>
        <v>9.4</v>
      </c>
      <c r="D16" s="75">
        <f>All!D18</f>
        <v>34.1</v>
      </c>
      <c r="E16" s="75">
        <f>All!E18</f>
        <v>108.3</v>
      </c>
      <c r="F16" s="75">
        <f>All!F18</f>
        <v>35.299999999999997</v>
      </c>
      <c r="G16" s="75">
        <f>All!G18</f>
        <v>126.2</v>
      </c>
      <c r="H16" s="75">
        <f>All!H18</f>
        <v>106.7</v>
      </c>
      <c r="I16" s="75">
        <f>All!I18</f>
        <v>215.6</v>
      </c>
      <c r="J16" s="75">
        <f>All!J18</f>
        <v>470.6</v>
      </c>
      <c r="K16" s="75">
        <f>All!K18</f>
        <v>353.3</v>
      </c>
      <c r="L16" s="75">
        <f>All!L18</f>
        <v>43.4</v>
      </c>
      <c r="M16" s="75">
        <f>All!M18</f>
        <v>15.6</v>
      </c>
      <c r="N16" s="75">
        <f>All!N18</f>
        <v>43.9</v>
      </c>
      <c r="O16" s="75">
        <f>All!O18</f>
        <v>1562.4</v>
      </c>
      <c r="P16" s="76">
        <f>All!P18</f>
        <v>130.19999999999999</v>
      </c>
    </row>
    <row r="17" spans="2:16">
      <c r="B17" s="74">
        <f>All!B19</f>
        <v>2008</v>
      </c>
      <c r="C17" s="75">
        <f>All!C19</f>
        <v>17.5</v>
      </c>
      <c r="D17" s="75">
        <f>All!D19</f>
        <v>11.1</v>
      </c>
      <c r="E17" s="75">
        <f>All!E19</f>
        <v>40.1</v>
      </c>
      <c r="F17" s="75">
        <f>All!F19</f>
        <v>34</v>
      </c>
      <c r="G17" s="75">
        <f>All!G19</f>
        <v>62.6</v>
      </c>
      <c r="H17" s="75">
        <f>All!H19</f>
        <v>126.7</v>
      </c>
      <c r="I17" s="75">
        <f>All!I19</f>
        <v>287.2</v>
      </c>
      <c r="J17" s="75">
        <f>All!J19</f>
        <v>138.80000000000001</v>
      </c>
      <c r="K17" s="75">
        <f>All!K19</f>
        <v>89.3</v>
      </c>
      <c r="L17" s="75">
        <f>All!L19</f>
        <v>30.4</v>
      </c>
      <c r="M17" s="75">
        <f>All!M19</f>
        <v>16.600000000000001</v>
      </c>
      <c r="N17" s="75">
        <f>All!N19</f>
        <v>15.8</v>
      </c>
      <c r="O17" s="75">
        <f>All!O19</f>
        <v>870.1</v>
      </c>
      <c r="P17" s="76">
        <f>All!P19</f>
        <v>72.5</v>
      </c>
    </row>
    <row r="18" spans="2:16">
      <c r="B18" s="74">
        <f>All!B20</f>
        <v>2009</v>
      </c>
      <c r="C18" s="75">
        <f>All!C20</f>
        <v>13.3</v>
      </c>
      <c r="D18" s="75">
        <f>All!D20</f>
        <v>16</v>
      </c>
      <c r="E18" s="75">
        <f>All!E20</f>
        <v>51.6</v>
      </c>
      <c r="F18" s="75">
        <f>All!F20</f>
        <v>30.6</v>
      </c>
      <c r="G18" s="75">
        <f>All!G20</f>
        <v>112.6</v>
      </c>
      <c r="H18" s="75">
        <f>All!H20</f>
        <v>55.6</v>
      </c>
      <c r="I18" s="75">
        <f>All!I20</f>
        <v>335.8</v>
      </c>
      <c r="J18" s="75">
        <f>All!J20</f>
        <v>212.3</v>
      </c>
      <c r="K18" s="75">
        <f>All!K20</f>
        <v>30.8</v>
      </c>
      <c r="L18" s="75">
        <f>All!L20</f>
        <v>61.1</v>
      </c>
      <c r="M18" s="75">
        <f>All!M20</f>
        <v>39.700000000000003</v>
      </c>
      <c r="N18" s="75">
        <f>All!N20</f>
        <v>40.5</v>
      </c>
      <c r="O18" s="75">
        <f>All!O20</f>
        <v>999.9</v>
      </c>
      <c r="P18" s="76">
        <f>All!P20</f>
        <v>83.3</v>
      </c>
    </row>
    <row r="19" spans="2:16">
      <c r="B19" s="74">
        <f>All!B21</f>
        <v>2010</v>
      </c>
      <c r="C19" s="75">
        <f>All!C21</f>
        <v>40.700000000000003</v>
      </c>
      <c r="D19" s="75">
        <f>All!D21</f>
        <v>50.4</v>
      </c>
      <c r="E19" s="75">
        <f>All!E21</f>
        <v>73.8</v>
      </c>
      <c r="F19" s="75">
        <f>All!F21</f>
        <v>61</v>
      </c>
      <c r="G19" s="75">
        <f>All!G21</f>
        <v>84</v>
      </c>
      <c r="H19" s="75">
        <f>All!H21</f>
        <v>37</v>
      </c>
      <c r="I19" s="75">
        <f>All!I21</f>
        <v>171</v>
      </c>
      <c r="J19" s="75">
        <f>All!J21</f>
        <v>486.1</v>
      </c>
      <c r="K19" s="75">
        <f>All!K21</f>
        <v>316.89999999999998</v>
      </c>
      <c r="L19" s="75">
        <f>All!L21</f>
        <v>19.399999999999999</v>
      </c>
      <c r="M19" s="75">
        <f>All!M21</f>
        <v>13.5</v>
      </c>
      <c r="N19" s="75">
        <f>All!N21</f>
        <v>24.5</v>
      </c>
      <c r="O19" s="75">
        <f>All!O21</f>
        <v>1378.3</v>
      </c>
      <c r="P19" s="76">
        <f>All!P21</f>
        <v>114.9</v>
      </c>
    </row>
    <row r="20" spans="2:16">
      <c r="B20" s="74">
        <f>All!B22</f>
        <v>2011</v>
      </c>
      <c r="C20" s="75">
        <f>All!C22</f>
        <v>7.9</v>
      </c>
      <c r="D20" s="75">
        <f>All!D22</f>
        <v>31</v>
      </c>
      <c r="E20" s="75">
        <f>All!E22</f>
        <v>26.5</v>
      </c>
      <c r="F20" s="75">
        <f>All!F22</f>
        <v>133.19999999999999</v>
      </c>
      <c r="G20" s="75">
        <f>All!G22</f>
        <v>103.3</v>
      </c>
      <c r="H20" s="75">
        <f>All!H22</f>
        <v>374.6</v>
      </c>
      <c r="I20" s="75">
        <f>All!I22</f>
        <v>645.1</v>
      </c>
      <c r="J20" s="75">
        <f>All!J22</f>
        <v>268.2</v>
      </c>
      <c r="K20" s="75">
        <f>All!K22</f>
        <v>153.19999999999999</v>
      </c>
      <c r="L20" s="75">
        <f>All!L22</f>
        <v>26.5</v>
      </c>
      <c r="M20" s="75">
        <f>All!M22</f>
        <v>65.8</v>
      </c>
      <c r="N20" s="75">
        <f>All!N22</f>
        <v>10.5</v>
      </c>
      <c r="O20" s="75">
        <f>All!O22</f>
        <v>1845.8</v>
      </c>
      <c r="P20" s="76">
        <f>All!P22</f>
        <v>153.80000000000001</v>
      </c>
    </row>
    <row r="21" spans="2:16">
      <c r="B21" s="74">
        <f>All!B23</f>
        <v>2012</v>
      </c>
      <c r="C21" s="75">
        <f>All!C23</f>
        <v>14.5</v>
      </c>
      <c r="D21" s="75">
        <f>All!D23</f>
        <v>2.2999999999999998</v>
      </c>
      <c r="E21" s="75">
        <f>All!E23</f>
        <v>44.9</v>
      </c>
      <c r="F21" s="75">
        <f>All!F23</f>
        <v>81.599999999999994</v>
      </c>
      <c r="G21" s="75">
        <f>All!G23</f>
        <v>16.8</v>
      </c>
      <c r="H21" s="75">
        <f>All!H23</f>
        <v>75.099999999999994</v>
      </c>
      <c r="I21" s="75">
        <f>All!I23</f>
        <v>252.5</v>
      </c>
      <c r="J21" s="75">
        <f>All!J23</f>
        <v>483.7</v>
      </c>
      <c r="K21" s="75">
        <f>All!K23</f>
        <v>190.1</v>
      </c>
      <c r="L21" s="75">
        <f>All!L23</f>
        <v>66.599999999999994</v>
      </c>
      <c r="M21" s="75">
        <f>All!M23</f>
        <v>52.6</v>
      </c>
      <c r="N21" s="75">
        <f>All!N23</f>
        <v>56</v>
      </c>
      <c r="O21" s="75">
        <f>All!O23</f>
        <v>1336.7</v>
      </c>
      <c r="P21" s="76">
        <f>All!P23</f>
        <v>111.4</v>
      </c>
    </row>
    <row r="22" spans="2:16">
      <c r="B22" s="74">
        <f>All!B24</f>
        <v>2013</v>
      </c>
      <c r="C22" s="75">
        <f>All!C24</f>
        <v>28.5</v>
      </c>
      <c r="D22" s="75">
        <f>All!D24</f>
        <v>35.200000000000003</v>
      </c>
      <c r="E22" s="75">
        <f>All!E24</f>
        <v>40</v>
      </c>
      <c r="F22" s="75">
        <f>All!F24</f>
        <v>56.3</v>
      </c>
      <c r="G22" s="75">
        <f>All!G24</f>
        <v>123.5</v>
      </c>
      <c r="H22" s="75">
        <f>All!H24</f>
        <v>102.1</v>
      </c>
      <c r="I22" s="75">
        <f>All!I24</f>
        <v>308.2</v>
      </c>
      <c r="J22" s="75">
        <f>All!J24</f>
        <v>173.6</v>
      </c>
      <c r="K22" s="75">
        <f>All!K24</f>
        <v>117.5</v>
      </c>
      <c r="L22" s="75">
        <f>All!L24</f>
        <v>12.2</v>
      </c>
      <c r="M22" s="75">
        <f>All!M24</f>
        <v>58.2</v>
      </c>
      <c r="N22" s="75">
        <f>All!N24</f>
        <v>40.299999999999997</v>
      </c>
      <c r="O22" s="75">
        <f>All!O24</f>
        <v>1095.5999999999999</v>
      </c>
      <c r="P22" s="76">
        <f>All!P24</f>
        <v>91.3</v>
      </c>
    </row>
    <row r="23" spans="2:16" s="277" customFormat="1">
      <c r="B23" s="274">
        <f>All!B25</f>
        <v>2014</v>
      </c>
      <c r="C23" s="275">
        <f>All!C25</f>
        <v>4.9000000000000004</v>
      </c>
      <c r="D23" s="275">
        <f>All!D25</f>
        <v>14.7</v>
      </c>
      <c r="E23" s="275">
        <f>All!E25</f>
        <v>40.9</v>
      </c>
      <c r="F23" s="275">
        <f>All!F25</f>
        <v>62.1</v>
      </c>
      <c r="G23" s="275">
        <f>All!G25</f>
        <v>34.6</v>
      </c>
      <c r="H23" s="275">
        <f>All!H25</f>
        <v>73.900000000000006</v>
      </c>
      <c r="I23" s="275">
        <f>All!I25</f>
        <v>239</v>
      </c>
      <c r="J23" s="275">
        <f>All!J25</f>
        <v>218.7</v>
      </c>
      <c r="K23" s="275">
        <f>All!K25</f>
        <v>144</v>
      </c>
      <c r="L23" s="275">
        <f>All!L25</f>
        <v>119.5</v>
      </c>
      <c r="M23" s="275">
        <f>All!M25</f>
        <v>28.9</v>
      </c>
      <c r="N23" s="275">
        <f>All!N25</f>
        <v>38.9</v>
      </c>
      <c r="O23" s="275">
        <f>All!O25</f>
        <v>1020.1</v>
      </c>
      <c r="P23" s="276">
        <f>All!P25</f>
        <v>85</v>
      </c>
    </row>
    <row r="24" spans="2:16">
      <c r="B24" s="74">
        <f>All!B26</f>
        <v>2015</v>
      </c>
      <c r="C24" s="75">
        <f>All!C26</f>
        <v>12.7</v>
      </c>
      <c r="D24" s="75">
        <f>All!D26</f>
        <v>21.5</v>
      </c>
      <c r="E24" s="75">
        <f>All!E26</f>
        <v>23.3</v>
      </c>
      <c r="F24" s="75">
        <f>All!F26</f>
        <v>87.6</v>
      </c>
      <c r="G24" s="75">
        <f>All!G26</f>
        <v>27.5</v>
      </c>
      <c r="H24" s="75">
        <f>All!H26</f>
        <v>86</v>
      </c>
      <c r="I24" s="75">
        <f>All!I26</f>
        <v>136.80000000000001</v>
      </c>
      <c r="J24" s="75">
        <f>All!J26</f>
        <v>64.2</v>
      </c>
      <c r="K24" s="75">
        <f>All!K26</f>
        <v>29</v>
      </c>
      <c r="L24" s="75">
        <f>All!L26</f>
        <v>69</v>
      </c>
      <c r="M24" s="75">
        <f>All!M26</f>
        <v>128.6</v>
      </c>
      <c r="N24" s="75">
        <f>All!N26</f>
        <v>41.8</v>
      </c>
      <c r="O24" s="75">
        <f>All!O26</f>
        <v>728</v>
      </c>
      <c r="P24" s="76">
        <f>All!P26</f>
        <v>60.7</v>
      </c>
    </row>
    <row r="25" spans="2:16">
      <c r="B25" s="74">
        <f>All!B27</f>
        <v>2016</v>
      </c>
      <c r="C25" s="75">
        <f>All!C27</f>
        <v>8</v>
      </c>
      <c r="D25" s="75">
        <f>All!D27</f>
        <v>43.6</v>
      </c>
      <c r="E25" s="75">
        <f>All!E27</f>
        <v>16.5</v>
      </c>
      <c r="F25" s="75">
        <f>All!F27</f>
        <v>118.3</v>
      </c>
      <c r="G25" s="75">
        <f>All!G27</f>
        <v>107.2</v>
      </c>
      <c r="H25" s="75">
        <f>All!H27</f>
        <v>36.200000000000003</v>
      </c>
      <c r="I25" s="75">
        <f>All!I27</f>
        <v>364.3</v>
      </c>
      <c r="J25" s="75">
        <f>All!J27</f>
        <v>82</v>
      </c>
      <c r="K25" s="75">
        <f>All!K27</f>
        <v>55</v>
      </c>
      <c r="L25" s="75">
        <f>All!L27</f>
        <v>95.9</v>
      </c>
      <c r="M25" s="75">
        <f>All!M27</f>
        <v>33.5</v>
      </c>
      <c r="N25" s="75">
        <f>All!N27</f>
        <v>44.3</v>
      </c>
      <c r="O25" s="75">
        <f>All!O27</f>
        <v>1004.8</v>
      </c>
      <c r="P25" s="76">
        <f>All!P27</f>
        <v>83.7</v>
      </c>
    </row>
    <row r="26" spans="2:16">
      <c r="B26" s="74">
        <f>All!B28</f>
        <v>2017</v>
      </c>
      <c r="C26" s="75">
        <f>All!C28</f>
        <v>13.9</v>
      </c>
      <c r="D26" s="75">
        <f>All!D28</f>
        <v>32.200000000000003</v>
      </c>
      <c r="E26" s="75">
        <f>All!E28</f>
        <v>6.5</v>
      </c>
      <c r="F26" s="75">
        <f>All!F28</f>
        <v>42.9</v>
      </c>
      <c r="G26" s="75">
        <f>All!G28</f>
        <v>14.3</v>
      </c>
      <c r="H26" s="75">
        <f>All!H28</f>
        <v>15.6</v>
      </c>
      <c r="I26" s="75">
        <f>All!I28</f>
        <v>788.1</v>
      </c>
      <c r="J26" s="75">
        <f>All!J28</f>
        <v>291.5</v>
      </c>
      <c r="K26" s="75">
        <f>All!K28</f>
        <v>43.3</v>
      </c>
      <c r="L26" s="75">
        <f>All!L28</f>
        <v>14.1</v>
      </c>
      <c r="M26" s="75">
        <f>All!M28</f>
        <v>23.8</v>
      </c>
      <c r="N26" s="75">
        <f>All!N28</f>
        <v>18.8</v>
      </c>
      <c r="O26" s="75">
        <f>All!O28</f>
        <v>1305</v>
      </c>
      <c r="P26" s="76">
        <f>All!P28</f>
        <v>108.8</v>
      </c>
    </row>
    <row r="27" spans="2:16">
      <c r="B27" s="74">
        <f>All!B29</f>
        <v>2018</v>
      </c>
      <c r="C27" s="75">
        <f>All!C29</f>
        <v>14</v>
      </c>
      <c r="D27" s="75">
        <f>All!D29</f>
        <v>31.6</v>
      </c>
      <c r="E27" s="75">
        <f>All!E29</f>
        <v>62.2</v>
      </c>
      <c r="F27" s="75">
        <f>All!F29</f>
        <v>117</v>
      </c>
      <c r="G27" s="75">
        <f>All!G29</f>
        <v>82.7</v>
      </c>
      <c r="H27" s="75">
        <f>All!H29</f>
        <v>88.9</v>
      </c>
      <c r="I27" s="75">
        <f>All!I29</f>
        <v>185.8</v>
      </c>
      <c r="J27" s="75">
        <f>All!J29</f>
        <v>282.7</v>
      </c>
      <c r="K27" s="75">
        <f>All!K29</f>
        <v>124.6</v>
      </c>
      <c r="L27" s="75">
        <f>All!L29</f>
        <v>99.8</v>
      </c>
      <c r="M27" s="75">
        <f>All!M29</f>
        <v>48.3</v>
      </c>
      <c r="N27" s="75">
        <f>All!N29</f>
        <v>25.8</v>
      </c>
      <c r="O27" s="75">
        <f>All!O29</f>
        <v>1163.4000000000001</v>
      </c>
      <c r="P27" s="76">
        <f>All!P29</f>
        <v>97</v>
      </c>
    </row>
    <row r="28" spans="2:16">
      <c r="B28" s="74">
        <f>All!B30</f>
        <v>2019</v>
      </c>
      <c r="C28" s="75">
        <f>All!C30</f>
        <v>0.6</v>
      </c>
      <c r="D28" s="75">
        <f>All!D30</f>
        <v>25.5</v>
      </c>
      <c r="E28" s="75">
        <f>All!E30</f>
        <v>26.9</v>
      </c>
      <c r="F28" s="75">
        <f>All!F30</f>
        <v>43.9</v>
      </c>
      <c r="G28" s="75">
        <f>All!G30</f>
        <v>15.1</v>
      </c>
      <c r="H28" s="75">
        <f>All!H30</f>
        <v>84.9</v>
      </c>
      <c r="I28" s="75">
        <f>All!I30</f>
        <v>234.7</v>
      </c>
      <c r="J28" s="75">
        <f>All!J30</f>
        <v>90.7</v>
      </c>
      <c r="K28" s="75">
        <f>All!K30</f>
        <v>102.8</v>
      </c>
      <c r="L28" s="75">
        <f>All!L30</f>
        <v>81.900000000000006</v>
      </c>
      <c r="M28" s="75">
        <f>All!M30</f>
        <v>120.6</v>
      </c>
      <c r="N28" s="75">
        <f>All!N30</f>
        <v>18</v>
      </c>
      <c r="O28" s="75">
        <f>All!O30</f>
        <v>845.6</v>
      </c>
      <c r="P28" s="76">
        <f>All!P30</f>
        <v>70.5</v>
      </c>
    </row>
    <row r="29" spans="2:16">
      <c r="B29" s="74">
        <f>All!B31</f>
        <v>2020</v>
      </c>
      <c r="C29" s="75">
        <f>All!C31</f>
        <v>59.7</v>
      </c>
      <c r="D29" s="75">
        <f>All!D31</f>
        <v>63.1</v>
      </c>
      <c r="E29" s="75">
        <f>All!E31</f>
        <v>21.7</v>
      </c>
      <c r="F29" s="75">
        <f>All!F31</f>
        <v>15.1</v>
      </c>
      <c r="G29" s="75">
        <f>All!G31</f>
        <v>86.4</v>
      </c>
      <c r="H29" s="75">
        <f>All!H31</f>
        <v>121.9</v>
      </c>
      <c r="I29" s="75">
        <f>All!I31</f>
        <v>356.4</v>
      </c>
      <c r="J29" s="75">
        <f>All!J31</f>
        <v>481.7</v>
      </c>
      <c r="K29" s="75">
        <f>All!K31</f>
        <v>167.2</v>
      </c>
      <c r="L29" s="75">
        <f>All!L31</f>
        <v>18.899999999999999</v>
      </c>
      <c r="M29" s="75">
        <f>All!M31</f>
        <v>45.9</v>
      </c>
      <c r="N29" s="75">
        <f>All!N31</f>
        <v>5.5</v>
      </c>
      <c r="O29" s="75">
        <f>All!O31</f>
        <v>1443.5</v>
      </c>
      <c r="P29" s="76">
        <f>All!P31</f>
        <v>120.3</v>
      </c>
    </row>
    <row r="30" spans="2:16">
      <c r="B30" s="74">
        <f>All!B32</f>
        <v>2021</v>
      </c>
      <c r="C30" s="75">
        <f>All!C32</f>
        <v>17.8</v>
      </c>
      <c r="D30" s="75">
        <f>All!D32</f>
        <v>9.1999999999999993</v>
      </c>
      <c r="E30" s="75">
        <f>All!E32</f>
        <v>75.3</v>
      </c>
      <c r="F30" s="75">
        <f>All!F32</f>
        <v>54.7</v>
      </c>
      <c r="G30" s="75">
        <f>All!G32</f>
        <v>135.9</v>
      </c>
      <c r="H30" s="75">
        <f>All!H32</f>
        <v>44.8</v>
      </c>
      <c r="I30" s="75">
        <f>All!I32</f>
        <v>117.6</v>
      </c>
      <c r="J30" s="75">
        <f>All!J32</f>
        <v>230</v>
      </c>
      <c r="K30" s="75">
        <f>All!K32</f>
        <v>250.8</v>
      </c>
      <c r="L30" s="75">
        <f>All!L32</f>
        <v>49.5</v>
      </c>
      <c r="M30" s="75">
        <f>All!M32</f>
        <v>67.900000000000006</v>
      </c>
      <c r="N30" s="75">
        <f>All!N32</f>
        <v>5.4</v>
      </c>
      <c r="O30" s="75">
        <f>All!O32</f>
        <v>1058.9000000000001</v>
      </c>
      <c r="P30" s="76">
        <f>All!P32</f>
        <v>88.2</v>
      </c>
    </row>
    <row r="31" spans="2:16">
      <c r="B31" s="74">
        <f>All!B33</f>
        <v>2022</v>
      </c>
      <c r="C31" s="75">
        <f>All!C33</f>
        <v>3.3</v>
      </c>
      <c r="D31" s="75">
        <f>All!D33</f>
        <v>3.3</v>
      </c>
      <c r="E31" s="75">
        <f>All!E33</f>
        <v>57.6</v>
      </c>
      <c r="F31" s="75">
        <f>All!F33</f>
        <v>51.6</v>
      </c>
      <c r="G31" s="75">
        <f>All!G33</f>
        <v>9.8000000000000007</v>
      </c>
      <c r="H31" s="75">
        <f>All!H33</f>
        <v>168</v>
      </c>
      <c r="I31" s="75">
        <f>All!I33</f>
        <v>117</v>
      </c>
      <c r="J31" s="75">
        <f>All!J33</f>
        <v>366.6</v>
      </c>
      <c r="K31" s="75">
        <f>All!K33</f>
        <v>133.30000000000001</v>
      </c>
      <c r="L31" s="75">
        <f>All!L33</f>
        <v>98.2</v>
      </c>
      <c r="M31" s="75">
        <f>All!M33</f>
        <v>43.2</v>
      </c>
      <c r="N31" s="75">
        <f>All!N33</f>
        <v>28.8</v>
      </c>
      <c r="O31" s="75">
        <f>All!O33</f>
        <v>1080.7</v>
      </c>
      <c r="P31" s="76">
        <f>All!P33</f>
        <v>90.1</v>
      </c>
    </row>
    <row r="32" spans="2:16">
      <c r="B32" s="74">
        <f>All!B34</f>
        <v>2023</v>
      </c>
      <c r="C32" s="75">
        <f>All!C34</f>
        <v>31</v>
      </c>
      <c r="D32" s="75">
        <f>All!D34</f>
        <v>3.1</v>
      </c>
      <c r="E32" s="75">
        <f>All!E34</f>
        <v>16.399999999999999</v>
      </c>
      <c r="F32" s="75">
        <f>All!F34</f>
        <v>29.6</v>
      </c>
      <c r="G32" s="75">
        <f>All!G34</f>
        <v>116.9</v>
      </c>
      <c r="H32" s="75">
        <f>All!H34</f>
        <v>178.9</v>
      </c>
      <c r="I32" s="75">
        <f>All!I34</f>
        <v>574.9</v>
      </c>
      <c r="J32" s="75">
        <f>All!J34</f>
        <v>196.5</v>
      </c>
      <c r="K32" s="75">
        <f>All!K34</f>
        <v>180.1</v>
      </c>
      <c r="L32" s="75">
        <f>All!L34</f>
        <v>28.7</v>
      </c>
      <c r="M32" s="75">
        <f>All!M34</f>
        <v>56.9</v>
      </c>
      <c r="N32" s="75">
        <f>All!N34</f>
        <v>86.2</v>
      </c>
      <c r="O32" s="75">
        <f>All!O34</f>
        <v>1499.2</v>
      </c>
      <c r="P32" s="76">
        <f>All!P34</f>
        <v>124.9</v>
      </c>
    </row>
    <row r="33" spans="2:17">
      <c r="B33" s="77" t="s">
        <v>171</v>
      </c>
      <c r="C33" s="78">
        <f>ROUND(SUM(C23:C32)/10,1)</f>
        <v>16.600000000000001</v>
      </c>
      <c r="D33" s="78">
        <f t="shared" ref="D33:P33" si="0">ROUND(SUM(D23:D32)/10,1)</f>
        <v>24.8</v>
      </c>
      <c r="E33" s="78">
        <f t="shared" si="0"/>
        <v>34.700000000000003</v>
      </c>
      <c r="F33" s="78">
        <f t="shared" si="0"/>
        <v>62.3</v>
      </c>
      <c r="G33" s="78">
        <f t="shared" si="0"/>
        <v>63</v>
      </c>
      <c r="H33" s="78">
        <f t="shared" si="0"/>
        <v>89.9</v>
      </c>
      <c r="I33" s="78">
        <f t="shared" si="0"/>
        <v>311.5</v>
      </c>
      <c r="J33" s="78">
        <f t="shared" si="0"/>
        <v>230.5</v>
      </c>
      <c r="K33" s="78">
        <f t="shared" si="0"/>
        <v>123</v>
      </c>
      <c r="L33" s="78">
        <f t="shared" si="0"/>
        <v>67.599999999999994</v>
      </c>
      <c r="M33" s="78">
        <f t="shared" si="0"/>
        <v>59.8</v>
      </c>
      <c r="N33" s="78">
        <f t="shared" si="0"/>
        <v>31.4</v>
      </c>
      <c r="O33" s="78">
        <f t="shared" si="0"/>
        <v>1114.9000000000001</v>
      </c>
      <c r="P33" s="79">
        <f t="shared" si="0"/>
        <v>92.9</v>
      </c>
    </row>
    <row r="34" spans="2:17" ht="17.25" thickBot="1">
      <c r="B34" s="116" t="s">
        <v>170</v>
      </c>
      <c r="C34" s="80">
        <f>All!C37</f>
        <v>19.8</v>
      </c>
      <c r="D34" s="80">
        <f>All!D37</f>
        <v>23.3</v>
      </c>
      <c r="E34" s="80">
        <f>All!E37</f>
        <v>39</v>
      </c>
      <c r="F34" s="80">
        <f>All!F37</f>
        <v>66.7</v>
      </c>
      <c r="G34" s="80">
        <f>All!G37</f>
        <v>78.900000000000006</v>
      </c>
      <c r="H34" s="80">
        <f>All!H37</f>
        <v>131.4</v>
      </c>
      <c r="I34" s="80">
        <f>All!I37</f>
        <v>288.39999999999998</v>
      </c>
      <c r="J34" s="80">
        <f>All!J37</f>
        <v>306.39999999999998</v>
      </c>
      <c r="K34" s="80">
        <f>All!K37</f>
        <v>146.69999999999999</v>
      </c>
      <c r="L34" s="80">
        <f>All!L37</f>
        <v>58.6</v>
      </c>
      <c r="M34" s="80">
        <f>All!M37</f>
        <v>49.2</v>
      </c>
      <c r="N34" s="80">
        <f>All!N37</f>
        <v>27.8</v>
      </c>
      <c r="O34" s="80">
        <f>All!O37</f>
        <v>1236.0999999999999</v>
      </c>
      <c r="P34" s="81">
        <f>All!P37</f>
        <v>103</v>
      </c>
    </row>
    <row r="36" spans="2:17" ht="17.25" thickBot="1"/>
    <row r="37" spans="2:17" ht="26.25" customHeight="1">
      <c r="B37" s="71" t="s">
        <v>29</v>
      </c>
      <c r="C37" s="73" t="s">
        <v>157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1020.1</v>
      </c>
      <c r="D38" s="88" t="s">
        <v>30</v>
      </c>
      <c r="E38" s="89">
        <f>All!C53</f>
        <v>16.600000000000001</v>
      </c>
      <c r="F38" s="89">
        <f>All!D53</f>
        <v>24.8</v>
      </c>
      <c r="G38" s="89">
        <f>All!E53</f>
        <v>34.700000000000003</v>
      </c>
      <c r="H38" s="89">
        <f>All!F53</f>
        <v>62.3</v>
      </c>
      <c r="I38" s="89">
        <f>All!G53</f>
        <v>63</v>
      </c>
      <c r="J38" s="89">
        <f>All!H53</f>
        <v>89.9</v>
      </c>
      <c r="K38" s="89">
        <f>All!I53</f>
        <v>311.5</v>
      </c>
      <c r="L38" s="89">
        <f>All!J53</f>
        <v>230.5</v>
      </c>
      <c r="M38" s="89">
        <f>All!K53</f>
        <v>123</v>
      </c>
      <c r="N38" s="89">
        <f>All!L53</f>
        <v>67.599999999999994</v>
      </c>
      <c r="O38" s="89">
        <f>All!M53</f>
        <v>59.8</v>
      </c>
      <c r="P38" s="89">
        <f>All!N53</f>
        <v>31.4</v>
      </c>
      <c r="Q38" s="140">
        <f>All!P53</f>
        <v>92.9</v>
      </c>
    </row>
    <row r="39" spans="2:17">
      <c r="B39" s="74">
        <f t="shared" ref="B39:B48" si="1">B24</f>
        <v>2015</v>
      </c>
      <c r="C39" s="76">
        <f t="shared" ref="C39:C48" si="2">O24</f>
        <v>728</v>
      </c>
    </row>
    <row r="40" spans="2:17">
      <c r="B40" s="74">
        <f t="shared" si="1"/>
        <v>2016</v>
      </c>
      <c r="C40" s="76">
        <f t="shared" si="2"/>
        <v>1004.8</v>
      </c>
    </row>
    <row r="41" spans="2:17">
      <c r="B41" s="74">
        <f t="shared" si="1"/>
        <v>2017</v>
      </c>
      <c r="C41" s="76">
        <f t="shared" si="2"/>
        <v>1305</v>
      </c>
    </row>
    <row r="42" spans="2:17">
      <c r="B42" s="74">
        <f t="shared" si="1"/>
        <v>2018</v>
      </c>
      <c r="C42" s="76">
        <f t="shared" si="2"/>
        <v>1163.4000000000001</v>
      </c>
    </row>
    <row r="43" spans="2:17">
      <c r="B43" s="74">
        <f t="shared" si="1"/>
        <v>2019</v>
      </c>
      <c r="C43" s="76">
        <f t="shared" si="2"/>
        <v>845.6</v>
      </c>
    </row>
    <row r="44" spans="2:17">
      <c r="B44" s="74">
        <f t="shared" si="1"/>
        <v>2020</v>
      </c>
      <c r="C44" s="76">
        <f t="shared" si="2"/>
        <v>1443.5</v>
      </c>
    </row>
    <row r="45" spans="2:17">
      <c r="B45" s="74">
        <f t="shared" si="1"/>
        <v>2021</v>
      </c>
      <c r="C45" s="76">
        <f t="shared" si="2"/>
        <v>1058.9000000000001</v>
      </c>
    </row>
    <row r="46" spans="2:17">
      <c r="B46" s="74">
        <f t="shared" si="1"/>
        <v>2022</v>
      </c>
      <c r="C46" s="76">
        <f t="shared" si="2"/>
        <v>1080.7</v>
      </c>
    </row>
    <row r="47" spans="2:17">
      <c r="B47" s="74">
        <f t="shared" si="1"/>
        <v>2023</v>
      </c>
      <c r="C47" s="76">
        <f t="shared" si="2"/>
        <v>1499.2</v>
      </c>
    </row>
    <row r="48" spans="2:17" ht="17.25" thickBot="1">
      <c r="B48" s="82" t="str">
        <f t="shared" si="1"/>
        <v>10년평균</v>
      </c>
      <c r="C48" s="83">
        <f t="shared" si="2"/>
        <v>1114.9000000000001</v>
      </c>
    </row>
    <row r="50" spans="2:3" ht="17.25" thickBot="1"/>
    <row r="51" spans="2:3">
      <c r="B51" s="114" t="s">
        <v>172</v>
      </c>
      <c r="C51" s="115" t="s">
        <v>157</v>
      </c>
    </row>
    <row r="52" spans="2:3">
      <c r="B52" s="111">
        <f>B3</f>
        <v>1994</v>
      </c>
      <c r="C52" s="112">
        <f>O3</f>
        <v>1170.2</v>
      </c>
    </row>
    <row r="53" spans="2:3">
      <c r="B53" s="111">
        <f t="shared" ref="B53:B81" si="3">B4</f>
        <v>1995</v>
      </c>
      <c r="C53" s="112">
        <f t="shared" ref="C53:C81" si="4">O4</f>
        <v>1586</v>
      </c>
    </row>
    <row r="54" spans="2:3">
      <c r="B54" s="111">
        <f t="shared" si="3"/>
        <v>1996</v>
      </c>
      <c r="C54" s="112">
        <f t="shared" si="4"/>
        <v>967.5</v>
      </c>
    </row>
    <row r="55" spans="2:3">
      <c r="B55" s="111">
        <f t="shared" si="3"/>
        <v>1997</v>
      </c>
      <c r="C55" s="112">
        <f t="shared" si="4"/>
        <v>1268.8</v>
      </c>
    </row>
    <row r="56" spans="2:3">
      <c r="B56" s="111">
        <f t="shared" si="3"/>
        <v>1998</v>
      </c>
      <c r="C56" s="112">
        <f t="shared" si="4"/>
        <v>1583.7</v>
      </c>
    </row>
    <row r="57" spans="2:3">
      <c r="B57" s="111">
        <f t="shared" si="3"/>
        <v>1999</v>
      </c>
      <c r="C57" s="112">
        <f t="shared" si="4"/>
        <v>1365.1</v>
      </c>
    </row>
    <row r="58" spans="2:3">
      <c r="B58" s="111">
        <f t="shared" si="3"/>
        <v>2000</v>
      </c>
      <c r="C58" s="112">
        <f t="shared" si="4"/>
        <v>1408.1</v>
      </c>
    </row>
    <row r="59" spans="2:3">
      <c r="B59" s="111">
        <f t="shared" si="3"/>
        <v>2001</v>
      </c>
      <c r="C59" s="112">
        <f t="shared" si="4"/>
        <v>838.2</v>
      </c>
    </row>
    <row r="60" spans="2:3">
      <c r="B60" s="111">
        <f t="shared" si="3"/>
        <v>2002</v>
      </c>
      <c r="C60" s="112">
        <f t="shared" si="4"/>
        <v>1312.5</v>
      </c>
    </row>
    <row r="61" spans="2:3">
      <c r="B61" s="111">
        <f t="shared" si="3"/>
        <v>2003</v>
      </c>
      <c r="C61" s="112">
        <f t="shared" si="4"/>
        <v>1628.3</v>
      </c>
    </row>
    <row r="62" spans="2:3">
      <c r="B62" s="111">
        <f t="shared" si="3"/>
        <v>2004</v>
      </c>
      <c r="C62" s="112">
        <f t="shared" si="4"/>
        <v>1363.3</v>
      </c>
    </row>
    <row r="63" spans="2:3">
      <c r="B63" s="111">
        <f t="shared" si="3"/>
        <v>2005</v>
      </c>
      <c r="C63" s="112">
        <f t="shared" si="4"/>
        <v>1309.3</v>
      </c>
    </row>
    <row r="64" spans="2:3">
      <c r="B64" s="111">
        <f t="shared" si="3"/>
        <v>2006</v>
      </c>
      <c r="C64" s="112">
        <f t="shared" si="4"/>
        <v>1043.3</v>
      </c>
    </row>
    <row r="65" spans="2:3">
      <c r="B65" s="111">
        <f t="shared" si="3"/>
        <v>2007</v>
      </c>
      <c r="C65" s="112">
        <f t="shared" si="4"/>
        <v>1562.4</v>
      </c>
    </row>
    <row r="66" spans="2:3">
      <c r="B66" s="111">
        <f t="shared" si="3"/>
        <v>2008</v>
      </c>
      <c r="C66" s="112">
        <f t="shared" si="4"/>
        <v>870.1</v>
      </c>
    </row>
    <row r="67" spans="2:3">
      <c r="B67" s="111">
        <f t="shared" si="3"/>
        <v>2009</v>
      </c>
      <c r="C67" s="112">
        <f t="shared" si="4"/>
        <v>999.9</v>
      </c>
    </row>
    <row r="68" spans="2:3">
      <c r="B68" s="111">
        <f t="shared" si="3"/>
        <v>2010</v>
      </c>
      <c r="C68" s="112">
        <f t="shared" si="4"/>
        <v>1378.3</v>
      </c>
    </row>
    <row r="69" spans="2:3">
      <c r="B69" s="111">
        <f t="shared" si="3"/>
        <v>2011</v>
      </c>
      <c r="C69" s="112">
        <f t="shared" si="4"/>
        <v>1845.8</v>
      </c>
    </row>
    <row r="70" spans="2:3">
      <c r="B70" s="111">
        <f t="shared" si="3"/>
        <v>2012</v>
      </c>
      <c r="C70" s="112">
        <f t="shared" si="4"/>
        <v>1336.7</v>
      </c>
    </row>
    <row r="71" spans="2:3">
      <c r="B71" s="111">
        <f t="shared" si="3"/>
        <v>2013</v>
      </c>
      <c r="C71" s="112">
        <f t="shared" si="4"/>
        <v>1095.5999999999999</v>
      </c>
    </row>
    <row r="72" spans="2:3">
      <c r="B72" s="111">
        <f t="shared" si="3"/>
        <v>2014</v>
      </c>
      <c r="C72" s="112">
        <f t="shared" si="4"/>
        <v>1020.1</v>
      </c>
    </row>
    <row r="73" spans="2:3">
      <c r="B73" s="111">
        <f t="shared" si="3"/>
        <v>2015</v>
      </c>
      <c r="C73" s="112">
        <f t="shared" si="4"/>
        <v>728</v>
      </c>
    </row>
    <row r="74" spans="2:3">
      <c r="B74" s="111">
        <f t="shared" si="3"/>
        <v>2016</v>
      </c>
      <c r="C74" s="112">
        <f t="shared" si="4"/>
        <v>1004.8</v>
      </c>
    </row>
    <row r="75" spans="2:3">
      <c r="B75" s="111">
        <f t="shared" si="3"/>
        <v>2017</v>
      </c>
      <c r="C75" s="112">
        <f t="shared" si="4"/>
        <v>1305</v>
      </c>
    </row>
    <row r="76" spans="2:3">
      <c r="B76" s="111">
        <f t="shared" si="3"/>
        <v>2018</v>
      </c>
      <c r="C76" s="112">
        <f t="shared" si="4"/>
        <v>1163.4000000000001</v>
      </c>
    </row>
    <row r="77" spans="2:3">
      <c r="B77" s="111">
        <f t="shared" si="3"/>
        <v>2019</v>
      </c>
      <c r="C77" s="112">
        <f t="shared" si="4"/>
        <v>845.6</v>
      </c>
    </row>
    <row r="78" spans="2:3">
      <c r="B78" s="111">
        <f>B29</f>
        <v>2020</v>
      </c>
      <c r="C78" s="112">
        <f t="shared" si="4"/>
        <v>1443.5</v>
      </c>
    </row>
    <row r="79" spans="2:3">
      <c r="B79" s="111">
        <f t="shared" si="3"/>
        <v>2021</v>
      </c>
      <c r="C79" s="112">
        <f t="shared" si="4"/>
        <v>1058.9000000000001</v>
      </c>
    </row>
    <row r="80" spans="2:3">
      <c r="B80" s="111">
        <f t="shared" si="3"/>
        <v>2022</v>
      </c>
      <c r="C80" s="112">
        <f t="shared" si="4"/>
        <v>1080.7</v>
      </c>
    </row>
    <row r="81" spans="2:3">
      <c r="B81" s="111">
        <f t="shared" si="3"/>
        <v>2023</v>
      </c>
      <c r="C81" s="112">
        <f t="shared" si="4"/>
        <v>1499.2</v>
      </c>
    </row>
    <row r="82" spans="2:3" ht="17.25" thickBot="1">
      <c r="B82" s="88" t="str">
        <f>B34</f>
        <v>30년평균</v>
      </c>
      <c r="C82" s="113">
        <f>O34</f>
        <v>1236.0999999999999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150"/>
  <sheetViews>
    <sheetView topLeftCell="A10" zoomScaleNormal="100" workbookViewId="0">
      <selection activeCell="T19" sqref="T19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0" customWidth="1"/>
    <col min="16" max="16" width="8.77734375" style="69" customWidth="1"/>
    <col min="17" max="16384" width="8.88671875" style="69"/>
  </cols>
  <sheetData>
    <row r="2" spans="2:16" ht="20.25" customHeight="1">
      <c r="B2" s="386" t="str">
        <f>All!B2</f>
        <v>천안기상청</v>
      </c>
      <c r="C2" s="70" t="s">
        <v>337</v>
      </c>
    </row>
    <row r="3" spans="2:16" ht="17.25" thickBot="1">
      <c r="I3" s="196"/>
      <c r="J3" s="196"/>
      <c r="K3" s="196"/>
    </row>
    <row r="4" spans="2:16" ht="29.25" customHeight="1">
      <c r="B4" s="265"/>
      <c r="C4" s="387" t="s">
        <v>7</v>
      </c>
      <c r="D4" s="388" t="s">
        <v>8</v>
      </c>
      <c r="E4" s="388" t="s">
        <v>9</v>
      </c>
      <c r="F4" s="388" t="s">
        <v>10</v>
      </c>
      <c r="G4" s="388" t="s">
        <v>11</v>
      </c>
      <c r="H4" s="388" t="s">
        <v>12</v>
      </c>
      <c r="I4" s="388" t="s">
        <v>13</v>
      </c>
      <c r="J4" s="388" t="s">
        <v>14</v>
      </c>
      <c r="K4" s="388" t="s">
        <v>15</v>
      </c>
      <c r="L4" s="388" t="s">
        <v>16</v>
      </c>
      <c r="M4" s="388" t="s">
        <v>17</v>
      </c>
      <c r="N4" s="389" t="s">
        <v>18</v>
      </c>
      <c r="O4" s="391" t="s">
        <v>19</v>
      </c>
      <c r="P4" s="389" t="s">
        <v>20</v>
      </c>
    </row>
    <row r="5" spans="2:16" ht="22.15" customHeight="1">
      <c r="B5" s="266">
        <f>All!B41</f>
        <v>2014</v>
      </c>
      <c r="C5" s="261">
        <f>All!C41</f>
        <v>4.9000000000000004</v>
      </c>
      <c r="D5" s="249">
        <f>All!D41</f>
        <v>14.7</v>
      </c>
      <c r="E5" s="249">
        <f>All!E41</f>
        <v>40.9</v>
      </c>
      <c r="F5" s="249">
        <f>All!F41</f>
        <v>62.1</v>
      </c>
      <c r="G5" s="249">
        <f>All!G41</f>
        <v>34.6</v>
      </c>
      <c r="H5" s="249">
        <f>All!H41</f>
        <v>73.900000000000006</v>
      </c>
      <c r="I5" s="249">
        <f>All!I41</f>
        <v>239</v>
      </c>
      <c r="J5" s="249">
        <f>All!J41</f>
        <v>218.7</v>
      </c>
      <c r="K5" s="249">
        <f>All!K41</f>
        <v>144</v>
      </c>
      <c r="L5" s="249">
        <f>All!L41</f>
        <v>119.5</v>
      </c>
      <c r="M5" s="249">
        <f>All!M41</f>
        <v>28.9</v>
      </c>
      <c r="N5" s="250">
        <f>All!N41</f>
        <v>38.9</v>
      </c>
      <c r="O5" s="393">
        <f>All!O41</f>
        <v>1020.1</v>
      </c>
      <c r="P5" s="250">
        <f>All!P41</f>
        <v>85</v>
      </c>
    </row>
    <row r="6" spans="2:16" ht="22.15" customHeight="1">
      <c r="B6" s="267">
        <f>All!B42</f>
        <v>2015</v>
      </c>
      <c r="C6" s="261">
        <f>All!C42</f>
        <v>12.7</v>
      </c>
      <c r="D6" s="249">
        <f>All!D42</f>
        <v>21.5</v>
      </c>
      <c r="E6" s="249">
        <f>All!E42</f>
        <v>23.3</v>
      </c>
      <c r="F6" s="249">
        <f>All!F42</f>
        <v>87.6</v>
      </c>
      <c r="G6" s="249">
        <f>All!G42</f>
        <v>27.5</v>
      </c>
      <c r="H6" s="249">
        <f>All!H42</f>
        <v>86</v>
      </c>
      <c r="I6" s="249">
        <f>All!I42</f>
        <v>136.80000000000001</v>
      </c>
      <c r="J6" s="249">
        <f>All!J42</f>
        <v>64.2</v>
      </c>
      <c r="K6" s="249">
        <f>All!K42</f>
        <v>29</v>
      </c>
      <c r="L6" s="249">
        <f>All!L42</f>
        <v>69</v>
      </c>
      <c r="M6" s="249">
        <f>All!M42</f>
        <v>128.6</v>
      </c>
      <c r="N6" s="250">
        <f>All!N42</f>
        <v>41.8</v>
      </c>
      <c r="O6" s="392">
        <f>All!O42</f>
        <v>728</v>
      </c>
      <c r="P6" s="250">
        <f>All!P42</f>
        <v>60.7</v>
      </c>
    </row>
    <row r="7" spans="2:16" ht="22.15" customHeight="1">
      <c r="B7" s="266">
        <f>All!B43</f>
        <v>2016</v>
      </c>
      <c r="C7" s="261">
        <f>All!C43</f>
        <v>8</v>
      </c>
      <c r="D7" s="249">
        <f>All!D43</f>
        <v>43.6</v>
      </c>
      <c r="E7" s="249">
        <f>All!E43</f>
        <v>16.5</v>
      </c>
      <c r="F7" s="249">
        <f>All!F43</f>
        <v>118.3</v>
      </c>
      <c r="G7" s="249">
        <f>All!G43</f>
        <v>107.2</v>
      </c>
      <c r="H7" s="249">
        <f>All!H43</f>
        <v>36.200000000000003</v>
      </c>
      <c r="I7" s="249">
        <f>All!I43</f>
        <v>364.3</v>
      </c>
      <c r="J7" s="249">
        <f>All!J43</f>
        <v>82</v>
      </c>
      <c r="K7" s="249">
        <f>All!K43</f>
        <v>55</v>
      </c>
      <c r="L7" s="249">
        <f>All!L43</f>
        <v>95.9</v>
      </c>
      <c r="M7" s="249">
        <f>All!M43</f>
        <v>33.5</v>
      </c>
      <c r="N7" s="250">
        <f>All!N43</f>
        <v>44.3</v>
      </c>
      <c r="O7" s="393">
        <f>All!O43</f>
        <v>1004.8</v>
      </c>
      <c r="P7" s="250">
        <f>All!P43</f>
        <v>83.7</v>
      </c>
    </row>
    <row r="8" spans="2:16" ht="22.15" customHeight="1">
      <c r="B8" s="266">
        <f>All!B44</f>
        <v>2017</v>
      </c>
      <c r="C8" s="261">
        <f>All!C44</f>
        <v>13.9</v>
      </c>
      <c r="D8" s="249">
        <f>All!D44</f>
        <v>32.200000000000003</v>
      </c>
      <c r="E8" s="249">
        <f>All!E44</f>
        <v>6.5</v>
      </c>
      <c r="F8" s="249">
        <f>All!F44</f>
        <v>42.9</v>
      </c>
      <c r="G8" s="249">
        <f>All!G44</f>
        <v>14.3</v>
      </c>
      <c r="H8" s="249">
        <f>All!H44</f>
        <v>15.6</v>
      </c>
      <c r="I8" s="249">
        <f>All!I44</f>
        <v>788.1</v>
      </c>
      <c r="J8" s="249">
        <f>All!J44</f>
        <v>291.5</v>
      </c>
      <c r="K8" s="249">
        <f>All!K44</f>
        <v>43.3</v>
      </c>
      <c r="L8" s="249">
        <f>All!L44</f>
        <v>14.1</v>
      </c>
      <c r="M8" s="249">
        <f>All!M44</f>
        <v>23.8</v>
      </c>
      <c r="N8" s="250">
        <f>All!N44</f>
        <v>18.8</v>
      </c>
      <c r="O8" s="393">
        <f>All!O44</f>
        <v>1305</v>
      </c>
      <c r="P8" s="250">
        <f>All!P44</f>
        <v>108.8</v>
      </c>
    </row>
    <row r="9" spans="2:16" ht="22.15" customHeight="1">
      <c r="B9" s="266">
        <f>All!B45</f>
        <v>2018</v>
      </c>
      <c r="C9" s="261">
        <f>All!C45</f>
        <v>14</v>
      </c>
      <c r="D9" s="249">
        <f>All!D45</f>
        <v>31.6</v>
      </c>
      <c r="E9" s="249">
        <f>All!E45</f>
        <v>62.2</v>
      </c>
      <c r="F9" s="249">
        <f>All!F45</f>
        <v>117</v>
      </c>
      <c r="G9" s="249">
        <f>All!G45</f>
        <v>82.7</v>
      </c>
      <c r="H9" s="249">
        <f>All!H45</f>
        <v>88.9</v>
      </c>
      <c r="I9" s="249">
        <f>All!I45</f>
        <v>185.8</v>
      </c>
      <c r="J9" s="249">
        <f>All!J45</f>
        <v>282.7</v>
      </c>
      <c r="K9" s="249">
        <f>All!K45</f>
        <v>124.6</v>
      </c>
      <c r="L9" s="249">
        <f>All!L45</f>
        <v>99.8</v>
      </c>
      <c r="M9" s="249">
        <f>All!M45</f>
        <v>48.3</v>
      </c>
      <c r="N9" s="250">
        <f>All!N45</f>
        <v>25.8</v>
      </c>
      <c r="O9" s="393">
        <f>All!O45</f>
        <v>1163.4000000000001</v>
      </c>
      <c r="P9" s="250">
        <f>All!P45</f>
        <v>97</v>
      </c>
    </row>
    <row r="10" spans="2:16" ht="22.15" customHeight="1">
      <c r="B10" s="266">
        <f>All!B46</f>
        <v>2019</v>
      </c>
      <c r="C10" s="261">
        <f>All!C46</f>
        <v>0.6</v>
      </c>
      <c r="D10" s="249">
        <f>All!D46</f>
        <v>25.5</v>
      </c>
      <c r="E10" s="249">
        <f>All!E46</f>
        <v>26.9</v>
      </c>
      <c r="F10" s="249">
        <f>All!F46</f>
        <v>43.9</v>
      </c>
      <c r="G10" s="249">
        <f>All!G46</f>
        <v>15.1</v>
      </c>
      <c r="H10" s="249">
        <f>All!H46</f>
        <v>84.9</v>
      </c>
      <c r="I10" s="249">
        <f>All!I46</f>
        <v>234.7</v>
      </c>
      <c r="J10" s="249">
        <f>All!J46</f>
        <v>90.7</v>
      </c>
      <c r="K10" s="249">
        <f>All!K46</f>
        <v>102.8</v>
      </c>
      <c r="L10" s="249">
        <f>All!L46</f>
        <v>81.900000000000006</v>
      </c>
      <c r="M10" s="249">
        <f>All!M46</f>
        <v>120.6</v>
      </c>
      <c r="N10" s="250">
        <f>All!N46</f>
        <v>18</v>
      </c>
      <c r="O10" s="393">
        <f>All!O46</f>
        <v>845.6</v>
      </c>
      <c r="P10" s="250">
        <f>All!P46</f>
        <v>70.5</v>
      </c>
    </row>
    <row r="11" spans="2:16" ht="22.15" customHeight="1">
      <c r="B11" s="266">
        <f>All!B47</f>
        <v>2020</v>
      </c>
      <c r="C11" s="261">
        <f>All!C47</f>
        <v>59.7</v>
      </c>
      <c r="D11" s="249">
        <f>All!D47</f>
        <v>63.1</v>
      </c>
      <c r="E11" s="249">
        <f>All!E47</f>
        <v>21.7</v>
      </c>
      <c r="F11" s="249">
        <f>All!F47</f>
        <v>15.1</v>
      </c>
      <c r="G11" s="249">
        <f>All!G47</f>
        <v>86.4</v>
      </c>
      <c r="H11" s="249">
        <f>All!H47</f>
        <v>121.9</v>
      </c>
      <c r="I11" s="249">
        <f>All!I47</f>
        <v>356.4</v>
      </c>
      <c r="J11" s="249">
        <f>All!J47</f>
        <v>481.7</v>
      </c>
      <c r="K11" s="249">
        <f>All!K47</f>
        <v>167.2</v>
      </c>
      <c r="L11" s="249">
        <f>All!L47</f>
        <v>18.899999999999999</v>
      </c>
      <c r="M11" s="249">
        <f>All!M47</f>
        <v>45.9</v>
      </c>
      <c r="N11" s="250">
        <f>All!N47</f>
        <v>5.5</v>
      </c>
      <c r="O11" s="393">
        <f>All!O47</f>
        <v>1443.5</v>
      </c>
      <c r="P11" s="250">
        <f>All!P47</f>
        <v>120.3</v>
      </c>
    </row>
    <row r="12" spans="2:16" ht="22.15" customHeight="1">
      <c r="B12" s="266">
        <f>All!B48</f>
        <v>2021</v>
      </c>
      <c r="C12" s="261">
        <f>All!C48</f>
        <v>17.8</v>
      </c>
      <c r="D12" s="249">
        <f>All!D48</f>
        <v>9.1999999999999993</v>
      </c>
      <c r="E12" s="249">
        <f>All!E48</f>
        <v>75.3</v>
      </c>
      <c r="F12" s="249">
        <f>All!F48</f>
        <v>54.7</v>
      </c>
      <c r="G12" s="249">
        <f>All!G48</f>
        <v>135.9</v>
      </c>
      <c r="H12" s="249">
        <f>All!H48</f>
        <v>44.8</v>
      </c>
      <c r="I12" s="249">
        <f>All!I48</f>
        <v>117.6</v>
      </c>
      <c r="J12" s="249">
        <f>All!J48</f>
        <v>230</v>
      </c>
      <c r="K12" s="249">
        <f>All!K48</f>
        <v>250.8</v>
      </c>
      <c r="L12" s="249">
        <f>All!L48</f>
        <v>49.5</v>
      </c>
      <c r="M12" s="249">
        <f>All!M48</f>
        <v>67.900000000000006</v>
      </c>
      <c r="N12" s="250">
        <f>All!N48</f>
        <v>5.4</v>
      </c>
      <c r="O12" s="393">
        <f>All!O48</f>
        <v>1058.9000000000001</v>
      </c>
      <c r="P12" s="250">
        <f>All!P48</f>
        <v>88.2</v>
      </c>
    </row>
    <row r="13" spans="2:16" ht="22.15" customHeight="1">
      <c r="B13" s="266">
        <f>All!B49</f>
        <v>2022</v>
      </c>
      <c r="C13" s="261">
        <f>All!C49</f>
        <v>3.3</v>
      </c>
      <c r="D13" s="249">
        <f>All!D49</f>
        <v>3.3</v>
      </c>
      <c r="E13" s="249">
        <f>All!E49</f>
        <v>57.6</v>
      </c>
      <c r="F13" s="249">
        <f>All!F49</f>
        <v>51.6</v>
      </c>
      <c r="G13" s="249">
        <f>All!G49</f>
        <v>9.8000000000000007</v>
      </c>
      <c r="H13" s="249">
        <f>All!H49</f>
        <v>168</v>
      </c>
      <c r="I13" s="249">
        <f>All!I49</f>
        <v>117</v>
      </c>
      <c r="J13" s="249">
        <f>All!J49</f>
        <v>366.6</v>
      </c>
      <c r="K13" s="249">
        <f>All!K49</f>
        <v>133.30000000000001</v>
      </c>
      <c r="L13" s="249">
        <f>All!L49</f>
        <v>98.2</v>
      </c>
      <c r="M13" s="249">
        <f>All!M49</f>
        <v>43.2</v>
      </c>
      <c r="N13" s="250">
        <f>All!N49</f>
        <v>28.8</v>
      </c>
      <c r="O13" s="393">
        <f>All!O49</f>
        <v>1080.7</v>
      </c>
      <c r="P13" s="250">
        <f>All!P49</f>
        <v>90.1</v>
      </c>
    </row>
    <row r="14" spans="2:16" ht="22.15" customHeight="1" thickBot="1">
      <c r="B14" s="465">
        <f>All!B50</f>
        <v>2023</v>
      </c>
      <c r="C14" s="262">
        <f>All!C50</f>
        <v>31</v>
      </c>
      <c r="D14" s="251">
        <f>All!D50</f>
        <v>3.1</v>
      </c>
      <c r="E14" s="251">
        <f>All!E50</f>
        <v>16.399999999999999</v>
      </c>
      <c r="F14" s="251">
        <f>All!F50</f>
        <v>29.6</v>
      </c>
      <c r="G14" s="251">
        <f>All!G50</f>
        <v>116.9</v>
      </c>
      <c r="H14" s="251">
        <f>All!H50</f>
        <v>178.9</v>
      </c>
      <c r="I14" s="251">
        <f>All!I50</f>
        <v>574.9</v>
      </c>
      <c r="J14" s="251">
        <f>All!J50</f>
        <v>196.5</v>
      </c>
      <c r="K14" s="251">
        <f>All!K50</f>
        <v>180.1</v>
      </c>
      <c r="L14" s="251">
        <f>All!L50</f>
        <v>28.7</v>
      </c>
      <c r="M14" s="251">
        <f>All!M50</f>
        <v>56.9</v>
      </c>
      <c r="N14" s="252">
        <f>All!N50</f>
        <v>86.2</v>
      </c>
      <c r="O14" s="396">
        <f>All!O50</f>
        <v>1499.2</v>
      </c>
      <c r="P14" s="252">
        <f>All!P50</f>
        <v>124.9</v>
      </c>
    </row>
    <row r="15" spans="2:16" ht="22.15" customHeight="1">
      <c r="B15" s="269" t="s">
        <v>21</v>
      </c>
      <c r="C15" s="263">
        <f>All!C51</f>
        <v>59.7</v>
      </c>
      <c r="D15" s="253">
        <f>All!D51</f>
        <v>63.1</v>
      </c>
      <c r="E15" s="253">
        <f>All!E51</f>
        <v>75.3</v>
      </c>
      <c r="F15" s="253">
        <f>All!F51</f>
        <v>118.3</v>
      </c>
      <c r="G15" s="253">
        <f>All!G51</f>
        <v>135.9</v>
      </c>
      <c r="H15" s="253">
        <f>All!H51</f>
        <v>178.9</v>
      </c>
      <c r="I15" s="253">
        <f>All!I51</f>
        <v>788.1</v>
      </c>
      <c r="J15" s="253">
        <f>All!J51</f>
        <v>481.7</v>
      </c>
      <c r="K15" s="253">
        <f>All!K51</f>
        <v>250.8</v>
      </c>
      <c r="L15" s="253">
        <f>All!L51</f>
        <v>119.5</v>
      </c>
      <c r="M15" s="253">
        <f>All!M51</f>
        <v>128.6</v>
      </c>
      <c r="N15" s="254">
        <f>All!N51</f>
        <v>86.2</v>
      </c>
      <c r="O15" s="394">
        <f>All!O51</f>
        <v>1499.2</v>
      </c>
      <c r="P15" s="254">
        <f>All!P51</f>
        <v>124.9</v>
      </c>
    </row>
    <row r="16" spans="2:16" ht="22.15" customHeight="1">
      <c r="B16" s="266" t="s">
        <v>22</v>
      </c>
      <c r="C16" s="261">
        <f>All!C52</f>
        <v>0.6</v>
      </c>
      <c r="D16" s="249">
        <f>All!D52</f>
        <v>3.1</v>
      </c>
      <c r="E16" s="249">
        <f>All!E52</f>
        <v>6.5</v>
      </c>
      <c r="F16" s="249">
        <f>All!F52</f>
        <v>15.1</v>
      </c>
      <c r="G16" s="249">
        <f>All!G52</f>
        <v>9.8000000000000007</v>
      </c>
      <c r="H16" s="249">
        <f>All!H52</f>
        <v>15.6</v>
      </c>
      <c r="I16" s="249">
        <f>All!I52</f>
        <v>117</v>
      </c>
      <c r="J16" s="249">
        <f>All!J52</f>
        <v>64.2</v>
      </c>
      <c r="K16" s="249">
        <f>All!K52</f>
        <v>29</v>
      </c>
      <c r="L16" s="249">
        <f>All!L52</f>
        <v>14.1</v>
      </c>
      <c r="M16" s="249">
        <f>All!M52</f>
        <v>23.8</v>
      </c>
      <c r="N16" s="250">
        <f>All!N52</f>
        <v>5.4</v>
      </c>
      <c r="O16" s="395">
        <f>All!O52</f>
        <v>728</v>
      </c>
      <c r="P16" s="250">
        <f>All!P52</f>
        <v>60.7</v>
      </c>
    </row>
    <row r="17" spans="1:16" ht="22.15" customHeight="1" thickBot="1">
      <c r="B17" s="268" t="s">
        <v>20</v>
      </c>
      <c r="C17" s="262">
        <f>All!C53</f>
        <v>16.600000000000001</v>
      </c>
      <c r="D17" s="251">
        <f>All!D53</f>
        <v>24.8</v>
      </c>
      <c r="E17" s="258">
        <f>All!E53</f>
        <v>34.700000000000003</v>
      </c>
      <c r="F17" s="251">
        <f>All!F53</f>
        <v>62.3</v>
      </c>
      <c r="G17" s="259">
        <f>All!G53</f>
        <v>63</v>
      </c>
      <c r="H17" s="259">
        <f>All!H53</f>
        <v>89.9</v>
      </c>
      <c r="I17" s="259">
        <f>All!I53</f>
        <v>311.5</v>
      </c>
      <c r="J17" s="259">
        <f>All!J53</f>
        <v>230.5</v>
      </c>
      <c r="K17" s="259">
        <f>All!K53</f>
        <v>123</v>
      </c>
      <c r="L17" s="251">
        <f>All!L53</f>
        <v>67.599999999999994</v>
      </c>
      <c r="M17" s="251">
        <f>All!M53</f>
        <v>59.8</v>
      </c>
      <c r="N17" s="252">
        <f>All!N53</f>
        <v>31.4</v>
      </c>
      <c r="O17" s="396">
        <f>All!O53</f>
        <v>1114.9000000000001</v>
      </c>
      <c r="P17" s="260">
        <f>All!P53</f>
        <v>92.9</v>
      </c>
    </row>
    <row r="18" spans="1:16" ht="29.25" customHeight="1" thickBot="1">
      <c r="B18" s="91" t="s">
        <v>23</v>
      </c>
      <c r="C18" s="264">
        <f>All!C37</f>
        <v>19.8</v>
      </c>
      <c r="D18" s="255">
        <f>All!D37</f>
        <v>23.3</v>
      </c>
      <c r="E18" s="255">
        <f>All!E37</f>
        <v>39</v>
      </c>
      <c r="F18" s="255">
        <f>All!F37</f>
        <v>66.7</v>
      </c>
      <c r="G18" s="255">
        <f>All!G37</f>
        <v>78.900000000000006</v>
      </c>
      <c r="H18" s="255">
        <f>All!H37</f>
        <v>131.4</v>
      </c>
      <c r="I18" s="256">
        <f>All!I37</f>
        <v>288.39999999999998</v>
      </c>
      <c r="J18" s="256">
        <f>All!J37</f>
        <v>306.39999999999998</v>
      </c>
      <c r="K18" s="256">
        <f>All!K37</f>
        <v>146.69999999999999</v>
      </c>
      <c r="L18" s="256">
        <f>All!L37</f>
        <v>58.6</v>
      </c>
      <c r="M18" s="256">
        <f>All!M37</f>
        <v>49.2</v>
      </c>
      <c r="N18" s="257">
        <f>All!N37</f>
        <v>27.8</v>
      </c>
      <c r="O18" s="398">
        <f>All!O37</f>
        <v>1236.0999999999999</v>
      </c>
      <c r="P18" s="257">
        <f>All!P37</f>
        <v>103</v>
      </c>
    </row>
    <row r="19" spans="1:16" ht="22.15" customHeight="1" thickBot="1"/>
    <row r="20" spans="1:16">
      <c r="B20" s="270" t="s">
        <v>24</v>
      </c>
      <c r="C20" s="125"/>
      <c r="D20" s="128">
        <f>SUM(G17:K17)</f>
        <v>817.9</v>
      </c>
      <c r="F20" s="92"/>
    </row>
    <row r="21" spans="1:16">
      <c r="B21" s="271" t="s">
        <v>163</v>
      </c>
      <c r="D21" s="129">
        <f>O17</f>
        <v>1114.9000000000001</v>
      </c>
    </row>
    <row r="22" spans="1:16" ht="17.25" thickBot="1">
      <c r="B22" s="126"/>
      <c r="C22" s="127"/>
      <c r="D22" s="130">
        <f>D20/D21</f>
        <v>0.73360839537178213</v>
      </c>
    </row>
    <row r="23" spans="1:16" ht="33.75" customHeight="1" thickBot="1">
      <c r="C23" s="243" t="s">
        <v>184</v>
      </c>
      <c r="D23" s="243" t="s">
        <v>185</v>
      </c>
      <c r="E23" s="243" t="s">
        <v>186</v>
      </c>
    </row>
    <row r="24" spans="1:16" ht="21.95" customHeight="1">
      <c r="B24" s="244" t="s">
        <v>93</v>
      </c>
      <c r="C24" s="294">
        <f>O16</f>
        <v>728</v>
      </c>
      <c r="D24" s="295"/>
      <c r="E24" s="296"/>
      <c r="H24" s="273" t="s">
        <v>181</v>
      </c>
      <c r="I24" s="693" t="s">
        <v>727</v>
      </c>
      <c r="J24" s="694"/>
      <c r="K24" s="402">
        <f>INDEX(Location[recharge], MATCH(I24,Location[name],0))</f>
        <v>0.14699999999999999</v>
      </c>
      <c r="L24" s="403">
        <f>INDEX(Location[ratio], MATCH(I24,Location[name],0))</f>
        <v>0.68899999999999995</v>
      </c>
    </row>
    <row r="25" spans="1:16" ht="21.95" customHeight="1">
      <c r="B25" s="245" t="s">
        <v>25</v>
      </c>
      <c r="C25" s="297">
        <f>O18</f>
        <v>1236.0999999999999</v>
      </c>
      <c r="D25" s="298"/>
      <c r="E25" s="299"/>
      <c r="H25" s="273" t="s">
        <v>182</v>
      </c>
      <c r="I25" s="695" t="s">
        <v>191</v>
      </c>
      <c r="J25" s="696"/>
      <c r="K25" s="400">
        <f>INDEX(Location[recharge], MATCH(I25,Location[name],0))</f>
        <v>0.152</v>
      </c>
      <c r="L25" s="401">
        <f>INDEX(Location[ratio], MATCH(I25,Location[name],0))</f>
        <v>0.68100000000000005</v>
      </c>
    </row>
    <row r="26" spans="1:16" ht="21.95" customHeight="1" thickBot="1">
      <c r="B26" s="246" t="s">
        <v>162</v>
      </c>
      <c r="C26" s="300">
        <f>L24</f>
        <v>0.68899999999999995</v>
      </c>
      <c r="D26" s="301">
        <f>L25</f>
        <v>0.68100000000000005</v>
      </c>
      <c r="E26" s="302">
        <f>L26</f>
        <v>0.72</v>
      </c>
      <c r="H26" s="273" t="s">
        <v>183</v>
      </c>
      <c r="I26" s="697" t="s">
        <v>244</v>
      </c>
      <c r="J26" s="698"/>
      <c r="K26" s="404">
        <f>INDEX(Location[recharge], MATCH(I26,Location[name],0))</f>
        <v>0.17100000000000001</v>
      </c>
      <c r="L26" s="405">
        <f>INDEX(Location[ratio], MATCH(I26,Location[name],0))</f>
        <v>0.72</v>
      </c>
    </row>
    <row r="27" spans="1:16" ht="21.95" customHeight="1">
      <c r="B27" s="245" t="s">
        <v>26</v>
      </c>
      <c r="C27" s="303">
        <f>Well!P4</f>
        <v>6919125.9708000002</v>
      </c>
      <c r="D27" s="298"/>
      <c r="E27" s="304"/>
    </row>
    <row r="28" spans="1:16" ht="21.95" customHeight="1" thickBot="1">
      <c r="B28" s="247" t="s">
        <v>27</v>
      </c>
      <c r="C28" s="305">
        <f>K24</f>
        <v>0.14699999999999999</v>
      </c>
      <c r="D28" s="306">
        <f>K25</f>
        <v>0.152</v>
      </c>
      <c r="E28" s="307">
        <f>K26</f>
        <v>0.17100000000000001</v>
      </c>
    </row>
    <row r="29" spans="1:16" ht="17.25" thickBot="1">
      <c r="E29" s="93"/>
    </row>
    <row r="30" spans="1:16" ht="22.15" customHeight="1" thickBot="1">
      <c r="B30" s="248" t="s">
        <v>164</v>
      </c>
      <c r="C30" s="123">
        <f>max*rf_1/10</f>
        <v>18.170669999999998</v>
      </c>
      <c r="D30" s="123">
        <f>max*rf_2/10</f>
        <v>18.788719999999998</v>
      </c>
      <c r="E30" s="124">
        <f>max*rf_3/10</f>
        <v>21.137309999999999</v>
      </c>
    </row>
    <row r="31" spans="1:16" ht="22.15" customHeight="1">
      <c r="E31" s="93"/>
      <c r="I31" s="339" t="s">
        <v>348</v>
      </c>
    </row>
    <row r="32" spans="1:16" ht="17.25" customHeight="1">
      <c r="A32" s="272" t="s">
        <v>165</v>
      </c>
      <c r="B32" s="196"/>
      <c r="C32" s="196"/>
      <c r="D32" s="196"/>
    </row>
    <row r="33" spans="1:6" ht="17.25" customHeight="1">
      <c r="A33" s="272" t="s">
        <v>166</v>
      </c>
    </row>
    <row r="34" spans="1:6" ht="17.25" customHeight="1">
      <c r="C34" s="196"/>
      <c r="D34" s="196"/>
    </row>
    <row r="35" spans="1:6" ht="17.25" customHeight="1"/>
    <row r="3864" spans="15:15" s="338" customFormat="1" ht="17.25">
      <c r="O3864" s="397"/>
    </row>
    <row r="4150" spans="2430:2430">
      <c r="COL4150" s="197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147</v>
      </c>
      <c r="B2" s="45" t="s">
        <v>143</v>
      </c>
      <c r="C2"/>
      <c r="D2" s="44" t="s">
        <v>146</v>
      </c>
      <c r="E2" s="46" t="s">
        <v>144</v>
      </c>
      <c r="F2"/>
      <c r="G2" s="44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119</v>
      </c>
    </row>
    <row r="4" spans="1:84" s="40" customFormat="1">
      <c r="A4" s="39" t="s">
        <v>130</v>
      </c>
      <c r="B4" s="47">
        <v>2</v>
      </c>
      <c r="C4"/>
      <c r="D4" s="39" t="s">
        <v>132</v>
      </c>
      <c r="E4" s="51">
        <v>10</v>
      </c>
      <c r="F4"/>
      <c r="G4" s="39" t="s">
        <v>148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121</v>
      </c>
      <c r="B5" s="48">
        <v>3</v>
      </c>
      <c r="D5" s="37" t="s">
        <v>133</v>
      </c>
      <c r="E5" s="52">
        <v>10</v>
      </c>
      <c r="G5" s="37" t="s">
        <v>149</v>
      </c>
      <c r="H5" s="56">
        <v>3</v>
      </c>
    </row>
    <row r="6" spans="1:84" s="40" customFormat="1">
      <c r="A6" s="41" t="s">
        <v>122</v>
      </c>
      <c r="B6" s="49">
        <v>4</v>
      </c>
      <c r="C6"/>
      <c r="D6" s="41" t="s">
        <v>134</v>
      </c>
      <c r="E6" s="53">
        <v>9</v>
      </c>
      <c r="F6"/>
      <c r="G6" s="41" t="s">
        <v>120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123</v>
      </c>
      <c r="B7" s="48">
        <v>5</v>
      </c>
      <c r="D7" s="37" t="s">
        <v>135</v>
      </c>
      <c r="E7" s="52">
        <v>8</v>
      </c>
      <c r="G7" s="37" t="s">
        <v>125</v>
      </c>
      <c r="H7" s="56">
        <v>6</v>
      </c>
    </row>
    <row r="8" spans="1:84" s="40" customFormat="1">
      <c r="A8" s="41" t="s">
        <v>124</v>
      </c>
      <c r="B8" s="49">
        <v>6</v>
      </c>
      <c r="C8"/>
      <c r="D8" s="41" t="s">
        <v>136</v>
      </c>
      <c r="E8" s="53">
        <v>7</v>
      </c>
      <c r="F8"/>
      <c r="G8" s="41" t="s">
        <v>150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131</v>
      </c>
      <c r="B9" s="48">
        <v>6</v>
      </c>
      <c r="D9" s="37" t="s">
        <v>137</v>
      </c>
      <c r="E9" s="52">
        <v>6</v>
      </c>
      <c r="G9" s="37" t="s">
        <v>151</v>
      </c>
      <c r="H9" s="56">
        <v>6</v>
      </c>
    </row>
    <row r="10" spans="1:84" s="40" customFormat="1">
      <c r="A10" s="41" t="s">
        <v>129</v>
      </c>
      <c r="B10" s="49">
        <v>6</v>
      </c>
      <c r="C10"/>
      <c r="D10" s="41" t="s">
        <v>138</v>
      </c>
      <c r="E10" s="53">
        <v>5</v>
      </c>
      <c r="F10"/>
      <c r="G10" s="41" t="s">
        <v>152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126</v>
      </c>
      <c r="B11" s="48">
        <v>8</v>
      </c>
      <c r="D11" s="37" t="s">
        <v>139</v>
      </c>
      <c r="E11" s="52">
        <v>4</v>
      </c>
      <c r="G11" s="37" t="s">
        <v>121</v>
      </c>
      <c r="H11" s="56">
        <v>4</v>
      </c>
    </row>
    <row r="12" spans="1:84" s="40" customFormat="1">
      <c r="A12" s="41" t="s">
        <v>127</v>
      </c>
      <c r="B12" s="49">
        <v>9</v>
      </c>
      <c r="C12"/>
      <c r="D12" s="41" t="s">
        <v>140</v>
      </c>
      <c r="E12" s="53">
        <v>3</v>
      </c>
      <c r="F12"/>
      <c r="G12" s="41" t="s">
        <v>126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128</v>
      </c>
      <c r="B13" s="50">
        <v>10</v>
      </c>
      <c r="D13" s="37" t="s">
        <v>141</v>
      </c>
      <c r="E13" s="52">
        <v>2</v>
      </c>
      <c r="G13" s="37" t="s">
        <v>127</v>
      </c>
      <c r="H13" s="56">
        <v>9</v>
      </c>
    </row>
    <row r="14" spans="1:84" s="40" customFormat="1">
      <c r="B14" s="42"/>
      <c r="C14"/>
      <c r="D14" s="43" t="s">
        <v>142</v>
      </c>
      <c r="E14" s="54">
        <v>1</v>
      </c>
      <c r="F14"/>
      <c r="G14" s="43" t="s">
        <v>128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5" t="s">
        <v>328</v>
      </c>
    </row>
    <row r="19" spans="1:7">
      <c r="A19" s="30" t="s">
        <v>369</v>
      </c>
      <c r="D19" s="30" t="s">
        <v>592</v>
      </c>
      <c r="G19" s="342" t="s">
        <v>350</v>
      </c>
    </row>
    <row r="20" spans="1:7">
      <c r="A20" s="30" t="s">
        <v>362</v>
      </c>
      <c r="D20" s="30">
        <v>150</v>
      </c>
      <c r="G20" s="342" t="s">
        <v>351</v>
      </c>
    </row>
    <row r="21" spans="1:7">
      <c r="A21" s="30" t="s">
        <v>363</v>
      </c>
      <c r="D21" s="30">
        <v>200</v>
      </c>
      <c r="G21" s="342" t="s">
        <v>352</v>
      </c>
    </row>
    <row r="22" spans="1:7">
      <c r="A22" s="30" t="s">
        <v>364</v>
      </c>
      <c r="D22" s="30">
        <v>250</v>
      </c>
      <c r="G22" s="342" t="s">
        <v>353</v>
      </c>
    </row>
    <row r="23" spans="1:7">
      <c r="A23" s="30" t="s">
        <v>365</v>
      </c>
      <c r="D23" s="30">
        <v>1700</v>
      </c>
      <c r="G23" s="342" t="s">
        <v>354</v>
      </c>
    </row>
    <row r="24" spans="1:7">
      <c r="A24" s="30" t="s">
        <v>366</v>
      </c>
      <c r="G24" s="342" t="s">
        <v>355</v>
      </c>
    </row>
    <row r="25" spans="1:7">
      <c r="A25" s="30" t="s">
        <v>367</v>
      </c>
      <c r="G25" s="342" t="s">
        <v>356</v>
      </c>
    </row>
    <row r="26" spans="1:7">
      <c r="A26" s="30" t="s">
        <v>368</v>
      </c>
      <c r="G26" s="342" t="s">
        <v>357</v>
      </c>
    </row>
    <row r="27" spans="1:7">
      <c r="G27" s="342" t="s">
        <v>358</v>
      </c>
    </row>
    <row r="28" spans="1:7">
      <c r="G28" s="342" t="s">
        <v>359</v>
      </c>
    </row>
    <row r="29" spans="1:7">
      <c r="G29" s="342" t="s">
        <v>360</v>
      </c>
    </row>
    <row r="30" spans="1:7">
      <c r="G30" s="342" t="s">
        <v>361</v>
      </c>
    </row>
    <row r="31" spans="1:7">
      <c r="G31" s="431" t="s">
        <v>612</v>
      </c>
    </row>
    <row r="32" spans="1:7">
      <c r="G32" s="342" t="s">
        <v>625</v>
      </c>
    </row>
    <row r="33" spans="7:7">
      <c r="G33" s="342" t="s">
        <v>626</v>
      </c>
    </row>
    <row r="34" spans="7:7">
      <c r="G34" s="342" t="s">
        <v>635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196</v>
      </c>
      <c r="B1" s="141" t="s">
        <v>197</v>
      </c>
      <c r="C1" s="141" t="s">
        <v>198</v>
      </c>
    </row>
    <row r="2" spans="1:12" ht="18" customHeight="1">
      <c r="A2" s="141" t="s">
        <v>195</v>
      </c>
      <c r="B2" s="144">
        <v>0.153</v>
      </c>
      <c r="C2" s="144">
        <v>0.70399999999999996</v>
      </c>
    </row>
    <row r="3" spans="1:12" ht="18" customHeight="1">
      <c r="A3" s="141" t="s">
        <v>187</v>
      </c>
      <c r="B3" s="144">
        <v>0.14499999999999999</v>
      </c>
      <c r="C3" s="144">
        <v>0.70499999999999996</v>
      </c>
    </row>
    <row r="4" spans="1:12" ht="18" customHeight="1">
      <c r="A4" s="141" t="s">
        <v>177</v>
      </c>
      <c r="B4" s="144">
        <v>0.161</v>
      </c>
      <c r="C4" s="144">
        <v>0.70699999999999996</v>
      </c>
      <c r="J4" s="145" t="s">
        <v>189</v>
      </c>
      <c r="K4" s="145">
        <f>INDEX(Location[recharge],MATCH(J4,Location[name],0))</f>
        <v>0.13900000000000001</v>
      </c>
      <c r="L4" s="145">
        <f>INDEX(Location[ratio], MATCH(J4,Location[name]))</f>
        <v>0.70499999999999996</v>
      </c>
    </row>
    <row r="5" spans="1:12" ht="18" customHeight="1">
      <c r="A5" s="141" t="s">
        <v>178</v>
      </c>
      <c r="B5" s="144">
        <v>0.157</v>
      </c>
      <c r="C5" s="144">
        <v>0.70599999999999996</v>
      </c>
    </row>
    <row r="6" spans="1:12" ht="18" customHeight="1">
      <c r="A6" s="141" t="s">
        <v>188</v>
      </c>
      <c r="B6" s="144">
        <v>0.13400000000000001</v>
      </c>
      <c r="C6" s="144">
        <v>0.70599999999999996</v>
      </c>
    </row>
    <row r="7" spans="1:12" ht="18" customHeight="1">
      <c r="A7" s="141" t="s">
        <v>190</v>
      </c>
      <c r="B7" s="144">
        <v>0.13900000000000001</v>
      </c>
      <c r="C7" s="144">
        <v>0.69299999999999995</v>
      </c>
      <c r="E7" s="145" t="s">
        <v>199</v>
      </c>
    </row>
    <row r="8" spans="1:12" ht="18" customHeight="1">
      <c r="A8" s="141" t="s">
        <v>191</v>
      </c>
      <c r="B8" s="144">
        <v>0.152</v>
      </c>
      <c r="C8" s="144">
        <v>0.68100000000000005</v>
      </c>
    </row>
    <row r="9" spans="1:12" ht="18" customHeight="1">
      <c r="A9" s="141" t="s">
        <v>179</v>
      </c>
      <c r="B9" s="144">
        <v>0.14699999999999999</v>
      </c>
      <c r="C9" s="144">
        <v>0.68899999999999995</v>
      </c>
    </row>
    <row r="10" spans="1:12" ht="18" customHeight="1">
      <c r="A10" s="141" t="s">
        <v>192</v>
      </c>
      <c r="B10" s="144">
        <v>0.17100000000000001</v>
      </c>
      <c r="C10" s="144">
        <v>0.72</v>
      </c>
    </row>
    <row r="11" spans="1:12" ht="18" customHeight="1">
      <c r="A11" s="141" t="s">
        <v>193</v>
      </c>
      <c r="B11" s="144">
        <v>0.17299999999999999</v>
      </c>
      <c r="C11" s="144">
        <v>0.70599999999999996</v>
      </c>
    </row>
    <row r="12" spans="1:12" ht="18" customHeight="1">
      <c r="A12" s="141" t="s">
        <v>194</v>
      </c>
      <c r="B12" s="144">
        <v>0.155</v>
      </c>
      <c r="C12" s="144">
        <v>0.69599999999999995</v>
      </c>
    </row>
    <row r="13" spans="1:12" ht="18" customHeight="1">
      <c r="A13" s="141" t="s">
        <v>207</v>
      </c>
      <c r="B13" s="144">
        <v>0.14099999999999999</v>
      </c>
      <c r="C13" s="144">
        <v>0.72399999999999998</v>
      </c>
    </row>
    <row r="14" spans="1:12" ht="18" customHeight="1">
      <c r="A14" s="141" t="s">
        <v>208</v>
      </c>
      <c r="B14" s="144">
        <v>0.128</v>
      </c>
      <c r="C14" s="144">
        <v>0.70599999999999996</v>
      </c>
    </row>
    <row r="15" spans="1:12" ht="18" customHeight="1">
      <c r="A15" s="141" t="s">
        <v>209</v>
      </c>
      <c r="B15" s="144">
        <v>0.16800000000000001</v>
      </c>
      <c r="C15" s="144">
        <v>0.67</v>
      </c>
    </row>
    <row r="16" spans="1:12" ht="18" customHeight="1">
      <c r="A16" s="141" t="s">
        <v>245</v>
      </c>
      <c r="B16" s="144">
        <v>0.153</v>
      </c>
      <c r="C16" s="144">
        <v>0.68100000000000005</v>
      </c>
    </row>
    <row r="17" spans="1:3" ht="18" customHeight="1">
      <c r="A17" s="141" t="s">
        <v>335</v>
      </c>
      <c r="B17" s="144">
        <v>0.13900000000000001</v>
      </c>
      <c r="C17" s="144">
        <v>0.70699999999999996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290</v>
      </c>
    </row>
    <row r="4" spans="3:11" ht="40.5" customHeight="1">
      <c r="C4" s="409" t="s">
        <v>283</v>
      </c>
      <c r="D4" s="410" t="s">
        <v>260</v>
      </c>
      <c r="E4" s="410" t="s">
        <v>284</v>
      </c>
      <c r="F4" s="411" t="s">
        <v>289</v>
      </c>
      <c r="G4" s="410" t="s">
        <v>275</v>
      </c>
      <c r="H4" s="410" t="s">
        <v>285</v>
      </c>
      <c r="I4" s="410" t="s">
        <v>286</v>
      </c>
      <c r="J4" s="410" t="s">
        <v>287</v>
      </c>
      <c r="K4" s="412" t="s">
        <v>288</v>
      </c>
    </row>
    <row r="5" spans="3:11" ht="97.5" customHeight="1">
      <c r="C5" s="156" t="s">
        <v>226</v>
      </c>
      <c r="D5" s="189" t="s">
        <v>291</v>
      </c>
      <c r="E5" s="189" t="s">
        <v>292</v>
      </c>
      <c r="F5" s="189" t="s">
        <v>293</v>
      </c>
      <c r="G5" s="189" t="s">
        <v>668</v>
      </c>
      <c r="H5" s="189" t="s">
        <v>669</v>
      </c>
      <c r="I5" s="189" t="s">
        <v>670</v>
      </c>
      <c r="J5" s="189" t="s">
        <v>671</v>
      </c>
      <c r="K5" s="190" t="s">
        <v>672</v>
      </c>
    </row>
    <row r="6" spans="3:11" ht="97.5" customHeight="1">
      <c r="C6" s="156" t="s">
        <v>227</v>
      </c>
      <c r="D6" s="189" t="s">
        <v>291</v>
      </c>
      <c r="E6" s="189" t="s">
        <v>292</v>
      </c>
      <c r="F6" s="189" t="s">
        <v>293</v>
      </c>
      <c r="G6" s="189" t="s">
        <v>668</v>
      </c>
      <c r="H6" s="189" t="s">
        <v>669</v>
      </c>
      <c r="I6" s="189" t="s">
        <v>670</v>
      </c>
      <c r="J6" s="189" t="s">
        <v>671</v>
      </c>
      <c r="K6" s="190" t="s">
        <v>672</v>
      </c>
    </row>
    <row r="7" spans="3:11" ht="97.5" customHeight="1">
      <c r="C7" s="156" t="s">
        <v>228</v>
      </c>
      <c r="D7" s="189" t="s">
        <v>291</v>
      </c>
      <c r="E7" s="189" t="s">
        <v>292</v>
      </c>
      <c r="F7" s="189" t="s">
        <v>293</v>
      </c>
      <c r="G7" s="189" t="s">
        <v>668</v>
      </c>
      <c r="H7" s="189" t="s">
        <v>669</v>
      </c>
      <c r="I7" s="189" t="s">
        <v>670</v>
      </c>
      <c r="J7" s="189" t="s">
        <v>671</v>
      </c>
      <c r="K7" s="190" t="s">
        <v>672</v>
      </c>
    </row>
    <row r="8" spans="3:11" ht="97.5" customHeight="1">
      <c r="C8" s="156" t="s">
        <v>332</v>
      </c>
      <c r="D8" s="189" t="s">
        <v>291</v>
      </c>
      <c r="E8" s="189" t="s">
        <v>292</v>
      </c>
      <c r="F8" s="189" t="s">
        <v>293</v>
      </c>
      <c r="G8" s="189" t="s">
        <v>668</v>
      </c>
      <c r="H8" s="189" t="s">
        <v>669</v>
      </c>
      <c r="I8" s="189" t="s">
        <v>670</v>
      </c>
      <c r="J8" s="189" t="s">
        <v>671</v>
      </c>
      <c r="K8" s="190" t="s">
        <v>672</v>
      </c>
    </row>
    <row r="9" spans="3:11" ht="97.5" customHeight="1">
      <c r="C9" s="156" t="s">
        <v>333</v>
      </c>
      <c r="D9" s="189" t="s">
        <v>291</v>
      </c>
      <c r="E9" s="189" t="s">
        <v>292</v>
      </c>
      <c r="F9" s="189" t="s">
        <v>293</v>
      </c>
      <c r="G9" s="189" t="s">
        <v>668</v>
      </c>
      <c r="H9" s="189" t="s">
        <v>669</v>
      </c>
      <c r="I9" s="189" t="s">
        <v>670</v>
      </c>
      <c r="J9" s="189" t="s">
        <v>671</v>
      </c>
      <c r="K9" s="190" t="s">
        <v>672</v>
      </c>
    </row>
    <row r="10" spans="3:11" ht="97.5" customHeight="1">
      <c r="C10" s="156"/>
      <c r="D10" s="189"/>
      <c r="E10" s="189"/>
      <c r="F10" s="189"/>
      <c r="G10" s="189"/>
      <c r="H10" s="189"/>
      <c r="I10" s="189"/>
      <c r="J10" s="189"/>
      <c r="K10" s="190"/>
    </row>
    <row r="11" spans="3:11" ht="97.5" customHeight="1">
      <c r="C11" s="156"/>
      <c r="D11" s="189"/>
      <c r="E11" s="189"/>
      <c r="F11" s="189"/>
      <c r="G11" s="189"/>
      <c r="H11" s="189"/>
      <c r="I11" s="189"/>
      <c r="J11" s="189"/>
      <c r="K11" s="190"/>
    </row>
    <row r="12" spans="3:11" ht="97.5" customHeight="1">
      <c r="C12" s="156"/>
      <c r="D12" s="189"/>
      <c r="E12" s="189"/>
      <c r="F12" s="189"/>
      <c r="G12" s="189"/>
      <c r="H12" s="189"/>
      <c r="I12" s="189"/>
      <c r="J12" s="189"/>
      <c r="K12" s="190"/>
    </row>
    <row r="13" spans="3:11" ht="97.5" customHeight="1">
      <c r="C13" s="156"/>
      <c r="D13" s="189"/>
      <c r="E13" s="189"/>
      <c r="F13" s="189"/>
      <c r="G13" s="189"/>
      <c r="H13" s="189"/>
      <c r="I13" s="189"/>
      <c r="J13" s="189"/>
      <c r="K13" s="190"/>
    </row>
    <row r="14" spans="3:11" ht="97.5" customHeight="1">
      <c r="C14" s="156"/>
      <c r="D14" s="189"/>
      <c r="E14" s="189"/>
      <c r="F14" s="189"/>
      <c r="G14" s="189"/>
      <c r="H14" s="189"/>
      <c r="I14" s="189"/>
      <c r="J14" s="189"/>
      <c r="K14" s="190"/>
    </row>
    <row r="15" spans="3:11" ht="97.5" customHeight="1">
      <c r="C15" s="156"/>
      <c r="D15" s="189"/>
      <c r="E15" s="189"/>
      <c r="F15" s="189"/>
      <c r="G15" s="189"/>
      <c r="H15" s="189"/>
      <c r="I15" s="189"/>
      <c r="J15" s="189"/>
      <c r="K15" s="190"/>
    </row>
    <row r="16" spans="3:11" ht="97.5" customHeight="1">
      <c r="C16" s="156"/>
      <c r="D16" s="189"/>
      <c r="E16" s="189"/>
      <c r="F16" s="189"/>
      <c r="G16" s="189"/>
      <c r="H16" s="189"/>
      <c r="I16" s="189"/>
      <c r="J16" s="189"/>
      <c r="K16" s="190"/>
    </row>
    <row r="17" spans="3:11" ht="97.5" customHeight="1">
      <c r="C17" s="156"/>
      <c r="D17" s="189"/>
      <c r="E17" s="189"/>
      <c r="F17" s="189"/>
      <c r="G17" s="189"/>
      <c r="H17" s="189"/>
      <c r="I17" s="189"/>
      <c r="J17" s="189"/>
      <c r="K17" s="190"/>
    </row>
    <row r="18" spans="3:11" ht="97.5" customHeight="1">
      <c r="C18" s="156"/>
      <c r="D18" s="189"/>
      <c r="E18" s="189"/>
      <c r="F18" s="189"/>
      <c r="G18" s="189"/>
      <c r="H18" s="189"/>
      <c r="I18" s="189"/>
      <c r="J18" s="189"/>
      <c r="K18" s="190"/>
    </row>
    <row r="19" spans="3:11" ht="97.5" customHeight="1">
      <c r="C19" s="156"/>
      <c r="D19" s="189"/>
      <c r="E19" s="189"/>
      <c r="F19" s="189"/>
      <c r="G19" s="189"/>
      <c r="H19" s="189"/>
      <c r="I19" s="189"/>
      <c r="J19" s="189"/>
      <c r="K19" s="190"/>
    </row>
    <row r="20" spans="3:11" ht="97.5" customHeight="1">
      <c r="C20" s="156"/>
      <c r="D20" s="189"/>
      <c r="E20" s="189"/>
      <c r="F20" s="189"/>
      <c r="G20" s="189"/>
      <c r="H20" s="189"/>
      <c r="I20" s="189"/>
      <c r="J20" s="189"/>
      <c r="K20" s="190"/>
    </row>
    <row r="21" spans="3:11" ht="97.5" customHeight="1">
      <c r="C21" s="156"/>
      <c r="D21" s="189"/>
      <c r="E21" s="189"/>
      <c r="F21" s="189"/>
      <c r="G21" s="189"/>
      <c r="H21" s="189"/>
      <c r="I21" s="189"/>
      <c r="J21" s="189"/>
      <c r="K21" s="190"/>
    </row>
    <row r="22" spans="3:11" ht="97.5" customHeight="1">
      <c r="C22" s="156"/>
      <c r="D22" s="189"/>
      <c r="E22" s="189"/>
      <c r="F22" s="189"/>
      <c r="G22" s="189"/>
      <c r="H22" s="189"/>
      <c r="I22" s="189"/>
      <c r="J22" s="189"/>
      <c r="K22" s="190"/>
    </row>
    <row r="23" spans="3:11" ht="97.5" customHeight="1">
      <c r="C23" s="156"/>
      <c r="D23" s="189"/>
      <c r="E23" s="189"/>
      <c r="F23" s="189"/>
      <c r="G23" s="189"/>
      <c r="H23" s="189"/>
      <c r="I23" s="189"/>
      <c r="J23" s="189"/>
      <c r="K23" s="190"/>
    </row>
    <row r="24" spans="3:11" ht="97.5" customHeight="1">
      <c r="C24" s="156"/>
      <c r="D24" s="189"/>
      <c r="E24" s="189"/>
      <c r="F24" s="189"/>
      <c r="G24" s="189"/>
      <c r="H24" s="189"/>
      <c r="I24" s="189"/>
      <c r="J24" s="189"/>
      <c r="K24" s="190"/>
    </row>
    <row r="25" spans="3:11" ht="97.5" customHeight="1">
      <c r="C25" s="156"/>
      <c r="D25" s="189"/>
      <c r="E25" s="189"/>
      <c r="F25" s="189"/>
      <c r="G25" s="189"/>
      <c r="H25" s="189"/>
      <c r="I25" s="189"/>
      <c r="J25" s="189"/>
      <c r="K25" s="190"/>
    </row>
    <row r="26" spans="3:11" ht="97.5" customHeight="1">
      <c r="C26" s="156"/>
      <c r="D26" s="189"/>
      <c r="E26" s="189"/>
      <c r="F26" s="189"/>
      <c r="G26" s="189"/>
      <c r="H26" s="189"/>
      <c r="I26" s="189"/>
      <c r="J26" s="189"/>
      <c r="K26" s="190"/>
    </row>
    <row r="27" spans="3:11" ht="97.5" customHeight="1">
      <c r="C27" s="156"/>
      <c r="D27" s="189"/>
      <c r="E27" s="189"/>
      <c r="F27" s="189"/>
      <c r="G27" s="189"/>
      <c r="H27" s="189"/>
      <c r="I27" s="189"/>
      <c r="J27" s="189"/>
      <c r="K27" s="190"/>
    </row>
    <row r="28" spans="3:11" ht="97.5" customHeight="1">
      <c r="C28" s="156"/>
      <c r="D28" s="189"/>
      <c r="E28" s="189"/>
      <c r="F28" s="189"/>
      <c r="G28" s="189"/>
      <c r="H28" s="189"/>
      <c r="I28" s="189"/>
      <c r="J28" s="189"/>
      <c r="K28" s="190"/>
    </row>
    <row r="29" spans="3:11" ht="97.5" customHeight="1">
      <c r="C29" s="156"/>
      <c r="D29" s="189"/>
      <c r="E29" s="189"/>
      <c r="F29" s="189"/>
      <c r="G29" s="189"/>
      <c r="H29" s="189"/>
      <c r="I29" s="189"/>
      <c r="J29" s="189"/>
      <c r="K29" s="190"/>
    </row>
    <row r="30" spans="3:11" ht="97.5" customHeight="1">
      <c r="C30" s="156"/>
      <c r="D30" s="189"/>
      <c r="E30" s="189"/>
      <c r="F30" s="189"/>
      <c r="G30" s="189"/>
      <c r="H30" s="189"/>
      <c r="I30" s="189"/>
      <c r="J30" s="189"/>
      <c r="K30" s="190"/>
    </row>
    <row r="31" spans="3:11" ht="97.5" customHeight="1">
      <c r="C31" s="156"/>
      <c r="D31" s="189"/>
      <c r="E31" s="189"/>
      <c r="F31" s="189"/>
      <c r="G31" s="189"/>
      <c r="H31" s="189"/>
      <c r="I31" s="189"/>
      <c r="J31" s="189"/>
      <c r="K31" s="190"/>
    </row>
    <row r="32" spans="3:11" ht="97.5" customHeight="1">
      <c r="C32" s="156"/>
      <c r="D32" s="189"/>
      <c r="E32" s="189"/>
      <c r="F32" s="189"/>
      <c r="G32" s="189"/>
      <c r="H32" s="189"/>
      <c r="I32" s="189"/>
      <c r="J32" s="189"/>
      <c r="K32" s="190"/>
    </row>
    <row r="33" spans="3:11" ht="97.5" customHeight="1">
      <c r="C33" s="156"/>
      <c r="D33" s="189"/>
      <c r="E33" s="189"/>
      <c r="F33" s="189"/>
      <c r="G33" s="189"/>
      <c r="H33" s="189"/>
      <c r="I33" s="189"/>
      <c r="J33" s="189"/>
      <c r="K33" s="190"/>
    </row>
    <row r="34" spans="3:11" ht="97.5" customHeight="1">
      <c r="C34" s="156"/>
      <c r="D34" s="189"/>
      <c r="E34" s="189"/>
      <c r="F34" s="189"/>
      <c r="G34" s="189"/>
      <c r="H34" s="189"/>
      <c r="I34" s="189"/>
      <c r="J34" s="189"/>
      <c r="K34" s="190"/>
    </row>
    <row r="35" spans="3:11" ht="97.5" customHeight="1">
      <c r="C35" s="156"/>
      <c r="D35" s="185"/>
      <c r="E35" s="185"/>
      <c r="F35" s="185"/>
      <c r="G35" s="185"/>
      <c r="H35" s="185"/>
      <c r="I35" s="185"/>
      <c r="J35" s="185"/>
      <c r="K35" s="187"/>
    </row>
    <row r="36" spans="3:11" ht="97.5" customHeight="1" thickBot="1">
      <c r="C36" s="156"/>
      <c r="D36" s="186"/>
      <c r="E36" s="186"/>
      <c r="F36" s="186"/>
      <c r="G36" s="186"/>
      <c r="H36" s="186"/>
      <c r="I36" s="186"/>
      <c r="J36" s="186"/>
      <c r="K36" s="18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F11" sqref="F11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0" t="s">
        <v>264</v>
      </c>
      <c r="B4" s="428" t="s">
        <v>303</v>
      </c>
      <c r="C4" s="428" t="s">
        <v>304</v>
      </c>
      <c r="D4" s="428" t="s">
        <v>313</v>
      </c>
      <c r="E4" s="428" t="s">
        <v>321</v>
      </c>
      <c r="F4" s="428" t="s">
        <v>320</v>
      </c>
      <c r="G4" s="428" t="s">
        <v>305</v>
      </c>
      <c r="H4" s="170" t="s">
        <v>295</v>
      </c>
      <c r="I4" s="428" t="s">
        <v>306</v>
      </c>
      <c r="J4" s="428" t="s">
        <v>307</v>
      </c>
      <c r="K4" s="428" t="s">
        <v>311</v>
      </c>
      <c r="L4" s="428" t="s">
        <v>310</v>
      </c>
      <c r="M4" s="428" t="s">
        <v>308</v>
      </c>
      <c r="N4" s="428" t="s">
        <v>301</v>
      </c>
      <c r="O4" s="170" t="s">
        <v>296</v>
      </c>
      <c r="P4" s="170" t="s">
        <v>297</v>
      </c>
      <c r="Q4" s="428" t="s">
        <v>309</v>
      </c>
      <c r="R4" s="428" t="s">
        <v>314</v>
      </c>
      <c r="S4" s="428" t="s">
        <v>315</v>
      </c>
      <c r="T4" s="170" t="s">
        <v>300</v>
      </c>
      <c r="U4" s="428" t="s">
        <v>312</v>
      </c>
      <c r="V4" s="170" t="s">
        <v>298</v>
      </c>
      <c r="W4" s="170" t="s">
        <v>299</v>
      </c>
      <c r="X4" s="170" t="s">
        <v>302</v>
      </c>
      <c r="Y4" s="428" t="s">
        <v>318</v>
      </c>
      <c r="Z4" s="428" t="s">
        <v>319</v>
      </c>
      <c r="AA4" s="428" t="s">
        <v>326</v>
      </c>
      <c r="AB4" s="428" t="s">
        <v>327</v>
      </c>
      <c r="AC4" s="428" t="s">
        <v>322</v>
      </c>
      <c r="AD4" s="428" t="s">
        <v>316</v>
      </c>
      <c r="AE4" s="428" t="s">
        <v>317</v>
      </c>
      <c r="AF4" s="428" t="s">
        <v>323</v>
      </c>
      <c r="AG4" s="170" t="s">
        <v>324</v>
      </c>
      <c r="AH4" s="170" t="s">
        <v>325</v>
      </c>
      <c r="AI4" s="170" t="s">
        <v>606</v>
      </c>
      <c r="AJ4" s="170" t="s">
        <v>605</v>
      </c>
      <c r="AK4" s="170" t="s">
        <v>607</v>
      </c>
      <c r="AL4" s="170" t="s">
        <v>608</v>
      </c>
      <c r="AM4" s="170" t="s">
        <v>609</v>
      </c>
      <c r="AN4" s="162" t="s">
        <v>610</v>
      </c>
    </row>
    <row r="5" spans="1:40" ht="23.1" customHeight="1">
      <c r="A5" s="156" t="s">
        <v>85</v>
      </c>
      <c r="B5" s="185">
        <v>3.6</v>
      </c>
      <c r="C5" s="185">
        <v>35.4</v>
      </c>
      <c r="D5" s="193">
        <v>5.5974937264594713</v>
      </c>
      <c r="E5" s="193">
        <v>29.802506273540526</v>
      </c>
      <c r="F5" s="185">
        <v>31.799999999999997</v>
      </c>
      <c r="G5" s="185">
        <v>250</v>
      </c>
      <c r="H5" s="185">
        <v>0.125</v>
      </c>
      <c r="I5" s="185">
        <v>210</v>
      </c>
      <c r="J5" s="185">
        <v>12</v>
      </c>
      <c r="K5" s="185">
        <v>150</v>
      </c>
      <c r="L5" s="193">
        <v>2.7078799527896127</v>
      </c>
      <c r="M5" s="185">
        <v>3</v>
      </c>
      <c r="N5" s="185">
        <v>198</v>
      </c>
      <c r="O5" s="192">
        <v>3.226</v>
      </c>
      <c r="P5" s="192">
        <v>2.6640000000000001</v>
      </c>
      <c r="Q5" s="192">
        <v>2.9450000000000003</v>
      </c>
      <c r="R5" s="185">
        <v>9.0399999999999994E-2</v>
      </c>
      <c r="S5" s="194">
        <v>2.9339999999999998E-4</v>
      </c>
      <c r="T5" s="185">
        <v>1.487E-2</v>
      </c>
      <c r="U5" s="193">
        <v>0.54159999999999997</v>
      </c>
      <c r="V5" s="193">
        <v>72.400000000000006</v>
      </c>
      <c r="W5" s="193">
        <v>88.6</v>
      </c>
      <c r="X5" s="193">
        <v>110.6</v>
      </c>
      <c r="Y5" s="192">
        <v>-2.8652316871553052</v>
      </c>
      <c r="Z5" s="192">
        <v>2.194</v>
      </c>
      <c r="AA5" s="648">
        <v>172</v>
      </c>
      <c r="AB5" s="193">
        <v>155.42949655319808</v>
      </c>
      <c r="AC5" s="193">
        <v>94</v>
      </c>
      <c r="AD5" s="193">
        <v>13.31</v>
      </c>
      <c r="AE5" s="193">
        <v>28.3</v>
      </c>
      <c r="AF5" s="185">
        <v>2.9409999999999999E-4</v>
      </c>
      <c r="AG5" s="185">
        <v>0.1132518</v>
      </c>
      <c r="AH5" s="427">
        <v>0.90116279069767447</v>
      </c>
      <c r="AI5" s="192">
        <v>1.855</v>
      </c>
      <c r="AJ5" s="192">
        <v>5.0000000000000001E-4</v>
      </c>
      <c r="AK5" s="185" t="s">
        <v>265</v>
      </c>
      <c r="AL5" s="185">
        <v>7.0415000000000001</v>
      </c>
      <c r="AM5" s="185">
        <v>7.0457000000000001</v>
      </c>
      <c r="AN5" s="187">
        <v>1.6808000000000001</v>
      </c>
    </row>
    <row r="6" spans="1:40" ht="23.1" customHeight="1">
      <c r="A6" s="156"/>
      <c r="B6" s="185"/>
      <c r="C6" s="185"/>
      <c r="D6" s="193"/>
      <c r="E6" s="193"/>
      <c r="F6" s="185"/>
      <c r="G6" s="185"/>
      <c r="H6" s="185"/>
      <c r="I6" s="185"/>
      <c r="J6" s="185"/>
      <c r="K6" s="185"/>
      <c r="L6" s="193"/>
      <c r="M6" s="185"/>
      <c r="N6" s="185"/>
      <c r="O6" s="192"/>
      <c r="P6" s="192"/>
      <c r="Q6" s="192"/>
      <c r="R6" s="185"/>
      <c r="S6" s="194"/>
      <c r="T6" s="185"/>
      <c r="U6" s="193"/>
      <c r="V6" s="193"/>
      <c r="W6" s="193"/>
      <c r="X6" s="193"/>
      <c r="Y6" s="192"/>
      <c r="Z6" s="192"/>
      <c r="AA6" s="648"/>
      <c r="AB6" s="193"/>
      <c r="AC6" s="193"/>
      <c r="AD6" s="193"/>
      <c r="AE6" s="193"/>
      <c r="AF6" s="185"/>
      <c r="AG6" s="185"/>
      <c r="AH6" s="427"/>
      <c r="AI6" s="192"/>
      <c r="AJ6" s="192"/>
      <c r="AK6" s="185"/>
      <c r="AL6" s="185"/>
      <c r="AM6" s="185"/>
      <c r="AN6" s="187"/>
    </row>
    <row r="7" spans="1:40" ht="23.1" customHeight="1">
      <c r="A7" s="156"/>
      <c r="B7" s="185"/>
      <c r="C7" s="185"/>
      <c r="D7" s="193"/>
      <c r="E7" s="193"/>
      <c r="F7" s="185"/>
      <c r="G7" s="185"/>
      <c r="H7" s="185"/>
      <c r="I7" s="185"/>
      <c r="J7" s="185"/>
      <c r="K7" s="185"/>
      <c r="L7" s="193"/>
      <c r="M7" s="185"/>
      <c r="N7" s="185"/>
      <c r="O7" s="192"/>
      <c r="P7" s="192"/>
      <c r="Q7" s="192"/>
      <c r="R7" s="185"/>
      <c r="S7" s="194"/>
      <c r="T7" s="185"/>
      <c r="U7" s="193"/>
      <c r="V7" s="193"/>
      <c r="W7" s="193"/>
      <c r="X7" s="193"/>
      <c r="Y7" s="192"/>
      <c r="Z7" s="192"/>
      <c r="AA7" s="648"/>
      <c r="AB7" s="193"/>
      <c r="AC7" s="193"/>
      <c r="AD7" s="193"/>
      <c r="AE7" s="193"/>
      <c r="AF7" s="185"/>
      <c r="AG7" s="185"/>
      <c r="AH7" s="427"/>
      <c r="AI7" s="192"/>
      <c r="AJ7" s="192"/>
      <c r="AK7" s="185"/>
      <c r="AL7" s="185"/>
      <c r="AM7" s="185"/>
      <c r="AN7" s="187"/>
    </row>
    <row r="8" spans="1:40" ht="23.1" customHeight="1">
      <c r="A8" s="156"/>
      <c r="B8" s="185"/>
      <c r="C8" s="185"/>
      <c r="D8" s="193"/>
      <c r="E8" s="193"/>
      <c r="F8" s="185"/>
      <c r="G8" s="185"/>
      <c r="H8" s="185"/>
      <c r="I8" s="185"/>
      <c r="J8" s="185"/>
      <c r="K8" s="185"/>
      <c r="L8" s="193"/>
      <c r="M8" s="185"/>
      <c r="N8" s="185"/>
      <c r="O8" s="192"/>
      <c r="P8" s="192"/>
      <c r="Q8" s="192"/>
      <c r="R8" s="185"/>
      <c r="S8" s="194"/>
      <c r="T8" s="185"/>
      <c r="U8" s="193"/>
      <c r="V8" s="193"/>
      <c r="W8" s="193"/>
      <c r="X8" s="193"/>
      <c r="Y8" s="192"/>
      <c r="Z8" s="192"/>
      <c r="AA8" s="648"/>
      <c r="AB8" s="193"/>
      <c r="AC8" s="193"/>
      <c r="AD8" s="193"/>
      <c r="AE8" s="193"/>
      <c r="AF8" s="185"/>
      <c r="AG8" s="185"/>
      <c r="AH8" s="427"/>
      <c r="AI8" s="192"/>
      <c r="AJ8" s="192"/>
      <c r="AK8" s="185"/>
      <c r="AL8" s="185"/>
      <c r="AM8" s="185"/>
      <c r="AN8" s="187"/>
    </row>
    <row r="9" spans="1:40" ht="23.1" customHeight="1">
      <c r="A9" s="156"/>
      <c r="B9" s="185"/>
      <c r="C9" s="185"/>
      <c r="D9" s="193"/>
      <c r="E9" s="193"/>
      <c r="F9" s="185"/>
      <c r="G9" s="185"/>
      <c r="H9" s="185"/>
      <c r="I9" s="185"/>
      <c r="J9" s="185"/>
      <c r="K9" s="185"/>
      <c r="L9" s="193"/>
      <c r="M9" s="185"/>
      <c r="N9" s="185"/>
      <c r="O9" s="192"/>
      <c r="P9" s="192"/>
      <c r="Q9" s="192"/>
      <c r="R9" s="185"/>
      <c r="S9" s="194"/>
      <c r="T9" s="185"/>
      <c r="U9" s="193"/>
      <c r="V9" s="193"/>
      <c r="W9" s="193"/>
      <c r="X9" s="193"/>
      <c r="Y9" s="192"/>
      <c r="Z9" s="192"/>
      <c r="AA9" s="648"/>
      <c r="AB9" s="193"/>
      <c r="AC9" s="193"/>
      <c r="AD9" s="193"/>
      <c r="AE9" s="193"/>
      <c r="AF9" s="185"/>
      <c r="AG9" s="185"/>
      <c r="AH9" s="427"/>
      <c r="AI9" s="192"/>
      <c r="AJ9" s="192"/>
      <c r="AK9" s="185"/>
      <c r="AL9" s="185"/>
      <c r="AM9" s="185"/>
      <c r="AN9" s="187"/>
    </row>
    <row r="10" spans="1:40" ht="23.1" customHeight="1">
      <c r="A10" s="156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5"/>
      <c r="AH10" s="185"/>
      <c r="AI10" s="185"/>
      <c r="AJ10" s="185"/>
      <c r="AK10" s="185"/>
      <c r="AL10" s="185"/>
      <c r="AM10" s="185"/>
      <c r="AN10" s="187"/>
    </row>
    <row r="11" spans="1:40" ht="23.1" customHeight="1">
      <c r="A11" s="156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7"/>
    </row>
    <row r="12" spans="1:40" ht="23.1" customHeight="1">
      <c r="A12" s="156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7"/>
    </row>
    <row r="13" spans="1:40" ht="23.1" customHeight="1">
      <c r="A13" s="156"/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7"/>
    </row>
    <row r="14" spans="1:40" ht="23.1" customHeight="1">
      <c r="A14" s="156"/>
      <c r="B14" s="185"/>
      <c r="C14" s="185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85"/>
      <c r="AJ14" s="185"/>
      <c r="AK14" s="185"/>
      <c r="AL14" s="185"/>
      <c r="AM14" s="185"/>
      <c r="AN14" s="187"/>
    </row>
    <row r="15" spans="1:40" ht="23.1" customHeight="1">
      <c r="A15" s="156"/>
      <c r="B15" s="185"/>
      <c r="C15" s="185"/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85"/>
      <c r="AJ15" s="185"/>
      <c r="AK15" s="185"/>
      <c r="AL15" s="185"/>
      <c r="AM15" s="185"/>
      <c r="AN15" s="187"/>
    </row>
    <row r="16" spans="1:40" ht="23.1" customHeight="1">
      <c r="A16" s="156"/>
      <c r="B16" s="185"/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7"/>
    </row>
    <row r="17" spans="1:40" ht="23.1" customHeight="1">
      <c r="A17" s="156"/>
      <c r="B17" s="185"/>
      <c r="C17" s="185"/>
      <c r="D17" s="185"/>
      <c r="E17" s="185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185"/>
      <c r="Q17" s="185"/>
      <c r="R17" s="185"/>
      <c r="S17" s="185"/>
      <c r="T17" s="185"/>
      <c r="U17" s="185"/>
      <c r="V17" s="185"/>
      <c r="W17" s="185"/>
      <c r="X17" s="185"/>
      <c r="Y17" s="185"/>
      <c r="Z17" s="185"/>
      <c r="AA17" s="185"/>
      <c r="AB17" s="185"/>
      <c r="AC17" s="185"/>
      <c r="AD17" s="185"/>
      <c r="AE17" s="185"/>
      <c r="AF17" s="185"/>
      <c r="AG17" s="185"/>
      <c r="AH17" s="185"/>
      <c r="AI17" s="185"/>
      <c r="AJ17" s="185"/>
      <c r="AK17" s="185"/>
      <c r="AL17" s="185"/>
      <c r="AM17" s="185"/>
      <c r="AN17" s="187"/>
    </row>
    <row r="18" spans="1:40" ht="23.1" customHeight="1">
      <c r="A18" s="156"/>
      <c r="B18" s="185"/>
      <c r="C18" s="185"/>
      <c r="D18" s="185"/>
      <c r="E18" s="185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185"/>
      <c r="AJ18" s="185"/>
      <c r="AK18" s="185"/>
      <c r="AL18" s="185"/>
      <c r="AM18" s="185"/>
      <c r="AN18" s="187"/>
    </row>
    <row r="19" spans="1:40" ht="23.1" customHeight="1">
      <c r="A19" s="156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185"/>
      <c r="Z19" s="185"/>
      <c r="AA19" s="185"/>
      <c r="AB19" s="185"/>
      <c r="AC19" s="185"/>
      <c r="AD19" s="185"/>
      <c r="AE19" s="185"/>
      <c r="AF19" s="185"/>
      <c r="AG19" s="185"/>
      <c r="AH19" s="185"/>
      <c r="AI19" s="185"/>
      <c r="AJ19" s="185"/>
      <c r="AK19" s="185"/>
      <c r="AL19" s="185"/>
      <c r="AM19" s="185"/>
      <c r="AN19" s="187"/>
    </row>
    <row r="20" spans="1:40" ht="23.1" customHeight="1">
      <c r="A20" s="156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185"/>
      <c r="AB20" s="185"/>
      <c r="AC20" s="185"/>
      <c r="AD20" s="185"/>
      <c r="AE20" s="185"/>
      <c r="AF20" s="185"/>
      <c r="AG20" s="185"/>
      <c r="AH20" s="185"/>
      <c r="AI20" s="185"/>
      <c r="AJ20" s="185"/>
      <c r="AK20" s="185"/>
      <c r="AL20" s="185"/>
      <c r="AM20" s="185"/>
      <c r="AN20" s="187"/>
    </row>
    <row r="21" spans="1:40" ht="23.1" customHeight="1">
      <c r="A21" s="156"/>
      <c r="B21" s="185"/>
      <c r="C21" s="185"/>
      <c r="D21" s="185"/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  <c r="AH21" s="185"/>
      <c r="AI21" s="185"/>
      <c r="AJ21" s="185"/>
      <c r="AK21" s="185"/>
      <c r="AL21" s="185"/>
      <c r="AM21" s="185"/>
      <c r="AN21" s="187"/>
    </row>
    <row r="22" spans="1:40" ht="23.1" customHeight="1">
      <c r="A22" s="156"/>
      <c r="B22" s="185"/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85"/>
      <c r="AJ22" s="185"/>
      <c r="AK22" s="185"/>
      <c r="AL22" s="185"/>
      <c r="AM22" s="185"/>
      <c r="AN22" s="187"/>
    </row>
    <row r="23" spans="1:40" ht="23.1" customHeight="1">
      <c r="A23" s="156"/>
      <c r="B23" s="185"/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185"/>
      <c r="Y23" s="185"/>
      <c r="Z23" s="185"/>
      <c r="AA23" s="185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7"/>
    </row>
    <row r="24" spans="1:40" ht="23.1" customHeight="1">
      <c r="A24" s="156"/>
      <c r="B24" s="185"/>
      <c r="C24" s="185"/>
      <c r="D24" s="185"/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185"/>
      <c r="Z24" s="185"/>
      <c r="AA24" s="185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7"/>
    </row>
    <row r="25" spans="1:40" ht="23.1" customHeight="1">
      <c r="A25" s="156"/>
      <c r="B25" s="185"/>
      <c r="C25" s="185"/>
      <c r="D25" s="185"/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X25" s="185"/>
      <c r="Y25" s="185"/>
      <c r="Z25" s="185"/>
      <c r="AA25" s="185"/>
      <c r="AB25" s="185"/>
      <c r="AC25" s="185"/>
      <c r="AD25" s="185"/>
      <c r="AE25" s="185"/>
      <c r="AF25" s="185"/>
      <c r="AG25" s="185"/>
      <c r="AH25" s="185"/>
      <c r="AI25" s="185"/>
      <c r="AJ25" s="185"/>
      <c r="AK25" s="185"/>
      <c r="AL25" s="185"/>
      <c r="AM25" s="185"/>
      <c r="AN25" s="187"/>
    </row>
    <row r="26" spans="1:40" ht="23.1" customHeight="1">
      <c r="A26" s="156"/>
      <c r="B26" s="185"/>
      <c r="C26" s="185"/>
      <c r="D26" s="185"/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85"/>
      <c r="V26" s="185"/>
      <c r="W26" s="185"/>
      <c r="X26" s="185"/>
      <c r="Y26" s="185"/>
      <c r="Z26" s="185"/>
      <c r="AA26" s="185"/>
      <c r="AB26" s="185"/>
      <c r="AC26" s="185"/>
      <c r="AD26" s="185"/>
      <c r="AE26" s="185"/>
      <c r="AF26" s="185"/>
      <c r="AG26" s="185"/>
      <c r="AH26" s="185"/>
      <c r="AI26" s="185"/>
      <c r="AJ26" s="185"/>
      <c r="AK26" s="185"/>
      <c r="AL26" s="185"/>
      <c r="AM26" s="185"/>
      <c r="AN26" s="187"/>
    </row>
    <row r="27" spans="1:40" ht="23.1" customHeight="1">
      <c r="A27" s="156"/>
      <c r="B27" s="185"/>
      <c r="C27" s="185"/>
      <c r="D27" s="185"/>
      <c r="E27" s="185"/>
      <c r="F27" s="185"/>
      <c r="G27" s="185"/>
      <c r="H27" s="185"/>
      <c r="I27" s="185"/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85"/>
      <c r="W27" s="185"/>
      <c r="X27" s="185"/>
      <c r="Y27" s="185"/>
      <c r="Z27" s="185"/>
      <c r="AA27" s="185"/>
      <c r="AB27" s="185"/>
      <c r="AC27" s="185"/>
      <c r="AD27" s="185"/>
      <c r="AE27" s="185"/>
      <c r="AF27" s="185"/>
      <c r="AG27" s="185"/>
      <c r="AH27" s="185"/>
      <c r="AI27" s="185"/>
      <c r="AJ27" s="185"/>
      <c r="AK27" s="185"/>
      <c r="AL27" s="185"/>
      <c r="AM27" s="185"/>
      <c r="AN27" s="187"/>
    </row>
    <row r="28" spans="1:40" ht="23.1" customHeight="1">
      <c r="A28" s="156"/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85"/>
      <c r="W28" s="185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85"/>
      <c r="AI28" s="185"/>
      <c r="AJ28" s="185"/>
      <c r="AK28" s="185"/>
      <c r="AL28" s="185"/>
      <c r="AM28" s="185"/>
      <c r="AN28" s="187"/>
    </row>
    <row r="29" spans="1:40" ht="23.1" customHeight="1">
      <c r="A29" s="156"/>
      <c r="B29" s="185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85"/>
      <c r="AF29" s="185"/>
      <c r="AG29" s="185"/>
      <c r="AH29" s="185"/>
      <c r="AI29" s="185"/>
      <c r="AJ29" s="185"/>
      <c r="AK29" s="185"/>
      <c r="AL29" s="185"/>
      <c r="AM29" s="185"/>
      <c r="AN29" s="187"/>
    </row>
    <row r="30" spans="1:40" ht="23.1" customHeight="1">
      <c r="A30" s="156"/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  <c r="AI30" s="185"/>
      <c r="AJ30" s="185"/>
      <c r="AK30" s="185"/>
      <c r="AL30" s="185"/>
      <c r="AM30" s="185"/>
      <c r="AN30" s="187"/>
    </row>
    <row r="31" spans="1:40" ht="23.1" customHeight="1">
      <c r="A31" s="156"/>
      <c r="B31" s="185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185"/>
      <c r="Z31" s="185"/>
      <c r="AA31" s="185"/>
      <c r="AB31" s="185"/>
      <c r="AC31" s="185"/>
      <c r="AD31" s="185"/>
      <c r="AE31" s="185"/>
      <c r="AF31" s="185"/>
      <c r="AG31" s="185"/>
      <c r="AH31" s="185"/>
      <c r="AI31" s="185"/>
      <c r="AJ31" s="185"/>
      <c r="AK31" s="185"/>
      <c r="AL31" s="185"/>
      <c r="AM31" s="185"/>
      <c r="AN31" s="187"/>
    </row>
    <row r="32" spans="1:40" ht="23.1" customHeight="1">
      <c r="A32" s="156"/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  <c r="AI32" s="185"/>
      <c r="AJ32" s="185"/>
      <c r="AK32" s="185"/>
      <c r="AL32" s="185"/>
      <c r="AM32" s="185"/>
      <c r="AN32" s="187"/>
    </row>
    <row r="33" spans="1:40" ht="23.1" customHeight="1">
      <c r="A33" s="156"/>
      <c r="B33" s="185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185"/>
      <c r="AA33" s="185"/>
      <c r="AB33" s="185"/>
      <c r="AC33" s="185"/>
      <c r="AD33" s="185"/>
      <c r="AE33" s="185"/>
      <c r="AF33" s="185"/>
      <c r="AG33" s="185"/>
      <c r="AH33" s="185"/>
      <c r="AI33" s="185"/>
      <c r="AJ33" s="185"/>
      <c r="AK33" s="185"/>
      <c r="AL33" s="185"/>
      <c r="AM33" s="185"/>
      <c r="AN33" s="187"/>
    </row>
    <row r="34" spans="1:40" ht="23.1" customHeight="1">
      <c r="A34" s="156"/>
      <c r="B34" s="185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185"/>
      <c r="AA34" s="185"/>
      <c r="AB34" s="185"/>
      <c r="AC34" s="185"/>
      <c r="AD34" s="185"/>
      <c r="AE34" s="185"/>
      <c r="AF34" s="185"/>
      <c r="AG34" s="185"/>
      <c r="AH34" s="185"/>
      <c r="AI34" s="185"/>
      <c r="AJ34" s="185"/>
      <c r="AK34" s="185"/>
      <c r="AL34" s="185"/>
      <c r="AM34" s="185"/>
      <c r="AN34" s="187"/>
    </row>
    <row r="35" spans="1:40" ht="23.1" customHeight="1">
      <c r="A35" s="156"/>
      <c r="B35" s="185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185"/>
      <c r="Z35" s="185"/>
      <c r="AA35" s="185"/>
      <c r="AB35" s="185"/>
      <c r="AC35" s="185"/>
      <c r="AD35" s="185"/>
      <c r="AE35" s="185"/>
      <c r="AF35" s="185"/>
      <c r="AG35" s="185"/>
      <c r="AH35" s="185"/>
      <c r="AI35" s="185"/>
      <c r="AJ35" s="185"/>
      <c r="AK35" s="185"/>
      <c r="AL35" s="185"/>
      <c r="AM35" s="185"/>
      <c r="AN35" s="187"/>
    </row>
    <row r="36" spans="1:40" ht="23.1" customHeight="1">
      <c r="A36" s="156"/>
      <c r="B36" s="185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185"/>
      <c r="X36" s="185"/>
      <c r="Y36" s="185"/>
      <c r="Z36" s="185"/>
      <c r="AA36" s="185"/>
      <c r="AB36" s="185"/>
      <c r="AC36" s="185"/>
      <c r="AD36" s="185"/>
      <c r="AE36" s="185"/>
      <c r="AF36" s="185"/>
      <c r="AG36" s="185"/>
      <c r="AH36" s="185"/>
      <c r="AI36" s="185"/>
      <c r="AJ36" s="185"/>
      <c r="AK36" s="185"/>
      <c r="AL36" s="185"/>
      <c r="AM36" s="185"/>
      <c r="AN36" s="187"/>
    </row>
    <row r="37" spans="1:40" ht="23.1" customHeight="1" thickBot="1">
      <c r="A37" s="157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8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7" sqref="G17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1"/>
    </row>
    <row r="5" spans="1:12" ht="20.100000000000001" customHeight="1" thickBot="1"/>
    <row r="6" spans="1:12" ht="20.100000000000001" customHeight="1">
      <c r="D6" s="322" t="s">
        <v>260</v>
      </c>
      <c r="E6" s="323" t="s">
        <v>342</v>
      </c>
      <c r="F6" s="323"/>
      <c r="G6" s="323" t="s">
        <v>343</v>
      </c>
      <c r="H6" s="323"/>
      <c r="I6" s="323" t="s">
        <v>344</v>
      </c>
      <c r="J6" s="323"/>
      <c r="K6" s="323" t="s">
        <v>345</v>
      </c>
      <c r="L6" s="324"/>
    </row>
    <row r="7" spans="1:12" ht="20.100000000000001" customHeight="1">
      <c r="D7" s="325" t="s">
        <v>346</v>
      </c>
      <c r="E7" s="326">
        <v>88</v>
      </c>
      <c r="F7" s="326">
        <v>423.79000000000008</v>
      </c>
      <c r="G7" s="326">
        <v>25</v>
      </c>
      <c r="H7" s="326">
        <v>116.18999999999997</v>
      </c>
      <c r="I7" s="326">
        <v>58</v>
      </c>
      <c r="J7" s="326">
        <v>259.60000000000014</v>
      </c>
      <c r="K7" s="326">
        <v>5</v>
      </c>
      <c r="L7" s="327">
        <v>48</v>
      </c>
    </row>
    <row r="8" spans="1:12" ht="20.100000000000001" customHeight="1" thickBot="1">
      <c r="D8" s="328" t="s">
        <v>347</v>
      </c>
      <c r="E8" s="329">
        <v>35</v>
      </c>
      <c r="F8" s="329">
        <v>107.60000000000001</v>
      </c>
      <c r="G8" s="329">
        <v>22</v>
      </c>
      <c r="H8" s="329">
        <v>62.72000000000002</v>
      </c>
      <c r="I8" s="329">
        <v>13</v>
      </c>
      <c r="J8" s="329">
        <v>44.879999999999988</v>
      </c>
      <c r="K8" s="329">
        <v>0</v>
      </c>
      <c r="L8" s="33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1"/>
  <sheetViews>
    <sheetView zoomScaleNormal="100" workbookViewId="0">
      <selection activeCell="O1" sqref="O1"/>
    </sheetView>
  </sheetViews>
  <sheetFormatPr defaultColWidth="8.88671875" defaultRowHeight="16.5"/>
  <cols>
    <col min="1" max="1" width="5.21875" style="31" customWidth="1"/>
    <col min="2" max="2" width="17.7773437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728</v>
      </c>
      <c r="F1" s="32"/>
      <c r="J1" s="60"/>
    </row>
    <row r="2" spans="1:18" s="67" customFormat="1" ht="23.1" customHeight="1">
      <c r="A2" s="709" t="s">
        <v>0</v>
      </c>
      <c r="B2" s="699" t="s">
        <v>39</v>
      </c>
      <c r="C2" s="699" t="s">
        <v>6</v>
      </c>
      <c r="D2" s="699" t="s">
        <v>38</v>
      </c>
      <c r="E2" s="699" t="s">
        <v>201</v>
      </c>
      <c r="F2" s="699" t="s">
        <v>200</v>
      </c>
      <c r="G2" s="703" t="s">
        <v>1</v>
      </c>
      <c r="H2" s="703" t="s">
        <v>2</v>
      </c>
      <c r="I2" s="703" t="s">
        <v>169</v>
      </c>
      <c r="J2" s="707" t="s">
        <v>254</v>
      </c>
      <c r="K2" s="703" t="s">
        <v>253</v>
      </c>
      <c r="L2" s="703" t="s">
        <v>3</v>
      </c>
      <c r="M2" s="703" t="s">
        <v>4</v>
      </c>
      <c r="N2" s="703" t="s">
        <v>5</v>
      </c>
      <c r="O2" s="703" t="s">
        <v>252</v>
      </c>
      <c r="P2" s="705" t="s">
        <v>251</v>
      </c>
      <c r="Q2" s="699" t="s">
        <v>156</v>
      </c>
      <c r="R2" s="701" t="s">
        <v>91</v>
      </c>
    </row>
    <row r="3" spans="1:18" s="67" customFormat="1" ht="27" customHeight="1">
      <c r="A3" s="710"/>
      <c r="B3" s="700"/>
      <c r="C3" s="700"/>
      <c r="D3" s="700"/>
      <c r="E3" s="700"/>
      <c r="F3" s="700"/>
      <c r="G3" s="704"/>
      <c r="H3" s="704"/>
      <c r="I3" s="704"/>
      <c r="J3" s="708"/>
      <c r="K3" s="704"/>
      <c r="L3" s="704"/>
      <c r="M3" s="704"/>
      <c r="N3" s="704"/>
      <c r="O3" s="704"/>
      <c r="P3" s="706"/>
      <c r="Q3" s="700"/>
      <c r="R3" s="702"/>
    </row>
    <row r="4" spans="1:18" ht="23.1" customHeight="1">
      <c r="A4" s="677" t="s">
        <v>336</v>
      </c>
      <c r="B4" s="678" t="s">
        <v>351</v>
      </c>
      <c r="C4" s="679"/>
      <c r="D4" s="680" t="s">
        <v>720</v>
      </c>
      <c r="E4" s="680" t="str">
        <f>Recharge!$I$24</f>
        <v>삽교천/삽교천</v>
      </c>
      <c r="F4" s="680" t="str">
        <f>All!$B$2</f>
        <v>천안기상청</v>
      </c>
      <c r="G4" s="680">
        <v>200</v>
      </c>
      <c r="H4" s="680">
        <v>150</v>
      </c>
      <c r="I4" s="680">
        <v>250</v>
      </c>
      <c r="J4" s="680">
        <v>250</v>
      </c>
      <c r="K4" s="680">
        <v>300</v>
      </c>
      <c r="L4" s="680">
        <v>15</v>
      </c>
      <c r="M4" s="680">
        <v>120</v>
      </c>
      <c r="N4" s="681">
        <v>50</v>
      </c>
      <c r="O4" s="682">
        <f>ROUND(water!$F$7, 1)</f>
        <v>423.8</v>
      </c>
      <c r="P4" s="683">
        <v>6919125.9708000002</v>
      </c>
      <c r="Q4" s="680"/>
      <c r="R4" s="684"/>
    </row>
    <row r="5" spans="1:18" ht="23.1" customHeight="1">
      <c r="A5" s="677" t="s">
        <v>708</v>
      </c>
      <c r="B5" s="678" t="s">
        <v>351</v>
      </c>
      <c r="C5" s="679"/>
      <c r="D5" s="680" t="s">
        <v>721</v>
      </c>
      <c r="E5" s="680" t="str">
        <f>Recharge!$I$24</f>
        <v>삽교천/삽교천</v>
      </c>
      <c r="F5" s="680" t="str">
        <f>All!$B$2</f>
        <v>천안기상청</v>
      </c>
      <c r="G5" s="680">
        <v>1700</v>
      </c>
      <c r="H5" s="680">
        <v>20</v>
      </c>
      <c r="I5" s="680">
        <v>300</v>
      </c>
      <c r="J5" s="680">
        <v>300</v>
      </c>
      <c r="K5" s="680">
        <v>500</v>
      </c>
      <c r="L5" s="680">
        <v>15</v>
      </c>
      <c r="M5" s="680">
        <v>15</v>
      </c>
      <c r="N5" s="681">
        <v>80</v>
      </c>
      <c r="O5" s="682">
        <f>ROUND(water!$F$7, 1)</f>
        <v>423.8</v>
      </c>
      <c r="P5" s="683">
        <v>6919125.9708000002</v>
      </c>
      <c r="Q5" s="680"/>
      <c r="R5" s="684"/>
    </row>
    <row r="6" spans="1:18" ht="23.1" customHeight="1">
      <c r="A6" s="677" t="s">
        <v>709</v>
      </c>
      <c r="B6" s="678" t="s">
        <v>351</v>
      </c>
      <c r="C6" s="679"/>
      <c r="D6" s="680" t="s">
        <v>722</v>
      </c>
      <c r="E6" s="680" t="str">
        <f>Recharge!$I$24</f>
        <v>삽교천/삽교천</v>
      </c>
      <c r="F6" s="680" t="str">
        <f>All!$B$2</f>
        <v>천안기상청</v>
      </c>
      <c r="G6" s="680">
        <v>1700</v>
      </c>
      <c r="H6" s="680">
        <v>20</v>
      </c>
      <c r="I6" s="680">
        <v>350</v>
      </c>
      <c r="J6" s="680">
        <v>350</v>
      </c>
      <c r="K6" s="680">
        <v>500</v>
      </c>
      <c r="L6" s="680">
        <v>7.5</v>
      </c>
      <c r="M6" s="680">
        <v>15</v>
      </c>
      <c r="N6" s="681">
        <v>80</v>
      </c>
      <c r="O6" s="682">
        <f>ROUND(water!$F$7, 1)</f>
        <v>423.8</v>
      </c>
      <c r="P6" s="683">
        <v>6919125.9708000002</v>
      </c>
      <c r="Q6" s="680"/>
      <c r="R6" s="684"/>
    </row>
    <row r="7" spans="1:18" ht="23.1" customHeight="1">
      <c r="A7" s="677" t="s">
        <v>710</v>
      </c>
      <c r="B7" s="678" t="s">
        <v>351</v>
      </c>
      <c r="C7" s="679"/>
      <c r="D7" s="680" t="s">
        <v>723</v>
      </c>
      <c r="E7" s="680" t="str">
        <f>Recharge!$I$24</f>
        <v>삽교천/삽교천</v>
      </c>
      <c r="F7" s="680" t="str">
        <f>All!$B$2</f>
        <v>천안기상청</v>
      </c>
      <c r="G7" s="680">
        <v>1700</v>
      </c>
      <c r="H7" s="680">
        <v>20</v>
      </c>
      <c r="I7" s="680">
        <v>300</v>
      </c>
      <c r="J7" s="680">
        <v>300</v>
      </c>
      <c r="K7" s="680">
        <v>500</v>
      </c>
      <c r="L7" s="680">
        <v>15</v>
      </c>
      <c r="M7" s="680">
        <v>16</v>
      </c>
      <c r="N7" s="681">
        <v>80</v>
      </c>
      <c r="O7" s="682">
        <f>ROUND(water!$F$7, 1)</f>
        <v>423.8</v>
      </c>
      <c r="P7" s="683">
        <v>6919125.9708000002</v>
      </c>
      <c r="Q7" s="680"/>
      <c r="R7" s="684"/>
    </row>
    <row r="8" spans="1:18" ht="23.1" customHeight="1">
      <c r="A8" s="677" t="s">
        <v>711</v>
      </c>
      <c r="B8" s="678" t="s">
        <v>351</v>
      </c>
      <c r="C8" s="679"/>
      <c r="D8" s="680" t="s">
        <v>724</v>
      </c>
      <c r="E8" s="680" t="str">
        <f>Recharge!$I$24</f>
        <v>삽교천/삽교천</v>
      </c>
      <c r="F8" s="680" t="str">
        <f>All!$B$2</f>
        <v>천안기상청</v>
      </c>
      <c r="G8" s="680">
        <v>200</v>
      </c>
      <c r="H8" s="680">
        <v>80</v>
      </c>
      <c r="I8" s="680">
        <v>150</v>
      </c>
      <c r="J8" s="680">
        <v>150</v>
      </c>
      <c r="K8" s="680">
        <v>500</v>
      </c>
      <c r="L8" s="680">
        <v>30</v>
      </c>
      <c r="M8" s="680">
        <v>80</v>
      </c>
      <c r="N8" s="681">
        <v>80</v>
      </c>
      <c r="O8" s="682">
        <f>ROUND(water!$F$7, 1)</f>
        <v>423.8</v>
      </c>
      <c r="P8" s="683">
        <v>6919125.9708000002</v>
      </c>
      <c r="Q8" s="680"/>
      <c r="R8" s="684"/>
    </row>
    <row r="9" spans="1:18" ht="23.1" customHeight="1">
      <c r="A9" s="677" t="s">
        <v>712</v>
      </c>
      <c r="B9" s="678" t="s">
        <v>351</v>
      </c>
      <c r="C9" s="679"/>
      <c r="D9" s="680" t="s">
        <v>725</v>
      </c>
      <c r="E9" s="680" t="str">
        <f>Recharge!$I$24</f>
        <v>삽교천/삽교천</v>
      </c>
      <c r="F9" s="680" t="str">
        <f>All!$B$2</f>
        <v>천안기상청</v>
      </c>
      <c r="G9" s="680">
        <v>200</v>
      </c>
      <c r="H9" s="680">
        <v>100</v>
      </c>
      <c r="I9" s="680">
        <v>80</v>
      </c>
      <c r="J9" s="680">
        <v>80</v>
      </c>
      <c r="K9" s="680">
        <v>160</v>
      </c>
      <c r="L9" s="680">
        <v>15</v>
      </c>
      <c r="M9" s="680">
        <v>65</v>
      </c>
      <c r="N9" s="681">
        <v>50</v>
      </c>
      <c r="O9" s="682">
        <f>ROUND(water!$F$7, 1)</f>
        <v>423.8</v>
      </c>
      <c r="P9" s="683">
        <v>6919125.9708000002</v>
      </c>
      <c r="Q9" s="680"/>
      <c r="R9" s="684"/>
    </row>
    <row r="10" spans="1:18" ht="23.1" customHeight="1" thickBot="1">
      <c r="A10" s="685" t="s">
        <v>713</v>
      </c>
      <c r="B10" s="686" t="s">
        <v>351</v>
      </c>
      <c r="C10" s="687"/>
      <c r="D10" s="688" t="s">
        <v>726</v>
      </c>
      <c r="E10" s="688" t="str">
        <f>Recharge!$I$24</f>
        <v>삽교천/삽교천</v>
      </c>
      <c r="F10" s="688" t="str">
        <f>All!$B$2</f>
        <v>천안기상청</v>
      </c>
      <c r="G10" s="688">
        <v>200</v>
      </c>
      <c r="H10" s="688">
        <v>60</v>
      </c>
      <c r="I10" s="688">
        <v>150</v>
      </c>
      <c r="J10" s="688">
        <v>150</v>
      </c>
      <c r="K10" s="688">
        <v>400</v>
      </c>
      <c r="L10" s="688">
        <v>30</v>
      </c>
      <c r="M10" s="688">
        <v>50</v>
      </c>
      <c r="N10" s="689">
        <v>50</v>
      </c>
      <c r="O10" s="690">
        <f>ROUND(water!$F$7, 1)</f>
        <v>423.8</v>
      </c>
      <c r="P10" s="691">
        <v>6919125.9708000002</v>
      </c>
      <c r="Q10" s="688"/>
      <c r="R10" s="692"/>
    </row>
    <row r="11" spans="1:18" ht="23.25" customHeight="1" thickBot="1">
      <c r="A11" s="141"/>
      <c r="J11" s="158"/>
      <c r="P11" s="159"/>
    </row>
    <row r="12" spans="1:18" ht="23.25" customHeight="1" thickBot="1">
      <c r="I12" s="432">
        <f>SUM(I4:I11)</f>
        <v>1580</v>
      </c>
    </row>
    <row r="16" spans="1:18">
      <c r="Q16" s="30" t="s">
        <v>119</v>
      </c>
    </row>
    <row r="21" spans="14:14">
      <c r="N21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10" xr:uid="{B2261965-51D7-45F9-AD84-152F1D918652}">
      <formula1>INDIRECT("Tcorp[조사자]")</formula1>
    </dataValidation>
    <dataValidation type="list" allowBlank="1" showInputMessage="1" showErrorMessage="1" sqref="E4:E10" xr:uid="{1C43CA58-80ED-4863-92C6-111B6F8E9D4A}">
      <formula1>INDIRECT("Location[name]")</formula1>
    </dataValidation>
    <dataValidation type="list" allowBlank="1" showInputMessage="1" showErrorMessage="1" sqref="F4:F10" xr:uid="{86E7334F-50DD-4E9B-B5F1-0282EBF2B8DC}">
      <formula1>INDIRECT("Tarea[area]")</formula1>
    </dataValidation>
    <dataValidation type="list" allowBlank="1" showInputMessage="1" showErrorMessage="1" sqref="G4:G10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/>
  <cols>
    <col min="1" max="1" width="0" style="534" hidden="1" customWidth="1"/>
    <col min="2" max="3" width="8.88671875" style="534"/>
    <col min="4" max="5" width="0" style="534" hidden="1" customWidth="1"/>
    <col min="6" max="6" width="8.88671875" style="534"/>
    <col min="7" max="7" width="16.88671875" style="534" customWidth="1"/>
    <col min="8" max="8" width="11.77734375" style="534" customWidth="1"/>
    <col min="9" max="9" width="11.77734375" style="584" customWidth="1"/>
    <col min="10" max="10" width="11.77734375" style="534" customWidth="1"/>
    <col min="11" max="11" width="11.77734375" style="586" customWidth="1"/>
    <col min="12" max="17" width="11.77734375" style="534" customWidth="1"/>
    <col min="18" max="18" width="14" style="534" customWidth="1"/>
    <col min="19" max="19" width="15" style="534" customWidth="1"/>
    <col min="20" max="16384" width="8.88671875" style="534"/>
  </cols>
  <sheetData>
    <row r="1" spans="7:19" ht="36" customHeight="1" thickBot="1">
      <c r="G1" s="583" t="s">
        <v>230</v>
      </c>
      <c r="J1" s="585" t="s">
        <v>643</v>
      </c>
    </row>
    <row r="2" spans="7:19" ht="29.25" customHeight="1">
      <c r="G2" s="593" t="s">
        <v>206</v>
      </c>
      <c r="H2" s="594" t="s">
        <v>203</v>
      </c>
      <c r="I2" s="595" t="s">
        <v>212</v>
      </c>
      <c r="J2" s="594" t="s">
        <v>204</v>
      </c>
      <c r="K2" s="596" t="s">
        <v>205</v>
      </c>
      <c r="M2" s="597"/>
      <c r="N2" s="598" t="s">
        <v>210</v>
      </c>
      <c r="O2" s="596" t="s">
        <v>211</v>
      </c>
      <c r="Q2" s="593" t="s">
        <v>206</v>
      </c>
      <c r="R2" s="598" t="s">
        <v>214</v>
      </c>
      <c r="S2" s="596" t="s">
        <v>215</v>
      </c>
    </row>
    <row r="3" spans="7:19" ht="20.100000000000001" customHeight="1">
      <c r="G3" s="481" t="s">
        <v>226</v>
      </c>
      <c r="H3" s="482">
        <v>172</v>
      </c>
      <c r="I3" s="483">
        <v>155.42949655319808</v>
      </c>
      <c r="J3" s="482">
        <v>150</v>
      </c>
      <c r="K3" s="579">
        <v>0.90116279069767447</v>
      </c>
      <c r="M3" s="599" t="s">
        <v>205</v>
      </c>
      <c r="N3" s="587">
        <f>MIN(K3:K35)</f>
        <v>0.90116279069767447</v>
      </c>
      <c r="O3" s="588">
        <f>MAX(K3:K35)</f>
        <v>0.90116279069767447</v>
      </c>
      <c r="Q3" s="580" t="s">
        <v>226</v>
      </c>
      <c r="R3" s="581">
        <v>2.9409999999999999E-4</v>
      </c>
      <c r="S3" s="582">
        <v>0.1132518</v>
      </c>
    </row>
    <row r="4" spans="7:19" ht="20.100000000000001" customHeight="1">
      <c r="G4" s="436"/>
      <c r="H4" s="437"/>
      <c r="I4" s="453"/>
      <c r="J4" s="437"/>
      <c r="K4" s="457"/>
      <c r="M4" s="599" t="s">
        <v>212</v>
      </c>
      <c r="N4" s="589">
        <f>MIN(I3:I35)</f>
        <v>155.42949655319808</v>
      </c>
      <c r="O4" s="590">
        <f>MAX(I3:I35)</f>
        <v>155.42949655319808</v>
      </c>
      <c r="Q4" s="459"/>
      <c r="R4" s="460"/>
      <c r="S4" s="461"/>
    </row>
    <row r="5" spans="7:19" ht="20.100000000000001" customHeight="1" thickBot="1">
      <c r="G5" s="481"/>
      <c r="H5" s="482"/>
      <c r="I5" s="483"/>
      <c r="J5" s="482"/>
      <c r="K5" s="579"/>
      <c r="M5" s="600" t="s">
        <v>213</v>
      </c>
      <c r="N5" s="591">
        <f>MIN(J3:J35)</f>
        <v>150</v>
      </c>
      <c r="O5" s="592">
        <f>MAX(J3:J35)</f>
        <v>150</v>
      </c>
      <c r="Q5" s="580"/>
      <c r="R5" s="581"/>
      <c r="S5" s="582"/>
    </row>
    <row r="6" spans="7:19" ht="20.100000000000001" customHeight="1">
      <c r="G6" s="436"/>
      <c r="H6" s="437"/>
      <c r="I6" s="453"/>
      <c r="J6" s="437"/>
      <c r="K6" s="458"/>
      <c r="Q6" s="459"/>
      <c r="R6" s="460"/>
      <c r="S6" s="461"/>
    </row>
    <row r="7" spans="7:19" ht="20.100000000000001" customHeight="1">
      <c r="G7" s="481"/>
      <c r="H7" s="482"/>
      <c r="I7" s="483"/>
      <c r="J7" s="482"/>
      <c r="K7" s="484"/>
      <c r="Q7" s="580"/>
      <c r="R7" s="581"/>
      <c r="S7" s="582"/>
    </row>
    <row r="8" spans="7:19" ht="20.100000000000001" customHeight="1">
      <c r="G8" s="436"/>
      <c r="H8" s="437"/>
      <c r="I8" s="453"/>
      <c r="J8" s="437"/>
      <c r="K8" s="458"/>
      <c r="Q8" s="436"/>
      <c r="R8" s="437"/>
      <c r="S8" s="440"/>
    </row>
    <row r="9" spans="7:19" ht="20.100000000000001" customHeight="1">
      <c r="G9" s="481"/>
      <c r="H9" s="482"/>
      <c r="I9" s="483"/>
      <c r="J9" s="482"/>
      <c r="K9" s="484"/>
      <c r="Q9" s="481"/>
      <c r="R9" s="482"/>
      <c r="S9" s="485"/>
    </row>
    <row r="10" spans="7:19" ht="20.100000000000001" customHeight="1">
      <c r="G10" s="436"/>
      <c r="H10" s="437"/>
      <c r="I10" s="453"/>
      <c r="J10" s="437"/>
      <c r="K10" s="458"/>
      <c r="Q10" s="436"/>
      <c r="R10" s="437"/>
      <c r="S10" s="440"/>
    </row>
    <row r="11" spans="7:19" ht="20.100000000000001" customHeight="1">
      <c r="G11" s="481"/>
      <c r="H11" s="482"/>
      <c r="I11" s="483"/>
      <c r="J11" s="482"/>
      <c r="K11" s="484"/>
      <c r="Q11" s="481"/>
      <c r="R11" s="482"/>
      <c r="S11" s="485"/>
    </row>
    <row r="12" spans="7:19" ht="20.100000000000001" customHeight="1">
      <c r="G12" s="436"/>
      <c r="H12" s="437"/>
      <c r="I12" s="453"/>
      <c r="J12" s="437"/>
      <c r="K12" s="458"/>
      <c r="Q12" s="436"/>
      <c r="R12" s="437"/>
      <c r="S12" s="440"/>
    </row>
    <row r="13" spans="7:19" ht="20.100000000000001" customHeight="1">
      <c r="G13" s="481"/>
      <c r="H13" s="482"/>
      <c r="I13" s="483"/>
      <c r="J13" s="482"/>
      <c r="K13" s="484"/>
      <c r="Q13" s="481"/>
      <c r="R13" s="482"/>
      <c r="S13" s="485"/>
    </row>
    <row r="14" spans="7:19" ht="20.100000000000001" customHeight="1">
      <c r="G14" s="436"/>
      <c r="H14" s="437"/>
      <c r="I14" s="453"/>
      <c r="J14" s="437"/>
      <c r="K14" s="458"/>
      <c r="Q14" s="436"/>
      <c r="R14" s="437"/>
      <c r="S14" s="440"/>
    </row>
    <row r="15" spans="7:19" ht="20.100000000000001" customHeight="1">
      <c r="G15" s="481"/>
      <c r="H15" s="482"/>
      <c r="I15" s="483"/>
      <c r="J15" s="482"/>
      <c r="K15" s="484"/>
      <c r="Q15" s="481"/>
      <c r="R15" s="482"/>
      <c r="S15" s="485"/>
    </row>
    <row r="16" spans="7:19" ht="20.100000000000001" customHeight="1">
      <c r="G16" s="436"/>
      <c r="H16" s="437"/>
      <c r="I16" s="453"/>
      <c r="J16" s="437"/>
      <c r="K16" s="458"/>
      <c r="Q16" s="436"/>
      <c r="R16" s="437"/>
      <c r="S16" s="440"/>
    </row>
    <row r="17" spans="7:19" ht="20.100000000000001" customHeight="1">
      <c r="G17" s="481"/>
      <c r="H17" s="482"/>
      <c r="I17" s="483"/>
      <c r="J17" s="482"/>
      <c r="K17" s="484"/>
      <c r="Q17" s="481"/>
      <c r="R17" s="482"/>
      <c r="S17" s="485"/>
    </row>
    <row r="18" spans="7:19" ht="20.100000000000001" customHeight="1">
      <c r="G18" s="436"/>
      <c r="H18" s="437"/>
      <c r="I18" s="453"/>
      <c r="J18" s="437"/>
      <c r="K18" s="458"/>
      <c r="Q18" s="436"/>
      <c r="R18" s="437"/>
      <c r="S18" s="440"/>
    </row>
    <row r="19" spans="7:19" ht="20.100000000000001" customHeight="1">
      <c r="G19" s="481"/>
      <c r="H19" s="482"/>
      <c r="I19" s="483"/>
      <c r="J19" s="482"/>
      <c r="K19" s="484"/>
      <c r="Q19" s="481"/>
      <c r="R19" s="482"/>
      <c r="S19" s="485"/>
    </row>
    <row r="20" spans="7:19" ht="20.100000000000001" customHeight="1">
      <c r="G20" s="436"/>
      <c r="H20" s="437"/>
      <c r="I20" s="453"/>
      <c r="J20" s="437"/>
      <c r="K20" s="458"/>
      <c r="Q20" s="436"/>
      <c r="R20" s="437"/>
      <c r="S20" s="440"/>
    </row>
    <row r="21" spans="7:19" ht="20.100000000000001" customHeight="1">
      <c r="G21" s="481"/>
      <c r="H21" s="482"/>
      <c r="I21" s="483"/>
      <c r="J21" s="482"/>
      <c r="K21" s="484"/>
      <c r="Q21" s="481"/>
      <c r="R21" s="482"/>
      <c r="S21" s="485"/>
    </row>
    <row r="22" spans="7:19" ht="20.100000000000001" customHeight="1">
      <c r="G22" s="436"/>
      <c r="H22" s="437"/>
      <c r="I22" s="453"/>
      <c r="J22" s="437"/>
      <c r="K22" s="458"/>
      <c r="Q22" s="436"/>
      <c r="R22" s="437"/>
      <c r="S22" s="440"/>
    </row>
    <row r="23" spans="7:19" ht="20.100000000000001" customHeight="1">
      <c r="G23" s="481"/>
      <c r="H23" s="482"/>
      <c r="I23" s="483"/>
      <c r="J23" s="482"/>
      <c r="K23" s="484"/>
      <c r="Q23" s="481"/>
      <c r="R23" s="482"/>
      <c r="S23" s="485"/>
    </row>
    <row r="24" spans="7:19" ht="20.100000000000001" customHeight="1">
      <c r="G24" s="436"/>
      <c r="H24" s="437"/>
      <c r="I24" s="453"/>
      <c r="J24" s="437"/>
      <c r="K24" s="458"/>
      <c r="Q24" s="436"/>
      <c r="R24" s="437"/>
      <c r="S24" s="440"/>
    </row>
    <row r="25" spans="7:19" ht="20.100000000000001" customHeight="1">
      <c r="G25" s="481"/>
      <c r="H25" s="482"/>
      <c r="I25" s="483"/>
      <c r="J25" s="482"/>
      <c r="K25" s="484"/>
      <c r="Q25" s="481"/>
      <c r="R25" s="482"/>
      <c r="S25" s="485"/>
    </row>
    <row r="26" spans="7:19" ht="20.100000000000001" customHeight="1">
      <c r="G26" s="436"/>
      <c r="H26" s="437"/>
      <c r="I26" s="453"/>
      <c r="J26" s="437"/>
      <c r="K26" s="458"/>
      <c r="Q26" s="436"/>
      <c r="R26" s="437"/>
      <c r="S26" s="440"/>
    </row>
    <row r="27" spans="7:19" ht="20.100000000000001" customHeight="1">
      <c r="G27" s="481"/>
      <c r="H27" s="482"/>
      <c r="I27" s="483"/>
      <c r="J27" s="482"/>
      <c r="K27" s="484"/>
      <c r="Q27" s="481"/>
      <c r="R27" s="482"/>
      <c r="S27" s="485"/>
    </row>
    <row r="28" spans="7:19" ht="20.100000000000001" customHeight="1">
      <c r="G28" s="436"/>
      <c r="H28" s="437"/>
      <c r="I28" s="453"/>
      <c r="J28" s="437"/>
      <c r="K28" s="458"/>
      <c r="Q28" s="505"/>
      <c r="R28" s="506"/>
      <c r="S28" s="507"/>
    </row>
    <row r="29" spans="7:19" ht="20.100000000000001" customHeight="1">
      <c r="G29" s="481"/>
      <c r="H29" s="482"/>
      <c r="I29" s="483"/>
      <c r="J29" s="482"/>
      <c r="K29" s="484"/>
      <c r="Q29" s="508"/>
      <c r="R29" s="509"/>
      <c r="S29" s="510"/>
    </row>
    <row r="30" spans="7:19" ht="20.100000000000001" customHeight="1">
      <c r="G30" s="436"/>
      <c r="H30" s="437"/>
      <c r="I30" s="453"/>
      <c r="J30" s="437"/>
      <c r="K30" s="458"/>
      <c r="Q30" s="505"/>
      <c r="R30" s="506"/>
      <c r="S30" s="507"/>
    </row>
    <row r="31" spans="7:19" ht="20.100000000000001" customHeight="1">
      <c r="G31" s="481"/>
      <c r="H31" s="482"/>
      <c r="I31" s="483"/>
      <c r="J31" s="482"/>
      <c r="K31" s="484"/>
      <c r="Q31" s="508"/>
      <c r="R31" s="509"/>
      <c r="S31" s="510"/>
    </row>
    <row r="32" spans="7:19" ht="20.100000000000001" customHeight="1">
      <c r="G32" s="436"/>
      <c r="H32" s="437"/>
      <c r="I32" s="437"/>
      <c r="J32" s="437"/>
      <c r="K32" s="511"/>
      <c r="Q32" s="505"/>
      <c r="R32" s="506"/>
      <c r="S32" s="507"/>
    </row>
    <row r="33" spans="6:19" ht="20.100000000000001" customHeight="1">
      <c r="G33" s="481"/>
      <c r="H33" s="482"/>
      <c r="I33" s="482"/>
      <c r="J33" s="482"/>
      <c r="K33" s="512"/>
      <c r="Q33" s="489"/>
      <c r="R33" s="488"/>
      <c r="S33" s="490"/>
    </row>
    <row r="34" spans="6:19" ht="20.100000000000001" customHeight="1">
      <c r="G34" s="481"/>
      <c r="H34" s="482"/>
      <c r="I34" s="482"/>
      <c r="J34" s="482"/>
      <c r="K34" s="512"/>
      <c r="Q34" s="489"/>
      <c r="R34" s="488"/>
      <c r="S34" s="490"/>
    </row>
    <row r="35" spans="6:19" ht="20.100000000000001" customHeight="1" thickBot="1">
      <c r="G35" s="486"/>
      <c r="H35" s="487"/>
      <c r="I35" s="487"/>
      <c r="J35" s="487"/>
      <c r="K35" s="513"/>
      <c r="Q35" s="486"/>
      <c r="R35" s="487"/>
      <c r="S35" s="558"/>
    </row>
    <row r="38" spans="6:19" ht="20.100000000000001" customHeight="1">
      <c r="M38" s="584"/>
      <c r="N38" s="584"/>
      <c r="O38" s="584"/>
      <c r="P38" s="584"/>
      <c r="Q38" s="584"/>
      <c r="R38" s="584"/>
      <c r="S38" s="584"/>
    </row>
    <row r="39" spans="6:19" ht="20.100000000000001" customHeight="1">
      <c r="M39" s="533"/>
      <c r="N39" s="533"/>
      <c r="O39" s="533"/>
      <c r="P39" s="533"/>
      <c r="Q39" s="533"/>
      <c r="R39" s="584"/>
      <c r="S39" s="584"/>
    </row>
    <row r="40" spans="6:19" ht="20.100000000000001" customHeight="1">
      <c r="M40" s="533"/>
      <c r="N40" s="533"/>
      <c r="O40" s="533"/>
      <c r="P40" s="533"/>
      <c r="Q40" s="533"/>
      <c r="R40" s="584"/>
      <c r="S40" s="584"/>
    </row>
    <row r="41" spans="6:19" ht="20.100000000000001" customHeight="1" thickBot="1">
      <c r="G41" s="583" t="s">
        <v>642</v>
      </c>
      <c r="M41" s="584"/>
      <c r="N41" s="584"/>
      <c r="O41" s="584"/>
      <c r="P41" s="584"/>
      <c r="Q41" s="584"/>
      <c r="R41" s="584"/>
      <c r="S41" s="584"/>
    </row>
    <row r="42" spans="6:19" ht="27" customHeight="1" thickBot="1">
      <c r="G42" s="601" t="s">
        <v>237</v>
      </c>
      <c r="H42" s="602"/>
      <c r="I42" s="603"/>
    </row>
    <row r="43" spans="6:19" ht="15.95" customHeight="1">
      <c r="F43" s="715" t="s">
        <v>226</v>
      </c>
      <c r="G43" s="711">
        <v>94</v>
      </c>
      <c r="H43" s="578">
        <v>28.3</v>
      </c>
      <c r="I43" s="713">
        <v>155.42949655319808</v>
      </c>
    </row>
    <row r="44" spans="6:19" ht="15.95" customHeight="1">
      <c r="F44" s="716"/>
      <c r="G44" s="712"/>
      <c r="H44" s="482">
        <v>13.31</v>
      </c>
      <c r="I44" s="714"/>
      <c r="K44" s="534"/>
    </row>
    <row r="45" spans="6:19" ht="15.95" customHeight="1">
      <c r="F45" s="717"/>
      <c r="G45" s="718"/>
      <c r="H45" s="437"/>
      <c r="I45" s="719"/>
      <c r="K45" s="534"/>
    </row>
    <row r="46" spans="6:19" ht="15.95" customHeight="1">
      <c r="F46" s="717"/>
      <c r="G46" s="718"/>
      <c r="H46" s="437"/>
      <c r="I46" s="719"/>
      <c r="K46" s="534"/>
    </row>
    <row r="47" spans="6:19" ht="15.95" customHeight="1">
      <c r="F47" s="716"/>
      <c r="G47" s="712"/>
      <c r="H47" s="482"/>
      <c r="I47" s="714"/>
      <c r="K47" s="534"/>
    </row>
    <row r="48" spans="6:19" ht="15.95" customHeight="1">
      <c r="F48" s="716"/>
      <c r="G48" s="712"/>
      <c r="H48" s="482"/>
      <c r="I48" s="714"/>
      <c r="K48" s="534"/>
    </row>
    <row r="49" spans="6:11" ht="15.95" customHeight="1">
      <c r="F49" s="717"/>
      <c r="G49" s="718"/>
      <c r="H49" s="437"/>
      <c r="I49" s="719"/>
      <c r="K49" s="534"/>
    </row>
    <row r="50" spans="6:11" ht="15.95" customHeight="1">
      <c r="F50" s="717"/>
      <c r="G50" s="718"/>
      <c r="H50" s="437"/>
      <c r="I50" s="719"/>
      <c r="K50" s="534"/>
    </row>
    <row r="51" spans="6:11" ht="15.95" customHeight="1">
      <c r="F51" s="716"/>
      <c r="G51" s="712"/>
      <c r="H51" s="482"/>
      <c r="I51" s="714"/>
      <c r="K51" s="534"/>
    </row>
    <row r="52" spans="6:11" ht="15.95" customHeight="1">
      <c r="F52" s="716"/>
      <c r="G52" s="712"/>
      <c r="H52" s="482"/>
      <c r="I52" s="714"/>
      <c r="K52" s="534"/>
    </row>
    <row r="53" spans="6:11" ht="15.95" customHeight="1">
      <c r="F53" s="717"/>
      <c r="G53" s="718"/>
      <c r="H53" s="437"/>
      <c r="I53" s="719"/>
      <c r="K53" s="534"/>
    </row>
    <row r="54" spans="6:11" ht="15.95" customHeight="1">
      <c r="F54" s="717"/>
      <c r="G54" s="718"/>
      <c r="H54" s="437"/>
      <c r="I54" s="719"/>
      <c r="K54" s="534"/>
    </row>
    <row r="55" spans="6:11" ht="15.95" customHeight="1">
      <c r="F55" s="716"/>
      <c r="G55" s="712"/>
      <c r="H55" s="482"/>
      <c r="I55" s="714"/>
      <c r="K55" s="534"/>
    </row>
    <row r="56" spans="6:11" ht="15.95" customHeight="1">
      <c r="F56" s="716"/>
      <c r="G56" s="712"/>
      <c r="H56" s="482"/>
      <c r="I56" s="714"/>
      <c r="K56" s="534"/>
    </row>
    <row r="57" spans="6:11" ht="15.95" customHeight="1">
      <c r="F57" s="717"/>
      <c r="G57" s="718"/>
      <c r="H57" s="437"/>
      <c r="I57" s="719"/>
      <c r="K57" s="534"/>
    </row>
    <row r="58" spans="6:11" ht="15.95" customHeight="1">
      <c r="F58" s="717"/>
      <c r="G58" s="718"/>
      <c r="H58" s="437"/>
      <c r="I58" s="719"/>
      <c r="K58" s="534"/>
    </row>
    <row r="59" spans="6:11" ht="15.95" customHeight="1">
      <c r="F59" s="716"/>
      <c r="G59" s="712"/>
      <c r="H59" s="482"/>
      <c r="I59" s="714"/>
      <c r="K59" s="534"/>
    </row>
    <row r="60" spans="6:11" ht="15.95" customHeight="1">
      <c r="F60" s="716"/>
      <c r="G60" s="712"/>
      <c r="H60" s="482"/>
      <c r="I60" s="714"/>
      <c r="K60" s="534"/>
    </row>
    <row r="61" spans="6:11" ht="15.95" customHeight="1">
      <c r="F61" s="717"/>
      <c r="G61" s="718"/>
      <c r="H61" s="437"/>
      <c r="I61" s="719"/>
      <c r="K61" s="534"/>
    </row>
    <row r="62" spans="6:11" ht="15.95" customHeight="1">
      <c r="F62" s="717"/>
      <c r="G62" s="718"/>
      <c r="H62" s="437"/>
      <c r="I62" s="719"/>
      <c r="K62" s="534"/>
    </row>
    <row r="63" spans="6:11" ht="15.95" customHeight="1">
      <c r="F63" s="716"/>
      <c r="G63" s="712"/>
      <c r="H63" s="482"/>
      <c r="I63" s="714"/>
      <c r="K63" s="534"/>
    </row>
    <row r="64" spans="6:11" ht="15.95" customHeight="1">
      <c r="F64" s="716"/>
      <c r="G64" s="712"/>
      <c r="H64" s="482"/>
      <c r="I64" s="714"/>
      <c r="K64" s="534"/>
    </row>
    <row r="65" spans="6:11" ht="15.95" customHeight="1">
      <c r="F65" s="717"/>
      <c r="G65" s="718"/>
      <c r="H65" s="437"/>
      <c r="I65" s="719"/>
      <c r="K65" s="534"/>
    </row>
    <row r="66" spans="6:11" ht="15.95" customHeight="1">
      <c r="F66" s="717"/>
      <c r="G66" s="718"/>
      <c r="H66" s="437"/>
      <c r="I66" s="719"/>
      <c r="K66" s="534"/>
    </row>
    <row r="67" spans="6:11" ht="15.95" customHeight="1">
      <c r="F67" s="716"/>
      <c r="G67" s="712"/>
      <c r="H67" s="482"/>
      <c r="I67" s="714"/>
      <c r="K67" s="534"/>
    </row>
    <row r="68" spans="6:11" ht="15.95" customHeight="1">
      <c r="F68" s="716"/>
      <c r="G68" s="712"/>
      <c r="H68" s="482"/>
      <c r="I68" s="714"/>
      <c r="K68" s="534"/>
    </row>
    <row r="69" spans="6:11" ht="15.95" customHeight="1">
      <c r="F69" s="717"/>
      <c r="G69" s="718"/>
      <c r="H69" s="437"/>
      <c r="I69" s="719"/>
      <c r="K69" s="534"/>
    </row>
    <row r="70" spans="6:11" ht="15.95" customHeight="1">
      <c r="F70" s="717"/>
      <c r="G70" s="718"/>
      <c r="H70" s="437"/>
      <c r="I70" s="719"/>
      <c r="K70" s="534"/>
    </row>
    <row r="71" spans="6:11" ht="15.95" customHeight="1">
      <c r="F71" s="716"/>
      <c r="G71" s="712"/>
      <c r="H71" s="482"/>
      <c r="I71" s="714"/>
      <c r="K71" s="534"/>
    </row>
    <row r="72" spans="6:11" ht="15.95" customHeight="1">
      <c r="F72" s="716"/>
      <c r="G72" s="712"/>
      <c r="H72" s="482"/>
      <c r="I72" s="714"/>
      <c r="K72" s="534"/>
    </row>
    <row r="73" spans="6:11" ht="15.95" customHeight="1">
      <c r="F73" s="717"/>
      <c r="G73" s="718"/>
      <c r="H73" s="437"/>
      <c r="I73" s="719"/>
    </row>
    <row r="74" spans="6:11" ht="15.95" customHeight="1">
      <c r="F74" s="717"/>
      <c r="G74" s="718"/>
      <c r="H74" s="437"/>
      <c r="I74" s="719"/>
    </row>
    <row r="75" spans="6:11" ht="15.95" customHeight="1">
      <c r="F75" s="716"/>
      <c r="G75" s="712"/>
      <c r="H75" s="482"/>
      <c r="I75" s="714"/>
    </row>
    <row r="76" spans="6:11" ht="15.95" customHeight="1">
      <c r="F76" s="716"/>
      <c r="G76" s="712"/>
      <c r="H76" s="482"/>
      <c r="I76" s="714"/>
    </row>
    <row r="77" spans="6:11" ht="15.95" customHeight="1">
      <c r="F77" s="717"/>
      <c r="G77" s="718"/>
      <c r="H77" s="437"/>
      <c r="I77" s="719"/>
    </row>
    <row r="78" spans="6:11" ht="15.95" customHeight="1">
      <c r="F78" s="717"/>
      <c r="G78" s="718"/>
      <c r="H78" s="437"/>
      <c r="I78" s="719"/>
    </row>
    <row r="79" spans="6:11" ht="15.95" customHeight="1">
      <c r="F79" s="716"/>
      <c r="G79" s="712"/>
      <c r="H79" s="482"/>
      <c r="I79" s="714"/>
    </row>
    <row r="80" spans="6:11" ht="15.95" customHeight="1">
      <c r="F80" s="716"/>
      <c r="G80" s="712"/>
      <c r="H80" s="482"/>
      <c r="I80" s="714"/>
    </row>
    <row r="81" spans="6:9" ht="15.95" customHeight="1">
      <c r="F81" s="717"/>
      <c r="G81" s="718"/>
      <c r="H81" s="437"/>
      <c r="I81" s="719"/>
    </row>
    <row r="82" spans="6:9" ht="15.95" customHeight="1">
      <c r="F82" s="717"/>
      <c r="G82" s="718"/>
      <c r="H82" s="437"/>
      <c r="I82" s="719"/>
    </row>
    <row r="83" spans="6:9" ht="15.95" customHeight="1">
      <c r="F83" s="716"/>
      <c r="G83" s="712"/>
      <c r="H83" s="482"/>
      <c r="I83" s="714"/>
    </row>
    <row r="84" spans="6:9" ht="15.95" customHeight="1">
      <c r="F84" s="716"/>
      <c r="G84" s="712"/>
      <c r="H84" s="482"/>
      <c r="I84" s="714"/>
    </row>
    <row r="85" spans="6:9" ht="15.95" customHeight="1">
      <c r="F85" s="717"/>
      <c r="G85" s="718"/>
      <c r="H85" s="437"/>
      <c r="I85" s="719"/>
    </row>
    <row r="86" spans="6:9" ht="15.95" customHeight="1">
      <c r="F86" s="717"/>
      <c r="G86" s="718"/>
      <c r="H86" s="437"/>
      <c r="I86" s="719"/>
    </row>
    <row r="87" spans="6:9" ht="15.95" customHeight="1">
      <c r="F87" s="716"/>
      <c r="G87" s="712"/>
      <c r="H87" s="482"/>
      <c r="I87" s="714"/>
    </row>
    <row r="88" spans="6:9" ht="15.95" customHeight="1">
      <c r="F88" s="716"/>
      <c r="G88" s="712"/>
      <c r="H88" s="482"/>
      <c r="I88" s="714"/>
    </row>
    <row r="89" spans="6:9" ht="15.95" customHeight="1">
      <c r="F89" s="717"/>
      <c r="G89" s="718"/>
      <c r="H89" s="437"/>
      <c r="I89" s="719"/>
    </row>
    <row r="90" spans="6:9" ht="15.95" customHeight="1">
      <c r="F90" s="717"/>
      <c r="G90" s="718"/>
      <c r="H90" s="437"/>
      <c r="I90" s="719"/>
    </row>
    <row r="91" spans="6:9" ht="15.95" customHeight="1">
      <c r="F91" s="716"/>
      <c r="G91" s="712"/>
      <c r="H91" s="482"/>
      <c r="I91" s="714"/>
    </row>
    <row r="92" spans="6:9" ht="15.95" customHeight="1">
      <c r="F92" s="716"/>
      <c r="G92" s="712"/>
      <c r="H92" s="482"/>
      <c r="I92" s="714"/>
    </row>
    <row r="93" spans="6:9" ht="15.95" customHeight="1">
      <c r="F93" s="717"/>
      <c r="G93" s="718"/>
      <c r="H93" s="437"/>
      <c r="I93" s="719"/>
    </row>
    <row r="94" spans="6:9" ht="15.95" customHeight="1">
      <c r="F94" s="717"/>
      <c r="G94" s="718"/>
      <c r="H94" s="437"/>
      <c r="I94" s="719"/>
    </row>
    <row r="95" spans="6:9" ht="15.95" customHeight="1">
      <c r="F95" s="722"/>
      <c r="G95" s="720"/>
      <c r="H95" s="278"/>
      <c r="I95" s="721"/>
    </row>
    <row r="96" spans="6:9" ht="15.95" customHeight="1">
      <c r="F96" s="722"/>
      <c r="G96" s="720"/>
      <c r="H96" s="278"/>
      <c r="I96" s="721"/>
    </row>
    <row r="97" spans="6:9" ht="15.95" customHeight="1">
      <c r="F97" s="723"/>
      <c r="G97" s="725"/>
      <c r="H97" s="448"/>
      <c r="I97" s="727"/>
    </row>
    <row r="98" spans="6:9" ht="15.95" customHeight="1">
      <c r="F98" s="723"/>
      <c r="G98" s="725"/>
      <c r="H98" s="448"/>
      <c r="I98" s="727"/>
    </row>
    <row r="99" spans="6:9" ht="15.95" customHeight="1">
      <c r="F99" s="722"/>
      <c r="G99" s="720"/>
      <c r="H99" s="278"/>
      <c r="I99" s="721"/>
    </row>
    <row r="100" spans="6:9" ht="15.95" customHeight="1">
      <c r="F100" s="722"/>
      <c r="G100" s="720"/>
      <c r="H100" s="278"/>
      <c r="I100" s="721"/>
    </row>
    <row r="101" spans="6:9" ht="15.95" customHeight="1">
      <c r="F101" s="723"/>
      <c r="G101" s="725"/>
      <c r="H101" s="448"/>
      <c r="I101" s="727"/>
    </row>
    <row r="102" spans="6:9" ht="15.95" customHeight="1" thickBot="1">
      <c r="F102" s="724"/>
      <c r="G102" s="726"/>
      <c r="H102" s="569"/>
      <c r="I102" s="728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04" customWidth="1"/>
    <col min="2" max="2" width="15.33203125" style="604" customWidth="1"/>
    <col min="3" max="3" width="13.6640625" style="604" customWidth="1"/>
    <col min="4" max="4" width="15.88671875" style="604" customWidth="1"/>
    <col min="5" max="5" width="10.109375" style="604" customWidth="1"/>
    <col min="6" max="6" width="10.33203125" style="604" customWidth="1"/>
    <col min="7" max="7" width="10.109375" style="604" customWidth="1"/>
    <col min="8" max="8" width="10.21875" style="604" customWidth="1"/>
    <col min="9" max="9" width="11.109375" style="604" customWidth="1"/>
    <col min="10" max="10" width="11" style="604" customWidth="1"/>
    <col min="11" max="11" width="10.88671875" style="604" customWidth="1"/>
    <col min="12" max="12" width="10" style="604" customWidth="1"/>
    <col min="13" max="13" width="9.44140625" style="604" bestFit="1" customWidth="1"/>
    <col min="14" max="14" width="9.88671875" style="604" customWidth="1"/>
    <col min="15" max="15" width="9.44140625" style="604" customWidth="1"/>
    <col min="16" max="16" width="11.109375" style="604" customWidth="1"/>
    <col min="17" max="17" width="13" style="604" customWidth="1"/>
    <col min="18" max="18" width="12.33203125" style="604" customWidth="1"/>
    <col min="19" max="34" width="9.44140625" style="604" bestFit="1" customWidth="1"/>
    <col min="35" max="16384" width="8.88671875" style="604"/>
  </cols>
  <sheetData>
    <row r="1" spans="3:21" ht="20.100000000000001" customHeight="1" thickBot="1">
      <c r="C1" s="583" t="s">
        <v>294</v>
      </c>
      <c r="G1" s="583" t="s">
        <v>641</v>
      </c>
      <c r="L1" s="583" t="s">
        <v>233</v>
      </c>
      <c r="S1" s="583" t="s">
        <v>234</v>
      </c>
    </row>
    <row r="2" spans="3:21" ht="36.75" customHeight="1">
      <c r="C2" s="614" t="s">
        <v>216</v>
      </c>
      <c r="D2" s="615" t="s">
        <v>632</v>
      </c>
      <c r="E2" s="615" t="s">
        <v>213</v>
      </c>
      <c r="F2" s="615" t="s">
        <v>220</v>
      </c>
      <c r="G2" s="615" t="s">
        <v>221</v>
      </c>
      <c r="H2" s="615" t="s">
        <v>161</v>
      </c>
      <c r="I2" s="615" t="s">
        <v>222</v>
      </c>
      <c r="J2" s="616" t="s">
        <v>223</v>
      </c>
      <c r="L2" s="614" t="s">
        <v>213</v>
      </c>
      <c r="M2" s="615" t="s">
        <v>217</v>
      </c>
      <c r="N2" s="615" t="s">
        <v>218</v>
      </c>
      <c r="O2" s="615" t="s">
        <v>219</v>
      </c>
      <c r="P2" s="615" t="s">
        <v>235</v>
      </c>
      <c r="Q2" s="616" t="s">
        <v>236</v>
      </c>
      <c r="S2" s="614" t="s">
        <v>221</v>
      </c>
      <c r="T2" s="615" t="s">
        <v>224</v>
      </c>
      <c r="U2" s="616" t="s">
        <v>225</v>
      </c>
    </row>
    <row r="3" spans="3:21" ht="20.100000000000001" customHeight="1">
      <c r="C3" s="481" t="s">
        <v>226</v>
      </c>
      <c r="D3" s="482">
        <v>2880</v>
      </c>
      <c r="E3" s="482">
        <v>150</v>
      </c>
      <c r="F3" s="482">
        <v>3.6</v>
      </c>
      <c r="G3" s="482">
        <v>35.4</v>
      </c>
      <c r="H3" s="482">
        <v>31.799999999999997</v>
      </c>
      <c r="I3" s="482">
        <v>0.125</v>
      </c>
      <c r="J3" s="541">
        <v>2.7078799527896127</v>
      </c>
      <c r="K3" s="534"/>
      <c r="L3" s="481">
        <v>150</v>
      </c>
      <c r="M3" s="482">
        <v>0.125</v>
      </c>
      <c r="N3" s="482">
        <v>0.125</v>
      </c>
      <c r="O3" s="482">
        <v>198</v>
      </c>
      <c r="P3" s="482">
        <v>3.226</v>
      </c>
      <c r="Q3" s="485">
        <v>9.0399999999999994E-2</v>
      </c>
      <c r="S3" s="546">
        <v>35.4</v>
      </c>
      <c r="T3" s="528">
        <v>5.5974937264594713</v>
      </c>
      <c r="U3" s="541">
        <v>29.802506273540526</v>
      </c>
    </row>
    <row r="4" spans="3:21" ht="20.100000000000001" customHeight="1">
      <c r="C4" s="436"/>
      <c r="D4" s="437"/>
      <c r="E4" s="437"/>
      <c r="F4" s="437"/>
      <c r="G4" s="437"/>
      <c r="H4" s="437"/>
      <c r="I4" s="437"/>
      <c r="J4" s="438"/>
      <c r="K4" s="534"/>
      <c r="L4" s="436"/>
      <c r="M4" s="437"/>
      <c r="N4" s="437"/>
      <c r="O4" s="437"/>
      <c r="P4" s="437"/>
      <c r="Q4" s="440"/>
      <c r="S4" s="497"/>
      <c r="T4" s="443"/>
      <c r="U4" s="438"/>
    </row>
    <row r="5" spans="3:21" ht="20.100000000000001" customHeight="1">
      <c r="C5" s="481"/>
      <c r="D5" s="482"/>
      <c r="E5" s="482"/>
      <c r="F5" s="482"/>
      <c r="G5" s="482"/>
      <c r="H5" s="482"/>
      <c r="I5" s="482"/>
      <c r="J5" s="541"/>
      <c r="K5" s="534"/>
      <c r="L5" s="481"/>
      <c r="M5" s="482"/>
      <c r="N5" s="482"/>
      <c r="O5" s="482"/>
      <c r="P5" s="482"/>
      <c r="Q5" s="485"/>
      <c r="S5" s="546"/>
      <c r="T5" s="528"/>
      <c r="U5" s="541"/>
    </row>
    <row r="6" spans="3:21" ht="20.100000000000001" customHeight="1">
      <c r="C6" s="436"/>
      <c r="D6" s="437"/>
      <c r="E6" s="437"/>
      <c r="F6" s="437"/>
      <c r="G6" s="437"/>
      <c r="H6" s="437"/>
      <c r="I6" s="437"/>
      <c r="J6" s="438"/>
      <c r="K6" s="534"/>
      <c r="L6" s="436"/>
      <c r="M6" s="437"/>
      <c r="N6" s="437"/>
      <c r="O6" s="437"/>
      <c r="P6" s="437"/>
      <c r="Q6" s="440"/>
      <c r="S6" s="497"/>
      <c r="T6" s="443"/>
      <c r="U6" s="438"/>
    </row>
    <row r="7" spans="3:21" ht="20.100000000000001" customHeight="1">
      <c r="C7" s="481"/>
      <c r="D7" s="482"/>
      <c r="E7" s="482"/>
      <c r="F7" s="482"/>
      <c r="G7" s="482"/>
      <c r="H7" s="482"/>
      <c r="I7" s="482"/>
      <c r="J7" s="541"/>
      <c r="K7" s="534"/>
      <c r="L7" s="481"/>
      <c r="M7" s="482"/>
      <c r="N7" s="482"/>
      <c r="O7" s="482"/>
      <c r="P7" s="482"/>
      <c r="Q7" s="485"/>
      <c r="S7" s="546"/>
      <c r="T7" s="528"/>
      <c r="U7" s="541"/>
    </row>
    <row r="8" spans="3:21" ht="20.100000000000001" customHeight="1">
      <c r="C8" s="436"/>
      <c r="D8" s="437"/>
      <c r="E8" s="437"/>
      <c r="F8" s="437"/>
      <c r="G8" s="437"/>
      <c r="H8" s="437"/>
      <c r="I8" s="437"/>
      <c r="J8" s="438"/>
      <c r="K8" s="534"/>
      <c r="L8" s="436"/>
      <c r="M8" s="437"/>
      <c r="N8" s="437"/>
      <c r="O8" s="437"/>
      <c r="P8" s="437"/>
      <c r="Q8" s="440"/>
      <c r="S8" s="436"/>
      <c r="T8" s="443"/>
      <c r="U8" s="438"/>
    </row>
    <row r="9" spans="3:21" ht="20.100000000000001" customHeight="1">
      <c r="C9" s="481"/>
      <c r="D9" s="482"/>
      <c r="E9" s="482"/>
      <c r="F9" s="482"/>
      <c r="G9" s="482"/>
      <c r="H9" s="482"/>
      <c r="I9" s="482"/>
      <c r="J9" s="541"/>
      <c r="K9" s="534"/>
      <c r="L9" s="481"/>
      <c r="M9" s="482"/>
      <c r="N9" s="482"/>
      <c r="O9" s="482"/>
      <c r="P9" s="482"/>
      <c r="Q9" s="485"/>
      <c r="S9" s="481"/>
      <c r="T9" s="528"/>
      <c r="U9" s="541"/>
    </row>
    <row r="10" spans="3:21" ht="20.100000000000001" customHeight="1">
      <c r="C10" s="436"/>
      <c r="D10" s="437"/>
      <c r="E10" s="437"/>
      <c r="F10" s="437"/>
      <c r="G10" s="437"/>
      <c r="H10" s="437"/>
      <c r="I10" s="437"/>
      <c r="J10" s="438"/>
      <c r="K10" s="534"/>
      <c r="L10" s="436"/>
      <c r="M10" s="437"/>
      <c r="N10" s="437"/>
      <c r="O10" s="437"/>
      <c r="P10" s="437"/>
      <c r="Q10" s="440"/>
      <c r="S10" s="436"/>
      <c r="T10" s="443"/>
      <c r="U10" s="438"/>
    </row>
    <row r="11" spans="3:21" ht="20.100000000000001" customHeight="1">
      <c r="C11" s="481"/>
      <c r="D11" s="482"/>
      <c r="E11" s="482"/>
      <c r="F11" s="482"/>
      <c r="G11" s="482"/>
      <c r="H11" s="482"/>
      <c r="I11" s="482"/>
      <c r="J11" s="541"/>
      <c r="K11" s="534"/>
      <c r="L11" s="481"/>
      <c r="M11" s="482"/>
      <c r="N11" s="482"/>
      <c r="O11" s="482"/>
      <c r="P11" s="482"/>
      <c r="Q11" s="485"/>
      <c r="S11" s="481"/>
      <c r="T11" s="528"/>
      <c r="U11" s="541"/>
    </row>
    <row r="12" spans="3:21" ht="20.100000000000001" customHeight="1">
      <c r="C12" s="436"/>
      <c r="D12" s="437"/>
      <c r="E12" s="437"/>
      <c r="F12" s="437"/>
      <c r="G12" s="437"/>
      <c r="H12" s="437"/>
      <c r="I12" s="437"/>
      <c r="J12" s="438"/>
      <c r="K12" s="534"/>
      <c r="L12" s="436"/>
      <c r="M12" s="437"/>
      <c r="N12" s="437"/>
      <c r="O12" s="437"/>
      <c r="P12" s="437"/>
      <c r="Q12" s="440"/>
      <c r="S12" s="436"/>
      <c r="T12" s="443"/>
      <c r="U12" s="438"/>
    </row>
    <row r="13" spans="3:21" ht="20.100000000000001" customHeight="1">
      <c r="C13" s="481"/>
      <c r="D13" s="482"/>
      <c r="E13" s="482"/>
      <c r="F13" s="482"/>
      <c r="G13" s="482"/>
      <c r="H13" s="482"/>
      <c r="I13" s="482"/>
      <c r="J13" s="541"/>
      <c r="K13" s="534"/>
      <c r="L13" s="481"/>
      <c r="M13" s="482"/>
      <c r="N13" s="482"/>
      <c r="O13" s="482"/>
      <c r="P13" s="482"/>
      <c r="Q13" s="485"/>
      <c r="S13" s="481"/>
      <c r="T13" s="528"/>
      <c r="U13" s="541"/>
    </row>
    <row r="14" spans="3:21" ht="20.100000000000001" customHeight="1">
      <c r="C14" s="436"/>
      <c r="D14" s="437"/>
      <c r="E14" s="437"/>
      <c r="F14" s="437"/>
      <c r="G14" s="437"/>
      <c r="H14" s="437"/>
      <c r="I14" s="437"/>
      <c r="J14" s="438"/>
      <c r="K14" s="534"/>
      <c r="L14" s="436"/>
      <c r="M14" s="437"/>
      <c r="N14" s="437"/>
      <c r="O14" s="437"/>
      <c r="P14" s="437"/>
      <c r="Q14" s="440"/>
      <c r="S14" s="436"/>
      <c r="T14" s="443"/>
      <c r="U14" s="438"/>
    </row>
    <row r="15" spans="3:21" ht="20.100000000000001" customHeight="1">
      <c r="C15" s="481"/>
      <c r="D15" s="482"/>
      <c r="E15" s="482"/>
      <c r="F15" s="482"/>
      <c r="G15" s="482"/>
      <c r="H15" s="482"/>
      <c r="I15" s="482"/>
      <c r="J15" s="541"/>
      <c r="K15" s="534"/>
      <c r="L15" s="481"/>
      <c r="M15" s="482"/>
      <c r="N15" s="482"/>
      <c r="O15" s="482"/>
      <c r="P15" s="482"/>
      <c r="Q15" s="485"/>
      <c r="S15" s="481"/>
      <c r="T15" s="528"/>
      <c r="U15" s="541"/>
    </row>
    <row r="16" spans="3:21" ht="20.100000000000001" customHeight="1">
      <c r="C16" s="436"/>
      <c r="D16" s="437"/>
      <c r="E16" s="437"/>
      <c r="F16" s="437"/>
      <c r="G16" s="437"/>
      <c r="H16" s="437"/>
      <c r="I16" s="437"/>
      <c r="J16" s="438"/>
      <c r="K16" s="534"/>
      <c r="L16" s="436"/>
      <c r="M16" s="437"/>
      <c r="N16" s="437"/>
      <c r="O16" s="437"/>
      <c r="P16" s="437"/>
      <c r="Q16" s="440"/>
      <c r="S16" s="436"/>
      <c r="T16" s="443"/>
      <c r="U16" s="438"/>
    </row>
    <row r="17" spans="3:21" ht="20.100000000000001" customHeight="1">
      <c r="C17" s="481"/>
      <c r="D17" s="482"/>
      <c r="E17" s="482"/>
      <c r="F17" s="482"/>
      <c r="G17" s="482"/>
      <c r="H17" s="482"/>
      <c r="I17" s="482"/>
      <c r="J17" s="541"/>
      <c r="K17" s="534"/>
      <c r="L17" s="481"/>
      <c r="M17" s="482"/>
      <c r="N17" s="482"/>
      <c r="O17" s="482"/>
      <c r="P17" s="482"/>
      <c r="Q17" s="485"/>
      <c r="S17" s="481"/>
      <c r="T17" s="528"/>
      <c r="U17" s="541"/>
    </row>
    <row r="18" spans="3:21" ht="20.100000000000001" customHeight="1">
      <c r="C18" s="436"/>
      <c r="D18" s="437"/>
      <c r="E18" s="437"/>
      <c r="F18" s="437"/>
      <c r="G18" s="437"/>
      <c r="H18" s="437"/>
      <c r="I18" s="437"/>
      <c r="J18" s="438"/>
      <c r="K18" s="534"/>
      <c r="L18" s="436"/>
      <c r="M18" s="437"/>
      <c r="N18" s="437"/>
      <c r="O18" s="437"/>
      <c r="P18" s="437"/>
      <c r="Q18" s="440"/>
      <c r="S18" s="436"/>
      <c r="T18" s="443"/>
      <c r="U18" s="438"/>
    </row>
    <row r="19" spans="3:21" ht="20.100000000000001" customHeight="1">
      <c r="C19" s="481"/>
      <c r="D19" s="482"/>
      <c r="E19" s="482"/>
      <c r="F19" s="482"/>
      <c r="G19" s="482"/>
      <c r="H19" s="482"/>
      <c r="I19" s="482"/>
      <c r="J19" s="541"/>
      <c r="K19" s="534"/>
      <c r="L19" s="481"/>
      <c r="M19" s="482"/>
      <c r="N19" s="482"/>
      <c r="O19" s="482"/>
      <c r="P19" s="482"/>
      <c r="Q19" s="485"/>
      <c r="S19" s="481"/>
      <c r="T19" s="528"/>
      <c r="U19" s="541"/>
    </row>
    <row r="20" spans="3:21" ht="20.100000000000001" customHeight="1">
      <c r="C20" s="436"/>
      <c r="D20" s="437"/>
      <c r="E20" s="437"/>
      <c r="F20" s="437"/>
      <c r="G20" s="437"/>
      <c r="H20" s="437"/>
      <c r="I20" s="437"/>
      <c r="J20" s="438"/>
      <c r="K20" s="534"/>
      <c r="L20" s="436"/>
      <c r="M20" s="437"/>
      <c r="N20" s="437"/>
      <c r="O20" s="437"/>
      <c r="P20" s="437"/>
      <c r="Q20" s="440"/>
      <c r="S20" s="436"/>
      <c r="T20" s="443"/>
      <c r="U20" s="438"/>
    </row>
    <row r="21" spans="3:21" ht="20.100000000000001" customHeight="1">
      <c r="C21" s="481"/>
      <c r="D21" s="482"/>
      <c r="E21" s="482"/>
      <c r="F21" s="482"/>
      <c r="G21" s="482"/>
      <c r="H21" s="482"/>
      <c r="I21" s="482"/>
      <c r="J21" s="541"/>
      <c r="K21" s="534"/>
      <c r="L21" s="481"/>
      <c r="M21" s="482"/>
      <c r="N21" s="482"/>
      <c r="O21" s="482"/>
      <c r="P21" s="482"/>
      <c r="Q21" s="485"/>
      <c r="S21" s="481"/>
      <c r="T21" s="528"/>
      <c r="U21" s="541"/>
    </row>
    <row r="22" spans="3:21" ht="20.100000000000001" customHeight="1">
      <c r="C22" s="436"/>
      <c r="D22" s="437"/>
      <c r="E22" s="437"/>
      <c r="F22" s="437"/>
      <c r="G22" s="437"/>
      <c r="H22" s="437"/>
      <c r="I22" s="437"/>
      <c r="J22" s="438"/>
      <c r="K22" s="534"/>
      <c r="L22" s="436"/>
      <c r="M22" s="437"/>
      <c r="N22" s="437"/>
      <c r="O22" s="437"/>
      <c r="P22" s="437"/>
      <c r="Q22" s="440"/>
      <c r="S22" s="436"/>
      <c r="T22" s="443"/>
      <c r="U22" s="438"/>
    </row>
    <row r="23" spans="3:21" ht="20.100000000000001" customHeight="1">
      <c r="C23" s="481"/>
      <c r="D23" s="482"/>
      <c r="E23" s="482"/>
      <c r="F23" s="482"/>
      <c r="G23" s="482"/>
      <c r="H23" s="482"/>
      <c r="I23" s="482"/>
      <c r="J23" s="541"/>
      <c r="K23" s="534"/>
      <c r="L23" s="481"/>
      <c r="M23" s="482"/>
      <c r="N23" s="482"/>
      <c r="O23" s="482"/>
      <c r="P23" s="482"/>
      <c r="Q23" s="485"/>
      <c r="S23" s="481"/>
      <c r="T23" s="528"/>
      <c r="U23" s="541"/>
    </row>
    <row r="24" spans="3:21" ht="20.100000000000001" customHeight="1">
      <c r="C24" s="436"/>
      <c r="D24" s="437"/>
      <c r="E24" s="437"/>
      <c r="F24" s="437"/>
      <c r="G24" s="437"/>
      <c r="H24" s="437"/>
      <c r="I24" s="437"/>
      <c r="J24" s="438"/>
      <c r="K24" s="534"/>
      <c r="L24" s="436"/>
      <c r="M24" s="437"/>
      <c r="N24" s="437"/>
      <c r="O24" s="437"/>
      <c r="P24" s="437"/>
      <c r="Q24" s="440"/>
      <c r="S24" s="436"/>
      <c r="T24" s="443"/>
      <c r="U24" s="438"/>
    </row>
    <row r="25" spans="3:21" ht="20.100000000000001" customHeight="1">
      <c r="C25" s="481"/>
      <c r="D25" s="482"/>
      <c r="E25" s="482"/>
      <c r="F25" s="482"/>
      <c r="G25" s="482"/>
      <c r="H25" s="482"/>
      <c r="I25" s="482"/>
      <c r="J25" s="541"/>
      <c r="K25" s="534"/>
      <c r="L25" s="481"/>
      <c r="M25" s="482"/>
      <c r="N25" s="482"/>
      <c r="O25" s="482"/>
      <c r="P25" s="482"/>
      <c r="Q25" s="485"/>
      <c r="S25" s="481"/>
      <c r="T25" s="528"/>
      <c r="U25" s="541"/>
    </row>
    <row r="26" spans="3:21" ht="20.100000000000001" customHeight="1">
      <c r="C26" s="436"/>
      <c r="D26" s="437"/>
      <c r="E26" s="437"/>
      <c r="F26" s="437"/>
      <c r="G26" s="437"/>
      <c r="H26" s="437"/>
      <c r="I26" s="437"/>
      <c r="J26" s="438"/>
      <c r="K26" s="534"/>
      <c r="L26" s="436"/>
      <c r="M26" s="437"/>
      <c r="N26" s="437"/>
      <c r="O26" s="437"/>
      <c r="P26" s="437"/>
      <c r="Q26" s="440"/>
      <c r="S26" s="436"/>
      <c r="T26" s="443"/>
      <c r="U26" s="438"/>
    </row>
    <row r="27" spans="3:21" ht="20.100000000000001" customHeight="1">
      <c r="C27" s="481"/>
      <c r="D27" s="482"/>
      <c r="E27" s="482"/>
      <c r="F27" s="482"/>
      <c r="G27" s="482"/>
      <c r="H27" s="482"/>
      <c r="I27" s="482"/>
      <c r="J27" s="541"/>
      <c r="K27" s="534"/>
      <c r="L27" s="481"/>
      <c r="M27" s="482"/>
      <c r="N27" s="482"/>
      <c r="O27" s="482"/>
      <c r="P27" s="482"/>
      <c r="Q27" s="485"/>
      <c r="S27" s="481"/>
      <c r="T27" s="528"/>
      <c r="U27" s="541"/>
    </row>
    <row r="28" spans="3:21" ht="20.100000000000001" customHeight="1">
      <c r="C28" s="436"/>
      <c r="D28" s="437"/>
      <c r="E28" s="437"/>
      <c r="F28" s="437"/>
      <c r="G28" s="437"/>
      <c r="H28" s="437"/>
      <c r="I28" s="437"/>
      <c r="J28" s="438"/>
      <c r="K28" s="534"/>
      <c r="L28" s="436"/>
      <c r="M28" s="437"/>
      <c r="N28" s="437"/>
      <c r="O28" s="437"/>
      <c r="P28" s="437"/>
      <c r="Q28" s="440"/>
      <c r="S28" s="436"/>
      <c r="T28" s="443"/>
      <c r="U28" s="438"/>
    </row>
    <row r="29" spans="3:21" ht="20.100000000000001" customHeight="1">
      <c r="C29" s="481"/>
      <c r="D29" s="482"/>
      <c r="E29" s="482"/>
      <c r="F29" s="482"/>
      <c r="G29" s="482"/>
      <c r="H29" s="482"/>
      <c r="I29" s="482"/>
      <c r="J29" s="541"/>
      <c r="K29" s="534"/>
      <c r="L29" s="481"/>
      <c r="M29" s="482"/>
      <c r="N29" s="482"/>
      <c r="O29" s="482"/>
      <c r="P29" s="482"/>
      <c r="Q29" s="485"/>
      <c r="S29" s="481"/>
      <c r="T29" s="528"/>
      <c r="U29" s="541"/>
    </row>
    <row r="30" spans="3:21" ht="20.100000000000001" customHeight="1">
      <c r="C30" s="436"/>
      <c r="D30" s="437"/>
      <c r="E30" s="437"/>
      <c r="F30" s="437"/>
      <c r="G30" s="437"/>
      <c r="H30" s="437"/>
      <c r="I30" s="437"/>
      <c r="J30" s="438"/>
      <c r="K30" s="534"/>
      <c r="L30" s="436"/>
      <c r="M30" s="437"/>
      <c r="N30" s="437"/>
      <c r="O30" s="437"/>
      <c r="P30" s="437"/>
      <c r="Q30" s="440"/>
      <c r="S30" s="436"/>
      <c r="T30" s="443"/>
      <c r="U30" s="438"/>
    </row>
    <row r="31" spans="3:21" ht="20.100000000000001" customHeight="1">
      <c r="C31" s="481"/>
      <c r="D31" s="482"/>
      <c r="E31" s="482"/>
      <c r="F31" s="482"/>
      <c r="G31" s="482"/>
      <c r="H31" s="482"/>
      <c r="I31" s="482"/>
      <c r="J31" s="541"/>
      <c r="K31" s="534"/>
      <c r="L31" s="481"/>
      <c r="M31" s="482"/>
      <c r="N31" s="482"/>
      <c r="O31" s="482"/>
      <c r="P31" s="482"/>
      <c r="Q31" s="485"/>
      <c r="S31" s="481"/>
      <c r="T31" s="528"/>
      <c r="U31" s="541"/>
    </row>
    <row r="32" spans="3:21" ht="20.100000000000001" customHeight="1">
      <c r="C32" s="436"/>
      <c r="D32" s="437"/>
      <c r="E32" s="437"/>
      <c r="F32" s="437"/>
      <c r="G32" s="437"/>
      <c r="H32" s="437"/>
      <c r="I32" s="437"/>
      <c r="J32" s="438"/>
      <c r="K32" s="534"/>
      <c r="L32" s="436"/>
      <c r="M32" s="437"/>
      <c r="N32" s="437"/>
      <c r="O32" s="437"/>
      <c r="P32" s="437"/>
      <c r="Q32" s="440"/>
      <c r="S32" s="436"/>
      <c r="T32" s="443"/>
      <c r="U32" s="438"/>
    </row>
    <row r="33" spans="3:36" ht="20.100000000000001" customHeight="1" thickBot="1">
      <c r="C33" s="486"/>
      <c r="D33" s="542"/>
      <c r="E33" s="542"/>
      <c r="F33" s="542"/>
      <c r="G33" s="542"/>
      <c r="H33" s="542"/>
      <c r="I33" s="542"/>
      <c r="J33" s="543"/>
      <c r="K33" s="534"/>
      <c r="L33" s="544"/>
      <c r="M33" s="542"/>
      <c r="N33" s="542"/>
      <c r="O33" s="542"/>
      <c r="P33" s="542"/>
      <c r="Q33" s="545"/>
      <c r="S33" s="544"/>
      <c r="T33" s="547"/>
      <c r="U33" s="543"/>
    </row>
    <row r="34" spans="3:36" ht="20.100000000000001" customHeight="1">
      <c r="D34" s="534"/>
      <c r="E34" s="534"/>
      <c r="F34" s="534"/>
      <c r="G34" s="534"/>
      <c r="H34" s="534"/>
      <c r="I34" s="534"/>
      <c r="J34" s="605"/>
      <c r="K34" s="534"/>
      <c r="L34" s="534"/>
      <c r="M34" s="534"/>
      <c r="N34" s="534"/>
      <c r="O34" s="534"/>
      <c r="P34" s="534"/>
      <c r="Q34" s="534"/>
      <c r="S34" s="534"/>
      <c r="T34" s="605"/>
      <c r="U34" s="605"/>
    </row>
    <row r="35" spans="3:36" ht="20.100000000000001" customHeight="1">
      <c r="H35" s="606"/>
      <c r="J35" s="607"/>
      <c r="K35" s="607"/>
      <c r="L35" s="607"/>
      <c r="M35" s="607"/>
      <c r="N35" s="607"/>
      <c r="O35" s="607"/>
      <c r="P35" s="607"/>
      <c r="S35" s="534"/>
      <c r="T35" s="605"/>
      <c r="U35" s="605"/>
    </row>
    <row r="36" spans="3:36" s="534" customFormat="1" ht="26.25" customHeight="1" thickBot="1">
      <c r="D36" s="583" t="s">
        <v>240</v>
      </c>
      <c r="F36" s="583" t="s">
        <v>640</v>
      </c>
      <c r="H36" s="586"/>
      <c r="T36" s="605"/>
      <c r="U36" s="605"/>
    </row>
    <row r="37" spans="3:36" s="608" customFormat="1" ht="36" customHeight="1">
      <c r="D37" s="617" t="s">
        <v>262</v>
      </c>
      <c r="E37" s="618" t="s">
        <v>226</v>
      </c>
      <c r="F37" s="618"/>
      <c r="G37" s="618"/>
      <c r="H37" s="633"/>
      <c r="I37" s="618"/>
      <c r="J37" s="618"/>
      <c r="K37" s="618"/>
      <c r="L37" s="618"/>
      <c r="M37" s="618"/>
      <c r="N37" s="618"/>
      <c r="O37" s="618"/>
      <c r="P37" s="618"/>
      <c r="Q37" s="618"/>
      <c r="R37" s="618"/>
      <c r="S37" s="618"/>
      <c r="T37" s="618"/>
      <c r="U37" s="618"/>
      <c r="V37" s="618"/>
      <c r="W37" s="618"/>
      <c r="X37" s="618"/>
      <c r="Y37" s="618"/>
      <c r="Z37" s="618"/>
      <c r="AA37" s="618"/>
      <c r="AB37" s="618"/>
      <c r="AC37" s="618"/>
      <c r="AD37" s="618"/>
      <c r="AE37" s="618"/>
      <c r="AF37" s="618"/>
      <c r="AG37" s="618"/>
      <c r="AH37" s="619"/>
      <c r="AI37" s="533"/>
      <c r="AJ37" s="534"/>
    </row>
    <row r="38" spans="3:36" s="534" customFormat="1" ht="23.1" customHeight="1">
      <c r="D38" s="548" t="s">
        <v>243</v>
      </c>
      <c r="E38" s="549">
        <v>2.9450000000000003</v>
      </c>
      <c r="F38" s="441"/>
      <c r="G38" s="549"/>
      <c r="H38" s="441"/>
      <c r="I38" s="549"/>
      <c r="J38" s="444"/>
      <c r="K38" s="550"/>
      <c r="L38" s="444"/>
      <c r="M38" s="550"/>
      <c r="N38" s="444"/>
      <c r="O38" s="550"/>
      <c r="P38" s="444"/>
      <c r="Q38" s="549"/>
      <c r="R38" s="441"/>
      <c r="S38" s="549"/>
      <c r="T38" s="441"/>
      <c r="U38" s="549"/>
      <c r="V38" s="441"/>
      <c r="W38" s="549"/>
      <c r="X38" s="441"/>
      <c r="Y38" s="549"/>
      <c r="Z38" s="441"/>
      <c r="AA38" s="549"/>
      <c r="AB38" s="441"/>
      <c r="AC38" s="549"/>
      <c r="AD38" s="441"/>
      <c r="AE38" s="549"/>
      <c r="AF38" s="441"/>
      <c r="AG38" s="549"/>
      <c r="AH38" s="498"/>
    </row>
    <row r="39" spans="3:36" s="534" customFormat="1" ht="23.1" customHeight="1">
      <c r="D39" s="548" t="s">
        <v>231</v>
      </c>
      <c r="E39" s="549">
        <v>1.487E-2</v>
      </c>
      <c r="F39" s="441"/>
      <c r="G39" s="549"/>
      <c r="H39" s="441"/>
      <c r="I39" s="549"/>
      <c r="J39" s="444"/>
      <c r="K39" s="550"/>
      <c r="L39" s="444"/>
      <c r="M39" s="550"/>
      <c r="N39" s="444"/>
      <c r="O39" s="550"/>
      <c r="P39" s="444"/>
      <c r="Q39" s="549"/>
      <c r="R39" s="441"/>
      <c r="S39" s="549"/>
      <c r="T39" s="441"/>
      <c r="U39" s="549"/>
      <c r="V39" s="441"/>
      <c r="W39" s="549"/>
      <c r="X39" s="441"/>
      <c r="Y39" s="549"/>
      <c r="Z39" s="441"/>
      <c r="AA39" s="549"/>
      <c r="AB39" s="441"/>
      <c r="AC39" s="549"/>
      <c r="AD39" s="441"/>
      <c r="AE39" s="549"/>
      <c r="AF39" s="441"/>
      <c r="AG39" s="549"/>
      <c r="AH39" s="498"/>
    </row>
    <row r="40" spans="3:36" s="534" customFormat="1" ht="23.1" customHeight="1">
      <c r="D40" s="548" t="s">
        <v>232</v>
      </c>
      <c r="E40" s="551">
        <v>2.9339999999999998E-4</v>
      </c>
      <c r="F40" s="442"/>
      <c r="G40" s="551"/>
      <c r="H40" s="442"/>
      <c r="I40" s="551"/>
      <c r="J40" s="445"/>
      <c r="K40" s="552"/>
      <c r="L40" s="445"/>
      <c r="M40" s="552"/>
      <c r="N40" s="445"/>
      <c r="O40" s="552"/>
      <c r="P40" s="445"/>
      <c r="Q40" s="551"/>
      <c r="R40" s="442"/>
      <c r="S40" s="551"/>
      <c r="T40" s="442"/>
      <c r="U40" s="551"/>
      <c r="V40" s="442"/>
      <c r="W40" s="551"/>
      <c r="X40" s="442"/>
      <c r="Y40" s="551"/>
      <c r="Z40" s="442"/>
      <c r="AA40" s="551"/>
      <c r="AB40" s="442"/>
      <c r="AC40" s="551"/>
      <c r="AD40" s="442"/>
      <c r="AE40" s="551"/>
      <c r="AF40" s="442"/>
      <c r="AG40" s="551"/>
      <c r="AH40" s="449"/>
    </row>
    <row r="41" spans="3:36" s="534" customFormat="1" ht="23.1" customHeight="1">
      <c r="D41" s="548" t="s">
        <v>633</v>
      </c>
      <c r="E41" s="549">
        <v>0.54159999999999997</v>
      </c>
      <c r="F41" s="441"/>
      <c r="G41" s="549"/>
      <c r="H41" s="441"/>
      <c r="I41" s="549"/>
      <c r="J41" s="444"/>
      <c r="K41" s="550"/>
      <c r="L41" s="444"/>
      <c r="M41" s="550"/>
      <c r="N41" s="444"/>
      <c r="O41" s="550"/>
      <c r="P41" s="444"/>
      <c r="Q41" s="549"/>
      <c r="R41" s="441"/>
      <c r="S41" s="549"/>
      <c r="T41" s="441"/>
      <c r="U41" s="549"/>
      <c r="V41" s="441"/>
      <c r="W41" s="549"/>
      <c r="X41" s="441"/>
      <c r="Y41" s="549"/>
      <c r="Z41" s="441"/>
      <c r="AA41" s="549"/>
      <c r="AB41" s="441"/>
      <c r="AC41" s="549"/>
      <c r="AD41" s="441"/>
      <c r="AE41" s="549"/>
      <c r="AF41" s="441"/>
      <c r="AG41" s="549"/>
      <c r="AH41" s="498"/>
    </row>
    <row r="42" spans="3:36" s="534" customFormat="1" ht="23.1" customHeight="1">
      <c r="D42" s="548" t="s">
        <v>242</v>
      </c>
      <c r="E42" s="528">
        <v>31.799999999999997</v>
      </c>
      <c r="F42" s="443"/>
      <c r="G42" s="528"/>
      <c r="H42" s="443"/>
      <c r="I42" s="528"/>
      <c r="J42" s="446"/>
      <c r="K42" s="554"/>
      <c r="L42" s="446"/>
      <c r="M42" s="554"/>
      <c r="N42" s="446"/>
      <c r="O42" s="554"/>
      <c r="P42" s="446"/>
      <c r="Q42" s="528"/>
      <c r="R42" s="443"/>
      <c r="S42" s="528"/>
      <c r="T42" s="443"/>
      <c r="U42" s="528"/>
      <c r="V42" s="443"/>
      <c r="W42" s="528"/>
      <c r="X42" s="443"/>
      <c r="Y42" s="528"/>
      <c r="Z42" s="443"/>
      <c r="AA42" s="528"/>
      <c r="AB42" s="443"/>
      <c r="AC42" s="528"/>
      <c r="AD42" s="443"/>
      <c r="AE42" s="528"/>
      <c r="AF42" s="443"/>
      <c r="AG42" s="528"/>
      <c r="AH42" s="438"/>
    </row>
    <row r="43" spans="3:36" s="534" customFormat="1" ht="23.1" customHeight="1" thickBot="1">
      <c r="D43" s="555" t="s">
        <v>241</v>
      </c>
      <c r="E43" s="487">
        <v>198</v>
      </c>
      <c r="F43" s="439"/>
      <c r="G43" s="487"/>
      <c r="H43" s="439"/>
      <c r="I43" s="487"/>
      <c r="J43" s="447"/>
      <c r="K43" s="556"/>
      <c r="L43" s="447"/>
      <c r="M43" s="556"/>
      <c r="N43" s="447"/>
      <c r="O43" s="556"/>
      <c r="P43" s="447"/>
      <c r="Q43" s="487"/>
      <c r="R43" s="439"/>
      <c r="S43" s="487"/>
      <c r="T43" s="499"/>
      <c r="U43" s="557"/>
      <c r="V43" s="439"/>
      <c r="W43" s="487"/>
      <c r="X43" s="439"/>
      <c r="Y43" s="487"/>
      <c r="Z43" s="439"/>
      <c r="AA43" s="487"/>
      <c r="AB43" s="439"/>
      <c r="AC43" s="487"/>
      <c r="AD43" s="439"/>
      <c r="AE43" s="487"/>
      <c r="AF43" s="439"/>
      <c r="AG43" s="487"/>
      <c r="AH43" s="500"/>
    </row>
    <row r="44" spans="3:36" ht="20.100000000000001" customHeight="1">
      <c r="D44" s="609"/>
      <c r="E44" s="609"/>
      <c r="F44" s="607"/>
      <c r="G44" s="609"/>
      <c r="H44" s="606"/>
      <c r="T44" s="610"/>
      <c r="U44" s="610"/>
    </row>
    <row r="45" spans="3:36" ht="20.100000000000001" customHeight="1">
      <c r="D45" s="534"/>
      <c r="E45" s="534"/>
      <c r="F45" s="534"/>
      <c r="G45" s="534"/>
      <c r="H45" s="534"/>
      <c r="I45" s="534"/>
      <c r="J45" s="605"/>
      <c r="K45" s="534"/>
      <c r="L45" s="534"/>
      <c r="M45" s="534"/>
      <c r="N45" s="534"/>
      <c r="O45" s="534"/>
      <c r="P45" s="534"/>
      <c r="Q45" s="534"/>
      <c r="T45" s="610"/>
      <c r="U45" s="610"/>
    </row>
    <row r="46" spans="3:36" ht="32.25" customHeight="1" thickBot="1">
      <c r="C46" s="583" t="s">
        <v>634</v>
      </c>
      <c r="D46" s="534"/>
      <c r="E46" s="534"/>
      <c r="F46" s="534"/>
      <c r="G46" s="534"/>
      <c r="H46" s="611"/>
      <c r="I46" s="583"/>
      <c r="J46" s="612"/>
      <c r="K46" s="534"/>
      <c r="L46" s="534"/>
      <c r="M46" s="534"/>
      <c r="N46" s="534"/>
      <c r="P46" s="611"/>
      <c r="Q46" s="534"/>
      <c r="R46" s="534"/>
    </row>
    <row r="47" spans="3:36" s="534" customFormat="1" ht="33.75" customHeight="1">
      <c r="C47" s="620" t="s">
        <v>283</v>
      </c>
      <c r="D47" s="621" t="s">
        <v>667</v>
      </c>
      <c r="E47" s="621" t="s">
        <v>687</v>
      </c>
      <c r="F47" s="622" t="s">
        <v>688</v>
      </c>
      <c r="H47" s="620" t="s">
        <v>206</v>
      </c>
      <c r="I47" s="621" t="s">
        <v>689</v>
      </c>
      <c r="J47" s="623" t="s">
        <v>107</v>
      </c>
      <c r="K47" s="621" t="s">
        <v>693</v>
      </c>
      <c r="L47" s="621" t="s">
        <v>690</v>
      </c>
      <c r="M47" s="621" t="s">
        <v>211</v>
      </c>
      <c r="N47" s="622" t="s">
        <v>210</v>
      </c>
      <c r="P47" s="620" t="s">
        <v>206</v>
      </c>
      <c r="Q47" s="621" t="s">
        <v>691</v>
      </c>
      <c r="R47" s="622" t="s">
        <v>692</v>
      </c>
    </row>
    <row r="48" spans="3:36" ht="20.100000000000001" customHeight="1">
      <c r="C48" s="729" t="s">
        <v>85</v>
      </c>
      <c r="D48" s="278" t="s">
        <v>673</v>
      </c>
      <c r="E48" s="549">
        <v>3.226</v>
      </c>
      <c r="F48" s="553">
        <v>2.9339999999999998E-4</v>
      </c>
      <c r="G48" s="534"/>
      <c r="H48" s="572" t="s">
        <v>226</v>
      </c>
      <c r="I48" s="483">
        <v>72.400000000000006</v>
      </c>
      <c r="J48" s="483">
        <v>88.6</v>
      </c>
      <c r="K48" s="483">
        <v>110.6</v>
      </c>
      <c r="L48" s="483">
        <v>90.5</v>
      </c>
      <c r="M48" s="483">
        <v>110.6</v>
      </c>
      <c r="N48" s="573">
        <v>72.400000000000006</v>
      </c>
      <c r="P48" s="576" t="s">
        <v>226</v>
      </c>
      <c r="Q48" s="549">
        <v>-2.8652316871553052</v>
      </c>
      <c r="R48" s="577">
        <v>2.194</v>
      </c>
    </row>
    <row r="49" spans="3:18" ht="20.100000000000001" customHeight="1">
      <c r="C49" s="730"/>
      <c r="D49" s="278" t="s">
        <v>674</v>
      </c>
      <c r="E49" s="549">
        <v>2.6640000000000001</v>
      </c>
      <c r="F49" s="485"/>
      <c r="G49" s="534"/>
      <c r="H49" s="452"/>
      <c r="I49" s="453"/>
      <c r="J49" s="453"/>
      <c r="K49" s="453"/>
      <c r="L49" s="453"/>
      <c r="M49" s="453"/>
      <c r="N49" s="454"/>
      <c r="P49" s="455"/>
      <c r="Q49" s="441"/>
      <c r="R49" s="456"/>
    </row>
    <row r="50" spans="3:18" ht="20.100000000000001" customHeight="1">
      <c r="C50" s="731"/>
      <c r="D50" s="278" t="s">
        <v>675</v>
      </c>
      <c r="E50" s="479">
        <v>2.9450000000000003</v>
      </c>
      <c r="F50" s="480">
        <v>2.9339999999999998E-4</v>
      </c>
      <c r="G50" s="534"/>
      <c r="H50" s="572"/>
      <c r="I50" s="483"/>
      <c r="J50" s="483"/>
      <c r="K50" s="483"/>
      <c r="L50" s="483"/>
      <c r="M50" s="483"/>
      <c r="N50" s="573"/>
      <c r="P50" s="576"/>
      <c r="Q50" s="549"/>
      <c r="R50" s="577"/>
    </row>
    <row r="51" spans="3:18" ht="20.100000000000001" customHeight="1">
      <c r="C51" s="723" t="s">
        <v>154</v>
      </c>
      <c r="D51" s="448" t="s">
        <v>673</v>
      </c>
      <c r="E51" s="441"/>
      <c r="F51" s="449"/>
      <c r="G51" s="534"/>
      <c r="H51" s="452"/>
      <c r="I51" s="453"/>
      <c r="J51" s="453"/>
      <c r="K51" s="453"/>
      <c r="L51" s="453"/>
      <c r="M51" s="453"/>
      <c r="N51" s="454"/>
      <c r="P51" s="455"/>
      <c r="Q51" s="441"/>
      <c r="R51" s="456"/>
    </row>
    <row r="52" spans="3:18" ht="20.100000000000001" customHeight="1">
      <c r="C52" s="723"/>
      <c r="D52" s="448" t="s">
        <v>674</v>
      </c>
      <c r="E52" s="441"/>
      <c r="F52" s="440"/>
      <c r="G52" s="534"/>
      <c r="H52" s="572"/>
      <c r="I52" s="483"/>
      <c r="J52" s="483"/>
      <c r="K52" s="483"/>
      <c r="L52" s="483"/>
      <c r="M52" s="483"/>
      <c r="N52" s="573"/>
      <c r="P52" s="576"/>
      <c r="Q52" s="549"/>
      <c r="R52" s="577"/>
    </row>
    <row r="53" spans="3:18" ht="20.100000000000001" customHeight="1">
      <c r="C53" s="723"/>
      <c r="D53" s="448" t="s">
        <v>675</v>
      </c>
      <c r="E53" s="450"/>
      <c r="F53" s="451"/>
      <c r="G53" s="534"/>
      <c r="H53" s="452"/>
      <c r="I53" s="453"/>
      <c r="J53" s="453"/>
      <c r="K53" s="453"/>
      <c r="L53" s="453"/>
      <c r="M53" s="453"/>
      <c r="N53" s="454"/>
      <c r="P53" s="455"/>
      <c r="Q53" s="441"/>
      <c r="R53" s="456"/>
    </row>
    <row r="54" spans="3:18" ht="20.100000000000001" customHeight="1">
      <c r="C54" s="722" t="s">
        <v>155</v>
      </c>
      <c r="D54" s="278" t="s">
        <v>673</v>
      </c>
      <c r="E54" s="549"/>
      <c r="F54" s="553"/>
      <c r="G54" s="534"/>
      <c r="H54" s="572"/>
      <c r="I54" s="483"/>
      <c r="J54" s="483"/>
      <c r="K54" s="483"/>
      <c r="L54" s="483"/>
      <c r="M54" s="483"/>
      <c r="N54" s="573"/>
      <c r="P54" s="576"/>
      <c r="Q54" s="549"/>
      <c r="R54" s="577"/>
    </row>
    <row r="55" spans="3:18" ht="20.100000000000001" customHeight="1">
      <c r="C55" s="722"/>
      <c r="D55" s="278" t="s">
        <v>674</v>
      </c>
      <c r="E55" s="549"/>
      <c r="F55" s="485"/>
      <c r="G55" s="534"/>
      <c r="H55" s="452"/>
      <c r="I55" s="453"/>
      <c r="J55" s="453"/>
      <c r="K55" s="453"/>
      <c r="L55" s="453"/>
      <c r="M55" s="453"/>
      <c r="N55" s="454"/>
      <c r="P55" s="455"/>
      <c r="Q55" s="441"/>
      <c r="R55" s="456"/>
    </row>
    <row r="56" spans="3:18" ht="20.100000000000001" customHeight="1">
      <c r="C56" s="722"/>
      <c r="D56" s="278" t="s">
        <v>675</v>
      </c>
      <c r="E56" s="479"/>
      <c r="F56" s="480"/>
      <c r="G56" s="534"/>
      <c r="H56" s="572"/>
      <c r="I56" s="483"/>
      <c r="J56" s="483"/>
      <c r="K56" s="483"/>
      <c r="L56" s="483"/>
      <c r="M56" s="483"/>
      <c r="N56" s="573"/>
      <c r="P56" s="576"/>
      <c r="Q56" s="549"/>
      <c r="R56" s="577"/>
    </row>
    <row r="57" spans="3:18" ht="20.100000000000001" customHeight="1">
      <c r="C57" s="723" t="s">
        <v>644</v>
      </c>
      <c r="D57" s="448" t="s">
        <v>673</v>
      </c>
      <c r="E57" s="441"/>
      <c r="F57" s="449"/>
      <c r="G57" s="534"/>
      <c r="H57" s="452"/>
      <c r="I57" s="453"/>
      <c r="J57" s="453"/>
      <c r="K57" s="453"/>
      <c r="L57" s="453"/>
      <c r="M57" s="453"/>
      <c r="N57" s="454"/>
      <c r="P57" s="455"/>
      <c r="Q57" s="441"/>
      <c r="R57" s="456"/>
    </row>
    <row r="58" spans="3:18" ht="20.100000000000001" customHeight="1">
      <c r="C58" s="723"/>
      <c r="D58" s="448" t="s">
        <v>674</v>
      </c>
      <c r="E58" s="441"/>
      <c r="F58" s="440"/>
      <c r="G58" s="534"/>
      <c r="H58" s="572"/>
      <c r="I58" s="483"/>
      <c r="J58" s="483"/>
      <c r="K58" s="483"/>
      <c r="L58" s="483"/>
      <c r="M58" s="483"/>
      <c r="N58" s="573"/>
      <c r="P58" s="576"/>
      <c r="Q58" s="549"/>
      <c r="R58" s="577"/>
    </row>
    <row r="59" spans="3:18" ht="20.100000000000001" customHeight="1">
      <c r="C59" s="723"/>
      <c r="D59" s="448" t="s">
        <v>675</v>
      </c>
      <c r="E59" s="450"/>
      <c r="F59" s="451"/>
      <c r="G59" s="534"/>
      <c r="H59" s="452"/>
      <c r="I59" s="453"/>
      <c r="J59" s="453"/>
      <c r="K59" s="453"/>
      <c r="L59" s="453"/>
      <c r="M59" s="453"/>
      <c r="N59" s="454"/>
      <c r="P59" s="455"/>
      <c r="Q59" s="441"/>
      <c r="R59" s="456"/>
    </row>
    <row r="60" spans="3:18" ht="20.100000000000001" customHeight="1">
      <c r="C60" s="722" t="s">
        <v>645</v>
      </c>
      <c r="D60" s="278" t="s">
        <v>673</v>
      </c>
      <c r="E60" s="549"/>
      <c r="F60" s="553"/>
      <c r="G60" s="534"/>
      <c r="H60" s="572"/>
      <c r="I60" s="483"/>
      <c r="J60" s="483"/>
      <c r="K60" s="483"/>
      <c r="L60" s="483"/>
      <c r="M60" s="483"/>
      <c r="N60" s="573"/>
      <c r="P60" s="576"/>
      <c r="Q60" s="549"/>
      <c r="R60" s="577"/>
    </row>
    <row r="61" spans="3:18" ht="20.100000000000001" customHeight="1">
      <c r="C61" s="722"/>
      <c r="D61" s="278" t="s">
        <v>674</v>
      </c>
      <c r="E61" s="549"/>
      <c r="F61" s="485"/>
      <c r="G61" s="534"/>
      <c r="H61" s="452"/>
      <c r="I61" s="453"/>
      <c r="J61" s="453"/>
      <c r="K61" s="453"/>
      <c r="L61" s="453"/>
      <c r="M61" s="453"/>
      <c r="N61" s="454"/>
      <c r="P61" s="455"/>
      <c r="Q61" s="441"/>
      <c r="R61" s="456"/>
    </row>
    <row r="62" spans="3:18" ht="20.100000000000001" customHeight="1">
      <c r="C62" s="722"/>
      <c r="D62" s="278" t="s">
        <v>675</v>
      </c>
      <c r="E62" s="479"/>
      <c r="F62" s="480"/>
      <c r="G62" s="534"/>
      <c r="H62" s="572"/>
      <c r="I62" s="574"/>
      <c r="J62" s="574"/>
      <c r="K62" s="574"/>
      <c r="L62" s="574"/>
      <c r="M62" s="574"/>
      <c r="N62" s="573"/>
      <c r="O62" s="534"/>
      <c r="P62" s="576"/>
      <c r="Q62" s="549"/>
      <c r="R62" s="577"/>
    </row>
    <row r="63" spans="3:18" ht="20.100000000000001" customHeight="1">
      <c r="C63" s="723" t="s">
        <v>334</v>
      </c>
      <c r="D63" s="448" t="s">
        <v>246</v>
      </c>
      <c r="E63" s="441"/>
      <c r="F63" s="449"/>
      <c r="H63" s="452"/>
      <c r="I63" s="453"/>
      <c r="J63" s="453"/>
      <c r="K63" s="453"/>
      <c r="L63" s="453"/>
      <c r="M63" s="453"/>
      <c r="N63" s="492"/>
      <c r="P63" s="455"/>
      <c r="Q63" s="441"/>
      <c r="R63" s="456"/>
    </row>
    <row r="64" spans="3:18" ht="20.100000000000001" customHeight="1">
      <c r="C64" s="723"/>
      <c r="D64" s="448" t="s">
        <v>247</v>
      </c>
      <c r="E64" s="441"/>
      <c r="F64" s="440"/>
      <c r="H64" s="572"/>
      <c r="I64" s="483"/>
      <c r="J64" s="483"/>
      <c r="K64" s="483"/>
      <c r="L64" s="483"/>
      <c r="M64" s="483"/>
      <c r="N64" s="575"/>
      <c r="P64" s="576"/>
      <c r="Q64" s="549"/>
      <c r="R64" s="577"/>
    </row>
    <row r="65" spans="3:18" ht="20.100000000000001" customHeight="1">
      <c r="C65" s="723"/>
      <c r="D65" s="448" t="s">
        <v>248</v>
      </c>
      <c r="E65" s="450"/>
      <c r="F65" s="451"/>
      <c r="H65" s="452"/>
      <c r="I65" s="453"/>
      <c r="J65" s="453"/>
      <c r="K65" s="453"/>
      <c r="L65" s="453"/>
      <c r="M65" s="453"/>
      <c r="N65" s="492"/>
      <c r="P65" s="455"/>
      <c r="Q65" s="441"/>
      <c r="R65" s="456"/>
    </row>
    <row r="66" spans="3:18" ht="20.100000000000001" customHeight="1">
      <c r="C66" s="722" t="s">
        <v>616</v>
      </c>
      <c r="D66" s="278" t="s">
        <v>246</v>
      </c>
      <c r="E66" s="549"/>
      <c r="F66" s="553"/>
      <c r="H66" s="572"/>
      <c r="I66" s="483"/>
      <c r="J66" s="483"/>
      <c r="K66" s="483"/>
      <c r="L66" s="483"/>
      <c r="M66" s="483"/>
      <c r="N66" s="575"/>
      <c r="P66" s="576"/>
      <c r="Q66" s="549"/>
      <c r="R66" s="577"/>
    </row>
    <row r="67" spans="3:18" ht="20.100000000000001" customHeight="1">
      <c r="C67" s="722"/>
      <c r="D67" s="278" t="s">
        <v>247</v>
      </c>
      <c r="E67" s="549"/>
      <c r="F67" s="485"/>
      <c r="H67" s="452"/>
      <c r="I67" s="453"/>
      <c r="J67" s="453"/>
      <c r="K67" s="453"/>
      <c r="L67" s="453"/>
      <c r="M67" s="453"/>
      <c r="N67" s="492"/>
      <c r="P67" s="455"/>
      <c r="Q67" s="441"/>
      <c r="R67" s="456"/>
    </row>
    <row r="68" spans="3:18" ht="20.100000000000001" customHeight="1">
      <c r="C68" s="722"/>
      <c r="D68" s="278" t="s">
        <v>248</v>
      </c>
      <c r="E68" s="479"/>
      <c r="F68" s="480"/>
      <c r="H68" s="572"/>
      <c r="I68" s="483"/>
      <c r="J68" s="483"/>
      <c r="K68" s="483"/>
      <c r="L68" s="483"/>
      <c r="M68" s="483"/>
      <c r="N68" s="575"/>
      <c r="P68" s="576"/>
      <c r="Q68" s="549"/>
      <c r="R68" s="577"/>
    </row>
    <row r="69" spans="3:18" ht="20.100000000000001" customHeight="1">
      <c r="C69" s="723" t="s">
        <v>617</v>
      </c>
      <c r="D69" s="448" t="s">
        <v>246</v>
      </c>
      <c r="E69" s="441"/>
      <c r="F69" s="449"/>
      <c r="H69" s="452"/>
      <c r="I69" s="453"/>
      <c r="J69" s="453"/>
      <c r="K69" s="453"/>
      <c r="L69" s="453"/>
      <c r="M69" s="453"/>
      <c r="N69" s="492"/>
      <c r="P69" s="455"/>
      <c r="Q69" s="441"/>
      <c r="R69" s="456"/>
    </row>
    <row r="70" spans="3:18" ht="20.100000000000001" customHeight="1">
      <c r="C70" s="723"/>
      <c r="D70" s="448" t="s">
        <v>247</v>
      </c>
      <c r="E70" s="441"/>
      <c r="F70" s="440"/>
      <c r="H70" s="572"/>
      <c r="I70" s="483"/>
      <c r="J70" s="483"/>
      <c r="K70" s="483"/>
      <c r="L70" s="483"/>
      <c r="M70" s="483"/>
      <c r="N70" s="575"/>
      <c r="P70" s="576"/>
      <c r="Q70" s="549"/>
      <c r="R70" s="577"/>
    </row>
    <row r="71" spans="3:18" ht="20.100000000000001" customHeight="1">
      <c r="C71" s="723"/>
      <c r="D71" s="448" t="s">
        <v>248</v>
      </c>
      <c r="E71" s="450"/>
      <c r="F71" s="451"/>
      <c r="H71" s="452"/>
      <c r="I71" s="453"/>
      <c r="J71" s="453"/>
      <c r="K71" s="453"/>
      <c r="L71" s="453"/>
      <c r="M71" s="453"/>
      <c r="N71" s="492"/>
      <c r="P71" s="455"/>
      <c r="Q71" s="441"/>
      <c r="R71" s="456"/>
    </row>
    <row r="72" spans="3:18" ht="20.100000000000001" customHeight="1">
      <c r="C72" s="722" t="s">
        <v>618</v>
      </c>
      <c r="D72" s="278" t="s">
        <v>246</v>
      </c>
      <c r="E72" s="549"/>
      <c r="F72" s="553"/>
      <c r="H72" s="572"/>
      <c r="I72" s="483"/>
      <c r="J72" s="483"/>
      <c r="K72" s="483"/>
      <c r="L72" s="483"/>
      <c r="M72" s="483"/>
      <c r="N72" s="575"/>
      <c r="P72" s="576"/>
      <c r="Q72" s="549"/>
      <c r="R72" s="577"/>
    </row>
    <row r="73" spans="3:18" ht="20.100000000000001" customHeight="1">
      <c r="C73" s="722"/>
      <c r="D73" s="278" t="s">
        <v>247</v>
      </c>
      <c r="E73" s="549"/>
      <c r="F73" s="485"/>
      <c r="H73" s="452"/>
      <c r="I73" s="453"/>
      <c r="J73" s="453"/>
      <c r="K73" s="453"/>
      <c r="L73" s="453"/>
      <c r="M73" s="453"/>
      <c r="N73" s="492"/>
      <c r="P73" s="455"/>
      <c r="Q73" s="441"/>
      <c r="R73" s="456"/>
    </row>
    <row r="74" spans="3:18" ht="20.100000000000001" customHeight="1">
      <c r="C74" s="722"/>
      <c r="D74" s="278" t="s">
        <v>248</v>
      </c>
      <c r="E74" s="479"/>
      <c r="F74" s="480"/>
      <c r="H74" s="572"/>
      <c r="I74" s="483"/>
      <c r="J74" s="483"/>
      <c r="K74" s="483"/>
      <c r="L74" s="483"/>
      <c r="M74" s="483"/>
      <c r="N74" s="575"/>
      <c r="P74" s="576"/>
      <c r="Q74" s="549"/>
      <c r="R74" s="577"/>
    </row>
    <row r="75" spans="3:18" ht="20.100000000000001" customHeight="1">
      <c r="C75" s="723" t="s">
        <v>646</v>
      </c>
      <c r="D75" s="448" t="s">
        <v>246</v>
      </c>
      <c r="E75" s="441"/>
      <c r="F75" s="449"/>
      <c r="H75" s="452"/>
      <c r="I75" s="453"/>
      <c r="J75" s="453"/>
      <c r="K75" s="453"/>
      <c r="L75" s="453"/>
      <c r="M75" s="453"/>
      <c r="N75" s="492"/>
      <c r="P75" s="455"/>
      <c r="Q75" s="441"/>
      <c r="R75" s="456"/>
    </row>
    <row r="76" spans="3:18" ht="20.100000000000001" customHeight="1">
      <c r="C76" s="723"/>
      <c r="D76" s="448" t="s">
        <v>247</v>
      </c>
      <c r="E76" s="441"/>
      <c r="F76" s="440"/>
      <c r="H76" s="572"/>
      <c r="I76" s="483"/>
      <c r="J76" s="483"/>
      <c r="K76" s="483"/>
      <c r="L76" s="483"/>
      <c r="M76" s="483"/>
      <c r="N76" s="575"/>
      <c r="P76" s="576"/>
      <c r="Q76" s="549"/>
      <c r="R76" s="577"/>
    </row>
    <row r="77" spans="3:18" ht="20.100000000000001" customHeight="1" thickBot="1">
      <c r="C77" s="723"/>
      <c r="D77" s="448" t="s">
        <v>248</v>
      </c>
      <c r="E77" s="450"/>
      <c r="F77" s="451"/>
      <c r="H77" s="491"/>
      <c r="I77" s="493"/>
      <c r="J77" s="493"/>
      <c r="K77" s="493"/>
      <c r="L77" s="493"/>
      <c r="M77" s="493"/>
      <c r="N77" s="494"/>
      <c r="P77" s="478"/>
      <c r="Q77" s="495"/>
      <c r="R77" s="496"/>
    </row>
    <row r="78" spans="3:18" ht="20.100000000000001" customHeight="1" thickBot="1">
      <c r="C78" s="722" t="s">
        <v>647</v>
      </c>
      <c r="D78" s="278" t="s">
        <v>246</v>
      </c>
      <c r="E78" s="479"/>
      <c r="F78" s="480"/>
      <c r="H78" s="533"/>
      <c r="I78" s="533"/>
      <c r="J78" s="533"/>
      <c r="K78" s="533"/>
      <c r="L78" s="533"/>
      <c r="M78" s="533"/>
      <c r="N78" s="533"/>
      <c r="P78" s="533"/>
      <c r="Q78" s="533"/>
      <c r="R78" s="533"/>
    </row>
    <row r="79" spans="3:18" ht="30.75" customHeight="1">
      <c r="C79" s="722"/>
      <c r="D79" s="278" t="s">
        <v>247</v>
      </c>
      <c r="E79" s="479"/>
      <c r="F79" s="480"/>
      <c r="H79" s="660" t="s">
        <v>206</v>
      </c>
      <c r="I79" s="661" t="s">
        <v>694</v>
      </c>
      <c r="J79" s="662" t="s">
        <v>688</v>
      </c>
      <c r="K79" s="533"/>
      <c r="L79" s="533"/>
      <c r="M79" s="533"/>
      <c r="N79" s="533"/>
      <c r="P79" s="533"/>
      <c r="Q79" s="533"/>
      <c r="R79" s="533"/>
    </row>
    <row r="80" spans="3:18" ht="20.100000000000001" customHeight="1">
      <c r="C80" s="722"/>
      <c r="D80" s="278" t="s">
        <v>248</v>
      </c>
      <c r="E80" s="479"/>
      <c r="F80" s="480"/>
      <c r="H80" s="572" t="s">
        <v>226</v>
      </c>
      <c r="I80" s="651">
        <v>2.6640000000000001</v>
      </c>
      <c r="J80" s="652">
        <v>2.9339999999999998E-4</v>
      </c>
      <c r="K80" s="533"/>
      <c r="L80" s="533"/>
      <c r="M80" s="533"/>
      <c r="N80" s="533"/>
      <c r="P80" s="533"/>
      <c r="Q80" s="533"/>
      <c r="R80" s="533"/>
    </row>
    <row r="81" spans="3:18" ht="20.100000000000001" customHeight="1">
      <c r="C81" s="723" t="s">
        <v>648</v>
      </c>
      <c r="D81" s="448" t="s">
        <v>246</v>
      </c>
      <c r="E81" s="450"/>
      <c r="F81" s="451"/>
      <c r="H81" s="452"/>
      <c r="I81" s="655"/>
      <c r="J81" s="656"/>
      <c r="K81" s="533"/>
      <c r="L81" s="533"/>
      <c r="M81" s="533"/>
      <c r="N81" s="533"/>
      <c r="P81" s="533"/>
      <c r="Q81" s="533"/>
      <c r="R81" s="533"/>
    </row>
    <row r="82" spans="3:18" ht="20.100000000000001" customHeight="1" thickBot="1">
      <c r="C82" s="723"/>
      <c r="D82" s="448" t="s">
        <v>247</v>
      </c>
      <c r="E82" s="450"/>
      <c r="F82" s="451"/>
      <c r="H82" s="572"/>
      <c r="I82" s="653"/>
      <c r="J82" s="652"/>
      <c r="K82" s="533"/>
      <c r="L82" s="533"/>
      <c r="M82" s="533"/>
      <c r="N82" s="533"/>
      <c r="P82" s="533"/>
      <c r="Q82" s="533"/>
      <c r="R82" s="533"/>
    </row>
    <row r="83" spans="3:18" ht="20.100000000000001" customHeight="1" thickBot="1">
      <c r="C83" s="723"/>
      <c r="D83" s="448" t="s">
        <v>248</v>
      </c>
      <c r="E83" s="450"/>
      <c r="F83" s="451"/>
      <c r="H83" s="650"/>
      <c r="I83" s="657"/>
      <c r="J83" s="658"/>
      <c r="K83" s="533"/>
      <c r="L83" s="533"/>
      <c r="M83" s="533"/>
      <c r="N83" s="533"/>
      <c r="P83" s="533"/>
      <c r="Q83" s="533"/>
      <c r="R83" s="533"/>
    </row>
    <row r="84" spans="3:18" ht="20.100000000000001" customHeight="1">
      <c r="C84" s="722" t="s">
        <v>649</v>
      </c>
      <c r="D84" s="278" t="s">
        <v>246</v>
      </c>
      <c r="E84" s="479"/>
      <c r="F84" s="480"/>
      <c r="H84" s="572"/>
      <c r="I84" s="654"/>
      <c r="J84" s="652"/>
      <c r="K84" s="533"/>
      <c r="L84" s="533"/>
      <c r="M84" s="533"/>
      <c r="N84" s="533"/>
      <c r="P84" s="533"/>
      <c r="Q84" s="533"/>
      <c r="R84" s="533"/>
    </row>
    <row r="85" spans="3:18" ht="20.100000000000001" customHeight="1">
      <c r="C85" s="722"/>
      <c r="D85" s="278" t="s">
        <v>247</v>
      </c>
      <c r="E85" s="479"/>
      <c r="F85" s="480"/>
      <c r="H85" s="452"/>
      <c r="I85" s="655"/>
      <c r="J85" s="656"/>
      <c r="K85" s="533"/>
      <c r="L85" s="533"/>
      <c r="M85" s="533"/>
      <c r="N85" s="533"/>
      <c r="P85" s="533"/>
      <c r="Q85" s="533"/>
      <c r="R85" s="533"/>
    </row>
    <row r="86" spans="3:18" ht="20.100000000000001" customHeight="1">
      <c r="C86" s="722"/>
      <c r="D86" s="278" t="s">
        <v>248</v>
      </c>
      <c r="E86" s="479"/>
      <c r="F86" s="480"/>
      <c r="H86" s="572"/>
      <c r="I86" s="651"/>
      <c r="J86" s="652"/>
      <c r="K86" s="533"/>
      <c r="L86" s="533"/>
      <c r="M86" s="533"/>
      <c r="N86" s="533"/>
      <c r="P86" s="533"/>
      <c r="Q86" s="533"/>
      <c r="R86" s="533"/>
    </row>
    <row r="87" spans="3:18" ht="20.100000000000001" customHeight="1">
      <c r="C87" s="723" t="s">
        <v>650</v>
      </c>
      <c r="D87" s="448" t="s">
        <v>246</v>
      </c>
      <c r="E87" s="450"/>
      <c r="F87" s="451"/>
      <c r="H87" s="452"/>
      <c r="I87" s="655"/>
      <c r="J87" s="656"/>
      <c r="K87" s="533"/>
      <c r="L87" s="533"/>
      <c r="M87" s="533"/>
      <c r="N87" s="533"/>
      <c r="P87" s="533"/>
      <c r="Q87" s="533"/>
      <c r="R87" s="533"/>
    </row>
    <row r="88" spans="3:18" ht="20.100000000000001" customHeight="1">
      <c r="C88" s="723"/>
      <c r="D88" s="448" t="s">
        <v>247</v>
      </c>
      <c r="E88" s="450"/>
      <c r="F88" s="451"/>
      <c r="H88" s="572"/>
      <c r="I88" s="651"/>
      <c r="J88" s="652"/>
      <c r="K88" s="533"/>
      <c r="L88" s="533"/>
      <c r="M88" s="533"/>
      <c r="N88" s="533"/>
      <c r="P88" s="533"/>
      <c r="Q88" s="533"/>
      <c r="R88" s="533"/>
    </row>
    <row r="89" spans="3:18" ht="20.100000000000001" customHeight="1">
      <c r="C89" s="723"/>
      <c r="D89" s="448" t="s">
        <v>248</v>
      </c>
      <c r="E89" s="450"/>
      <c r="F89" s="451"/>
      <c r="H89" s="452"/>
      <c r="I89" s="655"/>
      <c r="J89" s="656"/>
      <c r="K89" s="533"/>
      <c r="L89" s="533"/>
      <c r="M89" s="533"/>
      <c r="N89" s="533"/>
      <c r="P89" s="533"/>
      <c r="Q89" s="533"/>
      <c r="R89" s="533"/>
    </row>
    <row r="90" spans="3:18" ht="20.100000000000001" customHeight="1">
      <c r="C90" s="722" t="s">
        <v>651</v>
      </c>
      <c r="D90" s="278" t="s">
        <v>246</v>
      </c>
      <c r="E90" s="479"/>
      <c r="F90" s="480"/>
      <c r="H90" s="572"/>
      <c r="I90" s="651"/>
      <c r="J90" s="652"/>
      <c r="K90" s="533"/>
      <c r="L90" s="533"/>
      <c r="M90" s="533"/>
      <c r="N90" s="533"/>
      <c r="P90" s="533"/>
      <c r="Q90" s="533"/>
      <c r="R90" s="533"/>
    </row>
    <row r="91" spans="3:18" ht="20.100000000000001" customHeight="1">
      <c r="C91" s="722"/>
      <c r="D91" s="278" t="s">
        <v>247</v>
      </c>
      <c r="E91" s="479"/>
      <c r="F91" s="480"/>
      <c r="H91" s="452"/>
      <c r="I91" s="655"/>
      <c r="J91" s="656"/>
      <c r="K91" s="533"/>
      <c r="L91" s="533"/>
      <c r="M91" s="533"/>
      <c r="N91" s="533"/>
      <c r="P91" s="533"/>
      <c r="Q91" s="533"/>
      <c r="R91" s="533"/>
    </row>
    <row r="92" spans="3:18" ht="20.100000000000001" customHeight="1">
      <c r="C92" s="722"/>
      <c r="D92" s="278" t="s">
        <v>248</v>
      </c>
      <c r="E92" s="479"/>
      <c r="F92" s="480"/>
      <c r="H92" s="572"/>
      <c r="I92" s="651"/>
      <c r="J92" s="652"/>
      <c r="K92" s="533"/>
      <c r="L92" s="533"/>
      <c r="M92" s="533"/>
      <c r="N92" s="533"/>
      <c r="P92" s="533"/>
      <c r="Q92" s="533"/>
      <c r="R92" s="533"/>
    </row>
    <row r="93" spans="3:18" ht="20.100000000000001" customHeight="1">
      <c r="C93" s="723" t="s">
        <v>652</v>
      </c>
      <c r="D93" s="448" t="s">
        <v>246</v>
      </c>
      <c r="E93" s="450"/>
      <c r="F93" s="451"/>
      <c r="H93" s="452"/>
      <c r="I93" s="655"/>
      <c r="J93" s="656"/>
      <c r="K93" s="533"/>
      <c r="L93" s="533"/>
      <c r="M93" s="533"/>
      <c r="N93" s="533"/>
      <c r="P93" s="533"/>
      <c r="Q93" s="533"/>
      <c r="R93" s="533"/>
    </row>
    <row r="94" spans="3:18" ht="20.100000000000001" customHeight="1">
      <c r="C94" s="723"/>
      <c r="D94" s="448" t="s">
        <v>247</v>
      </c>
      <c r="E94" s="450"/>
      <c r="F94" s="451"/>
      <c r="H94" s="572"/>
      <c r="I94" s="651"/>
      <c r="J94" s="652"/>
      <c r="K94" s="533"/>
      <c r="L94" s="533"/>
      <c r="M94" s="533"/>
      <c r="N94" s="533"/>
      <c r="P94" s="533"/>
      <c r="Q94" s="533"/>
      <c r="R94" s="533"/>
    </row>
    <row r="95" spans="3:18" ht="20.100000000000001" customHeight="1">
      <c r="C95" s="723"/>
      <c r="D95" s="448" t="s">
        <v>248</v>
      </c>
      <c r="E95" s="450"/>
      <c r="F95" s="451"/>
      <c r="H95" s="452"/>
      <c r="I95" s="655"/>
      <c r="J95" s="656"/>
      <c r="K95" s="533"/>
      <c r="L95" s="533"/>
      <c r="M95" s="533"/>
      <c r="N95" s="533"/>
      <c r="P95" s="533"/>
      <c r="Q95" s="533"/>
      <c r="R95" s="533"/>
    </row>
    <row r="96" spans="3:18" ht="20.100000000000001" customHeight="1">
      <c r="C96" s="722" t="s">
        <v>653</v>
      </c>
      <c r="D96" s="278" t="s">
        <v>246</v>
      </c>
      <c r="E96" s="479"/>
      <c r="F96" s="480"/>
      <c r="H96" s="572"/>
      <c r="I96" s="651"/>
      <c r="J96" s="652"/>
      <c r="K96" s="533"/>
      <c r="L96" s="533"/>
      <c r="M96" s="533"/>
      <c r="N96" s="533"/>
      <c r="P96" s="533"/>
      <c r="Q96" s="533"/>
      <c r="R96" s="533"/>
    </row>
    <row r="97" spans="3:18" ht="20.100000000000001" customHeight="1">
      <c r="C97" s="722"/>
      <c r="D97" s="278" t="s">
        <v>247</v>
      </c>
      <c r="E97" s="479"/>
      <c r="F97" s="480"/>
      <c r="H97" s="452"/>
      <c r="I97" s="655"/>
      <c r="J97" s="656"/>
      <c r="K97" s="533"/>
      <c r="L97" s="533"/>
      <c r="M97" s="533"/>
      <c r="N97" s="533"/>
      <c r="P97" s="533"/>
      <c r="Q97" s="533"/>
      <c r="R97" s="533"/>
    </row>
    <row r="98" spans="3:18" ht="20.100000000000001" customHeight="1">
      <c r="C98" s="722"/>
      <c r="D98" s="278" t="s">
        <v>248</v>
      </c>
      <c r="E98" s="479"/>
      <c r="F98" s="480"/>
      <c r="H98" s="572"/>
      <c r="I98" s="651"/>
      <c r="J98" s="652"/>
      <c r="K98" s="533"/>
      <c r="L98" s="533"/>
      <c r="M98" s="533"/>
      <c r="N98" s="533"/>
      <c r="P98" s="533"/>
      <c r="Q98" s="533"/>
      <c r="R98" s="533"/>
    </row>
    <row r="99" spans="3:18" ht="20.100000000000001" customHeight="1">
      <c r="C99" s="723" t="s">
        <v>654</v>
      </c>
      <c r="D99" s="448" t="s">
        <v>246</v>
      </c>
      <c r="E99" s="450"/>
      <c r="F99" s="451"/>
      <c r="H99" s="452"/>
      <c r="I99" s="655"/>
      <c r="J99" s="656"/>
      <c r="K99" s="533"/>
      <c r="L99" s="533"/>
      <c r="M99" s="533"/>
      <c r="N99" s="533"/>
      <c r="P99" s="533"/>
      <c r="Q99" s="533"/>
      <c r="R99" s="533"/>
    </row>
    <row r="100" spans="3:18" ht="20.100000000000001" customHeight="1">
      <c r="C100" s="723"/>
      <c r="D100" s="448" t="s">
        <v>247</v>
      </c>
      <c r="E100" s="450"/>
      <c r="F100" s="451"/>
      <c r="H100" s="572"/>
      <c r="I100" s="651"/>
      <c r="J100" s="652"/>
      <c r="K100" s="533"/>
      <c r="L100" s="533"/>
      <c r="M100" s="533"/>
      <c r="N100" s="533"/>
      <c r="P100" s="533"/>
      <c r="Q100" s="533"/>
      <c r="R100" s="533"/>
    </row>
    <row r="101" spans="3:18" ht="20.100000000000001" customHeight="1">
      <c r="C101" s="723"/>
      <c r="D101" s="448" t="s">
        <v>248</v>
      </c>
      <c r="E101" s="450"/>
      <c r="F101" s="451"/>
      <c r="H101" s="452"/>
      <c r="I101" s="655"/>
      <c r="J101" s="656"/>
      <c r="K101" s="533"/>
      <c r="L101" s="533"/>
      <c r="M101" s="533"/>
      <c r="N101" s="533"/>
      <c r="P101" s="533"/>
      <c r="Q101" s="533"/>
      <c r="R101" s="533"/>
    </row>
    <row r="102" spans="3:18" ht="20.100000000000001" customHeight="1">
      <c r="C102" s="722" t="s">
        <v>655</v>
      </c>
      <c r="D102" s="278" t="s">
        <v>246</v>
      </c>
      <c r="E102" s="549"/>
      <c r="F102" s="553"/>
      <c r="H102" s="572"/>
      <c r="I102" s="651"/>
      <c r="J102" s="519"/>
    </row>
    <row r="103" spans="3:18" ht="20.100000000000001" customHeight="1">
      <c r="C103" s="722"/>
      <c r="D103" s="278" t="s">
        <v>247</v>
      </c>
      <c r="E103" s="549"/>
      <c r="F103" s="485"/>
      <c r="H103" s="452"/>
      <c r="I103" s="655"/>
      <c r="J103" s="516"/>
    </row>
    <row r="104" spans="3:18" ht="20.100000000000001" customHeight="1">
      <c r="C104" s="722"/>
      <c r="D104" s="278" t="s">
        <v>248</v>
      </c>
      <c r="E104" s="479"/>
      <c r="F104" s="480"/>
      <c r="H104" s="572"/>
      <c r="I104" s="651"/>
      <c r="J104" s="519"/>
    </row>
    <row r="105" spans="3:18" ht="20.100000000000001" customHeight="1">
      <c r="C105" s="723" t="s">
        <v>656</v>
      </c>
      <c r="D105" s="448" t="s">
        <v>246</v>
      </c>
      <c r="E105" s="441"/>
      <c r="F105" s="449"/>
      <c r="H105" s="452"/>
      <c r="I105" s="655"/>
      <c r="J105" s="516"/>
    </row>
    <row r="106" spans="3:18" ht="20.100000000000001" customHeight="1">
      <c r="C106" s="723"/>
      <c r="D106" s="448" t="s">
        <v>247</v>
      </c>
      <c r="E106" s="441"/>
      <c r="F106" s="440"/>
      <c r="H106" s="572"/>
      <c r="I106" s="651"/>
      <c r="J106" s="519"/>
    </row>
    <row r="107" spans="3:18" ht="20.100000000000001" customHeight="1">
      <c r="C107" s="723"/>
      <c r="D107" s="448" t="s">
        <v>248</v>
      </c>
      <c r="E107" s="450"/>
      <c r="F107" s="451"/>
      <c r="H107" s="452"/>
      <c r="I107" s="655"/>
      <c r="J107" s="516"/>
    </row>
    <row r="108" spans="3:18" ht="20.100000000000001" customHeight="1">
      <c r="C108" s="722" t="s">
        <v>657</v>
      </c>
      <c r="D108" s="278" t="s">
        <v>246</v>
      </c>
      <c r="E108" s="479"/>
      <c r="F108" s="480"/>
      <c r="H108" s="572"/>
      <c r="I108" s="651"/>
      <c r="J108" s="519"/>
    </row>
    <row r="109" spans="3:18" ht="20.100000000000001" customHeight="1" thickBot="1">
      <c r="C109" s="722"/>
      <c r="D109" s="278" t="s">
        <v>247</v>
      </c>
      <c r="E109" s="479"/>
      <c r="F109" s="480"/>
      <c r="H109" s="491"/>
      <c r="I109" s="659"/>
      <c r="J109" s="540"/>
    </row>
    <row r="110" spans="3:18" ht="20.100000000000001" customHeight="1">
      <c r="C110" s="722"/>
      <c r="D110" s="278" t="s">
        <v>248</v>
      </c>
      <c r="E110" s="479"/>
      <c r="F110" s="480"/>
      <c r="H110" s="533"/>
    </row>
    <row r="111" spans="3:18" ht="20.100000000000001" customHeight="1">
      <c r="C111" s="723" t="s">
        <v>658</v>
      </c>
      <c r="D111" s="448" t="s">
        <v>246</v>
      </c>
      <c r="E111" s="450"/>
      <c r="F111" s="451"/>
      <c r="H111" s="533"/>
    </row>
    <row r="112" spans="3:18" ht="20.100000000000001" customHeight="1">
      <c r="C112" s="723"/>
      <c r="D112" s="448" t="s">
        <v>247</v>
      </c>
      <c r="E112" s="450"/>
      <c r="F112" s="451"/>
      <c r="H112" s="533"/>
    </row>
    <row r="113" spans="3:8" ht="20.100000000000001" customHeight="1">
      <c r="C113" s="723"/>
      <c r="D113" s="448" t="s">
        <v>248</v>
      </c>
      <c r="E113" s="450"/>
      <c r="F113" s="451"/>
      <c r="H113" s="533"/>
    </row>
    <row r="114" spans="3:8" ht="20.100000000000001" customHeight="1">
      <c r="C114" s="722" t="s">
        <v>659</v>
      </c>
      <c r="D114" s="278" t="s">
        <v>246</v>
      </c>
      <c r="E114" s="479"/>
      <c r="F114" s="480"/>
      <c r="H114" s="533"/>
    </row>
    <row r="115" spans="3:8" ht="20.100000000000001" customHeight="1">
      <c r="C115" s="722"/>
      <c r="D115" s="278" t="s">
        <v>247</v>
      </c>
      <c r="E115" s="479"/>
      <c r="F115" s="480"/>
      <c r="H115" s="533"/>
    </row>
    <row r="116" spans="3:8" ht="20.100000000000001" customHeight="1">
      <c r="C116" s="722"/>
      <c r="D116" s="278" t="s">
        <v>248</v>
      </c>
      <c r="E116" s="479"/>
      <c r="F116" s="480"/>
      <c r="H116" s="533"/>
    </row>
    <row r="117" spans="3:8" ht="20.100000000000001" customHeight="1">
      <c r="C117" s="723" t="s">
        <v>660</v>
      </c>
      <c r="D117" s="448" t="s">
        <v>246</v>
      </c>
      <c r="E117" s="450"/>
      <c r="F117" s="451"/>
      <c r="H117" s="533"/>
    </row>
    <row r="118" spans="3:8" ht="20.100000000000001" customHeight="1">
      <c r="C118" s="723"/>
      <c r="D118" s="448" t="s">
        <v>247</v>
      </c>
      <c r="E118" s="450"/>
      <c r="F118" s="451"/>
      <c r="H118" s="533"/>
    </row>
    <row r="119" spans="3:8" ht="20.100000000000001" customHeight="1">
      <c r="C119" s="723"/>
      <c r="D119" s="448" t="s">
        <v>248</v>
      </c>
      <c r="E119" s="450"/>
      <c r="F119" s="451"/>
      <c r="H119" s="533"/>
    </row>
    <row r="120" spans="3:8" ht="20.100000000000001" customHeight="1">
      <c r="C120" s="722" t="s">
        <v>661</v>
      </c>
      <c r="D120" s="278" t="s">
        <v>246</v>
      </c>
      <c r="E120" s="479"/>
      <c r="F120" s="480"/>
      <c r="H120" s="533"/>
    </row>
    <row r="121" spans="3:8" ht="20.100000000000001" customHeight="1">
      <c r="C121" s="722"/>
      <c r="D121" s="278" t="s">
        <v>247</v>
      </c>
      <c r="E121" s="479"/>
      <c r="F121" s="480"/>
      <c r="H121" s="533"/>
    </row>
    <row r="122" spans="3:8" ht="20.100000000000001" customHeight="1">
      <c r="C122" s="722"/>
      <c r="D122" s="278" t="s">
        <v>248</v>
      </c>
      <c r="E122" s="479"/>
      <c r="F122" s="480"/>
      <c r="H122" s="533"/>
    </row>
    <row r="123" spans="3:8" ht="20.100000000000001" customHeight="1">
      <c r="C123" s="723" t="s">
        <v>662</v>
      </c>
      <c r="D123" s="448" t="s">
        <v>246</v>
      </c>
      <c r="E123" s="450"/>
      <c r="F123" s="451"/>
      <c r="H123" s="533"/>
    </row>
    <row r="124" spans="3:8" ht="20.100000000000001" customHeight="1">
      <c r="C124" s="723"/>
      <c r="D124" s="448" t="s">
        <v>247</v>
      </c>
      <c r="E124" s="450"/>
      <c r="F124" s="451"/>
      <c r="H124" s="533"/>
    </row>
    <row r="125" spans="3:8" ht="20.100000000000001" customHeight="1">
      <c r="C125" s="723"/>
      <c r="D125" s="448" t="s">
        <v>248</v>
      </c>
      <c r="E125" s="450"/>
      <c r="F125" s="451"/>
      <c r="H125" s="533"/>
    </row>
    <row r="126" spans="3:8" ht="20.25" customHeight="1">
      <c r="C126" s="722" t="s">
        <v>663</v>
      </c>
      <c r="D126" s="278" t="s">
        <v>246</v>
      </c>
      <c r="E126" s="479"/>
      <c r="F126" s="480"/>
      <c r="H126" s="533"/>
    </row>
    <row r="127" spans="3:8" ht="20.100000000000001" customHeight="1">
      <c r="C127" s="722"/>
      <c r="D127" s="278" t="s">
        <v>247</v>
      </c>
      <c r="E127" s="479"/>
      <c r="F127" s="480"/>
      <c r="H127" s="533"/>
    </row>
    <row r="128" spans="3:8" ht="20.100000000000001" customHeight="1">
      <c r="C128" s="722"/>
      <c r="D128" s="278" t="s">
        <v>248</v>
      </c>
      <c r="E128" s="479"/>
      <c r="F128" s="480"/>
      <c r="H128" s="533"/>
    </row>
    <row r="129" spans="3:8" ht="20.100000000000001" customHeight="1">
      <c r="C129" s="723" t="s">
        <v>664</v>
      </c>
      <c r="D129" s="448" t="s">
        <v>246</v>
      </c>
      <c r="E129" s="564"/>
      <c r="F129" s="565"/>
      <c r="H129" s="533"/>
    </row>
    <row r="130" spans="3:8" ht="20.100000000000001" customHeight="1">
      <c r="C130" s="723"/>
      <c r="D130" s="448" t="s">
        <v>247</v>
      </c>
      <c r="E130" s="564"/>
      <c r="F130" s="566"/>
    </row>
    <row r="131" spans="3:8" ht="20.100000000000001" customHeight="1">
      <c r="C131" s="723"/>
      <c r="D131" s="448" t="s">
        <v>248</v>
      </c>
      <c r="E131" s="567"/>
      <c r="F131" s="568"/>
    </row>
    <row r="132" spans="3:8" ht="20.100000000000001" customHeight="1">
      <c r="C132" s="722" t="s">
        <v>665</v>
      </c>
      <c r="D132" s="278" t="s">
        <v>246</v>
      </c>
      <c r="E132" s="559"/>
      <c r="F132" s="560"/>
    </row>
    <row r="133" spans="3:8" ht="20.100000000000001" customHeight="1">
      <c r="C133" s="722"/>
      <c r="D133" s="278" t="s">
        <v>247</v>
      </c>
      <c r="E133" s="559"/>
      <c r="F133" s="561"/>
    </row>
    <row r="134" spans="3:8" ht="20.100000000000001" customHeight="1">
      <c r="C134" s="722"/>
      <c r="D134" s="278" t="s">
        <v>248</v>
      </c>
      <c r="E134" s="562"/>
      <c r="F134" s="563"/>
    </row>
    <row r="135" spans="3:8" ht="20.100000000000001" customHeight="1">
      <c r="C135" s="723" t="s">
        <v>666</v>
      </c>
      <c r="D135" s="448" t="s">
        <v>246</v>
      </c>
      <c r="E135" s="564"/>
      <c r="F135" s="565"/>
    </row>
    <row r="136" spans="3:8" ht="20.100000000000001" customHeight="1">
      <c r="C136" s="723"/>
      <c r="D136" s="448" t="s">
        <v>247</v>
      </c>
      <c r="E136" s="564"/>
      <c r="F136" s="566"/>
    </row>
    <row r="137" spans="3:8" ht="20.100000000000001" customHeight="1" thickBot="1">
      <c r="C137" s="724"/>
      <c r="D137" s="569" t="s">
        <v>248</v>
      </c>
      <c r="E137" s="570"/>
      <c r="F137" s="571"/>
    </row>
    <row r="138" spans="3:8" ht="20.100000000000001" customHeight="1">
      <c r="F138" s="613"/>
    </row>
    <row r="141" spans="3:8" ht="20.100000000000001" customHeight="1">
      <c r="F141" s="613"/>
    </row>
    <row r="144" spans="3:8" ht="20.100000000000001" customHeight="1">
      <c r="F144" s="613"/>
    </row>
    <row r="147" spans="6:6" ht="20.100000000000001" customHeight="1">
      <c r="F147" s="613"/>
    </row>
    <row r="150" spans="6:6" ht="20.100000000000001" customHeight="1">
      <c r="F150" s="613"/>
    </row>
    <row r="153" spans="6:6" ht="20.100000000000001" customHeight="1">
      <c r="F153" s="613"/>
    </row>
    <row r="156" spans="6:6" ht="20.100000000000001" customHeight="1">
      <c r="F156" s="613"/>
    </row>
    <row r="159" spans="6:6" ht="20.100000000000001" customHeight="1">
      <c r="F159" s="613"/>
    </row>
    <row r="162" spans="6:6" ht="20.100000000000001" customHeight="1">
      <c r="F162" s="613"/>
    </row>
    <row r="165" spans="6:6" ht="20.100000000000001" customHeight="1">
      <c r="F165" s="613"/>
    </row>
    <row r="168" spans="6:6" ht="20.100000000000001" customHeight="1">
      <c r="F168" s="613"/>
    </row>
    <row r="171" spans="6:6" ht="20.100000000000001" customHeight="1">
      <c r="F171" s="613"/>
    </row>
    <row r="174" spans="6:6" ht="20.100000000000001" customHeight="1">
      <c r="F174" s="613"/>
    </row>
    <row r="177" spans="6:6" ht="20.100000000000001" customHeight="1">
      <c r="F177" s="613"/>
    </row>
    <row r="180" spans="6:6" ht="20.100000000000001" customHeight="1">
      <c r="F180" s="613"/>
    </row>
    <row r="183" spans="6:6" ht="20.100000000000001" customHeight="1">
      <c r="F183" s="613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14" sqref="B1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239</v>
      </c>
    </row>
    <row r="3" spans="3:15" s="45" customFormat="1" ht="28.5" customHeight="1">
      <c r="C3" s="413" t="s">
        <v>283</v>
      </c>
      <c r="D3" s="414" t="s">
        <v>676</v>
      </c>
      <c r="E3" s="414" t="s">
        <v>275</v>
      </c>
      <c r="F3" s="414" t="s">
        <v>278</v>
      </c>
      <c r="G3" s="414" t="s">
        <v>677</v>
      </c>
      <c r="H3" s="414" t="s">
        <v>678</v>
      </c>
      <c r="I3" s="414" t="s">
        <v>679</v>
      </c>
      <c r="J3" s="414" t="s">
        <v>680</v>
      </c>
      <c r="K3" s="414" t="s">
        <v>681</v>
      </c>
      <c r="L3" s="414" t="s">
        <v>682</v>
      </c>
      <c r="M3" s="414" t="s">
        <v>683</v>
      </c>
      <c r="N3" s="414" t="s">
        <v>684</v>
      </c>
      <c r="O3" s="415" t="s">
        <v>685</v>
      </c>
    </row>
    <row r="4" spans="3:15" ht="20.100000000000001" customHeight="1">
      <c r="C4" s="180" t="s">
        <v>226</v>
      </c>
      <c r="D4" s="181" t="s">
        <v>697</v>
      </c>
      <c r="E4" s="181">
        <v>150</v>
      </c>
      <c r="F4" s="181">
        <v>2.9449999999999998</v>
      </c>
      <c r="G4" s="643">
        <v>2.9449999999999998</v>
      </c>
      <c r="H4" s="181">
        <v>0.03</v>
      </c>
      <c r="I4" s="181">
        <v>198</v>
      </c>
      <c r="J4" s="644">
        <v>198</v>
      </c>
      <c r="K4" s="181">
        <v>152</v>
      </c>
      <c r="L4" s="644">
        <v>152</v>
      </c>
      <c r="M4" s="181">
        <v>2.5999999999999999E-3</v>
      </c>
      <c r="N4" s="643">
        <v>2.5999999999999999E-3</v>
      </c>
      <c r="O4" s="645" t="s">
        <v>238</v>
      </c>
    </row>
    <row r="5" spans="3:15" ht="20.100000000000001" customHeight="1">
      <c r="C5" s="180"/>
      <c r="D5" s="181"/>
      <c r="E5" s="181"/>
      <c r="F5" s="181"/>
      <c r="G5" s="643"/>
      <c r="H5" s="181"/>
      <c r="I5" s="181"/>
      <c r="J5" s="644"/>
      <c r="K5" s="181"/>
      <c r="L5" s="644"/>
      <c r="M5" s="181"/>
      <c r="N5" s="643"/>
      <c r="O5" s="645"/>
    </row>
    <row r="6" spans="3:15" ht="20.100000000000001" customHeight="1">
      <c r="C6" s="180"/>
      <c r="D6" s="181"/>
      <c r="E6" s="181"/>
      <c r="F6" s="181"/>
      <c r="G6" s="643"/>
      <c r="H6" s="181"/>
      <c r="I6" s="181"/>
      <c r="J6" s="644"/>
      <c r="K6" s="181"/>
      <c r="L6" s="644"/>
      <c r="M6" s="181"/>
      <c r="N6" s="643"/>
      <c r="O6" s="645"/>
    </row>
    <row r="7" spans="3:15" ht="20.100000000000001" customHeight="1">
      <c r="C7" s="180"/>
      <c r="D7" s="181"/>
      <c r="E7" s="181"/>
      <c r="F7" s="181"/>
      <c r="G7" s="643"/>
      <c r="H7" s="181"/>
      <c r="I7" s="181"/>
      <c r="J7" s="644"/>
      <c r="K7" s="181"/>
      <c r="L7" s="644"/>
      <c r="M7" s="181"/>
      <c r="N7" s="643"/>
      <c r="O7" s="645"/>
    </row>
    <row r="8" spans="3:15" ht="20.100000000000001" customHeight="1">
      <c r="C8" s="180"/>
      <c r="D8" s="181"/>
      <c r="E8" s="181"/>
      <c r="F8" s="181"/>
      <c r="G8" s="643"/>
      <c r="H8" s="181"/>
      <c r="I8" s="181"/>
      <c r="J8" s="644"/>
      <c r="K8" s="181"/>
      <c r="L8" s="644"/>
      <c r="M8" s="181"/>
      <c r="N8" s="643"/>
      <c r="O8" s="645"/>
    </row>
    <row r="9" spans="3:15" ht="20.100000000000001" customHeight="1">
      <c r="C9" s="180"/>
      <c r="D9" s="181"/>
      <c r="E9" s="181"/>
      <c r="F9" s="181"/>
      <c r="G9" s="643"/>
      <c r="H9" s="181"/>
      <c r="I9" s="181"/>
      <c r="J9" s="644"/>
      <c r="K9" s="181"/>
      <c r="L9" s="644"/>
      <c r="M9" s="181"/>
      <c r="N9" s="643"/>
      <c r="O9" s="645"/>
    </row>
    <row r="10" spans="3:15" ht="20.100000000000001" customHeight="1">
      <c r="C10" s="180"/>
      <c r="D10" s="181"/>
      <c r="E10" s="181"/>
      <c r="F10" s="181"/>
      <c r="G10" s="643"/>
      <c r="H10" s="181"/>
      <c r="I10" s="181"/>
      <c r="J10" s="644"/>
      <c r="K10" s="181"/>
      <c r="L10" s="644"/>
      <c r="M10" s="181"/>
      <c r="N10" s="643"/>
      <c r="O10" s="645"/>
    </row>
    <row r="11" spans="3:15" ht="20.100000000000001" customHeight="1">
      <c r="C11" s="180"/>
      <c r="D11" s="181"/>
      <c r="E11" s="181"/>
      <c r="F11" s="181"/>
      <c r="G11" s="643"/>
      <c r="H11" s="181"/>
      <c r="I11" s="181"/>
      <c r="J11" s="644"/>
      <c r="K11" s="181"/>
      <c r="L11" s="644"/>
      <c r="M11" s="181"/>
      <c r="N11" s="643"/>
      <c r="O11" s="645"/>
    </row>
    <row r="12" spans="3:15" ht="20.100000000000001" customHeight="1">
      <c r="C12" s="180"/>
      <c r="D12" s="181"/>
      <c r="E12" s="181"/>
      <c r="F12" s="181"/>
      <c r="G12" s="643"/>
      <c r="H12" s="181"/>
      <c r="I12" s="181"/>
      <c r="J12" s="644"/>
      <c r="K12" s="181"/>
      <c r="L12" s="644"/>
      <c r="M12" s="181"/>
      <c r="N12" s="643"/>
      <c r="O12" s="645"/>
    </row>
    <row r="13" spans="3:15" ht="20.100000000000001" customHeight="1">
      <c r="C13" s="180"/>
      <c r="D13" s="181"/>
      <c r="E13" s="181"/>
      <c r="F13" s="181"/>
      <c r="G13" s="643"/>
      <c r="H13" s="181"/>
      <c r="I13" s="181"/>
      <c r="J13" s="644"/>
      <c r="K13" s="181"/>
      <c r="L13" s="644"/>
      <c r="M13" s="181"/>
      <c r="N13" s="643"/>
      <c r="O13" s="645"/>
    </row>
    <row r="14" spans="3:15" ht="20.100000000000001" customHeight="1">
      <c r="C14" s="180"/>
      <c r="D14" s="181"/>
      <c r="E14" s="181"/>
      <c r="F14" s="181"/>
      <c r="G14" s="643"/>
      <c r="H14" s="181"/>
      <c r="I14" s="181"/>
      <c r="J14" s="644"/>
      <c r="K14" s="181"/>
      <c r="L14" s="644"/>
      <c r="M14" s="181"/>
      <c r="N14" s="643"/>
      <c r="O14" s="645"/>
    </row>
    <row r="15" spans="3:15" ht="20.100000000000001" customHeight="1">
      <c r="C15" s="180"/>
      <c r="D15" s="181"/>
      <c r="E15" s="181"/>
      <c r="F15" s="181"/>
      <c r="G15" s="643"/>
      <c r="H15" s="181"/>
      <c r="I15" s="181"/>
      <c r="J15" s="644"/>
      <c r="K15" s="181"/>
      <c r="L15" s="644"/>
      <c r="M15" s="181"/>
      <c r="N15" s="643"/>
      <c r="O15" s="645"/>
    </row>
    <row r="16" spans="3:15" ht="20.100000000000001" customHeight="1">
      <c r="C16" s="180"/>
      <c r="D16" s="181"/>
      <c r="E16" s="181"/>
      <c r="F16" s="181"/>
      <c r="G16" s="643"/>
      <c r="H16" s="181"/>
      <c r="I16" s="181"/>
      <c r="J16" s="644"/>
      <c r="K16" s="181"/>
      <c r="L16" s="644"/>
      <c r="M16" s="181"/>
      <c r="N16" s="643"/>
      <c r="O16" s="645"/>
    </row>
    <row r="17" spans="3:15" ht="20.100000000000001" customHeight="1">
      <c r="C17" s="180"/>
      <c r="D17" s="181"/>
      <c r="E17" s="181"/>
      <c r="F17" s="181"/>
      <c r="G17" s="643"/>
      <c r="H17" s="181"/>
      <c r="I17" s="181"/>
      <c r="J17" s="644"/>
      <c r="K17" s="181"/>
      <c r="L17" s="644"/>
      <c r="M17" s="181"/>
      <c r="N17" s="643"/>
      <c r="O17" s="645"/>
    </row>
    <row r="18" spans="3:15" ht="20.100000000000001" customHeight="1">
      <c r="C18" s="504"/>
      <c r="D18" s="476"/>
      <c r="E18" s="476"/>
      <c r="F18" s="476"/>
      <c r="G18" s="640"/>
      <c r="H18" s="476"/>
      <c r="I18" s="476"/>
      <c r="J18" s="641"/>
      <c r="K18" s="476"/>
      <c r="L18" s="641"/>
      <c r="M18" s="476"/>
      <c r="N18" s="640"/>
      <c r="O18" s="642"/>
    </row>
    <row r="19" spans="3:15" ht="20.100000000000001" customHeight="1">
      <c r="C19" s="180"/>
      <c r="D19" s="181"/>
      <c r="E19" s="181"/>
      <c r="F19" s="181"/>
      <c r="G19" s="643"/>
      <c r="H19" s="181"/>
      <c r="I19" s="181"/>
      <c r="J19" s="644"/>
      <c r="K19" s="181"/>
      <c r="L19" s="644"/>
      <c r="M19" s="181"/>
      <c r="N19" s="643"/>
      <c r="O19" s="645"/>
    </row>
    <row r="20" spans="3:15" ht="20.100000000000001" customHeight="1">
      <c r="C20" s="180"/>
      <c r="D20" s="181"/>
      <c r="E20" s="181"/>
      <c r="F20" s="181"/>
      <c r="G20" s="643"/>
      <c r="H20" s="181"/>
      <c r="I20" s="181"/>
      <c r="J20" s="644"/>
      <c r="K20" s="181"/>
      <c r="L20" s="644"/>
      <c r="M20" s="181"/>
      <c r="N20" s="643"/>
      <c r="O20" s="645"/>
    </row>
    <row r="21" spans="3:15" ht="20.100000000000001" customHeight="1">
      <c r="C21" s="180"/>
      <c r="D21" s="181"/>
      <c r="E21" s="181"/>
      <c r="F21" s="181"/>
      <c r="G21" s="643"/>
      <c r="H21" s="181"/>
      <c r="I21" s="181"/>
      <c r="J21" s="644"/>
      <c r="K21" s="181"/>
      <c r="L21" s="644"/>
      <c r="M21" s="181"/>
      <c r="N21" s="643"/>
      <c r="O21" s="645"/>
    </row>
    <row r="22" spans="3:15" ht="20.100000000000001" customHeight="1">
      <c r="C22" s="180"/>
      <c r="D22" s="181"/>
      <c r="E22" s="181"/>
      <c r="F22" s="181"/>
      <c r="G22" s="643"/>
      <c r="H22" s="181"/>
      <c r="I22" s="181"/>
      <c r="J22" s="644"/>
      <c r="K22" s="181"/>
      <c r="L22" s="644"/>
      <c r="M22" s="181"/>
      <c r="N22" s="643"/>
      <c r="O22" s="645"/>
    </row>
    <row r="23" spans="3:15" ht="20.100000000000001" customHeight="1">
      <c r="C23" s="180"/>
      <c r="D23" s="181"/>
      <c r="E23" s="181"/>
      <c r="F23" s="181"/>
      <c r="G23" s="643"/>
      <c r="H23" s="181"/>
      <c r="I23" s="181"/>
      <c r="J23" s="644"/>
      <c r="K23" s="181"/>
      <c r="L23" s="644"/>
      <c r="M23" s="181"/>
      <c r="N23" s="643"/>
      <c r="O23" s="645"/>
    </row>
    <row r="24" spans="3:15" ht="20.100000000000001" customHeight="1">
      <c r="C24" s="180"/>
      <c r="D24" s="181"/>
      <c r="E24" s="181"/>
      <c r="F24" s="181"/>
      <c r="G24" s="643"/>
      <c r="H24" s="181"/>
      <c r="I24" s="181"/>
      <c r="J24" s="644"/>
      <c r="K24" s="181"/>
      <c r="L24" s="644"/>
      <c r="M24" s="181"/>
      <c r="N24" s="643"/>
      <c r="O24" s="645"/>
    </row>
    <row r="25" spans="3:15" ht="20.100000000000001" customHeight="1">
      <c r="C25" s="180"/>
      <c r="D25" s="181"/>
      <c r="E25" s="181"/>
      <c r="F25" s="181"/>
      <c r="G25" s="643"/>
      <c r="H25" s="181"/>
      <c r="I25" s="181"/>
      <c r="J25" s="644"/>
      <c r="K25" s="181"/>
      <c r="L25" s="644"/>
      <c r="M25" s="181"/>
      <c r="N25" s="643"/>
      <c r="O25" s="645"/>
    </row>
    <row r="26" spans="3:15" ht="20.100000000000001" customHeight="1">
      <c r="C26" s="180"/>
      <c r="D26" s="181"/>
      <c r="E26" s="181"/>
      <c r="F26" s="181"/>
      <c r="G26" s="643"/>
      <c r="H26" s="181"/>
      <c r="I26" s="181"/>
      <c r="J26" s="644"/>
      <c r="K26" s="181"/>
      <c r="L26" s="644"/>
      <c r="M26" s="181"/>
      <c r="N26" s="643"/>
      <c r="O26" s="645"/>
    </row>
    <row r="27" spans="3:15" ht="20.100000000000001" customHeight="1">
      <c r="C27" s="180"/>
      <c r="D27" s="181"/>
      <c r="E27" s="181"/>
      <c r="F27" s="181"/>
      <c r="G27" s="643"/>
      <c r="H27" s="181"/>
      <c r="I27" s="181"/>
      <c r="J27" s="644"/>
      <c r="K27" s="181"/>
      <c r="L27" s="644"/>
      <c r="M27" s="181"/>
      <c r="N27" s="643"/>
      <c r="O27" s="645"/>
    </row>
    <row r="28" spans="3:15" ht="20.100000000000001" customHeight="1">
      <c r="C28" s="180"/>
      <c r="D28" s="181"/>
      <c r="E28" s="181"/>
      <c r="F28" s="181"/>
      <c r="G28" s="643"/>
      <c r="H28" s="181"/>
      <c r="I28" s="181"/>
      <c r="J28" s="644"/>
      <c r="K28" s="181"/>
      <c r="L28" s="644"/>
      <c r="M28" s="181"/>
      <c r="N28" s="643"/>
      <c r="O28" s="645"/>
    </row>
    <row r="29" spans="3:15" ht="20.100000000000001" customHeight="1">
      <c r="C29" s="180"/>
      <c r="D29" s="181"/>
      <c r="E29" s="181"/>
      <c r="F29" s="181"/>
      <c r="G29" s="643"/>
      <c r="H29" s="181"/>
      <c r="I29" s="181"/>
      <c r="J29" s="644"/>
      <c r="K29" s="181"/>
      <c r="L29" s="644"/>
      <c r="M29" s="181"/>
      <c r="N29" s="643"/>
      <c r="O29" s="645"/>
    </row>
    <row r="30" spans="3:15" ht="20.100000000000001" customHeight="1">
      <c r="C30" s="180"/>
      <c r="D30" s="181"/>
      <c r="E30" s="181"/>
      <c r="F30" s="181"/>
      <c r="G30" s="643"/>
      <c r="H30" s="181"/>
      <c r="I30" s="181"/>
      <c r="J30" s="644"/>
      <c r="K30" s="181"/>
      <c r="L30" s="644"/>
      <c r="M30" s="181"/>
      <c r="N30" s="643"/>
      <c r="O30" s="645"/>
    </row>
    <row r="31" spans="3:15" ht="20.100000000000001" customHeight="1">
      <c r="C31" s="180"/>
      <c r="D31" s="181"/>
      <c r="E31" s="181"/>
      <c r="F31" s="181"/>
      <c r="G31" s="643"/>
      <c r="H31" s="181"/>
      <c r="I31" s="181"/>
      <c r="J31" s="644"/>
      <c r="K31" s="181"/>
      <c r="L31" s="644"/>
      <c r="M31" s="181"/>
      <c r="N31" s="643"/>
      <c r="O31" s="645"/>
    </row>
    <row r="32" spans="3:15" ht="20.100000000000001" customHeight="1">
      <c r="C32" s="180"/>
      <c r="D32" s="181"/>
      <c r="E32" s="181"/>
      <c r="F32" s="181"/>
      <c r="G32" s="643"/>
      <c r="H32" s="181"/>
      <c r="I32" s="181"/>
      <c r="J32" s="644"/>
      <c r="K32" s="181"/>
      <c r="L32" s="644"/>
      <c r="M32" s="181"/>
      <c r="N32" s="643"/>
      <c r="O32" s="645"/>
    </row>
    <row r="33" spans="3:15" ht="20.100000000000001" customHeight="1">
      <c r="C33" s="180"/>
      <c r="D33" s="181"/>
      <c r="E33" s="181"/>
      <c r="F33" s="181"/>
      <c r="G33" s="643"/>
      <c r="H33" s="181"/>
      <c r="I33" s="181"/>
      <c r="J33" s="644"/>
      <c r="K33" s="181"/>
      <c r="L33" s="644"/>
      <c r="M33" s="181"/>
      <c r="N33" s="643"/>
      <c r="O33" s="645"/>
    </row>
    <row r="34" spans="3:15" ht="20.100000000000001" customHeight="1" thickBot="1">
      <c r="C34" s="178"/>
      <c r="D34" s="646"/>
      <c r="E34" s="179"/>
      <c r="F34" s="179"/>
      <c r="G34" s="646"/>
      <c r="H34" s="646"/>
      <c r="I34" s="179"/>
      <c r="J34" s="646"/>
      <c r="K34" s="179"/>
      <c r="L34" s="646"/>
      <c r="M34" s="179"/>
      <c r="N34" s="646"/>
      <c r="O34" s="64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P77" sqref="P77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250</v>
      </c>
      <c r="M2" s="146" t="s">
        <v>631</v>
      </c>
    </row>
    <row r="3" spans="4:19" s="45" customFormat="1" ht="42.75" customHeight="1">
      <c r="D3" s="620" t="s">
        <v>266</v>
      </c>
      <c r="E3" s="624" t="s">
        <v>267</v>
      </c>
      <c r="F3" s="624" t="s">
        <v>268</v>
      </c>
      <c r="G3" s="624" t="s">
        <v>269</v>
      </c>
      <c r="H3" s="624" t="s">
        <v>270</v>
      </c>
      <c r="I3" s="624" t="s">
        <v>271</v>
      </c>
      <c r="J3" s="624" t="s">
        <v>256</v>
      </c>
      <c r="K3" s="625" t="s">
        <v>257</v>
      </c>
      <c r="M3" s="620" t="s">
        <v>266</v>
      </c>
      <c r="N3" s="624" t="s">
        <v>267</v>
      </c>
      <c r="O3" s="624" t="s">
        <v>268</v>
      </c>
      <c r="P3" s="624" t="s">
        <v>270</v>
      </c>
      <c r="Q3" s="624" t="s">
        <v>271</v>
      </c>
      <c r="R3" s="624" t="s">
        <v>256</v>
      </c>
      <c r="S3" s="625" t="s">
        <v>257</v>
      </c>
    </row>
    <row r="4" spans="4:19" s="151" customFormat="1" ht="33.75" customHeight="1" thickBot="1">
      <c r="D4" s="152">
        <v>6919125.9708000002</v>
      </c>
      <c r="E4" s="153">
        <v>1236.0999999999999</v>
      </c>
      <c r="F4" s="153">
        <v>3444.5247864064781</v>
      </c>
      <c r="G4" s="663">
        <v>0.68899999999999995</v>
      </c>
      <c r="H4" s="153">
        <v>2373.2775778340633</v>
      </c>
      <c r="I4" s="154">
        <v>423.8</v>
      </c>
      <c r="J4" s="153">
        <v>1580</v>
      </c>
      <c r="K4" s="155">
        <v>369.47757783406331</v>
      </c>
      <c r="M4" s="152">
        <f>D4</f>
        <v>6919125.9708000002</v>
      </c>
      <c r="N4" s="153">
        <f>E4</f>
        <v>1236.0999999999999</v>
      </c>
      <c r="O4" s="153">
        <f>F4</f>
        <v>3444.5247864064781</v>
      </c>
      <c r="P4" s="153">
        <f>H4</f>
        <v>2373.2775778340633</v>
      </c>
      <c r="Q4" s="154">
        <f>I4</f>
        <v>423.8</v>
      </c>
      <c r="R4" s="153">
        <f>J4</f>
        <v>1580</v>
      </c>
      <c r="S4" s="155">
        <f>K4</f>
        <v>369.47757783406331</v>
      </c>
    </row>
    <row r="6" spans="4:19" ht="20.100000000000001" customHeight="1" thickBot="1"/>
    <row r="7" spans="4:19" ht="62.25" customHeight="1">
      <c r="D7" s="620" t="s">
        <v>266</v>
      </c>
      <c r="E7" s="624" t="s">
        <v>267</v>
      </c>
      <c r="F7" s="624" t="s">
        <v>268</v>
      </c>
      <c r="G7" s="624" t="s">
        <v>269</v>
      </c>
      <c r="H7" s="624" t="s">
        <v>270</v>
      </c>
      <c r="I7" s="624" t="s">
        <v>271</v>
      </c>
      <c r="J7" s="624" t="s">
        <v>272</v>
      </c>
      <c r="K7" s="625" t="s">
        <v>256</v>
      </c>
    </row>
    <row r="8" spans="4:19" ht="31.5" customHeight="1" thickBot="1">
      <c r="D8" s="152">
        <v>6919125.9708000002</v>
      </c>
      <c r="E8" s="153">
        <v>1236.0999999999999</v>
      </c>
      <c r="F8" s="153">
        <v>3444.5247864064781</v>
      </c>
      <c r="G8" s="663">
        <v>0.68899999999999995</v>
      </c>
      <c r="H8" s="153">
        <v>2373.2775778340633</v>
      </c>
      <c r="I8" s="154">
        <v>423.8</v>
      </c>
      <c r="J8" s="153">
        <v>1949.4775778340634</v>
      </c>
      <c r="K8" s="155">
        <v>1580</v>
      </c>
    </row>
    <row r="10" spans="4:19" ht="30.75" customHeight="1" thickBot="1">
      <c r="D10" s="146" t="s">
        <v>280</v>
      </c>
      <c r="G10" s="477" t="s">
        <v>638</v>
      </c>
      <c r="L10" s="477" t="s">
        <v>639</v>
      </c>
    </row>
    <row r="11" spans="4:19" s="45" customFormat="1" ht="39" customHeight="1">
      <c r="D11" s="182" t="s">
        <v>273</v>
      </c>
      <c r="E11" s="183" t="s">
        <v>274</v>
      </c>
      <c r="F11" s="183" t="s">
        <v>275</v>
      </c>
      <c r="G11" s="183" t="s">
        <v>276</v>
      </c>
      <c r="H11" s="183" t="s">
        <v>277</v>
      </c>
      <c r="I11" s="183" t="s">
        <v>278</v>
      </c>
      <c r="J11" s="184" t="s">
        <v>279</v>
      </c>
      <c r="L11" s="182" t="s">
        <v>273</v>
      </c>
      <c r="M11" s="183" t="s">
        <v>274</v>
      </c>
      <c r="N11" s="183" t="s">
        <v>275</v>
      </c>
      <c r="O11" s="183" t="s">
        <v>276</v>
      </c>
      <c r="P11" s="183" t="s">
        <v>277</v>
      </c>
      <c r="Q11" s="183" t="s">
        <v>161</v>
      </c>
      <c r="R11" s="183" t="s">
        <v>278</v>
      </c>
      <c r="S11" s="184" t="s">
        <v>279</v>
      </c>
    </row>
    <row r="12" spans="4:19" s="30" customFormat="1" ht="20.100000000000001" customHeight="1">
      <c r="D12" s="517" t="s">
        <v>226</v>
      </c>
      <c r="E12" s="518">
        <v>150</v>
      </c>
      <c r="F12" s="518">
        <v>250</v>
      </c>
      <c r="G12" s="520">
        <v>3.6</v>
      </c>
      <c r="H12" s="520">
        <v>35.4</v>
      </c>
      <c r="I12" s="521">
        <v>2.9449999999999998</v>
      </c>
      <c r="J12" s="522">
        <v>2.9339999999999998E-4</v>
      </c>
      <c r="L12" s="517" t="s">
        <v>226</v>
      </c>
      <c r="M12" s="518">
        <v>150</v>
      </c>
      <c r="N12" s="518">
        <v>250</v>
      </c>
      <c r="O12" s="520">
        <v>3.6</v>
      </c>
      <c r="P12" s="520">
        <v>35.4</v>
      </c>
      <c r="Q12" s="528">
        <v>31.799999999999997</v>
      </c>
      <c r="R12" s="521">
        <v>2.9449999999999998</v>
      </c>
      <c r="S12" s="522">
        <v>2.9339999999999998E-4</v>
      </c>
    </row>
    <row r="13" spans="4:19" s="30" customFormat="1" ht="20.100000000000001" customHeight="1">
      <c r="D13" s="514" t="s">
        <v>227</v>
      </c>
      <c r="E13" s="515">
        <v>20</v>
      </c>
      <c r="F13" s="515">
        <v>300</v>
      </c>
      <c r="G13" s="536">
        <v>3.6</v>
      </c>
      <c r="H13" s="536">
        <v>35.4</v>
      </c>
      <c r="I13" s="626">
        <v>2.9449999999999998</v>
      </c>
      <c r="J13" s="627">
        <v>2.9339999999999998E-4</v>
      </c>
      <c r="L13" s="514" t="s">
        <v>227</v>
      </c>
      <c r="M13" s="515">
        <v>20</v>
      </c>
      <c r="N13" s="515">
        <v>300</v>
      </c>
      <c r="O13" s="536">
        <v>3.6</v>
      </c>
      <c r="P13" s="536">
        <v>35.4</v>
      </c>
      <c r="Q13" s="443">
        <v>31.799999999999997</v>
      </c>
      <c r="R13" s="626">
        <v>2.9449999999999998</v>
      </c>
      <c r="S13" s="627">
        <v>2.9339999999999998E-4</v>
      </c>
    </row>
    <row r="14" spans="4:19" s="30" customFormat="1" ht="20.100000000000001" customHeight="1">
      <c r="D14" s="517" t="s">
        <v>228</v>
      </c>
      <c r="E14" s="518">
        <v>20</v>
      </c>
      <c r="F14" s="518">
        <v>350</v>
      </c>
      <c r="G14" s="520">
        <v>3.6</v>
      </c>
      <c r="H14" s="520">
        <v>35.4</v>
      </c>
      <c r="I14" s="521">
        <v>2.9449999999999998</v>
      </c>
      <c r="J14" s="522">
        <v>2.9339999999999998E-4</v>
      </c>
      <c r="L14" s="517" t="s">
        <v>228</v>
      </c>
      <c r="M14" s="518">
        <v>20</v>
      </c>
      <c r="N14" s="518">
        <v>350</v>
      </c>
      <c r="O14" s="520">
        <v>3.6</v>
      </c>
      <c r="P14" s="520">
        <v>35.4</v>
      </c>
      <c r="Q14" s="528">
        <v>31.799999999999997</v>
      </c>
      <c r="R14" s="521">
        <v>2.9449999999999998</v>
      </c>
      <c r="S14" s="522">
        <v>2.9339999999999998E-4</v>
      </c>
    </row>
    <row r="15" spans="4:19" s="30" customFormat="1" ht="20.100000000000001" customHeight="1">
      <c r="D15" s="514" t="s">
        <v>332</v>
      </c>
      <c r="E15" s="515">
        <v>20</v>
      </c>
      <c r="F15" s="515">
        <v>300</v>
      </c>
      <c r="G15" s="536">
        <v>3.6</v>
      </c>
      <c r="H15" s="536">
        <v>35.4</v>
      </c>
      <c r="I15" s="626">
        <v>2.9449999999999998</v>
      </c>
      <c r="J15" s="627">
        <v>2.9339999999999998E-4</v>
      </c>
      <c r="L15" s="514" t="s">
        <v>332</v>
      </c>
      <c r="M15" s="515">
        <v>20</v>
      </c>
      <c r="N15" s="515">
        <v>300</v>
      </c>
      <c r="O15" s="536">
        <v>3.6</v>
      </c>
      <c r="P15" s="536">
        <v>35.4</v>
      </c>
      <c r="Q15" s="443">
        <v>31.799999999999997</v>
      </c>
      <c r="R15" s="626">
        <v>2.9449999999999998</v>
      </c>
      <c r="S15" s="627">
        <v>2.9339999999999998E-4</v>
      </c>
    </row>
    <row r="16" spans="4:19" s="30" customFormat="1" ht="20.100000000000001" customHeight="1">
      <c r="D16" s="517" t="s">
        <v>333</v>
      </c>
      <c r="E16" s="518">
        <v>80</v>
      </c>
      <c r="F16" s="518">
        <v>150</v>
      </c>
      <c r="G16" s="520">
        <v>3.6</v>
      </c>
      <c r="H16" s="520">
        <v>35.4</v>
      </c>
      <c r="I16" s="521">
        <v>2.9449999999999998</v>
      </c>
      <c r="J16" s="522">
        <v>2.9339999999999998E-4</v>
      </c>
      <c r="L16" s="517" t="s">
        <v>333</v>
      </c>
      <c r="M16" s="518">
        <v>80</v>
      </c>
      <c r="N16" s="518">
        <v>150</v>
      </c>
      <c r="O16" s="520">
        <v>3.6</v>
      </c>
      <c r="P16" s="520">
        <v>35.4</v>
      </c>
      <c r="Q16" s="528">
        <v>31.799999999999997</v>
      </c>
      <c r="R16" s="521">
        <v>2.9449999999999998</v>
      </c>
      <c r="S16" s="522">
        <v>2.9339999999999998E-4</v>
      </c>
    </row>
    <row r="17" spans="4:19" s="30" customFormat="1" ht="20.100000000000001" customHeight="1">
      <c r="D17" s="514" t="s">
        <v>334</v>
      </c>
      <c r="E17" s="515">
        <v>100</v>
      </c>
      <c r="F17" s="515">
        <v>80</v>
      </c>
      <c r="G17" s="536">
        <v>3.6</v>
      </c>
      <c r="H17" s="536">
        <v>35.4</v>
      </c>
      <c r="I17" s="626">
        <v>2.9449999999999998</v>
      </c>
      <c r="J17" s="627">
        <v>2.9339999999999998E-4</v>
      </c>
      <c r="L17" s="514" t="s">
        <v>334</v>
      </c>
      <c r="M17" s="515">
        <v>100</v>
      </c>
      <c r="N17" s="515">
        <v>80</v>
      </c>
      <c r="O17" s="536">
        <v>3.6</v>
      </c>
      <c r="P17" s="536">
        <v>35.4</v>
      </c>
      <c r="Q17" s="443">
        <v>31.799999999999997</v>
      </c>
      <c r="R17" s="626">
        <v>2.9449999999999998</v>
      </c>
      <c r="S17" s="627">
        <v>2.9339999999999998E-4</v>
      </c>
    </row>
    <row r="18" spans="4:19" s="30" customFormat="1" ht="20.100000000000001" customHeight="1">
      <c r="D18" s="517" t="s">
        <v>616</v>
      </c>
      <c r="E18" s="518">
        <v>60</v>
      </c>
      <c r="F18" s="518">
        <v>150</v>
      </c>
      <c r="G18" s="520">
        <v>3.6</v>
      </c>
      <c r="H18" s="520">
        <v>35.4</v>
      </c>
      <c r="I18" s="521">
        <v>2.9449999999999998</v>
      </c>
      <c r="J18" s="522">
        <v>2.9339999999999998E-4</v>
      </c>
      <c r="L18" s="517" t="s">
        <v>616</v>
      </c>
      <c r="M18" s="518">
        <v>60</v>
      </c>
      <c r="N18" s="518">
        <v>150</v>
      </c>
      <c r="O18" s="520">
        <v>3.6</v>
      </c>
      <c r="P18" s="520">
        <v>35.4</v>
      </c>
      <c r="Q18" s="528">
        <v>31.799999999999997</v>
      </c>
      <c r="R18" s="521">
        <v>2.9449999999999998</v>
      </c>
      <c r="S18" s="522">
        <v>2.9339999999999998E-4</v>
      </c>
    </row>
    <row r="19" spans="4:19" s="30" customFormat="1" ht="20.100000000000001" customHeight="1">
      <c r="D19" s="514"/>
      <c r="E19" s="515"/>
      <c r="F19" s="515"/>
      <c r="G19" s="536"/>
      <c r="H19" s="536"/>
      <c r="I19" s="626"/>
      <c r="J19" s="627"/>
      <c r="L19" s="514"/>
      <c r="M19" s="515"/>
      <c r="N19" s="515"/>
      <c r="O19" s="536"/>
      <c r="P19" s="536"/>
      <c r="Q19" s="443"/>
      <c r="R19" s="626"/>
      <c r="S19" s="627"/>
    </row>
    <row r="20" spans="4:19" s="30" customFormat="1" ht="20.100000000000001" customHeight="1">
      <c r="D20" s="517"/>
      <c r="E20" s="518"/>
      <c r="F20" s="518"/>
      <c r="G20" s="520"/>
      <c r="H20" s="520"/>
      <c r="I20" s="521"/>
      <c r="J20" s="522"/>
      <c r="L20" s="517"/>
      <c r="M20" s="518"/>
      <c r="N20" s="518"/>
      <c r="O20" s="520"/>
      <c r="P20" s="520"/>
      <c r="Q20" s="528"/>
      <c r="R20" s="521"/>
      <c r="S20" s="522"/>
    </row>
    <row r="21" spans="4:19" s="30" customFormat="1" ht="20.100000000000001" customHeight="1">
      <c r="D21" s="514"/>
      <c r="E21" s="515"/>
      <c r="F21" s="515"/>
      <c r="G21" s="536"/>
      <c r="H21" s="536"/>
      <c r="I21" s="626"/>
      <c r="J21" s="627"/>
      <c r="L21" s="514"/>
      <c r="M21" s="515"/>
      <c r="N21" s="515"/>
      <c r="O21" s="536"/>
      <c r="P21" s="536"/>
      <c r="Q21" s="443"/>
      <c r="R21" s="626"/>
      <c r="S21" s="627"/>
    </row>
    <row r="22" spans="4:19" s="30" customFormat="1" ht="20.100000000000001" customHeight="1">
      <c r="D22" s="517"/>
      <c r="E22" s="518"/>
      <c r="F22" s="518"/>
      <c r="G22" s="520"/>
      <c r="H22" s="520"/>
      <c r="I22" s="521"/>
      <c r="J22" s="522"/>
      <c r="L22" s="517"/>
      <c r="M22" s="518"/>
      <c r="N22" s="518"/>
      <c r="O22" s="520"/>
      <c r="P22" s="520"/>
      <c r="Q22" s="528"/>
      <c r="R22" s="521"/>
      <c r="S22" s="522"/>
    </row>
    <row r="23" spans="4:19" s="30" customFormat="1" ht="20.100000000000001" customHeight="1">
      <c r="D23" s="514"/>
      <c r="E23" s="515"/>
      <c r="F23" s="515"/>
      <c r="G23" s="536"/>
      <c r="H23" s="536"/>
      <c r="I23" s="626"/>
      <c r="J23" s="627"/>
      <c r="L23" s="514"/>
      <c r="M23" s="515"/>
      <c r="N23" s="515"/>
      <c r="O23" s="536"/>
      <c r="P23" s="536"/>
      <c r="Q23" s="443"/>
      <c r="R23" s="626"/>
      <c r="S23" s="627"/>
    </row>
    <row r="24" spans="4:19" s="30" customFormat="1" ht="20.100000000000001" customHeight="1">
      <c r="D24" s="517"/>
      <c r="E24" s="518"/>
      <c r="F24" s="518"/>
      <c r="G24" s="520"/>
      <c r="H24" s="520"/>
      <c r="I24" s="521"/>
      <c r="J24" s="522"/>
      <c r="L24" s="517"/>
      <c r="M24" s="518"/>
      <c r="N24" s="518"/>
      <c r="O24" s="520"/>
      <c r="P24" s="520"/>
      <c r="Q24" s="528"/>
      <c r="R24" s="521"/>
      <c r="S24" s="522"/>
    </row>
    <row r="25" spans="4:19" s="30" customFormat="1" ht="20.100000000000001" customHeight="1">
      <c r="D25" s="514"/>
      <c r="E25" s="515"/>
      <c r="F25" s="515"/>
      <c r="G25" s="536"/>
      <c r="H25" s="536"/>
      <c r="I25" s="626"/>
      <c r="J25" s="627"/>
      <c r="L25" s="514"/>
      <c r="M25" s="515"/>
      <c r="N25" s="515"/>
      <c r="O25" s="536"/>
      <c r="P25" s="536"/>
      <c r="Q25" s="443"/>
      <c r="R25" s="626"/>
      <c r="S25" s="627"/>
    </row>
    <row r="26" spans="4:19" s="30" customFormat="1" ht="20.100000000000001" customHeight="1">
      <c r="D26" s="517"/>
      <c r="E26" s="518"/>
      <c r="F26" s="518"/>
      <c r="G26" s="520"/>
      <c r="H26" s="520"/>
      <c r="I26" s="521"/>
      <c r="J26" s="522"/>
      <c r="L26" s="517"/>
      <c r="M26" s="518"/>
      <c r="N26" s="518"/>
      <c r="O26" s="520"/>
      <c r="P26" s="520"/>
      <c r="Q26" s="528"/>
      <c r="R26" s="521"/>
      <c r="S26" s="522"/>
    </row>
    <row r="27" spans="4:19" s="30" customFormat="1" ht="20.100000000000001" customHeight="1">
      <c r="D27" s="514"/>
      <c r="E27" s="515"/>
      <c r="F27" s="515"/>
      <c r="G27" s="536"/>
      <c r="H27" s="536"/>
      <c r="I27" s="626"/>
      <c r="J27" s="627"/>
      <c r="L27" s="514"/>
      <c r="M27" s="515"/>
      <c r="N27" s="515"/>
      <c r="O27" s="536"/>
      <c r="P27" s="536"/>
      <c r="Q27" s="631"/>
      <c r="R27" s="626"/>
      <c r="S27" s="627"/>
    </row>
    <row r="28" spans="4:19" s="30" customFormat="1" ht="20.100000000000001" customHeight="1">
      <c r="D28" s="517"/>
      <c r="E28" s="518"/>
      <c r="F28" s="518"/>
      <c r="G28" s="520"/>
      <c r="H28" s="520"/>
      <c r="I28" s="521"/>
      <c r="J28" s="522"/>
      <c r="L28" s="517"/>
      <c r="M28" s="518"/>
      <c r="N28" s="518"/>
      <c r="O28" s="520"/>
      <c r="P28" s="520"/>
      <c r="Q28" s="529"/>
      <c r="R28" s="521"/>
      <c r="S28" s="522"/>
    </row>
    <row r="29" spans="4:19" s="30" customFormat="1" ht="20.100000000000001" customHeight="1">
      <c r="D29" s="514"/>
      <c r="E29" s="515"/>
      <c r="F29" s="515"/>
      <c r="G29" s="536"/>
      <c r="H29" s="536"/>
      <c r="I29" s="626"/>
      <c r="J29" s="627"/>
      <c r="L29" s="514"/>
      <c r="M29" s="515"/>
      <c r="N29" s="515"/>
      <c r="O29" s="536"/>
      <c r="P29" s="536"/>
      <c r="Q29" s="631"/>
      <c r="R29" s="626"/>
      <c r="S29" s="627"/>
    </row>
    <row r="30" spans="4:19" s="30" customFormat="1" ht="20.100000000000001" customHeight="1">
      <c r="D30" s="517"/>
      <c r="E30" s="518"/>
      <c r="F30" s="518"/>
      <c r="G30" s="520"/>
      <c r="H30" s="520"/>
      <c r="I30" s="521"/>
      <c r="J30" s="522"/>
      <c r="L30" s="517"/>
      <c r="M30" s="518"/>
      <c r="N30" s="518"/>
      <c r="O30" s="520"/>
      <c r="P30" s="520"/>
      <c r="Q30" s="529"/>
      <c r="R30" s="521"/>
      <c r="S30" s="522"/>
    </row>
    <row r="31" spans="4:19" s="30" customFormat="1" ht="20.100000000000001" customHeight="1">
      <c r="D31" s="514"/>
      <c r="E31" s="515"/>
      <c r="F31" s="515"/>
      <c r="G31" s="536"/>
      <c r="H31" s="536"/>
      <c r="I31" s="626"/>
      <c r="J31" s="627"/>
      <c r="L31" s="514"/>
      <c r="M31" s="515"/>
      <c r="N31" s="515"/>
      <c r="O31" s="536"/>
      <c r="P31" s="536"/>
      <c r="Q31" s="631"/>
      <c r="R31" s="626"/>
      <c r="S31" s="627"/>
    </row>
    <row r="32" spans="4:19" s="30" customFormat="1" ht="20.100000000000001" customHeight="1">
      <c r="D32" s="517"/>
      <c r="E32" s="518"/>
      <c r="F32" s="518"/>
      <c r="G32" s="520"/>
      <c r="H32" s="520"/>
      <c r="I32" s="521"/>
      <c r="J32" s="522"/>
      <c r="L32" s="517"/>
      <c r="M32" s="518"/>
      <c r="N32" s="518"/>
      <c r="O32" s="520"/>
      <c r="P32" s="520"/>
      <c r="Q32" s="529"/>
      <c r="R32" s="521"/>
      <c r="S32" s="522"/>
    </row>
    <row r="33" spans="4:24" s="30" customFormat="1" ht="20.100000000000001" customHeight="1">
      <c r="D33" s="514"/>
      <c r="E33" s="515"/>
      <c r="F33" s="515"/>
      <c r="G33" s="536"/>
      <c r="H33" s="536"/>
      <c r="I33" s="626"/>
      <c r="J33" s="627"/>
      <c r="L33" s="514"/>
      <c r="M33" s="515"/>
      <c r="N33" s="515"/>
      <c r="O33" s="536"/>
      <c r="P33" s="536"/>
      <c r="Q33" s="631"/>
      <c r="R33" s="626"/>
      <c r="S33" s="627"/>
    </row>
    <row r="34" spans="4:24" s="30" customFormat="1" ht="20.100000000000001" customHeight="1">
      <c r="D34" s="517"/>
      <c r="E34" s="518"/>
      <c r="F34" s="518"/>
      <c r="G34" s="520"/>
      <c r="H34" s="520"/>
      <c r="I34" s="521"/>
      <c r="J34" s="522"/>
      <c r="L34" s="517"/>
      <c r="M34" s="518"/>
      <c r="N34" s="518"/>
      <c r="O34" s="520"/>
      <c r="P34" s="520"/>
      <c r="Q34" s="529"/>
      <c r="R34" s="521"/>
      <c r="S34" s="522"/>
    </row>
    <row r="35" spans="4:24" s="30" customFormat="1" ht="20.100000000000001" customHeight="1">
      <c r="D35" s="514"/>
      <c r="E35" s="515"/>
      <c r="F35" s="515"/>
      <c r="G35" s="536"/>
      <c r="H35" s="536"/>
      <c r="I35" s="626"/>
      <c r="J35" s="627"/>
      <c r="L35" s="514"/>
      <c r="M35" s="515"/>
      <c r="N35" s="515"/>
      <c r="O35" s="536"/>
      <c r="P35" s="536"/>
      <c r="Q35" s="631"/>
      <c r="R35" s="626"/>
      <c r="S35" s="627"/>
    </row>
    <row r="36" spans="4:24" s="30" customFormat="1" ht="20.100000000000001" customHeight="1">
      <c r="D36" s="517"/>
      <c r="E36" s="518"/>
      <c r="F36" s="518"/>
      <c r="G36" s="520"/>
      <c r="H36" s="520"/>
      <c r="I36" s="521"/>
      <c r="J36" s="522"/>
      <c r="L36" s="517"/>
      <c r="M36" s="518"/>
      <c r="N36" s="518"/>
      <c r="O36" s="520"/>
      <c r="P36" s="520"/>
      <c r="Q36" s="529"/>
      <c r="R36" s="521"/>
      <c r="S36" s="522"/>
    </row>
    <row r="37" spans="4:24" s="30" customFormat="1" ht="20.100000000000001" customHeight="1">
      <c r="D37" s="514"/>
      <c r="E37" s="515"/>
      <c r="F37" s="515"/>
      <c r="G37" s="536"/>
      <c r="H37" s="536"/>
      <c r="I37" s="626"/>
      <c r="J37" s="627"/>
      <c r="L37" s="514"/>
      <c r="M37" s="515"/>
      <c r="N37" s="515"/>
      <c r="O37" s="536"/>
      <c r="P37" s="536"/>
      <c r="Q37" s="631"/>
      <c r="R37" s="626"/>
      <c r="S37" s="627"/>
    </row>
    <row r="38" spans="4:24" s="30" customFormat="1" ht="20.100000000000001" customHeight="1">
      <c r="D38" s="517"/>
      <c r="E38" s="518"/>
      <c r="F38" s="518"/>
      <c r="G38" s="520"/>
      <c r="H38" s="520"/>
      <c r="I38" s="521"/>
      <c r="J38" s="522"/>
      <c r="L38" s="517"/>
      <c r="M38" s="518"/>
      <c r="N38" s="518"/>
      <c r="O38" s="520"/>
      <c r="P38" s="520"/>
      <c r="Q38" s="529"/>
      <c r="R38" s="521"/>
      <c r="S38" s="522"/>
    </row>
    <row r="39" spans="4:24" s="30" customFormat="1" ht="20.100000000000001" customHeight="1">
      <c r="D39" s="514"/>
      <c r="E39" s="515"/>
      <c r="F39" s="515"/>
      <c r="G39" s="536"/>
      <c r="H39" s="536"/>
      <c r="I39" s="626"/>
      <c r="J39" s="627"/>
      <c r="L39" s="514"/>
      <c r="M39" s="515"/>
      <c r="N39" s="515"/>
      <c r="O39" s="536"/>
      <c r="P39" s="536"/>
      <c r="Q39" s="631"/>
      <c r="R39" s="626"/>
      <c r="S39" s="627"/>
    </row>
    <row r="40" spans="4:24" s="30" customFormat="1" ht="20.100000000000001" customHeight="1">
      <c r="D40" s="523"/>
      <c r="E40" s="524"/>
      <c r="F40" s="524"/>
      <c r="G40" s="525"/>
      <c r="H40" s="525"/>
      <c r="I40" s="526"/>
      <c r="J40" s="527"/>
      <c r="L40" s="523"/>
      <c r="M40" s="524"/>
      <c r="N40" s="524"/>
      <c r="O40" s="525"/>
      <c r="P40" s="525"/>
      <c r="Q40" s="530"/>
      <c r="R40" s="526"/>
      <c r="S40" s="527"/>
    </row>
    <row r="41" spans="4:24" s="30" customFormat="1" ht="20.100000000000001" customHeight="1" thickBot="1">
      <c r="D41" s="538"/>
      <c r="E41" s="539"/>
      <c r="F41" s="539"/>
      <c r="G41" s="628"/>
      <c r="H41" s="628"/>
      <c r="I41" s="629"/>
      <c r="J41" s="630"/>
      <c r="L41" s="538"/>
      <c r="M41" s="539"/>
      <c r="N41" s="539"/>
      <c r="O41" s="628"/>
      <c r="P41" s="628"/>
      <c r="Q41" s="632"/>
      <c r="R41" s="629"/>
      <c r="S41" s="630"/>
    </row>
    <row r="42" spans="4:24" s="30" customFormat="1" ht="20.100000000000001" customHeight="1">
      <c r="D42" s="531"/>
      <c r="E42" s="531"/>
      <c r="F42" s="531"/>
      <c r="G42" s="531"/>
      <c r="H42" s="531"/>
      <c r="I42" s="531"/>
      <c r="J42" s="531"/>
      <c r="M42" s="534"/>
      <c r="N42" s="534"/>
      <c r="O42" s="534"/>
    </row>
    <row r="43" spans="4:24" ht="20.100000000000001" customHeight="1" thickBot="1">
      <c r="D43" s="532" t="s">
        <v>636</v>
      </c>
      <c r="E43" s="533"/>
      <c r="F43" s="533"/>
      <c r="G43" s="533"/>
      <c r="H43" s="533"/>
      <c r="I43" s="532" t="s">
        <v>637</v>
      </c>
      <c r="J43" s="533"/>
      <c r="M43" s="535" t="s">
        <v>630</v>
      </c>
      <c r="N43" s="533"/>
      <c r="O43" s="533"/>
    </row>
    <row r="44" spans="4:24" ht="31.5" customHeight="1" thickBot="1">
      <c r="D44" s="182" t="s">
        <v>260</v>
      </c>
      <c r="E44" s="183" t="s">
        <v>258</v>
      </c>
      <c r="F44" s="183" t="s">
        <v>259</v>
      </c>
      <c r="G44" s="184" t="s">
        <v>340</v>
      </c>
      <c r="H44" s="533"/>
      <c r="I44" s="182" t="s">
        <v>260</v>
      </c>
      <c r="J44" s="183" t="s">
        <v>281</v>
      </c>
      <c r="K44" s="184" t="s">
        <v>282</v>
      </c>
      <c r="M44" s="182" t="s">
        <v>627</v>
      </c>
      <c r="N44" s="183" t="s">
        <v>628</v>
      </c>
      <c r="O44" s="184" t="s">
        <v>629</v>
      </c>
      <c r="Q44" s="45" t="s">
        <v>349</v>
      </c>
    </row>
    <row r="45" spans="4:24" s="30" customFormat="1" ht="20.100000000000001" customHeight="1">
      <c r="D45" s="517" t="s">
        <v>226</v>
      </c>
      <c r="E45" s="518">
        <v>110.6</v>
      </c>
      <c r="F45" s="518">
        <v>119</v>
      </c>
      <c r="G45" s="519">
        <v>0</v>
      </c>
      <c r="H45" s="534"/>
      <c r="I45" s="517" t="s">
        <v>226</v>
      </c>
      <c r="J45" s="518">
        <v>125</v>
      </c>
      <c r="K45" s="519">
        <v>149</v>
      </c>
      <c r="M45" s="517">
        <v>110.6</v>
      </c>
      <c r="N45" s="518">
        <v>72.400000000000006</v>
      </c>
      <c r="O45" s="519">
        <v>90.5</v>
      </c>
      <c r="Q45" s="340">
        <f>MAX(K45:K74)</f>
        <v>149</v>
      </c>
      <c r="R45" s="341" t="s">
        <v>696</v>
      </c>
      <c r="T45" s="340" t="s">
        <v>621</v>
      </c>
      <c r="U45" s="341">
        <f>MAX(E45:E74)</f>
        <v>110.6</v>
      </c>
      <c r="W45" s="340" t="s">
        <v>623</v>
      </c>
      <c r="X45" s="341">
        <f>MAX(F45:F74)</f>
        <v>119</v>
      </c>
    </row>
    <row r="46" spans="4:24" s="30" customFormat="1" ht="20.100000000000001" customHeight="1" thickBot="1">
      <c r="D46" s="514" t="s">
        <v>227</v>
      </c>
      <c r="E46" s="515">
        <v>110.6</v>
      </c>
      <c r="F46" s="515">
        <v>119</v>
      </c>
      <c r="G46" s="516">
        <v>0</v>
      </c>
      <c r="H46" s="534"/>
      <c r="I46" s="514" t="s">
        <v>227</v>
      </c>
      <c r="J46" s="515">
        <v>125</v>
      </c>
      <c r="K46" s="516">
        <v>149</v>
      </c>
      <c r="M46" s="514">
        <v>110.6</v>
      </c>
      <c r="N46" s="515">
        <v>72.400000000000006</v>
      </c>
      <c r="O46" s="516">
        <v>90.5</v>
      </c>
      <c r="Q46" s="157">
        <f>MIN(J45:J74)</f>
        <v>125</v>
      </c>
      <c r="R46" s="188" t="s">
        <v>620</v>
      </c>
      <c r="T46" s="157" t="s">
        <v>622</v>
      </c>
      <c r="U46" s="188">
        <f>MIN(E45:E74)</f>
        <v>110.6</v>
      </c>
      <c r="W46" s="157" t="s">
        <v>624</v>
      </c>
      <c r="X46" s="188">
        <f>MIN(F45:F74)</f>
        <v>119</v>
      </c>
    </row>
    <row r="47" spans="4:24" s="30" customFormat="1" ht="20.100000000000001" customHeight="1">
      <c r="D47" s="517" t="s">
        <v>228</v>
      </c>
      <c r="E47" s="518">
        <v>110.6</v>
      </c>
      <c r="F47" s="518">
        <v>119</v>
      </c>
      <c r="G47" s="519">
        <v>0</v>
      </c>
      <c r="H47" s="534"/>
      <c r="I47" s="517" t="s">
        <v>228</v>
      </c>
      <c r="J47" s="518">
        <v>125</v>
      </c>
      <c r="K47" s="519">
        <v>149</v>
      </c>
      <c r="M47" s="517">
        <v>110.6</v>
      </c>
      <c r="N47" s="518">
        <v>72.400000000000006</v>
      </c>
      <c r="O47" s="519">
        <v>90.5</v>
      </c>
    </row>
    <row r="48" spans="4:24" s="30" customFormat="1" ht="20.100000000000001" customHeight="1">
      <c r="D48" s="514" t="s">
        <v>332</v>
      </c>
      <c r="E48" s="515">
        <v>110.6</v>
      </c>
      <c r="F48" s="515">
        <v>119</v>
      </c>
      <c r="G48" s="516">
        <v>0</v>
      </c>
      <c r="H48" s="534"/>
      <c r="I48" s="514" t="s">
        <v>332</v>
      </c>
      <c r="J48" s="515">
        <v>125</v>
      </c>
      <c r="K48" s="516">
        <v>149</v>
      </c>
      <c r="M48" s="514">
        <v>110.6</v>
      </c>
      <c r="N48" s="515">
        <v>72.400000000000006</v>
      </c>
      <c r="O48" s="516">
        <v>90.5</v>
      </c>
    </row>
    <row r="49" spans="4:15" s="30" customFormat="1" ht="20.100000000000001" customHeight="1">
      <c r="D49" s="517" t="s">
        <v>333</v>
      </c>
      <c r="E49" s="518">
        <v>110.6</v>
      </c>
      <c r="F49" s="518">
        <v>119</v>
      </c>
      <c r="G49" s="519">
        <v>0</v>
      </c>
      <c r="H49" s="534"/>
      <c r="I49" s="517" t="s">
        <v>333</v>
      </c>
      <c r="J49" s="518">
        <v>125</v>
      </c>
      <c r="K49" s="519">
        <v>149</v>
      </c>
      <c r="M49" s="517">
        <v>110.6</v>
      </c>
      <c r="N49" s="518">
        <v>72.400000000000006</v>
      </c>
      <c r="O49" s="519">
        <v>90.5</v>
      </c>
    </row>
    <row r="50" spans="4:15" s="30" customFormat="1" ht="20.100000000000001" customHeight="1">
      <c r="D50" s="514" t="s">
        <v>334</v>
      </c>
      <c r="E50" s="515">
        <v>110.6</v>
      </c>
      <c r="F50" s="515">
        <v>119</v>
      </c>
      <c r="G50" s="516">
        <v>0</v>
      </c>
      <c r="H50" s="534"/>
      <c r="I50" s="514" t="s">
        <v>334</v>
      </c>
      <c r="J50" s="515">
        <v>125</v>
      </c>
      <c r="K50" s="516">
        <v>149</v>
      </c>
      <c r="M50" s="514">
        <v>110.6</v>
      </c>
      <c r="N50" s="515">
        <v>72.400000000000006</v>
      </c>
      <c r="O50" s="516">
        <v>90.5</v>
      </c>
    </row>
    <row r="51" spans="4:15" s="30" customFormat="1" ht="20.100000000000001" customHeight="1">
      <c r="D51" s="517" t="s">
        <v>616</v>
      </c>
      <c r="E51" s="518">
        <v>110.6</v>
      </c>
      <c r="F51" s="518">
        <v>119</v>
      </c>
      <c r="G51" s="519">
        <v>0</v>
      </c>
      <c r="H51" s="534"/>
      <c r="I51" s="517" t="s">
        <v>616</v>
      </c>
      <c r="J51" s="518">
        <v>125</v>
      </c>
      <c r="K51" s="519">
        <v>149</v>
      </c>
      <c r="M51" s="517">
        <v>110.6</v>
      </c>
      <c r="N51" s="518">
        <v>72.400000000000006</v>
      </c>
      <c r="O51" s="519">
        <v>90.5</v>
      </c>
    </row>
    <row r="52" spans="4:15" s="30" customFormat="1" ht="20.100000000000001" customHeight="1">
      <c r="D52" s="514"/>
      <c r="E52" s="515"/>
      <c r="F52" s="515"/>
      <c r="G52" s="516"/>
      <c r="H52" s="534"/>
      <c r="I52" s="514"/>
      <c r="J52" s="515"/>
      <c r="K52" s="516"/>
      <c r="M52" s="514"/>
      <c r="N52" s="515"/>
      <c r="O52" s="516"/>
    </row>
    <row r="53" spans="4:15" s="30" customFormat="1" ht="20.100000000000001" customHeight="1">
      <c r="D53" s="517"/>
      <c r="E53" s="518"/>
      <c r="F53" s="518"/>
      <c r="G53" s="519"/>
      <c r="H53" s="534"/>
      <c r="I53" s="517"/>
      <c r="J53" s="518"/>
      <c r="K53" s="519"/>
      <c r="M53" s="517"/>
      <c r="N53" s="518"/>
      <c r="O53" s="519"/>
    </row>
    <row r="54" spans="4:15" s="30" customFormat="1" ht="20.100000000000001" customHeight="1">
      <c r="D54" s="514"/>
      <c r="E54" s="515"/>
      <c r="F54" s="515"/>
      <c r="G54" s="516"/>
      <c r="H54" s="534"/>
      <c r="I54" s="514"/>
      <c r="J54" s="515"/>
      <c r="K54" s="516"/>
      <c r="M54" s="514"/>
      <c r="N54" s="515"/>
      <c r="O54" s="516"/>
    </row>
    <row r="55" spans="4:15" s="30" customFormat="1" ht="20.100000000000001" customHeight="1">
      <c r="D55" s="517"/>
      <c r="E55" s="518"/>
      <c r="F55" s="518"/>
      <c r="G55" s="519"/>
      <c r="H55" s="534"/>
      <c r="I55" s="517"/>
      <c r="J55" s="518"/>
      <c r="K55" s="519"/>
      <c r="M55" s="517"/>
      <c r="N55" s="518"/>
      <c r="O55" s="519"/>
    </row>
    <row r="56" spans="4:15" s="30" customFormat="1" ht="20.100000000000001" customHeight="1">
      <c r="D56" s="514"/>
      <c r="E56" s="515"/>
      <c r="F56" s="515"/>
      <c r="G56" s="516"/>
      <c r="H56" s="534"/>
      <c r="I56" s="514"/>
      <c r="J56" s="515"/>
      <c r="K56" s="516"/>
      <c r="M56" s="514"/>
      <c r="N56" s="515"/>
      <c r="O56" s="516"/>
    </row>
    <row r="57" spans="4:15" s="30" customFormat="1" ht="20.100000000000001" customHeight="1">
      <c r="D57" s="517"/>
      <c r="E57" s="518"/>
      <c r="F57" s="518"/>
      <c r="G57" s="519"/>
      <c r="H57" s="534"/>
      <c r="I57" s="517"/>
      <c r="J57" s="518"/>
      <c r="K57" s="519"/>
      <c r="M57" s="517"/>
      <c r="N57" s="518"/>
      <c r="O57" s="519"/>
    </row>
    <row r="58" spans="4:15" s="30" customFormat="1" ht="20.100000000000001" customHeight="1">
      <c r="D58" s="514"/>
      <c r="E58" s="515"/>
      <c r="F58" s="515"/>
      <c r="G58" s="516"/>
      <c r="H58" s="534"/>
      <c r="I58" s="514"/>
      <c r="J58" s="515"/>
      <c r="K58" s="516"/>
      <c r="M58" s="514"/>
      <c r="N58" s="515"/>
      <c r="O58" s="516"/>
    </row>
    <row r="59" spans="4:15" s="30" customFormat="1" ht="20.100000000000001" customHeight="1">
      <c r="D59" s="517"/>
      <c r="E59" s="518"/>
      <c r="F59" s="518"/>
      <c r="G59" s="519"/>
      <c r="H59" s="534"/>
      <c r="I59" s="517"/>
      <c r="J59" s="518"/>
      <c r="K59" s="519"/>
      <c r="M59" s="517"/>
      <c r="N59" s="518"/>
      <c r="O59" s="519"/>
    </row>
    <row r="60" spans="4:15" s="30" customFormat="1" ht="20.100000000000001" customHeight="1">
      <c r="D60" s="514"/>
      <c r="E60" s="515"/>
      <c r="F60" s="515"/>
      <c r="G60" s="516"/>
      <c r="H60" s="534"/>
      <c r="I60" s="514"/>
      <c r="J60" s="515"/>
      <c r="K60" s="516"/>
      <c r="M60" s="514"/>
      <c r="N60" s="515"/>
      <c r="O60" s="516"/>
    </row>
    <row r="61" spans="4:15" s="30" customFormat="1" ht="20.100000000000001" customHeight="1">
      <c r="D61" s="517"/>
      <c r="E61" s="518"/>
      <c r="F61" s="518"/>
      <c r="G61" s="519"/>
      <c r="H61" s="534"/>
      <c r="I61" s="517"/>
      <c r="J61" s="518"/>
      <c r="K61" s="519"/>
      <c r="M61" s="517"/>
      <c r="N61" s="518"/>
      <c r="O61" s="519"/>
    </row>
    <row r="62" spans="4:15" s="30" customFormat="1" ht="20.100000000000001" customHeight="1">
      <c r="D62" s="514"/>
      <c r="E62" s="515"/>
      <c r="F62" s="515"/>
      <c r="G62" s="516"/>
      <c r="H62" s="534"/>
      <c r="I62" s="514"/>
      <c r="J62" s="515"/>
      <c r="K62" s="516"/>
      <c r="M62" s="514"/>
      <c r="N62" s="515"/>
      <c r="O62" s="516"/>
    </row>
    <row r="63" spans="4:15" s="30" customFormat="1" ht="20.100000000000001" customHeight="1">
      <c r="D63" s="517"/>
      <c r="E63" s="518"/>
      <c r="F63" s="518"/>
      <c r="G63" s="519"/>
      <c r="H63" s="534"/>
      <c r="I63" s="517"/>
      <c r="J63" s="518"/>
      <c r="K63" s="519"/>
      <c r="M63" s="517"/>
      <c r="N63" s="518"/>
      <c r="O63" s="519"/>
    </row>
    <row r="64" spans="4:15" s="30" customFormat="1" ht="20.100000000000001" customHeight="1">
      <c r="D64" s="514"/>
      <c r="E64" s="515"/>
      <c r="F64" s="515"/>
      <c r="G64" s="516"/>
      <c r="H64" s="534"/>
      <c r="I64" s="514"/>
      <c r="J64" s="515"/>
      <c r="K64" s="516"/>
      <c r="M64" s="514"/>
      <c r="N64" s="515"/>
      <c r="O64" s="516"/>
    </row>
    <row r="65" spans="4:33" s="30" customFormat="1" ht="20.100000000000001" customHeight="1">
      <c r="D65" s="517"/>
      <c r="E65" s="518"/>
      <c r="F65" s="518"/>
      <c r="G65" s="519"/>
      <c r="H65" s="534"/>
      <c r="I65" s="517"/>
      <c r="J65" s="518"/>
      <c r="K65" s="519"/>
      <c r="M65" s="517"/>
      <c r="N65" s="518"/>
      <c r="O65" s="519"/>
    </row>
    <row r="66" spans="4:33" s="30" customFormat="1" ht="20.100000000000001" customHeight="1">
      <c r="D66" s="514"/>
      <c r="E66" s="515"/>
      <c r="F66" s="515"/>
      <c r="G66" s="516"/>
      <c r="H66" s="534"/>
      <c r="I66" s="514"/>
      <c r="J66" s="515"/>
      <c r="K66" s="516"/>
      <c r="M66" s="514"/>
      <c r="N66" s="515"/>
      <c r="O66" s="516"/>
    </row>
    <row r="67" spans="4:33" s="30" customFormat="1" ht="20.100000000000001" customHeight="1">
      <c r="D67" s="517"/>
      <c r="E67" s="518"/>
      <c r="F67" s="518"/>
      <c r="G67" s="519"/>
      <c r="H67" s="534"/>
      <c r="I67" s="517"/>
      <c r="J67" s="518"/>
      <c r="K67" s="519"/>
      <c r="M67" s="517"/>
      <c r="N67" s="518"/>
      <c r="O67" s="519"/>
    </row>
    <row r="68" spans="4:33" s="30" customFormat="1" ht="20.100000000000001" customHeight="1">
      <c r="D68" s="514"/>
      <c r="E68" s="515"/>
      <c r="F68" s="515"/>
      <c r="G68" s="516"/>
      <c r="H68" s="534"/>
      <c r="I68" s="514"/>
      <c r="J68" s="515"/>
      <c r="K68" s="516"/>
      <c r="M68" s="514"/>
      <c r="N68" s="515"/>
      <c r="O68" s="516"/>
    </row>
    <row r="69" spans="4:33" s="30" customFormat="1" ht="20.100000000000001" customHeight="1">
      <c r="D69" s="517"/>
      <c r="E69" s="518"/>
      <c r="F69" s="518"/>
      <c r="G69" s="519"/>
      <c r="H69" s="534"/>
      <c r="I69" s="517"/>
      <c r="J69" s="518"/>
      <c r="K69" s="519"/>
      <c r="M69" s="517"/>
      <c r="N69" s="518"/>
      <c r="O69" s="519"/>
    </row>
    <row r="70" spans="4:33" s="30" customFormat="1" ht="20.100000000000001" customHeight="1">
      <c r="D70" s="514"/>
      <c r="E70" s="515"/>
      <c r="F70" s="515"/>
      <c r="G70" s="516"/>
      <c r="H70" s="534"/>
      <c r="I70" s="514"/>
      <c r="J70" s="515"/>
      <c r="K70" s="516"/>
      <c r="M70" s="514"/>
      <c r="N70" s="515"/>
      <c r="O70" s="516"/>
    </row>
    <row r="71" spans="4:33" s="30" customFormat="1" ht="19.5" customHeight="1">
      <c r="D71" s="517"/>
      <c r="E71" s="518"/>
      <c r="F71" s="518"/>
      <c r="G71" s="519"/>
      <c r="H71" s="534"/>
      <c r="I71" s="517"/>
      <c r="J71" s="518"/>
      <c r="K71" s="519"/>
      <c r="M71" s="517"/>
      <c r="N71" s="518"/>
      <c r="O71" s="519"/>
    </row>
    <row r="72" spans="4:33" s="30" customFormat="1" ht="19.5" customHeight="1">
      <c r="D72" s="514"/>
      <c r="E72" s="515"/>
      <c r="F72" s="515"/>
      <c r="G72" s="516"/>
      <c r="H72" s="534"/>
      <c r="I72" s="514"/>
      <c r="J72" s="515"/>
      <c r="K72" s="516"/>
      <c r="M72" s="514"/>
      <c r="N72" s="515"/>
      <c r="O72" s="516"/>
    </row>
    <row r="73" spans="4:33" s="30" customFormat="1" ht="19.5" customHeight="1">
      <c r="D73" s="523"/>
      <c r="E73" s="524"/>
      <c r="F73" s="524"/>
      <c r="G73" s="537"/>
      <c r="H73" s="534"/>
      <c r="I73" s="523"/>
      <c r="J73" s="524"/>
      <c r="K73" s="537"/>
      <c r="M73" s="523"/>
      <c r="N73" s="524"/>
      <c r="O73" s="537"/>
    </row>
    <row r="74" spans="4:33" s="30" customFormat="1" ht="19.5" customHeight="1" thickBot="1">
      <c r="D74" s="538"/>
      <c r="E74" s="539"/>
      <c r="F74" s="539"/>
      <c r="G74" s="540"/>
      <c r="I74" s="538"/>
      <c r="J74" s="539"/>
      <c r="K74" s="540"/>
      <c r="M74" s="538"/>
      <c r="N74" s="539"/>
      <c r="O74" s="540"/>
    </row>
    <row r="75" spans="4:33" ht="20.100000000000001" customHeight="1">
      <c r="D75" s="148"/>
      <c r="L75" s="195"/>
    </row>
    <row r="76" spans="4:33" ht="20.100000000000001" customHeight="1">
      <c r="D76" s="148"/>
    </row>
    <row r="77" spans="4:33" ht="20.100000000000001" customHeight="1" thickBot="1">
      <c r="D77" s="149" t="s">
        <v>249</v>
      </c>
    </row>
    <row r="78" spans="4:33" s="30" customFormat="1" ht="31.5" customHeight="1">
      <c r="D78" s="620" t="s">
        <v>226</v>
      </c>
      <c r="E78" s="621" t="s">
        <v>227</v>
      </c>
      <c r="F78" s="621" t="s">
        <v>228</v>
      </c>
      <c r="G78" s="621" t="s">
        <v>332</v>
      </c>
      <c r="H78" s="621" t="s">
        <v>333</v>
      </c>
      <c r="I78" s="621" t="s">
        <v>334</v>
      </c>
      <c r="J78" s="621" t="s">
        <v>616</v>
      </c>
      <c r="K78" s="621"/>
      <c r="L78" s="621"/>
      <c r="M78" s="621"/>
      <c r="N78" s="621"/>
      <c r="O78" s="621"/>
      <c r="P78" s="621"/>
      <c r="Q78" s="621"/>
      <c r="R78" s="621"/>
      <c r="S78" s="621"/>
      <c r="T78" s="621"/>
      <c r="U78" s="621"/>
      <c r="V78" s="621"/>
      <c r="W78" s="621"/>
      <c r="X78" s="621"/>
      <c r="Y78" s="621"/>
      <c r="Z78" s="621"/>
      <c r="AA78" s="621"/>
      <c r="AB78" s="621"/>
      <c r="AC78" s="621"/>
      <c r="AD78" s="621"/>
      <c r="AE78" s="621"/>
      <c r="AF78" s="621"/>
      <c r="AG78" s="622"/>
    </row>
    <row r="79" spans="4:33" s="177" customFormat="1" ht="30" customHeight="1" thickBot="1">
      <c r="D79" s="178">
        <v>250</v>
      </c>
      <c r="E79" s="179">
        <v>300</v>
      </c>
      <c r="F79" s="179">
        <v>350</v>
      </c>
      <c r="G79" s="175">
        <v>300</v>
      </c>
      <c r="H79" s="175">
        <v>150</v>
      </c>
      <c r="I79" s="175">
        <v>80</v>
      </c>
      <c r="J79" s="175">
        <v>150</v>
      </c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6"/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261</v>
      </c>
    </row>
    <row r="83" spans="4:33" s="30" customFormat="1" ht="36.75" customHeight="1">
      <c r="D83" s="620" t="s">
        <v>226</v>
      </c>
      <c r="E83" s="621" t="s">
        <v>227</v>
      </c>
      <c r="F83" s="621" t="s">
        <v>228</v>
      </c>
      <c r="G83" s="621" t="s">
        <v>332</v>
      </c>
      <c r="H83" s="621" t="s">
        <v>333</v>
      </c>
      <c r="I83" s="621" t="s">
        <v>334</v>
      </c>
      <c r="J83" s="621" t="s">
        <v>616</v>
      </c>
      <c r="K83" s="621"/>
      <c r="L83" s="621"/>
      <c r="M83" s="621"/>
      <c r="N83" s="621"/>
      <c r="O83" s="621"/>
      <c r="P83" s="621"/>
      <c r="Q83" s="621"/>
      <c r="R83" s="621"/>
      <c r="S83" s="621"/>
      <c r="T83" s="621"/>
      <c r="U83" s="621"/>
      <c r="V83" s="621"/>
      <c r="W83" s="621"/>
      <c r="X83" s="621"/>
      <c r="Y83" s="621"/>
      <c r="Z83" s="621"/>
      <c r="AA83" s="621"/>
      <c r="AB83" s="621"/>
      <c r="AC83" s="621"/>
      <c r="AD83" s="621"/>
      <c r="AE83" s="621"/>
      <c r="AF83" s="621"/>
      <c r="AG83" s="622"/>
    </row>
    <row r="84" spans="4:33" s="177" customFormat="1" ht="30" customHeight="1" thickBot="1">
      <c r="D84" s="178">
        <v>150</v>
      </c>
      <c r="E84" s="179">
        <v>20</v>
      </c>
      <c r="F84" s="179">
        <v>20</v>
      </c>
      <c r="G84" s="175">
        <v>20</v>
      </c>
      <c r="H84" s="175">
        <v>80</v>
      </c>
      <c r="I84" s="175">
        <v>100</v>
      </c>
      <c r="J84" s="175">
        <v>60</v>
      </c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6"/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263</v>
      </c>
    </row>
    <row r="88" spans="4:33" s="30" customFormat="1" ht="40.5" customHeight="1">
      <c r="D88" s="620" t="s">
        <v>226</v>
      </c>
      <c r="E88" s="621" t="s">
        <v>227</v>
      </c>
      <c r="F88" s="621" t="s">
        <v>228</v>
      </c>
      <c r="G88" s="621" t="s">
        <v>332</v>
      </c>
      <c r="H88" s="621" t="s">
        <v>333</v>
      </c>
      <c r="I88" s="621" t="s">
        <v>334</v>
      </c>
      <c r="J88" s="621" t="s">
        <v>616</v>
      </c>
      <c r="K88" s="621"/>
      <c r="L88" s="621"/>
      <c r="M88" s="621"/>
      <c r="N88" s="621"/>
      <c r="O88" s="621"/>
      <c r="P88" s="621"/>
      <c r="Q88" s="621"/>
      <c r="R88" s="621"/>
      <c r="S88" s="621"/>
      <c r="T88" s="621"/>
      <c r="U88" s="621"/>
      <c r="V88" s="621"/>
      <c r="W88" s="621"/>
      <c r="X88" s="621"/>
      <c r="Y88" s="621"/>
      <c r="Z88" s="621"/>
      <c r="AA88" s="621"/>
      <c r="AB88" s="621"/>
      <c r="AC88" s="621"/>
      <c r="AD88" s="621"/>
      <c r="AE88" s="621"/>
      <c r="AF88" s="621"/>
      <c r="AG88" s="622"/>
    </row>
    <row r="89" spans="4:33" s="177" customFormat="1" ht="30" customHeight="1" thickBot="1">
      <c r="D89" s="178">
        <v>15</v>
      </c>
      <c r="E89" s="179">
        <v>15</v>
      </c>
      <c r="F89" s="179">
        <v>7.5</v>
      </c>
      <c r="G89" s="175">
        <v>15</v>
      </c>
      <c r="H89" s="175">
        <v>30</v>
      </c>
      <c r="I89" s="175">
        <v>15</v>
      </c>
      <c r="J89" s="175">
        <v>30</v>
      </c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6"/>
    </row>
    <row r="92" spans="4:33" ht="20.100000000000001" customHeight="1" thickBot="1">
      <c r="D92" s="149" t="s">
        <v>220</v>
      </c>
      <c r="E92" s="464">
        <f>MIN(D94:AG94)</f>
        <v>3.6</v>
      </c>
      <c r="F92" s="464">
        <f>MAX(D94:AG94)</f>
        <v>3.6</v>
      </c>
    </row>
    <row r="93" spans="4:33" ht="36.75" customHeight="1">
      <c r="D93" s="620" t="s">
        <v>226</v>
      </c>
      <c r="E93" s="621" t="s">
        <v>227</v>
      </c>
      <c r="F93" s="621" t="s">
        <v>228</v>
      </c>
      <c r="G93" s="621" t="s">
        <v>332</v>
      </c>
      <c r="H93" s="621" t="s">
        <v>333</v>
      </c>
      <c r="I93" s="621" t="s">
        <v>334</v>
      </c>
      <c r="J93" s="621" t="s">
        <v>616</v>
      </c>
      <c r="K93" s="621"/>
      <c r="L93" s="621"/>
      <c r="M93" s="621"/>
      <c r="N93" s="621"/>
      <c r="O93" s="621"/>
      <c r="P93" s="621"/>
      <c r="Q93" s="621"/>
      <c r="R93" s="621"/>
      <c r="S93" s="621"/>
      <c r="T93" s="621"/>
      <c r="U93" s="621"/>
      <c r="V93" s="621"/>
      <c r="W93" s="621"/>
      <c r="X93" s="621"/>
      <c r="Y93" s="621"/>
      <c r="Z93" s="621"/>
      <c r="AA93" s="621"/>
      <c r="AB93" s="621"/>
      <c r="AC93" s="621"/>
      <c r="AD93" s="621"/>
      <c r="AE93" s="621"/>
      <c r="AF93" s="621"/>
      <c r="AG93" s="622"/>
    </row>
    <row r="94" spans="4:33" ht="30" customHeight="1" thickBot="1">
      <c r="D94" s="178">
        <v>3.6</v>
      </c>
      <c r="E94" s="179">
        <v>3.6</v>
      </c>
      <c r="F94" s="179">
        <v>3.6</v>
      </c>
      <c r="G94" s="175">
        <v>3.6</v>
      </c>
      <c r="H94" s="175">
        <v>3.6</v>
      </c>
      <c r="I94" s="175">
        <v>3.6</v>
      </c>
      <c r="J94" s="175">
        <v>3.6</v>
      </c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6"/>
    </row>
    <row r="97" spans="4:33" ht="20.100000000000001" customHeight="1" thickBot="1">
      <c r="D97" s="149" t="s">
        <v>221</v>
      </c>
      <c r="E97" s="464">
        <f>MIN(D99:AG99)</f>
        <v>35.4</v>
      </c>
      <c r="F97" s="464">
        <f>MAX(D99:AG99)</f>
        <v>35.4</v>
      </c>
      <c r="G97" s="475" t="s">
        <v>619</v>
      </c>
    </row>
    <row r="98" spans="4:33" ht="36.75" customHeight="1">
      <c r="D98" s="620" t="s">
        <v>226</v>
      </c>
      <c r="E98" s="621" t="s">
        <v>227</v>
      </c>
      <c r="F98" s="621" t="s">
        <v>228</v>
      </c>
      <c r="G98" s="621" t="s">
        <v>332</v>
      </c>
      <c r="H98" s="621" t="s">
        <v>333</v>
      </c>
      <c r="I98" s="621" t="s">
        <v>334</v>
      </c>
      <c r="J98" s="621" t="s">
        <v>616</v>
      </c>
      <c r="K98" s="621"/>
      <c r="L98" s="621"/>
      <c r="M98" s="621"/>
      <c r="N98" s="621"/>
      <c r="O98" s="621"/>
      <c r="P98" s="621"/>
      <c r="Q98" s="621"/>
      <c r="R98" s="621"/>
      <c r="S98" s="621"/>
      <c r="T98" s="621"/>
      <c r="U98" s="621"/>
      <c r="V98" s="621"/>
      <c r="W98" s="621"/>
      <c r="X98" s="621"/>
      <c r="Y98" s="621"/>
      <c r="Z98" s="621"/>
      <c r="AA98" s="621"/>
      <c r="AB98" s="621"/>
      <c r="AC98" s="621"/>
      <c r="AD98" s="621"/>
      <c r="AE98" s="621"/>
      <c r="AF98" s="621"/>
      <c r="AG98" s="622"/>
    </row>
    <row r="99" spans="4:33" ht="30" customHeight="1" thickBot="1">
      <c r="D99" s="178">
        <v>35.4</v>
      </c>
      <c r="E99" s="179">
        <v>35.4</v>
      </c>
      <c r="F99" s="179">
        <v>35.4</v>
      </c>
      <c r="G99" s="175">
        <v>35.4</v>
      </c>
      <c r="H99" s="175">
        <v>35.4</v>
      </c>
      <c r="I99" s="175">
        <v>35.4</v>
      </c>
      <c r="J99" s="175">
        <v>35.4</v>
      </c>
      <c r="K99" s="175"/>
      <c r="L99" s="175"/>
      <c r="M99" s="175"/>
      <c r="N99" s="175"/>
      <c r="O99" s="175"/>
      <c r="P99" s="175"/>
      <c r="Q99" s="502"/>
      <c r="R99" s="502"/>
      <c r="S99" s="502"/>
      <c r="T99" s="502"/>
      <c r="U99" s="502"/>
      <c r="V99" s="501"/>
      <c r="W99" s="502"/>
      <c r="X99" s="502"/>
      <c r="Y99" s="502"/>
      <c r="Z99" s="502"/>
      <c r="AA99" s="502"/>
      <c r="AB99" s="502"/>
      <c r="AC99" s="502"/>
      <c r="AD99" s="502"/>
      <c r="AE99" s="502"/>
      <c r="AF99" s="502"/>
      <c r="AG99" s="503"/>
    </row>
    <row r="102" spans="4:33" ht="20.100000000000001" customHeight="1" thickBot="1">
      <c r="D102" s="149" t="s">
        <v>613</v>
      </c>
    </row>
    <row r="103" spans="4:33" ht="36.75" customHeight="1">
      <c r="D103" s="620" t="s">
        <v>226</v>
      </c>
      <c r="E103" s="621" t="s">
        <v>227</v>
      </c>
      <c r="F103" s="621" t="s">
        <v>228</v>
      </c>
      <c r="G103" s="621" t="s">
        <v>332</v>
      </c>
      <c r="H103" s="621" t="s">
        <v>333</v>
      </c>
      <c r="I103" s="621" t="s">
        <v>334</v>
      </c>
      <c r="J103" s="621" t="s">
        <v>616</v>
      </c>
      <c r="K103" s="621"/>
      <c r="L103" s="621"/>
      <c r="M103" s="621"/>
      <c r="N103" s="621"/>
      <c r="O103" s="621"/>
      <c r="P103" s="621"/>
      <c r="Q103" s="621"/>
      <c r="R103" s="621"/>
      <c r="S103" s="621"/>
      <c r="T103" s="621"/>
      <c r="U103" s="621"/>
      <c r="V103" s="621"/>
      <c r="W103" s="621"/>
      <c r="X103" s="621"/>
      <c r="Y103" s="621"/>
      <c r="Z103" s="621"/>
      <c r="AA103" s="621"/>
      <c r="AB103" s="621"/>
      <c r="AC103" s="621"/>
      <c r="AD103" s="621"/>
      <c r="AE103" s="621"/>
      <c r="AF103" s="621"/>
      <c r="AG103" s="622"/>
    </row>
    <row r="104" spans="4:33" ht="30" customHeight="1" thickBot="1">
      <c r="D104" s="178">
        <v>50</v>
      </c>
      <c r="E104" s="179">
        <v>80</v>
      </c>
      <c r="F104" s="179">
        <v>80</v>
      </c>
      <c r="G104" s="175">
        <v>80</v>
      </c>
      <c r="H104" s="175">
        <v>80</v>
      </c>
      <c r="I104" s="175">
        <v>50</v>
      </c>
      <c r="J104" s="175">
        <v>50</v>
      </c>
      <c r="K104" s="175"/>
      <c r="L104" s="175"/>
      <c r="M104" s="175"/>
      <c r="N104" s="175"/>
      <c r="O104" s="175"/>
      <c r="P104" s="175"/>
      <c r="Q104" s="502"/>
      <c r="R104" s="502"/>
      <c r="S104" s="502"/>
      <c r="T104" s="502"/>
      <c r="U104" s="502"/>
      <c r="V104" s="502"/>
      <c r="W104" s="502"/>
      <c r="X104" s="502"/>
      <c r="Y104" s="502"/>
      <c r="Z104" s="502"/>
      <c r="AA104" s="502"/>
      <c r="AB104" s="502"/>
      <c r="AC104" s="502"/>
      <c r="AD104" s="502"/>
      <c r="AE104" s="502"/>
      <c r="AF104" s="502"/>
      <c r="AG104" s="503"/>
    </row>
    <row r="107" spans="4:33" ht="20.100000000000001" customHeight="1" thickBot="1">
      <c r="D107" s="149" t="s">
        <v>614</v>
      </c>
    </row>
    <row r="108" spans="4:33" ht="36.75" customHeight="1">
      <c r="D108" s="620" t="s">
        <v>226</v>
      </c>
      <c r="E108" s="621" t="s">
        <v>227</v>
      </c>
      <c r="F108" s="621" t="s">
        <v>228</v>
      </c>
      <c r="G108" s="621" t="s">
        <v>332</v>
      </c>
      <c r="H108" s="621" t="s">
        <v>333</v>
      </c>
      <c r="I108" s="621" t="s">
        <v>334</v>
      </c>
      <c r="J108" s="621" t="s">
        <v>616</v>
      </c>
      <c r="K108" s="621"/>
      <c r="L108" s="621"/>
      <c r="M108" s="621"/>
      <c r="N108" s="621"/>
      <c r="O108" s="621"/>
      <c r="P108" s="621"/>
      <c r="Q108" s="621"/>
      <c r="R108" s="621"/>
      <c r="S108" s="621"/>
      <c r="T108" s="621"/>
      <c r="U108" s="621"/>
      <c r="V108" s="621"/>
      <c r="W108" s="621"/>
      <c r="X108" s="621"/>
      <c r="Y108" s="621"/>
      <c r="Z108" s="621"/>
      <c r="AA108" s="621"/>
      <c r="AB108" s="621"/>
      <c r="AC108" s="621"/>
      <c r="AD108" s="621"/>
      <c r="AE108" s="621"/>
      <c r="AF108" s="621"/>
      <c r="AG108" s="622"/>
    </row>
    <row r="109" spans="4:33" ht="30" customHeight="1" thickBot="1">
      <c r="D109" s="178">
        <v>120</v>
      </c>
      <c r="E109" s="179">
        <v>15</v>
      </c>
      <c r="F109" s="179">
        <v>15</v>
      </c>
      <c r="G109" s="175">
        <v>16</v>
      </c>
      <c r="H109" s="175">
        <v>80</v>
      </c>
      <c r="I109" s="175">
        <v>65</v>
      </c>
      <c r="J109" s="175">
        <v>50</v>
      </c>
      <c r="K109" s="175"/>
      <c r="L109" s="175"/>
      <c r="M109" s="175"/>
      <c r="N109" s="175"/>
      <c r="O109" s="175"/>
      <c r="P109" s="175"/>
      <c r="Q109" s="502"/>
      <c r="R109" s="502"/>
      <c r="S109" s="502"/>
      <c r="T109" s="502"/>
      <c r="U109" s="502"/>
      <c r="V109" s="502"/>
      <c r="W109" s="502"/>
      <c r="X109" s="502"/>
      <c r="Y109" s="502"/>
      <c r="Z109" s="502"/>
      <c r="AA109" s="502"/>
      <c r="AB109" s="502"/>
      <c r="AC109" s="502"/>
      <c r="AD109" s="502"/>
      <c r="AE109" s="502"/>
      <c r="AF109" s="502"/>
      <c r="AG109" s="503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10" sqref="C1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153</v>
      </c>
      <c r="C2" s="332" t="str">
        <f>Well!D4</f>
        <v>전의면 유천리 261번지</v>
      </c>
      <c r="H2"/>
      <c r="I2" s="138" t="s">
        <v>202</v>
      </c>
      <c r="J2"/>
      <c r="K2"/>
      <c r="L2"/>
      <c r="M2"/>
    </row>
    <row r="3" spans="1:13" ht="20.100000000000001" customHeight="1">
      <c r="B3" s="2" t="s">
        <v>48</v>
      </c>
      <c r="C3" s="664">
        <f>Well!C4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Well!Q4</f>
        <v>0</v>
      </c>
      <c r="D5" s="7" t="s">
        <v>53</v>
      </c>
      <c r="E5" s="433">
        <v>3.226</v>
      </c>
      <c r="F5" s="28">
        <f>$E$5/$C$14</f>
        <v>2.33768115942029E-2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Well!D4</f>
        <v>전의면 유천리 261번지</v>
      </c>
      <c r="D6" s="7" t="s">
        <v>56</v>
      </c>
      <c r="E6" s="434">
        <v>2.6640000000000001</v>
      </c>
      <c r="F6" s="28">
        <f>$E$6/$C$14</f>
        <v>1.9304347826086959E-2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Well!H4</f>
        <v>150</v>
      </c>
      <c r="D7" s="142" t="s">
        <v>58</v>
      </c>
      <c r="E7" s="139">
        <f>ROUND((E5+E6)/2,4)</f>
        <v>2.9449999999999998</v>
      </c>
      <c r="F7" s="29">
        <f>$E$7/$C$14</f>
        <v>2.1340579710144927E-2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Well!G4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138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150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138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Well!I4</f>
        <v>250</v>
      </c>
      <c r="E15" s="34">
        <v>1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Well!J4</f>
        <v>250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Well!L4</f>
        <v>15</v>
      </c>
      <c r="E17" s="234">
        <f>Well!P4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Well!M4</f>
        <v>120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Well!N4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Well!O4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49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2.4699745034889961E-5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99904-9DF2-4E37-BF1C-83FB03274E59}">
  <sheetPr codeName="Sheet_W2">
    <tabColor rgb="FFC00000"/>
  </sheetPr>
  <dimension ref="A1:M41"/>
  <sheetViews>
    <sheetView workbookViewId="0">
      <selection activeCell="C10" sqref="C1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2" t="str">
        <f>Well!D5</f>
        <v xml:space="preserve">전의면 유천리 402-2번지  </v>
      </c>
      <c r="H2"/>
      <c r="I2" s="138" t="s">
        <v>700</v>
      </c>
      <c r="J2"/>
      <c r="K2"/>
      <c r="L2"/>
      <c r="M2"/>
    </row>
    <row r="3" spans="1:13" ht="20.100000000000001" customHeight="1">
      <c r="B3" s="2" t="s">
        <v>6</v>
      </c>
      <c r="C3" s="664">
        <f>Well!C5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Well!Q5</f>
        <v>0</v>
      </c>
      <c r="D5" s="7" t="s">
        <v>53</v>
      </c>
      <c r="E5" s="433">
        <v>3.226</v>
      </c>
      <c r="F5" s="28">
        <f>$E$5/$C$14</f>
        <v>0.40325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Well!D5</f>
        <v xml:space="preserve">전의면 유천리 402-2번지  </v>
      </c>
      <c r="D6" s="7" t="s">
        <v>56</v>
      </c>
      <c r="E6" s="434">
        <v>2.6640000000000001</v>
      </c>
      <c r="F6" s="28">
        <f>$E$6/$C$14</f>
        <v>0.33300000000000002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Well!H5</f>
        <v>20</v>
      </c>
      <c r="D7" s="142" t="s">
        <v>58</v>
      </c>
      <c r="E7" s="139">
        <f>ROUND((E5+E6)/2,4)</f>
        <v>2.9449999999999998</v>
      </c>
      <c r="F7" s="29">
        <f>$E$7/$C$14</f>
        <v>0.36812499999999998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Well!G5</f>
        <v>1700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Well!I5</f>
        <v>300</v>
      </c>
      <c r="E15" s="34">
        <v>2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Well!J5</f>
        <v>300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Well!L5</f>
        <v>15</v>
      </c>
      <c r="E17" s="234">
        <f>Well!P5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Well!M5</f>
        <v>15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Well!N5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Well!O5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714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4.2607060185185185E-4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6897" r:id="rId4" name="CommandButton5"/>
      </mc:Fallback>
    </mc:AlternateContent>
    <mc:AlternateContent xmlns:mc="http://schemas.openxmlformats.org/markup-compatibility/2006">
      <mc:Choice Requires="x14">
        <control shapeId="33689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6898" r:id="rId6" name="Frame1"/>
      </mc:Fallback>
    </mc:AlternateContent>
    <mc:AlternateContent xmlns:mc="http://schemas.openxmlformats.org/markup-compatibility/2006">
      <mc:Choice Requires="x14">
        <control shapeId="33689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6899" r:id="rId8" name="CommandButton6"/>
      </mc:Fallback>
    </mc:AlternateContent>
    <mc:AlternateContent xmlns:mc="http://schemas.openxmlformats.org/markup-compatibility/2006">
      <mc:Choice Requires="x14">
        <control shapeId="33690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690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D58DF7A-CA68-4894-82EC-7FB8A6BCC1AC}">
          <x14:formula1>
            <xm:f>drastic!$G$4:$G$14</xm:f>
          </x14:formula1>
          <xm:sqref>I26</xm:sqref>
        </x14:dataValidation>
        <x14:dataValidation type="list" allowBlank="1" showInputMessage="1" showErrorMessage="1" xr:uid="{9E7DFFDC-D403-40EF-9CC5-4C89FD8D1339}">
          <x14:formula1>
            <xm:f>drastic!$D$4:$D$14</xm:f>
          </x14:formula1>
          <xm:sqref>G26</xm:sqref>
        </x14:dataValidation>
        <x14:dataValidation type="list" allowBlank="1" showInputMessage="1" showErrorMessage="1" xr:uid="{C790FDFD-0FCC-4B1F-A2D9-B827D02010E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F6FF2-35CE-47DC-96BA-FB9A802123C0}">
  <sheetPr codeName="Sheet_W3">
    <tabColor rgb="FFC00000"/>
  </sheetPr>
  <dimension ref="A1:M41"/>
  <sheetViews>
    <sheetView workbookViewId="0">
      <selection activeCell="C10" sqref="C1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2" t="str">
        <f>Well!D6</f>
        <v xml:space="preserve">전의면 유천리 303-1번지 </v>
      </c>
      <c r="H2"/>
      <c r="I2" s="138" t="s">
        <v>701</v>
      </c>
      <c r="J2"/>
      <c r="K2"/>
      <c r="L2"/>
      <c r="M2"/>
    </row>
    <row r="3" spans="1:13" ht="20.100000000000001" customHeight="1">
      <c r="B3" s="2" t="s">
        <v>6</v>
      </c>
      <c r="C3" s="664">
        <f>Well!C6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Well!Q6</f>
        <v>0</v>
      </c>
      <c r="D5" s="7" t="s">
        <v>53</v>
      </c>
      <c r="E5" s="433">
        <v>3.226</v>
      </c>
      <c r="F5" s="28">
        <f>$E$5/$C$14</f>
        <v>0.40325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Well!D6</f>
        <v xml:space="preserve">전의면 유천리 303-1번지 </v>
      </c>
      <c r="D6" s="7" t="s">
        <v>56</v>
      </c>
      <c r="E6" s="434">
        <v>2.6640000000000001</v>
      </c>
      <c r="F6" s="28">
        <f>$E$6/$C$14</f>
        <v>0.33300000000000002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Well!H6</f>
        <v>20</v>
      </c>
      <c r="D7" s="142" t="s">
        <v>58</v>
      </c>
      <c r="E7" s="139">
        <f>ROUND((E5+E6)/2,4)</f>
        <v>2.9449999999999998</v>
      </c>
      <c r="F7" s="29">
        <f>$E$7/$C$14</f>
        <v>0.36812499999999998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Well!G6</f>
        <v>1700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Well!I6</f>
        <v>350</v>
      </c>
      <c r="E15" s="34">
        <v>3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Well!J6</f>
        <v>350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Well!L6</f>
        <v>7.5</v>
      </c>
      <c r="E17" s="234">
        <f>Well!P6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Well!M6</f>
        <v>15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Well!N6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Well!O6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715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4.2607060185185185E-4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792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7921" r:id="rId4" name="CommandButton5"/>
      </mc:Fallback>
    </mc:AlternateContent>
    <mc:AlternateContent xmlns:mc="http://schemas.openxmlformats.org/markup-compatibility/2006">
      <mc:Choice Requires="x14">
        <control shapeId="33792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7922" r:id="rId6" name="Frame1"/>
      </mc:Fallback>
    </mc:AlternateContent>
    <mc:AlternateContent xmlns:mc="http://schemas.openxmlformats.org/markup-compatibility/2006">
      <mc:Choice Requires="x14">
        <control shapeId="33792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7923" r:id="rId8" name="CommandButton6"/>
      </mc:Fallback>
    </mc:AlternateContent>
    <mc:AlternateContent xmlns:mc="http://schemas.openxmlformats.org/markup-compatibility/2006">
      <mc:Choice Requires="x14">
        <control shapeId="33792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792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7CFBE31-0EDF-4455-BE7C-D761F81108E7}">
          <x14:formula1>
            <xm:f>drastic!$A$4:$A$13</xm:f>
          </x14:formula1>
          <xm:sqref>F26</xm:sqref>
        </x14:dataValidation>
        <x14:dataValidation type="list" allowBlank="1" showInputMessage="1" showErrorMessage="1" xr:uid="{E5F76561-F719-46DF-BF74-6EB1877B3783}">
          <x14:formula1>
            <xm:f>drastic!$D$4:$D$14</xm:f>
          </x14:formula1>
          <xm:sqref>G26</xm:sqref>
        </x14:dataValidation>
        <x14:dataValidation type="list" allowBlank="1" showInputMessage="1" showErrorMessage="1" xr:uid="{DFE73817-1CA3-43E7-8CEA-F1218DD42BF1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7E3F6-FD42-4B72-BA0D-E02F38CC4C8E}">
  <sheetPr codeName="Sheet_W4">
    <tabColor rgb="FFC00000"/>
  </sheetPr>
  <dimension ref="A1:M41"/>
  <sheetViews>
    <sheetView workbookViewId="0">
      <selection activeCell="C10" sqref="C1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644</v>
      </c>
      <c r="C2" s="332" t="str">
        <f>Well!D7</f>
        <v>전의면 유천리 73번지</v>
      </c>
      <c r="H2"/>
      <c r="I2" s="138" t="s">
        <v>702</v>
      </c>
      <c r="J2"/>
      <c r="K2"/>
      <c r="L2"/>
      <c r="M2"/>
    </row>
    <row r="3" spans="1:13" ht="20.100000000000001" customHeight="1">
      <c r="B3" s="2" t="s">
        <v>6</v>
      </c>
      <c r="C3" s="664">
        <f>Well!C7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Well!Q7</f>
        <v>0</v>
      </c>
      <c r="D5" s="7" t="s">
        <v>53</v>
      </c>
      <c r="E5" s="433">
        <v>3.226</v>
      </c>
      <c r="F5" s="28">
        <f>$E$5/$C$14</f>
        <v>0.40325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Well!D7</f>
        <v>전의면 유천리 73번지</v>
      </c>
      <c r="D6" s="7" t="s">
        <v>56</v>
      </c>
      <c r="E6" s="434">
        <v>2.6640000000000001</v>
      </c>
      <c r="F6" s="28">
        <f>$E$6/$C$14</f>
        <v>0.33300000000000002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Well!H7</f>
        <v>20</v>
      </c>
      <c r="D7" s="142" t="s">
        <v>58</v>
      </c>
      <c r="E7" s="139">
        <f>ROUND((E5+E6)/2,4)</f>
        <v>2.9449999999999998</v>
      </c>
      <c r="F7" s="29">
        <f>$E$7/$C$14</f>
        <v>0.36812499999999998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Well!G7</f>
        <v>1700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Well!I7</f>
        <v>300</v>
      </c>
      <c r="E15" s="34">
        <v>4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Well!J7</f>
        <v>300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Well!L7</f>
        <v>15</v>
      </c>
      <c r="E17" s="234">
        <f>Well!P7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Well!M7</f>
        <v>16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Well!N7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Well!O7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716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4.2607060185185185E-4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8945" r:id="rId4" name="CommandButton5"/>
      </mc:Fallback>
    </mc:AlternateContent>
    <mc:AlternateContent xmlns:mc="http://schemas.openxmlformats.org/markup-compatibility/2006">
      <mc:Choice Requires="x14">
        <control shapeId="33894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6" name="Frame1"/>
      </mc:Fallback>
    </mc:AlternateContent>
    <mc:AlternateContent xmlns:mc="http://schemas.openxmlformats.org/markup-compatibility/2006">
      <mc:Choice Requires="x14">
        <control shapeId="33894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8" name="CommandButton6"/>
      </mc:Fallback>
    </mc:AlternateContent>
    <mc:AlternateContent xmlns:mc="http://schemas.openxmlformats.org/markup-compatibility/2006">
      <mc:Choice Requires="x14">
        <control shapeId="33894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2889A6-A38C-463E-B9CA-67CF64C9A4FC}">
          <x14:formula1>
            <xm:f>drastic!$A$4:$A$13</xm:f>
          </x14:formula1>
          <xm:sqref>F26</xm:sqref>
        </x14:dataValidation>
        <x14:dataValidation type="list" allowBlank="1" showInputMessage="1" showErrorMessage="1" xr:uid="{DF59ADA6-0605-4980-9912-DD4A102D04D2}">
          <x14:formula1>
            <xm:f>drastic!$D$4:$D$14</xm:f>
          </x14:formula1>
          <xm:sqref>G26</xm:sqref>
        </x14:dataValidation>
        <x14:dataValidation type="list" allowBlank="1" showInputMessage="1" showErrorMessage="1" xr:uid="{94222207-FF34-456A-AF4C-ED20C1E44A73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2CFAA-8968-4339-BBED-1F3915A2FD78}">
  <sheetPr codeName="Sheet_W5">
    <tabColor rgb="FFC00000"/>
  </sheetPr>
  <dimension ref="A1:M41"/>
  <sheetViews>
    <sheetView workbookViewId="0">
      <selection activeCell="C10" sqref="C1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645</v>
      </c>
      <c r="C2" s="332" t="str">
        <f>Well!D8</f>
        <v xml:space="preserve">전의면 유천리 257번지  </v>
      </c>
      <c r="H2"/>
      <c r="I2" s="138" t="s">
        <v>703</v>
      </c>
      <c r="J2"/>
      <c r="K2"/>
      <c r="L2"/>
      <c r="M2"/>
    </row>
    <row r="3" spans="1:13" ht="20.100000000000001" customHeight="1">
      <c r="B3" s="2" t="s">
        <v>6</v>
      </c>
      <c r="C3" s="664">
        <f>Well!C8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Well!Q8</f>
        <v>0</v>
      </c>
      <c r="D5" s="7" t="s">
        <v>53</v>
      </c>
      <c r="E5" s="433">
        <v>3.226</v>
      </c>
      <c r="F5" s="28">
        <f>$E$5/$C$14</f>
        <v>4.7441176470588237E-2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Well!D8</f>
        <v xml:space="preserve">전의면 유천리 257번지  </v>
      </c>
      <c r="D6" s="7" t="s">
        <v>56</v>
      </c>
      <c r="E6" s="434">
        <v>2.6640000000000001</v>
      </c>
      <c r="F6" s="28">
        <f>$E$6/$C$14</f>
        <v>3.9176470588235299E-2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Well!H8</f>
        <v>80</v>
      </c>
      <c r="D7" s="142" t="s">
        <v>58</v>
      </c>
      <c r="E7" s="139">
        <f>ROUND((E5+E6)/2,4)</f>
        <v>2.9449999999999998</v>
      </c>
      <c r="F7" s="29">
        <f>$E$7/$C$14</f>
        <v>4.3308823529411761E-2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Well!G8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68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80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68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Well!I8</f>
        <v>150</v>
      </c>
      <c r="E15" s="34">
        <v>5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Well!J8</f>
        <v>150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Well!L8</f>
        <v>30</v>
      </c>
      <c r="E17" s="234">
        <f>Well!P8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Well!M8</f>
        <v>80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Well!N8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Well!O8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717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5.0125953159041392E-5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9969" r:id="rId4" name="CommandButton5"/>
      </mc:Fallback>
    </mc:AlternateContent>
    <mc:AlternateContent xmlns:mc="http://schemas.openxmlformats.org/markup-compatibility/2006">
      <mc:Choice Requires="x14">
        <control shapeId="33997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6" name="Frame1"/>
      </mc:Fallback>
    </mc:AlternateContent>
    <mc:AlternateContent xmlns:mc="http://schemas.openxmlformats.org/markup-compatibility/2006">
      <mc:Choice Requires="x14">
        <control shapeId="33997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8" name="CommandButton6"/>
      </mc:Fallback>
    </mc:AlternateContent>
    <mc:AlternateContent xmlns:mc="http://schemas.openxmlformats.org/markup-compatibility/2006">
      <mc:Choice Requires="x14">
        <control shapeId="33997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FCED69-4E5B-48C8-AB15-C2050AFCD9EE}">
          <x14:formula1>
            <xm:f>drastic!$A$4:$A$13</xm:f>
          </x14:formula1>
          <xm:sqref>F26</xm:sqref>
        </x14:dataValidation>
        <x14:dataValidation type="list" allowBlank="1" showInputMessage="1" showErrorMessage="1" xr:uid="{7518AF5C-372B-4356-9388-C756D9A15038}">
          <x14:formula1>
            <xm:f>drastic!$D$4:$D$14</xm:f>
          </x14:formula1>
          <xm:sqref>G26</xm:sqref>
        </x14:dataValidation>
        <x14:dataValidation type="list" allowBlank="1" showInputMessage="1" showErrorMessage="1" xr:uid="{AF3C8104-DB39-4795-BD28-A228E7E97A4A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901B1-E56E-48BC-80A1-3789E899293C}">
  <sheetPr codeName="Sheet_W6">
    <tabColor rgb="FFC00000"/>
  </sheetPr>
  <dimension ref="A1:M41"/>
  <sheetViews>
    <sheetView workbookViewId="0">
      <selection activeCell="C10" sqref="C1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704</v>
      </c>
      <c r="C2" s="332" t="str">
        <f>Well!D9</f>
        <v>전의면 유천리 227번지</v>
      </c>
      <c r="H2"/>
      <c r="I2" s="138" t="s">
        <v>705</v>
      </c>
      <c r="J2"/>
      <c r="K2"/>
      <c r="L2"/>
      <c r="M2"/>
    </row>
    <row r="3" spans="1:13" ht="20.100000000000001" customHeight="1">
      <c r="B3" s="2" t="s">
        <v>6</v>
      </c>
      <c r="C3" s="664">
        <f>Well!C9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Well!Q9</f>
        <v>0</v>
      </c>
      <c r="D5" s="7" t="s">
        <v>53</v>
      </c>
      <c r="E5" s="433">
        <v>3.226</v>
      </c>
      <c r="F5" s="28">
        <f>$E$5/$C$14</f>
        <v>3.6659090909090912E-2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Well!D9</f>
        <v>전의면 유천리 227번지</v>
      </c>
      <c r="D6" s="7" t="s">
        <v>56</v>
      </c>
      <c r="E6" s="434">
        <v>2.6640000000000001</v>
      </c>
      <c r="F6" s="28">
        <f>$E$6/$C$14</f>
        <v>3.0272727272727274E-2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Well!H9</f>
        <v>100</v>
      </c>
      <c r="D7" s="142" t="s">
        <v>58</v>
      </c>
      <c r="E7" s="139">
        <f>ROUND((E5+E6)/2,4)</f>
        <v>2.9449999999999998</v>
      </c>
      <c r="F7" s="29">
        <f>$E$7/$C$14</f>
        <v>3.3465909090909088E-2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Well!G9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100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Well!I9</f>
        <v>80</v>
      </c>
      <c r="E15" s="34">
        <v>6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Well!J9</f>
        <v>80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Well!L9</f>
        <v>15</v>
      </c>
      <c r="E17" s="234">
        <f>Well!P9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Well!M9</f>
        <v>65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Well!N9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Well!O9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718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3.8733691077441072E-5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0993" r:id="rId4" name="CommandButton5"/>
      </mc:Fallback>
    </mc:AlternateContent>
    <mc:AlternateContent xmlns:mc="http://schemas.openxmlformats.org/markup-compatibility/2006">
      <mc:Choice Requires="x14">
        <control shapeId="3409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6" name="Frame1"/>
      </mc:Fallback>
    </mc:AlternateContent>
    <mc:AlternateContent xmlns:mc="http://schemas.openxmlformats.org/markup-compatibility/2006">
      <mc:Choice Requires="x14">
        <control shapeId="3409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8" name="CommandButton6"/>
      </mc:Fallback>
    </mc:AlternateContent>
    <mc:AlternateContent xmlns:mc="http://schemas.openxmlformats.org/markup-compatibility/2006">
      <mc:Choice Requires="x14">
        <control shapeId="34099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353F55E-B85E-4ADB-B7D6-E7A50FF211B1}">
          <x14:formula1>
            <xm:f>drastic!$A$4:$A$13</xm:f>
          </x14:formula1>
          <xm:sqref>F26</xm:sqref>
        </x14:dataValidation>
        <x14:dataValidation type="list" allowBlank="1" showInputMessage="1" showErrorMessage="1" xr:uid="{B6437CB0-8440-45FA-9056-324BF4B3F0DD}">
          <x14:formula1>
            <xm:f>drastic!$D$4:$D$14</xm:f>
          </x14:formula1>
          <xm:sqref>G26</xm:sqref>
        </x14:dataValidation>
        <x14:dataValidation type="list" allowBlank="1" showInputMessage="1" showErrorMessage="1" xr:uid="{B913C480-7906-418C-94B6-1685A51F43AF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63F19-ECDB-41B0-A0E5-2B3F8FCB608B}">
  <sheetPr codeName="Sheet_W7">
    <tabColor rgb="FFC00000"/>
  </sheetPr>
  <dimension ref="A1:M41"/>
  <sheetViews>
    <sheetView tabSelected="1" workbookViewId="0">
      <selection activeCell="C10" sqref="C1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706</v>
      </c>
      <c r="C2" s="332" t="str">
        <f>Well!D10</f>
        <v xml:space="preserve">전의면 유천리 262번지  </v>
      </c>
      <c r="H2"/>
      <c r="I2" s="138" t="s">
        <v>707</v>
      </c>
      <c r="J2"/>
      <c r="K2"/>
      <c r="L2"/>
      <c r="M2"/>
    </row>
    <row r="3" spans="1:13" ht="20.100000000000001" customHeight="1">
      <c r="B3" s="2" t="s">
        <v>6</v>
      </c>
      <c r="C3" s="664">
        <f>Well!C10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Well!Q10</f>
        <v>0</v>
      </c>
      <c r="D5" s="7" t="s">
        <v>53</v>
      </c>
      <c r="E5" s="433">
        <v>3.226</v>
      </c>
      <c r="F5" s="28">
        <f>$E$5/$C$14</f>
        <v>6.7208333333333328E-2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Well!D10</f>
        <v xml:space="preserve">전의면 유천리 262번지  </v>
      </c>
      <c r="D6" s="7" t="s">
        <v>56</v>
      </c>
      <c r="E6" s="434">
        <v>2.6640000000000001</v>
      </c>
      <c r="F6" s="28">
        <f>$E$6/$C$14</f>
        <v>5.5500000000000001E-2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Well!H10</f>
        <v>60</v>
      </c>
      <c r="D7" s="142" t="s">
        <v>58</v>
      </c>
      <c r="E7" s="139">
        <f>ROUND((E5+E6)/2,4)</f>
        <v>2.9449999999999998</v>
      </c>
      <c r="F7" s="29">
        <f>$E$7/$C$14</f>
        <v>6.1354166666666661E-2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Well!G10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60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Well!I10</f>
        <v>150</v>
      </c>
      <c r="E15" s="34">
        <v>7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Well!J10</f>
        <v>150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Well!L10</f>
        <v>30</v>
      </c>
      <c r="E17" s="234">
        <f>Well!P10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Well!M10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Well!N10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Well!O10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719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7.1011766975308637E-5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4" name="CommandButton5"/>
      </mc:Fallback>
    </mc:AlternateContent>
    <mc:AlternateContent xmlns:mc="http://schemas.openxmlformats.org/markup-compatibility/2006">
      <mc:Choice Requires="x14">
        <control shapeId="3420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6" name="Frame1"/>
      </mc:Fallback>
    </mc:AlternateContent>
    <mc:AlternateContent xmlns:mc="http://schemas.openxmlformats.org/markup-compatibility/2006">
      <mc:Choice Requires="x14">
        <control shapeId="3420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8" name="CommandButton6"/>
      </mc:Fallback>
    </mc:AlternateContent>
    <mc:AlternateContent xmlns:mc="http://schemas.openxmlformats.org/markup-compatibility/2006">
      <mc:Choice Requires="x14">
        <control shapeId="34202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82371DC-F18F-40D7-97AF-53740BA58D19}">
          <x14:formula1>
            <xm:f>drastic!$A$4:$A$13</xm:f>
          </x14:formula1>
          <xm:sqref>F26</xm:sqref>
        </x14:dataValidation>
        <x14:dataValidation type="list" allowBlank="1" showInputMessage="1" showErrorMessage="1" xr:uid="{6335D166-9968-4B91-A57D-C85E801B9421}">
          <x14:formula1>
            <xm:f>drastic!$D$4:$D$14</xm:f>
          </x14:formula1>
          <xm:sqref>G26</xm:sqref>
        </x14:dataValidation>
        <x14:dataValidation type="list" allowBlank="1" showInputMessage="1" showErrorMessage="1" xr:uid="{658CA3E0-78E6-4A98-BAFA-20598C8FD235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45187.430555555555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14.8</v>
      </c>
      <c r="D7" s="94"/>
      <c r="E7" s="30"/>
      <c r="F7" s="30"/>
    </row>
    <row r="8" spans="2:14" s="31" customFormat="1" ht="26.1" customHeight="1">
      <c r="B8" s="160" t="s">
        <v>82</v>
      </c>
      <c r="C8" s="173">
        <v>215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37" t="s">
        <v>84</v>
      </c>
      <c r="C12" s="738"/>
      <c r="D12" s="739" t="s">
        <v>85</v>
      </c>
      <c r="E12" s="740"/>
      <c r="F12" s="738"/>
      <c r="H12" s="737" t="s">
        <v>85</v>
      </c>
      <c r="I12" s="740"/>
      <c r="J12" s="738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45187.434027777774</v>
      </c>
      <c r="C14" s="204">
        <v>5</v>
      </c>
      <c r="D14" s="224">
        <f t="shared" ref="D14:D20" si="0">baseTemp+H14</f>
        <v>15.100000000000001</v>
      </c>
      <c r="E14" s="225">
        <f>$C$8+I14</f>
        <v>221</v>
      </c>
      <c r="F14" s="226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7">
        <f t="shared" ref="B15:B23" si="1">$C$6+C15/1440</f>
        <v>45187.451388888891</v>
      </c>
      <c r="C15" s="210">
        <v>30</v>
      </c>
      <c r="D15" s="228">
        <f t="shared" si="0"/>
        <v>14.5</v>
      </c>
      <c r="E15" s="229">
        <f t="shared" ref="E15:E20" si="2">$C$8+I15</f>
        <v>231</v>
      </c>
      <c r="F15" s="230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7">
        <f t="shared" si="1"/>
        <v>45187.472222222219</v>
      </c>
      <c r="C16" s="210">
        <v>60</v>
      </c>
      <c r="D16" s="228">
        <f t="shared" si="0"/>
        <v>14.600000000000001</v>
      </c>
      <c r="E16" s="229">
        <f t="shared" si="2"/>
        <v>217</v>
      </c>
      <c r="F16" s="230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7">
        <f t="shared" si="1"/>
        <v>45187.513888888891</v>
      </c>
      <c r="C17" s="210">
        <v>120</v>
      </c>
      <c r="D17" s="228">
        <f t="shared" si="0"/>
        <v>15</v>
      </c>
      <c r="E17" s="229">
        <f t="shared" si="2"/>
        <v>204</v>
      </c>
      <c r="F17" s="230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7">
        <f t="shared" si="1"/>
        <v>45187.597222222219</v>
      </c>
      <c r="C18" s="210">
        <v>240</v>
      </c>
      <c r="D18" s="228">
        <f t="shared" si="0"/>
        <v>14.9</v>
      </c>
      <c r="E18" s="229">
        <f t="shared" si="2"/>
        <v>208</v>
      </c>
      <c r="F18" s="230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7">
        <f t="shared" si="1"/>
        <v>45187.763888888891</v>
      </c>
      <c r="C19" s="210">
        <v>480</v>
      </c>
      <c r="D19" s="231">
        <f t="shared" si="0"/>
        <v>14.600000000000001</v>
      </c>
      <c r="E19" s="229">
        <f t="shared" si="2"/>
        <v>230</v>
      </c>
      <c r="F19" s="230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7">
        <f t="shared" si="1"/>
        <v>45188.430555555555</v>
      </c>
      <c r="C20" s="210">
        <v>1440</v>
      </c>
      <c r="D20" s="228">
        <f t="shared" si="0"/>
        <v>14.600000000000001</v>
      </c>
      <c r="E20" s="229">
        <f t="shared" si="2"/>
        <v>207</v>
      </c>
      <c r="F20" s="230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7">
        <f t="shared" si="1"/>
        <v>45188.597222222219</v>
      </c>
      <c r="C21" s="210">
        <v>1680</v>
      </c>
      <c r="D21" s="228">
        <f>$D$20</f>
        <v>14.600000000000001</v>
      </c>
      <c r="E21" s="229">
        <f>$E$20</f>
        <v>207</v>
      </c>
      <c r="F21" s="230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7">
        <f t="shared" si="1"/>
        <v>45188.763888888891</v>
      </c>
      <c r="C22" s="210">
        <v>1920</v>
      </c>
      <c r="D22" s="228">
        <f t="shared" ref="D22:D23" si="4">$D$20</f>
        <v>14.600000000000001</v>
      </c>
      <c r="E22" s="229">
        <f t="shared" ref="E22:E23" si="5">$E$20</f>
        <v>207</v>
      </c>
      <c r="F22" s="230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7">
        <f t="shared" si="1"/>
        <v>45189.430555555555</v>
      </c>
      <c r="C23" s="210">
        <v>2880</v>
      </c>
      <c r="D23" s="228">
        <f t="shared" si="4"/>
        <v>14.600000000000001</v>
      </c>
      <c r="E23" s="229">
        <f t="shared" si="5"/>
        <v>207</v>
      </c>
      <c r="F23" s="230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41" t="s">
        <v>36</v>
      </c>
      <c r="C24" s="742"/>
      <c r="D24" s="221">
        <f>MAX(D14:D23)</f>
        <v>15.100000000000001</v>
      </c>
      <c r="E24" s="222">
        <f t="shared" ref="E24:F24" si="7">MAX(E14:E23)</f>
        <v>231</v>
      </c>
      <c r="F24" s="199">
        <f t="shared" si="7"/>
        <v>7.0100000000000007</v>
      </c>
      <c r="H24" s="30"/>
      <c r="I24" s="30"/>
      <c r="J24" s="30"/>
    </row>
    <row r="25" spans="2:14" s="31" customFormat="1" ht="26.1" customHeight="1">
      <c r="B25" s="741" t="s">
        <v>37</v>
      </c>
      <c r="C25" s="742"/>
      <c r="D25" s="221">
        <f>MIN(D14:D23)</f>
        <v>14.5</v>
      </c>
      <c r="E25" s="222">
        <f t="shared" ref="E25:F25" si="8">MIN(E14:E23)</f>
        <v>204</v>
      </c>
      <c r="F25" s="199">
        <f t="shared" si="8"/>
        <v>6.78</v>
      </c>
      <c r="H25" s="30"/>
      <c r="I25" s="30"/>
      <c r="J25" s="30"/>
    </row>
    <row r="26" spans="2:14" s="31" customFormat="1" ht="26.1" customHeight="1" thickBot="1">
      <c r="B26" s="735" t="s">
        <v>90</v>
      </c>
      <c r="C26" s="736"/>
      <c r="D26" s="232">
        <f>D24-D25</f>
        <v>0.60000000000000142</v>
      </c>
      <c r="E26" s="233">
        <f t="shared" ref="E26:F26" si="9">E24-E25</f>
        <v>27</v>
      </c>
      <c r="F26" s="213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44753.861111111109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14</v>
      </c>
      <c r="D7" s="470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8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37" t="s">
        <v>84</v>
      </c>
      <c r="C12" s="738"/>
      <c r="D12" s="737" t="s">
        <v>85</v>
      </c>
      <c r="E12" s="740"/>
      <c r="F12" s="738"/>
      <c r="G12" s="743" t="s">
        <v>154</v>
      </c>
      <c r="H12" s="744"/>
      <c r="I12" s="745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41" t="s">
        <v>36</v>
      </c>
      <c r="C24" s="742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41" t="s">
        <v>37</v>
      </c>
      <c r="C25" s="742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35" t="s">
        <v>90</v>
      </c>
      <c r="C26" s="736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37" t="s">
        <v>85</v>
      </c>
      <c r="E29" s="740"/>
      <c r="F29" s="738"/>
      <c r="H29" s="737" t="s">
        <v>154</v>
      </c>
      <c r="I29" s="740"/>
      <c r="J29" s="738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331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6" t="s">
        <v>80</v>
      </c>
      <c r="C6" s="167">
        <v>44717.430555555555</v>
      </c>
      <c r="D6" s="94"/>
      <c r="E6" s="94"/>
      <c r="F6" s="30"/>
    </row>
    <row r="7" spans="2:12" s="31" customFormat="1" ht="26.1" customHeight="1" thickBot="1">
      <c r="B7" s="169" t="s">
        <v>81</v>
      </c>
      <c r="C7" s="471">
        <v>14.7</v>
      </c>
      <c r="D7" s="473">
        <v>14.8</v>
      </c>
      <c r="E7" s="474">
        <v>14.9</v>
      </c>
      <c r="F7" s="30"/>
    </row>
    <row r="8" spans="2:12" s="31" customFormat="1" ht="26.1" customHeight="1">
      <c r="B8" s="160" t="s">
        <v>82</v>
      </c>
      <c r="C8" s="161">
        <v>197</v>
      </c>
      <c r="D8" s="472">
        <v>197</v>
      </c>
      <c r="E8" s="468">
        <v>194</v>
      </c>
      <c r="F8" s="30"/>
    </row>
    <row r="9" spans="2:12" s="31" customFormat="1" ht="26.1" customHeight="1" thickBot="1">
      <c r="B9" s="163" t="s">
        <v>83</v>
      </c>
      <c r="C9" s="164">
        <v>8.4</v>
      </c>
      <c r="D9" s="171">
        <v>8.3000000000000007</v>
      </c>
      <c r="E9" s="165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37" t="s">
        <v>84</v>
      </c>
      <c r="C12" s="738"/>
      <c r="D12" s="743" t="s">
        <v>85</v>
      </c>
      <c r="E12" s="744"/>
      <c r="F12" s="745"/>
      <c r="G12" s="743" t="s">
        <v>154</v>
      </c>
      <c r="H12" s="744"/>
      <c r="I12" s="745"/>
      <c r="J12" s="743" t="s">
        <v>155</v>
      </c>
      <c r="K12" s="744"/>
      <c r="L12" s="745"/>
    </row>
    <row r="13" spans="2:12" s="30" customFormat="1" ht="26.1" customHeight="1">
      <c r="B13" s="198" t="s">
        <v>80</v>
      </c>
      <c r="C13" s="199" t="s">
        <v>86</v>
      </c>
      <c r="D13" s="200" t="s">
        <v>158</v>
      </c>
      <c r="E13" s="201" t="s">
        <v>167</v>
      </c>
      <c r="F13" s="202" t="s">
        <v>89</v>
      </c>
      <c r="G13" s="200" t="s">
        <v>158</v>
      </c>
      <c r="H13" s="201" t="s">
        <v>167</v>
      </c>
      <c r="I13" s="202" t="s">
        <v>89</v>
      </c>
      <c r="J13" s="200" t="s">
        <v>158</v>
      </c>
      <c r="K13" s="201" t="s">
        <v>167</v>
      </c>
      <c r="L13" s="202" t="s">
        <v>89</v>
      </c>
    </row>
    <row r="14" spans="2:12" s="30" customFormat="1" ht="26.1" customHeight="1">
      <c r="B14" s="203">
        <f>$C$6+C14/1440</f>
        <v>44717.434027777774</v>
      </c>
      <c r="C14" s="204">
        <v>5</v>
      </c>
      <c r="D14" s="205">
        <f t="shared" ref="D14:D20" si="0">baseTemp+D31</f>
        <v>14.7</v>
      </c>
      <c r="E14" s="206">
        <f t="shared" ref="E14:E20" si="1">$C$8+E31</f>
        <v>194</v>
      </c>
      <c r="F14" s="207">
        <f t="shared" ref="F14:F20" si="2">$C$9+F31</f>
        <v>8.33</v>
      </c>
      <c r="G14" s="208">
        <f t="shared" ref="G14:G20" si="3">bTemp2+H31</f>
        <v>14.8</v>
      </c>
      <c r="H14" s="206">
        <f>$D$8+I31</f>
        <v>200</v>
      </c>
      <c r="I14" s="207">
        <f>$D$9+J31</f>
        <v>8.39</v>
      </c>
      <c r="J14" s="208">
        <f t="shared" ref="J14:J20" si="4">bTemp3+L31</f>
        <v>14.9</v>
      </c>
      <c r="K14" s="206">
        <f>$E$8+M31</f>
        <v>195</v>
      </c>
      <c r="L14" s="207">
        <f>$E$9+N31</f>
        <v>8.2800000000000011</v>
      </c>
    </row>
    <row r="15" spans="2:12" s="30" customFormat="1" ht="26.1" customHeight="1">
      <c r="B15" s="209">
        <f t="shared" ref="B15:B23" si="5">$C$6+C15/1440</f>
        <v>44717.451388888891</v>
      </c>
      <c r="C15" s="210">
        <v>30</v>
      </c>
      <c r="D15" s="205">
        <f t="shared" si="0"/>
        <v>14.799999999999999</v>
      </c>
      <c r="E15" s="206">
        <f t="shared" si="1"/>
        <v>195</v>
      </c>
      <c r="F15" s="207">
        <f t="shared" si="2"/>
        <v>8.32</v>
      </c>
      <c r="G15" s="208">
        <f t="shared" si="3"/>
        <v>14.8</v>
      </c>
      <c r="H15" s="206">
        <f t="shared" ref="H15:H20" si="6">$D$8+I32</f>
        <v>194</v>
      </c>
      <c r="I15" s="207">
        <f t="shared" ref="I15:I20" si="7">$D$9+J32</f>
        <v>8.2100000000000009</v>
      </c>
      <c r="J15" s="208">
        <f t="shared" si="4"/>
        <v>14.9</v>
      </c>
      <c r="K15" s="206">
        <f t="shared" ref="K15:K20" si="8">$E$8+M32</f>
        <v>192</v>
      </c>
      <c r="L15" s="207">
        <f t="shared" ref="L15:L20" si="9">$E$9+N32</f>
        <v>8.49</v>
      </c>
    </row>
    <row r="16" spans="2:12" s="30" customFormat="1" ht="26.1" customHeight="1">
      <c r="B16" s="209">
        <f t="shared" si="5"/>
        <v>44717.472222222219</v>
      </c>
      <c r="C16" s="210">
        <v>60</v>
      </c>
      <c r="D16" s="205">
        <f t="shared" si="0"/>
        <v>14.7</v>
      </c>
      <c r="E16" s="206">
        <f t="shared" si="1"/>
        <v>199</v>
      </c>
      <c r="F16" s="207">
        <f t="shared" si="2"/>
        <v>8.51</v>
      </c>
      <c r="G16" s="208">
        <f t="shared" si="3"/>
        <v>14.700000000000001</v>
      </c>
      <c r="H16" s="206">
        <f t="shared" si="6"/>
        <v>200</v>
      </c>
      <c r="I16" s="207">
        <f t="shared" si="7"/>
        <v>8.2000000000000011</v>
      </c>
      <c r="J16" s="208">
        <f t="shared" si="4"/>
        <v>15</v>
      </c>
      <c r="K16" s="206">
        <f t="shared" si="8"/>
        <v>193</v>
      </c>
      <c r="L16" s="207">
        <f t="shared" si="9"/>
        <v>8.51</v>
      </c>
    </row>
    <row r="17" spans="2:14" s="30" customFormat="1" ht="26.1" customHeight="1">
      <c r="B17" s="209">
        <f t="shared" si="5"/>
        <v>44717.513888888891</v>
      </c>
      <c r="C17" s="210">
        <v>120</v>
      </c>
      <c r="D17" s="205">
        <f t="shared" si="0"/>
        <v>14.7</v>
      </c>
      <c r="E17" s="206">
        <f t="shared" si="1"/>
        <v>199</v>
      </c>
      <c r="F17" s="207">
        <f t="shared" si="2"/>
        <v>8.51</v>
      </c>
      <c r="G17" s="208">
        <f t="shared" si="3"/>
        <v>14.700000000000001</v>
      </c>
      <c r="H17" s="206">
        <f t="shared" si="6"/>
        <v>196</v>
      </c>
      <c r="I17" s="207">
        <f t="shared" si="7"/>
        <v>8.2000000000000011</v>
      </c>
      <c r="J17" s="208">
        <f t="shared" si="4"/>
        <v>15</v>
      </c>
      <c r="K17" s="206">
        <f t="shared" si="8"/>
        <v>196</v>
      </c>
      <c r="L17" s="207">
        <f t="shared" si="9"/>
        <v>8.3000000000000007</v>
      </c>
    </row>
    <row r="18" spans="2:14" s="30" customFormat="1" ht="26.1" customHeight="1">
      <c r="B18" s="209">
        <f t="shared" si="5"/>
        <v>44717.597222222219</v>
      </c>
      <c r="C18" s="210">
        <v>240</v>
      </c>
      <c r="D18" s="205">
        <f t="shared" si="0"/>
        <v>14.799999999999999</v>
      </c>
      <c r="E18" s="206">
        <f t="shared" si="1"/>
        <v>198</v>
      </c>
      <c r="F18" s="207">
        <f t="shared" si="2"/>
        <v>8.51</v>
      </c>
      <c r="G18" s="208">
        <f t="shared" si="3"/>
        <v>14.700000000000001</v>
      </c>
      <c r="H18" s="206">
        <f t="shared" si="6"/>
        <v>198</v>
      </c>
      <c r="I18" s="207">
        <f t="shared" si="7"/>
        <v>8.2000000000000011</v>
      </c>
      <c r="J18" s="208">
        <f t="shared" si="4"/>
        <v>14.8</v>
      </c>
      <c r="K18" s="206">
        <f t="shared" si="8"/>
        <v>196</v>
      </c>
      <c r="L18" s="207">
        <f t="shared" si="9"/>
        <v>8.52</v>
      </c>
    </row>
    <row r="19" spans="2:14" s="30" customFormat="1" ht="26.1" customHeight="1">
      <c r="B19" s="209">
        <f t="shared" si="5"/>
        <v>44717.763888888891</v>
      </c>
      <c r="C19" s="210">
        <v>480</v>
      </c>
      <c r="D19" s="205">
        <f t="shared" si="0"/>
        <v>14.7</v>
      </c>
      <c r="E19" s="206">
        <f t="shared" si="1"/>
        <v>196</v>
      </c>
      <c r="F19" s="207">
        <f t="shared" si="2"/>
        <v>8.2800000000000011</v>
      </c>
      <c r="G19" s="208">
        <f t="shared" si="3"/>
        <v>14.700000000000001</v>
      </c>
      <c r="H19" s="206">
        <f t="shared" si="6"/>
        <v>196</v>
      </c>
      <c r="I19" s="207">
        <f t="shared" si="7"/>
        <v>8.42</v>
      </c>
      <c r="J19" s="208">
        <f t="shared" si="4"/>
        <v>15</v>
      </c>
      <c r="K19" s="206">
        <f t="shared" si="8"/>
        <v>191</v>
      </c>
      <c r="L19" s="207">
        <f t="shared" si="9"/>
        <v>8.2800000000000011</v>
      </c>
    </row>
    <row r="20" spans="2:14" s="31" customFormat="1" ht="26.1" customHeight="1">
      <c r="B20" s="209">
        <f t="shared" si="5"/>
        <v>44718.430555555555</v>
      </c>
      <c r="C20" s="210">
        <v>1440</v>
      </c>
      <c r="D20" s="205">
        <f t="shared" si="0"/>
        <v>14.799999999999999</v>
      </c>
      <c r="E20" s="206">
        <f t="shared" si="1"/>
        <v>198</v>
      </c>
      <c r="F20" s="207">
        <f t="shared" si="2"/>
        <v>8.4700000000000006</v>
      </c>
      <c r="G20" s="208">
        <f t="shared" si="3"/>
        <v>14.700000000000001</v>
      </c>
      <c r="H20" s="206">
        <f t="shared" si="6"/>
        <v>195</v>
      </c>
      <c r="I20" s="207">
        <f t="shared" si="7"/>
        <v>8.23</v>
      </c>
      <c r="J20" s="208">
        <f t="shared" si="4"/>
        <v>14.8</v>
      </c>
      <c r="K20" s="206">
        <f t="shared" si="8"/>
        <v>191</v>
      </c>
      <c r="L20" s="207">
        <f t="shared" si="9"/>
        <v>8.33</v>
      </c>
    </row>
    <row r="21" spans="2:14" s="31" customFormat="1" ht="26.1" customHeight="1">
      <c r="B21" s="209">
        <f t="shared" si="5"/>
        <v>44718.597222222219</v>
      </c>
      <c r="C21" s="210">
        <v>1680</v>
      </c>
      <c r="D21" s="205">
        <f>$D$20</f>
        <v>14.799999999999999</v>
      </c>
      <c r="E21" s="206">
        <f>$E$20</f>
        <v>198</v>
      </c>
      <c r="F21" s="207">
        <f>$F$20</f>
        <v>8.4700000000000006</v>
      </c>
      <c r="G21" s="208">
        <f>$G$20</f>
        <v>14.700000000000001</v>
      </c>
      <c r="H21" s="206">
        <f>$H$20</f>
        <v>195</v>
      </c>
      <c r="I21" s="207">
        <f>$I$20</f>
        <v>8.23</v>
      </c>
      <c r="J21" s="208">
        <f>$J$20</f>
        <v>14.8</v>
      </c>
      <c r="K21" s="206">
        <f>$K$20</f>
        <v>191</v>
      </c>
      <c r="L21" s="207">
        <f>$L$20</f>
        <v>8.33</v>
      </c>
    </row>
    <row r="22" spans="2:14" s="31" customFormat="1" ht="26.1" customHeight="1">
      <c r="B22" s="209">
        <f t="shared" si="5"/>
        <v>44718.763888888891</v>
      </c>
      <c r="C22" s="210">
        <v>1920</v>
      </c>
      <c r="D22" s="205">
        <f t="shared" ref="D22:D23" si="10">$D$20</f>
        <v>14.799999999999999</v>
      </c>
      <c r="E22" s="206">
        <f t="shared" ref="E22:E23" si="11">$E$20</f>
        <v>198</v>
      </c>
      <c r="F22" s="207">
        <f t="shared" ref="F22:F23" si="12">$F$20</f>
        <v>8.4700000000000006</v>
      </c>
      <c r="G22" s="208">
        <f t="shared" ref="G22:G23" si="13">$G$20</f>
        <v>14.700000000000001</v>
      </c>
      <c r="H22" s="206">
        <f t="shared" ref="H22:H23" si="14">$H$20</f>
        <v>195</v>
      </c>
      <c r="I22" s="207">
        <f t="shared" ref="I22:I23" si="15">$I$20</f>
        <v>8.23</v>
      </c>
      <c r="J22" s="208">
        <f t="shared" ref="J22:J23" si="16">$J$20</f>
        <v>14.8</v>
      </c>
      <c r="K22" s="206">
        <f t="shared" ref="K22:K23" si="17">$K$20</f>
        <v>191</v>
      </c>
      <c r="L22" s="207">
        <f t="shared" ref="L22:L23" si="18">$L$20</f>
        <v>8.33</v>
      </c>
    </row>
    <row r="23" spans="2:14" s="31" customFormat="1" ht="26.1" customHeight="1">
      <c r="B23" s="211">
        <f t="shared" si="5"/>
        <v>44719.430555555555</v>
      </c>
      <c r="C23" s="212">
        <v>2880</v>
      </c>
      <c r="D23" s="205">
        <f t="shared" si="10"/>
        <v>14.799999999999999</v>
      </c>
      <c r="E23" s="206">
        <f t="shared" si="11"/>
        <v>198</v>
      </c>
      <c r="F23" s="207">
        <f t="shared" si="12"/>
        <v>8.4700000000000006</v>
      </c>
      <c r="G23" s="208">
        <f t="shared" si="13"/>
        <v>14.700000000000001</v>
      </c>
      <c r="H23" s="206">
        <f t="shared" si="14"/>
        <v>195</v>
      </c>
      <c r="I23" s="207">
        <f t="shared" si="15"/>
        <v>8.23</v>
      </c>
      <c r="J23" s="208">
        <f t="shared" si="16"/>
        <v>14.8</v>
      </c>
      <c r="K23" s="206">
        <f t="shared" si="17"/>
        <v>191</v>
      </c>
      <c r="L23" s="207">
        <f t="shared" si="18"/>
        <v>8.33</v>
      </c>
    </row>
    <row r="24" spans="2:14" s="31" customFormat="1" ht="26.1" customHeight="1">
      <c r="B24" s="741" t="s">
        <v>36</v>
      </c>
      <c r="C24" s="742"/>
      <c r="D24" s="200">
        <f>MAX(D14:D23)</f>
        <v>14.799999999999999</v>
      </c>
      <c r="E24" s="201">
        <f t="shared" ref="E24:F24" si="19">MAX(E14:E23)</f>
        <v>199</v>
      </c>
      <c r="F24" s="202">
        <f t="shared" si="19"/>
        <v>8.51</v>
      </c>
      <c r="G24" s="200">
        <f>MAX(G14:G23)</f>
        <v>14.8</v>
      </c>
      <c r="H24" s="201">
        <f t="shared" ref="H24:I24" si="20">MAX(H14:H23)</f>
        <v>200</v>
      </c>
      <c r="I24" s="202">
        <f t="shared" si="20"/>
        <v>8.42</v>
      </c>
      <c r="J24" s="200">
        <f>MAX(J14:J23)</f>
        <v>15</v>
      </c>
      <c r="K24" s="201">
        <f t="shared" ref="K24:L24" si="21">MAX(K14:K23)</f>
        <v>196</v>
      </c>
      <c r="L24" s="202">
        <f t="shared" si="21"/>
        <v>8.52</v>
      </c>
    </row>
    <row r="25" spans="2:14" s="31" customFormat="1" ht="26.1" customHeight="1">
      <c r="B25" s="741" t="s">
        <v>37</v>
      </c>
      <c r="C25" s="742"/>
      <c r="D25" s="200">
        <f>MIN(D14:D23)</f>
        <v>14.7</v>
      </c>
      <c r="E25" s="201">
        <f t="shared" ref="E25:F25" si="22">MIN(E14:E23)</f>
        <v>194</v>
      </c>
      <c r="F25" s="202">
        <f t="shared" si="22"/>
        <v>8.2800000000000011</v>
      </c>
      <c r="G25" s="200">
        <f>MIN(G14:G23)</f>
        <v>14.700000000000001</v>
      </c>
      <c r="H25" s="201">
        <f t="shared" ref="H25:I25" si="23">MIN(H14:H23)</f>
        <v>194</v>
      </c>
      <c r="I25" s="202">
        <f t="shared" si="23"/>
        <v>8.2000000000000011</v>
      </c>
      <c r="J25" s="200">
        <f>MIN(J14:J23)</f>
        <v>14.8</v>
      </c>
      <c r="K25" s="201">
        <f t="shared" ref="K25:L25" si="24">MIN(K14:K23)</f>
        <v>191</v>
      </c>
      <c r="L25" s="202">
        <f t="shared" si="24"/>
        <v>8.2800000000000011</v>
      </c>
    </row>
    <row r="26" spans="2:14" s="31" customFormat="1" ht="26.1" customHeight="1" thickBot="1">
      <c r="B26" s="735" t="s">
        <v>90</v>
      </c>
      <c r="C26" s="736"/>
      <c r="D26" s="214">
        <f>D24-D25</f>
        <v>9.9999999999999645E-2</v>
      </c>
      <c r="E26" s="215">
        <f t="shared" ref="E26:F26" si="25">E24-E25</f>
        <v>5</v>
      </c>
      <c r="F26" s="216">
        <f t="shared" si="25"/>
        <v>0.22999999999999865</v>
      </c>
      <c r="G26" s="214">
        <f>G24-G25</f>
        <v>9.9999999999999645E-2</v>
      </c>
      <c r="H26" s="215">
        <f t="shared" ref="H26:I26" si="26">H24-H25</f>
        <v>6</v>
      </c>
      <c r="I26" s="216">
        <f t="shared" si="26"/>
        <v>0.21999999999999886</v>
      </c>
      <c r="J26" s="214">
        <f>J24-J25</f>
        <v>0.19999999999999929</v>
      </c>
      <c r="K26" s="215">
        <f t="shared" ref="K26:L26" si="27">K24-K25</f>
        <v>5</v>
      </c>
      <c r="L26" s="216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37" t="s">
        <v>85</v>
      </c>
      <c r="E29" s="740"/>
      <c r="F29" s="738"/>
      <c r="H29" s="737" t="s">
        <v>154</v>
      </c>
      <c r="I29" s="740"/>
      <c r="J29" s="738"/>
      <c r="L29" s="737" t="s">
        <v>155</v>
      </c>
      <c r="M29" s="740"/>
      <c r="N29" s="738"/>
    </row>
    <row r="30" spans="2:14" s="31" customFormat="1" ht="26.1" customHeight="1">
      <c r="D30" s="97" t="s">
        <v>159</v>
      </c>
      <c r="E30" s="99" t="s">
        <v>160</v>
      </c>
      <c r="F30" s="98" t="s">
        <v>89</v>
      </c>
      <c r="H30" s="97" t="s">
        <v>159</v>
      </c>
      <c r="I30" s="99" t="s">
        <v>160</v>
      </c>
      <c r="J30" s="98" t="s">
        <v>89</v>
      </c>
      <c r="L30" s="97" t="s">
        <v>159</v>
      </c>
      <c r="M30" s="99" t="s">
        <v>160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B899B-0242-4D48-A667-5AFC604E849E}">
  <sheetPr codeName="Sheet_Q4">
    <tabColor theme="6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44753.861111111109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14</v>
      </c>
      <c r="D7" s="470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8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37" t="s">
        <v>84</v>
      </c>
      <c r="C12" s="738"/>
      <c r="D12" s="737" t="s">
        <v>85</v>
      </c>
      <c r="E12" s="740"/>
      <c r="F12" s="738"/>
      <c r="G12" s="743" t="s">
        <v>154</v>
      </c>
      <c r="H12" s="744"/>
      <c r="I12" s="745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41" t="s">
        <v>36</v>
      </c>
      <c r="C24" s="742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41" t="s">
        <v>37</v>
      </c>
      <c r="C25" s="742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35" t="s">
        <v>90</v>
      </c>
      <c r="C26" s="736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37" t="s">
        <v>85</v>
      </c>
      <c r="E29" s="740"/>
      <c r="F29" s="738"/>
      <c r="H29" s="737" t="s">
        <v>154</v>
      </c>
      <c r="I29" s="740"/>
      <c r="J29" s="738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635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6356" r:id="rId4" name="CommandButton5"/>
      </mc:Fallback>
    </mc:AlternateContent>
    <mc:AlternateContent xmlns:mc="http://schemas.openxmlformats.org/markup-compatibility/2006">
      <mc:Choice Requires="x14">
        <control shapeId="356353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6353" r:id="rId6" name="CommandButton2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EA0BF-5B6E-4488-8009-DB26DF22E166}">
  <sheetPr codeName="Sheet_Q5">
    <tabColor theme="6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44753.861111111109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14</v>
      </c>
      <c r="D7" s="470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8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37" t="s">
        <v>84</v>
      </c>
      <c r="C12" s="738"/>
      <c r="D12" s="737" t="s">
        <v>155</v>
      </c>
      <c r="E12" s="740"/>
      <c r="F12" s="738"/>
      <c r="G12" s="743" t="s">
        <v>644</v>
      </c>
      <c r="H12" s="744"/>
      <c r="I12" s="745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41" t="s">
        <v>36</v>
      </c>
      <c r="C24" s="742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41" t="s">
        <v>37</v>
      </c>
      <c r="C25" s="742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35" t="s">
        <v>90</v>
      </c>
      <c r="C26" s="736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37" t="s">
        <v>155</v>
      </c>
      <c r="E29" s="740"/>
      <c r="F29" s="738"/>
      <c r="H29" s="737" t="s">
        <v>644</v>
      </c>
      <c r="I29" s="740"/>
      <c r="J29" s="738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7380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7380" r:id="rId4" name="CommandButton5"/>
      </mc:Fallback>
    </mc:AlternateContent>
    <mc:AlternateContent xmlns:mc="http://schemas.openxmlformats.org/markup-compatibility/2006">
      <mc:Choice Requires="x14">
        <control shapeId="357377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7377" r:id="rId6" name="CommandButton2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A31C4-0176-4EC7-AAD3-DA999BAD7531}">
  <sheetPr codeName="Sheet_Q6">
    <tabColor theme="6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44753.861111111109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14</v>
      </c>
      <c r="D7" s="470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8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37" t="s">
        <v>84</v>
      </c>
      <c r="C12" s="738"/>
      <c r="D12" s="737" t="s">
        <v>645</v>
      </c>
      <c r="E12" s="740"/>
      <c r="F12" s="738"/>
      <c r="G12" s="743" t="s">
        <v>704</v>
      </c>
      <c r="H12" s="744"/>
      <c r="I12" s="745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41" t="s">
        <v>36</v>
      </c>
      <c r="C24" s="742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41" t="s">
        <v>37</v>
      </c>
      <c r="C25" s="742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35" t="s">
        <v>90</v>
      </c>
      <c r="C26" s="736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37" t="s">
        <v>645</v>
      </c>
      <c r="E29" s="740"/>
      <c r="F29" s="738"/>
      <c r="H29" s="737" t="s">
        <v>704</v>
      </c>
      <c r="I29" s="740"/>
      <c r="J29" s="738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04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8404" r:id="rId4" name="CommandButton5"/>
      </mc:Fallback>
    </mc:AlternateContent>
    <mc:AlternateContent xmlns:mc="http://schemas.openxmlformats.org/markup-compatibility/2006">
      <mc:Choice Requires="x14">
        <control shapeId="358401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8401" r:id="rId6" name="CommandButton2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5DC7E-4E3A-428E-9C78-DF67BCAAA23B}">
  <sheetPr codeName="Sheet_Q7">
    <tabColor theme="6"/>
  </sheetPr>
  <dimension ref="B1:N37"/>
  <sheetViews>
    <sheetView workbookViewId="0">
      <selection activeCell="L8" sqref="L8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45187.430555555555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14.8</v>
      </c>
      <c r="D7" s="94"/>
      <c r="E7" s="30"/>
      <c r="F7" s="30"/>
    </row>
    <row r="8" spans="2:14" s="31" customFormat="1" ht="26.1" customHeight="1">
      <c r="B8" s="160" t="s">
        <v>82</v>
      </c>
      <c r="C8" s="173">
        <v>215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37" t="s">
        <v>84</v>
      </c>
      <c r="C12" s="738"/>
      <c r="D12" s="739" t="s">
        <v>706</v>
      </c>
      <c r="E12" s="740"/>
      <c r="F12" s="738"/>
      <c r="H12" s="737" t="s">
        <v>706</v>
      </c>
      <c r="I12" s="740"/>
      <c r="J12" s="738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45187.434027777774</v>
      </c>
      <c r="C14" s="204">
        <v>5</v>
      </c>
      <c r="D14" s="224">
        <f t="shared" ref="D14:D20" si="0">baseTemp+H14</f>
        <v>15.100000000000001</v>
      </c>
      <c r="E14" s="225">
        <f>$C$8+I14</f>
        <v>221</v>
      </c>
      <c r="F14" s="226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7">
        <f t="shared" ref="B15:B23" si="1">$C$6+C15/1440</f>
        <v>45187.451388888891</v>
      </c>
      <c r="C15" s="210">
        <v>30</v>
      </c>
      <c r="D15" s="228">
        <f t="shared" si="0"/>
        <v>14.5</v>
      </c>
      <c r="E15" s="229">
        <f t="shared" ref="E15:E20" si="2">$C$8+I15</f>
        <v>231</v>
      </c>
      <c r="F15" s="230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7">
        <f t="shared" si="1"/>
        <v>45187.472222222219</v>
      </c>
      <c r="C16" s="210">
        <v>60</v>
      </c>
      <c r="D16" s="228">
        <f t="shared" si="0"/>
        <v>14.600000000000001</v>
      </c>
      <c r="E16" s="229">
        <f t="shared" si="2"/>
        <v>217</v>
      </c>
      <c r="F16" s="230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7">
        <f t="shared" si="1"/>
        <v>45187.513888888891</v>
      </c>
      <c r="C17" s="210">
        <v>120</v>
      </c>
      <c r="D17" s="228">
        <f t="shared" si="0"/>
        <v>15</v>
      </c>
      <c r="E17" s="229">
        <f t="shared" si="2"/>
        <v>204</v>
      </c>
      <c r="F17" s="230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7">
        <f t="shared" si="1"/>
        <v>45187.597222222219</v>
      </c>
      <c r="C18" s="210">
        <v>240</v>
      </c>
      <c r="D18" s="228">
        <f t="shared" si="0"/>
        <v>14.9</v>
      </c>
      <c r="E18" s="229">
        <f t="shared" si="2"/>
        <v>208</v>
      </c>
      <c r="F18" s="230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7">
        <f t="shared" si="1"/>
        <v>45187.763888888891</v>
      </c>
      <c r="C19" s="210">
        <v>480</v>
      </c>
      <c r="D19" s="231">
        <f t="shared" si="0"/>
        <v>14.600000000000001</v>
      </c>
      <c r="E19" s="229">
        <f t="shared" si="2"/>
        <v>230</v>
      </c>
      <c r="F19" s="230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7">
        <f t="shared" si="1"/>
        <v>45188.430555555555</v>
      </c>
      <c r="C20" s="210">
        <v>1440</v>
      </c>
      <c r="D20" s="228">
        <f t="shared" si="0"/>
        <v>14.600000000000001</v>
      </c>
      <c r="E20" s="229">
        <f t="shared" si="2"/>
        <v>207</v>
      </c>
      <c r="F20" s="230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7">
        <f t="shared" si="1"/>
        <v>45188.597222222219</v>
      </c>
      <c r="C21" s="210">
        <v>1680</v>
      </c>
      <c r="D21" s="228">
        <f>$D$20</f>
        <v>14.600000000000001</v>
      </c>
      <c r="E21" s="229">
        <f>$E$20</f>
        <v>207</v>
      </c>
      <c r="F21" s="230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7">
        <f t="shared" si="1"/>
        <v>45188.763888888891</v>
      </c>
      <c r="C22" s="210">
        <v>1920</v>
      </c>
      <c r="D22" s="228">
        <f t="shared" ref="D22:D23" si="4">$D$20</f>
        <v>14.600000000000001</v>
      </c>
      <c r="E22" s="229">
        <f t="shared" ref="E22:E23" si="5">$E$20</f>
        <v>207</v>
      </c>
      <c r="F22" s="230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7">
        <f t="shared" si="1"/>
        <v>45189.430555555555</v>
      </c>
      <c r="C23" s="210">
        <v>2880</v>
      </c>
      <c r="D23" s="228">
        <f t="shared" si="4"/>
        <v>14.600000000000001</v>
      </c>
      <c r="E23" s="229">
        <f t="shared" si="5"/>
        <v>207</v>
      </c>
      <c r="F23" s="230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41" t="s">
        <v>36</v>
      </c>
      <c r="C24" s="742"/>
      <c r="D24" s="221">
        <f>MAX(D14:D23)</f>
        <v>15.100000000000001</v>
      </c>
      <c r="E24" s="222">
        <f t="shared" ref="E24:F24" si="7">MAX(E14:E23)</f>
        <v>231</v>
      </c>
      <c r="F24" s="199">
        <f t="shared" si="7"/>
        <v>7.0100000000000007</v>
      </c>
      <c r="H24" s="30"/>
      <c r="I24" s="30"/>
      <c r="J24" s="30"/>
    </row>
    <row r="25" spans="2:14" s="31" customFormat="1" ht="26.1" customHeight="1">
      <c r="B25" s="741" t="s">
        <v>37</v>
      </c>
      <c r="C25" s="742"/>
      <c r="D25" s="221">
        <f>MIN(D14:D23)</f>
        <v>14.5</v>
      </c>
      <c r="E25" s="222">
        <f t="shared" ref="E25:F25" si="8">MIN(E14:E23)</f>
        <v>204</v>
      </c>
      <c r="F25" s="199">
        <f t="shared" si="8"/>
        <v>6.78</v>
      </c>
      <c r="H25" s="30"/>
      <c r="I25" s="30"/>
      <c r="J25" s="30"/>
    </row>
    <row r="26" spans="2:14" s="31" customFormat="1" ht="26.1" customHeight="1" thickBot="1">
      <c r="B26" s="735" t="s">
        <v>90</v>
      </c>
      <c r="C26" s="736"/>
      <c r="D26" s="232">
        <f>D24-D25</f>
        <v>0.60000000000000142</v>
      </c>
      <c r="E26" s="233">
        <f t="shared" ref="E26:F26" si="9">E24-E25</f>
        <v>27</v>
      </c>
      <c r="F26" s="213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9425" r:id="rId4" name="CommandButton2">
          <controlPr defaultSize="0" autoLine="0" r:id="rId5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359425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 지정된 범위</vt:lpstr>
      </vt:variant>
      <vt:variant>
        <vt:i4>41</vt:i4>
      </vt:variant>
    </vt:vector>
  </HeadingPairs>
  <TitlesOfParts>
    <vt:vector size="70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7</vt:lpstr>
      <vt:lpstr>Q1</vt:lpstr>
      <vt:lpstr>Q2</vt:lpstr>
      <vt:lpstr>Q3</vt:lpstr>
      <vt:lpstr>p1</vt:lpstr>
      <vt:lpstr>p2</vt:lpstr>
      <vt:lpstr>p3</vt:lpstr>
      <vt:lpstr>p4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'p4'!baseTemp</vt:lpstr>
      <vt:lpstr>'Q1'!baseTemp</vt:lpstr>
      <vt:lpstr>'Q2'!baseTemp</vt:lpstr>
      <vt:lpstr>'Q3'!baseTemp</vt:lpstr>
      <vt:lpstr>'p1'!baseTemp2</vt:lpstr>
      <vt:lpstr>'p2'!baseTemp2</vt:lpstr>
      <vt:lpstr>'p3'!baseTemp2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2024-05-28T00:11:07Z</dcterms:modified>
</cp:coreProperties>
</file>