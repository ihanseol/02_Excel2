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F81B724-85C0-462C-AEA3-E25AF7C67F43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<sst xmlns="http://schemas.openxmlformats.org/spreadsheetml/2006/main" count="1419" uniqueCount="348">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</sst>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10" Type="http://schemas.openxmlformats.org/officeDocument/2006/relationships/image" Target="../media/image1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6" Type="http://schemas.openxmlformats.org/officeDocument/2006/relationships/image" Target="../media/image30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85725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38099</xdr:colOff>
      <xdr:row>28</xdr:row>
      <xdr:rowOff>57149</xdr:rowOff>
    </xdr:from>
    <xdr:to>
      <xdr:col>12</xdr:col>
      <xdr:colOff>89347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12</xdr:col>
      <xdr:colOff>92970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Relationship Id="rId14" Type="http://schemas.openxmlformats.org/officeDocument/2006/relationships/control" Target="../activeX/activeX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40.emf"/><Relationship Id="rId5" Type="http://schemas.openxmlformats.org/officeDocument/2006/relationships/image" Target="../media/image38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0.xml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7" sqref="S27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487" t="s">
        <v>5</v>
      </c>
      <c r="F8" s="487"/>
      <c r="G8" s="487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6" t="s">
        <v>7</v>
      </c>
      <c r="G9" s="486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486" t="s">
        <v>8</v>
      </c>
      <c r="G10" s="486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486" t="s">
        <v>9</v>
      </c>
      <c r="G11" s="486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486" t="s">
        <v>10</v>
      </c>
      <c r="G12" s="486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487" t="s">
        <v>11</v>
      </c>
      <c r="F13" s="487"/>
      <c r="G13" s="487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486" t="s">
        <v>7</v>
      </c>
      <c r="G14" s="486"/>
    </row>
    <row r="15" spans="1:19" s="6" customFormat="1">
      <c r="A15" s="330"/>
      <c r="B15" s="330"/>
      <c r="C15" s="330"/>
      <c r="D15" s="330"/>
      <c r="E15" s="332">
        <v>1</v>
      </c>
      <c r="F15" s="486" t="s">
        <v>8</v>
      </c>
      <c r="G15" s="486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6" t="s">
        <v>9</v>
      </c>
      <c r="G16" s="486"/>
      <c r="Q16" s="508" t="s">
        <v>347</v>
      </c>
      <c r="R16" s="509"/>
      <c r="S16" s="510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486" t="s">
        <v>10</v>
      </c>
      <c r="G17" s="486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488" t="s">
        <v>14</v>
      </c>
      <c r="B26" s="488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488" t="s">
        <v>15</v>
      </c>
      <c r="B27" s="488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89" t="s">
        <v>337</v>
      </c>
      <c r="J44" s="490"/>
      <c r="K44" s="491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3" t="s">
        <v>338</v>
      </c>
      <c r="J45" s="494"/>
      <c r="K45" s="495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492" t="s">
        <v>36</v>
      </c>
      <c r="D46" s="492"/>
      <c r="E46" s="330"/>
      <c r="F46" s="330"/>
      <c r="G46" s="330"/>
      <c r="H46" s="371" t="s">
        <v>37</v>
      </c>
      <c r="I46" s="489" t="s">
        <v>336</v>
      </c>
      <c r="J46" s="490"/>
      <c r="K46" s="491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492" t="s">
        <v>40</v>
      </c>
      <c r="D47" s="492"/>
      <c r="E47" s="330"/>
      <c r="F47" s="330"/>
      <c r="G47" s="330"/>
      <c r="H47" s="371" t="s">
        <v>41</v>
      </c>
      <c r="I47" s="496" t="s">
        <v>339</v>
      </c>
      <c r="J47" s="497"/>
      <c r="K47" s="498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0" t="s">
        <v>291</v>
      </c>
      <c r="K48" s="520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1">
        <f>LongTest!C10</f>
        <v>45454.472222222219</v>
      </c>
      <c r="J49" s="521"/>
      <c r="K49" s="521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5"/>
      <c r="K50" s="526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2"/>
      <c r="J51" s="523"/>
      <c r="K51" s="524"/>
      <c r="L51" s="389" t="s">
        <v>52</v>
      </c>
      <c r="M51" s="377">
        <v>150</v>
      </c>
      <c r="O51" s="6">
        <f>M51</f>
        <v>150</v>
      </c>
      <c r="P51" s="390">
        <f>ROUND((O51/O52)*100,1)</f>
        <v>172.4</v>
      </c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O52" s="6">
        <f>M53</f>
        <v>87</v>
      </c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7" t="s">
        <v>241</v>
      </c>
      <c r="J53" s="507"/>
      <c r="K53" s="507"/>
      <c r="L53" s="507"/>
      <c r="M53" s="396">
        <v>87</v>
      </c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 s="401"/>
    </row>
    <row r="56" spans="1:24" ht="17.25" thickBot="1">
      <c r="A56" s="397"/>
    </row>
    <row r="57" spans="1:24" s="6" customFormat="1" ht="18" customHeight="1">
      <c r="A57" s="150"/>
      <c r="B57" s="402" t="s">
        <v>60</v>
      </c>
      <c r="C57" s="402" t="s">
        <v>61</v>
      </c>
      <c r="D57" s="517" t="s">
        <v>62</v>
      </c>
      <c r="E57" s="518"/>
      <c r="F57" s="517" t="s">
        <v>61</v>
      </c>
      <c r="G57" s="518"/>
      <c r="H57" s="402" t="s">
        <v>63</v>
      </c>
      <c r="I57" s="403">
        <f>M50</f>
        <v>15.879999999999999</v>
      </c>
      <c r="J57" s="402" t="s">
        <v>64</v>
      </c>
      <c r="K57" s="402" t="s">
        <v>65</v>
      </c>
      <c r="L57" s="517" t="s">
        <v>66</v>
      </c>
      <c r="M57" s="519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404">
        <f>SkinFactor!D4</f>
        <v>6.3520341974657759</v>
      </c>
      <c r="C58" s="392"/>
      <c r="D58" s="511">
        <f>SkinFactor!E10</f>
        <v>8.029E-2</v>
      </c>
      <c r="E58" s="512"/>
      <c r="F58" s="511"/>
      <c r="G58" s="512"/>
      <c r="H58" s="392" t="s">
        <v>68</v>
      </c>
      <c r="I58" s="405">
        <f>C62/M46</f>
        <v>4.8120481927710845E-2</v>
      </c>
      <c r="J58" s="392" t="s">
        <v>69</v>
      </c>
      <c r="K58" s="406">
        <f>SQRT(6*I57*I58*I60/I59)</f>
        <v>43.312700017946646</v>
      </c>
      <c r="L58" s="392" t="s">
        <v>70</v>
      </c>
      <c r="M58" s="407" t="s">
        <v>71</v>
      </c>
    </row>
    <row r="59" spans="1:24" s="6" customFormat="1" ht="18" customHeight="1">
      <c r="A59" s="148" t="s">
        <v>72</v>
      </c>
      <c r="B59" s="404">
        <f>SkinFactor!D5</f>
        <v>4.1534000000000004</v>
      </c>
      <c r="C59" s="499">
        <f>B59</f>
        <v>4.1534000000000004</v>
      </c>
      <c r="D59" s="501">
        <f>SkinFactor!I16</f>
        <v>9.165E-4</v>
      </c>
      <c r="E59" s="502"/>
      <c r="F59" s="503">
        <f>INT((D59+D60)/1*10000000)/10000000</f>
        <v>9.165E-4</v>
      </c>
      <c r="G59" s="504"/>
      <c r="H59" s="392" t="s">
        <v>32</v>
      </c>
      <c r="I59" s="392">
        <f>F62</f>
        <v>9.165E-4</v>
      </c>
      <c r="J59" s="392" t="s">
        <v>73</v>
      </c>
      <c r="K59" s="406">
        <f>3*SQRT((I57*I58*I60/I59))</f>
        <v>53.047007213102539</v>
      </c>
      <c r="L59" s="406"/>
      <c r="M59" s="408"/>
    </row>
    <row r="60" spans="1:24" s="6" customFormat="1" ht="18" customHeight="1">
      <c r="A60" s="148" t="s">
        <v>74</v>
      </c>
      <c r="B60" s="404"/>
      <c r="C60" s="500"/>
      <c r="D60" s="501"/>
      <c r="E60" s="502"/>
      <c r="F60" s="505"/>
      <c r="G60" s="506"/>
      <c r="H60" s="409">
        <f>LongTest!AE33</f>
        <v>720</v>
      </c>
      <c r="I60" s="405">
        <f>SkinFactor!H16</f>
        <v>0.375</v>
      </c>
      <c r="J60" s="392" t="s">
        <v>75</v>
      </c>
      <c r="K60" s="406">
        <f>SQRT(2.25*I61*I60/I59)</f>
        <v>60.637974846241001</v>
      </c>
      <c r="L60" s="406"/>
      <c r="M60" s="408"/>
    </row>
    <row r="61" spans="1:24" s="6" customFormat="1" ht="18" customHeight="1">
      <c r="A61" s="148" t="s">
        <v>76</v>
      </c>
      <c r="B61" s="404">
        <f>SkinFactor!H13</f>
        <v>3.8359999999999999</v>
      </c>
      <c r="C61" s="392">
        <f>B61</f>
        <v>3.8359999999999999</v>
      </c>
      <c r="D61" s="511"/>
      <c r="E61" s="512"/>
      <c r="F61" s="511"/>
      <c r="G61" s="512"/>
      <c r="H61" s="392" t="s">
        <v>28</v>
      </c>
      <c r="I61" s="392">
        <f>C62</f>
        <v>3.9940000000000002</v>
      </c>
      <c r="J61" s="392" t="s">
        <v>77</v>
      </c>
      <c r="K61" s="406">
        <f>((K58+K59+K60)/3)</f>
        <v>52.332560692430064</v>
      </c>
      <c r="L61" s="406"/>
      <c r="M61" s="408"/>
    </row>
    <row r="62" spans="1:24" s="6" customFormat="1" ht="18" customHeight="1" thickBot="1">
      <c r="A62" s="149" t="s">
        <v>61</v>
      </c>
      <c r="B62" s="410"/>
      <c r="C62" s="411">
        <f>INT((C58+C59+C61)*1000/2)/1000</f>
        <v>3.9940000000000002</v>
      </c>
      <c r="D62" s="513"/>
      <c r="E62" s="514"/>
      <c r="F62" s="515">
        <f>F59</f>
        <v>9.165E-4</v>
      </c>
      <c r="G62" s="516"/>
      <c r="H62" s="412" t="s">
        <v>78</v>
      </c>
      <c r="I62" s="413">
        <v>70.33</v>
      </c>
      <c r="J62" s="412" t="s">
        <v>79</v>
      </c>
      <c r="K62" s="414">
        <f>MAX(K58:K60)</f>
        <v>60.637974846241001</v>
      </c>
      <c r="L62" s="415"/>
      <c r="M62" s="416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8" customFormat="1" ht="97.5" customHeight="1" thickBot="1">
      <c r="A64" s="417"/>
      <c r="B64" s="417"/>
      <c r="C64" s="417"/>
      <c r="D64" s="417"/>
      <c r="E64" s="417"/>
      <c r="F64" s="417"/>
      <c r="G64" s="417"/>
      <c r="Q64" s="419" t="s">
        <v>340</v>
      </c>
      <c r="R64" s="420" t="s">
        <v>341</v>
      </c>
      <c r="S64" s="420" t="s">
        <v>342</v>
      </c>
      <c r="T64" s="420" t="s">
        <v>343</v>
      </c>
      <c r="U64" s="420" t="s">
        <v>344</v>
      </c>
      <c r="V64" s="420" t="s">
        <v>218</v>
      </c>
      <c r="W64" s="420" t="s">
        <v>219</v>
      </c>
      <c r="X64" s="421" t="s">
        <v>220</v>
      </c>
    </row>
    <row r="69" spans="17:17">
      <c r="Q69" s="422"/>
    </row>
    <row r="70" spans="17:17">
      <c r="Q70" s="422"/>
    </row>
    <row r="71" spans="17:17">
      <c r="Q71" s="422"/>
    </row>
    <row r="72" spans="17:17">
      <c r="Q72" s="422"/>
    </row>
    <row r="73" spans="17:17">
      <c r="Q73" s="422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20" name="CommandButton_CB1"/>
      </mc:Fallback>
    </mc:AlternateContent>
    <mc:AlternateContent xmlns:mc="http://schemas.openxmlformats.org/markup-compatibility/2006">
      <mc:Choice Requires="x14">
        <control shapeId="1069" r:id="rId22" name="CommandButton_ResetScreenSize">
          <controlPr defaultSize="0" autoLine="0" r:id="rId23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22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4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9">
        <f>LongTest!F101</f>
        <v>11.18848160450383</v>
      </c>
      <c r="D10" s="16" t="s">
        <v>235</v>
      </c>
      <c r="E10" s="425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9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3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6">
        <v>3.8359999999999999</v>
      </c>
      <c r="I13" s="428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7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3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3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5" zoomScaleNormal="100" zoomScaleSheetLayoutView="100" workbookViewId="0">
      <selection activeCell="T14" sqref="T14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41" bestFit="1" customWidth="1"/>
    <col min="19" max="19" width="4.125" style="441" bestFit="1" customWidth="1"/>
    <col min="20" max="20" width="5.5" style="441" bestFit="1" customWidth="1"/>
    <col min="21" max="21" width="7.5" style="454" bestFit="1" customWidth="1"/>
    <col min="22" max="23" width="8.75" style="441" customWidth="1"/>
    <col min="24" max="24" width="9.125" style="441" customWidth="1"/>
    <col min="25" max="25" width="7.375" style="441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4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5"/>
      <c r="S2" s="455"/>
      <c r="T2" s="456" t="s">
        <v>155</v>
      </c>
      <c r="U2" s="457"/>
      <c r="V2" s="456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8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9">
        <f>B12</f>
        <v>94</v>
      </c>
      <c r="S4" s="213">
        <f>$R$4</f>
        <v>94</v>
      </c>
      <c r="T4" s="477">
        <v>6.3520341974657759</v>
      </c>
      <c r="U4" s="459">
        <f>Input!M44/2/1000</f>
        <v>0.1</v>
      </c>
      <c r="V4" s="460">
        <v>5.0000000000000001E-4</v>
      </c>
      <c r="W4" s="213">
        <f t="shared" ref="W4:W43" si="0">X4/1440</f>
        <v>6.9444444444444447E-4</v>
      </c>
      <c r="X4" s="430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61">
        <f>INT((AC4-AE4)*100)/100</f>
        <v>1</v>
      </c>
      <c r="AE4" s="462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3">
        <f>$U4</f>
        <v>0.1</v>
      </c>
      <c r="V5" s="213">
        <f>$V4</f>
        <v>5.0000000000000001E-4</v>
      </c>
      <c r="W5" s="213">
        <f t="shared" si="0"/>
        <v>1.3888888888888889E-3</v>
      </c>
      <c r="X5" s="430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61">
        <f t="shared" ref="AD5:AD16" si="8">INT((AC5-AE5)*100)/100</f>
        <v>1.82</v>
      </c>
      <c r="AE5" s="462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3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30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61">
        <f t="shared" si="8"/>
        <v>2.2999999999999998</v>
      </c>
      <c r="AE6" s="462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주식회사 한일지하수</v>
      </c>
      <c r="D7" s="196"/>
      <c r="E7" s="187"/>
      <c r="F7" s="197"/>
      <c r="G7" s="198">
        <f>Input!I49</f>
        <v>45454.472222222219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3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30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61">
        <f t="shared" si="8"/>
        <v>2.63</v>
      </c>
      <c r="AE7" s="462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5</v>
      </c>
      <c r="D8" s="531"/>
      <c r="E8" s="532"/>
      <c r="F8" s="202" t="s">
        <v>165</v>
      </c>
      <c r="G8" s="198">
        <f>G7</f>
        <v>45454.472222222219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3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30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61">
        <f t="shared" si="8"/>
        <v>2.9</v>
      </c>
      <c r="AE8" s="462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200</v>
      </c>
      <c r="E9" s="533"/>
      <c r="F9" s="185" t="s">
        <v>168</v>
      </c>
      <c r="G9" s="534">
        <f>Input!M45</f>
        <v>100</v>
      </c>
      <c r="H9" s="534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3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30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61">
        <f t="shared" si="8"/>
        <v>3.71</v>
      </c>
      <c r="AE9" s="462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9.4499999999999993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3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30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61">
        <f t="shared" si="8"/>
        <v>4.1900000000000004</v>
      </c>
      <c r="AE10" s="462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3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30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61">
        <f t="shared" si="8"/>
        <v>4.53</v>
      </c>
      <c r="AE11" s="462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45489.458333333336</v>
      </c>
      <c r="D12" s="527">
        <v>1</v>
      </c>
      <c r="E12" s="527"/>
      <c r="F12" s="210">
        <f>G12+$D$10</f>
        <v>10.45</v>
      </c>
      <c r="G12" s="528">
        <f>AD4</f>
        <v>1</v>
      </c>
      <c r="H12" s="528"/>
      <c r="I12" s="185" t="s">
        <v>177</v>
      </c>
      <c r="J12" s="475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3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30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61">
        <f t="shared" si="8"/>
        <v>4.79</v>
      </c>
      <c r="AE12" s="462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11.27</v>
      </c>
      <c r="G13" s="528">
        <f t="shared" ref="G13:G51" si="14">AD5</f>
        <v>1.82</v>
      </c>
      <c r="H13" s="528"/>
      <c r="I13" s="211"/>
      <c r="J13" s="476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3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30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61">
        <f t="shared" si="8"/>
        <v>5</v>
      </c>
      <c r="AE13" s="462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11.75</v>
      </c>
      <c r="G14" s="528">
        <f t="shared" si="14"/>
        <v>2.2999999999999998</v>
      </c>
      <c r="H14" s="528"/>
      <c r="I14" s="211"/>
      <c r="J14" s="476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3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30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61">
        <f t="shared" si="8"/>
        <v>5.19</v>
      </c>
      <c r="AE14" s="462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12.079999999999998</v>
      </c>
      <c r="G15" s="528">
        <f t="shared" si="14"/>
        <v>2.63</v>
      </c>
      <c r="H15" s="528"/>
      <c r="I15" s="211"/>
      <c r="J15" s="476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3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30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61">
        <f t="shared" si="8"/>
        <v>5.34</v>
      </c>
      <c r="AE15" s="462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12.35</v>
      </c>
      <c r="G16" s="528">
        <f t="shared" si="14"/>
        <v>2.9</v>
      </c>
      <c r="H16" s="528"/>
      <c r="I16" s="211"/>
      <c r="J16" s="476">
        <f t="shared" si="15"/>
        <v>0.27</v>
      </c>
      <c r="K16" s="481" t="s">
        <v>245</v>
      </c>
      <c r="L16" s="482" t="s">
        <v>178</v>
      </c>
      <c r="M16" s="482" t="s">
        <v>179</v>
      </c>
      <c r="N16" s="482" t="s">
        <v>243</v>
      </c>
      <c r="O16" s="482" t="s">
        <v>244</v>
      </c>
      <c r="P16" s="483" t="s">
        <v>246</v>
      </c>
      <c r="R16" s="213"/>
      <c r="S16" s="213">
        <f t="shared" si="3"/>
        <v>94</v>
      </c>
      <c r="T16" s="213">
        <f t="shared" si="10"/>
        <v>6.3520341974657759</v>
      </c>
      <c r="U16" s="463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30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61">
        <f t="shared" si="8"/>
        <v>5.48</v>
      </c>
      <c r="AE16" s="462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13.16</v>
      </c>
      <c r="G17" s="528">
        <f t="shared" si="14"/>
        <v>3.71</v>
      </c>
      <c r="H17" s="528"/>
      <c r="I17" s="211"/>
      <c r="J17" s="476">
        <f t="shared" si="15"/>
        <v>0.81</v>
      </c>
      <c r="K17" s="464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5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3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30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61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13.64</v>
      </c>
      <c r="G18" s="528">
        <f t="shared" si="14"/>
        <v>4.1900000000000004</v>
      </c>
      <c r="H18" s="528"/>
      <c r="I18" s="211"/>
      <c r="J18" s="476">
        <f t="shared" si="15"/>
        <v>0.48000000000000043</v>
      </c>
      <c r="K18" s="464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5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3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30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61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13.98</v>
      </c>
      <c r="G19" s="528">
        <f t="shared" si="14"/>
        <v>4.53</v>
      </c>
      <c r="H19" s="528"/>
      <c r="I19" s="211"/>
      <c r="J19" s="476">
        <f t="shared" si="15"/>
        <v>0.33999999999999986</v>
      </c>
      <c r="K19" s="464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5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3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30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61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14.239999999999998</v>
      </c>
      <c r="G20" s="528">
        <f t="shared" si="14"/>
        <v>4.79</v>
      </c>
      <c r="H20" s="528"/>
      <c r="I20" s="211"/>
      <c r="J20" s="476">
        <f t="shared" si="15"/>
        <v>0.25999999999999979</v>
      </c>
      <c r="K20" s="464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5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3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30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61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14.45</v>
      </c>
      <c r="G21" s="528">
        <f t="shared" si="14"/>
        <v>5</v>
      </c>
      <c r="H21" s="528"/>
      <c r="I21" s="211"/>
      <c r="J21" s="476">
        <f t="shared" si="15"/>
        <v>0.20999999999999996</v>
      </c>
      <c r="K21" s="464">
        <f t="shared" si="18"/>
        <v>5</v>
      </c>
      <c r="L21" s="484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4">
        <f>INT(M21/N21*100)/100</f>
        <v>10.37</v>
      </c>
      <c r="P21" s="465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3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30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61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14.64</v>
      </c>
      <c r="G22" s="528">
        <f t="shared" si="14"/>
        <v>5.19</v>
      </c>
      <c r="H22" s="528"/>
      <c r="I22" s="185"/>
      <c r="J22" s="476">
        <f t="shared" si="15"/>
        <v>0.19000000000000039</v>
      </c>
      <c r="K22" s="464">
        <f t="shared" si="18"/>
        <v>10</v>
      </c>
      <c r="L22" s="484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4">
        <f t="shared" ref="O22:O30" si="21">INT(M22/N22*100)/100</f>
        <v>20.75</v>
      </c>
      <c r="P22" s="465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3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30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61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14.79</v>
      </c>
      <c r="G23" s="528">
        <f t="shared" si="14"/>
        <v>5.34</v>
      </c>
      <c r="H23" s="528"/>
      <c r="I23" s="185"/>
      <c r="J23" s="476">
        <f t="shared" si="15"/>
        <v>0.14999999999999947</v>
      </c>
      <c r="K23" s="464">
        <f t="shared" si="18"/>
        <v>15</v>
      </c>
      <c r="L23" s="484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4">
        <f t="shared" si="21"/>
        <v>31.13</v>
      </c>
      <c r="P23" s="465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3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30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61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14.93</v>
      </c>
      <c r="G24" s="528">
        <f t="shared" si="14"/>
        <v>5.48</v>
      </c>
      <c r="H24" s="528"/>
      <c r="I24" s="185"/>
      <c r="J24" s="476">
        <f t="shared" si="15"/>
        <v>0.14000000000000057</v>
      </c>
      <c r="K24" s="464">
        <f t="shared" si="18"/>
        <v>20</v>
      </c>
      <c r="L24" s="484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4">
        <f t="shared" si="21"/>
        <v>41.51</v>
      </c>
      <c r="P24" s="465">
        <f t="shared" si="22"/>
        <v>-36.979999999999997</v>
      </c>
      <c r="R24" s="429">
        <f>B32</f>
        <v>120</v>
      </c>
      <c r="S24" s="213">
        <f>$R$24</f>
        <v>120</v>
      </c>
      <c r="T24" s="213">
        <f t="shared" si="10"/>
        <v>6.3520341974657759</v>
      </c>
      <c r="U24" s="463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30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61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15.059999999999999</v>
      </c>
      <c r="G25" s="528">
        <f t="shared" si="14"/>
        <v>5.61</v>
      </c>
      <c r="H25" s="528"/>
      <c r="I25" s="185"/>
      <c r="J25" s="476">
        <f t="shared" si="15"/>
        <v>0.12999999999999989</v>
      </c>
      <c r="K25" s="464">
        <f t="shared" si="18"/>
        <v>25</v>
      </c>
      <c r="L25" s="484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4">
        <f t="shared" si="21"/>
        <v>51.89</v>
      </c>
      <c r="P25" s="465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3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30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61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15.169999999999998</v>
      </c>
      <c r="G26" s="528">
        <f t="shared" si="14"/>
        <v>5.72</v>
      </c>
      <c r="H26" s="528"/>
      <c r="I26" s="185"/>
      <c r="J26" s="476">
        <f t="shared" si="15"/>
        <v>0.10999999999999943</v>
      </c>
      <c r="K26" s="464">
        <f t="shared" si="18"/>
        <v>30</v>
      </c>
      <c r="L26" s="484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5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3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30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61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45489.5</v>
      </c>
      <c r="D27" s="527">
        <v>60</v>
      </c>
      <c r="E27" s="527"/>
      <c r="F27" s="210">
        <f t="shared" si="13"/>
        <v>15.27</v>
      </c>
      <c r="G27" s="528">
        <f t="shared" si="14"/>
        <v>5.82</v>
      </c>
      <c r="H27" s="528"/>
      <c r="I27" s="185"/>
      <c r="J27" s="476">
        <f t="shared" si="15"/>
        <v>0.10000000000000053</v>
      </c>
      <c r="K27" s="464">
        <f t="shared" si="18"/>
        <v>35</v>
      </c>
      <c r="L27" s="484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5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3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30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61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15.53</v>
      </c>
      <c r="G28" s="528">
        <f t="shared" si="14"/>
        <v>6.08</v>
      </c>
      <c r="H28" s="528"/>
      <c r="I28" s="185"/>
      <c r="J28" s="476">
        <f t="shared" si="15"/>
        <v>0.25999999999999979</v>
      </c>
      <c r="K28" s="464">
        <f t="shared" si="18"/>
        <v>40</v>
      </c>
      <c r="L28" s="484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5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3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30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61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15.75</v>
      </c>
      <c r="G29" s="528">
        <f t="shared" si="14"/>
        <v>6.3</v>
      </c>
      <c r="H29" s="528"/>
      <c r="I29" s="185"/>
      <c r="J29" s="476">
        <f t="shared" si="15"/>
        <v>0.21999999999999975</v>
      </c>
      <c r="K29" s="464">
        <f t="shared" si="18"/>
        <v>45</v>
      </c>
      <c r="L29" s="484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5">
        <f t="shared" si="22"/>
        <v>-87.92</v>
      </c>
      <c r="R29" s="429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3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30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61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15.93</v>
      </c>
      <c r="G30" s="528">
        <f t="shared" si="14"/>
        <v>6.48</v>
      </c>
      <c r="H30" s="528"/>
      <c r="I30" s="185"/>
      <c r="J30" s="476">
        <f t="shared" si="15"/>
        <v>0.1800000000000006</v>
      </c>
      <c r="K30" s="464">
        <f t="shared" si="18"/>
        <v>50</v>
      </c>
      <c r="L30" s="484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5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3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30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61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16.09</v>
      </c>
      <c r="G31" s="528">
        <f t="shared" si="14"/>
        <v>6.64</v>
      </c>
      <c r="H31" s="528"/>
      <c r="I31" s="185"/>
      <c r="J31" s="476">
        <f t="shared" si="15"/>
        <v>0.15999999999999925</v>
      </c>
      <c r="K31" s="464">
        <f t="shared" si="18"/>
        <v>55</v>
      </c>
      <c r="L31" s="484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5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3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30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61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45489.548611111117</v>
      </c>
      <c r="D32" s="527">
        <v>130</v>
      </c>
      <c r="E32" s="527"/>
      <c r="F32" s="210">
        <f t="shared" si="13"/>
        <v>17.419999999999998</v>
      </c>
      <c r="G32" s="528">
        <f t="shared" si="14"/>
        <v>7.97</v>
      </c>
      <c r="H32" s="528"/>
      <c r="I32" s="185"/>
      <c r="J32" s="476">
        <f t="shared" si="15"/>
        <v>1.33</v>
      </c>
      <c r="K32" s="466">
        <f t="shared" si="18"/>
        <v>60</v>
      </c>
      <c r="L32" s="485">
        <f t="shared" si="20"/>
        <v>6.5199999999999994E-2</v>
      </c>
      <c r="M32" s="467">
        <f t="shared" si="17"/>
        <v>3.9119999999999995</v>
      </c>
      <c r="N32" s="467">
        <f t="shared" si="19"/>
        <v>3.141E-2</v>
      </c>
      <c r="O32" s="467">
        <f>INT(M32/N32*100)/100</f>
        <v>124.54</v>
      </c>
      <c r="P32" s="468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3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30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61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17.64</v>
      </c>
      <c r="G33" s="528">
        <f t="shared" si="14"/>
        <v>8.19</v>
      </c>
      <c r="H33" s="528"/>
      <c r="I33" s="185"/>
      <c r="J33" s="476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3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30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61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17.86</v>
      </c>
      <c r="G34" s="528">
        <f t="shared" si="14"/>
        <v>8.41</v>
      </c>
      <c r="H34" s="528"/>
      <c r="I34" s="185"/>
      <c r="J34" s="476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3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30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61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18.079999999999998</v>
      </c>
      <c r="G35" s="528">
        <f t="shared" si="14"/>
        <v>8.6300000000000008</v>
      </c>
      <c r="H35" s="528"/>
      <c r="I35" s="185"/>
      <c r="J35" s="476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3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30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61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18.309999999999999</v>
      </c>
      <c r="G36" s="528">
        <f t="shared" si="14"/>
        <v>8.86</v>
      </c>
      <c r="H36" s="528"/>
      <c r="I36" s="185"/>
      <c r="J36" s="476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3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30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61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45489.631944444445</v>
      </c>
      <c r="D37" s="527">
        <v>250</v>
      </c>
      <c r="E37" s="527"/>
      <c r="F37" s="210">
        <f t="shared" si="13"/>
        <v>19.799999999999997</v>
      </c>
      <c r="G37" s="528">
        <f t="shared" si="14"/>
        <v>10.35</v>
      </c>
      <c r="H37" s="528"/>
      <c r="I37" s="185"/>
      <c r="J37" s="476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3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30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61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20.049999999999997</v>
      </c>
      <c r="G38" s="528">
        <f t="shared" si="14"/>
        <v>10.6</v>
      </c>
      <c r="H38" s="528"/>
      <c r="I38" s="185"/>
      <c r="J38" s="476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3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30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61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20.299999999999997</v>
      </c>
      <c r="G39" s="528">
        <f t="shared" si="14"/>
        <v>10.85</v>
      </c>
      <c r="H39" s="528"/>
      <c r="I39" s="185"/>
      <c r="J39" s="476">
        <f t="shared" si="15"/>
        <v>0.25</v>
      </c>
      <c r="K39" s="46" t="s">
        <v>21</v>
      </c>
      <c r="L39" s="50" t="s">
        <v>21</v>
      </c>
      <c r="R39" s="429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3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30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61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20.549999999999997</v>
      </c>
      <c r="G40" s="528">
        <f t="shared" si="14"/>
        <v>11.1</v>
      </c>
      <c r="H40" s="528"/>
      <c r="I40" s="185"/>
      <c r="J40" s="476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3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30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61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20.799999999999997</v>
      </c>
      <c r="G41" s="528">
        <f t="shared" si="14"/>
        <v>11.35</v>
      </c>
      <c r="H41" s="528"/>
      <c r="I41" s="185"/>
      <c r="J41" s="476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3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30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61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45489.715277777781</v>
      </c>
      <c r="D42" s="527">
        <v>370</v>
      </c>
      <c r="E42" s="527"/>
      <c r="F42" s="210">
        <f t="shared" si="13"/>
        <v>22.46</v>
      </c>
      <c r="G42" s="528">
        <f t="shared" si="14"/>
        <v>13.01</v>
      </c>
      <c r="H42" s="528"/>
      <c r="I42" s="185"/>
      <c r="J42" s="476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3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30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61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22.74</v>
      </c>
      <c r="G43" s="528">
        <f t="shared" si="14"/>
        <v>13.29</v>
      </c>
      <c r="H43" s="528"/>
      <c r="I43" s="185"/>
      <c r="J43" s="476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3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30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61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23.02</v>
      </c>
      <c r="G44" s="528">
        <f t="shared" si="14"/>
        <v>13.57</v>
      </c>
      <c r="H44" s="528"/>
      <c r="I44" s="185"/>
      <c r="J44" s="476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3" t="s">
        <v>21</v>
      </c>
      <c r="V44" s="213" t="s">
        <v>21</v>
      </c>
      <c r="W44" s="213" t="s">
        <v>21</v>
      </c>
      <c r="X44" s="430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23.299999999999997</v>
      </c>
      <c r="G45" s="528">
        <f t="shared" si="14"/>
        <v>13.85</v>
      </c>
      <c r="H45" s="528"/>
      <c r="I45" s="185"/>
      <c r="J45" s="476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3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30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23.58</v>
      </c>
      <c r="G46" s="528">
        <f t="shared" si="14"/>
        <v>14.13</v>
      </c>
      <c r="H46" s="528"/>
      <c r="I46" s="185"/>
      <c r="J46" s="476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3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30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45489.798611111117</v>
      </c>
      <c r="D47" s="527">
        <v>490</v>
      </c>
      <c r="E47" s="527"/>
      <c r="F47" s="210">
        <f t="shared" si="13"/>
        <v>25.27</v>
      </c>
      <c r="G47" s="528">
        <f t="shared" si="14"/>
        <v>15.82</v>
      </c>
      <c r="H47" s="528"/>
      <c r="I47" s="185"/>
      <c r="J47" s="476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3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30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25.9</v>
      </c>
      <c r="G48" s="528">
        <f t="shared" si="14"/>
        <v>16.45</v>
      </c>
      <c r="H48" s="528"/>
      <c r="I48" s="185"/>
      <c r="J48" s="476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3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30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26.54</v>
      </c>
      <c r="G49" s="528">
        <f t="shared" si="14"/>
        <v>17.09</v>
      </c>
      <c r="H49" s="528"/>
      <c r="I49" s="185"/>
      <c r="J49" s="476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3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30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27.169999999999998</v>
      </c>
      <c r="G50" s="528">
        <f t="shared" si="14"/>
        <v>17.72</v>
      </c>
      <c r="H50" s="528"/>
      <c r="I50" s="185"/>
      <c r="J50" s="476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3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30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45489.875</v>
      </c>
      <c r="D51" s="527">
        <v>600</v>
      </c>
      <c r="E51" s="527"/>
      <c r="F51" s="210">
        <f t="shared" si="13"/>
        <v>27.81</v>
      </c>
      <c r="G51" s="528">
        <f t="shared" si="14"/>
        <v>18.36</v>
      </c>
      <c r="H51" s="528"/>
      <c r="I51" s="185" t="s">
        <v>180</v>
      </c>
      <c r="J51" s="476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3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30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3"/>
      <c r="V52" s="213"/>
      <c r="W52" s="213" t="s">
        <v>21</v>
      </c>
      <c r="X52" s="430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3"/>
      <c r="V53" s="213"/>
      <c r="W53" s="213" t="s">
        <v>21</v>
      </c>
      <c r="X53" s="430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3"/>
      <c r="V54" s="213"/>
      <c r="W54" s="213" t="s">
        <v>21</v>
      </c>
      <c r="X54" s="430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3"/>
      <c r="V55" s="213"/>
      <c r="W55" s="213" t="s">
        <v>21</v>
      </c>
      <c r="X55" s="430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3"/>
      <c r="V56" s="213"/>
      <c r="W56" s="213" t="s">
        <v>21</v>
      </c>
      <c r="X56" s="430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3"/>
      <c r="V57" s="213"/>
      <c r="W57" s="213" t="s">
        <v>21</v>
      </c>
      <c r="X57" s="430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3"/>
      <c r="V58" s="213"/>
      <c r="W58" s="213" t="s">
        <v>21</v>
      </c>
      <c r="X58" s="430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3"/>
      <c r="V59" s="213"/>
      <c r="W59" s="213" t="s">
        <v>21</v>
      </c>
      <c r="X59" s="430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3"/>
      <c r="V60" s="213"/>
      <c r="W60" s="213" t="s">
        <v>21</v>
      </c>
      <c r="X60" s="430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3"/>
      <c r="V61" s="213"/>
      <c r="W61" s="213" t="s">
        <v>21</v>
      </c>
      <c r="X61" s="430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3"/>
      <c r="V62" s="213"/>
      <c r="W62" s="213" t="s">
        <v>21</v>
      </c>
      <c r="X62" s="430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3"/>
      <c r="V63" s="213"/>
      <c r="W63" s="213" t="s">
        <v>21</v>
      </c>
      <c r="X63" s="430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3"/>
      <c r="V64" s="213"/>
      <c r="W64" s="213" t="s">
        <v>21</v>
      </c>
      <c r="X64" s="430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3"/>
      <c r="V65" s="213"/>
      <c r="W65" s="213" t="s">
        <v>21</v>
      </c>
      <c r="X65" s="430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3"/>
      <c r="V66" s="213"/>
      <c r="W66" s="213" t="s">
        <v>21</v>
      </c>
      <c r="X66" s="430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3"/>
      <c r="V67" s="213"/>
      <c r="W67" s="430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3"/>
      <c r="V68" s="213"/>
      <c r="W68" s="213" t="s">
        <v>21</v>
      </c>
      <c r="X68" s="430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3"/>
      <c r="V69" s="213"/>
      <c r="W69" s="213" t="s">
        <v>21</v>
      </c>
      <c r="X69" s="430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3"/>
      <c r="V70" s="213"/>
      <c r="W70" s="213" t="s">
        <v>21</v>
      </c>
      <c r="X70" s="430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3"/>
      <c r="V71" s="213"/>
      <c r="W71" s="213" t="s">
        <v>21</v>
      </c>
      <c r="X71" s="430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3"/>
      <c r="V72" s="213"/>
      <c r="W72" s="213" t="s">
        <v>21</v>
      </c>
      <c r="X72" s="430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3"/>
      <c r="V73" s="213"/>
      <c r="W73" s="213" t="s">
        <v>21</v>
      </c>
      <c r="X73" s="430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3"/>
      <c r="V74" s="213"/>
      <c r="W74" s="213" t="s">
        <v>21</v>
      </c>
      <c r="X74" s="430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3"/>
      <c r="V75" s="213"/>
      <c r="W75" s="213" t="s">
        <v>21</v>
      </c>
      <c r="X75" s="430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3"/>
      <c r="V76" s="213"/>
      <c r="W76" s="213" t="s">
        <v>21</v>
      </c>
      <c r="X76" s="430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3"/>
      <c r="V77" s="213"/>
      <c r="W77" s="213" t="s">
        <v>21</v>
      </c>
      <c r="X77" s="430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3"/>
      <c r="V78" s="213"/>
      <c r="W78" s="213" t="s">
        <v>21</v>
      </c>
      <c r="X78" s="430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3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3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3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3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3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3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3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3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3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3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3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3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3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3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3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3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3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3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3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3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3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3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3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3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3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3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3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3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3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3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3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3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3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3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3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3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3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3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3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3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3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3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3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3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3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3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3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3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3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3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3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3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3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3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3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3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3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3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3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3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3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3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3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3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3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3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3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3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3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3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3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3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3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3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3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3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3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3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3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3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3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3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3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3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3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3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3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3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3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3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3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3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3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3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3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3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3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3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3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3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3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3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3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3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3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3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3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3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3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3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3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3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3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3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3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3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3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3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3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3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3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3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3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3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3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3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3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3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3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3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3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3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3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3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3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3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3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3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3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3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3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3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3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3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3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3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3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3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3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3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3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3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3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3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3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3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3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3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3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3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3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3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3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3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3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3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3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3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3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3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3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3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3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3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3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3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3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3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3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3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3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3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3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3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3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3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3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3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3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3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3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3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3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3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3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3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3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3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3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3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3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3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3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3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3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3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3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3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3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3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3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3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3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3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3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3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3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3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3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3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3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3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3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3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3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3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3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3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3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3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3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3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3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3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3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3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3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3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3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3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3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3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3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3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3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3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3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3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3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3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3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3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3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3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3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3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3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3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3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3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3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3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3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3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3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3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3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3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3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3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3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3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3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3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3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3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3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3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3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3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3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3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3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3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3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3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3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3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3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3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3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3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3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3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3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3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3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3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3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3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3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3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3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3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3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3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3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3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3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3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3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3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3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3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3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3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3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3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3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3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3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3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3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3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3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3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3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3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3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3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3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3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3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3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3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3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3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3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3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3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3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3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3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3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3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3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3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3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3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3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3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3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3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3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3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3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3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3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3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3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N24" sqref="N24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3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41" customWidth="1"/>
    <col min="23" max="23" width="12.375" style="441" customWidth="1"/>
    <col min="24" max="24" width="5.375" style="441" customWidth="1"/>
    <col min="25" max="25" width="8.375" style="441" customWidth="1"/>
    <col min="26" max="26" width="9.875" style="441" customWidth="1"/>
    <col min="27" max="27" width="12.625" style="441" customWidth="1"/>
    <col min="28" max="28" width="6.375" style="442" customWidth="1"/>
    <col min="29" max="29" width="9" style="441" customWidth="1"/>
    <col min="30" max="30" width="8" style="441" customWidth="1"/>
    <col min="31" max="31" width="10.25" style="441" hidden="1" customWidth="1"/>
    <col min="32" max="33" width="10.125" style="441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1" t="s">
        <v>183</v>
      </c>
      <c r="O1" s="541"/>
      <c r="P1" s="443">
        <f>StepTest!G41</f>
        <v>11.35</v>
      </c>
      <c r="Q1" s="444" t="s">
        <v>184</v>
      </c>
      <c r="R1" s="445">
        <f>G35</f>
        <v>15.070280992763216</v>
      </c>
      <c r="S1" s="446">
        <f>D7/2000</f>
        <v>0.1</v>
      </c>
      <c r="T1" s="447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8">
        <f>G8</f>
        <v>25.330000000000002</v>
      </c>
      <c r="Q2" s="213"/>
      <c r="R2" s="213"/>
      <c r="S2" s="213"/>
      <c r="T2" s="213">
        <v>44</v>
      </c>
      <c r="U2" s="429">
        <f>B10</f>
        <v>150</v>
      </c>
      <c r="V2" s="429">
        <f>U2</f>
        <v>150</v>
      </c>
      <c r="W2" s="477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30">
        <f>D10</f>
        <v>1</v>
      </c>
      <c r="AB2" s="431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30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9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30">
        <f t="shared" ref="AA3:AA66" si="4">D11</f>
        <v>2</v>
      </c>
      <c r="AB3" s="431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30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9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30">
        <f t="shared" si="4"/>
        <v>3</v>
      </c>
      <c r="AB4" s="431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30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9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30">
        <f t="shared" si="4"/>
        <v>4</v>
      </c>
      <c r="AB5" s="431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30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5</v>
      </c>
      <c r="D6" s="542"/>
      <c r="E6" s="5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9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30">
        <f t="shared" si="4"/>
        <v>5</v>
      </c>
      <c r="AB6" s="431">
        <f t="shared" si="0"/>
        <v>17.529722669789603</v>
      </c>
      <c r="AC6" s="223">
        <f t="shared" si="5"/>
        <v>17.529722669789603</v>
      </c>
      <c r="AD6" s="213"/>
      <c r="AE6" s="430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9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30">
        <f t="shared" si="4"/>
        <v>10</v>
      </c>
      <c r="AB7" s="431">
        <f t="shared" si="0"/>
        <v>18.913946455482773</v>
      </c>
      <c r="AC7" s="223">
        <f t="shared" si="5"/>
        <v>18.913946455482773</v>
      </c>
      <c r="AD7" s="213"/>
      <c r="AE7" s="430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50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9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30">
        <f t="shared" si="4"/>
        <v>15</v>
      </c>
      <c r="AB8" s="431">
        <f t="shared" si="0"/>
        <v>19.723665462719559</v>
      </c>
      <c r="AC8" s="223">
        <f t="shared" si="5"/>
        <v>19.723665462719559</v>
      </c>
      <c r="AD8" s="213"/>
      <c r="AE8" s="430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51">
        <f>G8-D8</f>
        <v>15.880000000000003</v>
      </c>
      <c r="M9" s="45">
        <f t="shared" si="2"/>
        <v>-40.99</v>
      </c>
      <c r="N9" s="56"/>
      <c r="O9" s="179"/>
      <c r="P9" s="179"/>
      <c r="V9" s="429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30">
        <f t="shared" si="4"/>
        <v>20</v>
      </c>
      <c r="AB9" s="431">
        <f t="shared" si="0"/>
        <v>20.298170241175949</v>
      </c>
      <c r="AC9" s="223">
        <f t="shared" si="5"/>
        <v>20.298170241175949</v>
      </c>
      <c r="AD9" s="213"/>
      <c r="AE9" s="430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45454.472222222219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2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9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30">
        <f t="shared" si="4"/>
        <v>25</v>
      </c>
      <c r="AB10" s="431">
        <f t="shared" si="0"/>
        <v>20.743790767401922</v>
      </c>
      <c r="AC10" s="223">
        <f t="shared" si="5"/>
        <v>20.743790767401922</v>
      </c>
      <c r="AD10" s="213"/>
      <c r="AE10" s="430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9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30">
        <f t="shared" si="4"/>
        <v>30</v>
      </c>
      <c r="AB11" s="431">
        <f t="shared" si="0"/>
        <v>21.107889248412732</v>
      </c>
      <c r="AC11" s="223">
        <f t="shared" si="5"/>
        <v>21.107889248412732</v>
      </c>
      <c r="AD11" s="213"/>
      <c r="AE11" s="430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/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9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30">
        <f t="shared" si="4"/>
        <v>35</v>
      </c>
      <c r="AB12" s="431">
        <f t="shared" si="0"/>
        <v>21.415730127784542</v>
      </c>
      <c r="AC12" s="223">
        <f t="shared" si="5"/>
        <v>21.415730127784542</v>
      </c>
      <c r="AD12" s="213"/>
      <c r="AE12" s="430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9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30">
        <f t="shared" si="4"/>
        <v>40</v>
      </c>
      <c r="AB13" s="431">
        <f t="shared" si="0"/>
        <v>21.682394026869122</v>
      </c>
      <c r="AC13" s="223">
        <f t="shared" si="5"/>
        <v>21.682394026869122</v>
      </c>
      <c r="AD13" s="213"/>
      <c r="AE13" s="430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9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30">
        <f t="shared" si="4"/>
        <v>45</v>
      </c>
      <c r="AB14" s="431">
        <f t="shared" si="0"/>
        <v>21.917608255649519</v>
      </c>
      <c r="AC14" s="223">
        <f t="shared" si="5"/>
        <v>21.917608255649519</v>
      </c>
      <c r="AD14" s="213"/>
      <c r="AE14" s="430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9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30">
        <f t="shared" si="4"/>
        <v>50</v>
      </c>
      <c r="AB15" s="431">
        <f t="shared" si="0"/>
        <v>22.128014553095095</v>
      </c>
      <c r="AC15" s="223">
        <f t="shared" si="5"/>
        <v>22.128014553095095</v>
      </c>
      <c r="AD15" s="213"/>
      <c r="AE15" s="430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8" t="s">
        <v>245</v>
      </c>
      <c r="M16" s="479" t="s">
        <v>178</v>
      </c>
      <c r="N16" s="479" t="s">
        <v>179</v>
      </c>
      <c r="O16" s="479" t="s">
        <v>243</v>
      </c>
      <c r="P16" s="479" t="s">
        <v>244</v>
      </c>
      <c r="Q16" s="480" t="s">
        <v>246</v>
      </c>
      <c r="V16" s="429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30">
        <f t="shared" si="4"/>
        <v>55</v>
      </c>
      <c r="AB16" s="431">
        <f t="shared" si="0"/>
        <v>22.318350201286385</v>
      </c>
      <c r="AC16" s="223">
        <f t="shared" si="5"/>
        <v>22.318350201286385</v>
      </c>
      <c r="AD16" s="213"/>
      <c r="AE16" s="430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9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70">
        <f>INT((G10-P17)*100)/100</f>
        <v>0</v>
      </c>
      <c r="V17" s="429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30">
        <f t="shared" si="4"/>
        <v>60</v>
      </c>
      <c r="AB17" s="431">
        <f t="shared" si="0"/>
        <v>22.492113034105905</v>
      </c>
      <c r="AC17" s="223">
        <f t="shared" si="5"/>
        <v>22.492113034105905</v>
      </c>
      <c r="AD17" s="213"/>
      <c r="AE17" s="430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9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70">
        <f t="shared" ref="Q18:Q27" si="17">INT((G11-P18)*100)/100</f>
        <v>-1.93</v>
      </c>
      <c r="V18" s="429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30">
        <f t="shared" si="4"/>
        <v>75</v>
      </c>
      <c r="AB18" s="431">
        <f t="shared" si="0"/>
        <v>22.937733560331882</v>
      </c>
      <c r="AC18" s="223">
        <f t="shared" si="5"/>
        <v>22.937733560331882</v>
      </c>
      <c r="AD18" s="213"/>
      <c r="AE18" s="430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9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70">
        <f t="shared" si="17"/>
        <v>-4.4400000000000004</v>
      </c>
      <c r="V19" s="429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30">
        <f t="shared" si="4"/>
        <v>90</v>
      </c>
      <c r="AB19" s="431">
        <f t="shared" si="0"/>
        <v>23.301832041342692</v>
      </c>
      <c r="AC19" s="223">
        <f t="shared" si="5"/>
        <v>23.301832041342692</v>
      </c>
      <c r="AD19" s="213"/>
      <c r="AE19" s="430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9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70">
        <f t="shared" si="17"/>
        <v>-7.17</v>
      </c>
      <c r="V20" s="429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30">
        <f t="shared" si="4"/>
        <v>105</v>
      </c>
      <c r="AB20" s="431">
        <f t="shared" si="0"/>
        <v>23.609672920714498</v>
      </c>
      <c r="AC20" s="223">
        <f t="shared" si="5"/>
        <v>23.609672920714498</v>
      </c>
      <c r="AD20" s="213"/>
      <c r="AE20" s="430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9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70">
        <f t="shared" si="17"/>
        <v>-10.050000000000001</v>
      </c>
      <c r="V21" s="429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30">
        <f t="shared" si="4"/>
        <v>120</v>
      </c>
      <c r="AB21" s="431">
        <f t="shared" si="0"/>
        <v>23.876336819799079</v>
      </c>
      <c r="AC21" s="223">
        <f t="shared" si="5"/>
        <v>23.876336819799079</v>
      </c>
      <c r="AD21" s="213"/>
      <c r="AE21" s="430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9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70">
        <f t="shared" si="17"/>
        <v>-25.23</v>
      </c>
      <c r="V22" s="429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30">
        <f t="shared" si="4"/>
        <v>140</v>
      </c>
      <c r="AB22" s="431">
        <f t="shared" si="0"/>
        <v>24.184177699170888</v>
      </c>
      <c r="AC22" s="223">
        <f t="shared" si="5"/>
        <v>24.184177699170888</v>
      </c>
      <c r="AD22" s="213"/>
      <c r="AE22" s="430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9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70">
        <f t="shared" si="17"/>
        <v>-40.99</v>
      </c>
      <c r="V23" s="429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30">
        <f t="shared" si="4"/>
        <v>160</v>
      </c>
      <c r="AB23" s="431">
        <f t="shared" si="0"/>
        <v>24.450841598255469</v>
      </c>
      <c r="AC23" s="223">
        <f t="shared" si="5"/>
        <v>24.450841598255469</v>
      </c>
      <c r="AD23" s="213"/>
      <c r="AE23" s="430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9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70">
        <f t="shared" si="17"/>
        <v>-56.99</v>
      </c>
      <c r="V24" s="429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30">
        <f t="shared" si="4"/>
        <v>180</v>
      </c>
      <c r="AB24" s="431">
        <f t="shared" si="0"/>
        <v>24.686055827035865</v>
      </c>
      <c r="AC24" s="223">
        <f t="shared" si="5"/>
        <v>24.686055827035865</v>
      </c>
      <c r="AD24" s="213"/>
      <c r="AE24" s="430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45454.513888888883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9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70">
        <f t="shared" si="17"/>
        <v>-73.11</v>
      </c>
      <c r="V25" s="429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30">
        <f t="shared" si="4"/>
        <v>240</v>
      </c>
      <c r="AB25" s="431">
        <f t="shared" si="0"/>
        <v>25.260560605492255</v>
      </c>
      <c r="AC25" s="223">
        <f t="shared" si="5"/>
        <v>25.260560605492255</v>
      </c>
      <c r="AD25" s="213"/>
      <c r="AE25" s="430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9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70">
        <f t="shared" si="17"/>
        <v>-89.32</v>
      </c>
      <c r="V26" s="429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30">
        <f t="shared" si="4"/>
        <v>300</v>
      </c>
      <c r="AB26" s="431">
        <f t="shared" si="0"/>
        <v>25.706181131718228</v>
      </c>
      <c r="AC26" s="223">
        <f t="shared" si="5"/>
        <v>25.706181131718228</v>
      </c>
      <c r="AD26" s="213"/>
      <c r="AE26" s="430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9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70">
        <f t="shared" si="17"/>
        <v>-105.58</v>
      </c>
      <c r="V27" s="429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30">
        <f t="shared" si="4"/>
        <v>360</v>
      </c>
      <c r="AB27" s="431">
        <f t="shared" si="0"/>
        <v>26.070279612729038</v>
      </c>
      <c r="AC27" s="223">
        <f t="shared" si="5"/>
        <v>26.070279612729038</v>
      </c>
      <c r="AD27" s="213"/>
      <c r="AE27" s="430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9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70">
        <f>INT((G21-P28)*100)/100</f>
        <v>-121.88</v>
      </c>
      <c r="S28"/>
      <c r="V28" s="429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2">
        <f t="shared" si="4"/>
        <v>420</v>
      </c>
      <c r="AB28" s="431">
        <f t="shared" si="0"/>
        <v>26.378120492100848</v>
      </c>
      <c r="AC28" s="223">
        <f t="shared" si="5"/>
        <v>26.378120492100848</v>
      </c>
      <c r="AD28" s="213"/>
      <c r="AE28" s="430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9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70">
        <f>INT((G22-P29)*100)/100</f>
        <v>-138.22999999999999</v>
      </c>
      <c r="V29" s="429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30">
        <f t="shared" si="4"/>
        <v>480</v>
      </c>
      <c r="AB29" s="431">
        <f t="shared" si="0"/>
        <v>26.644784391185429</v>
      </c>
      <c r="AC29" s="223">
        <f t="shared" si="5"/>
        <v>26.644784391185429</v>
      </c>
      <c r="AD29" s="213"/>
      <c r="AE29" s="430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9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70">
        <f>INT((G23-P30)*100)/100</f>
        <v>-154.59</v>
      </c>
      <c r="V30" s="429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2">
        <f t="shared" si="4"/>
        <v>540</v>
      </c>
      <c r="AB30" s="431">
        <f t="shared" si="0"/>
        <v>26.879998619965825</v>
      </c>
      <c r="AC30" s="223">
        <f t="shared" si="5"/>
        <v>26.879998619965825</v>
      </c>
      <c r="AD30" s="213"/>
      <c r="AE30" s="430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71">
        <f t="shared" si="16"/>
        <v>55</v>
      </c>
      <c r="M31" s="472">
        <f t="shared" si="21"/>
        <v>0.1041</v>
      </c>
      <c r="N31" s="472">
        <f>L31*M31</f>
        <v>5.7255000000000003</v>
      </c>
      <c r="O31" s="472">
        <f t="shared" si="19"/>
        <v>3.141E-2</v>
      </c>
      <c r="P31" s="472">
        <f>INT(N31/O31*100)/100</f>
        <v>182.28</v>
      </c>
      <c r="Q31" s="473">
        <f>INT((G24-P31)*100)/100</f>
        <v>-170.97</v>
      </c>
      <c r="V31" s="429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30">
        <f t="shared" si="4"/>
        <v>600</v>
      </c>
      <c r="AB31" s="431">
        <f t="shared" si="0"/>
        <v>26.879998619965825</v>
      </c>
      <c r="AC31" s="223">
        <f t="shared" ref="AC31:AC34" si="23">AC30</f>
        <v>26.879998619965825</v>
      </c>
      <c r="AD31" s="213"/>
      <c r="AE31" s="430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9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2">
        <f t="shared" si="4"/>
        <v>660</v>
      </c>
      <c r="AB32" s="431">
        <f t="shared" si="0"/>
        <v>26.879998619965825</v>
      </c>
      <c r="AC32" s="223">
        <f t="shared" si="23"/>
        <v>26.879998619965825</v>
      </c>
      <c r="AD32" s="213"/>
      <c r="AE32" s="430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45454.638888888883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9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30">
        <f t="shared" si="4"/>
        <v>720</v>
      </c>
      <c r="AB33" s="431">
        <f t="shared" si="0"/>
        <v>26.879998619965825</v>
      </c>
      <c r="AC33" s="223">
        <f t="shared" si="23"/>
        <v>26.879998619965825</v>
      </c>
      <c r="AD33" s="213"/>
      <c r="AE33" s="430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9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2">
        <f t="shared" si="4"/>
        <v>780</v>
      </c>
      <c r="AB34" s="431">
        <f t="shared" si="0"/>
        <v>26.879998619965825</v>
      </c>
      <c r="AC34" s="223">
        <f t="shared" si="23"/>
        <v>26.879998619965825</v>
      </c>
      <c r="AD34" s="213"/>
      <c r="AE34" s="430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9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30">
        <f t="shared" si="4"/>
        <v>840</v>
      </c>
      <c r="AB35" s="431">
        <f t="shared" si="0"/>
        <v>26.879998619965825</v>
      </c>
      <c r="AC35" s="223">
        <f t="shared" ref="AC35:AC38" si="25">AC34</f>
        <v>26.879998619965825</v>
      </c>
      <c r="AD35" s="213"/>
      <c r="AE35" s="430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9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2">
        <f t="shared" si="4"/>
        <v>900</v>
      </c>
      <c r="AB36" s="431">
        <f t="shared" si="0"/>
        <v>26.879998619965825</v>
      </c>
      <c r="AC36" s="223">
        <f t="shared" si="25"/>
        <v>26.879998619965825</v>
      </c>
      <c r="AD36" s="213"/>
      <c r="AE36" s="430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9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30">
        <f t="shared" si="4"/>
        <v>960</v>
      </c>
      <c r="AB37" s="431">
        <f t="shared" si="0"/>
        <v>26.879998619965825</v>
      </c>
      <c r="AC37" s="223">
        <f t="shared" si="25"/>
        <v>26.879998619965825</v>
      </c>
      <c r="AD37" s="213">
        <v>37</v>
      </c>
      <c r="AE37" s="430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9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30">
        <f t="shared" si="4"/>
        <v>1020</v>
      </c>
      <c r="AB38" s="431">
        <f t="shared" si="0"/>
        <v>26.879998619965825</v>
      </c>
      <c r="AC38" s="223">
        <f t="shared" si="25"/>
        <v>26.879998619965825</v>
      </c>
      <c r="AD38" s="214" t="s">
        <v>40</v>
      </c>
      <c r="AE38" s="430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45454.888888888883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9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30">
        <f t="shared" si="4"/>
        <v>1080</v>
      </c>
      <c r="AB39" s="431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30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9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30">
        <f t="shared" si="4"/>
        <v>1140</v>
      </c>
      <c r="AB40" s="431">
        <f t="shared" si="0"/>
        <v>26.879998619965825</v>
      </c>
      <c r="AC40" s="223">
        <f t="shared" si="26"/>
        <v>26.879998619965825</v>
      </c>
      <c r="AD40" s="60">
        <v>40</v>
      </c>
      <c r="AE40" s="430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3">
        <f t="shared" si="8"/>
        <v>150</v>
      </c>
      <c r="W41" s="434">
        <f t="shared" si="9"/>
        <v>4.1534103653503527</v>
      </c>
      <c r="X41" s="434">
        <f t="shared" si="10"/>
        <v>0.1</v>
      </c>
      <c r="Y41" s="434">
        <f t="shared" si="11"/>
        <v>5.0000000000000001E-4</v>
      </c>
      <c r="Z41" s="434">
        <f t="shared" si="3"/>
        <v>0.83333333333333337</v>
      </c>
      <c r="AA41" s="435">
        <f t="shared" si="4"/>
        <v>1200</v>
      </c>
      <c r="AB41" s="436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30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9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30">
        <f t="shared" si="4"/>
        <v>1260</v>
      </c>
      <c r="AB42" s="431">
        <f t="shared" si="0"/>
        <v>26.879998619965825</v>
      </c>
      <c r="AC42" s="223">
        <f t="shared" si="27"/>
        <v>26.879998619965825</v>
      </c>
      <c r="AD42" s="60">
        <v>42</v>
      </c>
      <c r="AE42" s="430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3">
        <f t="shared" si="8"/>
        <v>150</v>
      </c>
      <c r="W43" s="434">
        <f t="shared" si="9"/>
        <v>4.1534103653503527</v>
      </c>
      <c r="X43" s="434">
        <f t="shared" si="10"/>
        <v>0.1</v>
      </c>
      <c r="Y43" s="434">
        <f t="shared" si="11"/>
        <v>5.0000000000000001E-4</v>
      </c>
      <c r="Z43" s="434">
        <f t="shared" si="3"/>
        <v>0.91666666666666663</v>
      </c>
      <c r="AA43" s="435">
        <f t="shared" si="4"/>
        <v>1320</v>
      </c>
      <c r="AB43" s="436">
        <f t="shared" si="0"/>
        <v>26.879998619965825</v>
      </c>
      <c r="AC43" s="223">
        <f t="shared" si="27"/>
        <v>26.879998619965825</v>
      </c>
      <c r="AD43" s="61">
        <v>43</v>
      </c>
      <c r="AE43" s="430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9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30">
        <f t="shared" si="4"/>
        <v>1380</v>
      </c>
      <c r="AB44" s="431">
        <f t="shared" si="0"/>
        <v>26.879998619965825</v>
      </c>
      <c r="AC44" s="223">
        <f t="shared" si="27"/>
        <v>26.879998619965825</v>
      </c>
      <c r="AD44" s="60">
        <v>44</v>
      </c>
      <c r="AE44" s="430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45455.138888888883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3">
        <f t="shared" si="8"/>
        <v>150</v>
      </c>
      <c r="W45" s="434">
        <f t="shared" si="9"/>
        <v>4.1534103653503527</v>
      </c>
      <c r="X45" s="434">
        <f t="shared" si="10"/>
        <v>0.1</v>
      </c>
      <c r="Y45" s="434">
        <f t="shared" si="11"/>
        <v>5.0000000000000001E-4</v>
      </c>
      <c r="Z45" s="434">
        <f t="shared" si="3"/>
        <v>1</v>
      </c>
      <c r="AA45" s="435">
        <f t="shared" si="4"/>
        <v>1440</v>
      </c>
      <c r="AB45" s="436">
        <f t="shared" si="0"/>
        <v>26.879998619965825</v>
      </c>
      <c r="AC45" s="223">
        <f t="shared" si="27"/>
        <v>26.879998619965825</v>
      </c>
      <c r="AD45" s="61">
        <v>45</v>
      </c>
      <c r="AE45" s="430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9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7">
        <f t="shared" si="4"/>
        <v>1500</v>
      </c>
      <c r="AB46" s="438">
        <f t="shared" si="0"/>
        <v>26.879998619965825</v>
      </c>
      <c r="AC46" s="223">
        <f t="shared" si="27"/>
        <v>26.879998619965825</v>
      </c>
      <c r="AD46" s="60">
        <v>46</v>
      </c>
      <c r="AE46" s="437">
        <f t="shared" si="6"/>
        <v>1500</v>
      </c>
      <c r="AF46" s="439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9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30">
        <f t="shared" si="4"/>
        <v>1560</v>
      </c>
      <c r="AB47" s="431">
        <f t="shared" si="0"/>
        <v>26.879998619965825</v>
      </c>
      <c r="AC47" s="223">
        <f t="shared" ref="AC47:AC69" si="28">AC46</f>
        <v>26.879998619965825</v>
      </c>
      <c r="AD47" s="213"/>
      <c r="AE47" s="430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9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30">
        <f t="shared" si="4"/>
        <v>1620</v>
      </c>
      <c r="AB48" s="431">
        <f t="shared" si="0"/>
        <v>26.879998619965825</v>
      </c>
      <c r="AC48" s="223">
        <f t="shared" si="28"/>
        <v>26.879998619965825</v>
      </c>
      <c r="AD48" s="213"/>
      <c r="AE48" s="430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9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30">
        <f t="shared" si="4"/>
        <v>1680</v>
      </c>
      <c r="AB49" s="431">
        <f t="shared" si="0"/>
        <v>26.879998619965825</v>
      </c>
      <c r="AC49" s="223">
        <f t="shared" si="28"/>
        <v>26.879998619965825</v>
      </c>
      <c r="AD49" s="213"/>
      <c r="AE49" s="430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9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30">
        <f t="shared" si="4"/>
        <v>1740</v>
      </c>
      <c r="AB50" s="431">
        <f t="shared" si="0"/>
        <v>26.879998619965825</v>
      </c>
      <c r="AC50" s="223">
        <f t="shared" si="28"/>
        <v>26.879998619965825</v>
      </c>
      <c r="AD50" s="213"/>
      <c r="AE50" s="430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45455.388888888883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9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30">
        <f t="shared" si="4"/>
        <v>1800</v>
      </c>
      <c r="AB51" s="431">
        <f t="shared" si="0"/>
        <v>26.879998619965825</v>
      </c>
      <c r="AC51" s="223">
        <f t="shared" si="28"/>
        <v>26.879998619965825</v>
      </c>
      <c r="AD51" s="213"/>
      <c r="AE51" s="430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9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30">
        <f t="shared" si="4"/>
        <v>1860</v>
      </c>
      <c r="AB52" s="431">
        <f t="shared" si="0"/>
        <v>26.879998619965825</v>
      </c>
      <c r="AC52" s="223">
        <f t="shared" si="28"/>
        <v>26.879998619965825</v>
      </c>
      <c r="AD52" s="213"/>
      <c r="AE52" s="430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9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30">
        <f t="shared" si="4"/>
        <v>1920</v>
      </c>
      <c r="AB53" s="431">
        <f t="shared" si="0"/>
        <v>26.879998619965825</v>
      </c>
      <c r="AC53" s="223">
        <f t="shared" si="28"/>
        <v>26.879998619965825</v>
      </c>
      <c r="AD53" s="213"/>
      <c r="AE53" s="430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9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30">
        <f t="shared" si="4"/>
        <v>1980</v>
      </c>
      <c r="AB54" s="431">
        <f t="shared" si="0"/>
        <v>26.879998619965825</v>
      </c>
      <c r="AC54" s="223">
        <f t="shared" si="28"/>
        <v>26.879998619965825</v>
      </c>
      <c r="AD54" s="213"/>
      <c r="AE54" s="430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9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30">
        <f t="shared" si="4"/>
        <v>2040</v>
      </c>
      <c r="AB55" s="431">
        <f t="shared" si="0"/>
        <v>26.879998619965825</v>
      </c>
      <c r="AC55" s="223">
        <f t="shared" si="28"/>
        <v>26.879998619965825</v>
      </c>
      <c r="AD55" s="213"/>
      <c r="AE55" s="430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45455.597222222219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9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30">
        <f t="shared" si="4"/>
        <v>2100</v>
      </c>
      <c r="AB56" s="431">
        <f t="shared" si="0"/>
        <v>26.879998619965825</v>
      </c>
      <c r="AC56" s="223">
        <f t="shared" si="28"/>
        <v>26.879998619965825</v>
      </c>
      <c r="AD56" s="213"/>
      <c r="AE56" s="430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9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30">
        <f t="shared" si="4"/>
        <v>2160</v>
      </c>
      <c r="AB57" s="431">
        <f t="shared" si="0"/>
        <v>26.879998619965825</v>
      </c>
      <c r="AC57" s="223">
        <f t="shared" si="28"/>
        <v>26.879998619965825</v>
      </c>
      <c r="AD57" s="213"/>
      <c r="AE57" s="430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9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30">
        <f t="shared" si="4"/>
        <v>2220</v>
      </c>
      <c r="AB58" s="431">
        <f t="shared" si="0"/>
        <v>26.879998619965825</v>
      </c>
      <c r="AC58" s="223">
        <f t="shared" si="28"/>
        <v>26.879998619965825</v>
      </c>
      <c r="AD58" s="213"/>
      <c r="AE58" s="430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9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30">
        <f t="shared" si="4"/>
        <v>2280</v>
      </c>
      <c r="AB59" s="431">
        <f t="shared" si="0"/>
        <v>26.879998619965825</v>
      </c>
      <c r="AC59" s="223">
        <f t="shared" si="28"/>
        <v>26.879998619965825</v>
      </c>
      <c r="AD59" s="213"/>
      <c r="AE59" s="430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9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30">
        <f t="shared" si="4"/>
        <v>2340</v>
      </c>
      <c r="AB60" s="431">
        <f t="shared" si="0"/>
        <v>26.879998619965825</v>
      </c>
      <c r="AC60" s="223">
        <f t="shared" si="28"/>
        <v>26.879998619965825</v>
      </c>
      <c r="AD60" s="213"/>
      <c r="AE60" s="430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45455.805555555555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9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30">
        <f t="shared" si="4"/>
        <v>2400</v>
      </c>
      <c r="AB61" s="431">
        <f t="shared" si="0"/>
        <v>26.879998619965825</v>
      </c>
      <c r="AC61" s="223">
        <f t="shared" si="28"/>
        <v>26.879998619965825</v>
      </c>
      <c r="AD61" s="213"/>
      <c r="AE61" s="430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9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30">
        <f t="shared" si="4"/>
        <v>2460</v>
      </c>
      <c r="AB62" s="431">
        <f t="shared" si="0"/>
        <v>26.879998619965825</v>
      </c>
      <c r="AC62" s="223">
        <f t="shared" si="28"/>
        <v>26.879998619965825</v>
      </c>
      <c r="AD62" s="213"/>
      <c r="AE62" s="430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9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30">
        <f t="shared" si="4"/>
        <v>2520</v>
      </c>
      <c r="AB63" s="431">
        <f t="shared" si="0"/>
        <v>26.879998619965825</v>
      </c>
      <c r="AC63" s="223">
        <f t="shared" si="28"/>
        <v>26.879998619965825</v>
      </c>
      <c r="AD63" s="213"/>
      <c r="AE63" s="430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9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30">
        <f t="shared" si="4"/>
        <v>2580</v>
      </c>
      <c r="AB64" s="431">
        <f t="shared" si="0"/>
        <v>26.879998619965825</v>
      </c>
      <c r="AC64" s="223">
        <f t="shared" si="28"/>
        <v>26.879998619965825</v>
      </c>
      <c r="AD64" s="213"/>
      <c r="AE64" s="430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9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30">
        <f t="shared" si="4"/>
        <v>2640</v>
      </c>
      <c r="AB65" s="431">
        <f t="shared" si="0"/>
        <v>26.879998619965825</v>
      </c>
      <c r="AC65" s="223">
        <f t="shared" si="28"/>
        <v>26.879998619965825</v>
      </c>
      <c r="AD65" s="213"/>
      <c r="AE65" s="430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45456.013888888883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9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30">
        <f t="shared" si="4"/>
        <v>2700</v>
      </c>
      <c r="AB66" s="431">
        <f>AC66+AD$2</f>
        <v>26.879998619965825</v>
      </c>
      <c r="AC66" s="223">
        <f t="shared" si="28"/>
        <v>26.879998619965825</v>
      </c>
      <c r="AD66" s="213"/>
      <c r="AE66" s="430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9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30">
        <f t="shared" ref="AA67:AA79" si="31">D75</f>
        <v>2760</v>
      </c>
      <c r="AB67" s="431">
        <f>AC67+AD$2</f>
        <v>26.879998619965825</v>
      </c>
      <c r="AC67" s="223">
        <f t="shared" si="28"/>
        <v>26.879998619965825</v>
      </c>
      <c r="AD67" s="213"/>
      <c r="AE67" s="430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9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30">
        <f t="shared" si="31"/>
        <v>2820</v>
      </c>
      <c r="AB68" s="431">
        <f>AC68+AD$2</f>
        <v>26.879998619965825</v>
      </c>
      <c r="AC68" s="223">
        <f t="shared" si="28"/>
        <v>26.879998619965825</v>
      </c>
      <c r="AD68" s="213"/>
      <c r="AE68" s="430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9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30">
        <f t="shared" si="31"/>
        <v>2880</v>
      </c>
      <c r="AB69" s="431">
        <f>AC69+AD$2</f>
        <v>26.879998619965825</v>
      </c>
      <c r="AC69" s="223">
        <f t="shared" si="28"/>
        <v>26.879998619965825</v>
      </c>
      <c r="AD69" s="213"/>
      <c r="AE69" s="430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9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30">
        <f t="shared" si="31"/>
        <v>1</v>
      </c>
      <c r="AB70" s="431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45456.222222222219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9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30">
        <f t="shared" si="31"/>
        <v>2</v>
      </c>
      <c r="AB71" s="431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9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30">
        <f t="shared" si="31"/>
        <v>3</v>
      </c>
      <c r="AB72" s="431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9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30">
        <f t="shared" si="31"/>
        <v>4</v>
      </c>
      <c r="AB73" s="431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9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30">
        <f t="shared" si="31"/>
        <v>5</v>
      </c>
      <c r="AB74" s="431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9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30">
        <f t="shared" si="31"/>
        <v>10</v>
      </c>
      <c r="AB75" s="431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9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30">
        <f t="shared" si="31"/>
        <v>15</v>
      </c>
      <c r="AB76" s="431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45456.472222222219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9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30">
        <f t="shared" si="31"/>
        <v>20</v>
      </c>
      <c r="AB77" s="431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45456.472916666666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0" t="s">
        <v>191</v>
      </c>
      <c r="I78" s="540"/>
      <c r="J78" s="540"/>
      <c r="K78" s="182" t="s">
        <v>21</v>
      </c>
      <c r="L78" s="54"/>
      <c r="V78" s="429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30">
        <f t="shared" si="31"/>
        <v>25</v>
      </c>
      <c r="AB78" s="431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0"/>
      <c r="I79" s="540"/>
      <c r="J79" s="540"/>
      <c r="K79" s="182" t="s">
        <v>21</v>
      </c>
      <c r="L79" s="54" t="s">
        <v>21</v>
      </c>
      <c r="V79" s="429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30">
        <f t="shared" si="31"/>
        <v>30</v>
      </c>
      <c r="AB79" s="431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0"/>
      <c r="I80" s="540"/>
      <c r="J80" s="540"/>
      <c r="K80" s="182" t="s">
        <v>21</v>
      </c>
      <c r="L80" s="54" t="s">
        <v>21</v>
      </c>
      <c r="V80" s="429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30">
        <f>D90</f>
        <v>45</v>
      </c>
      <c r="AB80" s="431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0"/>
      <c r="I81" s="540"/>
      <c r="J81" s="540"/>
      <c r="K81" s="182" t="s">
        <v>21</v>
      </c>
      <c r="L81" s="54" t="s">
        <v>21</v>
      </c>
      <c r="V81" s="429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30">
        <f>D93</f>
        <v>60</v>
      </c>
      <c r="AB81" s="431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0"/>
      <c r="I82" s="540"/>
      <c r="J82" s="540"/>
      <c r="K82" s="182" t="s">
        <v>21</v>
      </c>
      <c r="L82" s="54" t="s">
        <v>21</v>
      </c>
      <c r="V82" s="429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30">
        <f>D97</f>
        <v>120</v>
      </c>
      <c r="AB82" s="431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0"/>
      <c r="I83" s="540"/>
      <c r="J83" s="540"/>
      <c r="K83" s="182" t="s">
        <v>21</v>
      </c>
      <c r="L83" s="54" t="s">
        <v>21</v>
      </c>
      <c r="V83" s="429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30">
        <f>D98</f>
        <v>180</v>
      </c>
      <c r="AB83" s="431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0"/>
      <c r="I84" s="540"/>
      <c r="J84" s="540"/>
      <c r="K84" s="182" t="s">
        <v>21</v>
      </c>
      <c r="L84" s="54" t="s">
        <v>21</v>
      </c>
      <c r="V84" s="429"/>
      <c r="W84" s="213"/>
      <c r="X84" s="213"/>
      <c r="Y84" s="213"/>
      <c r="Z84" s="213"/>
      <c r="AA84" s="430">
        <f>D99</f>
        <v>240</v>
      </c>
      <c r="AB84" s="431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0"/>
      <c r="I85" s="540"/>
      <c r="J85" s="540"/>
      <c r="K85" s="182" t="s">
        <v>21</v>
      </c>
      <c r="L85" s="54" t="s">
        <v>21</v>
      </c>
      <c r="V85" s="429"/>
      <c r="W85" s="213"/>
      <c r="X85" s="213"/>
      <c r="Y85" s="213"/>
      <c r="Z85" s="213"/>
      <c r="AA85" s="430">
        <f>D100</f>
        <v>300</v>
      </c>
      <c r="AB85" s="440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0"/>
      <c r="I86" s="540"/>
      <c r="J86" s="540"/>
      <c r="K86" s="182" t="s">
        <v>21</v>
      </c>
      <c r="L86" s="54" t="s">
        <v>21</v>
      </c>
      <c r="V86" s="429"/>
      <c r="W86" s="213"/>
      <c r="X86" s="213"/>
      <c r="Y86" s="213"/>
      <c r="Z86" s="213"/>
      <c r="AA86" s="430">
        <f>D101</f>
        <v>360</v>
      </c>
      <c r="AB86" s="440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0"/>
      <c r="I87" s="540"/>
      <c r="J87" s="540"/>
      <c r="K87" s="182" t="s">
        <v>21</v>
      </c>
      <c r="L87" s="54" t="s">
        <v>21</v>
      </c>
      <c r="V87" s="429" t="s">
        <v>21</v>
      </c>
      <c r="W87" s="213"/>
      <c r="X87" s="213"/>
      <c r="Y87" s="213"/>
      <c r="Z87" s="213"/>
      <c r="AA87" s="430" t="s">
        <v>21</v>
      </c>
      <c r="AB87" s="440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0"/>
      <c r="I88" s="540"/>
      <c r="J88" s="540"/>
      <c r="K88" s="182"/>
      <c r="L88" s="54"/>
      <c r="V88" s="429"/>
      <c r="W88" s="213"/>
      <c r="X88" s="213"/>
      <c r="Y88" s="213"/>
      <c r="Z88" s="213"/>
      <c r="AA88" s="430"/>
      <c r="AB88" s="440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0"/>
      <c r="I89" s="540"/>
      <c r="J89" s="540"/>
      <c r="K89" s="182"/>
      <c r="L89" s="54"/>
      <c r="V89" s="429"/>
      <c r="W89" s="213"/>
      <c r="X89" s="213"/>
      <c r="Y89" s="213"/>
      <c r="Z89" s="213"/>
      <c r="AA89" s="430"/>
      <c r="AB89" s="440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0"/>
      <c r="I90" s="540"/>
      <c r="J90" s="540"/>
      <c r="K90" s="182" t="s">
        <v>21</v>
      </c>
      <c r="L90" s="54" t="s">
        <v>21</v>
      </c>
      <c r="V90" s="429" t="s">
        <v>21</v>
      </c>
      <c r="W90" s="213"/>
      <c r="X90" s="213"/>
      <c r="Y90" s="213"/>
      <c r="Z90" s="213"/>
      <c r="AA90" s="430" t="s">
        <v>21</v>
      </c>
      <c r="AB90" s="440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0"/>
      <c r="I91" s="540"/>
      <c r="J91" s="540"/>
      <c r="K91" s="182"/>
      <c r="L91" s="54"/>
      <c r="V91" s="429"/>
      <c r="W91" s="213"/>
      <c r="X91" s="213"/>
      <c r="Y91" s="213"/>
      <c r="Z91" s="213"/>
      <c r="AA91" s="430"/>
      <c r="AB91" s="440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0"/>
      <c r="I92" s="540"/>
      <c r="J92" s="540"/>
      <c r="K92" s="182"/>
      <c r="L92" s="54"/>
      <c r="V92" s="429"/>
      <c r="W92" s="213"/>
      <c r="X92" s="213"/>
      <c r="Y92" s="213"/>
      <c r="Z92" s="213"/>
      <c r="AA92" s="430"/>
      <c r="AB92" s="440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45456.513888888883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0"/>
      <c r="I93" s="540"/>
      <c r="J93" s="540"/>
      <c r="K93" s="182" t="s">
        <v>21</v>
      </c>
      <c r="L93" s="54" t="s">
        <v>21</v>
      </c>
      <c r="V93" s="429" t="s">
        <v>21</v>
      </c>
      <c r="W93" s="213"/>
      <c r="X93" s="213"/>
      <c r="Y93" s="213"/>
      <c r="Z93" s="213"/>
      <c r="AA93" s="430" t="s">
        <v>21</v>
      </c>
      <c r="AB93" s="440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0"/>
      <c r="I94" s="540"/>
      <c r="J94" s="540"/>
      <c r="K94" s="182"/>
      <c r="L94" s="54"/>
      <c r="V94" s="429"/>
      <c r="W94" s="213"/>
      <c r="X94" s="213"/>
      <c r="Y94" s="213"/>
      <c r="Z94" s="213"/>
      <c r="AA94" s="430"/>
      <c r="AB94" s="440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0"/>
      <c r="I95" s="540"/>
      <c r="J95" s="540"/>
      <c r="K95" s="182"/>
      <c r="L95" s="54"/>
      <c r="V95" s="429"/>
      <c r="W95" s="213"/>
      <c r="X95" s="213"/>
      <c r="Y95" s="213"/>
      <c r="Z95" s="213"/>
      <c r="AA95" s="430"/>
      <c r="AB95" s="440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0"/>
      <c r="I96" s="540"/>
      <c r="J96" s="540"/>
      <c r="K96" s="182"/>
      <c r="L96" s="54"/>
      <c r="V96" s="429"/>
      <c r="W96" s="213"/>
      <c r="X96" s="213"/>
      <c r="Y96" s="213"/>
      <c r="Z96" s="213"/>
      <c r="AA96" s="430"/>
      <c r="AB96" s="440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45456.555555555555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0"/>
      <c r="I97" s="540"/>
      <c r="J97" s="540"/>
      <c r="K97" s="182" t="s">
        <v>21</v>
      </c>
      <c r="L97" s="54" t="s">
        <v>21</v>
      </c>
      <c r="V97" s="429" t="s">
        <v>21</v>
      </c>
      <c r="W97" s="213"/>
      <c r="X97" s="213"/>
      <c r="Y97" s="213"/>
      <c r="Z97" s="213"/>
      <c r="AA97" s="430" t="s">
        <v>21</v>
      </c>
      <c r="AB97" s="440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0"/>
      <c r="I98" s="540"/>
      <c r="J98" s="540"/>
      <c r="K98" s="219"/>
      <c r="L98" s="54" t="s">
        <v>21</v>
      </c>
      <c r="V98" s="429" t="str">
        <f t="shared" ref="V98:V103" si="38">V97</f>
        <v xml:space="preserve"> </v>
      </c>
      <c r="W98" s="213"/>
      <c r="X98" s="213"/>
      <c r="Y98" s="213"/>
      <c r="Z98" s="213"/>
      <c r="AA98" s="430" t="s">
        <v>21</v>
      </c>
      <c r="AB98" s="440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45456.638888888883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0"/>
      <c r="I99" s="540"/>
      <c r="J99" s="540"/>
      <c r="K99" s="182"/>
      <c r="V99" s="429" t="str">
        <f t="shared" si="38"/>
        <v xml:space="preserve"> </v>
      </c>
      <c r="W99" s="213"/>
      <c r="X99" s="213"/>
      <c r="Y99" s="213"/>
      <c r="Z99" s="213"/>
      <c r="AA99" s="430" t="s">
        <v>21</v>
      </c>
      <c r="AB99" s="440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0"/>
      <c r="I100" s="540"/>
      <c r="J100" s="540"/>
      <c r="K100" s="182"/>
      <c r="V100" s="429" t="str">
        <f t="shared" si="38"/>
        <v xml:space="preserve"> </v>
      </c>
      <c r="W100" s="213"/>
      <c r="X100" s="213"/>
      <c r="Y100" s="213"/>
      <c r="Z100" s="213"/>
      <c r="AA100" s="430" t="s">
        <v>21</v>
      </c>
      <c r="AB100" s="440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45456.722222222219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0"/>
      <c r="I101" s="540"/>
      <c r="J101" s="540"/>
      <c r="K101" s="182"/>
      <c r="V101" s="429" t="str">
        <f t="shared" si="38"/>
        <v xml:space="preserve"> </v>
      </c>
      <c r="W101" s="213"/>
      <c r="X101" s="213"/>
      <c r="Y101" s="213"/>
      <c r="Z101" s="213"/>
      <c r="AA101" s="430" t="s">
        <v>21</v>
      </c>
      <c r="AB101" s="440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9" t="str">
        <f t="shared" si="38"/>
        <v xml:space="preserve"> </v>
      </c>
      <c r="W102" s="213"/>
      <c r="X102" s="213"/>
      <c r="Y102" s="213"/>
      <c r="Z102" s="213"/>
      <c r="AA102" s="430" t="s">
        <v>21</v>
      </c>
      <c r="AB102" s="440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9" t="str">
        <f t="shared" si="38"/>
        <v xml:space="preserve"> </v>
      </c>
      <c r="W103" s="213"/>
      <c r="X103" s="213"/>
      <c r="Y103" s="213"/>
      <c r="Z103" s="213"/>
      <c r="AA103" s="430"/>
      <c r="AB103" s="440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30"/>
      <c r="AB104" s="440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30"/>
      <c r="AB105" s="440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30"/>
      <c r="AB106" s="440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30"/>
      <c r="AB107" s="440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30"/>
      <c r="AB108" s="440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30"/>
      <c r="AB109" s="440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30"/>
      <c r="AB110" s="440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30"/>
      <c r="AB111" s="440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30"/>
      <c r="AB112" s="440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30"/>
      <c r="AB113" s="440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30"/>
      <c r="AB114" s="440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30"/>
      <c r="AB115" s="440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30"/>
      <c r="AB116" s="440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30"/>
      <c r="AB117" s="440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30"/>
      <c r="AB118" s="440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30"/>
      <c r="AB119" s="440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30"/>
      <c r="AB120" s="440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30"/>
      <c r="AB121" s="440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30"/>
      <c r="AB122" s="440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30"/>
      <c r="AB123" s="440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30"/>
      <c r="AB124" s="440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30"/>
      <c r="AB125" s="440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30"/>
      <c r="AB126" s="440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30"/>
      <c r="AB127" s="440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30"/>
      <c r="AB128" s="440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30"/>
      <c r="AB129" s="440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30"/>
      <c r="AB130" s="440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30"/>
      <c r="AB131" s="440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30"/>
      <c r="AB132" s="440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30"/>
      <c r="AB133" s="440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30"/>
      <c r="AB134" s="440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30"/>
      <c r="AB135" s="440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30"/>
      <c r="AB136" s="440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30"/>
      <c r="AB137" s="440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30"/>
      <c r="AB138" s="440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30"/>
      <c r="AB139" s="440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30"/>
      <c r="AB140" s="440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30"/>
      <c r="AB141" s="440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30"/>
      <c r="AB142" s="440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30"/>
      <c r="AB143" s="440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30"/>
      <c r="AB144" s="440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30"/>
      <c r="AB145" s="440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30"/>
      <c r="AB146" s="440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30"/>
      <c r="AB147" s="440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40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40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40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40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40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40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40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40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40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40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40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40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40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40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40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40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40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40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40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40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40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40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40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40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40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40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40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40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40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40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40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40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40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40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40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40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40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40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40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40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40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40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40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40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40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40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40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40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40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40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40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40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40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40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40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40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40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40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40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40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40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40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40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40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40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40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40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40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40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40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40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40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40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40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40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40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40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40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40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40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40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40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40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40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40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40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40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40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40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40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40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40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40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40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40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40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40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40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40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40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40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40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40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40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40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40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40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40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40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40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40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40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40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40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40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40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40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40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40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40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40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40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40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40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40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40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40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40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40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40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40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40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40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40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40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40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40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40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40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40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40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40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40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40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40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40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40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40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40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40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40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40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40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40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40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40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40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40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40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40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40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40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40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40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40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40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40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40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40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40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40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40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40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40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40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40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40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40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40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40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40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40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40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40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40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40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40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40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40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40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40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40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40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40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40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40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40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40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40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40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40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40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40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40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40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40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40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40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40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40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40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40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40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40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40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40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40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40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40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40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40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40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40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40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40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40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40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40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40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40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40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40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40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40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40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40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40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40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40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40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40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40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40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40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40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40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40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40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40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40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40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40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40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40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40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40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40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40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40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40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40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40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40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40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40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40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40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40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40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40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40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40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40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40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40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40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40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40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40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40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40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40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40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40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40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40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40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40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40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40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40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40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40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40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40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40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40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40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40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40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40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40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40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40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40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40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40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40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40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40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40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40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40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40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40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40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40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40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40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40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40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40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40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40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40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40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40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40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40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40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40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40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40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40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40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40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40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40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40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40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40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40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40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40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40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40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40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40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40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40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40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40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40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40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40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40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40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40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40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40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40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40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40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40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40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40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40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40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40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40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40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40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40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40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40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40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40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40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40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40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40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40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40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40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40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40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40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40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40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40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40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40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40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40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40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40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40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40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40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40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40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40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40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40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40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40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40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40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40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40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40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40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40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40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40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40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40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40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40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40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40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40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40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40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40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40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40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40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40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40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40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40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40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40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40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40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40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40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40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40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40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40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40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40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40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40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40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40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40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40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40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40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40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40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40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40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40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40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40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40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40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40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40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40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40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40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40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40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40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40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40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40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40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40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40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40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40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40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40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40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40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40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40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40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40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40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40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40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40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40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40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40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40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40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40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40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40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40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40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40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40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40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40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40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40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40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40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40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40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40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40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40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40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40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40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40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40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40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40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40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40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40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40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40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40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40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40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40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40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40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40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40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40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40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40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40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40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40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40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40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40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40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40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40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O9" sqref="O9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8" t="s">
        <v>314</v>
      </c>
      <c r="B1" s="558"/>
      <c r="C1" s="558"/>
      <c r="D1" s="558"/>
      <c r="E1" s="558"/>
      <c r="F1" s="558"/>
      <c r="G1" s="558"/>
      <c r="H1" s="558"/>
      <c r="I1" s="558"/>
      <c r="J1" s="558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45454.472222222219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C103</f>
        <v>45456.722222222219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546">
        <v>1500</v>
      </c>
      <c r="E56" s="5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546">
        <v>1560</v>
      </c>
      <c r="E57" s="5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546">
        <v>1620</v>
      </c>
      <c r="E58" s="5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546">
        <v>1680</v>
      </c>
      <c r="E59" s="5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546">
        <v>1740</v>
      </c>
      <c r="E60" s="5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546">
        <v>1800</v>
      </c>
      <c r="E61" s="5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546">
        <v>1860</v>
      </c>
      <c r="E62" s="5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546">
        <v>1920</v>
      </c>
      <c r="E63" s="5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546">
        <v>1980</v>
      </c>
      <c r="E64" s="5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546">
        <v>2040</v>
      </c>
      <c r="E65" s="5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546">
        <v>2100</v>
      </c>
      <c r="E66" s="5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546">
        <v>2160</v>
      </c>
      <c r="E67" s="5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546">
        <v>2220</v>
      </c>
      <c r="E68" s="5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546">
        <v>2280</v>
      </c>
      <c r="E69" s="5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546">
        <v>2340</v>
      </c>
      <c r="E70" s="5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546">
        <v>2400</v>
      </c>
      <c r="E71" s="5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546">
        <v>2460</v>
      </c>
      <c r="E72" s="5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546">
        <v>2520</v>
      </c>
      <c r="E73" s="5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546">
        <v>2580</v>
      </c>
      <c r="E74" s="5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546">
        <v>2640</v>
      </c>
      <c r="E75" s="5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546">
        <v>2700</v>
      </c>
      <c r="E76" s="5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546">
        <v>2760</v>
      </c>
      <c r="E77" s="5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546">
        <v>2820</v>
      </c>
      <c r="E78" s="5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45456.472222222219</v>
      </c>
      <c r="D79" s="546">
        <v>2880</v>
      </c>
      <c r="E79" s="547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45456.472916666666</v>
      </c>
      <c r="D80" s="546">
        <v>1</v>
      </c>
      <c r="E80" s="547"/>
      <c r="F80" s="286">
        <f>LongTest!F78</f>
        <v>20.232796980712919</v>
      </c>
      <c r="G80" s="286">
        <f>LongTest!G78</f>
        <v>10.782796980712918</v>
      </c>
      <c r="H80" s="548" t="s">
        <v>191</v>
      </c>
      <c r="I80" s="549"/>
      <c r="J80" s="550"/>
    </row>
    <row r="81" spans="1:10" ht="24.95" customHeight="1">
      <c r="A81" s="308"/>
      <c r="B81" s="285"/>
      <c r="C81" s="285">
        <f t="shared" ref="C81:C103" si="6">$C$4+(D81+2880)/1440</f>
        <v>45456.473611111105</v>
      </c>
      <c r="D81" s="546">
        <v>2</v>
      </c>
      <c r="E81" s="547"/>
      <c r="F81" s="286">
        <f>LongTest!F79</f>
        <v>19.374437782107812</v>
      </c>
      <c r="G81" s="286">
        <f>LongTest!G79</f>
        <v>9.9244377821078142</v>
      </c>
      <c r="H81" s="546"/>
      <c r="I81" s="551"/>
      <c r="J81" s="552"/>
    </row>
    <row r="82" spans="1:10" ht="24.95" customHeight="1">
      <c r="A82" s="308"/>
      <c r="B82" s="285"/>
      <c r="C82" s="285">
        <f t="shared" si="6"/>
        <v>45456.474305555552</v>
      </c>
      <c r="D82" s="546">
        <v>3</v>
      </c>
      <c r="E82" s="547"/>
      <c r="F82" s="286">
        <f>LongTest!F80</f>
        <v>18.58440784122201</v>
      </c>
      <c r="G82" s="286">
        <f>LongTest!G80</f>
        <v>9.1344078412220089</v>
      </c>
      <c r="H82" s="546"/>
      <c r="I82" s="551"/>
      <c r="J82" s="552"/>
    </row>
    <row r="83" spans="1:10" ht="24.95" customHeight="1">
      <c r="A83" s="308"/>
      <c r="B83" s="285"/>
      <c r="C83" s="285">
        <f t="shared" si="6"/>
        <v>45456.474999999999</v>
      </c>
      <c r="D83" s="546">
        <v>4</v>
      </c>
      <c r="E83" s="547"/>
      <c r="F83" s="286">
        <f>LongTest!F81</f>
        <v>17.857267841429007</v>
      </c>
      <c r="G83" s="286">
        <f>LongTest!G81</f>
        <v>8.4072678414290092</v>
      </c>
      <c r="H83" s="546"/>
      <c r="I83" s="551"/>
      <c r="J83" s="552"/>
    </row>
    <row r="84" spans="1:10" ht="24.95" customHeight="1">
      <c r="A84" s="308"/>
      <c r="B84" s="285"/>
      <c r="C84" s="285">
        <f t="shared" si="6"/>
        <v>45456.475694444438</v>
      </c>
      <c r="D84" s="546">
        <v>5</v>
      </c>
      <c r="E84" s="547"/>
      <c r="F84" s="286">
        <f>LongTest!F82</f>
        <v>17.188011460201068</v>
      </c>
      <c r="G84" s="286">
        <f>LongTest!G82</f>
        <v>7.7380114602010686</v>
      </c>
      <c r="H84" s="546"/>
      <c r="I84" s="551"/>
      <c r="J84" s="552"/>
    </row>
    <row r="85" spans="1:10" ht="24.95" customHeight="1">
      <c r="A85" s="308"/>
      <c r="B85" s="285"/>
      <c r="C85" s="285">
        <f t="shared" si="6"/>
        <v>45456.479166666664</v>
      </c>
      <c r="D85" s="546">
        <v>10</v>
      </c>
      <c r="E85" s="547"/>
      <c r="F85" s="286">
        <f>LongTest!F83</f>
        <v>15.483270868618019</v>
      </c>
      <c r="G85" s="286">
        <f>LongTest!G83</f>
        <v>6.0332708686180201</v>
      </c>
      <c r="H85" s="546"/>
      <c r="I85" s="551"/>
      <c r="J85" s="552"/>
    </row>
    <row r="86" spans="1:10" ht="24.95" customHeight="1">
      <c r="A86" s="308"/>
      <c r="B86" s="285"/>
      <c r="C86" s="285">
        <f t="shared" si="6"/>
        <v>45456.482638888883</v>
      </c>
      <c r="D86" s="546">
        <v>15</v>
      </c>
      <c r="E86" s="547"/>
      <c r="F86" s="286">
        <f>LongTest!F84</f>
        <v>15.158681504824028</v>
      </c>
      <c r="G86" s="286">
        <f>LongTest!G84</f>
        <v>5.7086815048240274</v>
      </c>
      <c r="H86" s="546"/>
      <c r="I86" s="551"/>
      <c r="J86" s="552"/>
    </row>
    <row r="87" spans="1:10" ht="24.95" customHeight="1">
      <c r="A87" s="308"/>
      <c r="B87" s="285"/>
      <c r="C87" s="285">
        <f t="shared" si="6"/>
        <v>45456.486111111109</v>
      </c>
      <c r="D87" s="546">
        <v>20</v>
      </c>
      <c r="E87" s="547"/>
      <c r="F87" s="286">
        <f>LongTest!F85</f>
        <v>14.285983204912011</v>
      </c>
      <c r="G87" s="286">
        <f>LongTest!G85</f>
        <v>4.8359832049120115</v>
      </c>
      <c r="H87" s="546"/>
      <c r="I87" s="551"/>
      <c r="J87" s="552"/>
    </row>
    <row r="88" spans="1:10" ht="24.95" customHeight="1">
      <c r="A88" s="308"/>
      <c r="B88" s="285"/>
      <c r="C88" s="285">
        <f t="shared" si="6"/>
        <v>45456.489583333328</v>
      </c>
      <c r="D88" s="546">
        <v>25</v>
      </c>
      <c r="E88" s="547"/>
      <c r="F88" s="286">
        <f>LongTest!F86</f>
        <v>13.901017163572192</v>
      </c>
      <c r="G88" s="286">
        <f>LongTest!G86</f>
        <v>4.4510171635721916</v>
      </c>
      <c r="H88" s="546"/>
      <c r="I88" s="551"/>
      <c r="J88" s="552"/>
    </row>
    <row r="89" spans="1:10" ht="24.95" customHeight="1">
      <c r="A89" s="308"/>
      <c r="B89" s="285"/>
      <c r="C89" s="285">
        <f t="shared" si="6"/>
        <v>45456.493055555555</v>
      </c>
      <c r="D89" s="546">
        <v>30</v>
      </c>
      <c r="E89" s="547"/>
      <c r="F89" s="286">
        <f>LongTest!F87</f>
        <v>13.54669615276811</v>
      </c>
      <c r="G89" s="286">
        <f>LongTest!G87</f>
        <v>4.0966961527681098</v>
      </c>
      <c r="H89" s="546"/>
      <c r="I89" s="551"/>
      <c r="J89" s="552"/>
    </row>
    <row r="90" spans="1:10" ht="24.95" customHeight="1">
      <c r="A90" s="308"/>
      <c r="B90" s="285"/>
      <c r="C90" s="285">
        <f t="shared" si="6"/>
        <v>45456.496527777774</v>
      </c>
      <c r="D90" s="546">
        <v>35</v>
      </c>
      <c r="E90" s="547"/>
      <c r="F90" s="286">
        <f>LongTest!F88</f>
        <v>13.434971769034254</v>
      </c>
      <c r="G90" s="286">
        <f>LongTest!G88</f>
        <v>3.9849717690342552</v>
      </c>
      <c r="H90" s="546"/>
      <c r="I90" s="551"/>
      <c r="J90" s="552"/>
    </row>
    <row r="91" spans="1:10" ht="24.95" customHeight="1">
      <c r="A91" s="308"/>
      <c r="B91" s="285"/>
      <c r="C91" s="285">
        <f t="shared" si="6"/>
        <v>45456.5</v>
      </c>
      <c r="D91" s="546">
        <v>40</v>
      </c>
      <c r="E91" s="547"/>
      <c r="F91" s="286">
        <f>LongTest!F89</f>
        <v>13.326294313228475</v>
      </c>
      <c r="G91" s="286">
        <f>LongTest!G89</f>
        <v>3.8762943132284762</v>
      </c>
      <c r="H91" s="546"/>
      <c r="I91" s="551"/>
      <c r="J91" s="552"/>
    </row>
    <row r="92" spans="1:10" ht="24.95" customHeight="1">
      <c r="A92" s="308"/>
      <c r="B92" s="285"/>
      <c r="C92" s="285">
        <f t="shared" si="6"/>
        <v>45456.503472222219</v>
      </c>
      <c r="D92" s="546">
        <v>45</v>
      </c>
      <c r="E92" s="547"/>
      <c r="F92" s="286">
        <f>LongTest!F90</f>
        <v>13.220580690063166</v>
      </c>
      <c r="G92" s="286">
        <f>LongTest!G90</f>
        <v>3.7705806900631673</v>
      </c>
      <c r="H92" s="546"/>
      <c r="I92" s="551"/>
      <c r="J92" s="552"/>
    </row>
    <row r="93" spans="1:10" ht="24.95" customHeight="1">
      <c r="A93" s="308"/>
      <c r="B93" s="285"/>
      <c r="C93" s="285">
        <f t="shared" si="6"/>
        <v>45456.506944444438</v>
      </c>
      <c r="D93" s="546">
        <v>50</v>
      </c>
      <c r="E93" s="547"/>
      <c r="F93" s="286">
        <f>LongTest!F91</f>
        <v>13.11775007041093</v>
      </c>
      <c r="G93" s="286">
        <f>LongTest!G91</f>
        <v>3.6677500704109298</v>
      </c>
      <c r="H93" s="546"/>
      <c r="I93" s="551"/>
      <c r="J93" s="552"/>
    </row>
    <row r="94" spans="1:10" ht="24.95" customHeight="1">
      <c r="A94" s="308"/>
      <c r="B94" s="285"/>
      <c r="C94" s="285">
        <f t="shared" si="6"/>
        <v>45456.510416666664</v>
      </c>
      <c r="D94" s="546">
        <v>55</v>
      </c>
      <c r="E94" s="547"/>
      <c r="F94" s="286">
        <f>LongTest!F92</f>
        <v>13.017723829502245</v>
      </c>
      <c r="G94" s="286">
        <f>LongTest!G92</f>
        <v>3.5677238295022455</v>
      </c>
      <c r="H94" s="546"/>
      <c r="I94" s="551"/>
      <c r="J94" s="552"/>
    </row>
    <row r="95" spans="1:10" ht="24.95" customHeight="1">
      <c r="A95" s="308"/>
      <c r="B95" s="285"/>
      <c r="C95" s="285">
        <f t="shared" si="6"/>
        <v>45456.513888888883</v>
      </c>
      <c r="D95" s="546">
        <v>60</v>
      </c>
      <c r="E95" s="547"/>
      <c r="F95" s="286">
        <f>LongTest!F93</f>
        <v>12.920425486808609</v>
      </c>
      <c r="G95" s="286">
        <f>LongTest!G93</f>
        <v>3.4704254868086104</v>
      </c>
      <c r="H95" s="546"/>
      <c r="I95" s="551"/>
      <c r="J95" s="552"/>
    </row>
    <row r="96" spans="1:10" ht="24.95" customHeight="1">
      <c r="A96" s="308"/>
      <c r="B96" s="285"/>
      <c r="C96" s="285">
        <f t="shared" si="6"/>
        <v>45456.524305555555</v>
      </c>
      <c r="D96" s="546">
        <v>75</v>
      </c>
      <c r="E96" s="547"/>
      <c r="F96" s="286">
        <f>LongTest!F94</f>
        <v>12.825780647565169</v>
      </c>
      <c r="G96" s="286">
        <f>LongTest!G94</f>
        <v>3.3757806475651706</v>
      </c>
      <c r="H96" s="546"/>
      <c r="I96" s="551"/>
      <c r="J96" s="552"/>
    </row>
    <row r="97" spans="1:10" ht="24.95" customHeight="1">
      <c r="A97" s="308"/>
      <c r="B97" s="285"/>
      <c r="C97" s="285">
        <f t="shared" si="6"/>
        <v>45456.534722222219</v>
      </c>
      <c r="D97" s="546">
        <v>90</v>
      </c>
      <c r="E97" s="547"/>
      <c r="F97" s="286">
        <f>LongTest!F95</f>
        <v>12.733716945888137</v>
      </c>
      <c r="G97" s="286">
        <f>LongTest!G95</f>
        <v>3.2837169458881377</v>
      </c>
      <c r="H97" s="546"/>
      <c r="I97" s="551"/>
      <c r="J97" s="552"/>
    </row>
    <row r="98" spans="1:10" ht="24.95" customHeight="1">
      <c r="A98" s="308"/>
      <c r="B98" s="285"/>
      <c r="C98" s="285">
        <f t="shared" si="6"/>
        <v>45456.545138888883</v>
      </c>
      <c r="D98" s="546">
        <v>105</v>
      </c>
      <c r="E98" s="547"/>
      <c r="F98" s="286">
        <f>LongTest!F96</f>
        <v>12.644163989443497</v>
      </c>
      <c r="G98" s="286">
        <f>LongTest!G96</f>
        <v>3.194163989443497</v>
      </c>
      <c r="H98" s="546"/>
      <c r="I98" s="551"/>
      <c r="J98" s="552"/>
    </row>
    <row r="99" spans="1:10" ht="24.95" customHeight="1">
      <c r="A99" s="308"/>
      <c r="B99" s="285"/>
      <c r="C99" s="285">
        <f t="shared" si="6"/>
        <v>45456.555555555555</v>
      </c>
      <c r="D99" s="546">
        <v>120</v>
      </c>
      <c r="E99" s="547"/>
      <c r="F99" s="286">
        <f>LongTest!F97</f>
        <v>12.389894151376794</v>
      </c>
      <c r="G99" s="286">
        <f>LongTest!G97</f>
        <v>2.9398941513767949</v>
      </c>
      <c r="H99" s="546"/>
      <c r="I99" s="551"/>
      <c r="J99" s="552"/>
    </row>
    <row r="100" spans="1:10" ht="24.95" customHeight="1">
      <c r="A100" s="308"/>
      <c r="B100" s="285"/>
      <c r="C100" s="285">
        <f t="shared" si="6"/>
        <v>45456.597222222219</v>
      </c>
      <c r="D100" s="546">
        <v>180</v>
      </c>
      <c r="E100" s="547"/>
      <c r="F100" s="286">
        <f>LongTest!F98</f>
        <v>12.309717870281746</v>
      </c>
      <c r="G100" s="286">
        <f>LongTest!G98</f>
        <v>2.859717870281747</v>
      </c>
      <c r="H100" s="546"/>
      <c r="I100" s="551"/>
      <c r="J100" s="552"/>
    </row>
    <row r="101" spans="1:10" ht="24.95" customHeight="1">
      <c r="A101" s="308"/>
      <c r="B101" s="285"/>
      <c r="C101" s="285">
        <f t="shared" si="6"/>
        <v>45456.638888888883</v>
      </c>
      <c r="D101" s="546">
        <v>240</v>
      </c>
      <c r="E101" s="547"/>
      <c r="F101" s="286">
        <f>LongTest!F99</f>
        <v>11.872546708864883</v>
      </c>
      <c r="G101" s="286">
        <f>LongTest!G99</f>
        <v>2.4225467088648833</v>
      </c>
      <c r="H101" s="546"/>
      <c r="I101" s="551"/>
      <c r="J101" s="552"/>
    </row>
    <row r="102" spans="1:10" ht="24.95" customHeight="1">
      <c r="A102" s="308"/>
      <c r="B102" s="285"/>
      <c r="C102" s="285">
        <f t="shared" si="6"/>
        <v>45456.680555555555</v>
      </c>
      <c r="D102" s="546">
        <v>300</v>
      </c>
      <c r="E102" s="547"/>
      <c r="F102" s="286">
        <f>LongTest!F100</f>
        <v>11.502206833974805</v>
      </c>
      <c r="G102" s="286">
        <f>LongTest!G100</f>
        <v>2.0522068339748056</v>
      </c>
      <c r="H102" s="546"/>
      <c r="I102" s="551"/>
      <c r="J102" s="552"/>
    </row>
    <row r="103" spans="1:10" ht="24.95" customHeight="1" thickBot="1">
      <c r="A103" s="312"/>
      <c r="B103" s="313"/>
      <c r="C103" s="313">
        <f t="shared" si="6"/>
        <v>45456.722222222219</v>
      </c>
      <c r="D103" s="553">
        <v>360</v>
      </c>
      <c r="E103" s="554"/>
      <c r="F103" s="314">
        <f>LongTest!F101</f>
        <v>11.18848160450383</v>
      </c>
      <c r="G103" s="314">
        <f>LongTest!G101</f>
        <v>1.7384816045038303</v>
      </c>
      <c r="H103" s="553" t="s">
        <v>321</v>
      </c>
      <c r="I103" s="575"/>
      <c r="J103" s="57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45454.472222222219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C77</f>
        <v>45455.555555555555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45454.472916666666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45455.013888888883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45455.055555555555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45455.097222222219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45455.138888888883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45455.180555555555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45455.222222222219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45455.263888888883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45455.305555555555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45455.347222222219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45455.388888888883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45455.430555555555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45455.472222222219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6"/>
      <c r="E56" s="547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47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45455.472916666666</v>
      </c>
      <c r="D58" s="546">
        <v>1</v>
      </c>
      <c r="E58" s="547"/>
      <c r="F58" s="286">
        <f>LongTest!F78</f>
        <v>20.232796980712919</v>
      </c>
      <c r="G58" s="286">
        <f>LongTest!G78</f>
        <v>10.782796980712918</v>
      </c>
      <c r="H58" s="548" t="s">
        <v>191</v>
      </c>
      <c r="I58" s="549"/>
      <c r="J58" s="550"/>
    </row>
    <row r="59" spans="1:10" ht="24.95" customHeight="1">
      <c r="A59" s="308"/>
      <c r="B59" s="285"/>
      <c r="C59" s="285">
        <f t="shared" ref="C59:C77" si="1">$C$4+(D59+1440)/1440</f>
        <v>45455.473611111105</v>
      </c>
      <c r="D59" s="546">
        <v>2</v>
      </c>
      <c r="E59" s="547"/>
      <c r="F59" s="286">
        <f>LongTest!F79</f>
        <v>19.374437782107812</v>
      </c>
      <c r="G59" s="286">
        <f>LongTest!G79</f>
        <v>9.9244377821078142</v>
      </c>
      <c r="H59" s="546"/>
      <c r="I59" s="551"/>
      <c r="J59" s="552"/>
    </row>
    <row r="60" spans="1:10" ht="24.95" customHeight="1">
      <c r="A60" s="308"/>
      <c r="B60" s="285"/>
      <c r="C60" s="285">
        <f t="shared" si="1"/>
        <v>45455.474305555552</v>
      </c>
      <c r="D60" s="546">
        <v>3</v>
      </c>
      <c r="E60" s="547"/>
      <c r="F60" s="286">
        <f>LongTest!F80</f>
        <v>18.58440784122201</v>
      </c>
      <c r="G60" s="286">
        <f>LongTest!G80</f>
        <v>9.1344078412220089</v>
      </c>
      <c r="H60" s="546"/>
      <c r="I60" s="551"/>
      <c r="J60" s="552"/>
    </row>
    <row r="61" spans="1:10" ht="24.95" customHeight="1">
      <c r="A61" s="308"/>
      <c r="B61" s="285"/>
      <c r="C61" s="285">
        <f t="shared" si="1"/>
        <v>45455.474999999999</v>
      </c>
      <c r="D61" s="546">
        <v>4</v>
      </c>
      <c r="E61" s="547"/>
      <c r="F61" s="286">
        <f>LongTest!F81</f>
        <v>17.857267841429007</v>
      </c>
      <c r="G61" s="286">
        <f>LongTest!G81</f>
        <v>8.4072678414290092</v>
      </c>
      <c r="H61" s="546"/>
      <c r="I61" s="551"/>
      <c r="J61" s="552"/>
    </row>
    <row r="62" spans="1:10" ht="24.95" customHeight="1">
      <c r="A62" s="308"/>
      <c r="B62" s="285"/>
      <c r="C62" s="285">
        <f t="shared" si="1"/>
        <v>45455.475694444438</v>
      </c>
      <c r="D62" s="546">
        <v>5</v>
      </c>
      <c r="E62" s="547"/>
      <c r="F62" s="286">
        <f>LongTest!F82</f>
        <v>17.188011460201068</v>
      </c>
      <c r="G62" s="286">
        <f>LongTest!G82</f>
        <v>7.7380114602010686</v>
      </c>
      <c r="H62" s="546"/>
      <c r="I62" s="551"/>
      <c r="J62" s="552"/>
    </row>
    <row r="63" spans="1:10" ht="24.95" customHeight="1">
      <c r="A63" s="308"/>
      <c r="B63" s="285"/>
      <c r="C63" s="285">
        <f t="shared" si="1"/>
        <v>45455.479166666664</v>
      </c>
      <c r="D63" s="546">
        <v>10</v>
      </c>
      <c r="E63" s="547"/>
      <c r="F63" s="286">
        <f>LongTest!F83</f>
        <v>15.483270868618019</v>
      </c>
      <c r="G63" s="286">
        <f>LongTest!G83</f>
        <v>6.0332708686180201</v>
      </c>
      <c r="H63" s="546"/>
      <c r="I63" s="551"/>
      <c r="J63" s="552"/>
    </row>
    <row r="64" spans="1:10" ht="24.95" customHeight="1">
      <c r="A64" s="308"/>
      <c r="B64" s="285"/>
      <c r="C64" s="285">
        <f t="shared" si="1"/>
        <v>45455.482638888883</v>
      </c>
      <c r="D64" s="546">
        <v>15</v>
      </c>
      <c r="E64" s="547"/>
      <c r="F64" s="286">
        <f>LongTest!F84</f>
        <v>15.158681504824028</v>
      </c>
      <c r="G64" s="286">
        <f>LongTest!G84</f>
        <v>5.7086815048240274</v>
      </c>
      <c r="H64" s="546"/>
      <c r="I64" s="551"/>
      <c r="J64" s="552"/>
    </row>
    <row r="65" spans="1:10" ht="24.95" customHeight="1">
      <c r="A65" s="308"/>
      <c r="B65" s="285"/>
      <c r="C65" s="285">
        <f t="shared" si="1"/>
        <v>45455.486111111109</v>
      </c>
      <c r="D65" s="546">
        <v>20</v>
      </c>
      <c r="E65" s="547"/>
      <c r="F65" s="286">
        <f>LongTest!F85</f>
        <v>14.285983204912011</v>
      </c>
      <c r="G65" s="286">
        <f>LongTest!G85</f>
        <v>4.8359832049120115</v>
      </c>
      <c r="H65" s="546"/>
      <c r="I65" s="551"/>
      <c r="J65" s="552"/>
    </row>
    <row r="66" spans="1:10" ht="24.95" customHeight="1">
      <c r="A66" s="308"/>
      <c r="B66" s="285"/>
      <c r="C66" s="285">
        <f t="shared" si="1"/>
        <v>45455.489583333328</v>
      </c>
      <c r="D66" s="546">
        <v>25</v>
      </c>
      <c r="E66" s="547"/>
      <c r="F66" s="286">
        <f>LongTest!F86</f>
        <v>13.901017163572192</v>
      </c>
      <c r="G66" s="286">
        <f>LongTest!G86</f>
        <v>4.4510171635721916</v>
      </c>
      <c r="H66" s="546"/>
      <c r="I66" s="551"/>
      <c r="J66" s="552"/>
    </row>
    <row r="67" spans="1:10" ht="24.95" customHeight="1">
      <c r="A67" s="308"/>
      <c r="B67" s="285"/>
      <c r="C67" s="285">
        <f t="shared" si="1"/>
        <v>45455.493055555555</v>
      </c>
      <c r="D67" s="546">
        <v>30</v>
      </c>
      <c r="E67" s="547"/>
      <c r="F67" s="286">
        <f>LongTest!F87</f>
        <v>13.54669615276811</v>
      </c>
      <c r="G67" s="286">
        <f>LongTest!G87</f>
        <v>4.0966961527681098</v>
      </c>
      <c r="H67" s="546"/>
      <c r="I67" s="551"/>
      <c r="J67" s="552"/>
    </row>
    <row r="68" spans="1:10" ht="24.95" customHeight="1">
      <c r="A68" s="308"/>
      <c r="B68" s="285"/>
      <c r="C68" s="285">
        <f t="shared" si="1"/>
        <v>45455.496527777774</v>
      </c>
      <c r="D68" s="546">
        <v>35</v>
      </c>
      <c r="E68" s="547"/>
      <c r="F68" s="286">
        <f>LongTest!F88</f>
        <v>13.434971769034254</v>
      </c>
      <c r="G68" s="286">
        <f>LongTest!G88</f>
        <v>3.9849717690342552</v>
      </c>
      <c r="H68" s="546"/>
      <c r="I68" s="551"/>
      <c r="J68" s="552"/>
    </row>
    <row r="69" spans="1:10" ht="24.95" customHeight="1">
      <c r="A69" s="308"/>
      <c r="B69" s="285"/>
      <c r="C69" s="285">
        <f t="shared" si="1"/>
        <v>45455.5</v>
      </c>
      <c r="D69" s="546">
        <v>40</v>
      </c>
      <c r="E69" s="547"/>
      <c r="F69" s="286">
        <f>LongTest!F89</f>
        <v>13.326294313228475</v>
      </c>
      <c r="G69" s="286">
        <f>LongTest!G89</f>
        <v>3.8762943132284762</v>
      </c>
      <c r="H69" s="546"/>
      <c r="I69" s="551"/>
      <c r="J69" s="552"/>
    </row>
    <row r="70" spans="1:10" ht="24.95" customHeight="1">
      <c r="A70" s="308"/>
      <c r="B70" s="285"/>
      <c r="C70" s="285">
        <f t="shared" si="1"/>
        <v>45455.503472222219</v>
      </c>
      <c r="D70" s="546">
        <v>45</v>
      </c>
      <c r="E70" s="547"/>
      <c r="F70" s="286">
        <f>LongTest!F90</f>
        <v>13.220580690063166</v>
      </c>
      <c r="G70" s="286">
        <f>LongTest!G90</f>
        <v>3.7705806900631673</v>
      </c>
      <c r="H70" s="546"/>
      <c r="I70" s="551"/>
      <c r="J70" s="552"/>
    </row>
    <row r="71" spans="1:10" ht="24.95" customHeight="1">
      <c r="A71" s="308"/>
      <c r="B71" s="285"/>
      <c r="C71" s="285">
        <f t="shared" si="1"/>
        <v>45455.506944444438</v>
      </c>
      <c r="D71" s="546">
        <v>50</v>
      </c>
      <c r="E71" s="547"/>
      <c r="F71" s="286">
        <f>LongTest!F91</f>
        <v>13.11775007041093</v>
      </c>
      <c r="G71" s="286">
        <f>LongTest!G91</f>
        <v>3.6677500704109298</v>
      </c>
      <c r="H71" s="546"/>
      <c r="I71" s="551"/>
      <c r="J71" s="552"/>
    </row>
    <row r="72" spans="1:10" ht="24.95" customHeight="1">
      <c r="A72" s="308"/>
      <c r="B72" s="285"/>
      <c r="C72" s="285">
        <f t="shared" si="1"/>
        <v>45455.510416666664</v>
      </c>
      <c r="D72" s="546">
        <v>55</v>
      </c>
      <c r="E72" s="547"/>
      <c r="F72" s="286">
        <f>LongTest!F92</f>
        <v>13.017723829502245</v>
      </c>
      <c r="G72" s="286">
        <f>LongTest!G92</f>
        <v>3.5677238295022455</v>
      </c>
      <c r="H72" s="546"/>
      <c r="I72" s="551"/>
      <c r="J72" s="552"/>
    </row>
    <row r="73" spans="1:10" ht="24.95" customHeight="1">
      <c r="A73" s="308"/>
      <c r="B73" s="285"/>
      <c r="C73" s="285">
        <f t="shared" si="1"/>
        <v>45455.513888888883</v>
      </c>
      <c r="D73" s="546">
        <v>60</v>
      </c>
      <c r="E73" s="547"/>
      <c r="F73" s="286">
        <f>LongTest!F93</f>
        <v>12.920425486808609</v>
      </c>
      <c r="G73" s="286">
        <f>LongTest!G93</f>
        <v>3.4704254868086104</v>
      </c>
      <c r="H73" s="546"/>
      <c r="I73" s="551"/>
      <c r="J73" s="552"/>
    </row>
    <row r="74" spans="1:10" ht="24.95" customHeight="1">
      <c r="A74" s="308"/>
      <c r="B74" s="285"/>
      <c r="C74" s="285">
        <f t="shared" si="1"/>
        <v>45455.524305555555</v>
      </c>
      <c r="D74" s="546">
        <v>75</v>
      </c>
      <c r="E74" s="547"/>
      <c r="F74" s="286">
        <f>LongTest!F94</f>
        <v>12.825780647565169</v>
      </c>
      <c r="G74" s="286">
        <f>LongTest!G94</f>
        <v>3.3757806475651706</v>
      </c>
      <c r="H74" s="546"/>
      <c r="I74" s="551"/>
      <c r="J74" s="552"/>
    </row>
    <row r="75" spans="1:10" ht="24.95" customHeight="1">
      <c r="A75" s="308"/>
      <c r="B75" s="285"/>
      <c r="C75" s="285">
        <f t="shared" si="1"/>
        <v>45455.534722222219</v>
      </c>
      <c r="D75" s="546">
        <v>90</v>
      </c>
      <c r="E75" s="547"/>
      <c r="F75" s="286">
        <f>LongTest!F95</f>
        <v>12.733716945888137</v>
      </c>
      <c r="G75" s="286">
        <f>LongTest!G95</f>
        <v>3.2837169458881377</v>
      </c>
      <c r="H75" s="546"/>
      <c r="I75" s="551"/>
      <c r="J75" s="552"/>
    </row>
    <row r="76" spans="1:10" ht="24.95" customHeight="1">
      <c r="A76" s="308"/>
      <c r="B76" s="285"/>
      <c r="C76" s="285">
        <f t="shared" si="1"/>
        <v>45455.545138888883</v>
      </c>
      <c r="D76" s="546">
        <v>105</v>
      </c>
      <c r="E76" s="547"/>
      <c r="F76" s="286">
        <f>LongTest!F96</f>
        <v>12.644163989443497</v>
      </c>
      <c r="G76" s="286">
        <f>LongTest!G96</f>
        <v>3.194163989443497</v>
      </c>
      <c r="H76" s="546"/>
      <c r="I76" s="551"/>
      <c r="J76" s="552"/>
    </row>
    <row r="77" spans="1:10" ht="24.95" customHeight="1">
      <c r="A77" s="308"/>
      <c r="B77" s="285"/>
      <c r="C77" s="285">
        <f t="shared" si="1"/>
        <v>45455.555555555555</v>
      </c>
      <c r="D77" s="546">
        <v>120</v>
      </c>
      <c r="E77" s="547"/>
      <c r="F77" s="286">
        <f>LongTest!F97</f>
        <v>12.389894151376794</v>
      </c>
      <c r="G77" s="286">
        <f>LongTest!G97</f>
        <v>2.9398941513767949</v>
      </c>
      <c r="H77" s="546" t="s">
        <v>327</v>
      </c>
      <c r="I77" s="551"/>
      <c r="J77" s="552"/>
    </row>
    <row r="78" spans="1:10" ht="24.95" customHeight="1">
      <c r="A78" s="308"/>
      <c r="B78" s="285"/>
      <c r="C78" s="285"/>
      <c r="D78" s="546"/>
      <c r="E78" s="547"/>
      <c r="F78" s="286"/>
      <c r="G78" s="286"/>
      <c r="H78" s="546"/>
      <c r="I78" s="551"/>
      <c r="J78" s="552"/>
    </row>
    <row r="79" spans="1:10" ht="24.95" customHeight="1">
      <c r="A79" s="308"/>
      <c r="B79" s="285"/>
      <c r="C79" s="285"/>
      <c r="D79" s="546"/>
      <c r="E79" s="547"/>
      <c r="F79" s="286"/>
      <c r="G79" s="286"/>
      <c r="H79" s="546"/>
      <c r="I79" s="551"/>
      <c r="J79" s="552"/>
    </row>
    <row r="80" spans="1:10" ht="24.95" customHeight="1">
      <c r="A80" s="308"/>
      <c r="B80" s="285"/>
      <c r="C80" s="285"/>
      <c r="D80" s="546"/>
      <c r="E80" s="547"/>
      <c r="F80" s="286"/>
      <c r="G80" s="286"/>
      <c r="H80" s="546"/>
      <c r="I80" s="551"/>
      <c r="J80" s="552"/>
    </row>
    <row r="81" spans="1:10" ht="24.95" customHeight="1" thickBot="1">
      <c r="A81" s="312"/>
      <c r="B81" s="313"/>
      <c r="C81" s="313"/>
      <c r="D81" s="553"/>
      <c r="E81" s="554"/>
      <c r="F81" s="314"/>
      <c r="G81" s="314"/>
      <c r="H81" s="553"/>
      <c r="I81" s="575"/>
      <c r="J81" s="57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1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1" ht="24.95" customHeight="1">
      <c r="A4" s="564" t="s">
        <v>295</v>
      </c>
      <c r="B4" s="565"/>
      <c r="C4" s="566">
        <f>StepTest!C12</f>
        <v>45489.458333333336</v>
      </c>
      <c r="D4" s="567"/>
      <c r="E4" s="567"/>
      <c r="F4" s="567"/>
      <c r="G4" s="567"/>
      <c r="H4" s="567"/>
      <c r="I4" s="567"/>
      <c r="J4" s="568"/>
    </row>
    <row r="5" spans="1:11" ht="24.95" customHeight="1">
      <c r="A5" s="564" t="s">
        <v>296</v>
      </c>
      <c r="B5" s="565"/>
      <c r="C5" s="566">
        <f>StepTest!C51</f>
        <v>45489.875</v>
      </c>
      <c r="D5" s="567"/>
      <c r="E5" s="567"/>
      <c r="F5" s="567"/>
      <c r="G5" s="567"/>
      <c r="H5" s="567"/>
      <c r="I5" s="567"/>
      <c r="J5" s="568"/>
    </row>
    <row r="6" spans="1:11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1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546"/>
      <c r="H7" s="551"/>
      <c r="I7" s="551"/>
      <c r="J7" s="552"/>
    </row>
    <row r="8" spans="1:11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326</v>
      </c>
      <c r="H8" s="548">
        <f>LongTest!G7</f>
        <v>100</v>
      </c>
      <c r="I8" s="565"/>
      <c r="J8" s="282" t="s">
        <v>299</v>
      </c>
    </row>
    <row r="9" spans="1:11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319</v>
      </c>
      <c r="H9" s="548">
        <f>Input!M51</f>
        <v>150</v>
      </c>
      <c r="I9" s="565"/>
      <c r="J9" s="282" t="s">
        <v>307</v>
      </c>
    </row>
    <row r="10" spans="1:11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45489.459027777782</v>
      </c>
      <c r="D12" s="555">
        <v>1</v>
      </c>
      <c r="E12" s="555"/>
      <c r="F12" s="286">
        <f>StepTest!F12</f>
        <v>10.45</v>
      </c>
      <c r="G12" s="286">
        <f>StepTest!G12</f>
        <v>1</v>
      </c>
      <c r="H12" s="582"/>
      <c r="I12" s="583"/>
      <c r="J12" s="584"/>
    </row>
    <row r="13" spans="1:11" ht="24.95" customHeight="1">
      <c r="A13" s="283"/>
      <c r="B13" s="281"/>
      <c r="C13" s="285">
        <f t="shared" si="0"/>
        <v>45489.459722222222</v>
      </c>
      <c r="D13" s="555">
        <v>2</v>
      </c>
      <c r="E13" s="555"/>
      <c r="F13" s="286">
        <f>StepTest!F13</f>
        <v>11.27</v>
      </c>
      <c r="G13" s="286">
        <f>StepTest!G13</f>
        <v>1.82</v>
      </c>
      <c r="H13" s="582"/>
      <c r="I13" s="583"/>
      <c r="J13" s="584"/>
    </row>
    <row r="14" spans="1:11" ht="24.95" customHeight="1">
      <c r="A14" s="283"/>
      <c r="B14" s="281"/>
      <c r="C14" s="285">
        <f t="shared" si="0"/>
        <v>45489.460416666669</v>
      </c>
      <c r="D14" s="555">
        <v>3</v>
      </c>
      <c r="E14" s="555"/>
      <c r="F14" s="286">
        <f>StepTest!F14</f>
        <v>11.75</v>
      </c>
      <c r="G14" s="286">
        <f>StepTest!G14</f>
        <v>2.2999999999999998</v>
      </c>
      <c r="H14" s="582"/>
      <c r="I14" s="583"/>
      <c r="J14" s="584"/>
    </row>
    <row r="15" spans="1:11" ht="24.95" customHeight="1">
      <c r="A15" s="283"/>
      <c r="B15" s="281"/>
      <c r="C15" s="285">
        <f t="shared" si="0"/>
        <v>45489.461111111115</v>
      </c>
      <c r="D15" s="555">
        <v>4</v>
      </c>
      <c r="E15" s="555"/>
      <c r="F15" s="286">
        <f>StepTest!F15</f>
        <v>12.079999999999998</v>
      </c>
      <c r="G15" s="286">
        <f>StepTest!G15</f>
        <v>2.63</v>
      </c>
      <c r="H15" s="582"/>
      <c r="I15" s="583"/>
      <c r="J15" s="584"/>
    </row>
    <row r="16" spans="1:11" ht="24.95" customHeight="1">
      <c r="A16" s="283"/>
      <c r="B16" s="281"/>
      <c r="C16" s="285">
        <f t="shared" si="0"/>
        <v>45489.461805555555</v>
      </c>
      <c r="D16" s="555">
        <v>5</v>
      </c>
      <c r="E16" s="555"/>
      <c r="F16" s="286">
        <f>StepTest!F16</f>
        <v>12.35</v>
      </c>
      <c r="G16" s="286">
        <f>StepTest!G16</f>
        <v>2.9</v>
      </c>
      <c r="H16" s="546"/>
      <c r="I16" s="551"/>
      <c r="J16" s="552"/>
    </row>
    <row r="17" spans="1:10" ht="24.95" customHeight="1">
      <c r="A17" s="283"/>
      <c r="B17" s="281"/>
      <c r="C17" s="285">
        <f t="shared" si="0"/>
        <v>45489.465277777781</v>
      </c>
      <c r="D17" s="555">
        <v>10</v>
      </c>
      <c r="E17" s="555"/>
      <c r="F17" s="286">
        <f>StepTest!F17</f>
        <v>13.16</v>
      </c>
      <c r="G17" s="286">
        <f>StepTest!G17</f>
        <v>3.71</v>
      </c>
      <c r="H17" s="546"/>
      <c r="I17" s="551"/>
      <c r="J17" s="552"/>
    </row>
    <row r="18" spans="1:10" ht="24.95" customHeight="1">
      <c r="A18" s="283"/>
      <c r="B18" s="281"/>
      <c r="C18" s="285">
        <f t="shared" si="0"/>
        <v>45489.46875</v>
      </c>
      <c r="D18" s="555">
        <v>15</v>
      </c>
      <c r="E18" s="555"/>
      <c r="F18" s="286">
        <f>StepTest!F18</f>
        <v>13.64</v>
      </c>
      <c r="G18" s="286">
        <f>StepTest!G18</f>
        <v>4.1900000000000004</v>
      </c>
      <c r="H18" s="546"/>
      <c r="I18" s="551"/>
      <c r="J18" s="552"/>
    </row>
    <row r="19" spans="1:10" ht="24.95" customHeight="1">
      <c r="A19" s="283"/>
      <c r="B19" s="281"/>
      <c r="C19" s="285">
        <f t="shared" si="0"/>
        <v>45489.472222222226</v>
      </c>
      <c r="D19" s="555">
        <v>20</v>
      </c>
      <c r="E19" s="555"/>
      <c r="F19" s="286">
        <f>StepTest!F19</f>
        <v>13.98</v>
      </c>
      <c r="G19" s="286">
        <f>StepTest!G19</f>
        <v>4.53</v>
      </c>
      <c r="H19" s="546"/>
      <c r="I19" s="551"/>
      <c r="J19" s="552"/>
    </row>
    <row r="20" spans="1:10" ht="24.95" customHeight="1">
      <c r="A20" s="283"/>
      <c r="B20" s="281"/>
      <c r="C20" s="285">
        <f t="shared" si="0"/>
        <v>45489.475694444445</v>
      </c>
      <c r="D20" s="555">
        <v>25</v>
      </c>
      <c r="E20" s="555"/>
      <c r="F20" s="286">
        <f>StepTest!F20</f>
        <v>14.239999999999998</v>
      </c>
      <c r="G20" s="286">
        <f>StepTest!G20</f>
        <v>4.79</v>
      </c>
      <c r="H20" s="546"/>
      <c r="I20" s="551"/>
      <c r="J20" s="552"/>
    </row>
    <row r="21" spans="1:10" ht="24.95" customHeight="1">
      <c r="A21" s="283"/>
      <c r="B21" s="281"/>
      <c r="C21" s="285">
        <f t="shared" si="0"/>
        <v>45489.479166666672</v>
      </c>
      <c r="D21" s="555">
        <v>30</v>
      </c>
      <c r="E21" s="555"/>
      <c r="F21" s="286">
        <f>StepTest!F21</f>
        <v>14.45</v>
      </c>
      <c r="G21" s="286">
        <f>StepTest!G21</f>
        <v>5</v>
      </c>
      <c r="H21" s="546"/>
      <c r="I21" s="551"/>
      <c r="J21" s="552"/>
    </row>
    <row r="22" spans="1:10" ht="24.95" customHeight="1">
      <c r="A22" s="283"/>
      <c r="B22" s="281"/>
      <c r="C22" s="285">
        <f t="shared" si="0"/>
        <v>45489.482638888891</v>
      </c>
      <c r="D22" s="555">
        <v>35</v>
      </c>
      <c r="E22" s="555"/>
      <c r="F22" s="286">
        <f>StepTest!F22</f>
        <v>14.64</v>
      </c>
      <c r="G22" s="286">
        <f>StepTest!G22</f>
        <v>5.19</v>
      </c>
      <c r="H22" s="546"/>
      <c r="I22" s="551"/>
      <c r="J22" s="552"/>
    </row>
    <row r="23" spans="1:10" ht="24.95" customHeight="1">
      <c r="A23" s="283"/>
      <c r="B23" s="281"/>
      <c r="C23" s="285">
        <f t="shared" si="0"/>
        <v>45489.486111111117</v>
      </c>
      <c r="D23" s="555">
        <v>40</v>
      </c>
      <c r="E23" s="555"/>
      <c r="F23" s="286">
        <f>StepTest!F23</f>
        <v>14.79</v>
      </c>
      <c r="G23" s="286">
        <f>StepTest!G23</f>
        <v>5.34</v>
      </c>
      <c r="H23" s="546"/>
      <c r="I23" s="551"/>
      <c r="J23" s="552"/>
    </row>
    <row r="24" spans="1:10" ht="24.95" customHeight="1">
      <c r="A24" s="283"/>
      <c r="B24" s="281"/>
      <c r="C24" s="285">
        <f t="shared" si="0"/>
        <v>45489.489583333336</v>
      </c>
      <c r="D24" s="555">
        <v>45</v>
      </c>
      <c r="E24" s="555"/>
      <c r="F24" s="286">
        <f>StepTest!F24</f>
        <v>14.93</v>
      </c>
      <c r="G24" s="286">
        <f>StepTest!G24</f>
        <v>5.48</v>
      </c>
      <c r="H24" s="546"/>
      <c r="I24" s="551"/>
      <c r="J24" s="552"/>
    </row>
    <row r="25" spans="1:10" ht="24.95" customHeight="1">
      <c r="A25" s="283"/>
      <c r="B25" s="281"/>
      <c r="C25" s="285">
        <f t="shared" si="0"/>
        <v>45489.493055555555</v>
      </c>
      <c r="D25" s="555">
        <v>50</v>
      </c>
      <c r="E25" s="555"/>
      <c r="F25" s="286">
        <f>StepTest!F25</f>
        <v>15.059999999999999</v>
      </c>
      <c r="G25" s="286">
        <f>StepTest!G25</f>
        <v>5.61</v>
      </c>
      <c r="H25" s="546"/>
      <c r="I25" s="551"/>
      <c r="J25" s="552"/>
    </row>
    <row r="26" spans="1:10" ht="24.95" customHeight="1">
      <c r="A26" s="283"/>
      <c r="B26" s="281"/>
      <c r="C26" s="285">
        <f t="shared" si="0"/>
        <v>45489.496527777781</v>
      </c>
      <c r="D26" s="555">
        <v>55</v>
      </c>
      <c r="E26" s="555"/>
      <c r="F26" s="286">
        <f>StepTest!F26</f>
        <v>15.169999999999998</v>
      </c>
      <c r="G26" s="286">
        <f>StepTest!G26</f>
        <v>5.72</v>
      </c>
      <c r="H26" s="546"/>
      <c r="I26" s="551"/>
      <c r="J26" s="552"/>
    </row>
    <row r="27" spans="1:10" ht="24.95" customHeight="1">
      <c r="A27" s="283"/>
      <c r="B27" s="281"/>
      <c r="C27" s="285">
        <f t="shared" si="0"/>
        <v>45489.5</v>
      </c>
      <c r="D27" s="555">
        <v>60</v>
      </c>
      <c r="E27" s="555"/>
      <c r="F27" s="286">
        <f>StepTest!F27</f>
        <v>15.27</v>
      </c>
      <c r="G27" s="286">
        <f>StepTest!G27</f>
        <v>5.82</v>
      </c>
      <c r="H27" s="546"/>
      <c r="I27" s="551"/>
      <c r="J27" s="552"/>
    </row>
    <row r="28" spans="1:10" ht="24.95" customHeight="1">
      <c r="A28" s="283"/>
      <c r="B28" s="281"/>
      <c r="C28" s="285">
        <f t="shared" si="0"/>
        <v>45489.510416666672</v>
      </c>
      <c r="D28" s="555">
        <v>75</v>
      </c>
      <c r="E28" s="555"/>
      <c r="F28" s="286">
        <f>StepTest!F28</f>
        <v>15.53</v>
      </c>
      <c r="G28" s="286">
        <f>StepTest!G28</f>
        <v>6.08</v>
      </c>
      <c r="H28" s="546"/>
      <c r="I28" s="551"/>
      <c r="J28" s="552"/>
    </row>
    <row r="29" spans="1:10" ht="24.95" customHeight="1">
      <c r="A29" s="283"/>
      <c r="B29" s="281"/>
      <c r="C29" s="285">
        <f t="shared" si="0"/>
        <v>45489.520833333336</v>
      </c>
      <c r="D29" s="555">
        <v>90</v>
      </c>
      <c r="E29" s="555"/>
      <c r="F29" s="286">
        <f>StepTest!F29</f>
        <v>15.75</v>
      </c>
      <c r="G29" s="286">
        <f>StepTest!G29</f>
        <v>6.3</v>
      </c>
      <c r="H29" s="546"/>
      <c r="I29" s="551"/>
      <c r="J29" s="552"/>
    </row>
    <row r="30" spans="1:10" ht="24.95" customHeight="1">
      <c r="A30" s="283"/>
      <c r="B30" s="281"/>
      <c r="C30" s="285">
        <f t="shared" si="0"/>
        <v>45489.53125</v>
      </c>
      <c r="D30" s="555">
        <v>105</v>
      </c>
      <c r="E30" s="555"/>
      <c r="F30" s="286">
        <f>StepTest!F30</f>
        <v>15.93</v>
      </c>
      <c r="G30" s="286">
        <f>StepTest!G30</f>
        <v>6.48</v>
      </c>
      <c r="H30" s="546"/>
      <c r="I30" s="551"/>
      <c r="J30" s="552"/>
    </row>
    <row r="31" spans="1:10" ht="24.95" customHeight="1">
      <c r="A31" s="283"/>
      <c r="B31" s="281"/>
      <c r="C31" s="285">
        <f t="shared" si="0"/>
        <v>45489.541666666672</v>
      </c>
      <c r="D31" s="555">
        <v>120</v>
      </c>
      <c r="E31" s="555"/>
      <c r="F31" s="286">
        <f>StepTest!F31</f>
        <v>16.09</v>
      </c>
      <c r="G31" s="286">
        <f>StepTest!G31</f>
        <v>6.64</v>
      </c>
      <c r="H31" s="546"/>
      <c r="I31" s="551"/>
      <c r="J31" s="552"/>
    </row>
    <row r="32" spans="1:10" ht="24.95" customHeight="1">
      <c r="A32" s="287">
        <v>2</v>
      </c>
      <c r="B32" s="284">
        <f>Input!D21</f>
        <v>120</v>
      </c>
      <c r="C32" s="285">
        <f t="shared" si="0"/>
        <v>45489.548611111117</v>
      </c>
      <c r="D32" s="555">
        <v>130</v>
      </c>
      <c r="E32" s="555"/>
      <c r="F32" s="286">
        <f>StepTest!F32</f>
        <v>17.419999999999998</v>
      </c>
      <c r="G32" s="286">
        <f>StepTest!G32</f>
        <v>7.97</v>
      </c>
      <c r="H32" s="546"/>
      <c r="I32" s="551"/>
      <c r="J32" s="552"/>
    </row>
    <row r="33" spans="1:10" ht="24.95" customHeight="1">
      <c r="A33" s="287"/>
      <c r="B33" s="284"/>
      <c r="C33" s="285">
        <f t="shared" si="0"/>
        <v>45489.555555555555</v>
      </c>
      <c r="D33" s="555">
        <v>140</v>
      </c>
      <c r="E33" s="555"/>
      <c r="F33" s="286">
        <f>StepTest!F33</f>
        <v>17.64</v>
      </c>
      <c r="G33" s="286">
        <f>StepTest!G33</f>
        <v>8.19</v>
      </c>
      <c r="H33" s="546"/>
      <c r="I33" s="551"/>
      <c r="J33" s="552"/>
    </row>
    <row r="34" spans="1:10" ht="24.95" customHeight="1">
      <c r="A34" s="287"/>
      <c r="B34" s="284"/>
      <c r="C34" s="285">
        <f t="shared" si="0"/>
        <v>45489.5625</v>
      </c>
      <c r="D34" s="555">
        <v>150</v>
      </c>
      <c r="E34" s="555"/>
      <c r="F34" s="286">
        <f>StepTest!F34</f>
        <v>17.86</v>
      </c>
      <c r="G34" s="286">
        <f>StepTest!G34</f>
        <v>8.41</v>
      </c>
      <c r="H34" s="546"/>
      <c r="I34" s="551"/>
      <c r="J34" s="552"/>
    </row>
    <row r="35" spans="1:10" ht="24.95" customHeight="1">
      <c r="A35" s="287"/>
      <c r="B35" s="284"/>
      <c r="C35" s="285">
        <f t="shared" si="0"/>
        <v>45489.583333333336</v>
      </c>
      <c r="D35" s="555">
        <v>180</v>
      </c>
      <c r="E35" s="555"/>
      <c r="F35" s="286">
        <f>StepTest!F35</f>
        <v>18.079999999999998</v>
      </c>
      <c r="G35" s="286">
        <f>StepTest!G35</f>
        <v>8.6300000000000008</v>
      </c>
      <c r="H35" s="546"/>
      <c r="I35" s="551"/>
      <c r="J35" s="552"/>
    </row>
    <row r="36" spans="1:10" ht="24.95" customHeight="1">
      <c r="A36" s="287"/>
      <c r="B36" s="284"/>
      <c r="C36" s="285">
        <f t="shared" si="0"/>
        <v>45489.625</v>
      </c>
      <c r="D36" s="555">
        <v>240</v>
      </c>
      <c r="E36" s="555"/>
      <c r="F36" s="286">
        <f>StepTest!F36</f>
        <v>18.309999999999999</v>
      </c>
      <c r="G36" s="286">
        <f>StepTest!G36</f>
        <v>8.86</v>
      </c>
      <c r="H36" s="546"/>
      <c r="I36" s="551"/>
      <c r="J36" s="552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45489.631944444445</v>
      </c>
      <c r="D37" s="555">
        <v>250</v>
      </c>
      <c r="E37" s="555"/>
      <c r="F37" s="286">
        <f>StepTest!F37</f>
        <v>19.799999999999997</v>
      </c>
      <c r="G37" s="286">
        <f>StepTest!G37</f>
        <v>10.35</v>
      </c>
      <c r="H37" s="546"/>
      <c r="I37" s="551"/>
      <c r="J37" s="552"/>
    </row>
    <row r="38" spans="1:10" ht="24.95" customHeight="1">
      <c r="A38" s="287"/>
      <c r="B38" s="284"/>
      <c r="C38" s="285">
        <f t="shared" si="0"/>
        <v>45489.638888888891</v>
      </c>
      <c r="D38" s="555">
        <v>260</v>
      </c>
      <c r="E38" s="555"/>
      <c r="F38" s="286">
        <f>StepTest!F38</f>
        <v>20.049999999999997</v>
      </c>
      <c r="G38" s="286">
        <f>StepTest!G38</f>
        <v>10.6</v>
      </c>
      <c r="H38" s="546"/>
      <c r="I38" s="551"/>
      <c r="J38" s="552"/>
    </row>
    <row r="39" spans="1:10" ht="24.95" customHeight="1">
      <c r="A39" s="287"/>
      <c r="B39" s="284"/>
      <c r="C39" s="285">
        <f t="shared" si="0"/>
        <v>45489.645833333336</v>
      </c>
      <c r="D39" s="555">
        <v>270</v>
      </c>
      <c r="E39" s="555"/>
      <c r="F39" s="286">
        <f>StepTest!F39</f>
        <v>20.299999999999997</v>
      </c>
      <c r="G39" s="286">
        <f>StepTest!G39</f>
        <v>10.85</v>
      </c>
      <c r="H39" s="546"/>
      <c r="I39" s="551"/>
      <c r="J39" s="552"/>
    </row>
    <row r="40" spans="1:10" ht="24.95" customHeight="1">
      <c r="A40" s="287"/>
      <c r="B40" s="284"/>
      <c r="C40" s="285">
        <f t="shared" si="0"/>
        <v>45489.666666666672</v>
      </c>
      <c r="D40" s="555">
        <v>300</v>
      </c>
      <c r="E40" s="555"/>
      <c r="F40" s="286">
        <f>StepTest!F40</f>
        <v>20.549999999999997</v>
      </c>
      <c r="G40" s="286">
        <f>StepTest!G40</f>
        <v>11.1</v>
      </c>
      <c r="H40" s="546"/>
      <c r="I40" s="551"/>
      <c r="J40" s="552"/>
    </row>
    <row r="41" spans="1:10" ht="24.95" customHeight="1">
      <c r="A41" s="287"/>
      <c r="B41" s="284"/>
      <c r="C41" s="285">
        <f t="shared" si="0"/>
        <v>45489.708333333336</v>
      </c>
      <c r="D41" s="555">
        <v>360</v>
      </c>
      <c r="E41" s="555"/>
      <c r="F41" s="286">
        <f>StepTest!F41</f>
        <v>20.799999999999997</v>
      </c>
      <c r="G41" s="286">
        <f>StepTest!G41</f>
        <v>11.35</v>
      </c>
      <c r="H41" s="546"/>
      <c r="I41" s="551"/>
      <c r="J41" s="552"/>
    </row>
    <row r="42" spans="1:10" ht="24.95" customHeight="1">
      <c r="A42" s="287">
        <v>4</v>
      </c>
      <c r="B42" s="284">
        <f>Input!D23</f>
        <v>172</v>
      </c>
      <c r="C42" s="285">
        <f t="shared" si="0"/>
        <v>45489.715277777781</v>
      </c>
      <c r="D42" s="548">
        <v>370</v>
      </c>
      <c r="E42" s="565"/>
      <c r="F42" s="286">
        <f>StepTest!F42</f>
        <v>22.46</v>
      </c>
      <c r="G42" s="286">
        <f>StepTest!G42</f>
        <v>13.01</v>
      </c>
      <c r="H42" s="546"/>
      <c r="I42" s="551"/>
      <c r="J42" s="552"/>
    </row>
    <row r="43" spans="1:10" ht="24.95" customHeight="1">
      <c r="A43" s="287"/>
      <c r="B43" s="284"/>
      <c r="C43" s="285">
        <f t="shared" si="0"/>
        <v>45489.722222222226</v>
      </c>
      <c r="D43" s="548">
        <v>380</v>
      </c>
      <c r="E43" s="565"/>
      <c r="F43" s="286">
        <f>StepTest!F43</f>
        <v>22.74</v>
      </c>
      <c r="G43" s="286">
        <f>StepTest!G43</f>
        <v>13.29</v>
      </c>
      <c r="H43" s="546"/>
      <c r="I43" s="551"/>
      <c r="J43" s="552"/>
    </row>
    <row r="44" spans="1:10" ht="24.95" customHeight="1">
      <c r="A44" s="287"/>
      <c r="B44" s="284"/>
      <c r="C44" s="285">
        <f t="shared" si="0"/>
        <v>45489.729166666672</v>
      </c>
      <c r="D44" s="548">
        <v>390</v>
      </c>
      <c r="E44" s="565"/>
      <c r="F44" s="286">
        <f>StepTest!F44</f>
        <v>23.02</v>
      </c>
      <c r="G44" s="286">
        <f>StepTest!G44</f>
        <v>13.57</v>
      </c>
      <c r="H44" s="546"/>
      <c r="I44" s="551"/>
      <c r="J44" s="552"/>
    </row>
    <row r="45" spans="1:10" ht="24.95" customHeight="1">
      <c r="A45" s="287"/>
      <c r="B45" s="284"/>
      <c r="C45" s="285">
        <f t="shared" si="0"/>
        <v>45489.75</v>
      </c>
      <c r="D45" s="548">
        <v>420</v>
      </c>
      <c r="E45" s="565"/>
      <c r="F45" s="286">
        <f>StepTest!F45</f>
        <v>23.299999999999997</v>
      </c>
      <c r="G45" s="286">
        <f>StepTest!G45</f>
        <v>13.85</v>
      </c>
      <c r="H45" s="546"/>
      <c r="I45" s="551"/>
      <c r="J45" s="552"/>
    </row>
    <row r="46" spans="1:10" ht="24.95" customHeight="1">
      <c r="A46" s="287"/>
      <c r="B46" s="284"/>
      <c r="C46" s="285">
        <f t="shared" si="0"/>
        <v>45489.791666666672</v>
      </c>
      <c r="D46" s="548">
        <v>480</v>
      </c>
      <c r="E46" s="565"/>
      <c r="F46" s="286">
        <f>StepTest!F46</f>
        <v>23.58</v>
      </c>
      <c r="G46" s="286">
        <f>StepTest!G46</f>
        <v>14.13</v>
      </c>
      <c r="H46" s="546"/>
      <c r="I46" s="551"/>
      <c r="J46" s="552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45489.798611111117</v>
      </c>
      <c r="D47" s="548">
        <v>490</v>
      </c>
      <c r="E47" s="565"/>
      <c r="F47" s="286">
        <f>StepTest!F47</f>
        <v>25.27</v>
      </c>
      <c r="G47" s="286">
        <f>StepTest!G47</f>
        <v>15.82</v>
      </c>
      <c r="H47" s="546"/>
      <c r="I47" s="551"/>
      <c r="J47" s="552"/>
    </row>
    <row r="48" spans="1:10" ht="24.95" customHeight="1">
      <c r="A48" s="287"/>
      <c r="B48" s="284"/>
      <c r="C48" s="285">
        <f t="shared" si="0"/>
        <v>45489.805555555555</v>
      </c>
      <c r="D48" s="548">
        <v>500</v>
      </c>
      <c r="E48" s="565"/>
      <c r="F48" s="286">
        <f>StepTest!F48</f>
        <v>25.9</v>
      </c>
      <c r="G48" s="286">
        <f>StepTest!G48</f>
        <v>16.45</v>
      </c>
      <c r="H48" s="546"/>
      <c r="I48" s="551"/>
      <c r="J48" s="552"/>
    </row>
    <row r="49" spans="1:10" ht="24.95" customHeight="1">
      <c r="A49" s="287"/>
      <c r="B49" s="284"/>
      <c r="C49" s="285">
        <f t="shared" si="0"/>
        <v>45489.8125</v>
      </c>
      <c r="D49" s="548">
        <v>510</v>
      </c>
      <c r="E49" s="565"/>
      <c r="F49" s="286">
        <f>StepTest!F49</f>
        <v>26.54</v>
      </c>
      <c r="G49" s="286">
        <f>StepTest!G49</f>
        <v>17.09</v>
      </c>
      <c r="H49" s="546"/>
      <c r="I49" s="551"/>
      <c r="J49" s="552"/>
    </row>
    <row r="50" spans="1:10" ht="24.95" customHeight="1">
      <c r="A50" s="287"/>
      <c r="B50" s="284"/>
      <c r="C50" s="285">
        <f t="shared" si="0"/>
        <v>45489.833333333336</v>
      </c>
      <c r="D50" s="548">
        <v>540</v>
      </c>
      <c r="E50" s="565"/>
      <c r="F50" s="286">
        <f>StepTest!F50</f>
        <v>27.169999999999998</v>
      </c>
      <c r="G50" s="286">
        <f>StepTest!G50</f>
        <v>17.72</v>
      </c>
      <c r="H50" s="546"/>
      <c r="I50" s="551"/>
      <c r="J50" s="552"/>
    </row>
    <row r="51" spans="1:10" ht="24.95" customHeight="1">
      <c r="A51" s="288"/>
      <c r="B51" s="289"/>
      <c r="C51" s="290">
        <f t="shared" si="0"/>
        <v>45489.875</v>
      </c>
      <c r="D51" s="580">
        <v>600</v>
      </c>
      <c r="E51" s="581"/>
      <c r="F51" s="291">
        <f>StepTest!F51</f>
        <v>27.81</v>
      </c>
      <c r="G51" s="291">
        <f>StepTest!G51</f>
        <v>18.36</v>
      </c>
      <c r="H51" s="585"/>
      <c r="I51" s="586"/>
      <c r="J51" s="587"/>
    </row>
    <row r="52" spans="1:10" ht="24.95" customHeight="1">
      <c r="A52" s="308"/>
      <c r="B52" s="316"/>
      <c r="C52" s="316"/>
      <c r="D52" s="588"/>
      <c r="E52" s="594"/>
      <c r="F52" s="316"/>
      <c r="G52" s="316"/>
      <c r="H52" s="588"/>
      <c r="I52" s="589"/>
      <c r="J52" s="590"/>
    </row>
    <row r="53" spans="1:10" ht="24.95" customHeight="1">
      <c r="A53" s="308"/>
      <c r="B53" s="316"/>
      <c r="C53" s="316"/>
      <c r="D53" s="588"/>
      <c r="E53" s="594"/>
      <c r="F53" s="316"/>
      <c r="G53" s="316"/>
      <c r="H53" s="588"/>
      <c r="I53" s="589"/>
      <c r="J53" s="590"/>
    </row>
    <row r="54" spans="1:10" ht="24.95" customHeight="1">
      <c r="A54" s="308"/>
      <c r="B54" s="316"/>
      <c r="C54" s="316"/>
      <c r="D54" s="588"/>
      <c r="E54" s="594"/>
      <c r="F54" s="316"/>
      <c r="G54" s="316"/>
      <c r="H54" s="588"/>
      <c r="I54" s="589"/>
      <c r="J54" s="590"/>
    </row>
    <row r="55" spans="1:10" ht="24.95" customHeight="1">
      <c r="A55" s="308"/>
      <c r="B55" s="316"/>
      <c r="C55" s="316"/>
      <c r="D55" s="588"/>
      <c r="E55" s="594"/>
      <c r="F55" s="316"/>
      <c r="G55" s="316"/>
      <c r="H55" s="588"/>
      <c r="I55" s="589"/>
      <c r="J55" s="590"/>
    </row>
    <row r="56" spans="1:10" ht="24.95" customHeight="1">
      <c r="A56" s="308"/>
      <c r="B56" s="316"/>
      <c r="C56" s="316"/>
      <c r="D56" s="588"/>
      <c r="E56" s="594"/>
      <c r="F56" s="316"/>
      <c r="G56" s="316"/>
      <c r="H56" s="588"/>
      <c r="I56" s="589"/>
      <c r="J56" s="590"/>
    </row>
    <row r="57" spans="1:10" ht="24.95" customHeight="1" thickBot="1">
      <c r="A57" s="312"/>
      <c r="B57" s="317"/>
      <c r="C57" s="317"/>
      <c r="D57" s="591"/>
      <c r="E57" s="595"/>
      <c r="F57" s="317"/>
      <c r="G57" s="317"/>
      <c r="H57" s="591"/>
      <c r="I57" s="592"/>
      <c r="J57" s="59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45454.472222222219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LongTest!C77</f>
        <v>45456.472222222219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546">
        <v>1500</v>
      </c>
      <c r="E56" s="5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546">
        <v>1560</v>
      </c>
      <c r="E57" s="5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546">
        <v>1620</v>
      </c>
      <c r="E58" s="5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546">
        <v>1680</v>
      </c>
      <c r="E59" s="5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546">
        <v>1740</v>
      </c>
      <c r="E60" s="5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546">
        <v>1800</v>
      </c>
      <c r="E61" s="5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546">
        <v>1860</v>
      </c>
      <c r="E62" s="5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546">
        <v>1920</v>
      </c>
      <c r="E63" s="5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546">
        <v>1980</v>
      </c>
      <c r="E64" s="5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546">
        <v>2040</v>
      </c>
      <c r="E65" s="5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546">
        <v>2100</v>
      </c>
      <c r="E66" s="5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546">
        <v>2160</v>
      </c>
      <c r="E67" s="5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546">
        <v>2220</v>
      </c>
      <c r="E68" s="5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546">
        <v>2280</v>
      </c>
      <c r="E69" s="5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546">
        <v>2340</v>
      </c>
      <c r="E70" s="5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546">
        <v>2400</v>
      </c>
      <c r="E71" s="5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546">
        <v>2460</v>
      </c>
      <c r="E72" s="5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546">
        <v>2520</v>
      </c>
      <c r="E73" s="5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546">
        <v>2580</v>
      </c>
      <c r="E74" s="5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546">
        <v>2640</v>
      </c>
      <c r="E75" s="5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546">
        <v>2700</v>
      </c>
      <c r="E76" s="5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546">
        <v>2760</v>
      </c>
      <c r="E77" s="5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546">
        <v>2820</v>
      </c>
      <c r="E78" s="5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45456.472222222219</v>
      </c>
      <c r="D79" s="585">
        <v>2880</v>
      </c>
      <c r="E79" s="596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7" t="s">
        <v>322</v>
      </c>
      <c r="B80" s="598"/>
      <c r="C80" s="598"/>
      <c r="D80" s="598"/>
      <c r="E80" s="598"/>
      <c r="F80" s="598"/>
      <c r="G80" s="598"/>
      <c r="H80" s="598"/>
      <c r="I80" s="598"/>
      <c r="J80" s="59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장기28!C5</f>
        <v>45456.472222222219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LongTest!C101</f>
        <v>45456.722222222219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45456.472916666666</v>
      </c>
      <c r="D12" s="546">
        <v>1</v>
      </c>
      <c r="E12" s="5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45456.473611111105</v>
      </c>
      <c r="D13" s="546">
        <v>2</v>
      </c>
      <c r="E13" s="547"/>
      <c r="F13" s="286">
        <f>LongTest!F79</f>
        <v>19.374437782107812</v>
      </c>
      <c r="G13" s="286">
        <f>LongTest!G79</f>
        <v>9.9244377821078142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45456.474305555552</v>
      </c>
      <c r="D14" s="546">
        <v>3</v>
      </c>
      <c r="E14" s="547"/>
      <c r="F14" s="286">
        <f>LongTest!F80</f>
        <v>18.58440784122201</v>
      </c>
      <c r="G14" s="286">
        <f>LongTest!G80</f>
        <v>9.1344078412220089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45456.474999999999</v>
      </c>
      <c r="D15" s="546">
        <v>4</v>
      </c>
      <c r="E15" s="547"/>
      <c r="F15" s="286">
        <f>LongTest!F81</f>
        <v>17.857267841429007</v>
      </c>
      <c r="G15" s="286">
        <f>LongTest!G81</f>
        <v>8.4072678414290092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45456.475694444438</v>
      </c>
      <c r="D16" s="546">
        <v>5</v>
      </c>
      <c r="E16" s="547"/>
      <c r="F16" s="286">
        <f>LongTest!F82</f>
        <v>17.188011460201068</v>
      </c>
      <c r="G16" s="286">
        <f>LongTest!G82</f>
        <v>7.7380114602010686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45456.479166666664</v>
      </c>
      <c r="D17" s="546">
        <v>10</v>
      </c>
      <c r="E17" s="547"/>
      <c r="F17" s="286">
        <f>LongTest!F83</f>
        <v>15.483270868618019</v>
      </c>
      <c r="G17" s="286">
        <f>LongTest!G83</f>
        <v>6.0332708686180201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45456.482638888883</v>
      </c>
      <c r="D18" s="546">
        <v>15</v>
      </c>
      <c r="E18" s="547"/>
      <c r="F18" s="286">
        <f>LongTest!F84</f>
        <v>15.158681504824028</v>
      </c>
      <c r="G18" s="286">
        <f>LongTest!G84</f>
        <v>5.7086815048240274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45456.486111111109</v>
      </c>
      <c r="D19" s="546">
        <v>20</v>
      </c>
      <c r="E19" s="547"/>
      <c r="F19" s="286">
        <f>LongTest!F85</f>
        <v>14.285983204912011</v>
      </c>
      <c r="G19" s="286">
        <f>LongTest!G85</f>
        <v>4.8359832049120115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45456.489583333328</v>
      </c>
      <c r="D20" s="546">
        <v>25</v>
      </c>
      <c r="E20" s="547"/>
      <c r="F20" s="286">
        <f>LongTest!F86</f>
        <v>13.901017163572192</v>
      </c>
      <c r="G20" s="286">
        <f>LongTest!G86</f>
        <v>4.4510171635721916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45456.493055555555</v>
      </c>
      <c r="D21" s="546">
        <v>30</v>
      </c>
      <c r="E21" s="547"/>
      <c r="F21" s="286">
        <f>LongTest!F87</f>
        <v>13.54669615276811</v>
      </c>
      <c r="G21" s="286">
        <f>LongTest!G87</f>
        <v>4.0966961527681098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45456.496527777774</v>
      </c>
      <c r="D22" s="546">
        <v>35</v>
      </c>
      <c r="E22" s="547"/>
      <c r="F22" s="286">
        <f>LongTest!F88</f>
        <v>13.434971769034254</v>
      </c>
      <c r="G22" s="286">
        <f>LongTest!G88</f>
        <v>3.9849717690342552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45456.5</v>
      </c>
      <c r="D23" s="546">
        <v>40</v>
      </c>
      <c r="E23" s="547"/>
      <c r="F23" s="286">
        <f>LongTest!F89</f>
        <v>13.326294313228475</v>
      </c>
      <c r="G23" s="286">
        <f>LongTest!G89</f>
        <v>3.8762943132284762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45456.503472222219</v>
      </c>
      <c r="D24" s="546">
        <v>45</v>
      </c>
      <c r="E24" s="547"/>
      <c r="F24" s="286">
        <f>LongTest!F90</f>
        <v>13.220580690063166</v>
      </c>
      <c r="G24" s="286">
        <f>LongTest!G90</f>
        <v>3.7705806900631673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45456.506944444438</v>
      </c>
      <c r="D25" s="546">
        <v>50</v>
      </c>
      <c r="E25" s="547"/>
      <c r="F25" s="286">
        <f>LongTest!F91</f>
        <v>13.11775007041093</v>
      </c>
      <c r="G25" s="286">
        <f>LongTest!G91</f>
        <v>3.6677500704109298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45456.510416666664</v>
      </c>
      <c r="D26" s="546">
        <v>55</v>
      </c>
      <c r="E26" s="547"/>
      <c r="F26" s="286">
        <f>LongTest!F92</f>
        <v>13.017723829502245</v>
      </c>
      <c r="G26" s="286">
        <f>LongTest!G92</f>
        <v>3.5677238295022455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45456.513888888883</v>
      </c>
      <c r="D27" s="546">
        <v>60</v>
      </c>
      <c r="E27" s="547"/>
      <c r="F27" s="286">
        <f>LongTest!F93</f>
        <v>12.920425486808609</v>
      </c>
      <c r="G27" s="286">
        <f>LongTest!G93</f>
        <v>3.4704254868086104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45456.524305555555</v>
      </c>
      <c r="D28" s="546">
        <v>75</v>
      </c>
      <c r="E28" s="547"/>
      <c r="F28" s="286">
        <f>LongTest!F94</f>
        <v>12.825780647565169</v>
      </c>
      <c r="G28" s="286">
        <f>LongTest!G94</f>
        <v>3.3757806475651706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45456.534722222219</v>
      </c>
      <c r="D29" s="546">
        <v>90</v>
      </c>
      <c r="E29" s="547"/>
      <c r="F29" s="286">
        <f>LongTest!F95</f>
        <v>12.733716945888137</v>
      </c>
      <c r="G29" s="286">
        <f>LongTest!G95</f>
        <v>3.2837169458881377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45456.545138888883</v>
      </c>
      <c r="D30" s="546">
        <v>105</v>
      </c>
      <c r="E30" s="547"/>
      <c r="F30" s="286">
        <f>LongTest!F96</f>
        <v>12.644163989443497</v>
      </c>
      <c r="G30" s="286">
        <f>LongTest!G96</f>
        <v>3.194163989443497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45456.555555555555</v>
      </c>
      <c r="D31" s="546">
        <v>120</v>
      </c>
      <c r="E31" s="547"/>
      <c r="F31" s="286">
        <f>LongTest!F97</f>
        <v>12.389894151376794</v>
      </c>
      <c r="G31" s="286">
        <f>LongTest!G97</f>
        <v>2.9398941513767949</v>
      </c>
      <c r="H31" s="546"/>
      <c r="I31" s="551"/>
      <c r="J31" s="552"/>
    </row>
    <row r="32" spans="1:10" ht="24.95" customHeight="1">
      <c r="A32" s="308"/>
      <c r="B32" s="285"/>
      <c r="C32" s="285">
        <f t="shared" si="0"/>
        <v>45456.597222222219</v>
      </c>
      <c r="D32" s="546">
        <v>180</v>
      </c>
      <c r="E32" s="547"/>
      <c r="F32" s="286">
        <f>LongTest!F98</f>
        <v>12.309717870281746</v>
      </c>
      <c r="G32" s="286">
        <f>LongTest!G98</f>
        <v>2.859717870281747</v>
      </c>
      <c r="H32" s="546"/>
      <c r="I32" s="551"/>
      <c r="J32" s="552"/>
    </row>
    <row r="33" spans="1:10" ht="24.95" customHeight="1">
      <c r="A33" s="308"/>
      <c r="B33" s="285"/>
      <c r="C33" s="285">
        <f t="shared" si="0"/>
        <v>45456.638888888883</v>
      </c>
      <c r="D33" s="546">
        <v>240</v>
      </c>
      <c r="E33" s="547"/>
      <c r="F33" s="286">
        <f>LongTest!F99</f>
        <v>11.872546708864883</v>
      </c>
      <c r="G33" s="286">
        <f>LongTest!G99</f>
        <v>2.4225467088648833</v>
      </c>
      <c r="H33" s="546"/>
      <c r="I33" s="551"/>
      <c r="J33" s="552"/>
    </row>
    <row r="34" spans="1:10" ht="24.95" customHeight="1">
      <c r="A34" s="308"/>
      <c r="B34" s="285"/>
      <c r="C34" s="285">
        <f t="shared" si="0"/>
        <v>45456.680555555555</v>
      </c>
      <c r="D34" s="546">
        <v>300</v>
      </c>
      <c r="E34" s="547"/>
      <c r="F34" s="286">
        <f>LongTest!F100</f>
        <v>11.502206833974805</v>
      </c>
      <c r="G34" s="286">
        <f>LongTest!G100</f>
        <v>2.0522068339748056</v>
      </c>
      <c r="H34" s="546"/>
      <c r="I34" s="551"/>
      <c r="J34" s="552"/>
    </row>
    <row r="35" spans="1:10" ht="24.95" customHeight="1" thickBot="1">
      <c r="A35" s="312"/>
      <c r="B35" s="313"/>
      <c r="C35" s="313">
        <f t="shared" si="0"/>
        <v>45456.722222222219</v>
      </c>
      <c r="D35" s="553">
        <v>360</v>
      </c>
      <c r="E35" s="554"/>
      <c r="F35" s="314">
        <f>LongTest!F101</f>
        <v>11.18848160450383</v>
      </c>
      <c r="G35" s="314">
        <f>LongTest!G101</f>
        <v>1.7384816045038303</v>
      </c>
      <c r="H35" s="553" t="s">
        <v>321</v>
      </c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5" t="s">
        <v>317</v>
      </c>
      <c r="B1" s="606"/>
      <c r="C1" s="606"/>
      <c r="D1" s="606"/>
      <c r="E1" s="606"/>
      <c r="F1" s="606"/>
      <c r="G1" s="606"/>
      <c r="H1" s="606"/>
      <c r="I1" s="606"/>
      <c r="J1" s="607"/>
    </row>
    <row r="2" spans="1:10" ht="24.95" customHeight="1">
      <c r="A2" s="608" t="s">
        <v>293</v>
      </c>
      <c r="B2" s="609"/>
      <c r="C2" s="610" t="str">
        <f>LongTest!C2</f>
        <v>순성중명아파트 이용허가 유효기간의 연장을 위한 지하수영향조사보고서</v>
      </c>
      <c r="D2" s="611"/>
      <c r="E2" s="611"/>
      <c r="F2" s="611"/>
      <c r="G2" s="611"/>
      <c r="H2" s="611"/>
      <c r="I2" s="611"/>
      <c r="J2" s="612"/>
    </row>
    <row r="3" spans="1:10" ht="24.95" customHeight="1">
      <c r="A3" s="600" t="s">
        <v>294</v>
      </c>
      <c r="B3" s="601"/>
      <c r="C3" s="613" t="str">
        <f>LongTest!C4</f>
        <v>충청남도 당진시 순성면 순성로 453-30번지</v>
      </c>
      <c r="D3" s="614"/>
      <c r="E3" s="614"/>
      <c r="F3" s="614"/>
      <c r="G3" s="614"/>
      <c r="H3" s="615"/>
      <c r="I3" s="293" t="str">
        <f>Input!I54</f>
        <v>W-1</v>
      </c>
      <c r="J3" s="294" t="s">
        <v>320</v>
      </c>
    </row>
    <row r="4" spans="1:10" ht="24.95" customHeight="1">
      <c r="A4" s="600" t="s">
        <v>295</v>
      </c>
      <c r="B4" s="601"/>
      <c r="C4" s="602">
        <f>LongTest!C10</f>
        <v>45454.472222222219</v>
      </c>
      <c r="D4" s="603"/>
      <c r="E4" s="603"/>
      <c r="F4" s="603"/>
      <c r="G4" s="603"/>
      <c r="H4" s="603"/>
      <c r="I4" s="603"/>
      <c r="J4" s="604"/>
    </row>
    <row r="5" spans="1:10" ht="24.95" customHeight="1">
      <c r="A5" s="600" t="s">
        <v>296</v>
      </c>
      <c r="B5" s="601"/>
      <c r="C5" s="602">
        <f>C55</f>
        <v>45455.472222222219</v>
      </c>
      <c r="D5" s="603"/>
      <c r="E5" s="603"/>
      <c r="F5" s="603"/>
      <c r="G5" s="603"/>
      <c r="H5" s="603"/>
      <c r="I5" s="603"/>
      <c r="J5" s="604"/>
    </row>
    <row r="6" spans="1:10" ht="24.95" customHeight="1">
      <c r="A6" s="600" t="s">
        <v>292</v>
      </c>
      <c r="B6" s="601"/>
      <c r="C6" s="616" t="str">
        <f>LongTest!C5</f>
        <v>주식회사 한일지하수</v>
      </c>
      <c r="D6" s="617"/>
      <c r="E6" s="617"/>
      <c r="F6" s="617"/>
      <c r="G6" s="617"/>
      <c r="H6" s="617"/>
      <c r="I6" s="617"/>
      <c r="J6" s="618"/>
    </row>
    <row r="7" spans="1:10" ht="24.95" customHeight="1">
      <c r="A7" s="600" t="s">
        <v>297</v>
      </c>
      <c r="B7" s="601"/>
      <c r="C7" s="619" t="s">
        <v>324</v>
      </c>
      <c r="D7" s="601"/>
      <c r="E7" s="295">
        <f>LongTest!C6</f>
        <v>5</v>
      </c>
      <c r="F7" s="295" t="s">
        <v>298</v>
      </c>
      <c r="G7" s="295" t="s">
        <v>326</v>
      </c>
      <c r="H7" s="619">
        <f>Input!I50</f>
        <v>50</v>
      </c>
      <c r="I7" s="601"/>
      <c r="J7" s="296" t="s">
        <v>299</v>
      </c>
    </row>
    <row r="8" spans="1:10" ht="24.95" customHeight="1">
      <c r="A8" s="600" t="s">
        <v>300</v>
      </c>
      <c r="B8" s="601"/>
      <c r="C8" s="619" t="s">
        <v>325</v>
      </c>
      <c r="D8" s="601"/>
      <c r="E8" s="295">
        <f>LongTest!D7</f>
        <v>200</v>
      </c>
      <c r="F8" s="295" t="s">
        <v>301</v>
      </c>
      <c r="G8" s="295" t="s">
        <v>302</v>
      </c>
      <c r="H8" s="619">
        <f>LongTest!G7</f>
        <v>100</v>
      </c>
      <c r="I8" s="601"/>
      <c r="J8" s="296" t="s">
        <v>299</v>
      </c>
    </row>
    <row r="9" spans="1:10" ht="24.95" customHeight="1">
      <c r="A9" s="600" t="s">
        <v>303</v>
      </c>
      <c r="B9" s="601"/>
      <c r="C9" s="619" t="s">
        <v>323</v>
      </c>
      <c r="D9" s="601"/>
      <c r="E9" s="295">
        <f>LongTest!D8</f>
        <v>9.4499999999999993</v>
      </c>
      <c r="F9" s="295" t="s">
        <v>299</v>
      </c>
      <c r="G9" s="295" t="s">
        <v>304</v>
      </c>
      <c r="H9" s="619">
        <f>LongTest!G8</f>
        <v>25.330000000000002</v>
      </c>
      <c r="I9" s="601"/>
      <c r="J9" s="296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45454.472916666666</v>
      </c>
      <c r="D12" s="557">
        <v>1</v>
      </c>
      <c r="E12" s="557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45454.473611111105</v>
      </c>
      <c r="D13" s="557">
        <v>2</v>
      </c>
      <c r="E13" s="557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45454.474305555552</v>
      </c>
      <c r="D14" s="557">
        <v>3</v>
      </c>
      <c r="E14" s="557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45454.474999999999</v>
      </c>
      <c r="D15" s="557">
        <v>4</v>
      </c>
      <c r="E15" s="557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45454.475694444438</v>
      </c>
      <c r="D16" s="557">
        <v>5</v>
      </c>
      <c r="E16" s="557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45454.479166666664</v>
      </c>
      <c r="D17" s="557">
        <v>10</v>
      </c>
      <c r="E17" s="557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45454.482638888883</v>
      </c>
      <c r="D18" s="557">
        <v>15</v>
      </c>
      <c r="E18" s="557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45454.486111111109</v>
      </c>
      <c r="D19" s="557">
        <v>20</v>
      </c>
      <c r="E19" s="557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45454.489583333328</v>
      </c>
      <c r="D20" s="557">
        <v>25</v>
      </c>
      <c r="E20" s="557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45454.493055555555</v>
      </c>
      <c r="D21" s="557">
        <v>30</v>
      </c>
      <c r="E21" s="557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45454.496527777774</v>
      </c>
      <c r="D22" s="557">
        <v>35</v>
      </c>
      <c r="E22" s="557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45454.5</v>
      </c>
      <c r="D23" s="557">
        <v>40</v>
      </c>
      <c r="E23" s="557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45454.503472222219</v>
      </c>
      <c r="D24" s="557">
        <v>45</v>
      </c>
      <c r="E24" s="557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45454.506944444438</v>
      </c>
      <c r="D25" s="557">
        <v>50</v>
      </c>
      <c r="E25" s="557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45454.510416666664</v>
      </c>
      <c r="D26" s="557">
        <v>55</v>
      </c>
      <c r="E26" s="557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45454.513888888883</v>
      </c>
      <c r="D27" s="557">
        <v>60</v>
      </c>
      <c r="E27" s="557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45454.524305555555</v>
      </c>
      <c r="D28" s="557">
        <v>75</v>
      </c>
      <c r="E28" s="557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45454.534722222219</v>
      </c>
      <c r="D29" s="557">
        <v>90</v>
      </c>
      <c r="E29" s="557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45454.545138888883</v>
      </c>
      <c r="D30" s="557">
        <v>105</v>
      </c>
      <c r="E30" s="557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45454.555555555555</v>
      </c>
      <c r="D31" s="557">
        <v>120</v>
      </c>
      <c r="E31" s="557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45454.569444444438</v>
      </c>
      <c r="D32" s="557">
        <v>140</v>
      </c>
      <c r="E32" s="557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45454.583333333328</v>
      </c>
      <c r="D33" s="557">
        <v>160</v>
      </c>
      <c r="E33" s="557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45454.597222222219</v>
      </c>
      <c r="D34" s="557">
        <v>180</v>
      </c>
      <c r="E34" s="557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45454.638888888883</v>
      </c>
      <c r="D35" s="557">
        <v>240</v>
      </c>
      <c r="E35" s="557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45454.680555555555</v>
      </c>
      <c r="D36" s="557">
        <v>300</v>
      </c>
      <c r="E36" s="557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45454.722222222219</v>
      </c>
      <c r="D37" s="557">
        <v>360</v>
      </c>
      <c r="E37" s="557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45454.763888888883</v>
      </c>
      <c r="D38" s="557">
        <v>420</v>
      </c>
      <c r="E38" s="557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45454.805555555555</v>
      </c>
      <c r="D39" s="557">
        <v>480</v>
      </c>
      <c r="E39" s="557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45454.847222222219</v>
      </c>
      <c r="D40" s="557">
        <v>540</v>
      </c>
      <c r="E40" s="557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45454.888888888883</v>
      </c>
      <c r="D41" s="557">
        <v>600</v>
      </c>
      <c r="E41" s="557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45454.930555555555</v>
      </c>
      <c r="D42" s="557">
        <v>660</v>
      </c>
      <c r="E42" s="557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45454.972222222219</v>
      </c>
      <c r="D43" s="557">
        <v>720</v>
      </c>
      <c r="E43" s="557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45455.013888888883</v>
      </c>
      <c r="D44" s="557">
        <v>780</v>
      </c>
      <c r="E44" s="557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45455.055555555555</v>
      </c>
      <c r="D45" s="557">
        <v>840</v>
      </c>
      <c r="E45" s="557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45455.097222222219</v>
      </c>
      <c r="D46" s="557">
        <v>900</v>
      </c>
      <c r="E46" s="557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45455.138888888883</v>
      </c>
      <c r="D47" s="557">
        <v>960</v>
      </c>
      <c r="E47" s="557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45455.180555555555</v>
      </c>
      <c r="D48" s="557">
        <v>1020</v>
      </c>
      <c r="E48" s="557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45455.222222222219</v>
      </c>
      <c r="D49" s="557">
        <v>1080</v>
      </c>
      <c r="E49" s="557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45455.263888888883</v>
      </c>
      <c r="D50" s="557">
        <v>1140</v>
      </c>
      <c r="E50" s="557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45455.305555555555</v>
      </c>
      <c r="D51" s="557">
        <v>1200</v>
      </c>
      <c r="E51" s="557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45455.347222222219</v>
      </c>
      <c r="D52" s="557">
        <v>1260</v>
      </c>
      <c r="E52" s="557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45455.388888888883</v>
      </c>
      <c r="D53" s="557">
        <v>1320</v>
      </c>
      <c r="E53" s="557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45455.430555555555</v>
      </c>
      <c r="D54" s="557">
        <v>1380</v>
      </c>
      <c r="E54" s="557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45455.472222222219</v>
      </c>
      <c r="D55" s="557">
        <v>1440</v>
      </c>
      <c r="E55" s="557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3"/>
      <c r="E56" s="624"/>
      <c r="F56" s="295"/>
      <c r="G56" s="295"/>
      <c r="H56" s="295"/>
      <c r="I56" s="295"/>
      <c r="J56" s="296"/>
    </row>
    <row r="57" spans="1:10" ht="24.95" customHeight="1" thickBot="1">
      <c r="A57" s="620" t="s">
        <v>322</v>
      </c>
      <c r="B57" s="621"/>
      <c r="C57" s="621"/>
      <c r="D57" s="621"/>
      <c r="E57" s="621"/>
      <c r="F57" s="621"/>
      <c r="G57" s="621"/>
      <c r="H57" s="621"/>
      <c r="I57" s="621"/>
      <c r="J57" s="62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장기14!C55</f>
        <v>45455.472222222219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C31</f>
        <v>45455.555555555555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45455.472916666666</v>
      </c>
      <c r="D12" s="546">
        <v>1</v>
      </c>
      <c r="E12" s="5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45455.473611111105</v>
      </c>
      <c r="D13" s="546">
        <v>2</v>
      </c>
      <c r="E13" s="547"/>
      <c r="F13" s="286">
        <f>LongTest!F79</f>
        <v>19.374437782107812</v>
      </c>
      <c r="G13" s="286">
        <f>LongTest!G79</f>
        <v>9.9244377821078142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45455.474305555552</v>
      </c>
      <c r="D14" s="546">
        <v>3</v>
      </c>
      <c r="E14" s="547"/>
      <c r="F14" s="286">
        <f>LongTest!F80</f>
        <v>18.58440784122201</v>
      </c>
      <c r="G14" s="286">
        <f>LongTest!G80</f>
        <v>9.1344078412220089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45455.474999999999</v>
      </c>
      <c r="D15" s="546">
        <v>4</v>
      </c>
      <c r="E15" s="547"/>
      <c r="F15" s="286">
        <f>LongTest!F81</f>
        <v>17.857267841429007</v>
      </c>
      <c r="G15" s="286">
        <f>LongTest!G81</f>
        <v>8.4072678414290092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45455.475694444438</v>
      </c>
      <c r="D16" s="546">
        <v>5</v>
      </c>
      <c r="E16" s="547"/>
      <c r="F16" s="286">
        <f>LongTest!F82</f>
        <v>17.188011460201068</v>
      </c>
      <c r="G16" s="286">
        <f>LongTest!G82</f>
        <v>7.7380114602010686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45455.479166666664</v>
      </c>
      <c r="D17" s="546">
        <v>10</v>
      </c>
      <c r="E17" s="547"/>
      <c r="F17" s="286">
        <f>LongTest!F83</f>
        <v>15.483270868618019</v>
      </c>
      <c r="G17" s="286">
        <f>LongTest!G83</f>
        <v>6.0332708686180201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45455.482638888883</v>
      </c>
      <c r="D18" s="546">
        <v>15</v>
      </c>
      <c r="E18" s="547"/>
      <c r="F18" s="286">
        <f>LongTest!F84</f>
        <v>15.158681504824028</v>
      </c>
      <c r="G18" s="286">
        <f>LongTest!G84</f>
        <v>5.7086815048240274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45455.486111111109</v>
      </c>
      <c r="D19" s="546">
        <v>20</v>
      </c>
      <c r="E19" s="547"/>
      <c r="F19" s="286">
        <f>LongTest!F85</f>
        <v>14.285983204912011</v>
      </c>
      <c r="G19" s="286">
        <f>LongTest!G85</f>
        <v>4.8359832049120115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45455.489583333328</v>
      </c>
      <c r="D20" s="546">
        <v>25</v>
      </c>
      <c r="E20" s="547"/>
      <c r="F20" s="286">
        <f>LongTest!F86</f>
        <v>13.901017163572192</v>
      </c>
      <c r="G20" s="286">
        <f>LongTest!G86</f>
        <v>4.4510171635721916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45455.493055555555</v>
      </c>
      <c r="D21" s="546">
        <v>30</v>
      </c>
      <c r="E21" s="547"/>
      <c r="F21" s="286">
        <f>LongTest!F87</f>
        <v>13.54669615276811</v>
      </c>
      <c r="G21" s="286">
        <f>LongTest!G87</f>
        <v>4.0966961527681098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45455.496527777774</v>
      </c>
      <c r="D22" s="546">
        <v>35</v>
      </c>
      <c r="E22" s="547"/>
      <c r="F22" s="286">
        <f>LongTest!F88</f>
        <v>13.434971769034254</v>
      </c>
      <c r="G22" s="286">
        <f>LongTest!G88</f>
        <v>3.9849717690342552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45455.5</v>
      </c>
      <c r="D23" s="546">
        <v>40</v>
      </c>
      <c r="E23" s="547"/>
      <c r="F23" s="286">
        <f>LongTest!F89</f>
        <v>13.326294313228475</v>
      </c>
      <c r="G23" s="286">
        <f>LongTest!G89</f>
        <v>3.8762943132284762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45455.503472222219</v>
      </c>
      <c r="D24" s="546">
        <v>45</v>
      </c>
      <c r="E24" s="547"/>
      <c r="F24" s="286">
        <f>LongTest!F90</f>
        <v>13.220580690063166</v>
      </c>
      <c r="G24" s="286">
        <f>LongTest!G90</f>
        <v>3.7705806900631673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45455.506944444438</v>
      </c>
      <c r="D25" s="546">
        <v>50</v>
      </c>
      <c r="E25" s="547"/>
      <c r="F25" s="286">
        <f>LongTest!F91</f>
        <v>13.11775007041093</v>
      </c>
      <c r="G25" s="286">
        <f>LongTest!G91</f>
        <v>3.6677500704109298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45455.510416666664</v>
      </c>
      <c r="D26" s="546">
        <v>55</v>
      </c>
      <c r="E26" s="547"/>
      <c r="F26" s="286">
        <f>LongTest!F92</f>
        <v>13.017723829502245</v>
      </c>
      <c r="G26" s="286">
        <f>LongTest!G92</f>
        <v>3.5677238295022455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45455.513888888883</v>
      </c>
      <c r="D27" s="546">
        <v>60</v>
      </c>
      <c r="E27" s="547"/>
      <c r="F27" s="286">
        <f>LongTest!F93</f>
        <v>12.920425486808609</v>
      </c>
      <c r="G27" s="286">
        <f>LongTest!G93</f>
        <v>3.4704254868086104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45455.524305555555</v>
      </c>
      <c r="D28" s="546">
        <v>75</v>
      </c>
      <c r="E28" s="547"/>
      <c r="F28" s="286">
        <f>LongTest!F94</f>
        <v>12.825780647565169</v>
      </c>
      <c r="G28" s="286">
        <f>LongTest!G94</f>
        <v>3.3757806475651706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45455.534722222219</v>
      </c>
      <c r="D29" s="546">
        <v>90</v>
      </c>
      <c r="E29" s="547"/>
      <c r="F29" s="286">
        <f>LongTest!F95</f>
        <v>12.733716945888137</v>
      </c>
      <c r="G29" s="286">
        <f>LongTest!G95</f>
        <v>3.2837169458881377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45455.545138888883</v>
      </c>
      <c r="D30" s="546">
        <v>105</v>
      </c>
      <c r="E30" s="547"/>
      <c r="F30" s="286">
        <f>LongTest!F96</f>
        <v>12.644163989443497</v>
      </c>
      <c r="G30" s="286">
        <f>LongTest!G96</f>
        <v>3.194163989443497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45455.555555555555</v>
      </c>
      <c r="D31" s="546">
        <v>120</v>
      </c>
      <c r="E31" s="547"/>
      <c r="F31" s="286">
        <f>LongTest!F97</f>
        <v>12.389894151376794</v>
      </c>
      <c r="G31" s="286">
        <f>LongTest!G97</f>
        <v>2.9398941513767949</v>
      </c>
      <c r="H31" s="546" t="s">
        <v>327</v>
      </c>
      <c r="I31" s="551"/>
      <c r="J31" s="552"/>
    </row>
    <row r="32" spans="1:10" ht="24.95" customHeight="1">
      <c r="A32" s="308"/>
      <c r="B32" s="285"/>
      <c r="C32" s="285"/>
      <c r="D32" s="546"/>
      <c r="E32" s="547"/>
      <c r="F32" s="286"/>
      <c r="G32" s="286"/>
      <c r="H32" s="546"/>
      <c r="I32" s="551"/>
      <c r="J32" s="552"/>
    </row>
    <row r="33" spans="1:10" ht="24.95" customHeight="1">
      <c r="A33" s="308"/>
      <c r="B33" s="285"/>
      <c r="C33" s="285"/>
      <c r="D33" s="546"/>
      <c r="E33" s="547"/>
      <c r="F33" s="286"/>
      <c r="G33" s="286"/>
      <c r="H33" s="546"/>
      <c r="I33" s="551"/>
      <c r="J33" s="552"/>
    </row>
    <row r="34" spans="1:10" ht="24.95" customHeight="1">
      <c r="A34" s="308"/>
      <c r="B34" s="285"/>
      <c r="C34" s="285"/>
      <c r="D34" s="546"/>
      <c r="E34" s="547"/>
      <c r="F34" s="286"/>
      <c r="G34" s="286"/>
      <c r="H34" s="546"/>
      <c r="I34" s="551"/>
      <c r="J34" s="552"/>
    </row>
    <row r="35" spans="1:10" ht="24.95" customHeight="1" thickBot="1">
      <c r="A35" s="312"/>
      <c r="B35" s="313"/>
      <c r="C35" s="313"/>
      <c r="D35" s="553"/>
      <c r="E35" s="554"/>
      <c r="F35" s="314"/>
      <c r="G35" s="314"/>
      <c r="H35" s="553"/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H26" sqref="H26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45454.472222222219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45454.475694444438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45454.493055555555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45454.513888888883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45454.555555555555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45454.638888888883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45454.805555555555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45455.472222222219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45455.638888888883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45455.805555555555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45456.472222222219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2024-12-26T13:01:49Z</dcterms:modified>
</cp:coreProperties>
</file>