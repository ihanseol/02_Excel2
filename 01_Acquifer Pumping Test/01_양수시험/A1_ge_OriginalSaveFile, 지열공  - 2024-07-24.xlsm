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3624F3CE-720C-432A-9562-1EDC8F7E071A}" xr6:coauthVersionLast="47" xr6:coauthVersionMax="47" xr10:uidLastSave="{00000000-0000-0000-0000-000000000000}"/>
  <bookViews>
    <workbookView xWindow="-120" yWindow="-120" windowWidth="29040" windowHeight="17520" tabRatio="621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장기14" sheetId="18" state="hidden" r:id="rId15"/>
    <sheet name="회복" sheetId="13" state="hidden" r:id="rId16"/>
    <sheet name="회복12" sheetId="19" state="hidden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4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5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7" i="20" l="1"/>
  <c r="C72" i="20"/>
  <c r="C62" i="20"/>
  <c r="C61" i="20"/>
  <c r="J55" i="20"/>
  <c r="I55" i="20"/>
  <c r="C55" i="20"/>
  <c r="C50" i="20"/>
  <c r="C45" i="20"/>
  <c r="C40" i="20"/>
  <c r="J39" i="20"/>
  <c r="I39" i="20"/>
  <c r="J35" i="20"/>
  <c r="I35" i="20"/>
  <c r="J31" i="20"/>
  <c r="I31" i="20"/>
  <c r="J27" i="20"/>
  <c r="I27" i="20"/>
  <c r="C27" i="20"/>
  <c r="C22" i="20"/>
  <c r="J21" i="20"/>
  <c r="I21" i="20"/>
  <c r="C18" i="20"/>
  <c r="J16" i="20"/>
  <c r="I16" i="20"/>
  <c r="C14" i="20"/>
  <c r="C13" i="20"/>
  <c r="E9" i="20"/>
  <c r="H8" i="20"/>
  <c r="E8" i="20"/>
  <c r="H7" i="20"/>
  <c r="E7" i="20"/>
  <c r="C6" i="20"/>
  <c r="C5" i="20"/>
  <c r="C4" i="20"/>
  <c r="C71" i="20" s="1"/>
  <c r="I3" i="20"/>
  <c r="C3" i="20"/>
  <c r="C2" i="20"/>
  <c r="C31" i="19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6" i="19"/>
  <c r="C5" i="19"/>
  <c r="C4" i="19"/>
  <c r="C25" i="19" s="1"/>
  <c r="I3" i="19"/>
  <c r="C3" i="19"/>
  <c r="C2" i="19"/>
  <c r="J55" i="18"/>
  <c r="I55" i="18"/>
  <c r="C54" i="18"/>
  <c r="C53" i="18"/>
  <c r="C52" i="18"/>
  <c r="C49" i="18"/>
  <c r="C48" i="18"/>
  <c r="C47" i="18"/>
  <c r="C45" i="18"/>
  <c r="C43" i="18"/>
  <c r="C42" i="18"/>
  <c r="C41" i="18"/>
  <c r="C40" i="18"/>
  <c r="J39" i="18"/>
  <c r="I39" i="18"/>
  <c r="C38" i="18"/>
  <c r="C37" i="18"/>
  <c r="J35" i="18"/>
  <c r="I35" i="18"/>
  <c r="C33" i="18"/>
  <c r="J31" i="18"/>
  <c r="I31" i="18"/>
  <c r="C31" i="18"/>
  <c r="C28" i="18"/>
  <c r="J27" i="18"/>
  <c r="I27" i="18"/>
  <c r="C27" i="18"/>
  <c r="C26" i="18"/>
  <c r="C24" i="18"/>
  <c r="C22" i="18"/>
  <c r="J21" i="18"/>
  <c r="I21" i="18"/>
  <c r="C21" i="18"/>
  <c r="C18" i="18"/>
  <c r="C17" i="18"/>
  <c r="J16" i="18"/>
  <c r="I16" i="18"/>
  <c r="C16" i="18"/>
  <c r="C14" i="18"/>
  <c r="C13" i="18"/>
  <c r="C12" i="18"/>
  <c r="E9" i="18"/>
  <c r="H8" i="18"/>
  <c r="E8" i="18"/>
  <c r="H7" i="18"/>
  <c r="E7" i="18"/>
  <c r="C6" i="18"/>
  <c r="C5" i="18"/>
  <c r="C4" i="18"/>
  <c r="C35" i="18" s="1"/>
  <c r="I3" i="18"/>
  <c r="C3" i="18"/>
  <c r="C2" i="18"/>
  <c r="I3" i="13"/>
  <c r="C3" i="13"/>
  <c r="I3" i="15"/>
  <c r="C3" i="15"/>
  <c r="I3" i="17"/>
  <c r="C3" i="17"/>
  <c r="I3" i="16"/>
  <c r="C67" i="20" l="1"/>
  <c r="C17" i="20"/>
  <c r="C31" i="20"/>
  <c r="C44" i="20"/>
  <c r="C66" i="20"/>
  <c r="C58" i="20"/>
  <c r="C20" i="20"/>
  <c r="C47" i="20"/>
  <c r="C16" i="20"/>
  <c r="C42" i="20"/>
  <c r="C15" i="20"/>
  <c r="C28" i="20"/>
  <c r="C63" i="20"/>
  <c r="C74" i="20"/>
  <c r="C33" i="20"/>
  <c r="C69" i="20"/>
  <c r="C25" i="20"/>
  <c r="C53" i="20"/>
  <c r="C34" i="20"/>
  <c r="C48" i="20"/>
  <c r="C70" i="20"/>
  <c r="C23" i="20"/>
  <c r="C36" i="20"/>
  <c r="C19" i="20"/>
  <c r="C32" i="20"/>
  <c r="C68" i="20"/>
  <c r="C41" i="20"/>
  <c r="C24" i="20"/>
  <c r="C29" i="20"/>
  <c r="C64" i="20"/>
  <c r="C38" i="20"/>
  <c r="C59" i="20"/>
  <c r="C75" i="20"/>
  <c r="C21" i="20"/>
  <c r="C30" i="20"/>
  <c r="C43" i="20"/>
  <c r="C65" i="20"/>
  <c r="C51" i="20"/>
  <c r="C73" i="20"/>
  <c r="C46" i="20"/>
  <c r="C37" i="20"/>
  <c r="C52" i="20"/>
  <c r="C12" i="20"/>
  <c r="C26" i="20"/>
  <c r="C39" i="20"/>
  <c r="C54" i="20"/>
  <c r="C60" i="20"/>
  <c r="C76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5" i="17"/>
  <c r="C4" i="17"/>
  <c r="E9" i="17"/>
  <c r="H8" i="17"/>
  <c r="E8" i="17"/>
  <c r="E7" i="17"/>
  <c r="C6" i="17"/>
  <c r="C2" i="17"/>
  <c r="C34" i="13"/>
  <c r="E9" i="13"/>
  <c r="H8" i="13"/>
  <c r="E8" i="13"/>
  <c r="H7" i="13"/>
  <c r="E7" i="13"/>
  <c r="C5" i="13"/>
  <c r="C4" i="13"/>
  <c r="C23" i="13" s="1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5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31" i="18" l="1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27" i="6"/>
  <c r="AC2" i="7"/>
  <c r="S41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0" i="6" l="1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19"/>
  <c r="G13" i="20"/>
  <c r="G13" i="13"/>
  <c r="G13" i="16"/>
  <c r="G13" i="15"/>
  <c r="G12" i="20"/>
  <c r="G12" i="18"/>
  <c r="G12" i="19"/>
  <c r="G12" i="13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9"/>
  <c r="F12" i="15"/>
  <c r="F12" i="13"/>
  <c r="F12" i="16"/>
  <c r="A27" i="9"/>
  <c r="A28" i="10"/>
  <c r="F13" i="18"/>
  <c r="F13" i="19"/>
  <c r="F13" i="20"/>
  <c r="F13" i="15"/>
  <c r="F13" i="13"/>
  <c r="F13" i="16"/>
  <c r="B33" i="9"/>
  <c r="G14" i="19"/>
  <c r="G14" i="20"/>
  <c r="G14" i="18"/>
  <c r="G14" i="16"/>
  <c r="G14" i="15"/>
  <c r="G14" i="13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19" l="1"/>
  <c r="F14" i="20"/>
  <c r="F14" i="18"/>
  <c r="F14" i="15"/>
  <c r="F14" i="13"/>
  <c r="F14" i="16"/>
  <c r="B34" i="9"/>
  <c r="G15" i="18"/>
  <c r="G15" i="20"/>
  <c r="G15" i="19"/>
  <c r="G15" i="15"/>
  <c r="G15" i="13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9"/>
  <c r="F15" i="13"/>
  <c r="F15" i="16"/>
  <c r="F15" i="15"/>
  <c r="B35" i="9"/>
  <c r="G16" i="19"/>
  <c r="G16" i="18"/>
  <c r="G16" i="20"/>
  <c r="G16" i="13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9"/>
  <c r="F16" i="18"/>
  <c r="F16" i="13"/>
  <c r="F16" i="16"/>
  <c r="F16" i="15"/>
  <c r="B36" i="9"/>
  <c r="G17" i="18"/>
  <c r="G17" i="20"/>
  <c r="G17" i="19"/>
  <c r="G17" i="16"/>
  <c r="G17" i="13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9"/>
  <c r="G18" i="18"/>
  <c r="G18" i="15"/>
  <c r="G18" i="16"/>
  <c r="G18" i="13"/>
  <c r="F17" i="18"/>
  <c r="F17" i="19"/>
  <c r="F17" i="20"/>
  <c r="F17" i="16"/>
  <c r="F17" i="15"/>
  <c r="F17" i="13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9"/>
  <c r="G19" i="18"/>
  <c r="G19" i="20"/>
  <c r="G19" i="15"/>
  <c r="G19" i="16"/>
  <c r="G19" i="13"/>
  <c r="F18" i="18"/>
  <c r="F18" i="20"/>
  <c r="F18" i="19"/>
  <c r="F18" i="13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9"/>
  <c r="G20" i="15"/>
  <c r="G20" i="16"/>
  <c r="G20" i="13"/>
  <c r="F19" i="18"/>
  <c r="F19" i="19"/>
  <c r="F19" i="20"/>
  <c r="F19" i="13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9"/>
  <c r="G21" i="18"/>
  <c r="G21" i="16"/>
  <c r="G21" i="15"/>
  <c r="G21" i="13"/>
  <c r="F20" i="19"/>
  <c r="F20" i="18"/>
  <c r="F20" i="20"/>
  <c r="F20" i="13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9"/>
  <c r="F21" i="13"/>
  <c r="F21" i="15"/>
  <c r="F21" i="16"/>
  <c r="G22" i="19"/>
  <c r="G22" i="18"/>
  <c r="G22" i="20"/>
  <c r="G22" i="16"/>
  <c r="G22" i="13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9"/>
  <c r="G23" i="16"/>
  <c r="G23" i="15"/>
  <c r="G23" i="13"/>
  <c r="F22" i="18"/>
  <c r="F22" i="19"/>
  <c r="F22" i="20"/>
  <c r="F22" i="16"/>
  <c r="F22" i="13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9"/>
  <c r="F23" i="16"/>
  <c r="F23" i="13"/>
  <c r="F23" i="15"/>
  <c r="B43" i="9"/>
  <c r="G24" i="18"/>
  <c r="G24" i="20"/>
  <c r="G24" i="19"/>
  <c r="G24" i="13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9"/>
  <c r="G25" i="18"/>
  <c r="G25" i="20"/>
  <c r="G25" i="15"/>
  <c r="G25" i="16"/>
  <c r="G25" i="13"/>
  <c r="F24" i="20"/>
  <c r="F24" i="19"/>
  <c r="F24" i="18"/>
  <c r="F24" i="15"/>
  <c r="F24" i="13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B37" i="12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64" i="8" l="1"/>
  <c r="B31" i="12"/>
  <c r="B45" i="9"/>
  <c r="G26" i="18"/>
  <c r="G26" i="20"/>
  <c r="G26" i="19"/>
  <c r="G26" i="16"/>
  <c r="G26" i="15"/>
  <c r="G26" i="13"/>
  <c r="C28" i="12"/>
  <c r="D28" i="12" s="1"/>
  <c r="F25" i="20"/>
  <c r="F25" i="19"/>
  <c r="F25" i="18"/>
  <c r="F25" i="15"/>
  <c r="F25" i="16"/>
  <c r="F25" i="13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F26" i="18" l="1"/>
  <c r="F26" i="20"/>
  <c r="F26" i="19"/>
  <c r="F26" i="15"/>
  <c r="F26" i="13"/>
  <c r="F26" i="16"/>
  <c r="B46" i="9"/>
  <c r="G27" i="20"/>
  <c r="G27" i="19"/>
  <c r="G27" i="18"/>
  <c r="G27" i="16"/>
  <c r="G27" i="15"/>
  <c r="G27" i="13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9"/>
  <c r="F27" i="15"/>
  <c r="F27" i="13"/>
  <c r="F27" i="16"/>
  <c r="B47" i="9"/>
  <c r="G28" i="18"/>
  <c r="G28" i="19"/>
  <c r="G28" i="20"/>
  <c r="G28" i="16"/>
  <c r="G28" i="13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9"/>
  <c r="G29" i="18"/>
  <c r="G29" i="13"/>
  <c r="G29" i="15"/>
  <c r="G29" i="16"/>
  <c r="F28" i="18"/>
  <c r="F28" i="19"/>
  <c r="F28" i="20"/>
  <c r="F28" i="16"/>
  <c r="F28" i="15"/>
  <c r="F28" i="13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9"/>
  <c r="G30" i="13"/>
  <c r="G30" i="16"/>
  <c r="G30" i="15"/>
  <c r="F29" i="18"/>
  <c r="F29" i="20"/>
  <c r="F29" i="19"/>
  <c r="F29" i="16"/>
  <c r="F29" i="15"/>
  <c r="F29" i="13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C40" i="12"/>
  <c r="D4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80" i="8" l="1"/>
  <c r="C48" i="12"/>
  <c r="D48" i="12" s="1"/>
  <c r="B50" i="9"/>
  <c r="G31" i="20"/>
  <c r="G31" i="18"/>
  <c r="G31" i="19"/>
  <c r="G31" i="13"/>
  <c r="G31" i="16"/>
  <c r="G31" i="15"/>
  <c r="F30" i="18"/>
  <c r="F30" i="20"/>
  <c r="F30" i="19"/>
  <c r="F30" i="16"/>
  <c r="F30" i="15"/>
  <c r="F30" i="13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3"/>
  <c r="G32" i="16"/>
  <c r="G32" i="15"/>
  <c r="F31" i="19"/>
  <c r="F31" i="20"/>
  <c r="F31" i="18"/>
  <c r="F31" i="13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3"/>
  <c r="F32" i="15"/>
  <c r="B52" i="9"/>
  <c r="G33" i="20"/>
  <c r="G33" i="18"/>
  <c r="G33" i="16"/>
  <c r="G33" i="13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G34" i="13"/>
  <c r="F33" i="18"/>
  <c r="F33" i="20"/>
  <c r="F33" i="16"/>
  <c r="F33" i="15"/>
  <c r="F33" i="13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3"/>
  <c r="G35" i="16"/>
  <c r="F34" i="18"/>
  <c r="F34" i="20"/>
  <c r="F34" i="16"/>
  <c r="F34" i="13"/>
  <c r="F34" i="15"/>
  <c r="F66" i="12"/>
  <c r="B76" i="12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77" i="12"/>
  <c r="B110" i="8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66" i="12" l="1"/>
  <c r="D66" i="12" s="1"/>
  <c r="F35" i="18"/>
  <c r="F35" i="20"/>
  <c r="F35" i="15"/>
  <c r="F35" i="13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56" i="9" l="1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120" i="8"/>
  <c r="C96" i="12"/>
  <c r="D96" i="12" s="1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80" i="12" l="1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<sst xmlns="http://schemas.openxmlformats.org/spreadsheetml/2006/main" count="1402" uniqueCount="345">
  <si>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</si>
  <si>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</si>
  <si>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</si>
  <si>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</si>
  <si>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</si>
  <si>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</si>
  <si>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</si>
  <si>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</si>
  <si>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</si>
  <si>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</si>
  <si>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</si>
  <si>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</si>
  <si>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</si>
  <si>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</si>
  <si>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</si>
  <si>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</si>
  <si>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</si>
  <si>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</si>
  <si>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</si>
  <si>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</si>
  <si>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</si>
  <si>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</si>
  <si>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</si>
  <si>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</si>
  <si>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</si>
  <si>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</si>
  <si>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</si>
  <si>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</si>
  <si>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</si>
  <si>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</si>
  <si>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</si>
  <si>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</si>
  <si>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</si>
  <si>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</si>
  <si>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</si>
  <si>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</si>
  <si>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</si>
  <si>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</si>
  <si>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</si>
  <si>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</si>
  <si>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</si>
  <si>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</si>
  <si>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</si>
  <si>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</si>
  <si>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</si>
  <si>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</si>
  <si>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</si>
  <si>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</si>
  <si>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</si>
  <si>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</si>
  <si>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</si>
  <si>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</si>
  <si>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</si>
  <si>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</si>
  <si>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</si>
  <si>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</si>
  <si>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</si>
  <si>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</si>
  <si>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</si>
  <si>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</si>
  <si>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</si>
  <si>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</si>
  <si>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</si>
  <si>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</si>
  <si>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</si>
  <si>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</si>
  <si>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</si>
  <si>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</si>
  <si>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</si>
  <si>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</si>
  <si>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</si>
  <si>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</si>
  <si>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</si>
  <si>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</si>
  <si>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</si>
  <si>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</si>
  <si>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</si>
  <si>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</si>
  <si>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</si>
  <si>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</si>
  <si>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</si>
  <si>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</si>
  <si>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</si>
  <si>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</si>
  <si>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</si>
  <si>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</si>
  <si>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</si>
  <si>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</si>
  <si>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</si>
  <si>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</si>
  <si>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</si>
  <si>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</si>
  <si>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</si>
  <si>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</si>
  <si>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</si>
  <si>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</si>
  <si>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</si>
  <si>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</si>
  <si>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</si>
  <si>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</si>
  <si>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</si>
  <si>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</si>
  <si>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</si>
  <si>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</si>
  <si>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</si>
  <si>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</si>
  <si>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</si>
  <si>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</si>
  <si>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</si>
  <si>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</si>
  <si>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</si>
  <si>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</si>
  <si>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</si>
  <si>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</si>
  <si>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</si>
  <si>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</si>
  <si>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</si>
  <si>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</si>
  <si>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</si>
  <si>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</si>
  <si>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</si>
  <si>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</si>
  <si>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</si>
  <si>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</si>
  <si>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</si>
  <si>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</si>
  <si>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</si>
  <si>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</si>
  <si>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</si>
  <si>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</si>
  <si>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</si>
  <si>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</si>
  <si>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</si>
  <si>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</si>
  <si>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</si>
  <si>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</si>
  <si>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</si>
  <si>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</si>
  <si>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</si>
  <si>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</si>
  <si>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</si>
  <si>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</si>
  <si>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</si>
  <si>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</si>
  <si>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</si>
  <si>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</si>
  <si>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</si>
  <si>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</si>
  <si>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</si>
  <si>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</si>
  <si>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</si>
  <si>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</si>
  <si>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</si>
  <si>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</si>
  <si>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</si>
  <si>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</si>
  <si>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</si>
  <si>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</si>
  <si>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</si>
  <si>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</si>
  <si>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</si>
  <si>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</si>
  <si>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</si>
  <si>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</si>
  <si>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</si>
  <si>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</si>
  <si>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</si>
  <si>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</si>
  <si>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</si>
  <si>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</si>
  <si>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</si>
  <si>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</si>
  <si>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</si>
  <si>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</si>
  <si>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</si>
  <si>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</si>
  <si>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</si>
  <si>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</si>
  <si>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</si>
  <si>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</si>
  <si>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</si>
  <si>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</si>
  <si>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</si>
  <si>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</si>
  <si>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</si>
  <si>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</si>
  <si>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</si>
  <si>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</si>
  <si>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</si>
  <si>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</si>
  <si>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</si>
  <si>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</si>
  <si>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</si>
  <si>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</si>
  <si>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</si>
  <si>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</si>
  <si>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</si>
  <si>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</si>
  <si>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</si>
  <si>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</si>
  <si>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</si>
  <si>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</si>
  <si>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</si>
  <si>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</si>
  <si>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</si>
  <si>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</si>
  <si>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</si>
  <si>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</si>
  <si>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</si>
  <si>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</si>
  <si>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</si>
  <si>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</si>
  <si>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</si>
  <si>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</si>
  <si>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</si>
  <si>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</si>
  <si>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</si>
  <si>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</si>
  <si>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</si>
  <si>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</si>
  <si>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</si>
  <si>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</si>
  <si>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</si>
  <si>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</si>
  <si>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</si>
  <si>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</si>
  <si>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</si>
  <si>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</si>
  <si>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</si>
  <si>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</si>
  <si>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</si>
  <si>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</si>
  <si>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</si>
  <si>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</si>
  <si>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</si>
  <si>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</si>
  <si>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</si>
  <si>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</si>
  <si>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</si>
  <si>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</si>
  <si>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</si>
  <si>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</si>
  <si>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</si>
  <si>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</si>
  <si>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</si>
  <si>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</si>
  <si>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</si>
  <si>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</si>
  <si>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</si>
  <si>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</si>
  <si>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</si>
  <si>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</si>
  <si>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</si>
  <si>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</si>
  <si>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</si>
  <si>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</si>
  <si>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</si>
  <si>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</si>
  <si>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</si>
  <si>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</si>
  <si>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</si>
  <si>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</si>
  <si>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</si>
  <si>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</si>
  <si>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</si>
  <si>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</si>
  <si>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</si>
  <si>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</si>
  <si>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</si>
  <si>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</si>
  <si>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</si>
  <si>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</si>
  <si>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</si>
  <si>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</si>
  <si>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</si>
  <si>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</si>
  <si>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</si>
  <si>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</si>
  <si>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</si>
  <si>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</si>
  <si>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</si>
  <si>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</si>
  <si>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</si>
  <si>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</si>
  <si>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</si>
  <si>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</si>
  <si>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</si>
  <si>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</si>
  <si>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</si>
  <si>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</si>
  <si>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</si>
  <si>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</si>
  <si>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</si>
  <si>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</si>
  <si>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</si>
  <si>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</si>
  <si>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</si>
  <si>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</si>
  <si>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</si>
  <si>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</si>
  <si>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</si>
  <si>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</si>
  <si>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</si>
  <si>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</si>
  <si>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</si>
  <si>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</si>
  <si>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</si>
  <si>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</si>
  <si>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</si>
  <si>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</si>
  <si>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</si>
  <si>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</si>
  <si>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</si>
  <si>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</si>
  <si>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(분)</t>
  </si>
  <si>
    <t>지하수위</t>
  </si>
  <si>
    <t>(m)</t>
  </si>
  <si>
    <t>수위강하량</t>
  </si>
  <si>
    <t>T</t>
  </si>
  <si>
    <t>(℃)</t>
  </si>
  <si>
    <t xml:space="preserve">EC </t>
    <phoneticPr fontId="4" type="noConversion"/>
  </si>
  <si>
    <t>(μs/㎝)</t>
  </si>
  <si>
    <r>
      <t>회 복 시 험 일 보</t>
    </r>
    <r>
      <rPr>
        <b/>
        <sz val="15"/>
        <color rgb="FF000000"/>
        <rFont val="맑은 고딕"/>
        <family val="3"/>
        <charset val="129"/>
        <scheme val="minor"/>
      </rPr>
      <t xml:space="preserve"> </t>
    </r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</si>
  <si>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</si>
  <si>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</si>
  <si>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</si>
  <si>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</si>
  <si>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</si>
  <si>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</si>
  <si>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비 고</t>
    <phoneticPr fontId="4" type="noConversion"/>
  </si>
  <si>
    <t>호공</t>
    <phoneticPr fontId="4" type="noConversion"/>
  </si>
  <si>
    <t>(㎥/day)</t>
    <phoneticPr fontId="4" type="noConversion"/>
  </si>
  <si>
    <t>비  고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</si>
  <si>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</si>
  <si>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</si>
  <si>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</si>
  <si>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</si>
  <si>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</si>
  <si>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</si>
  <si>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</si>
  <si>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10.24
12.58
15.21
18.15
22.62</t>
  </si>
  <si>
    <t>7.01
9.35
11.98
14.92
19.39</t>
  </si>
  <si>
    <t>157
200
244
287
330</t>
  </si>
  <si>
    <t>22.397
21.390
20.363
19.236
17.022</t>
  </si>
  <si>
    <t>0.044650
0.046750
0.049108
0.051986
0.058749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</si>
</sst>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88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5"/>
      <color rgb="FF000000"/>
      <name val="맑은 고딕"/>
      <family val="3"/>
      <charset val="129"/>
      <scheme val="minor"/>
    </font>
    <font>
      <b/>
      <sz val="20"/>
      <color rgb="FF000000"/>
      <name val="HY신명조"/>
      <family val="1"/>
      <charset val="129"/>
    </font>
    <font>
      <sz val="11"/>
      <color rgb="FF000000"/>
      <name val="HY신명조"/>
      <family val="1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휴먼명조"/>
      <charset val="129"/>
    </font>
    <font>
      <sz val="12"/>
      <color theme="1"/>
      <name val="HY신명조"/>
      <family val="1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564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6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0" fontId="85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4" fillId="0" borderId="2" xfId="0" applyFont="1" applyBorder="1" applyAlignment="1">
      <alignment horizontal="right" vertical="center" wrapText="1"/>
    </xf>
    <xf numFmtId="0" fontId="0" fillId="0" borderId="2" xfId="0" applyBorder="1">
      <alignment vertical="center"/>
    </xf>
    <xf numFmtId="0" fontId="0" fillId="0" borderId="6" xfId="0" applyBorder="1">
      <alignment vertical="center"/>
    </xf>
    <xf numFmtId="220" fontId="84" fillId="0" borderId="50" xfId="0" applyNumberFormat="1" applyFont="1" applyBorder="1" applyAlignment="1">
      <alignment vertical="center" wrapText="1"/>
    </xf>
    <xf numFmtId="0" fontId="86" fillId="0" borderId="33" xfId="0" applyFont="1" applyBorder="1" applyAlignment="1">
      <alignment horizontal="center" vertical="center" wrapText="1"/>
    </xf>
    <xf numFmtId="0" fontId="86" fillId="0" borderId="14" xfId="0" applyFont="1" applyBorder="1" applyAlignment="1">
      <alignment horizontal="center" vertical="center" wrapText="1"/>
    </xf>
    <xf numFmtId="0" fontId="84" fillId="0" borderId="33" xfId="0" applyFont="1" applyBorder="1" applyAlignment="1">
      <alignment vertical="center" wrapText="1"/>
    </xf>
    <xf numFmtId="0" fontId="84" fillId="0" borderId="14" xfId="0" applyFont="1" applyBorder="1" applyAlignment="1">
      <alignment horizontal="center" vertical="center" wrapText="1"/>
    </xf>
    <xf numFmtId="0" fontId="16" fillId="0" borderId="33" xfId="2" applyFont="1" applyBorder="1" applyAlignment="1">
      <alignment horizontal="center" vertical="center"/>
    </xf>
    <xf numFmtId="0" fontId="84" fillId="0" borderId="33" xfId="0" applyFont="1" applyBorder="1" applyAlignment="1">
      <alignment horizontal="center" vertical="center" wrapText="1"/>
    </xf>
    <xf numFmtId="0" fontId="85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0" fillId="0" borderId="14" xfId="0" applyBorder="1">
      <alignment vertical="center"/>
    </xf>
    <xf numFmtId="0" fontId="0" fillId="0" borderId="34" xfId="0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34" xfId="0" applyNumberFormat="1" applyFont="1" applyBorder="1" applyAlignment="1">
      <alignment horizontal="center" vertical="center" wrapText="1"/>
    </xf>
    <xf numFmtId="1" fontId="84" fillId="0" borderId="17" xfId="0" applyNumberFormat="1" applyFont="1" applyBorder="1" applyAlignment="1">
      <alignment horizontal="center" vertical="center" wrapText="1"/>
    </xf>
    <xf numFmtId="0" fontId="0" fillId="0" borderId="50" xfId="0" applyBorder="1">
      <alignment vertical="center"/>
    </xf>
    <xf numFmtId="0" fontId="0" fillId="0" borderId="69" xfId="0" applyBorder="1">
      <alignment vertical="center"/>
    </xf>
    <xf numFmtId="32" fontId="84" fillId="0" borderId="8" xfId="0" applyNumberFormat="1" applyFont="1" applyBorder="1" applyAlignment="1">
      <alignment horizontal="center" vertical="center" wrapText="1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6" fillId="0" borderId="64" xfId="0" applyFont="1" applyBorder="1" applyAlignment="1">
      <alignment horizontal="center" vertical="center" wrapText="1"/>
    </xf>
    <xf numFmtId="0" fontId="86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6" fillId="0" borderId="66" xfId="0" applyFont="1" applyBorder="1" applyAlignment="1">
      <alignment horizontal="center" vertical="center" wrapText="1"/>
    </xf>
    <xf numFmtId="0" fontId="86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6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6" fillId="0" borderId="14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right" vertical="center" wrapText="1"/>
    </xf>
    <xf numFmtId="0" fontId="86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6" fillId="0" borderId="2" xfId="0" applyFont="1" applyBorder="1" applyAlignment="1">
      <alignment horizontal="center" vertical="center"/>
    </xf>
    <xf numFmtId="0" fontId="86" fillId="0" borderId="6" xfId="0" applyFont="1" applyBorder="1" applyAlignment="1">
      <alignment horizontal="center" vertical="center"/>
    </xf>
    <xf numFmtId="0" fontId="86" fillId="0" borderId="50" xfId="0" applyFont="1" applyBorder="1" applyAlignment="1">
      <alignment horizontal="center" vertical="center"/>
    </xf>
    <xf numFmtId="0" fontId="16" fillId="0" borderId="2" xfId="2" applyFont="1" applyBorder="1" applyAlignment="1">
      <alignment horizontal="center" vertical="center"/>
    </xf>
    <xf numFmtId="0" fontId="16" fillId="0" borderId="6" xfId="2" applyFont="1" applyBorder="1" applyAlignment="1">
      <alignment horizontal="center" vertical="center"/>
    </xf>
    <xf numFmtId="0" fontId="16" fillId="0" borderId="50" xfId="2" applyFont="1" applyBorder="1" applyAlignment="1">
      <alignment horizontal="center" vertical="center"/>
    </xf>
    <xf numFmtId="0" fontId="86" fillId="0" borderId="33" xfId="0" applyFont="1" applyBorder="1" applyAlignment="1">
      <alignment horizontal="center" vertical="center" wrapText="1"/>
    </xf>
    <xf numFmtId="0" fontId="84" fillId="0" borderId="53" xfId="0" applyFont="1" applyBorder="1" applyAlignment="1">
      <alignment horizontal="center" vertical="center" wrapText="1"/>
    </xf>
    <xf numFmtId="0" fontId="84" fillId="0" borderId="54" xfId="0" applyFont="1" applyBorder="1" applyAlignment="1">
      <alignment horizontal="center" vertical="center" wrapText="1"/>
    </xf>
    <xf numFmtId="0" fontId="87" fillId="0" borderId="71" xfId="0" applyFont="1" applyBorder="1" applyAlignment="1">
      <alignment horizontal="center" vertical="center"/>
    </xf>
    <xf numFmtId="0" fontId="87" fillId="0" borderId="67" xfId="0" applyFont="1" applyBorder="1" applyAlignment="1">
      <alignment horizontal="center" vertical="center"/>
    </xf>
    <xf numFmtId="0" fontId="87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-1.0900000000000001</c:v>
                </c:pt>
                <c:pt idx="1">
                  <c:v>0.08</c:v>
                </c:pt>
                <c:pt idx="2">
                  <c:v>0.77</c:v>
                </c:pt>
                <c:pt idx="3">
                  <c:v>1.25</c:v>
                </c:pt>
                <c:pt idx="4">
                  <c:v>1.63</c:v>
                </c:pt>
                <c:pt idx="5">
                  <c:v>2.8</c:v>
                </c:pt>
                <c:pt idx="6">
                  <c:v>3.49</c:v>
                </c:pt>
                <c:pt idx="7">
                  <c:v>3.97</c:v>
                </c:pt>
                <c:pt idx="8">
                  <c:v>4.3499999999999996</c:v>
                </c:pt>
                <c:pt idx="9">
                  <c:v>4.66</c:v>
                </c:pt>
                <c:pt idx="10">
                  <c:v>4.92</c:v>
                </c:pt>
                <c:pt idx="11">
                  <c:v>5.15</c:v>
                </c:pt>
                <c:pt idx="12">
                  <c:v>5.35</c:v>
                </c:pt>
                <c:pt idx="13">
                  <c:v>5.52</c:v>
                </c:pt>
                <c:pt idx="14">
                  <c:v>5.69</c:v>
                </c:pt>
                <c:pt idx="15">
                  <c:v>5.83</c:v>
                </c:pt>
                <c:pt idx="16">
                  <c:v>6.21</c:v>
                </c:pt>
                <c:pt idx="17">
                  <c:v>6.52</c:v>
                </c:pt>
                <c:pt idx="18">
                  <c:v>6.78</c:v>
                </c:pt>
                <c:pt idx="19">
                  <c:v>7.01</c:v>
                </c:pt>
                <c:pt idx="20" formatCode="\ 0.00\ ">
                  <c:v>7.17</c:v>
                </c:pt>
                <c:pt idx="21" formatCode="\ 0.00\ ">
                  <c:v>7.32</c:v>
                </c:pt>
                <c:pt idx="22" formatCode="\ 0.00\ ">
                  <c:v>7.46</c:v>
                </c:pt>
                <c:pt idx="23" formatCode="\ 0.00\ ">
                  <c:v>7.59</c:v>
                </c:pt>
                <c:pt idx="24" formatCode="\ 0.00\ ">
                  <c:v>7.72</c:v>
                </c:pt>
                <c:pt idx="25">
                  <c:v>8.41</c:v>
                </c:pt>
                <c:pt idx="26" formatCode="\ 0.00\ ">
                  <c:v>8.52</c:v>
                </c:pt>
                <c:pt idx="27">
                  <c:v>8.64</c:v>
                </c:pt>
                <c:pt idx="28" formatCode="\ 0.00\ ">
                  <c:v>8.74</c:v>
                </c:pt>
                <c:pt idx="29">
                  <c:v>8.8800000000000008</c:v>
                </c:pt>
                <c:pt idx="30" formatCode="\ 0.00\ ">
                  <c:v>8.9400000000000013</c:v>
                </c:pt>
                <c:pt idx="31" formatCode="\ 0.00\ ">
                  <c:v>8.990000000000002</c:v>
                </c:pt>
                <c:pt idx="32" formatCode="\ 0.00\ ">
                  <c:v>9.0300000000000011</c:v>
                </c:pt>
                <c:pt idx="33" formatCode="\ 0.00\ ">
                  <c:v>9.06</c:v>
                </c:pt>
                <c:pt idx="34" formatCode="\ 0.00\ ">
                  <c:v>9.08</c:v>
                </c:pt>
                <c:pt idx="35">
                  <c:v>9.11</c:v>
                </c:pt>
                <c:pt idx="36" formatCode="\ 0.00\ ">
                  <c:v>9.18</c:v>
                </c:pt>
                <c:pt idx="37" formatCode="\ 0.00\ ">
                  <c:v>9.24</c:v>
                </c:pt>
                <c:pt idx="38" formatCode="\ 0.00\ ">
                  <c:v>9.2900000000000009</c:v>
                </c:pt>
                <c:pt idx="39">
                  <c:v>9.35</c:v>
                </c:pt>
                <c:pt idx="40" formatCode="\ 0.00\ ">
                  <c:v>9.5299999999999994</c:v>
                </c:pt>
                <c:pt idx="41" formatCode="\ 0.00\ ">
                  <c:v>9.69</c:v>
                </c:pt>
                <c:pt idx="42" formatCode="\ 0.00\ ">
                  <c:v>9.84</c:v>
                </c:pt>
                <c:pt idx="43" formatCode="\ 0.00\ ">
                  <c:v>9.98</c:v>
                </c:pt>
                <c:pt idx="44" formatCode="\ 0.00\ ">
                  <c:v>10.110000000000001</c:v>
                </c:pt>
                <c:pt idx="45">
                  <c:v>10.92</c:v>
                </c:pt>
                <c:pt idx="46" formatCode="\ 0.00\ ">
                  <c:v>11.03</c:v>
                </c:pt>
                <c:pt idx="47">
                  <c:v>11.19</c:v>
                </c:pt>
                <c:pt idx="48" formatCode="\ 0.00\ ">
                  <c:v>11.299999999999999</c:v>
                </c:pt>
                <c:pt idx="49">
                  <c:v>11.45</c:v>
                </c:pt>
                <c:pt idx="50" formatCode="\ 0.00\ ">
                  <c:v>11.52</c:v>
                </c:pt>
                <c:pt idx="51" formatCode="\ 0.00\ ">
                  <c:v>11.57</c:v>
                </c:pt>
                <c:pt idx="52" formatCode="\ 0.00\ ">
                  <c:v>11.61</c:v>
                </c:pt>
                <c:pt idx="53" formatCode="\ 0.00\ ">
                  <c:v>11.639999999999999</c:v>
                </c:pt>
                <c:pt idx="54" formatCode="\ 0.00\ ">
                  <c:v>11.659999999999998</c:v>
                </c:pt>
                <c:pt idx="55">
                  <c:v>11.71</c:v>
                </c:pt>
                <c:pt idx="56" formatCode="\ 0.00\ ">
                  <c:v>11.790000000000001</c:v>
                </c:pt>
                <c:pt idx="57" formatCode="\ 0.00\ ">
                  <c:v>11.850000000000001</c:v>
                </c:pt>
                <c:pt idx="58" formatCode="\ 0.00\ ">
                  <c:v>11.900000000000002</c:v>
                </c:pt>
                <c:pt idx="59">
                  <c:v>11.98</c:v>
                </c:pt>
                <c:pt idx="60" formatCode="\ 0.00\ ">
                  <c:v>12.17</c:v>
                </c:pt>
                <c:pt idx="61" formatCode="\ 0.00\ ">
                  <c:v>12.34</c:v>
                </c:pt>
                <c:pt idx="62" formatCode="\ 0.00\ ">
                  <c:v>12.5</c:v>
                </c:pt>
                <c:pt idx="63" formatCode="\ 0.00\ ">
                  <c:v>12.65</c:v>
                </c:pt>
                <c:pt idx="64" formatCode="\ 0.00\ ">
                  <c:v>12.790000000000001</c:v>
                </c:pt>
                <c:pt idx="65">
                  <c:v>13.74</c:v>
                </c:pt>
                <c:pt idx="66" formatCode="\ 0.00\ ">
                  <c:v>13.86</c:v>
                </c:pt>
                <c:pt idx="67" formatCode="\ 0.00\ ">
                  <c:v>14.03</c:v>
                </c:pt>
                <c:pt idx="68" formatCode="\ 0.00\ ">
                  <c:v>14.149999999999999</c:v>
                </c:pt>
                <c:pt idx="69" formatCode="\ 0.00\ ">
                  <c:v>14.33</c:v>
                </c:pt>
                <c:pt idx="70" formatCode="\ 0.00\ ">
                  <c:v>14.4</c:v>
                </c:pt>
                <c:pt idx="71" formatCode="\ 0.00\ ">
                  <c:v>14.450000000000001</c:v>
                </c:pt>
                <c:pt idx="72" formatCode="\ 0.00\ ">
                  <c:v>14.49</c:v>
                </c:pt>
                <c:pt idx="73" formatCode="\ 0.00\ ">
                  <c:v>14.52</c:v>
                </c:pt>
                <c:pt idx="74" formatCode="\ 0.00\ ">
                  <c:v>14.549999999999999</c:v>
                </c:pt>
                <c:pt idx="75" formatCode="\ 0.00\ ">
                  <c:v>14.62</c:v>
                </c:pt>
                <c:pt idx="76" formatCode="\ 0.00\ ">
                  <c:v>14.709999999999999</c:v>
                </c:pt>
                <c:pt idx="77" formatCode="\ 0.00\ ">
                  <c:v>14.78</c:v>
                </c:pt>
                <c:pt idx="78" formatCode="\ 0.00\ ">
                  <c:v>14.83</c:v>
                </c:pt>
                <c:pt idx="79" formatCode="\ 0.00\ ">
                  <c:v>14.92</c:v>
                </c:pt>
                <c:pt idx="80" formatCode="\ 0.00\ ">
                  <c:v>15.13</c:v>
                </c:pt>
                <c:pt idx="81" formatCode="\ 0.00\ ">
                  <c:v>15.32</c:v>
                </c:pt>
                <c:pt idx="82" formatCode="\ 0.00\ ">
                  <c:v>15.49</c:v>
                </c:pt>
                <c:pt idx="83" formatCode="\ 0.00\ ">
                  <c:v>15.65</c:v>
                </c:pt>
                <c:pt idx="84" formatCode="\ 0.00\ ">
                  <c:v>15.790000000000001</c:v>
                </c:pt>
                <c:pt idx="85" formatCode="\ 0.00\ ">
                  <c:v>16.7</c:v>
                </c:pt>
                <c:pt idx="86" formatCode="\ 0.00\ ">
                  <c:v>17.009999999999998</c:v>
                </c:pt>
                <c:pt idx="87" formatCode="\ 0.00\ ">
                  <c:v>17.37</c:v>
                </c:pt>
                <c:pt idx="88" formatCode="\ 0.00\ ">
                  <c:v>17.670000000000002</c:v>
                </c:pt>
                <c:pt idx="89" formatCode="\ 0.00\ ">
                  <c:v>18.04</c:v>
                </c:pt>
                <c:pt idx="90" formatCode="\ 0.00\ ">
                  <c:v>18.189999999999998</c:v>
                </c:pt>
                <c:pt idx="91" formatCode="\ 0.00\ ">
                  <c:v>18.319999999999997</c:v>
                </c:pt>
                <c:pt idx="92" formatCode="\ 0.00\ ">
                  <c:v>18.429999999999996</c:v>
                </c:pt>
                <c:pt idx="93" formatCode="\ 0.00\ ">
                  <c:v>18.509999999999994</c:v>
                </c:pt>
                <c:pt idx="94" formatCode="\ 0.00\ ">
                  <c:v>18.579999999999995</c:v>
                </c:pt>
                <c:pt idx="95" formatCode="\ 0.00\ ">
                  <c:v>18.71</c:v>
                </c:pt>
                <c:pt idx="96" formatCode="\ 0.00\ ">
                  <c:v>18.900000000000002</c:v>
                </c:pt>
                <c:pt idx="97" formatCode="\ 0.00\ ">
                  <c:v>19.060000000000002</c:v>
                </c:pt>
                <c:pt idx="98" formatCode="\ 0.00\ ">
                  <c:v>19.200000000000003</c:v>
                </c:pt>
                <c:pt idx="99" formatCode="\ 0.00\ ">
                  <c:v>19.39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157</c:v>
                </c:pt>
                <c:pt idx="1">
                  <c:v>200</c:v>
                </c:pt>
                <c:pt idx="2">
                  <c:v>243.95</c:v>
                </c:pt>
                <c:pt idx="3">
                  <c:v>287</c:v>
                </c:pt>
                <c:pt idx="4">
                  <c:v>330.04999999999995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4.4649681528662416E-2</c:v>
                </c:pt>
                <c:pt idx="1">
                  <c:v>4.675E-2</c:v>
                </c:pt>
                <c:pt idx="2">
                  <c:v>4.9108423857347823E-2</c:v>
                </c:pt>
                <c:pt idx="3">
                  <c:v>5.1986062717770037E-2</c:v>
                </c:pt>
                <c:pt idx="4">
                  <c:v>5.8748674443266181E-2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87.73333333333329"/>
          <c:min val="99.316666666666691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8.841666666666661"/>
      </c:valAx>
      <c:valAx>
        <c:axId val="1"/>
        <c:scaling>
          <c:orientation val="minMax"/>
          <c:max val="6.3448338748134103E-2"/>
          <c:min val="3.9950017223794494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5.874580381084902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141</c:v>
                </c:pt>
                <c:pt idx="1">
                  <c:v>157</c:v>
                </c:pt>
                <c:pt idx="2">
                  <c:v>200</c:v>
                </c:pt>
                <c:pt idx="3">
                  <c:v>243.95</c:v>
                </c:pt>
                <c:pt idx="4">
                  <c:v>287</c:v>
                </c:pt>
                <c:pt idx="5">
                  <c:v>330.04999999999995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80.164245104232464</c:v>
                </c:pt>
                <c:pt idx="2">
                  <c:v>76.033553025763936</c:v>
                </c:pt>
                <c:pt idx="3">
                  <c:v>72.229495133473733</c:v>
                </c:pt>
                <c:pt idx="4">
                  <c:v>68.855127509495389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87.73333333333329"/>
          <c:min val="99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8.84166666666666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157</c:v>
                </c:pt>
                <c:pt idx="1">
                  <c:v>200</c:v>
                </c:pt>
                <c:pt idx="2">
                  <c:v>243.95</c:v>
                </c:pt>
                <c:pt idx="3">
                  <c:v>287</c:v>
                </c:pt>
                <c:pt idx="4">
                  <c:v>330.04999999999995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7.01</c:v>
                </c:pt>
                <c:pt idx="1">
                  <c:v>9.35</c:v>
                </c:pt>
                <c:pt idx="2">
                  <c:v>11.98</c:v>
                </c:pt>
                <c:pt idx="3">
                  <c:v>14.92</c:v>
                </c:pt>
                <c:pt idx="4">
                  <c:v>19.39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141</c:v>
                </c:pt>
                <c:pt idx="1">
                  <c:v>157</c:v>
                </c:pt>
                <c:pt idx="2">
                  <c:v>200</c:v>
                </c:pt>
                <c:pt idx="3">
                  <c:v>243.95</c:v>
                </c:pt>
                <c:pt idx="4">
                  <c:v>287</c:v>
                </c:pt>
                <c:pt idx="5">
                  <c:v>330.04999999999995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4.4649681528662416E-2</c:v>
                </c:pt>
                <c:pt idx="2">
                  <c:v>4.675E-2</c:v>
                </c:pt>
                <c:pt idx="3">
                  <c:v>4.9108423857347823E-2</c:v>
                </c:pt>
                <c:pt idx="4">
                  <c:v>5.1986062717770037E-2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87.73333333333329"/>
          <c:min val="99.316666666666691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8.841666666666661"/>
      </c:valAx>
      <c:valAx>
        <c:axId val="1"/>
        <c:scaling>
          <c:orientation val="minMax"/>
          <c:max val="6.3448338748134103E-2"/>
          <c:min val="3.9950017223794494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5.874580381084902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-1.0900000000000001</c:v>
                </c:pt>
                <c:pt idx="1">
                  <c:v>0.08</c:v>
                </c:pt>
                <c:pt idx="2">
                  <c:v>0.77</c:v>
                </c:pt>
                <c:pt idx="3">
                  <c:v>1.25</c:v>
                </c:pt>
                <c:pt idx="4">
                  <c:v>1.63</c:v>
                </c:pt>
                <c:pt idx="5">
                  <c:v>2.8</c:v>
                </c:pt>
                <c:pt idx="6">
                  <c:v>3.49</c:v>
                </c:pt>
                <c:pt idx="7">
                  <c:v>3.97</c:v>
                </c:pt>
                <c:pt idx="8">
                  <c:v>4.3499999999999996</c:v>
                </c:pt>
                <c:pt idx="9">
                  <c:v>4.66</c:v>
                </c:pt>
                <c:pt idx="10">
                  <c:v>4.92</c:v>
                </c:pt>
                <c:pt idx="11">
                  <c:v>5.15</c:v>
                </c:pt>
                <c:pt idx="12">
                  <c:v>5.35</c:v>
                </c:pt>
                <c:pt idx="13">
                  <c:v>5.52</c:v>
                </c:pt>
                <c:pt idx="14">
                  <c:v>5.69</c:v>
                </c:pt>
                <c:pt idx="15">
                  <c:v>5.83</c:v>
                </c:pt>
                <c:pt idx="16">
                  <c:v>6.21</c:v>
                </c:pt>
                <c:pt idx="17">
                  <c:v>6.52</c:v>
                </c:pt>
                <c:pt idx="18">
                  <c:v>6.78</c:v>
                </c:pt>
                <c:pt idx="19">
                  <c:v>7.01</c:v>
                </c:pt>
                <c:pt idx="20">
                  <c:v>8.41</c:v>
                </c:pt>
                <c:pt idx="21">
                  <c:v>8.64</c:v>
                </c:pt>
                <c:pt idx="22">
                  <c:v>8.8800000000000008</c:v>
                </c:pt>
                <c:pt idx="23">
                  <c:v>9.11</c:v>
                </c:pt>
                <c:pt idx="24">
                  <c:v>9.35</c:v>
                </c:pt>
                <c:pt idx="25">
                  <c:v>10.92</c:v>
                </c:pt>
                <c:pt idx="26">
                  <c:v>11.19</c:v>
                </c:pt>
                <c:pt idx="27">
                  <c:v>11.45</c:v>
                </c:pt>
                <c:pt idx="28">
                  <c:v>11.71</c:v>
                </c:pt>
                <c:pt idx="29">
                  <c:v>11.98</c:v>
                </c:pt>
                <c:pt idx="30">
                  <c:v>13.74</c:v>
                </c:pt>
                <c:pt idx="31">
                  <c:v>14.03</c:v>
                </c:pt>
                <c:pt idx="32">
                  <c:v>14.33</c:v>
                </c:pt>
                <c:pt idx="33">
                  <c:v>14.62</c:v>
                </c:pt>
                <c:pt idx="34">
                  <c:v>14.92</c:v>
                </c:pt>
                <c:pt idx="35">
                  <c:v>16.7</c:v>
                </c:pt>
                <c:pt idx="36">
                  <c:v>17.37</c:v>
                </c:pt>
                <c:pt idx="37">
                  <c:v>18.04</c:v>
                </c:pt>
                <c:pt idx="38">
                  <c:v>18.71</c:v>
                </c:pt>
                <c:pt idx="39">
                  <c:v>19.39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-1.0868348852950493</c:v>
                </c:pt>
                <c:pt idx="1">
                  <c:v>8.5448760031995974E-2</c:v>
                </c:pt>
                <c:pt idx="2">
                  <c:v>0.77119073275701844</c:v>
                </c:pt>
                <c:pt idx="3">
                  <c:v>1.2577324053590448</c:v>
                </c:pt>
                <c:pt idx="4">
                  <c:v>1.6351234459667925</c:v>
                </c:pt>
                <c:pt idx="5">
                  <c:v>2.8074070912938378</c:v>
                </c:pt>
                <c:pt idx="6">
                  <c:v>3.4931490640188603</c:v>
                </c:pt>
                <c:pt idx="7">
                  <c:v>3.9796907366208831</c:v>
                </c:pt>
                <c:pt idx="8">
                  <c:v>4.3570817772286308</c:v>
                </c:pt>
                <c:pt idx="9">
                  <c:v>4.6654327093459056</c:v>
                </c:pt>
                <c:pt idx="10">
                  <c:v>4.9261397077233067</c:v>
                </c:pt>
                <c:pt idx="11">
                  <c:v>5.151974381947932</c:v>
                </c:pt>
                <c:pt idx="12">
                  <c:v>5.3511746820709281</c:v>
                </c:pt>
                <c:pt idx="13">
                  <c:v>5.5293654225556796</c:v>
                </c:pt>
                <c:pt idx="14">
                  <c:v>5.6905585546225677</c:v>
                </c:pt>
                <c:pt idx="15">
                  <c:v>5.8377163546729545</c:v>
                </c:pt>
                <c:pt idx="16">
                  <c:v>6.2151073952807021</c:v>
                </c:pt>
                <c:pt idx="17">
                  <c:v>6.5234583273979769</c:v>
                </c:pt>
                <c:pt idx="18">
                  <c:v>6.7841653257753745</c:v>
                </c:pt>
                <c:pt idx="19">
                  <c:v>7.01</c:v>
                </c:pt>
                <c:pt idx="20">
                  <c:v>8.0290935134550594</c:v>
                </c:pt>
                <c:pt idx="21">
                  <c:v>8.1887558637584128</c:v>
                </c:pt>
                <c:pt idx="22">
                  <c:v>8.3373979557715963</c:v>
                </c:pt>
                <c:pt idx="23">
                  <c:v>8.7302016909528355</c:v>
                </c:pt>
                <c:pt idx="24">
                  <c:v>9.3500000000000014</c:v>
                </c:pt>
                <c:pt idx="25">
                  <c:v>11.021755288025364</c:v>
                </c:pt>
                <c:pt idx="26">
                  <c:v>11.124823300497088</c:v>
                </c:pt>
                <c:pt idx="27">
                  <c:v>11.22400101253972</c:v>
                </c:pt>
                <c:pt idx="28">
                  <c:v>11.500877644012679</c:v>
                </c:pt>
                <c:pt idx="29">
                  <c:v>11.98</c:v>
                </c:pt>
                <c:pt idx="30">
                  <c:v>14.115297302603587</c:v>
                </c:pt>
                <c:pt idx="31">
                  <c:v>14.197746030565597</c:v>
                </c:pt>
                <c:pt idx="32">
                  <c:v>14.278052989082411</c:v>
                </c:pt>
                <c:pt idx="33">
                  <c:v>14.507168461767726</c:v>
                </c:pt>
                <c:pt idx="34">
                  <c:v>14.920000000000002</c:v>
                </c:pt>
                <c:pt idx="35">
                  <c:v>18.669947118688128</c:v>
                </c:pt>
                <c:pt idx="36">
                  <c:v>18.741775636017159</c:v>
                </c:pt>
                <c:pt idx="37">
                  <c:v>18.812181712566641</c:v>
                </c:pt>
                <c:pt idx="38">
                  <c:v>19.015402204477752</c:v>
                </c:pt>
                <c:pt idx="39">
                  <c:v>19.39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-1.0900000000000001</c:v>
                </c:pt>
                <c:pt idx="1">
                  <c:v>0.08</c:v>
                </c:pt>
                <c:pt idx="2">
                  <c:v>0.77</c:v>
                </c:pt>
                <c:pt idx="3">
                  <c:v>1.25</c:v>
                </c:pt>
                <c:pt idx="4">
                  <c:v>1.63</c:v>
                </c:pt>
                <c:pt idx="5">
                  <c:v>2.8</c:v>
                </c:pt>
                <c:pt idx="6">
                  <c:v>3.49</c:v>
                </c:pt>
                <c:pt idx="7">
                  <c:v>3.97</c:v>
                </c:pt>
                <c:pt idx="8">
                  <c:v>4.3499999999999996</c:v>
                </c:pt>
                <c:pt idx="9">
                  <c:v>4.66</c:v>
                </c:pt>
                <c:pt idx="10">
                  <c:v>4.92</c:v>
                </c:pt>
                <c:pt idx="11">
                  <c:v>5.15</c:v>
                </c:pt>
                <c:pt idx="12">
                  <c:v>5.35</c:v>
                </c:pt>
                <c:pt idx="13">
                  <c:v>5.52</c:v>
                </c:pt>
                <c:pt idx="14">
                  <c:v>5.69</c:v>
                </c:pt>
                <c:pt idx="15">
                  <c:v>5.83</c:v>
                </c:pt>
                <c:pt idx="16">
                  <c:v>6.21</c:v>
                </c:pt>
                <c:pt idx="17">
                  <c:v>6.52</c:v>
                </c:pt>
                <c:pt idx="18">
                  <c:v>6.78</c:v>
                </c:pt>
                <c:pt idx="19">
                  <c:v>7.01</c:v>
                </c:pt>
                <c:pt idx="20">
                  <c:v>8.41</c:v>
                </c:pt>
                <c:pt idx="21">
                  <c:v>8.64</c:v>
                </c:pt>
                <c:pt idx="22">
                  <c:v>8.8800000000000008</c:v>
                </c:pt>
                <c:pt idx="23">
                  <c:v>9.11</c:v>
                </c:pt>
                <c:pt idx="24">
                  <c:v>9.35</c:v>
                </c:pt>
                <c:pt idx="25">
                  <c:v>10.92</c:v>
                </c:pt>
                <c:pt idx="26">
                  <c:v>11.19</c:v>
                </c:pt>
                <c:pt idx="27">
                  <c:v>11.45</c:v>
                </c:pt>
                <c:pt idx="28">
                  <c:v>11.71</c:v>
                </c:pt>
                <c:pt idx="29">
                  <c:v>11.98</c:v>
                </c:pt>
                <c:pt idx="30">
                  <c:v>13.74</c:v>
                </c:pt>
                <c:pt idx="31">
                  <c:v>14.03</c:v>
                </c:pt>
                <c:pt idx="32">
                  <c:v>14.33</c:v>
                </c:pt>
                <c:pt idx="33">
                  <c:v>14.62</c:v>
                </c:pt>
                <c:pt idx="34">
                  <c:v>14.92</c:v>
                </c:pt>
                <c:pt idx="35">
                  <c:v>16.7</c:v>
                </c:pt>
                <c:pt idx="36">
                  <c:v>17.37</c:v>
                </c:pt>
                <c:pt idx="37">
                  <c:v>18.04</c:v>
                </c:pt>
                <c:pt idx="38">
                  <c:v>18.71</c:v>
                </c:pt>
                <c:pt idx="39">
                  <c:v>19.39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12.693591285614936</c:v>
                </c:pt>
                <c:pt idx="1">
                  <c:v>14.106487261054877</c:v>
                </c:pt>
                <c:pt idx="2">
                  <c:v>14.932978424107084</c:v>
                </c:pt>
                <c:pt idx="3">
                  <c:v>15.519383236494818</c:v>
                </c:pt>
                <c:pt idx="4">
                  <c:v>15.974234146142219</c:v>
                </c:pt>
                <c:pt idx="5">
                  <c:v>17.38713012158216</c:v>
                </c:pt>
                <c:pt idx="6">
                  <c:v>18.213621284634367</c:v>
                </c:pt>
                <c:pt idx="7">
                  <c:v>18.800026097022105</c:v>
                </c:pt>
                <c:pt idx="8">
                  <c:v>19.254877006669503</c:v>
                </c:pt>
                <c:pt idx="9">
                  <c:v>19.626517260074309</c:v>
                </c:pt>
                <c:pt idx="10">
                  <c:v>19.940734617148919</c:v>
                </c:pt>
                <c:pt idx="11">
                  <c:v>20.212922072462046</c:v>
                </c:pt>
                <c:pt idx="12">
                  <c:v>20.453008423126516</c:v>
                </c:pt>
                <c:pt idx="13">
                  <c:v>20.667772982109447</c:v>
                </c:pt>
                <c:pt idx="14">
                  <c:v>20.862051157424542</c:v>
                </c:pt>
                <c:pt idx="15">
                  <c:v>21.03941323551425</c:v>
                </c:pt>
                <c:pt idx="16">
                  <c:v>21.494264145161651</c:v>
                </c:pt>
                <c:pt idx="17">
                  <c:v>21.865904398566457</c:v>
                </c:pt>
                <c:pt idx="18">
                  <c:v>22.180121755641068</c:v>
                </c:pt>
                <c:pt idx="19">
                  <c:v>22.452309210954191</c:v>
                </c:pt>
                <c:pt idx="20">
                  <c:v>22.766526568028802</c:v>
                </c:pt>
                <c:pt idx="21">
                  <c:v>23.038714023341928</c:v>
                </c:pt>
                <c:pt idx="22">
                  <c:v>23.278800374006394</c:v>
                </c:pt>
                <c:pt idx="23">
                  <c:v>23.865205186394128</c:v>
                </c:pt>
                <c:pt idx="24">
                  <c:v>24.320056096041533</c:v>
                </c:pt>
                <c:pt idx="25">
                  <c:v>24.691696349446335</c:v>
                </c:pt>
                <c:pt idx="26">
                  <c:v>25.00591370652095</c:v>
                </c:pt>
                <c:pt idx="27">
                  <c:v>25.278101161834069</c:v>
                </c:pt>
                <c:pt idx="28">
                  <c:v>25.518187512498542</c:v>
                </c:pt>
                <c:pt idx="29">
                  <c:v>25.732952071481478</c:v>
                </c:pt>
                <c:pt idx="30">
                  <c:v>25.927230246796565</c:v>
                </c:pt>
                <c:pt idx="31">
                  <c:v>26.104592324886276</c:v>
                </c:pt>
                <c:pt idx="32">
                  <c:v>26.267749620633907</c:v>
                </c:pt>
                <c:pt idx="33">
                  <c:v>26.267749620633907</c:v>
                </c:pt>
                <c:pt idx="34">
                  <c:v>26.267749620633907</c:v>
                </c:pt>
                <c:pt idx="35">
                  <c:v>26.267749620633907</c:v>
                </c:pt>
                <c:pt idx="36">
                  <c:v>26.267749620633907</c:v>
                </c:pt>
                <c:pt idx="37">
                  <c:v>26.267749620633907</c:v>
                </c:pt>
                <c:pt idx="38">
                  <c:v>26.267749620633907</c:v>
                </c:pt>
                <c:pt idx="39">
                  <c:v>26.267749620633907</c:v>
                </c:pt>
                <c:pt idx="40">
                  <c:v>26.267749620633907</c:v>
                </c:pt>
                <c:pt idx="41">
                  <c:v>26.267749620633907</c:v>
                </c:pt>
                <c:pt idx="42">
                  <c:v>26.267749620633907</c:v>
                </c:pt>
                <c:pt idx="43">
                  <c:v>26.267749620633907</c:v>
                </c:pt>
                <c:pt idx="44">
                  <c:v>26.267749620633907</c:v>
                </c:pt>
                <c:pt idx="45">
                  <c:v>26.267749620633907</c:v>
                </c:pt>
                <c:pt idx="46">
                  <c:v>26.267749620633907</c:v>
                </c:pt>
                <c:pt idx="47">
                  <c:v>26.267749620633907</c:v>
                </c:pt>
                <c:pt idx="48">
                  <c:v>26.267749620633907</c:v>
                </c:pt>
                <c:pt idx="49">
                  <c:v>26.267749620633907</c:v>
                </c:pt>
                <c:pt idx="50">
                  <c:v>26.267749620633907</c:v>
                </c:pt>
                <c:pt idx="51">
                  <c:v>26.267749620633907</c:v>
                </c:pt>
                <c:pt idx="52">
                  <c:v>26.267749620633907</c:v>
                </c:pt>
                <c:pt idx="53">
                  <c:v>26.267749620633907</c:v>
                </c:pt>
                <c:pt idx="54">
                  <c:v>26.267749620633907</c:v>
                </c:pt>
                <c:pt idx="55">
                  <c:v>26.267749620633907</c:v>
                </c:pt>
                <c:pt idx="56">
                  <c:v>26.267749620633907</c:v>
                </c:pt>
                <c:pt idx="57">
                  <c:v>26.267749620633907</c:v>
                </c:pt>
                <c:pt idx="58">
                  <c:v>26.267749620633907</c:v>
                </c:pt>
                <c:pt idx="59">
                  <c:v>26.267749620633907</c:v>
                </c:pt>
                <c:pt idx="60">
                  <c:v>26.267749620633907</c:v>
                </c:pt>
                <c:pt idx="61">
                  <c:v>26.267749620633907</c:v>
                </c:pt>
                <c:pt idx="62">
                  <c:v>26.267749620633907</c:v>
                </c:pt>
                <c:pt idx="63">
                  <c:v>26.267749620633907</c:v>
                </c:pt>
                <c:pt idx="64">
                  <c:v>26.267749620633907</c:v>
                </c:pt>
                <c:pt idx="65">
                  <c:v>26.267749620633907</c:v>
                </c:pt>
                <c:pt idx="66">
                  <c:v>26.267749620633907</c:v>
                </c:pt>
                <c:pt idx="67">
                  <c:v>26.267749620633907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12.693591285614936</c:v>
                </c:pt>
                <c:pt idx="1">
                  <c:v>14.106487261054877</c:v>
                </c:pt>
                <c:pt idx="2">
                  <c:v>14.932978424107084</c:v>
                </c:pt>
                <c:pt idx="3">
                  <c:v>15.519383236494818</c:v>
                </c:pt>
                <c:pt idx="4">
                  <c:v>15.974234146142219</c:v>
                </c:pt>
                <c:pt idx="5">
                  <c:v>17.38713012158216</c:v>
                </c:pt>
                <c:pt idx="6">
                  <c:v>18.213621284634367</c:v>
                </c:pt>
                <c:pt idx="7">
                  <c:v>18.800026097022105</c:v>
                </c:pt>
                <c:pt idx="8">
                  <c:v>19.254877006669503</c:v>
                </c:pt>
                <c:pt idx="9">
                  <c:v>19.626517260074309</c:v>
                </c:pt>
                <c:pt idx="10">
                  <c:v>19.940734617148919</c:v>
                </c:pt>
                <c:pt idx="11">
                  <c:v>20.212922072462046</c:v>
                </c:pt>
                <c:pt idx="12">
                  <c:v>20.453008423126516</c:v>
                </c:pt>
                <c:pt idx="13">
                  <c:v>20.667772982109447</c:v>
                </c:pt>
                <c:pt idx="14">
                  <c:v>20.862051157424542</c:v>
                </c:pt>
                <c:pt idx="15">
                  <c:v>21.03941323551425</c:v>
                </c:pt>
                <c:pt idx="16">
                  <c:v>21.494264145161651</c:v>
                </c:pt>
                <c:pt idx="17">
                  <c:v>21.865904398566457</c:v>
                </c:pt>
                <c:pt idx="18">
                  <c:v>22.180121755641068</c:v>
                </c:pt>
                <c:pt idx="19">
                  <c:v>22.452309210954191</c:v>
                </c:pt>
                <c:pt idx="20">
                  <c:v>22.766526568028802</c:v>
                </c:pt>
                <c:pt idx="21">
                  <c:v>23.038714023341928</c:v>
                </c:pt>
                <c:pt idx="22">
                  <c:v>23.278800374006394</c:v>
                </c:pt>
                <c:pt idx="23">
                  <c:v>23.865205186394128</c:v>
                </c:pt>
                <c:pt idx="24">
                  <c:v>24.320056096041533</c:v>
                </c:pt>
                <c:pt idx="25">
                  <c:v>24.691696349446335</c:v>
                </c:pt>
                <c:pt idx="26">
                  <c:v>25.00591370652095</c:v>
                </c:pt>
                <c:pt idx="27">
                  <c:v>25.278101161834069</c:v>
                </c:pt>
                <c:pt idx="28">
                  <c:v>25.518187512498542</c:v>
                </c:pt>
                <c:pt idx="29">
                  <c:v>25.732952071481478</c:v>
                </c:pt>
                <c:pt idx="30">
                  <c:v>25.927230246796565</c:v>
                </c:pt>
                <c:pt idx="31">
                  <c:v>26.104592324886276</c:v>
                </c:pt>
                <c:pt idx="32">
                  <c:v>26.267749620633907</c:v>
                </c:pt>
                <c:pt idx="33">
                  <c:v>26.267749620633907</c:v>
                </c:pt>
                <c:pt idx="34">
                  <c:v>26.267749620633907</c:v>
                </c:pt>
                <c:pt idx="35">
                  <c:v>26.267749620633907</c:v>
                </c:pt>
                <c:pt idx="36">
                  <c:v>26.267749620633907</c:v>
                </c:pt>
                <c:pt idx="37">
                  <c:v>26.267749620633907</c:v>
                </c:pt>
                <c:pt idx="38">
                  <c:v>26.267749620633907</c:v>
                </c:pt>
                <c:pt idx="39">
                  <c:v>26.267749620633907</c:v>
                </c:pt>
                <c:pt idx="40">
                  <c:v>26.267749620633907</c:v>
                </c:pt>
                <c:pt idx="41">
                  <c:v>26.267749620633907</c:v>
                </c:pt>
                <c:pt idx="42">
                  <c:v>26.267749620633907</c:v>
                </c:pt>
                <c:pt idx="43">
                  <c:v>26.267749620633907</c:v>
                </c:pt>
                <c:pt idx="44">
                  <c:v>26.267749620633907</c:v>
                </c:pt>
                <c:pt idx="45">
                  <c:v>26.267749620633907</c:v>
                </c:pt>
                <c:pt idx="46">
                  <c:v>26.267749620633907</c:v>
                </c:pt>
                <c:pt idx="47">
                  <c:v>26.267749620633907</c:v>
                </c:pt>
                <c:pt idx="48">
                  <c:v>26.267749620633907</c:v>
                </c:pt>
                <c:pt idx="49">
                  <c:v>26.267749620633907</c:v>
                </c:pt>
                <c:pt idx="50">
                  <c:v>26.267749620633907</c:v>
                </c:pt>
                <c:pt idx="51">
                  <c:v>26.267749620633907</c:v>
                </c:pt>
                <c:pt idx="52">
                  <c:v>26.267749620633907</c:v>
                </c:pt>
                <c:pt idx="53">
                  <c:v>26.267749620633907</c:v>
                </c:pt>
                <c:pt idx="54">
                  <c:v>26.267749620633907</c:v>
                </c:pt>
                <c:pt idx="55">
                  <c:v>26.267749620633907</c:v>
                </c:pt>
                <c:pt idx="56">
                  <c:v>26.267749620633907</c:v>
                </c:pt>
                <c:pt idx="57">
                  <c:v>26.267749620633907</c:v>
                </c:pt>
                <c:pt idx="58">
                  <c:v>26.267749620633907</c:v>
                </c:pt>
                <c:pt idx="59">
                  <c:v>26.267749620633907</c:v>
                </c:pt>
                <c:pt idx="60">
                  <c:v>26.267749620633907</c:v>
                </c:pt>
                <c:pt idx="61">
                  <c:v>26.267749620633907</c:v>
                </c:pt>
                <c:pt idx="62">
                  <c:v>26.267749620633907</c:v>
                </c:pt>
                <c:pt idx="63">
                  <c:v>26.267749620633907</c:v>
                </c:pt>
                <c:pt idx="64">
                  <c:v>26.267749620633907</c:v>
                </c:pt>
                <c:pt idx="65">
                  <c:v>26.267749620633907</c:v>
                </c:pt>
                <c:pt idx="66">
                  <c:v>26.267749620633907</c:v>
                </c:pt>
                <c:pt idx="67">
                  <c:v>26.267749620633907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16.622780359863086</c:v>
                </c:pt>
                <c:pt idx="1">
                  <c:v>15.070268168583521</c:v>
                </c:pt>
                <c:pt idx="2">
                  <c:v>13.66275543298417</c:v>
                </c:pt>
                <c:pt idx="3">
                  <c:v>12.386699687978</c:v>
                </c:pt>
                <c:pt idx="4">
                  <c:v>11.229823289506299</c:v>
                </c:pt>
                <c:pt idx="5">
                  <c:v>8.3680615170759225</c:v>
                </c:pt>
                <c:pt idx="6">
                  <c:v>7.8385621635095353</c:v>
                </c:pt>
                <c:pt idx="7">
                  <c:v>6.4427463678017407</c:v>
                </c:pt>
                <c:pt idx="8">
                  <c:v>5.8410153658397652</c:v>
                </c:pt>
                <c:pt idx="9">
                  <c:v>5.2954840306117896</c:v>
                </c:pt>
                <c:pt idx="10">
                  <c:v>5.1252072758703049</c:v>
                </c:pt>
                <c:pt idx="11">
                  <c:v>4.9604057851533518</c:v>
                </c:pt>
                <c:pt idx="12">
                  <c:v>4.8009035008646741</c:v>
                </c:pt>
                <c:pt idx="13">
                  <c:v>4.6465300265555038</c:v>
                </c:pt>
                <c:pt idx="14">
                  <c:v>4.4971204448898741</c:v>
                </c:pt>
                <c:pt idx="15">
                  <c:v>4.3525151414632557</c:v>
                </c:pt>
                <c:pt idx="16">
                  <c:v>4.2125596342863396</c:v>
                </c:pt>
                <c:pt idx="17">
                  <c:v>4.0771044087517661</c:v>
                </c:pt>
                <c:pt idx="18">
                  <c:v>3.9460047579075264</c:v>
                </c:pt>
                <c:pt idx="19">
                  <c:v>3.5774610870610548</c:v>
                </c:pt>
                <c:pt idx="20">
                  <c:v>3.4624275111693485</c:v>
                </c:pt>
                <c:pt idx="21">
                  <c:v>2.8458717052995159</c:v>
                </c:pt>
                <c:pt idx="22">
                  <c:v>2.3391062302093206</c:v>
                </c:pt>
                <c:pt idx="23">
                  <c:v>1.9225806792397959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714375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718975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609600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723575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-1.0900000000000001</v>
      </c>
      <c r="E1" s="6">
        <v>1</v>
      </c>
      <c r="F1" s="6">
        <f>StepTest!G12</f>
        <v>-1.0900000000000001</v>
      </c>
    </row>
    <row r="2" spans="1:6">
      <c r="A2" s="100">
        <v>2</v>
      </c>
      <c r="B2" s="6">
        <f t="shared" ref="B2:B20" si="0">F2</f>
        <v>0.08</v>
      </c>
      <c r="E2" s="6">
        <v>2</v>
      </c>
      <c r="F2" s="6">
        <f>StepTest!G13</f>
        <v>0.08</v>
      </c>
    </row>
    <row r="3" spans="1:6">
      <c r="A3" s="100">
        <v>3</v>
      </c>
      <c r="B3" s="6">
        <f t="shared" si="0"/>
        <v>0.77</v>
      </c>
      <c r="E3" s="6">
        <v>3</v>
      </c>
      <c r="F3" s="6">
        <f>StepTest!G14</f>
        <v>0.77</v>
      </c>
    </row>
    <row r="4" spans="1:6">
      <c r="A4" s="100">
        <v>4</v>
      </c>
      <c r="B4" s="6">
        <f t="shared" si="0"/>
        <v>1.25</v>
      </c>
      <c r="E4" s="6">
        <v>4</v>
      </c>
      <c r="F4" s="6">
        <f>StepTest!G15</f>
        <v>1.25</v>
      </c>
    </row>
    <row r="5" spans="1:6">
      <c r="A5" s="100">
        <v>5</v>
      </c>
      <c r="B5" s="6">
        <f t="shared" si="0"/>
        <v>1.63</v>
      </c>
      <c r="E5" s="6">
        <v>5</v>
      </c>
      <c r="F5" s="6">
        <f>StepTest!G16</f>
        <v>1.63</v>
      </c>
    </row>
    <row r="6" spans="1:6">
      <c r="A6" s="100">
        <v>10</v>
      </c>
      <c r="B6" s="6">
        <f t="shared" si="0"/>
        <v>2.8</v>
      </c>
      <c r="E6" s="6">
        <v>10</v>
      </c>
      <c r="F6" s="6">
        <f>StepTest!G17</f>
        <v>2.8</v>
      </c>
    </row>
    <row r="7" spans="1:6">
      <c r="A7" s="100">
        <v>15</v>
      </c>
      <c r="B7" s="6">
        <f t="shared" si="0"/>
        <v>3.49</v>
      </c>
      <c r="E7" s="6">
        <v>15</v>
      </c>
      <c r="F7" s="6">
        <f>StepTest!G18</f>
        <v>3.49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4.3499999999999996</v>
      </c>
      <c r="E9" s="6">
        <v>25</v>
      </c>
      <c r="F9" s="6">
        <f>StepTest!G20</f>
        <v>4.3499999999999996</v>
      </c>
    </row>
    <row r="10" spans="1:6">
      <c r="A10" s="100">
        <v>30</v>
      </c>
      <c r="B10" s="6">
        <f t="shared" si="0"/>
        <v>4.66</v>
      </c>
      <c r="E10" s="6">
        <v>30</v>
      </c>
      <c r="F10" s="6">
        <f>StepTest!G21</f>
        <v>4.66</v>
      </c>
    </row>
    <row r="11" spans="1:6">
      <c r="A11" s="100">
        <v>35</v>
      </c>
      <c r="B11" s="6">
        <f t="shared" si="0"/>
        <v>4.92</v>
      </c>
      <c r="E11" s="6">
        <v>35</v>
      </c>
      <c r="F11" s="6">
        <f>StepTest!G22</f>
        <v>4.92</v>
      </c>
    </row>
    <row r="12" spans="1:6">
      <c r="A12" s="100">
        <v>40</v>
      </c>
      <c r="B12" s="6">
        <f t="shared" si="0"/>
        <v>5.15</v>
      </c>
      <c r="E12" s="6">
        <v>40</v>
      </c>
      <c r="F12" s="6">
        <f>StepTest!G23</f>
        <v>5.15</v>
      </c>
    </row>
    <row r="13" spans="1:6">
      <c r="A13" s="100">
        <v>45</v>
      </c>
      <c r="B13" s="6">
        <f t="shared" si="0"/>
        <v>5.35</v>
      </c>
      <c r="E13" s="6">
        <v>45</v>
      </c>
      <c r="F13" s="6">
        <f>StepTest!G24</f>
        <v>5.35</v>
      </c>
    </row>
    <row r="14" spans="1:6">
      <c r="A14" s="100">
        <v>50</v>
      </c>
      <c r="B14" s="6">
        <f t="shared" si="0"/>
        <v>5.52</v>
      </c>
      <c r="E14" s="6">
        <v>50</v>
      </c>
      <c r="F14" s="6">
        <f>StepTest!G25</f>
        <v>5.52</v>
      </c>
    </row>
    <row r="15" spans="1:6">
      <c r="A15" s="100">
        <v>55</v>
      </c>
      <c r="B15" s="6">
        <f t="shared" si="0"/>
        <v>5.69</v>
      </c>
      <c r="E15" s="6">
        <v>55</v>
      </c>
      <c r="F15" s="6">
        <f>StepTest!G26</f>
        <v>5.69</v>
      </c>
    </row>
    <row r="16" spans="1:6">
      <c r="A16" s="100">
        <v>60</v>
      </c>
      <c r="B16" s="6">
        <f t="shared" si="0"/>
        <v>5.83</v>
      </c>
      <c r="E16" s="6">
        <v>60</v>
      </c>
      <c r="F16" s="6">
        <f>StepTest!G27</f>
        <v>5.83</v>
      </c>
    </row>
    <row r="17" spans="1:6">
      <c r="A17" s="100">
        <v>75</v>
      </c>
      <c r="B17" s="6">
        <f t="shared" si="0"/>
        <v>6.21</v>
      </c>
      <c r="E17" s="6">
        <v>75</v>
      </c>
      <c r="F17" s="6">
        <f>StepTest!G28</f>
        <v>6.21</v>
      </c>
    </row>
    <row r="18" spans="1:6">
      <c r="A18" s="100">
        <v>90</v>
      </c>
      <c r="B18" s="6">
        <f t="shared" si="0"/>
        <v>6.52</v>
      </c>
      <c r="E18" s="6">
        <v>90</v>
      </c>
      <c r="F18" s="6">
        <f>StepTest!G29</f>
        <v>6.52</v>
      </c>
    </row>
    <row r="19" spans="1:6">
      <c r="A19" s="100">
        <v>105</v>
      </c>
      <c r="B19" s="6">
        <f t="shared" si="0"/>
        <v>6.78</v>
      </c>
      <c r="E19" s="6">
        <v>105</v>
      </c>
      <c r="F19" s="6">
        <f>StepTest!G30</f>
        <v>6.78</v>
      </c>
    </row>
    <row r="20" spans="1:6">
      <c r="A20" s="101">
        <v>120</v>
      </c>
      <c r="B20" s="102">
        <f t="shared" si="0"/>
        <v>7.01</v>
      </c>
      <c r="C20" s="102">
        <f>B26-B20</f>
        <v>1.4000000000000004</v>
      </c>
      <c r="D20" s="103">
        <f>C20/10</f>
        <v>0.14000000000000004</v>
      </c>
      <c r="E20" s="6">
        <v>120</v>
      </c>
      <c r="F20" s="6">
        <f>StepTest!G31</f>
        <v>7.01</v>
      </c>
    </row>
    <row r="21" spans="1:6">
      <c r="A21" s="100">
        <v>121</v>
      </c>
      <c r="B21" s="104">
        <f>B20+D21</f>
        <v>7.17</v>
      </c>
      <c r="D21" s="6">
        <v>0.16</v>
      </c>
      <c r="E21" s="6">
        <v>130</v>
      </c>
      <c r="F21" s="6">
        <f>StepTest!G32</f>
        <v>8.41</v>
      </c>
    </row>
    <row r="22" spans="1:6">
      <c r="A22" s="100">
        <v>122</v>
      </c>
      <c r="B22" s="104">
        <f>B21+D22</f>
        <v>7.32</v>
      </c>
      <c r="D22" s="6">
        <v>0.15</v>
      </c>
      <c r="E22" s="6">
        <v>140</v>
      </c>
      <c r="F22" s="6">
        <f>StepTest!G33</f>
        <v>8.64</v>
      </c>
    </row>
    <row r="23" spans="1:6">
      <c r="A23" s="100">
        <v>123</v>
      </c>
      <c r="B23" s="104">
        <f>B22+D23</f>
        <v>7.46</v>
      </c>
      <c r="D23" s="6">
        <v>0.14000000000000001</v>
      </c>
      <c r="E23" s="6">
        <v>150</v>
      </c>
      <c r="F23" s="6">
        <f>StepTest!G34</f>
        <v>8.8800000000000008</v>
      </c>
    </row>
    <row r="24" spans="1:6">
      <c r="A24" s="100">
        <v>124</v>
      </c>
      <c r="B24" s="104">
        <f>B23+D24</f>
        <v>7.59</v>
      </c>
      <c r="D24" s="6">
        <v>0.13</v>
      </c>
      <c r="E24" s="6">
        <v>180</v>
      </c>
      <c r="F24" s="6">
        <f>StepTest!G35</f>
        <v>9.11</v>
      </c>
    </row>
    <row r="25" spans="1:6">
      <c r="A25" s="100">
        <v>125</v>
      </c>
      <c r="B25" s="104">
        <f>B24+D25</f>
        <v>7.72</v>
      </c>
      <c r="D25" s="6">
        <v>0.13</v>
      </c>
      <c r="E25" s="6">
        <v>240</v>
      </c>
      <c r="F25" s="6">
        <f>StepTest!G36</f>
        <v>9.35</v>
      </c>
    </row>
    <row r="26" spans="1:6">
      <c r="A26" s="100">
        <v>130</v>
      </c>
      <c r="B26" s="102">
        <f>F21</f>
        <v>8.41</v>
      </c>
      <c r="C26" s="102">
        <f>B28-B26</f>
        <v>0.23000000000000043</v>
      </c>
      <c r="D26" s="102">
        <f>C26/2</f>
        <v>0.11500000000000021</v>
      </c>
      <c r="E26" s="6">
        <v>250</v>
      </c>
      <c r="F26" s="6">
        <f>StepTest!G37</f>
        <v>10.92</v>
      </c>
    </row>
    <row r="27" spans="1:6">
      <c r="A27" s="100">
        <v>135</v>
      </c>
      <c r="B27" s="104">
        <f>B26+D27</f>
        <v>8.52</v>
      </c>
      <c r="D27" s="6">
        <v>0.11</v>
      </c>
      <c r="E27" s="6">
        <v>260</v>
      </c>
      <c r="F27" s="6">
        <f>StepTest!G38</f>
        <v>11.19</v>
      </c>
    </row>
    <row r="28" spans="1:6">
      <c r="A28" s="100">
        <v>140</v>
      </c>
      <c r="B28" s="102">
        <f>F22</f>
        <v>8.64</v>
      </c>
      <c r="C28" s="102">
        <f>B30-B28</f>
        <v>0.24000000000000021</v>
      </c>
      <c r="D28" s="102">
        <f>C28/2</f>
        <v>0.12000000000000011</v>
      </c>
      <c r="E28" s="6">
        <v>270</v>
      </c>
      <c r="F28" s="6">
        <f>StepTest!G39</f>
        <v>11.45</v>
      </c>
    </row>
    <row r="29" spans="1:6">
      <c r="A29" s="100">
        <v>145</v>
      </c>
      <c r="B29" s="104">
        <f>B28+D29</f>
        <v>8.74</v>
      </c>
      <c r="D29" s="6">
        <v>0.1</v>
      </c>
      <c r="E29" s="6">
        <v>300</v>
      </c>
      <c r="F29" s="6">
        <f>StepTest!G40</f>
        <v>11.71</v>
      </c>
    </row>
    <row r="30" spans="1:6">
      <c r="A30" s="100">
        <v>150</v>
      </c>
      <c r="B30" s="102">
        <f>F23</f>
        <v>8.8800000000000008</v>
      </c>
      <c r="C30" s="102">
        <f>B36-B30</f>
        <v>0.22999999999999865</v>
      </c>
      <c r="D30" s="105">
        <f>C30/6</f>
        <v>3.8333333333333108E-2</v>
      </c>
      <c r="E30" s="6">
        <v>360</v>
      </c>
      <c r="F30" s="6">
        <f>StepTest!G41</f>
        <v>11.98</v>
      </c>
    </row>
    <row r="31" spans="1:6">
      <c r="A31" s="100">
        <v>155</v>
      </c>
      <c r="B31" s="104">
        <f>B30+D31</f>
        <v>8.9400000000000013</v>
      </c>
      <c r="D31" s="6">
        <v>0.06</v>
      </c>
    </row>
    <row r="32" spans="1:6">
      <c r="A32" s="100">
        <v>160</v>
      </c>
      <c r="B32" s="104">
        <f t="shared" ref="B32:B39" si="1">B31+D32</f>
        <v>8.990000000000002</v>
      </c>
      <c r="D32" s="6">
        <v>0.05</v>
      </c>
    </row>
    <row r="33" spans="1:4">
      <c r="A33" s="100">
        <v>165</v>
      </c>
      <c r="B33" s="104">
        <f t="shared" si="1"/>
        <v>9.0300000000000011</v>
      </c>
      <c r="D33" s="6">
        <v>0.04</v>
      </c>
    </row>
    <row r="34" spans="1:4">
      <c r="A34" s="100">
        <v>170</v>
      </c>
      <c r="B34" s="104">
        <f t="shared" si="1"/>
        <v>9.06</v>
      </c>
      <c r="D34" s="6">
        <v>0.03</v>
      </c>
    </row>
    <row r="35" spans="1:4">
      <c r="A35" s="100">
        <v>175</v>
      </c>
      <c r="B35" s="104">
        <f t="shared" si="1"/>
        <v>9.08</v>
      </c>
      <c r="D35" s="6">
        <v>0.02</v>
      </c>
    </row>
    <row r="36" spans="1:4">
      <c r="A36" s="100">
        <v>180</v>
      </c>
      <c r="B36" s="102">
        <f>F24</f>
        <v>9.11</v>
      </c>
      <c r="C36" s="102">
        <f>B40-B36</f>
        <v>0.24000000000000021</v>
      </c>
      <c r="D36" s="102">
        <f>C36/4</f>
        <v>6.0000000000000053E-2</v>
      </c>
    </row>
    <row r="37" spans="1:4">
      <c r="A37" s="100">
        <v>195</v>
      </c>
      <c r="B37" s="104">
        <f t="shared" si="1"/>
        <v>9.18</v>
      </c>
      <c r="D37" s="6">
        <v>7.0000000000000007E-2</v>
      </c>
    </row>
    <row r="38" spans="1:4">
      <c r="A38" s="100">
        <v>210</v>
      </c>
      <c r="B38" s="104">
        <f t="shared" si="1"/>
        <v>9.24</v>
      </c>
      <c r="D38" s="6">
        <v>0.06</v>
      </c>
    </row>
    <row r="39" spans="1:4">
      <c r="A39" s="100">
        <v>225</v>
      </c>
      <c r="B39" s="104">
        <f t="shared" si="1"/>
        <v>9.2900000000000009</v>
      </c>
      <c r="D39" s="6">
        <v>0.05</v>
      </c>
    </row>
    <row r="40" spans="1:4">
      <c r="A40" s="101">
        <v>240</v>
      </c>
      <c r="B40" s="102">
        <f>F25</f>
        <v>9.35</v>
      </c>
      <c r="C40" s="102">
        <f>B46-B40</f>
        <v>1.5700000000000003</v>
      </c>
      <c r="D40" s="103">
        <f>C40/10</f>
        <v>0.15700000000000003</v>
      </c>
    </row>
    <row r="41" spans="1:4">
      <c r="A41" s="100">
        <v>241</v>
      </c>
      <c r="B41" s="104">
        <f>B40+D41</f>
        <v>9.5299999999999994</v>
      </c>
      <c r="D41" s="6">
        <v>0.18</v>
      </c>
    </row>
    <row r="42" spans="1:4">
      <c r="A42" s="100">
        <v>242</v>
      </c>
      <c r="B42" s="104">
        <f>B41+D42</f>
        <v>9.69</v>
      </c>
      <c r="D42" s="6">
        <v>0.16</v>
      </c>
    </row>
    <row r="43" spans="1:4">
      <c r="A43" s="100">
        <v>243</v>
      </c>
      <c r="B43" s="104">
        <f>B42+D43</f>
        <v>9.84</v>
      </c>
      <c r="D43" s="6">
        <v>0.15</v>
      </c>
    </row>
    <row r="44" spans="1:4">
      <c r="A44" s="100">
        <v>244</v>
      </c>
      <c r="B44" s="104">
        <f>B43+D44</f>
        <v>9.98</v>
      </c>
      <c r="D44" s="6">
        <v>0.14000000000000001</v>
      </c>
    </row>
    <row r="45" spans="1:4">
      <c r="A45" s="100">
        <v>245</v>
      </c>
      <c r="B45" s="104">
        <f>B44+D45</f>
        <v>10.110000000000001</v>
      </c>
      <c r="D45" s="6">
        <v>0.13</v>
      </c>
    </row>
    <row r="46" spans="1:4">
      <c r="A46" s="100">
        <v>250</v>
      </c>
      <c r="B46" s="102">
        <f>F26</f>
        <v>10.92</v>
      </c>
      <c r="C46" s="102">
        <f>B48-B46</f>
        <v>0.26999999999999957</v>
      </c>
      <c r="D46" s="102">
        <f>C46/2</f>
        <v>0.13499999999999979</v>
      </c>
    </row>
    <row r="47" spans="1:4">
      <c r="A47" s="100">
        <v>255</v>
      </c>
      <c r="B47" s="104">
        <f>B46+D47</f>
        <v>11.03</v>
      </c>
      <c r="D47" s="6">
        <v>0.11</v>
      </c>
    </row>
    <row r="48" spans="1:4">
      <c r="A48" s="100">
        <v>260</v>
      </c>
      <c r="B48" s="102">
        <f>F27</f>
        <v>11.19</v>
      </c>
      <c r="C48" s="102">
        <f>B50-B48</f>
        <v>0.25999999999999979</v>
      </c>
      <c r="D48" s="102">
        <f>C48/2</f>
        <v>0.12999999999999989</v>
      </c>
    </row>
    <row r="49" spans="1:6">
      <c r="A49" s="100">
        <v>265</v>
      </c>
      <c r="B49" s="104">
        <f>B48+D49</f>
        <v>11.299999999999999</v>
      </c>
      <c r="D49" s="6">
        <v>0.11</v>
      </c>
    </row>
    <row r="50" spans="1:6">
      <c r="A50" s="100">
        <v>270</v>
      </c>
      <c r="B50" s="102">
        <f>F28</f>
        <v>11.45</v>
      </c>
      <c r="C50" s="102">
        <f>B56-B50</f>
        <v>0.26000000000000156</v>
      </c>
      <c r="D50" s="105">
        <f>C50/6</f>
        <v>4.3333333333333592E-2</v>
      </c>
    </row>
    <row r="51" spans="1:6">
      <c r="A51" s="100">
        <v>275</v>
      </c>
      <c r="B51" s="104">
        <f>B50+D51</f>
        <v>11.52</v>
      </c>
      <c r="D51" s="6">
        <v>7.0000000000000007E-2</v>
      </c>
    </row>
    <row r="52" spans="1:6">
      <c r="A52" s="100">
        <v>280</v>
      </c>
      <c r="B52" s="104">
        <f>B51+D52</f>
        <v>11.57</v>
      </c>
      <c r="D52" s="6">
        <v>0.05</v>
      </c>
    </row>
    <row r="53" spans="1:6">
      <c r="A53" s="100">
        <v>285</v>
      </c>
      <c r="B53" s="104">
        <f>B52+D53</f>
        <v>11.61</v>
      </c>
      <c r="D53" s="6">
        <v>0.04</v>
      </c>
    </row>
    <row r="54" spans="1:6">
      <c r="A54" s="100">
        <v>290</v>
      </c>
      <c r="B54" s="104">
        <f>B53+D54</f>
        <v>11.639999999999999</v>
      </c>
      <c r="D54" s="6">
        <v>0.03</v>
      </c>
    </row>
    <row r="55" spans="1:6">
      <c r="A55" s="100">
        <v>295</v>
      </c>
      <c r="B55" s="104">
        <f>B54+D55</f>
        <v>11.659999999999998</v>
      </c>
      <c r="D55" s="6">
        <v>0.02</v>
      </c>
    </row>
    <row r="56" spans="1:6">
      <c r="A56" s="100">
        <v>300</v>
      </c>
      <c r="B56" s="102">
        <f>F29</f>
        <v>11.71</v>
      </c>
      <c r="C56" s="102">
        <f>B60-B56</f>
        <v>0.26999999999999957</v>
      </c>
      <c r="D56" s="102">
        <f>C56/4</f>
        <v>6.7499999999999893E-2</v>
      </c>
    </row>
    <row r="57" spans="1:6">
      <c r="A57" s="100">
        <v>315</v>
      </c>
      <c r="B57" s="104">
        <f>B56+D57</f>
        <v>11.790000000000001</v>
      </c>
      <c r="D57" s="6">
        <v>0.08</v>
      </c>
    </row>
    <row r="58" spans="1:6">
      <c r="A58" s="100">
        <v>330</v>
      </c>
      <c r="B58" s="104">
        <f>B57+D58</f>
        <v>11.850000000000001</v>
      </c>
      <c r="D58" s="6">
        <v>0.06</v>
      </c>
    </row>
    <row r="59" spans="1:6">
      <c r="A59" s="100">
        <v>345</v>
      </c>
      <c r="B59" s="104">
        <f>B58+D59</f>
        <v>11.900000000000002</v>
      </c>
      <c r="D59" s="6">
        <v>0.05</v>
      </c>
    </row>
    <row r="60" spans="1:6">
      <c r="A60" s="101">
        <v>360</v>
      </c>
      <c r="B60" s="102">
        <f>F30</f>
        <v>11.98</v>
      </c>
      <c r="C60" s="102">
        <f>B66-B60</f>
        <v>1.7599999999999998</v>
      </c>
      <c r="D60" s="103">
        <f>C60/10</f>
        <v>0.17599999999999999</v>
      </c>
    </row>
    <row r="61" spans="1:6">
      <c r="A61" s="100">
        <v>361</v>
      </c>
      <c r="B61" s="104">
        <f>B60+D61</f>
        <v>12.17</v>
      </c>
      <c r="D61" s="6">
        <v>0.19</v>
      </c>
    </row>
    <row r="62" spans="1:6">
      <c r="A62" s="100">
        <v>362</v>
      </c>
      <c r="B62" s="104">
        <f>B61+D62</f>
        <v>12.34</v>
      </c>
      <c r="D62" s="6">
        <v>0.17</v>
      </c>
    </row>
    <row r="63" spans="1:6">
      <c r="A63" s="100">
        <v>363</v>
      </c>
      <c r="B63" s="104">
        <f>B62+D63</f>
        <v>12.5</v>
      </c>
      <c r="D63" s="6">
        <v>0.16</v>
      </c>
      <c r="E63" s="6">
        <v>370</v>
      </c>
      <c r="F63" s="6">
        <f>StepTest!G42</f>
        <v>13.74</v>
      </c>
    </row>
    <row r="64" spans="1:6">
      <c r="A64" s="100">
        <v>364</v>
      </c>
      <c r="B64" s="104">
        <f>B63+D64</f>
        <v>12.65</v>
      </c>
      <c r="D64" s="6">
        <v>0.15</v>
      </c>
      <c r="E64" s="6">
        <v>380</v>
      </c>
      <c r="F64" s="6">
        <f>StepTest!G43</f>
        <v>14.03</v>
      </c>
    </row>
    <row r="65" spans="1:6">
      <c r="A65" s="100">
        <v>365</v>
      </c>
      <c r="B65" s="104">
        <f>B64+D65</f>
        <v>12.790000000000001</v>
      </c>
      <c r="D65" s="6">
        <v>0.14000000000000001</v>
      </c>
      <c r="E65" s="6">
        <v>390</v>
      </c>
      <c r="F65" s="6">
        <f>StepTest!G44</f>
        <v>14.33</v>
      </c>
    </row>
    <row r="66" spans="1:6">
      <c r="A66" s="100">
        <v>370</v>
      </c>
      <c r="B66" s="102">
        <f>F63</f>
        <v>13.74</v>
      </c>
      <c r="C66" s="106">
        <f>B68-B66</f>
        <v>0.28999999999999915</v>
      </c>
      <c r="D66" s="102">
        <f>C66/2</f>
        <v>0.14499999999999957</v>
      </c>
      <c r="E66" s="6">
        <v>420</v>
      </c>
      <c r="F66" s="6">
        <f>StepTest!G45</f>
        <v>14.62</v>
      </c>
    </row>
    <row r="67" spans="1:6">
      <c r="A67" s="100">
        <v>375</v>
      </c>
      <c r="B67" s="104">
        <f>B66+D67</f>
        <v>13.86</v>
      </c>
      <c r="D67" s="6">
        <v>0.12</v>
      </c>
      <c r="E67" s="6">
        <v>480</v>
      </c>
      <c r="F67" s="6">
        <f>StepTest!G46</f>
        <v>14.92</v>
      </c>
    </row>
    <row r="68" spans="1:6">
      <c r="A68" s="100">
        <v>380</v>
      </c>
      <c r="B68" s="107">
        <f>F64</f>
        <v>14.03</v>
      </c>
      <c r="C68" s="102">
        <f>B70-B68</f>
        <v>0.30000000000000071</v>
      </c>
      <c r="D68" s="102">
        <f>C68/2</f>
        <v>0.15000000000000036</v>
      </c>
      <c r="E68" s="6">
        <v>490</v>
      </c>
      <c r="F68" s="6">
        <f>StepTest!G47</f>
        <v>16.7</v>
      </c>
    </row>
    <row r="69" spans="1:6">
      <c r="A69" s="100">
        <v>385</v>
      </c>
      <c r="B69" s="104">
        <f>B68+D69</f>
        <v>14.149999999999999</v>
      </c>
      <c r="D69" s="6">
        <v>0.12</v>
      </c>
      <c r="E69" s="6">
        <v>500</v>
      </c>
      <c r="F69" s="6">
        <f>StepTest!G48</f>
        <v>17.37</v>
      </c>
    </row>
    <row r="70" spans="1:6">
      <c r="A70" s="100">
        <v>390</v>
      </c>
      <c r="B70" s="107">
        <f>F65</f>
        <v>14.33</v>
      </c>
      <c r="C70" s="102">
        <f>B76-B70</f>
        <v>0.28999999999999915</v>
      </c>
      <c r="D70" s="105">
        <f>C70/6</f>
        <v>4.8333333333333194E-2</v>
      </c>
      <c r="E70" s="6">
        <v>510</v>
      </c>
      <c r="F70" s="6">
        <f>StepTest!G49</f>
        <v>18.04</v>
      </c>
    </row>
    <row r="71" spans="1:6">
      <c r="A71" s="100">
        <v>395</v>
      </c>
      <c r="B71" s="104">
        <f>B70+D71</f>
        <v>14.4</v>
      </c>
      <c r="D71" s="6">
        <v>7.0000000000000007E-2</v>
      </c>
      <c r="E71" s="6">
        <v>540</v>
      </c>
      <c r="F71" s="6">
        <f>StepTest!G50</f>
        <v>18.71</v>
      </c>
    </row>
    <row r="72" spans="1:6">
      <c r="A72" s="100">
        <v>400</v>
      </c>
      <c r="B72" s="104">
        <f>B71+D72</f>
        <v>14.450000000000001</v>
      </c>
      <c r="D72" s="6">
        <v>0.05</v>
      </c>
      <c r="E72" s="6">
        <v>600</v>
      </c>
      <c r="F72" s="6">
        <f>StepTest!G51</f>
        <v>19.39</v>
      </c>
    </row>
    <row r="73" spans="1:6">
      <c r="A73" s="100">
        <v>405</v>
      </c>
      <c r="B73" s="104">
        <f>B72+D73</f>
        <v>14.49</v>
      </c>
      <c r="D73" s="6">
        <v>0.04</v>
      </c>
    </row>
    <row r="74" spans="1:6">
      <c r="A74" s="100">
        <v>410</v>
      </c>
      <c r="B74" s="104">
        <f>B73+D74</f>
        <v>14.52</v>
      </c>
      <c r="D74" s="6">
        <v>0.03</v>
      </c>
    </row>
    <row r="75" spans="1:6">
      <c r="A75" s="100">
        <v>415</v>
      </c>
      <c r="B75" s="104">
        <f>B74+D75</f>
        <v>14.549999999999999</v>
      </c>
      <c r="D75" s="6">
        <v>0.03</v>
      </c>
    </row>
    <row r="76" spans="1:6">
      <c r="A76" s="100">
        <v>420</v>
      </c>
      <c r="B76" s="107">
        <f>F66</f>
        <v>14.62</v>
      </c>
      <c r="C76" s="102">
        <f>B80-B76</f>
        <v>0.30000000000000071</v>
      </c>
      <c r="D76" s="102">
        <f>C76/4</f>
        <v>7.5000000000000178E-2</v>
      </c>
    </row>
    <row r="77" spans="1:6">
      <c r="A77" s="100">
        <v>435</v>
      </c>
      <c r="B77" s="104">
        <f>B76+D77</f>
        <v>14.709999999999999</v>
      </c>
      <c r="D77" s="6">
        <v>0.09</v>
      </c>
    </row>
    <row r="78" spans="1:6">
      <c r="A78" s="100">
        <v>450</v>
      </c>
      <c r="B78" s="104">
        <f>B77+D78</f>
        <v>14.78</v>
      </c>
      <c r="D78" s="6">
        <v>7.0000000000000007E-2</v>
      </c>
    </row>
    <row r="79" spans="1:6">
      <c r="A79" s="100">
        <v>465</v>
      </c>
      <c r="B79" s="104">
        <f>B78+D79</f>
        <v>14.83</v>
      </c>
      <c r="D79" s="6">
        <v>0.05</v>
      </c>
    </row>
    <row r="80" spans="1:6">
      <c r="A80" s="101">
        <v>480</v>
      </c>
      <c r="B80" s="107">
        <f>F67</f>
        <v>14.92</v>
      </c>
      <c r="C80" s="102">
        <f>B86-B80</f>
        <v>1.7799999999999994</v>
      </c>
      <c r="D80" s="103">
        <f>C80/10</f>
        <v>0.17799999999999994</v>
      </c>
    </row>
    <row r="81" spans="1:4">
      <c r="A81" s="100">
        <v>481</v>
      </c>
      <c r="B81" s="104">
        <f>B80+D81</f>
        <v>15.13</v>
      </c>
      <c r="D81" s="6">
        <v>0.21</v>
      </c>
    </row>
    <row r="82" spans="1:4">
      <c r="A82" s="100">
        <v>482</v>
      </c>
      <c r="B82" s="104">
        <f>B81+D82</f>
        <v>15.32</v>
      </c>
      <c r="D82" s="6">
        <v>0.19</v>
      </c>
    </row>
    <row r="83" spans="1:4">
      <c r="A83" s="100">
        <v>483</v>
      </c>
      <c r="B83" s="104">
        <f>B82+D83</f>
        <v>15.49</v>
      </c>
      <c r="D83" s="6">
        <v>0.17</v>
      </c>
    </row>
    <row r="84" spans="1:4">
      <c r="A84" s="100">
        <v>484</v>
      </c>
      <c r="B84" s="104">
        <f>B83+D84</f>
        <v>15.65</v>
      </c>
      <c r="D84" s="6">
        <v>0.16</v>
      </c>
    </row>
    <row r="85" spans="1:4">
      <c r="A85" s="100">
        <v>485</v>
      </c>
      <c r="B85" s="104">
        <f>B84+D85</f>
        <v>15.790000000000001</v>
      </c>
      <c r="D85" s="6">
        <v>0.14000000000000001</v>
      </c>
    </row>
    <row r="86" spans="1:4">
      <c r="A86" s="100">
        <v>490</v>
      </c>
      <c r="B86" s="107">
        <f>F68</f>
        <v>16.7</v>
      </c>
      <c r="C86" s="102">
        <f>B88-B86</f>
        <v>0.67000000000000171</v>
      </c>
      <c r="D86" s="102">
        <f>C86/2</f>
        <v>0.33500000000000085</v>
      </c>
    </row>
    <row r="87" spans="1:4">
      <c r="A87" s="100">
        <v>495</v>
      </c>
      <c r="B87" s="104">
        <f>B86+D87</f>
        <v>17.009999999999998</v>
      </c>
      <c r="D87" s="6">
        <v>0.31</v>
      </c>
    </row>
    <row r="88" spans="1:4">
      <c r="A88" s="100">
        <v>500</v>
      </c>
      <c r="B88" s="107">
        <f>F69</f>
        <v>17.37</v>
      </c>
      <c r="C88" s="102">
        <f>B90-B88</f>
        <v>0.66999999999999815</v>
      </c>
      <c r="D88" s="102">
        <f>C88/2</f>
        <v>0.33499999999999908</v>
      </c>
    </row>
    <row r="89" spans="1:4">
      <c r="A89" s="100">
        <v>505</v>
      </c>
      <c r="B89" s="104">
        <f>B88+D89</f>
        <v>17.670000000000002</v>
      </c>
      <c r="D89" s="6">
        <v>0.3</v>
      </c>
    </row>
    <row r="90" spans="1:4">
      <c r="A90" s="100">
        <v>510</v>
      </c>
      <c r="B90" s="107">
        <f>F70</f>
        <v>18.04</v>
      </c>
      <c r="C90" s="102">
        <f>B96-B90</f>
        <v>0.67000000000000171</v>
      </c>
      <c r="D90" s="105">
        <f>C90/6</f>
        <v>0.11166666666666696</v>
      </c>
    </row>
    <row r="91" spans="1:4">
      <c r="A91" s="100">
        <v>515</v>
      </c>
      <c r="B91" s="104">
        <f>B90+D91</f>
        <v>18.189999999999998</v>
      </c>
      <c r="D91" s="6">
        <v>0.15</v>
      </c>
    </row>
    <row r="92" spans="1:4">
      <c r="A92" s="100">
        <v>520</v>
      </c>
      <c r="B92" s="104">
        <f>B91+D92</f>
        <v>18.319999999999997</v>
      </c>
      <c r="D92" s="6">
        <v>0.13</v>
      </c>
    </row>
    <row r="93" spans="1:4">
      <c r="A93" s="100">
        <v>525</v>
      </c>
      <c r="B93" s="104">
        <f>B92+D93</f>
        <v>18.429999999999996</v>
      </c>
      <c r="D93" s="6">
        <v>0.11</v>
      </c>
    </row>
    <row r="94" spans="1:4">
      <c r="A94" s="100">
        <v>530</v>
      </c>
      <c r="B94" s="104">
        <f>B93+D94</f>
        <v>18.509999999999994</v>
      </c>
      <c r="D94" s="6">
        <v>0.08</v>
      </c>
    </row>
    <row r="95" spans="1:4">
      <c r="A95" s="100">
        <v>535</v>
      </c>
      <c r="B95" s="104">
        <f>B94+D95</f>
        <v>18.579999999999995</v>
      </c>
      <c r="D95" s="6">
        <v>7.0000000000000007E-2</v>
      </c>
    </row>
    <row r="96" spans="1:4">
      <c r="A96" s="100">
        <v>540</v>
      </c>
      <c r="B96" s="107">
        <f>F71</f>
        <v>18.71</v>
      </c>
      <c r="C96" s="102">
        <f>B100-B96</f>
        <v>0.67999999999999972</v>
      </c>
      <c r="D96" s="102">
        <f>C96/4</f>
        <v>0.16999999999999993</v>
      </c>
    </row>
    <row r="97" spans="1:4">
      <c r="A97" s="100">
        <v>555</v>
      </c>
      <c r="B97" s="104">
        <f>B96+D97</f>
        <v>18.900000000000002</v>
      </c>
      <c r="D97" s="6">
        <v>0.19</v>
      </c>
    </row>
    <row r="98" spans="1:4">
      <c r="A98" s="100">
        <v>570</v>
      </c>
      <c r="B98" s="104">
        <f>B97+D98</f>
        <v>19.060000000000002</v>
      </c>
      <c r="D98" s="6">
        <v>0.16</v>
      </c>
    </row>
    <row r="99" spans="1:4">
      <c r="A99" s="100">
        <v>585</v>
      </c>
      <c r="B99" s="104">
        <f>B98+D99</f>
        <v>19.200000000000003</v>
      </c>
      <c r="D99" s="6">
        <v>0.14000000000000001</v>
      </c>
    </row>
    <row r="100" spans="1:4">
      <c r="A100" s="101">
        <v>600</v>
      </c>
      <c r="B100" s="65">
        <f>F72</f>
        <v>19.39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R27" sqref="R2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73.995833333333337</v>
      </c>
      <c r="F1" s="3"/>
      <c r="G1" s="3">
        <f>E1/E2</f>
        <v>0.88795000000000013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141</v>
      </c>
      <c r="E2" s="3">
        <f>M51/3</f>
        <v>83.333333333333329</v>
      </c>
      <c r="F2" s="235" t="s">
        <v>2</v>
      </c>
      <c r="G2" s="3" t="s">
        <v>3</v>
      </c>
    </row>
    <row r="3" spans="1:17" s="167" customFormat="1">
      <c r="A3" s="172">
        <f>B3+$M$48</f>
        <v>10.24</v>
      </c>
      <c r="B3" s="255">
        <f>B20</f>
        <v>7.01</v>
      </c>
      <c r="C3" s="173"/>
      <c r="D3" s="256">
        <f t="shared" ref="D3:D7" si="0">D20</f>
        <v>157</v>
      </c>
      <c r="E3" s="4">
        <f>D3/12</f>
        <v>13.083333333333334</v>
      </c>
      <c r="F3" s="174">
        <f>B3/D3</f>
        <v>4.4649681528662416E-2</v>
      </c>
      <c r="G3" s="174">
        <f>1/F3</f>
        <v>22.396576319543513</v>
      </c>
    </row>
    <row r="4" spans="1:17" s="167" customFormat="1">
      <c r="A4" s="172">
        <f>B4+$M$48</f>
        <v>12.58</v>
      </c>
      <c r="B4" s="173">
        <f>B21</f>
        <v>9.35</v>
      </c>
      <c r="C4" s="173"/>
      <c r="D4" s="171">
        <f t="shared" si="0"/>
        <v>200</v>
      </c>
      <c r="E4" s="4">
        <f>D4/12</f>
        <v>16.666666666666668</v>
      </c>
      <c r="F4" s="174">
        <f t="shared" ref="F4:F7" si="1">B4/D4</f>
        <v>4.675E-2</v>
      </c>
      <c r="G4" s="174">
        <f t="shared" ref="G4:G7" si="2">1/F4</f>
        <v>21.390374331550802</v>
      </c>
    </row>
    <row r="5" spans="1:17" s="167" customFormat="1">
      <c r="A5" s="172">
        <f>B5+$M$48</f>
        <v>15.21</v>
      </c>
      <c r="B5" s="173">
        <f>B22</f>
        <v>11.98</v>
      </c>
      <c r="C5" s="173"/>
      <c r="D5" s="171">
        <f t="shared" si="0"/>
        <v>243.95</v>
      </c>
      <c r="E5" s="4">
        <f>D5/12</f>
        <v>20.329166666666666</v>
      </c>
      <c r="F5" s="174">
        <f t="shared" si="1"/>
        <v>4.9108423857347823E-2</v>
      </c>
      <c r="G5" s="174">
        <f t="shared" si="2"/>
        <v>20.363105175292151</v>
      </c>
    </row>
    <row r="6" spans="1:17" s="167" customFormat="1">
      <c r="A6" s="172">
        <f>B6+$M$48</f>
        <v>18.149999999999999</v>
      </c>
      <c r="B6" s="255">
        <f>B23</f>
        <v>14.92</v>
      </c>
      <c r="C6" s="173"/>
      <c r="D6" s="171">
        <f>D23</f>
        <v>287</v>
      </c>
      <c r="E6" s="4">
        <f>D6/12</f>
        <v>23.916666666666668</v>
      </c>
      <c r="F6" s="174">
        <f t="shared" si="1"/>
        <v>5.1986062717770037E-2</v>
      </c>
      <c r="G6" s="174">
        <f t="shared" si="2"/>
        <v>19.23592493297587</v>
      </c>
    </row>
    <row r="7" spans="1:17" s="167" customFormat="1">
      <c r="A7" s="172">
        <f>B7+$M$48</f>
        <v>22.62</v>
      </c>
      <c r="B7" s="173">
        <f>B24</f>
        <v>19.39</v>
      </c>
      <c r="C7" s="173"/>
      <c r="D7" s="171">
        <f t="shared" si="0"/>
        <v>330.04999999999995</v>
      </c>
      <c r="E7" s="4">
        <f>D7/12</f>
        <v>27.504166666666663</v>
      </c>
      <c r="F7" s="174">
        <f t="shared" si="1"/>
        <v>5.8748674443266181E-2</v>
      </c>
      <c r="G7" s="174">
        <f t="shared" si="2"/>
        <v>17.021660649819491</v>
      </c>
    </row>
    <row r="8" spans="1:17" s="167" customFormat="1">
      <c r="A8" s="4"/>
      <c r="B8" s="4" t="s">
        <v>4</v>
      </c>
      <c r="C8" s="4"/>
      <c r="D8" s="4"/>
      <c r="E8" s="488" t="s">
        <v>5</v>
      </c>
      <c r="F8" s="488"/>
      <c r="G8" s="488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89" t="s">
        <v>7</v>
      </c>
      <c r="G9" s="489"/>
    </row>
    <row r="10" spans="1:17" s="167" customFormat="1">
      <c r="A10" s="176">
        <f>D20/B20</f>
        <v>22.396576319543509</v>
      </c>
      <c r="B10" s="176">
        <f>B20/D20</f>
        <v>4.4649681528662416E-2</v>
      </c>
      <c r="C10" s="4"/>
      <c r="D10" s="4"/>
      <c r="E10" s="233">
        <v>0.98</v>
      </c>
      <c r="F10" s="489" t="s">
        <v>8</v>
      </c>
      <c r="G10" s="489"/>
    </row>
    <row r="11" spans="1:17" s="167" customFormat="1">
      <c r="A11" s="176">
        <f t="shared" ref="A11:A14" si="3">D21/B21</f>
        <v>21.390374331550802</v>
      </c>
      <c r="B11" s="176">
        <f t="shared" ref="B11:B14" si="4">B21/D21</f>
        <v>4.675E-2</v>
      </c>
      <c r="C11" s="4"/>
      <c r="D11" s="4" t="s">
        <v>4</v>
      </c>
      <c r="E11" s="233">
        <v>0.98</v>
      </c>
      <c r="F11" s="489" t="s">
        <v>9</v>
      </c>
      <c r="G11" s="489"/>
    </row>
    <row r="12" spans="1:17" s="167" customFormat="1">
      <c r="A12" s="176">
        <f t="shared" si="3"/>
        <v>20.363105175292151</v>
      </c>
      <c r="B12" s="176">
        <f t="shared" si="4"/>
        <v>4.9108423857347823E-2</v>
      </c>
      <c r="C12" s="4"/>
      <c r="D12" s="4"/>
      <c r="E12" s="233">
        <v>1</v>
      </c>
      <c r="F12" s="489" t="s">
        <v>10</v>
      </c>
      <c r="G12" s="489"/>
    </row>
    <row r="13" spans="1:17" s="167" customFormat="1">
      <c r="A13" s="176">
        <f t="shared" si="3"/>
        <v>19.23592493297587</v>
      </c>
      <c r="B13" s="176">
        <f t="shared" si="4"/>
        <v>5.1986062717770037E-2</v>
      </c>
      <c r="C13" s="4"/>
      <c r="D13" s="4" t="s">
        <v>4</v>
      </c>
      <c r="E13" s="488" t="s">
        <v>11</v>
      </c>
      <c r="F13" s="488"/>
      <c r="G13" s="488"/>
    </row>
    <row r="14" spans="1:17" s="167" customFormat="1">
      <c r="A14" s="176">
        <f t="shared" si="3"/>
        <v>17.021660649819491</v>
      </c>
      <c r="B14" s="176">
        <f t="shared" si="4"/>
        <v>5.8748674443266181E-2</v>
      </c>
      <c r="C14" s="4"/>
      <c r="D14" s="4"/>
      <c r="E14" s="233">
        <v>1</v>
      </c>
      <c r="F14" s="489" t="s">
        <v>7</v>
      </c>
      <c r="G14" s="489"/>
    </row>
    <row r="15" spans="1:17" s="167" customFormat="1">
      <c r="A15" s="4"/>
      <c r="B15" s="4"/>
      <c r="C15" s="4"/>
      <c r="D15" s="4"/>
      <c r="E15" s="233">
        <v>1</v>
      </c>
      <c r="F15" s="489" t="s">
        <v>8</v>
      </c>
      <c r="G15" s="489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89" t="s">
        <v>9</v>
      </c>
      <c r="G16" s="489"/>
      <c r="Q16" s="223">
        <v>45024</v>
      </c>
    </row>
    <row r="17" spans="1:21" s="167" customFormat="1">
      <c r="A17" s="4"/>
      <c r="B17" s="175">
        <f>M52</f>
        <v>14.92</v>
      </c>
      <c r="C17" s="4"/>
      <c r="D17" s="240">
        <f>M47</f>
        <v>287</v>
      </c>
      <c r="E17" s="233">
        <v>1</v>
      </c>
      <c r="F17" s="489" t="s">
        <v>10</v>
      </c>
      <c r="G17" s="48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141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7.01</v>
      </c>
      <c r="C20" s="4">
        <f>0.48*E9</f>
        <v>0.47039999999999998</v>
      </c>
      <c r="D20" s="198">
        <f>INT(D$17*E20)</f>
        <v>157</v>
      </c>
      <c r="E20" s="241">
        <f>0.55*E14</f>
        <v>0.55000000000000004</v>
      </c>
      <c r="F20" s="174">
        <f>B20/D20</f>
        <v>4.4649681528662416E-2</v>
      </c>
      <c r="G20" s="4">
        <f>F20-F19</f>
        <v>4.4649681528662416E-2</v>
      </c>
    </row>
    <row r="21" spans="1:21" s="167" customFormat="1" ht="16.5">
      <c r="A21" s="173">
        <f>B21-B20</f>
        <v>2.34</v>
      </c>
      <c r="B21" s="180">
        <f>INT(B$17*C21*100)/100</f>
        <v>9.35</v>
      </c>
      <c r="C21" s="4">
        <f>0.64*E10</f>
        <v>0.62719999999999998</v>
      </c>
      <c r="D21" s="198">
        <f>INT(D$17*E21)</f>
        <v>200</v>
      </c>
      <c r="E21" s="241">
        <f>0.7*E15</f>
        <v>0.7</v>
      </c>
      <c r="F21" s="174">
        <f>B21/D21</f>
        <v>4.675E-2</v>
      </c>
      <c r="G21" s="4">
        <f>F21-F20</f>
        <v>2.1003184713375839E-3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2.6300000000000008</v>
      </c>
      <c r="B22" s="180">
        <f>INT(B$17*C22*100)/100</f>
        <v>11.98</v>
      </c>
      <c r="C22" s="4">
        <f>0.82*E11</f>
        <v>0.80359999999999998</v>
      </c>
      <c r="D22" s="199">
        <f>(D$17*E22)</f>
        <v>243.95</v>
      </c>
      <c r="E22" s="241">
        <f>0.85*E16</f>
        <v>0.85</v>
      </c>
      <c r="F22" s="174">
        <f>B22/D22</f>
        <v>4.9108423857347823E-2</v>
      </c>
      <c r="G22" s="4">
        <f>F22-F21</f>
        <v>2.3584238573478231E-3</v>
      </c>
    </row>
    <row r="23" spans="1:21" s="167" customFormat="1">
      <c r="A23" s="173">
        <f>B23-B22</f>
        <v>2.9399999999999995</v>
      </c>
      <c r="B23" s="180">
        <f>INT(B$17*C23*100)/100</f>
        <v>14.92</v>
      </c>
      <c r="C23" s="4">
        <v>1</v>
      </c>
      <c r="D23" s="198">
        <f>D$17*E23</f>
        <v>287</v>
      </c>
      <c r="E23" s="239">
        <v>1</v>
      </c>
      <c r="F23" s="174">
        <f>B23/D23</f>
        <v>5.1986062717770037E-2</v>
      </c>
      <c r="G23" s="4">
        <f>F23-F22</f>
        <v>2.8776388604222145E-3</v>
      </c>
      <c r="O23" s="182"/>
      <c r="Q23" s="182"/>
      <c r="S23" s="182"/>
      <c r="U23" s="182"/>
    </row>
    <row r="24" spans="1:21" s="167" customFormat="1">
      <c r="A24" s="173">
        <f>B24-B23</f>
        <v>4.4700000000000006</v>
      </c>
      <c r="B24" s="180">
        <f>INT(B$17*C24*100)/100</f>
        <v>19.39</v>
      </c>
      <c r="C24" s="4">
        <f>1.3*E12</f>
        <v>1.3</v>
      </c>
      <c r="D24" s="198">
        <f>D$17*E24</f>
        <v>330.04999999999995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5.8748674443266181E-2</v>
      </c>
      <c r="G25" s="173"/>
      <c r="O25" s="182"/>
      <c r="Q25" s="182"/>
      <c r="S25" s="182"/>
      <c r="U25" s="182"/>
    </row>
    <row r="26" spans="1:21" s="167" customFormat="1">
      <c r="A26" s="470" t="s">
        <v>14</v>
      </c>
      <c r="B26" s="470"/>
      <c r="C26" s="184">
        <f>INT(M51*1)</f>
        <v>250</v>
      </c>
      <c r="D26" s="4"/>
      <c r="E26" s="4"/>
      <c r="F26" s="185">
        <f>M50/M51</f>
        <v>6.7080000000000001E-2</v>
      </c>
      <c r="G26" s="4"/>
      <c r="O26" s="182"/>
      <c r="Q26" s="182"/>
      <c r="S26" s="182"/>
      <c r="U26" s="182"/>
    </row>
    <row r="27" spans="1:21" s="167" customFormat="1">
      <c r="A27" s="470" t="s">
        <v>15</v>
      </c>
      <c r="B27" s="470"/>
      <c r="C27" s="186">
        <f>SafeYield!B7</f>
        <v>259.77669618795818</v>
      </c>
      <c r="D27" s="173">
        <f>(C27/D6)*100</f>
        <v>90.51452828848717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5.6199999999999997E-5</v>
      </c>
      <c r="B31" s="233">
        <v>3.56589E-2</v>
      </c>
      <c r="C31" s="4"/>
      <c r="D31" s="171">
        <f t="shared" ref="D31:D36" si="5">D19</f>
        <v>141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5.6199999999999997E-5</v>
      </c>
      <c r="B32" s="4">
        <f t="shared" si="6"/>
        <v>3.56589E-2</v>
      </c>
      <c r="C32" s="4"/>
      <c r="D32" s="171">
        <f t="shared" si="5"/>
        <v>157</v>
      </c>
      <c r="E32" s="4"/>
      <c r="F32" s="187">
        <f>B32*D32/(B32*D32+A32*D32*D32)*100</f>
        <v>80.164245104232464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5.6199999999999997E-5</v>
      </c>
      <c r="B33" s="4">
        <f t="shared" si="6"/>
        <v>3.56589E-2</v>
      </c>
      <c r="C33" s="4"/>
      <c r="D33" s="171">
        <f t="shared" si="5"/>
        <v>200</v>
      </c>
      <c r="E33" s="4"/>
      <c r="F33" s="187">
        <f>B33*D33/(B33*D33+A33*D33*D33)*100</f>
        <v>76.033553025763936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5.6199999999999997E-5</v>
      </c>
      <c r="B34" s="4">
        <f t="shared" si="6"/>
        <v>3.56589E-2</v>
      </c>
      <c r="C34" s="4"/>
      <c r="D34" s="171">
        <f t="shared" si="5"/>
        <v>243.95</v>
      </c>
      <c r="E34" s="4"/>
      <c r="F34" s="187">
        <f>B34*D34/(B34*D34+A34*D34*D34)*100</f>
        <v>72.229495133473733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5.6199999999999997E-5</v>
      </c>
      <c r="B35" s="4">
        <f>B34</f>
        <v>3.56589E-2</v>
      </c>
      <c r="C35" s="4"/>
      <c r="D35" s="171">
        <f t="shared" si="5"/>
        <v>287</v>
      </c>
      <c r="E35" s="4"/>
      <c r="F35" s="187">
        <f>B35*D35/(B35*D35+A35*D35*D35)*100</f>
        <v>68.855127509495389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330.04999999999995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74.320605193241377</v>
      </c>
      <c r="G37" s="4"/>
      <c r="P37" s="220">
        <v>5.6199999999999997E-5</v>
      </c>
      <c r="Q37" s="220">
        <v>8.6999999999999994E-2</v>
      </c>
    </row>
    <row r="38" spans="1:21" s="167" customFormat="1" ht="13.5" customHeight="1">
      <c r="A38" s="242">
        <v>71.872</v>
      </c>
      <c r="B38" s="233">
        <v>8.6999999999999994E-2</v>
      </c>
      <c r="C38" s="233">
        <v>93.622</v>
      </c>
      <c r="D38" s="4"/>
      <c r="E38" s="4" t="s">
        <v>21</v>
      </c>
      <c r="F38" s="4"/>
      <c r="G38" s="4"/>
      <c r="P38" s="220">
        <v>3.56589E-2</v>
      </c>
      <c r="Q38" s="220">
        <v>93.622</v>
      </c>
    </row>
    <row r="39" spans="1:21" s="167" customFormat="1" ht="13.5" customHeight="1">
      <c r="A39" s="168"/>
      <c r="B39" s="4" t="s">
        <v>22</v>
      </c>
      <c r="C39" s="173">
        <f>(C38-A38)/B38</f>
        <v>250.00000000000003</v>
      </c>
      <c r="D39" s="4">
        <f>C38-B38*M51</f>
        <v>71.872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250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1.4E-2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1" t="s">
        <v>295</v>
      </c>
      <c r="J44" s="472"/>
      <c r="K44" s="473"/>
      <c r="L44" s="224" t="s">
        <v>30</v>
      </c>
      <c r="M44" s="228">
        <v>150</v>
      </c>
      <c r="N44" s="224" t="s">
        <v>31</v>
      </c>
      <c r="Q44" s="369">
        <v>157</v>
      </c>
      <c r="R44" s="200">
        <v>10.24</v>
      </c>
      <c r="S44" s="200">
        <v>7.01</v>
      </c>
      <c r="T44" s="201">
        <v>22.396999999999998</v>
      </c>
      <c r="U44" s="250">
        <v>4.4649681528662416E-2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0" t="s">
        <v>296</v>
      </c>
      <c r="J45" s="481"/>
      <c r="K45" s="482"/>
      <c r="L45" s="224" t="s">
        <v>34</v>
      </c>
      <c r="M45" s="195">
        <v>100</v>
      </c>
      <c r="N45" s="229">
        <f>M44</f>
        <v>150</v>
      </c>
      <c r="Q45" s="369">
        <v>200</v>
      </c>
      <c r="R45" s="200">
        <v>12.58</v>
      </c>
      <c r="S45" s="200">
        <v>9.35</v>
      </c>
      <c r="T45" s="201">
        <v>21.39</v>
      </c>
      <c r="U45" s="250">
        <v>4.675E-2</v>
      </c>
    </row>
    <row r="46" spans="1:21" s="167" customFormat="1" ht="16.5">
      <c r="A46" s="4">
        <f>B34</f>
        <v>3.56589E-2</v>
      </c>
      <c r="B46" s="364" t="s">
        <v>35</v>
      </c>
      <c r="C46" s="474" t="s">
        <v>36</v>
      </c>
      <c r="D46" s="474"/>
      <c r="E46" s="4"/>
      <c r="F46" s="4"/>
      <c r="G46" s="4"/>
      <c r="H46" s="224" t="s">
        <v>37</v>
      </c>
      <c r="I46" s="471" t="s">
        <v>294</v>
      </c>
      <c r="J46" s="472"/>
      <c r="K46" s="473"/>
      <c r="L46" s="224" t="s">
        <v>38</v>
      </c>
      <c r="M46" s="192">
        <f>IF(I52&gt;M48, M45-I52,M45-M48)</f>
        <v>88</v>
      </c>
      <c r="N46" s="11"/>
      <c r="Q46" s="369">
        <v>244</v>
      </c>
      <c r="R46" s="200">
        <v>15.21</v>
      </c>
      <c r="S46" s="200">
        <v>11.98</v>
      </c>
      <c r="T46" s="201">
        <v>20.363</v>
      </c>
      <c r="U46" s="250">
        <v>4.9108423857347823E-2</v>
      </c>
    </row>
    <row r="47" spans="1:21" s="167" customFormat="1" ht="16.5">
      <c r="A47" s="4">
        <f>120/1440</f>
        <v>8.3333333333333329E-2</v>
      </c>
      <c r="B47" s="364" t="s">
        <v>39</v>
      </c>
      <c r="C47" s="474" t="s">
        <v>40</v>
      </c>
      <c r="D47" s="474"/>
      <c r="E47" s="4"/>
      <c r="F47" s="4"/>
      <c r="G47" s="4"/>
      <c r="H47" s="224" t="s">
        <v>41</v>
      </c>
      <c r="I47" s="483" t="s">
        <v>224</v>
      </c>
      <c r="J47" s="484"/>
      <c r="K47" s="485"/>
      <c r="L47" s="224" t="s">
        <v>42</v>
      </c>
      <c r="M47" s="193">
        <f>INT((M51*100)/M53)</f>
        <v>287</v>
      </c>
      <c r="N47" s="11"/>
      <c r="Q47" s="369">
        <v>287</v>
      </c>
      <c r="R47" s="200">
        <v>18.149999999999999</v>
      </c>
      <c r="S47" s="200">
        <v>14.92</v>
      </c>
      <c r="T47" s="201">
        <v>19.236000000000001</v>
      </c>
      <c r="U47" s="250">
        <v>5.1986062717770037E-2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75" t="s">
        <v>293</v>
      </c>
      <c r="K48" s="475"/>
      <c r="L48" s="224" t="s">
        <v>44</v>
      </c>
      <c r="M48" s="195">
        <v>3.23</v>
      </c>
      <c r="N48" s="11"/>
      <c r="Q48" s="370">
        <v>330</v>
      </c>
      <c r="R48" s="251">
        <v>22.62</v>
      </c>
      <c r="S48" s="251">
        <v>19.39</v>
      </c>
      <c r="T48" s="252">
        <v>17.021999999999998</v>
      </c>
      <c r="U48" s="253">
        <v>5.8748674443266181E-2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76" t="str">
        <f>I45</f>
        <v>규암지구</v>
      </c>
      <c r="J49" s="476"/>
      <c r="K49" s="476"/>
      <c r="L49" s="224" t="s">
        <v>48</v>
      </c>
      <c r="M49" s="195">
        <v>20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324</v>
      </c>
      <c r="I50" s="246">
        <v>50</v>
      </c>
      <c r="J50" s="486"/>
      <c r="K50" s="487"/>
      <c r="L50" s="224" t="s">
        <v>50</v>
      </c>
      <c r="M50" s="194">
        <f>M49-M48</f>
        <v>16.77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77"/>
      <c r="J51" s="478"/>
      <c r="K51" s="479"/>
      <c r="L51" s="169" t="s">
        <v>52</v>
      </c>
      <c r="M51" s="195">
        <v>250</v>
      </c>
      <c r="N51" s="11"/>
      <c r="O51" s="167">
        <f>M51</f>
        <v>250</v>
      </c>
      <c r="P51" s="165">
        <f>ROUND((O51/O52)*100,1)</f>
        <v>287.39999999999998</v>
      </c>
    </row>
    <row r="52" spans="1:24" s="167" customFormat="1" ht="16.5">
      <c r="A52" s="168" t="s">
        <v>53</v>
      </c>
      <c r="B52" s="364">
        <f>INT(10^((INT(5.46*A44*A46*1000))/1000)*1000)/1000</f>
        <v>67297665.628000006</v>
      </c>
      <c r="C52" s="364">
        <f>INT(B52*B51*1000)/1000</f>
        <v>33648.832000000002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14.92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69" t="s">
        <v>243</v>
      </c>
      <c r="J53" s="469"/>
      <c r="K53" s="469"/>
      <c r="L53" s="46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330.04999999999995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58" t="s">
        <v>62</v>
      </c>
      <c r="E57" s="459"/>
      <c r="F57" s="458" t="s">
        <v>61</v>
      </c>
      <c r="G57" s="459"/>
      <c r="H57" s="349" t="s">
        <v>63</v>
      </c>
      <c r="I57" s="350">
        <f>M50</f>
        <v>16.77</v>
      </c>
      <c r="J57" s="349" t="s">
        <v>64</v>
      </c>
      <c r="K57" s="349" t="s">
        <v>65</v>
      </c>
      <c r="L57" s="458" t="s">
        <v>66</v>
      </c>
      <c r="M57" s="460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52">
        <v>0.22439999999999999</v>
      </c>
      <c r="E58" s="453"/>
      <c r="F58" s="452"/>
      <c r="G58" s="453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61">
        <f>B59</f>
        <v>59.61</v>
      </c>
      <c r="D59" s="463">
        <v>0.15190000000000001</v>
      </c>
      <c r="E59" s="464"/>
      <c r="F59" s="465">
        <f>INT((D59+D60)/1*10000000)/10000000</f>
        <v>0.15190000000000001</v>
      </c>
      <c r="G59" s="466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62"/>
      <c r="D60" s="463"/>
      <c r="E60" s="464"/>
      <c r="F60" s="467"/>
      <c r="G60" s="468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52"/>
      <c r="E61" s="453"/>
      <c r="F61" s="452"/>
      <c r="G61" s="453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54"/>
      <c r="E62" s="455"/>
      <c r="F62" s="456">
        <f>F59</f>
        <v>0.15190000000000001</v>
      </c>
      <c r="G62" s="457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340</v>
      </c>
      <c r="S64" s="244" t="s">
        <v>341</v>
      </c>
      <c r="T64" s="244" t="s">
        <v>343</v>
      </c>
      <c r="U64" s="244" t="s">
        <v>344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12.693591285614936</v>
      </c>
      <c r="C4" s="276">
        <f>LongTest!B10</f>
        <v>250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3.56589E-2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2.4963686299730119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-1.6875749873094454</v>
      </c>
      <c r="H6" s="35"/>
      <c r="I6" s="271">
        <f>Input!M49</f>
        <v>20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1.1485080437953657E-3</v>
      </c>
      <c r="G7" s="205" t="s">
        <v>124</v>
      </c>
      <c r="H7" s="35">
        <f>F4*EXP(4*G4*D4*H4)</f>
        <v>1.1480717517185651E-3</v>
      </c>
      <c r="I7" s="279" t="s">
        <v>125</v>
      </c>
      <c r="J7" s="265">
        <f>ROUND((C13+C18+C23)/3,1)</f>
        <v>75.900000000000006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0.40500000000000003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17.4023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17.4056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5.1525806792397955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14.847419320760205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62.8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16.77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76.900000000000006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16.77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16.77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75.899999999999991</v>
      </c>
      <c r="D30" s="14"/>
      <c r="E30" s="376">
        <f>(C13+C18)/2</f>
        <v>69.849999999999994</v>
      </c>
      <c r="F30" s="377">
        <f>MAX(C13,C18)</f>
        <v>76.900000000000006</v>
      </c>
      <c r="G30" s="378">
        <f>ROUND(C4/(G4*F30^2*I16),3)</f>
        <v>14.683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157</v>
      </c>
    </row>
    <row r="3" spans="1:2" ht="20.100000000000001" customHeight="1">
      <c r="A3" s="42" t="s">
        <v>146</v>
      </c>
      <c r="B3" s="156">
        <f>StepTest!G31</f>
        <v>7.01</v>
      </c>
    </row>
    <row r="4" spans="1:2" ht="20.100000000000001" customHeight="1">
      <c r="A4" s="42" t="s">
        <v>147</v>
      </c>
      <c r="B4" s="157">
        <f>StepTest!G46</f>
        <v>14.92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259.77669618795818</v>
      </c>
    </row>
    <row r="8" spans="1:2" ht="20.100000000000001" customHeight="1">
      <c r="A8" s="42" t="s">
        <v>150</v>
      </c>
      <c r="B8" s="157">
        <f>INT(B7)</f>
        <v>259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0.90243902439024393</v>
      </c>
    </row>
    <row r="12" spans="1:2" ht="17.25" thickBot="1"/>
    <row r="13" spans="1:2" ht="24.95" customHeight="1">
      <c r="A13" s="44" t="s">
        <v>151</v>
      </c>
      <c r="B13" s="159">
        <f>Input!$D$6</f>
        <v>287</v>
      </c>
    </row>
    <row r="14" spans="1:2" ht="24.95" customHeight="1">
      <c r="A14" s="45" t="s">
        <v>52</v>
      </c>
      <c r="B14" s="160">
        <f>B8</f>
        <v>259</v>
      </c>
    </row>
    <row r="15" spans="1:2" ht="24.95" customHeight="1" thickBot="1">
      <c r="A15" s="46" t="s">
        <v>152</v>
      </c>
      <c r="B15" s="161">
        <f>Input!$M$51</f>
        <v>250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31" zoomScaleNormal="100" zoomScaleSheetLayoutView="100" workbookViewId="0">
      <selection activeCell="D29" sqref="D29:E29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92" t="s">
        <v>160</v>
      </c>
      <c r="B4" s="492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157</v>
      </c>
      <c r="S4" s="51">
        <f>$R$4</f>
        <v>157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14.068814384583977</v>
      </c>
      <c r="Z4" s="58">
        <f>Z22</f>
        <v>15.155649269879026</v>
      </c>
      <c r="AA4" s="57">
        <f>$Z$4</f>
        <v>15.155649269879026</v>
      </c>
      <c r="AB4" s="57">
        <f>X4</f>
        <v>1</v>
      </c>
      <c r="AC4" s="57">
        <f>Y4-AA4</f>
        <v>-1.0868348852950493</v>
      </c>
      <c r="AD4" s="59">
        <f>INT((AC4-AE4)*100)/100</f>
        <v>-1.0900000000000001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92" t="s">
        <v>161</v>
      </c>
      <c r="B5" s="492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157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15.241098029911022</v>
      </c>
      <c r="AA5" s="57">
        <f t="shared" ref="AA5:AA23" si="5">$Z$4</f>
        <v>15.155649269879026</v>
      </c>
      <c r="AB5" s="57">
        <f t="shared" ref="AB5:AB43" si="6">X5</f>
        <v>2</v>
      </c>
      <c r="AC5" s="57">
        <f t="shared" ref="AC5:AC43" si="7">Y5-AA5</f>
        <v>8.5448760031995974E-2</v>
      </c>
      <c r="AD5" s="59">
        <f t="shared" ref="AD5:AD16" si="8">INT((AC5-AE5)*100)/100</f>
        <v>0.08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92" t="s">
        <v>162</v>
      </c>
      <c r="B6" s="492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157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15.926840002636045</v>
      </c>
      <c r="AA6" s="57">
        <f t="shared" si="5"/>
        <v>15.155649269879026</v>
      </c>
      <c r="AB6" s="57">
        <f t="shared" si="6"/>
        <v>3</v>
      </c>
      <c r="AC6" s="57">
        <f t="shared" si="7"/>
        <v>0.77119073275701844</v>
      </c>
      <c r="AD6" s="59">
        <f t="shared" si="8"/>
        <v>0.77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92" t="s">
        <v>163</v>
      </c>
      <c r="B7" s="492"/>
      <c r="C7" s="311" t="str">
        <f>Input!I47</f>
        <v>부여지하수개발주식회사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157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16.413381675238071</v>
      </c>
      <c r="AA7" s="57">
        <f t="shared" si="5"/>
        <v>15.155649269879026</v>
      </c>
      <c r="AB7" s="57">
        <f t="shared" si="6"/>
        <v>4</v>
      </c>
      <c r="AC7" s="57">
        <f t="shared" si="7"/>
        <v>1.2577324053590448</v>
      </c>
      <c r="AD7" s="59">
        <f t="shared" si="8"/>
        <v>1.25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93">
        <f>Input!I48</f>
        <v>1</v>
      </c>
      <c r="D8" s="494"/>
      <c r="E8" s="495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157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16.790772715845819</v>
      </c>
      <c r="AA8" s="57">
        <f t="shared" si="5"/>
        <v>15.155649269879026</v>
      </c>
      <c r="AB8" s="57">
        <f t="shared" si="6"/>
        <v>5</v>
      </c>
      <c r="AC8" s="57">
        <f t="shared" si="7"/>
        <v>1.6351234459667925</v>
      </c>
      <c r="AD8" s="59">
        <f t="shared" si="8"/>
        <v>1.63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96">
        <f>Input!M44</f>
        <v>150</v>
      </c>
      <c r="E9" s="496"/>
      <c r="F9" s="301" t="s">
        <v>168</v>
      </c>
      <c r="G9" s="497">
        <f>Input!M45</f>
        <v>100</v>
      </c>
      <c r="H9" s="497"/>
      <c r="I9" s="301"/>
      <c r="P9" s="51">
        <v>10</v>
      </c>
      <c r="Q9" s="372"/>
      <c r="S9" s="51">
        <f t="shared" si="3"/>
        <v>157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17.963056361172864</v>
      </c>
      <c r="AA9" s="57">
        <f t="shared" si="5"/>
        <v>15.155649269879026</v>
      </c>
      <c r="AB9" s="57">
        <f t="shared" si="6"/>
        <v>10</v>
      </c>
      <c r="AC9" s="57">
        <f t="shared" si="7"/>
        <v>2.8074070912938378</v>
      </c>
      <c r="AD9" s="59">
        <f t="shared" si="8"/>
        <v>2.8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98">
        <f>Input!M48</f>
        <v>3.23</v>
      </c>
      <c r="E10" s="499"/>
      <c r="F10" s="321" t="s">
        <v>4</v>
      </c>
      <c r="G10" s="500" t="s">
        <v>4</v>
      </c>
      <c r="H10" s="500"/>
      <c r="I10" s="309"/>
      <c r="P10" s="51">
        <v>15</v>
      </c>
      <c r="Q10" s="372"/>
      <c r="S10" s="51">
        <f t="shared" si="3"/>
        <v>157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18.648798333897886</v>
      </c>
      <c r="AA10" s="57">
        <f t="shared" si="5"/>
        <v>15.155649269879026</v>
      </c>
      <c r="AB10" s="57">
        <f t="shared" si="6"/>
        <v>15</v>
      </c>
      <c r="AC10" s="57">
        <f t="shared" si="7"/>
        <v>3.4931490640188603</v>
      </c>
      <c r="AD10" s="59">
        <f t="shared" si="8"/>
        <v>3.49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01" t="s">
        <v>173</v>
      </c>
      <c r="E11" s="501"/>
      <c r="F11" s="322" t="s">
        <v>174</v>
      </c>
      <c r="G11" s="502" t="s">
        <v>175</v>
      </c>
      <c r="H11" s="502"/>
      <c r="I11" s="301" t="s">
        <v>176</v>
      </c>
      <c r="J11" s="63">
        <f>G12-J13</f>
        <v>-2.2600000000000002</v>
      </c>
      <c r="P11" s="51">
        <v>20</v>
      </c>
      <c r="Q11" s="372"/>
      <c r="S11" s="51">
        <f t="shared" si="3"/>
        <v>157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19.135340006499909</v>
      </c>
      <c r="AA11" s="57">
        <f t="shared" si="5"/>
        <v>15.155649269879026</v>
      </c>
      <c r="AB11" s="57">
        <f t="shared" si="6"/>
        <v>20</v>
      </c>
      <c r="AC11" s="57">
        <f t="shared" si="7"/>
        <v>3.9796907366208831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157</v>
      </c>
      <c r="C12" s="325">
        <v>44992.479166666664</v>
      </c>
      <c r="D12" s="490">
        <v>1</v>
      </c>
      <c r="E12" s="490"/>
      <c r="F12" s="326">
        <f>G12+$D$10</f>
        <v>2.1399999999999997</v>
      </c>
      <c r="G12" s="491">
        <f>AD4</f>
        <v>-1.0900000000000001</v>
      </c>
      <c r="H12" s="491"/>
      <c r="I12" s="301" t="s">
        <v>177</v>
      </c>
      <c r="J12" s="64"/>
      <c r="P12" s="51">
        <v>25</v>
      </c>
      <c r="Q12" s="372"/>
      <c r="S12" s="51">
        <f t="shared" si="3"/>
        <v>157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19.512731047107657</v>
      </c>
      <c r="AA12" s="57">
        <f t="shared" si="5"/>
        <v>15.155649269879026</v>
      </c>
      <c r="AB12" s="57">
        <f t="shared" si="6"/>
        <v>25</v>
      </c>
      <c r="AC12" s="57">
        <f t="shared" si="7"/>
        <v>4.3570817772286308</v>
      </c>
      <c r="AD12" s="59">
        <f t="shared" si="8"/>
        <v>4.3499999999999996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90">
        <v>2</v>
      </c>
      <c r="E13" s="490"/>
      <c r="F13" s="326">
        <f t="shared" ref="F13:F51" si="13">G13+$D$10</f>
        <v>3.31</v>
      </c>
      <c r="G13" s="491">
        <f t="shared" ref="G13:G51" si="14">AD5</f>
        <v>0.08</v>
      </c>
      <c r="H13" s="491"/>
      <c r="I13" s="327"/>
      <c r="J13" s="328">
        <f>G13-G12</f>
        <v>1.1700000000000002</v>
      </c>
      <c r="P13" s="51">
        <v>30</v>
      </c>
      <c r="Q13" s="372"/>
      <c r="S13" s="51">
        <f t="shared" si="3"/>
        <v>157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19.821081979224932</v>
      </c>
      <c r="AA13" s="57">
        <f t="shared" si="5"/>
        <v>15.155649269879026</v>
      </c>
      <c r="AB13" s="57">
        <f t="shared" si="6"/>
        <v>30</v>
      </c>
      <c r="AC13" s="57">
        <f t="shared" si="7"/>
        <v>4.6654327093459056</v>
      </c>
      <c r="AD13" s="59">
        <f t="shared" si="8"/>
        <v>4.66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90">
        <v>3</v>
      </c>
      <c r="E14" s="490"/>
      <c r="F14" s="326">
        <f t="shared" si="13"/>
        <v>4</v>
      </c>
      <c r="G14" s="491">
        <f t="shared" si="14"/>
        <v>0.77</v>
      </c>
      <c r="H14" s="491"/>
      <c r="I14" s="327"/>
      <c r="J14" s="328">
        <f t="shared" ref="J14:J51" si="15">G14-G13</f>
        <v>0.69000000000000006</v>
      </c>
      <c r="Q14" s="372"/>
      <c r="S14" s="51">
        <f t="shared" si="3"/>
        <v>157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20.081788977602333</v>
      </c>
      <c r="AA14" s="57">
        <f t="shared" si="5"/>
        <v>15.155649269879026</v>
      </c>
      <c r="AB14" s="57">
        <f t="shared" si="6"/>
        <v>35</v>
      </c>
      <c r="AC14" s="57">
        <f t="shared" si="7"/>
        <v>4.9261397077233067</v>
      </c>
      <c r="AD14" s="59">
        <f t="shared" si="8"/>
        <v>4.92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90">
        <v>4</v>
      </c>
      <c r="E15" s="490"/>
      <c r="F15" s="326">
        <f t="shared" si="13"/>
        <v>4.4800000000000004</v>
      </c>
      <c r="G15" s="491">
        <f t="shared" si="14"/>
        <v>1.25</v>
      </c>
      <c r="H15" s="491"/>
      <c r="I15" s="327"/>
      <c r="J15" s="328">
        <f t="shared" si="15"/>
        <v>0.48</v>
      </c>
      <c r="Q15" s="372"/>
      <c r="S15" s="51">
        <f t="shared" si="3"/>
        <v>157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20.307623651826958</v>
      </c>
      <c r="AA15" s="57">
        <f t="shared" si="5"/>
        <v>15.155649269879026</v>
      </c>
      <c r="AB15" s="57">
        <f t="shared" si="6"/>
        <v>40</v>
      </c>
      <c r="AC15" s="57">
        <f t="shared" si="7"/>
        <v>5.151974381947932</v>
      </c>
      <c r="AD15" s="59">
        <f t="shared" si="8"/>
        <v>5.15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90">
        <v>5</v>
      </c>
      <c r="E16" s="490"/>
      <c r="F16" s="326">
        <f t="shared" si="13"/>
        <v>4.8599999999999994</v>
      </c>
      <c r="G16" s="491">
        <f t="shared" si="14"/>
        <v>1.63</v>
      </c>
      <c r="H16" s="491"/>
      <c r="I16" s="327"/>
      <c r="J16" s="328">
        <f t="shared" si="15"/>
        <v>0.37999999999999989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157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20.506823951949954</v>
      </c>
      <c r="AA16" s="57">
        <f t="shared" si="5"/>
        <v>15.155649269879026</v>
      </c>
      <c r="AB16" s="57">
        <f t="shared" si="6"/>
        <v>45</v>
      </c>
      <c r="AC16" s="57">
        <f t="shared" si="7"/>
        <v>5.3511746820709281</v>
      </c>
      <c r="AD16" s="59">
        <f t="shared" si="8"/>
        <v>5.35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90">
        <v>10</v>
      </c>
      <c r="E17" s="490"/>
      <c r="F17" s="326">
        <f t="shared" si="13"/>
        <v>6.0299999999999994</v>
      </c>
      <c r="G17" s="491">
        <f t="shared" si="14"/>
        <v>2.8</v>
      </c>
      <c r="H17" s="491"/>
      <c r="I17" s="327"/>
      <c r="J17" s="328">
        <f t="shared" si="15"/>
        <v>1.17</v>
      </c>
      <c r="K17" s="373">
        <f>D12</f>
        <v>1</v>
      </c>
      <c r="L17" s="374">
        <f>INT(B12/1440*10000)/10000</f>
        <v>0.109</v>
      </c>
      <c r="M17" s="374">
        <f>K17*L17</f>
        <v>0.109</v>
      </c>
      <c r="N17" s="374">
        <f>INT((D9/2000)^2*3.14159*100000)/100000</f>
        <v>1.7670000000000002E-2</v>
      </c>
      <c r="O17" s="374">
        <f>INT(M17/N17*100)/100</f>
        <v>6.16</v>
      </c>
      <c r="P17" s="375">
        <f>INT((G12-O17)*100)/100</f>
        <v>-7.25</v>
      </c>
      <c r="S17" s="51">
        <f t="shared" si="3"/>
        <v>157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20.685014692434706</v>
      </c>
      <c r="AA17" s="57">
        <f t="shared" si="5"/>
        <v>15.155649269879026</v>
      </c>
      <c r="AB17" s="57">
        <f t="shared" si="6"/>
        <v>50</v>
      </c>
      <c r="AC17" s="57">
        <f t="shared" si="7"/>
        <v>5.5293654225556796</v>
      </c>
      <c r="AD17" s="59">
        <f t="shared" ref="AD17:AD22" si="16">INT(AC17*100)/100</f>
        <v>5.52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90">
        <v>15</v>
      </c>
      <c r="E18" s="490"/>
      <c r="F18" s="326">
        <f t="shared" si="13"/>
        <v>6.7200000000000006</v>
      </c>
      <c r="G18" s="491">
        <f t="shared" si="14"/>
        <v>3.49</v>
      </c>
      <c r="H18" s="491"/>
      <c r="I18" s="327"/>
      <c r="J18" s="328">
        <f t="shared" si="15"/>
        <v>0.69000000000000039</v>
      </c>
      <c r="K18" s="373">
        <f>D13</f>
        <v>2</v>
      </c>
      <c r="L18" s="374">
        <f>L17</f>
        <v>0.109</v>
      </c>
      <c r="M18" s="374">
        <f t="shared" ref="M18:M32" si="17">K18*L18</f>
        <v>0.218</v>
      </c>
      <c r="N18" s="374">
        <f>N17</f>
        <v>1.7670000000000002E-2</v>
      </c>
      <c r="O18" s="374">
        <f>INT(M18/N18*100)/100</f>
        <v>12.33</v>
      </c>
      <c r="P18" s="375">
        <f>INT((G13-O18)*100*0.98)/100</f>
        <v>-12.01</v>
      </c>
      <c r="S18" s="51">
        <f t="shared" si="3"/>
        <v>157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20.846207824501594</v>
      </c>
      <c r="AA18" s="57">
        <f t="shared" si="5"/>
        <v>15.155649269879026</v>
      </c>
      <c r="AB18" s="57">
        <f t="shared" si="6"/>
        <v>55</v>
      </c>
      <c r="AC18" s="57">
        <f t="shared" si="7"/>
        <v>5.6905585546225677</v>
      </c>
      <c r="AD18" s="59">
        <f t="shared" si="16"/>
        <v>5.69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90">
        <v>20</v>
      </c>
      <c r="E19" s="490"/>
      <c r="F19" s="326">
        <f t="shared" si="13"/>
        <v>7.2</v>
      </c>
      <c r="G19" s="491">
        <f t="shared" si="14"/>
        <v>3.97</v>
      </c>
      <c r="H19" s="491"/>
      <c r="I19" s="327"/>
      <c r="J19" s="328">
        <f t="shared" si="15"/>
        <v>0.48</v>
      </c>
      <c r="K19" s="373">
        <f t="shared" ref="K19:K32" si="18">D14</f>
        <v>3</v>
      </c>
      <c r="L19" s="374">
        <f>L18</f>
        <v>0.109</v>
      </c>
      <c r="M19" s="374">
        <f t="shared" si="17"/>
        <v>0.32700000000000001</v>
      </c>
      <c r="N19" s="374">
        <f t="shared" ref="N19:N32" si="19">N18</f>
        <v>1.7670000000000002E-2</v>
      </c>
      <c r="O19" s="374">
        <f>INT(M19/N19*100)/100</f>
        <v>18.5</v>
      </c>
      <c r="P19" s="375">
        <f>INT((G14-O19)*100*0.95)/100</f>
        <v>-16.850000000000001</v>
      </c>
      <c r="S19" s="51">
        <f t="shared" si="3"/>
        <v>157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20.993365624551981</v>
      </c>
      <c r="AA19" s="57">
        <f t="shared" si="5"/>
        <v>15.155649269879026</v>
      </c>
      <c r="AB19" s="57">
        <f t="shared" si="6"/>
        <v>60</v>
      </c>
      <c r="AC19" s="57">
        <f t="shared" si="7"/>
        <v>5.8377163546729545</v>
      </c>
      <c r="AD19" s="59">
        <f t="shared" si="16"/>
        <v>5.83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90">
        <v>25</v>
      </c>
      <c r="E20" s="490"/>
      <c r="F20" s="326">
        <f t="shared" si="13"/>
        <v>7.58</v>
      </c>
      <c r="G20" s="491">
        <f t="shared" si="14"/>
        <v>4.3499999999999996</v>
      </c>
      <c r="H20" s="491"/>
      <c r="I20" s="327"/>
      <c r="J20" s="328">
        <f t="shared" si="15"/>
        <v>0.37999999999999945</v>
      </c>
      <c r="K20" s="373">
        <f t="shared" si="18"/>
        <v>4</v>
      </c>
      <c r="L20" s="374">
        <f>L19</f>
        <v>0.109</v>
      </c>
      <c r="M20" s="374">
        <f t="shared" si="17"/>
        <v>0.436</v>
      </c>
      <c r="N20" s="374">
        <f t="shared" si="19"/>
        <v>1.7670000000000002E-2</v>
      </c>
      <c r="O20" s="374">
        <f>INT(M20/N20*100)/100</f>
        <v>24.67</v>
      </c>
      <c r="P20" s="375">
        <f>INT((G15-O20)*100*0.91)/100</f>
        <v>-21.32</v>
      </c>
      <c r="S20" s="51">
        <f t="shared" si="3"/>
        <v>157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21.370756665159728</v>
      </c>
      <c r="AA20" s="57">
        <f t="shared" si="5"/>
        <v>15.155649269879026</v>
      </c>
      <c r="AB20" s="57">
        <f t="shared" si="6"/>
        <v>75</v>
      </c>
      <c r="AC20" s="57">
        <f t="shared" si="7"/>
        <v>6.2151073952807021</v>
      </c>
      <c r="AD20" s="59">
        <f t="shared" si="16"/>
        <v>6.21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90">
        <v>30</v>
      </c>
      <c r="E21" s="490"/>
      <c r="F21" s="326">
        <f t="shared" si="13"/>
        <v>7.8900000000000006</v>
      </c>
      <c r="G21" s="491">
        <f t="shared" si="14"/>
        <v>4.66</v>
      </c>
      <c r="H21" s="491"/>
      <c r="I21" s="327"/>
      <c r="J21" s="328">
        <f t="shared" si="15"/>
        <v>0.3100000000000005</v>
      </c>
      <c r="K21" s="373">
        <f t="shared" si="18"/>
        <v>5</v>
      </c>
      <c r="L21" s="373">
        <f>L20</f>
        <v>0.109</v>
      </c>
      <c r="M21" s="374">
        <f t="shared" si="17"/>
        <v>0.54500000000000004</v>
      </c>
      <c r="N21" s="374">
        <f t="shared" si="19"/>
        <v>1.7670000000000002E-2</v>
      </c>
      <c r="O21" s="373">
        <f>INT(M21/N21*100)/100</f>
        <v>30.84</v>
      </c>
      <c r="P21" s="375">
        <f>INT((G16-O21)*100*0.86)/100</f>
        <v>-25.13</v>
      </c>
      <c r="S21" s="51">
        <f t="shared" si="3"/>
        <v>157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21.679107597277003</v>
      </c>
      <c r="AA21" s="57">
        <f t="shared" si="5"/>
        <v>15.155649269879026</v>
      </c>
      <c r="AB21" s="57">
        <f t="shared" si="6"/>
        <v>90</v>
      </c>
      <c r="AC21" s="57">
        <f t="shared" si="7"/>
        <v>6.5234583273979769</v>
      </c>
      <c r="AD21" s="59">
        <f t="shared" si="16"/>
        <v>6.52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90">
        <v>35</v>
      </c>
      <c r="E22" s="490"/>
      <c r="F22" s="326">
        <f t="shared" si="13"/>
        <v>8.15</v>
      </c>
      <c r="G22" s="491">
        <f t="shared" si="14"/>
        <v>4.92</v>
      </c>
      <c r="H22" s="491"/>
      <c r="I22" s="301"/>
      <c r="J22" s="328">
        <f t="shared" si="15"/>
        <v>0.25999999999999979</v>
      </c>
      <c r="K22" s="373">
        <f t="shared" si="18"/>
        <v>10</v>
      </c>
      <c r="L22" s="373">
        <f t="shared" ref="L22:L32" si="20">L21</f>
        <v>0.109</v>
      </c>
      <c r="M22" s="374">
        <f t="shared" si="17"/>
        <v>1.0900000000000001</v>
      </c>
      <c r="N22" s="374">
        <f t="shared" si="19"/>
        <v>1.7670000000000002E-2</v>
      </c>
      <c r="O22" s="373">
        <f t="shared" ref="O22:O30" si="21">INT(M22/N22*100)/100</f>
        <v>61.68</v>
      </c>
      <c r="P22" s="375">
        <f>INT((G17-O22)*100*0.8)/100</f>
        <v>-47.11</v>
      </c>
      <c r="S22" s="51">
        <f t="shared" si="3"/>
        <v>157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21.939814595654401</v>
      </c>
      <c r="Z22" s="57">
        <f>Y23-Z23</f>
        <v>15.155649269879026</v>
      </c>
      <c r="AA22" s="57">
        <f t="shared" si="5"/>
        <v>15.155649269879026</v>
      </c>
      <c r="AB22" s="57">
        <f t="shared" si="6"/>
        <v>105</v>
      </c>
      <c r="AC22" s="57">
        <f t="shared" si="7"/>
        <v>6.7841653257753745</v>
      </c>
      <c r="AD22" s="59">
        <f t="shared" si="16"/>
        <v>6.78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90">
        <v>40</v>
      </c>
      <c r="E23" s="490"/>
      <c r="F23" s="326">
        <f t="shared" si="13"/>
        <v>8.3800000000000008</v>
      </c>
      <c r="G23" s="491">
        <f t="shared" si="14"/>
        <v>5.15</v>
      </c>
      <c r="H23" s="491"/>
      <c r="I23" s="301"/>
      <c r="J23" s="328">
        <f t="shared" si="15"/>
        <v>0.23000000000000043</v>
      </c>
      <c r="K23" s="373">
        <f t="shared" si="18"/>
        <v>15</v>
      </c>
      <c r="L23" s="373">
        <f t="shared" si="20"/>
        <v>0.109</v>
      </c>
      <c r="M23" s="374">
        <f t="shared" si="17"/>
        <v>1.635</v>
      </c>
      <c r="N23" s="374">
        <f t="shared" si="19"/>
        <v>1.7670000000000002E-2</v>
      </c>
      <c r="O23" s="373">
        <f t="shared" si="21"/>
        <v>92.52</v>
      </c>
      <c r="P23" s="375">
        <f t="shared" ref="P23:P32" si="22">INT((G18-O23)*100)/100</f>
        <v>-89.03</v>
      </c>
      <c r="S23" s="51">
        <f t="shared" si="3"/>
        <v>157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22.165649269879026</v>
      </c>
      <c r="Z23" s="57">
        <f>Input!B20</f>
        <v>7.01</v>
      </c>
      <c r="AA23" s="57">
        <f t="shared" si="5"/>
        <v>15.155649269879026</v>
      </c>
      <c r="AB23" s="57">
        <f t="shared" si="6"/>
        <v>120</v>
      </c>
      <c r="AC23" s="57">
        <f t="shared" si="7"/>
        <v>7.01</v>
      </c>
      <c r="AD23" s="59">
        <f>INT((AC$3+AE23)*100)/100</f>
        <v>7.01</v>
      </c>
      <c r="AE23" s="57">
        <f>AG$23*AF23</f>
        <v>7.01</v>
      </c>
      <c r="AF23" s="57">
        <v>1</v>
      </c>
      <c r="AG23" s="57">
        <f>AC23-AC3</f>
        <v>7.01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90">
        <v>45</v>
      </c>
      <c r="E24" s="490"/>
      <c r="F24" s="326">
        <f t="shared" si="13"/>
        <v>8.58</v>
      </c>
      <c r="G24" s="491">
        <f t="shared" si="14"/>
        <v>5.35</v>
      </c>
      <c r="H24" s="491"/>
      <c r="I24" s="301"/>
      <c r="J24" s="328">
        <f t="shared" si="15"/>
        <v>0.19999999999999929</v>
      </c>
      <c r="K24" s="373">
        <f t="shared" si="18"/>
        <v>20</v>
      </c>
      <c r="L24" s="373">
        <f t="shared" si="20"/>
        <v>0.109</v>
      </c>
      <c r="M24" s="374">
        <f t="shared" si="17"/>
        <v>2.1800000000000002</v>
      </c>
      <c r="N24" s="374">
        <f t="shared" si="19"/>
        <v>1.7670000000000002E-2</v>
      </c>
      <c r="O24" s="373">
        <f t="shared" si="21"/>
        <v>123.37</v>
      </c>
      <c r="P24" s="375">
        <f t="shared" si="22"/>
        <v>-119.4</v>
      </c>
      <c r="R24" s="55">
        <f>B32</f>
        <v>200</v>
      </c>
      <c r="S24" s="51">
        <f>$R$24</f>
        <v>200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28.408944360851329</v>
      </c>
      <c r="Z24" s="57">
        <f>Z27</f>
        <v>20.37985084739627</v>
      </c>
      <c r="AA24" s="57">
        <f>$Z$24</f>
        <v>20.37985084739627</v>
      </c>
      <c r="AB24" s="57">
        <f t="shared" si="6"/>
        <v>130</v>
      </c>
      <c r="AC24" s="57">
        <f t="shared" si="7"/>
        <v>8.0290935134550594</v>
      </c>
      <c r="AD24" s="59">
        <f>INT((AC$23+AE24)*100)/100</f>
        <v>8.41</v>
      </c>
      <c r="AE24" s="57">
        <f>AF24*AG$28</f>
        <v>1.404000000000001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90">
        <v>50</v>
      </c>
      <c r="E25" s="490"/>
      <c r="F25" s="326">
        <f t="shared" si="13"/>
        <v>8.75</v>
      </c>
      <c r="G25" s="491">
        <f t="shared" si="14"/>
        <v>5.52</v>
      </c>
      <c r="H25" s="491"/>
      <c r="I25" s="301"/>
      <c r="J25" s="328">
        <f t="shared" si="15"/>
        <v>0.16999999999999993</v>
      </c>
      <c r="K25" s="373">
        <f t="shared" si="18"/>
        <v>25</v>
      </c>
      <c r="L25" s="373">
        <f t="shared" si="20"/>
        <v>0.109</v>
      </c>
      <c r="M25" s="374">
        <f t="shared" si="17"/>
        <v>2.7250000000000001</v>
      </c>
      <c r="N25" s="374">
        <f t="shared" si="19"/>
        <v>1.7670000000000002E-2</v>
      </c>
      <c r="O25" s="373">
        <f t="shared" si="21"/>
        <v>154.21</v>
      </c>
      <c r="P25" s="375">
        <f t="shared" si="22"/>
        <v>-149.86000000000001</v>
      </c>
      <c r="S25" s="51">
        <f>$R$24</f>
        <v>200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28.568606711154683</v>
      </c>
      <c r="AA25" s="57">
        <f>$Z$24</f>
        <v>20.37985084739627</v>
      </c>
      <c r="AB25" s="57">
        <f t="shared" si="6"/>
        <v>140</v>
      </c>
      <c r="AC25" s="57">
        <f t="shared" si="7"/>
        <v>8.1887558637584128</v>
      </c>
      <c r="AD25" s="59">
        <f>INT((AC$23+AE25)*100)/100</f>
        <v>8.64</v>
      </c>
      <c r="AE25" s="57">
        <f>AF25*AG$28</f>
        <v>1.638000000000001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90">
        <v>55</v>
      </c>
      <c r="E26" s="490"/>
      <c r="F26" s="326">
        <f t="shared" si="13"/>
        <v>8.92</v>
      </c>
      <c r="G26" s="491">
        <f t="shared" si="14"/>
        <v>5.69</v>
      </c>
      <c r="H26" s="491"/>
      <c r="I26" s="301"/>
      <c r="J26" s="328">
        <f t="shared" si="15"/>
        <v>0.17000000000000082</v>
      </c>
      <c r="K26" s="373">
        <f t="shared" si="18"/>
        <v>30</v>
      </c>
      <c r="L26" s="373">
        <f t="shared" si="20"/>
        <v>0.109</v>
      </c>
      <c r="M26" s="374">
        <f t="shared" si="17"/>
        <v>3.27</v>
      </c>
      <c r="N26" s="374">
        <f t="shared" si="19"/>
        <v>1.7670000000000002E-2</v>
      </c>
      <c r="O26" s="374">
        <f t="shared" si="21"/>
        <v>185.05</v>
      </c>
      <c r="P26" s="375">
        <f t="shared" si="22"/>
        <v>-180.39</v>
      </c>
      <c r="S26" s="51">
        <f>$R$24</f>
        <v>200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28.717248803167866</v>
      </c>
      <c r="AA26" s="57">
        <f>$Z$24</f>
        <v>20.37985084739627</v>
      </c>
      <c r="AB26" s="57">
        <f t="shared" si="6"/>
        <v>150</v>
      </c>
      <c r="AC26" s="57">
        <f t="shared" si="7"/>
        <v>8.3373979557715963</v>
      </c>
      <c r="AD26" s="59">
        <f>INT((AC$23+AE26)*100)/100</f>
        <v>8.8800000000000008</v>
      </c>
      <c r="AE26" s="57">
        <f>AF26*AG$28</f>
        <v>1.8720000000000014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90">
        <v>60</v>
      </c>
      <c r="E27" s="490"/>
      <c r="F27" s="326">
        <f t="shared" si="13"/>
        <v>9.06</v>
      </c>
      <c r="G27" s="491">
        <f t="shared" si="14"/>
        <v>5.83</v>
      </c>
      <c r="H27" s="491"/>
      <c r="I27" s="301"/>
      <c r="J27" s="328">
        <f t="shared" si="15"/>
        <v>0.13999999999999968</v>
      </c>
      <c r="K27" s="373">
        <f t="shared" si="18"/>
        <v>35</v>
      </c>
      <c r="L27" s="373">
        <f t="shared" si="20"/>
        <v>0.109</v>
      </c>
      <c r="M27" s="374">
        <f t="shared" si="17"/>
        <v>3.8149999999999999</v>
      </c>
      <c r="N27" s="374">
        <f t="shared" si="19"/>
        <v>1.7670000000000002E-2</v>
      </c>
      <c r="O27" s="374">
        <f t="shared" si="21"/>
        <v>215.9</v>
      </c>
      <c r="P27" s="375">
        <f t="shared" si="22"/>
        <v>-210.98</v>
      </c>
      <c r="S27" s="51">
        <f>$R$24</f>
        <v>200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29.110052538349105</v>
      </c>
      <c r="Z27" s="57">
        <f>Y28-Z28</f>
        <v>20.37985084739627</v>
      </c>
      <c r="AA27" s="57">
        <f>$Z$24</f>
        <v>20.37985084739627</v>
      </c>
      <c r="AB27" s="57">
        <f t="shared" si="6"/>
        <v>180</v>
      </c>
      <c r="AC27" s="57">
        <f t="shared" si="7"/>
        <v>8.7302016909528355</v>
      </c>
      <c r="AD27" s="59">
        <f>INT((AC$23+AE27)*100)/100</f>
        <v>9.11</v>
      </c>
      <c r="AE27" s="57">
        <f>AF27*AG$28</f>
        <v>2.1060000000000016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90">
        <v>75</v>
      </c>
      <c r="E28" s="490"/>
      <c r="F28" s="326">
        <f t="shared" si="13"/>
        <v>9.44</v>
      </c>
      <c r="G28" s="491">
        <f t="shared" si="14"/>
        <v>6.21</v>
      </c>
      <c r="H28" s="491"/>
      <c r="I28" s="301"/>
      <c r="J28" s="328">
        <f t="shared" si="15"/>
        <v>0.37999999999999989</v>
      </c>
      <c r="K28" s="373">
        <f t="shared" si="18"/>
        <v>40</v>
      </c>
      <c r="L28" s="373">
        <f t="shared" si="20"/>
        <v>0.109</v>
      </c>
      <c r="M28" s="374">
        <f t="shared" si="17"/>
        <v>4.3600000000000003</v>
      </c>
      <c r="N28" s="374">
        <f t="shared" si="19"/>
        <v>1.7670000000000002E-2</v>
      </c>
      <c r="O28" s="374">
        <f t="shared" si="21"/>
        <v>246.74</v>
      </c>
      <c r="P28" s="375">
        <f t="shared" si="22"/>
        <v>-241.59</v>
      </c>
      <c r="S28" s="51">
        <f>$R$24</f>
        <v>200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29.729850847396271</v>
      </c>
      <c r="Z28" s="57">
        <f>Input!B21</f>
        <v>9.35</v>
      </c>
      <c r="AA28" s="57">
        <f>$Z$24</f>
        <v>20.37985084739627</v>
      </c>
      <c r="AB28" s="57">
        <f t="shared" si="6"/>
        <v>240</v>
      </c>
      <c r="AC28" s="57">
        <f t="shared" si="7"/>
        <v>9.3500000000000014</v>
      </c>
      <c r="AD28" s="59">
        <f>INT((AC$23+AE28)*100)/100</f>
        <v>9.35</v>
      </c>
      <c r="AE28" s="57">
        <f>AF28*AG$28</f>
        <v>2.3400000000000016</v>
      </c>
      <c r="AF28" s="57">
        <v>1</v>
      </c>
      <c r="AG28" s="57">
        <f>AC28-AC23</f>
        <v>2.3400000000000016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90">
        <v>90</v>
      </c>
      <c r="E29" s="490"/>
      <c r="F29" s="326">
        <f t="shared" si="13"/>
        <v>9.75</v>
      </c>
      <c r="G29" s="491">
        <f t="shared" si="14"/>
        <v>6.52</v>
      </c>
      <c r="H29" s="491"/>
      <c r="I29" s="301"/>
      <c r="J29" s="328">
        <f t="shared" si="15"/>
        <v>0.30999999999999961</v>
      </c>
      <c r="K29" s="373">
        <f t="shared" si="18"/>
        <v>45</v>
      </c>
      <c r="L29" s="373">
        <f t="shared" si="20"/>
        <v>0.109</v>
      </c>
      <c r="M29" s="374">
        <f t="shared" si="17"/>
        <v>4.9050000000000002</v>
      </c>
      <c r="N29" s="374">
        <f t="shared" si="19"/>
        <v>1.7670000000000002E-2</v>
      </c>
      <c r="O29" s="374">
        <f t="shared" si="21"/>
        <v>277.58</v>
      </c>
      <c r="P29" s="375">
        <f t="shared" si="22"/>
        <v>-272.23</v>
      </c>
      <c r="R29" s="55">
        <f>B37</f>
        <v>243.95</v>
      </c>
      <c r="S29" s="51">
        <f>$R$29</f>
        <v>243.95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36.370261586820206</v>
      </c>
      <c r="Z29" s="57">
        <f>Z32</f>
        <v>25.348506298794842</v>
      </c>
      <c r="AA29" s="57">
        <f>$Z$29</f>
        <v>25.348506298794842</v>
      </c>
      <c r="AB29" s="57">
        <f t="shared" si="6"/>
        <v>250</v>
      </c>
      <c r="AC29" s="57">
        <f t="shared" si="7"/>
        <v>11.021755288025364</v>
      </c>
      <c r="AD29" s="59">
        <f>INT((AC$28+AE29)*100)/100</f>
        <v>10.92</v>
      </c>
      <c r="AE29" s="57">
        <f>AF29*AG$33</f>
        <v>1.5779999999999994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90">
        <v>105</v>
      </c>
      <c r="E30" s="490"/>
      <c r="F30" s="326">
        <f t="shared" si="13"/>
        <v>10.01</v>
      </c>
      <c r="G30" s="491">
        <f t="shared" si="14"/>
        <v>6.78</v>
      </c>
      <c r="H30" s="491"/>
      <c r="I30" s="301"/>
      <c r="J30" s="328">
        <f t="shared" si="15"/>
        <v>0.26000000000000068</v>
      </c>
      <c r="K30" s="373">
        <f t="shared" si="18"/>
        <v>50</v>
      </c>
      <c r="L30" s="373">
        <f t="shared" si="20"/>
        <v>0.109</v>
      </c>
      <c r="M30" s="374">
        <f t="shared" si="17"/>
        <v>5.45</v>
      </c>
      <c r="N30" s="374">
        <f t="shared" si="19"/>
        <v>1.7670000000000002E-2</v>
      </c>
      <c r="O30" s="374">
        <f t="shared" si="21"/>
        <v>308.43</v>
      </c>
      <c r="P30" s="375">
        <f t="shared" si="22"/>
        <v>-302.91000000000003</v>
      </c>
      <c r="R30" s="51" t="s">
        <v>21</v>
      </c>
      <c r="S30" s="51">
        <f>$R$29</f>
        <v>243.95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36.47332959929193</v>
      </c>
      <c r="AA30" s="57">
        <f>$Z$29</f>
        <v>25.348506298794842</v>
      </c>
      <c r="AB30" s="57">
        <f t="shared" si="6"/>
        <v>260</v>
      </c>
      <c r="AC30" s="57">
        <f t="shared" si="7"/>
        <v>11.124823300497088</v>
      </c>
      <c r="AD30" s="59">
        <f>INT((AC$28+AE30)*100)/100</f>
        <v>11.19</v>
      </c>
      <c r="AE30" s="57">
        <f>AF30*AG$33</f>
        <v>1.8409999999999991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90">
        <v>120</v>
      </c>
      <c r="E31" s="490"/>
      <c r="F31" s="326">
        <f t="shared" si="13"/>
        <v>10.24</v>
      </c>
      <c r="G31" s="491">
        <f t="shared" si="14"/>
        <v>7.01</v>
      </c>
      <c r="H31" s="491"/>
      <c r="I31" s="301"/>
      <c r="J31" s="328">
        <f t="shared" si="15"/>
        <v>0.22999999999999954</v>
      </c>
      <c r="K31" s="373">
        <f t="shared" si="18"/>
        <v>55</v>
      </c>
      <c r="L31" s="373">
        <f t="shared" si="20"/>
        <v>0.109</v>
      </c>
      <c r="M31" s="374">
        <f t="shared" si="17"/>
        <v>5.9950000000000001</v>
      </c>
      <c r="N31" s="374">
        <f t="shared" si="19"/>
        <v>1.7670000000000002E-2</v>
      </c>
      <c r="O31" s="374">
        <f>INT(M31/N31*100)/100</f>
        <v>339.27</v>
      </c>
      <c r="P31" s="375">
        <f t="shared" si="22"/>
        <v>-333.58</v>
      </c>
      <c r="S31" s="51">
        <f>$R$29</f>
        <v>243.95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36.572507311334562</v>
      </c>
      <c r="AA31" s="57">
        <f>$Z$29</f>
        <v>25.348506298794842</v>
      </c>
      <c r="AB31" s="57">
        <f t="shared" si="6"/>
        <v>270</v>
      </c>
      <c r="AC31" s="57">
        <f t="shared" si="7"/>
        <v>11.22400101253972</v>
      </c>
      <c r="AD31" s="59">
        <f>INT((AC$28+AE31)*100)/100</f>
        <v>11.45</v>
      </c>
      <c r="AE31" s="57">
        <f>AF31*AG$33</f>
        <v>2.1039999999999992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200</v>
      </c>
      <c r="C32" s="325">
        <f>$C$12+D32/1440</f>
        <v>44992.569444444445</v>
      </c>
      <c r="D32" s="490">
        <v>130</v>
      </c>
      <c r="E32" s="490"/>
      <c r="F32" s="326">
        <f t="shared" si="13"/>
        <v>11.64</v>
      </c>
      <c r="G32" s="491">
        <f t="shared" si="14"/>
        <v>8.41</v>
      </c>
      <c r="H32" s="491"/>
      <c r="I32" s="301"/>
      <c r="J32" s="328">
        <f t="shared" si="15"/>
        <v>1.4000000000000004</v>
      </c>
      <c r="K32" s="373">
        <f t="shared" si="18"/>
        <v>60</v>
      </c>
      <c r="L32" s="373">
        <f t="shared" si="20"/>
        <v>0.109</v>
      </c>
      <c r="M32" s="374">
        <f t="shared" si="17"/>
        <v>6.54</v>
      </c>
      <c r="N32" s="374">
        <f t="shared" si="19"/>
        <v>1.7670000000000002E-2</v>
      </c>
      <c r="O32" s="374">
        <f>INT(M32/N32*100)/100</f>
        <v>370.11</v>
      </c>
      <c r="P32" s="375">
        <f t="shared" si="22"/>
        <v>-364.28</v>
      </c>
      <c r="S32" s="51">
        <f>$R$29</f>
        <v>243.95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36.84938394280752</v>
      </c>
      <c r="Z32" s="57">
        <f>Y33-Z33</f>
        <v>25.348506298794842</v>
      </c>
      <c r="AA32" s="57">
        <f>$Z$29</f>
        <v>25.348506298794842</v>
      </c>
      <c r="AB32" s="57">
        <f t="shared" si="6"/>
        <v>300</v>
      </c>
      <c r="AC32" s="57">
        <f t="shared" si="7"/>
        <v>11.500877644012679</v>
      </c>
      <c r="AD32" s="59">
        <f>INT((AC$28+AE32)*100)/100</f>
        <v>11.71</v>
      </c>
      <c r="AE32" s="57">
        <f>AF32*AG$33</f>
        <v>2.3669999999999991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90">
        <v>140</v>
      </c>
      <c r="E33" s="490"/>
      <c r="F33" s="326">
        <f t="shared" si="13"/>
        <v>11.870000000000001</v>
      </c>
      <c r="G33" s="491">
        <f t="shared" si="14"/>
        <v>8.64</v>
      </c>
      <c r="H33" s="491"/>
      <c r="I33" s="301"/>
      <c r="J33" s="328">
        <f t="shared" si="15"/>
        <v>0.23000000000000043</v>
      </c>
      <c r="L33" s="66" t="s">
        <v>21</v>
      </c>
      <c r="P33" s="58"/>
      <c r="S33" s="51">
        <f>$R$29</f>
        <v>243.95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37.328506298794842</v>
      </c>
      <c r="Z33" s="57">
        <f>Input!B22</f>
        <v>11.98</v>
      </c>
      <c r="AA33" s="57">
        <f>$Z$29</f>
        <v>25.348506298794842</v>
      </c>
      <c r="AB33" s="57">
        <f t="shared" si="6"/>
        <v>360</v>
      </c>
      <c r="AC33" s="57">
        <f t="shared" si="7"/>
        <v>11.98</v>
      </c>
      <c r="AD33" s="59">
        <f>INT((AC$28+AE33)*100)/100</f>
        <v>11.98</v>
      </c>
      <c r="AE33" s="57">
        <f>AF33*AG$33</f>
        <v>2.629999999999999</v>
      </c>
      <c r="AF33" s="57">
        <v>1</v>
      </c>
      <c r="AG33" s="57">
        <f>AC33-AC28</f>
        <v>2.629999999999999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90">
        <v>150</v>
      </c>
      <c r="E34" s="490"/>
      <c r="F34" s="326">
        <f t="shared" si="13"/>
        <v>12.110000000000001</v>
      </c>
      <c r="G34" s="491">
        <f t="shared" si="14"/>
        <v>8.8800000000000008</v>
      </c>
      <c r="H34" s="491"/>
      <c r="I34" s="301"/>
      <c r="J34" s="328">
        <f t="shared" si="15"/>
        <v>0.24000000000000021</v>
      </c>
      <c r="L34" s="66" t="s">
        <v>21</v>
      </c>
      <c r="R34" s="51">
        <f>B42</f>
        <v>287</v>
      </c>
      <c r="S34" s="51">
        <f>$R$34</f>
        <v>287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44.00059763937432</v>
      </c>
      <c r="Z34" s="57">
        <f>Z37</f>
        <v>29.885300336770733</v>
      </c>
      <c r="AA34" s="57">
        <f>$Z$34</f>
        <v>29.885300336770733</v>
      </c>
      <c r="AB34" s="57">
        <f t="shared" si="6"/>
        <v>370</v>
      </c>
      <c r="AC34" s="57">
        <f t="shared" si="7"/>
        <v>14.115297302603587</v>
      </c>
      <c r="AD34" s="59">
        <f>INT((AC$33+AE34)*100)/100</f>
        <v>13.74</v>
      </c>
      <c r="AE34" s="57">
        <f>AG$38*AF34</f>
        <v>1.7640000000000007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90">
        <v>180</v>
      </c>
      <c r="E35" s="490"/>
      <c r="F35" s="326">
        <f t="shared" si="13"/>
        <v>12.34</v>
      </c>
      <c r="G35" s="491">
        <f t="shared" si="14"/>
        <v>9.11</v>
      </c>
      <c r="H35" s="491"/>
      <c r="I35" s="301"/>
      <c r="J35" s="328">
        <f t="shared" si="15"/>
        <v>0.22999999999999865</v>
      </c>
      <c r="L35" s="66" t="s">
        <v>21</v>
      </c>
      <c r="S35" s="51">
        <f>$R$34</f>
        <v>287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44.08304636733633</v>
      </c>
      <c r="AA35" s="57">
        <f>$Z$34</f>
        <v>29.885300336770733</v>
      </c>
      <c r="AB35" s="57">
        <f t="shared" si="6"/>
        <v>380</v>
      </c>
      <c r="AC35" s="57">
        <f t="shared" si="7"/>
        <v>14.197746030565597</v>
      </c>
      <c r="AD35" s="59">
        <f>INT((AC$33+AE35)*100)/100</f>
        <v>14.03</v>
      </c>
      <c r="AE35" s="57">
        <f>AG$38*AF35</f>
        <v>2.0580000000000007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90">
        <v>240</v>
      </c>
      <c r="E36" s="490"/>
      <c r="F36" s="326">
        <f t="shared" si="13"/>
        <v>12.58</v>
      </c>
      <c r="G36" s="491">
        <f t="shared" si="14"/>
        <v>9.35</v>
      </c>
      <c r="H36" s="491"/>
      <c r="I36" s="301"/>
      <c r="J36" s="328">
        <f t="shared" si="15"/>
        <v>0.24000000000000021</v>
      </c>
      <c r="L36" s="66" t="s">
        <v>21</v>
      </c>
      <c r="S36" s="51">
        <f>$R$34</f>
        <v>287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44.163353325853144</v>
      </c>
      <c r="AA36" s="57">
        <f>$Z$34</f>
        <v>29.885300336770733</v>
      </c>
      <c r="AB36" s="57">
        <f t="shared" si="6"/>
        <v>390</v>
      </c>
      <c r="AC36" s="57">
        <f t="shared" si="7"/>
        <v>14.278052989082411</v>
      </c>
      <c r="AD36" s="59">
        <f>INT((AC$33+AE36)*100)/100</f>
        <v>14.33</v>
      </c>
      <c r="AE36" s="57">
        <f>AG$38*AF36</f>
        <v>2.3520000000000012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243.95</v>
      </c>
      <c r="C37" s="325">
        <f>$C$12+D37/1440</f>
        <v>44992.652777777774</v>
      </c>
      <c r="D37" s="490">
        <v>250</v>
      </c>
      <c r="E37" s="490"/>
      <c r="F37" s="326">
        <f t="shared" si="13"/>
        <v>14.15</v>
      </c>
      <c r="G37" s="491">
        <f t="shared" si="14"/>
        <v>10.92</v>
      </c>
      <c r="H37" s="491"/>
      <c r="I37" s="301"/>
      <c r="J37" s="328">
        <f t="shared" si="15"/>
        <v>1.5700000000000003</v>
      </c>
      <c r="L37" s="66" t="s">
        <v>21</v>
      </c>
      <c r="S37" s="51">
        <f>$R$34</f>
        <v>287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44.392468798538459</v>
      </c>
      <c r="Z37" s="57">
        <f>Y38-Z38</f>
        <v>29.885300336770733</v>
      </c>
      <c r="AA37" s="57">
        <f>$Z$34</f>
        <v>29.885300336770733</v>
      </c>
      <c r="AB37" s="57">
        <f t="shared" si="6"/>
        <v>420</v>
      </c>
      <c r="AC37" s="57">
        <f t="shared" si="7"/>
        <v>14.507168461767726</v>
      </c>
      <c r="AD37" s="59">
        <f>INT((AC$33+AE37)*100)/100</f>
        <v>14.62</v>
      </c>
      <c r="AE37" s="57">
        <f>AG$38*AF37</f>
        <v>2.6460000000000012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90">
        <v>260</v>
      </c>
      <c r="E38" s="490"/>
      <c r="F38" s="326">
        <f t="shared" si="13"/>
        <v>14.42</v>
      </c>
      <c r="G38" s="491">
        <f t="shared" si="14"/>
        <v>11.19</v>
      </c>
      <c r="H38" s="491"/>
      <c r="I38" s="301"/>
      <c r="J38" s="328">
        <f t="shared" si="15"/>
        <v>0.26999999999999957</v>
      </c>
      <c r="L38" s="66" t="s">
        <v>21</v>
      </c>
      <c r="S38" s="51">
        <f>$R$34</f>
        <v>287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44.805300336770735</v>
      </c>
      <c r="Z38" s="57">
        <f>Input!B23</f>
        <v>14.92</v>
      </c>
      <c r="AA38" s="57">
        <f>$Z$34</f>
        <v>29.885300336770733</v>
      </c>
      <c r="AB38" s="57">
        <f t="shared" si="6"/>
        <v>480</v>
      </c>
      <c r="AC38" s="57">
        <f t="shared" si="7"/>
        <v>14.920000000000002</v>
      </c>
      <c r="AD38" s="59">
        <f>INT((AC$33+AE38)*100)/100</f>
        <v>14.92</v>
      </c>
      <c r="AE38" s="57">
        <f>AG$38*AF38</f>
        <v>2.9400000000000013</v>
      </c>
      <c r="AF38" s="57">
        <v>1</v>
      </c>
      <c r="AG38" s="57">
        <f>AC38-AC33</f>
        <v>2.9400000000000013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90">
        <v>270</v>
      </c>
      <c r="E39" s="490"/>
      <c r="F39" s="326">
        <f t="shared" si="13"/>
        <v>14.68</v>
      </c>
      <c r="G39" s="491">
        <f t="shared" si="14"/>
        <v>11.45</v>
      </c>
      <c r="H39" s="491"/>
      <c r="I39" s="301"/>
      <c r="J39" s="328">
        <f t="shared" si="15"/>
        <v>0.25999999999999979</v>
      </c>
      <c r="K39" s="60" t="s">
        <v>21</v>
      </c>
      <c r="L39" s="66" t="s">
        <v>21</v>
      </c>
      <c r="R39" s="55">
        <f>B47</f>
        <v>330.04999999999995</v>
      </c>
      <c r="S39" s="51">
        <f>$R$39</f>
        <v>330.04999999999995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51.599405008857183</v>
      </c>
      <c r="Z39" s="57">
        <f>Z42</f>
        <v>32.929457890169054</v>
      </c>
      <c r="AA39" s="57">
        <f>$Z$39</f>
        <v>32.929457890169054</v>
      </c>
      <c r="AB39" s="57">
        <f t="shared" si="6"/>
        <v>490</v>
      </c>
      <c r="AC39" s="57">
        <f t="shared" si="7"/>
        <v>18.669947118688128</v>
      </c>
      <c r="AD39" s="59">
        <f>INT((AC$38+AE39)*100)/100</f>
        <v>16.7</v>
      </c>
      <c r="AE39" s="57">
        <f>AG$43*AF39</f>
        <v>1.7879999999999996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90">
        <v>300</v>
      </c>
      <c r="E40" s="490"/>
      <c r="F40" s="326">
        <f t="shared" si="13"/>
        <v>14.940000000000001</v>
      </c>
      <c r="G40" s="491">
        <f t="shared" si="14"/>
        <v>11.71</v>
      </c>
      <c r="H40" s="491"/>
      <c r="I40" s="301"/>
      <c r="J40" s="328">
        <f t="shared" si="15"/>
        <v>0.26000000000000156</v>
      </c>
      <c r="K40" s="60" t="s">
        <v>21</v>
      </c>
      <c r="L40" s="66" t="s">
        <v>21</v>
      </c>
      <c r="S40" s="51">
        <f>$R$39</f>
        <v>330.04999999999995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51.671233526186214</v>
      </c>
      <c r="AA40" s="57">
        <f>$Z$39</f>
        <v>32.929457890169054</v>
      </c>
      <c r="AB40" s="57">
        <f t="shared" si="6"/>
        <v>500</v>
      </c>
      <c r="AC40" s="57">
        <f t="shared" si="7"/>
        <v>18.741775636017159</v>
      </c>
      <c r="AD40" s="59">
        <f>INT((AC$38+AE40)*100)/100</f>
        <v>17.37</v>
      </c>
      <c r="AE40" s="57">
        <f>AG$43*AF40</f>
        <v>2.4584999999999995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90">
        <v>360</v>
      </c>
      <c r="E41" s="490"/>
      <c r="F41" s="326">
        <f t="shared" si="13"/>
        <v>15.21</v>
      </c>
      <c r="G41" s="491">
        <f t="shared" si="14"/>
        <v>11.98</v>
      </c>
      <c r="H41" s="491"/>
      <c r="I41" s="301"/>
      <c r="J41" s="328">
        <f t="shared" si="15"/>
        <v>0.26999999999999957</v>
      </c>
      <c r="K41" s="60" t="s">
        <v>21</v>
      </c>
      <c r="L41" s="66" t="s">
        <v>21</v>
      </c>
      <c r="S41" s="51">
        <f>$R$39</f>
        <v>330.04999999999995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51.741639602735695</v>
      </c>
      <c r="AA41" s="57">
        <f>$Z$39</f>
        <v>32.929457890169054</v>
      </c>
      <c r="AB41" s="57">
        <f t="shared" si="6"/>
        <v>510</v>
      </c>
      <c r="AC41" s="57">
        <f t="shared" si="7"/>
        <v>18.812181712566641</v>
      </c>
      <c r="AD41" s="59">
        <f>INT((AC$38+AE41)*100)/100</f>
        <v>18.04</v>
      </c>
      <c r="AE41" s="57">
        <f>AG$43*AF41</f>
        <v>3.1289999999999991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287</v>
      </c>
      <c r="C42" s="325">
        <f>$C$12+D42/1440</f>
        <v>44992.736111111109</v>
      </c>
      <c r="D42" s="490">
        <v>370</v>
      </c>
      <c r="E42" s="490"/>
      <c r="F42" s="326">
        <f t="shared" si="13"/>
        <v>16.97</v>
      </c>
      <c r="G42" s="491">
        <f t="shared" si="14"/>
        <v>13.74</v>
      </c>
      <c r="H42" s="491"/>
      <c r="I42" s="301"/>
      <c r="J42" s="328">
        <f t="shared" si="15"/>
        <v>1.7599999999999998</v>
      </c>
      <c r="K42" s="60" t="s">
        <v>21</v>
      </c>
      <c r="L42" s="66" t="s">
        <v>21</v>
      </c>
      <c r="S42" s="51">
        <f>$R$39</f>
        <v>330.04999999999995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51.944860094646806</v>
      </c>
      <c r="Z42" s="57">
        <f>Y43-Z43</f>
        <v>32.929457890169054</v>
      </c>
      <c r="AA42" s="57">
        <f>$Z$39</f>
        <v>32.929457890169054</v>
      </c>
      <c r="AB42" s="57">
        <f t="shared" si="6"/>
        <v>540</v>
      </c>
      <c r="AC42" s="57">
        <f t="shared" si="7"/>
        <v>19.015402204477752</v>
      </c>
      <c r="AD42" s="59">
        <f>INT((AC$38+AE42)*100)/100</f>
        <v>18.71</v>
      </c>
      <c r="AE42" s="57">
        <f>AG$43*AF42</f>
        <v>3.7994999999999988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90">
        <v>380</v>
      </c>
      <c r="E43" s="490"/>
      <c r="F43" s="326">
        <f t="shared" si="13"/>
        <v>17.259999999999998</v>
      </c>
      <c r="G43" s="491">
        <f t="shared" si="14"/>
        <v>14.03</v>
      </c>
      <c r="H43" s="491"/>
      <c r="I43" s="301"/>
      <c r="J43" s="328">
        <f t="shared" si="15"/>
        <v>0.28999999999999915</v>
      </c>
      <c r="K43" s="60" t="s">
        <v>21</v>
      </c>
      <c r="L43" s="66" t="s">
        <v>21</v>
      </c>
      <c r="S43" s="51">
        <f>$R$39</f>
        <v>330.04999999999995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52.319457890169055</v>
      </c>
      <c r="Z43" s="57">
        <f>Input!B24</f>
        <v>19.39</v>
      </c>
      <c r="AA43" s="57">
        <f>$Z$39</f>
        <v>32.929457890169054</v>
      </c>
      <c r="AB43" s="57">
        <f t="shared" si="6"/>
        <v>600</v>
      </c>
      <c r="AC43" s="57">
        <f t="shared" si="7"/>
        <v>19.39</v>
      </c>
      <c r="AD43" s="59">
        <f>INT((AC$38+AE43)*100)/100</f>
        <v>19.39</v>
      </c>
      <c r="AE43" s="57">
        <f>AG$43*AF43</f>
        <v>4.4699999999999989</v>
      </c>
      <c r="AF43" s="57">
        <v>1</v>
      </c>
      <c r="AG43" s="57">
        <f>AC43-AC38</f>
        <v>4.4699999999999989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90">
        <v>390</v>
      </c>
      <c r="E44" s="490"/>
      <c r="F44" s="326">
        <f t="shared" si="13"/>
        <v>17.559999999999999</v>
      </c>
      <c r="G44" s="491">
        <f t="shared" si="14"/>
        <v>14.33</v>
      </c>
      <c r="H44" s="491"/>
      <c r="I44" s="301"/>
      <c r="J44" s="328">
        <f t="shared" si="15"/>
        <v>0.30000000000000071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90">
        <v>420</v>
      </c>
      <c r="E45" s="490"/>
      <c r="F45" s="326">
        <f t="shared" si="13"/>
        <v>17.849999999999998</v>
      </c>
      <c r="G45" s="491">
        <f t="shared" si="14"/>
        <v>14.62</v>
      </c>
      <c r="H45" s="491"/>
      <c r="I45" s="301"/>
      <c r="J45" s="328">
        <f t="shared" si="15"/>
        <v>0.28999999999999915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90">
        <v>480</v>
      </c>
      <c r="E46" s="490"/>
      <c r="F46" s="326">
        <f t="shared" si="13"/>
        <v>18.149999999999999</v>
      </c>
      <c r="G46" s="491">
        <f t="shared" si="14"/>
        <v>14.92</v>
      </c>
      <c r="H46" s="491"/>
      <c r="I46" s="301"/>
      <c r="J46" s="328">
        <f t="shared" si="15"/>
        <v>0.30000000000000071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330.04999999999995</v>
      </c>
      <c r="C47" s="325">
        <f>$C$12+D47/1440</f>
        <v>44992.819444444445</v>
      </c>
      <c r="D47" s="490">
        <v>490</v>
      </c>
      <c r="E47" s="490"/>
      <c r="F47" s="326">
        <f t="shared" si="13"/>
        <v>19.93</v>
      </c>
      <c r="G47" s="491">
        <f t="shared" si="14"/>
        <v>16.7</v>
      </c>
      <c r="H47" s="491"/>
      <c r="I47" s="301"/>
      <c r="J47" s="328">
        <f t="shared" si="15"/>
        <v>1.7799999999999994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90">
        <v>500</v>
      </c>
      <c r="E48" s="490"/>
      <c r="F48" s="326">
        <f t="shared" si="13"/>
        <v>20.6</v>
      </c>
      <c r="G48" s="491">
        <f t="shared" si="14"/>
        <v>17.37</v>
      </c>
      <c r="H48" s="491"/>
      <c r="I48" s="301"/>
      <c r="J48" s="328">
        <f t="shared" si="15"/>
        <v>0.67000000000000171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90">
        <v>510</v>
      </c>
      <c r="E49" s="490"/>
      <c r="F49" s="326">
        <f t="shared" si="13"/>
        <v>21.27</v>
      </c>
      <c r="G49" s="491">
        <f t="shared" si="14"/>
        <v>18.04</v>
      </c>
      <c r="H49" s="491"/>
      <c r="I49" s="301"/>
      <c r="J49" s="328">
        <f t="shared" si="15"/>
        <v>0.66999999999999815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90">
        <v>540</v>
      </c>
      <c r="E50" s="490"/>
      <c r="F50" s="326">
        <f t="shared" si="13"/>
        <v>21.94</v>
      </c>
      <c r="G50" s="491">
        <f t="shared" si="14"/>
        <v>18.71</v>
      </c>
      <c r="H50" s="491"/>
      <c r="I50" s="301"/>
      <c r="J50" s="328">
        <f t="shared" si="15"/>
        <v>0.67000000000000171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90">
        <v>600</v>
      </c>
      <c r="E51" s="490"/>
      <c r="F51" s="326">
        <f t="shared" si="13"/>
        <v>22.62</v>
      </c>
      <c r="G51" s="491">
        <f t="shared" si="14"/>
        <v>19.39</v>
      </c>
      <c r="H51" s="491"/>
      <c r="I51" s="301" t="s">
        <v>180</v>
      </c>
      <c r="J51" s="328">
        <f t="shared" si="15"/>
        <v>0.67999999999999972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-12.711696349446335</v>
      </c>
      <c r="N1" s="504" t="s">
        <v>183</v>
      </c>
      <c r="O1" s="504"/>
      <c r="P1" s="69">
        <f>StepTest!G41</f>
        <v>11.98</v>
      </c>
      <c r="Q1" s="70" t="s">
        <v>184</v>
      </c>
      <c r="R1" s="71">
        <f>G35</f>
        <v>24.691696349446335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29.497749620633908</v>
      </c>
      <c r="T2" s="51">
        <v>44</v>
      </c>
      <c r="U2" s="55">
        <f>B10</f>
        <v>250</v>
      </c>
      <c r="V2" s="55">
        <f>U2</f>
        <v>250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16.784457249043918</v>
      </c>
      <c r="AC2" s="57">
        <f>1.6*V2/(4*PI()*W2)*LOG10((2.25*W2*Z2)/(X2*X2*Y2))</f>
        <v>16.784457249043918</v>
      </c>
      <c r="AD2" s="74">
        <v>0</v>
      </c>
      <c r="AE2" s="56">
        <f>AA2</f>
        <v>1</v>
      </c>
      <c r="AF2" s="57">
        <f t="shared" ref="AF2:AF14" si="1">AC2-$P$3-O3</f>
        <v>12.693591285614936</v>
      </c>
      <c r="AG2" s="57">
        <f>AC2</f>
        <v>16.784457249043918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2.87</v>
      </c>
      <c r="N3" s="78"/>
      <c r="O3" s="290"/>
      <c r="P3" s="292">
        <v>4.0908659634289819</v>
      </c>
      <c r="V3" s="55">
        <f>V2</f>
        <v>250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18.197353224483859</v>
      </c>
      <c r="AC3" s="57">
        <f t="shared" ref="AC3:AC34" si="5">1.6*V3/(4*PI()*W3)*LOG10((2.25*W3*Z3)/(X3*X3*Y3))</f>
        <v>18.197353224483859</v>
      </c>
      <c r="AD3" s="57">
        <f>AB69</f>
        <v>30.358615584062889</v>
      </c>
      <c r="AE3" s="56">
        <f t="shared" ref="AE3:AE66" si="6">AA3</f>
        <v>2</v>
      </c>
      <c r="AF3" s="57">
        <f t="shared" si="1"/>
        <v>14.106487261054877</v>
      </c>
      <c r="AG3" s="57">
        <f t="shared" ref="AG3:AG16" si="7">AC3</f>
        <v>18.197353224483859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-5.54</v>
      </c>
      <c r="N4" s="78"/>
      <c r="O4" s="291"/>
      <c r="P4" s="291"/>
      <c r="V4" s="55">
        <f t="shared" ref="V4:V67" si="8">V3</f>
        <v>250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19.023844387536066</v>
      </c>
      <c r="AC4" s="57">
        <f>1.6*V4/(4*PI()*W4)*LOG10((2.25*W4*Z4)/(X4*X4*Y4))</f>
        <v>19.023844387536066</v>
      </c>
      <c r="AD4" s="57">
        <f>AC69</f>
        <v>30.358615584062889</v>
      </c>
      <c r="AE4" s="56">
        <f t="shared" si="6"/>
        <v>3</v>
      </c>
      <c r="AF4" s="57">
        <f t="shared" si="1"/>
        <v>14.932978424107084</v>
      </c>
      <c r="AG4" s="57">
        <f t="shared" si="7"/>
        <v>19.023844387536066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-14.54</v>
      </c>
      <c r="N5" s="78"/>
      <c r="O5" s="291"/>
      <c r="P5" s="291"/>
      <c r="V5" s="55">
        <f t="shared" si="8"/>
        <v>250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19.6102491999238</v>
      </c>
      <c r="AC5" s="57">
        <f t="shared" si="5"/>
        <v>19.6102491999238</v>
      </c>
      <c r="AD5" s="57">
        <f>AF69</f>
        <v>26.267749620633907</v>
      </c>
      <c r="AE5" s="56">
        <f t="shared" si="6"/>
        <v>4</v>
      </c>
      <c r="AF5" s="57">
        <f t="shared" si="1"/>
        <v>15.519383236494818</v>
      </c>
      <c r="AG5" s="57">
        <f t="shared" si="7"/>
        <v>19.6102491999238</v>
      </c>
    </row>
    <row r="6" spans="1:38" s="51" customFormat="1" ht="21.6" customHeight="1">
      <c r="A6" s="120" t="str">
        <f>StepTest!A8</f>
        <v>수중모타</v>
      </c>
      <c r="B6" s="120"/>
      <c r="C6" s="505">
        <f>StepTest!C8</f>
        <v>1</v>
      </c>
      <c r="D6" s="505"/>
      <c r="E6" s="50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-23.78</v>
      </c>
      <c r="N6" s="78"/>
      <c r="O6" s="291"/>
      <c r="P6" s="291"/>
      <c r="V6" s="55">
        <f t="shared" si="8"/>
        <v>250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20.065100109571201</v>
      </c>
      <c r="AC6" s="57">
        <f t="shared" si="5"/>
        <v>20.065100109571201</v>
      </c>
      <c r="AE6" s="56">
        <f t="shared" si="6"/>
        <v>5</v>
      </c>
      <c r="AF6" s="57">
        <f t="shared" si="1"/>
        <v>15.974234146142219</v>
      </c>
      <c r="AG6" s="57">
        <f t="shared" si="7"/>
        <v>20.065100109571201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-33.15</v>
      </c>
      <c r="N7" s="78"/>
      <c r="O7" s="291"/>
      <c r="P7" s="291"/>
      <c r="V7" s="55">
        <f t="shared" si="8"/>
        <v>250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21.477996085011142</v>
      </c>
      <c r="AC7" s="57">
        <f t="shared" si="5"/>
        <v>21.477996085011142</v>
      </c>
      <c r="AE7" s="56">
        <f t="shared" si="6"/>
        <v>10</v>
      </c>
      <c r="AF7" s="57">
        <f t="shared" si="1"/>
        <v>17.38713012158216</v>
      </c>
      <c r="AG7" s="57">
        <f t="shared" si="7"/>
        <v>21.477996085011142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29.497749620633908</v>
      </c>
      <c r="H8" s="130">
        <f>Input!C40</f>
        <v>250</v>
      </c>
      <c r="I8" s="130"/>
      <c r="J8" s="120"/>
      <c r="K8" s="330">
        <f>Input!M50</f>
        <v>16.77</v>
      </c>
      <c r="L8" s="371">
        <f>G10-K11</f>
        <v>11.280695310174995</v>
      </c>
      <c r="M8" s="58">
        <f t="shared" si="2"/>
        <v>-80.86</v>
      </c>
      <c r="N8" s="78"/>
      <c r="O8" s="291"/>
      <c r="P8" s="291"/>
      <c r="V8" s="55">
        <f t="shared" si="8"/>
        <v>250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22.304487248063349</v>
      </c>
      <c r="AC8" s="57">
        <f t="shared" si="5"/>
        <v>22.304487248063349</v>
      </c>
      <c r="AE8" s="56">
        <f t="shared" si="6"/>
        <v>15</v>
      </c>
      <c r="AF8" s="57">
        <f t="shared" si="1"/>
        <v>18.213621284634367</v>
      </c>
      <c r="AG8" s="57">
        <f t="shared" si="7"/>
        <v>22.304487248063349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07" t="s">
        <v>173</v>
      </c>
      <c r="E9" s="507"/>
      <c r="F9" s="139" t="s">
        <v>174</v>
      </c>
      <c r="G9" s="139" t="s">
        <v>175</v>
      </c>
      <c r="H9" s="140"/>
      <c r="I9" s="140"/>
      <c r="J9" s="140"/>
      <c r="K9" s="75">
        <f>G8-D8</f>
        <v>26.267749620633907</v>
      </c>
      <c r="M9" s="58">
        <f t="shared" si="2"/>
        <v>-129.15</v>
      </c>
      <c r="N9" s="78"/>
      <c r="O9" s="291"/>
      <c r="P9" s="291"/>
      <c r="V9" s="55">
        <f t="shared" si="8"/>
        <v>250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22.890892060451087</v>
      </c>
      <c r="AC9" s="57">
        <f t="shared" si="5"/>
        <v>22.890892060451087</v>
      </c>
      <c r="AE9" s="56">
        <f t="shared" si="6"/>
        <v>20</v>
      </c>
      <c r="AF9" s="57">
        <f t="shared" si="1"/>
        <v>18.800026097022105</v>
      </c>
      <c r="AG9" s="57">
        <f t="shared" si="7"/>
        <v>22.890892060451087</v>
      </c>
    </row>
    <row r="10" spans="1:38" s="51" customFormat="1" ht="21" customHeight="1">
      <c r="A10" s="140">
        <v>1</v>
      </c>
      <c r="B10" s="141">
        <f>Input!C26</f>
        <v>250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15.923591285614936</v>
      </c>
      <c r="G10" s="145">
        <f>AF2</f>
        <v>12.693591285614936</v>
      </c>
      <c r="H10" s="146"/>
      <c r="I10" s="146"/>
      <c r="J10" s="146"/>
      <c r="K10" s="79">
        <f>K8-K9</f>
        <v>-9.4977496206339076</v>
      </c>
      <c r="L10" s="75">
        <f>K10+Q17</f>
        <v>-6.6277496206339075</v>
      </c>
      <c r="M10" s="58">
        <f t="shared" si="2"/>
        <v>-177.69</v>
      </c>
      <c r="N10" s="78"/>
      <c r="O10" s="291"/>
      <c r="P10" s="291"/>
      <c r="V10" s="55">
        <f t="shared" si="8"/>
        <v>250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23.345742970098485</v>
      </c>
      <c r="AC10" s="57">
        <f t="shared" si="5"/>
        <v>23.345742970098485</v>
      </c>
      <c r="AE10" s="56">
        <f t="shared" si="6"/>
        <v>25</v>
      </c>
      <c r="AF10" s="57">
        <f t="shared" si="1"/>
        <v>19.254877006669503</v>
      </c>
      <c r="AG10" s="57">
        <f t="shared" si="7"/>
        <v>23.345742970098485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17.336487261054877</v>
      </c>
      <c r="G11" s="144">
        <f>AF3</f>
        <v>14.106487261054877</v>
      </c>
      <c r="H11" s="146"/>
      <c r="I11" s="146"/>
      <c r="J11" s="146"/>
      <c r="K11" s="80">
        <f>G11-G10</f>
        <v>1.4128959754399411</v>
      </c>
      <c r="L11" s="75" t="s">
        <v>21</v>
      </c>
      <c r="N11" s="78"/>
      <c r="O11" s="291"/>
      <c r="V11" s="55">
        <f t="shared" si="8"/>
        <v>250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23.71738322350329</v>
      </c>
      <c r="AC11" s="57">
        <f t="shared" si="5"/>
        <v>23.71738322350329</v>
      </c>
      <c r="AE11" s="56">
        <f t="shared" si="6"/>
        <v>30</v>
      </c>
      <c r="AF11" s="57">
        <f t="shared" si="1"/>
        <v>19.626517260074309</v>
      </c>
      <c r="AG11" s="57">
        <f t="shared" si="7"/>
        <v>23.71738322350329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18.162978424107084</v>
      </c>
      <c r="G12" s="144">
        <f t="shared" ref="G12:G74" si="14">AF4</f>
        <v>14.932978424107084</v>
      </c>
      <c r="H12" s="146"/>
      <c r="I12" s="146"/>
      <c r="J12" s="146"/>
      <c r="K12" s="80">
        <f t="shared" ref="K12:K47" si="15">G12-G11</f>
        <v>0.82649116305220716</v>
      </c>
      <c r="L12" s="75" t="s">
        <v>21</v>
      </c>
      <c r="N12" s="78"/>
      <c r="O12" s="291"/>
      <c r="V12" s="55">
        <f t="shared" si="8"/>
        <v>250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24.031600580577901</v>
      </c>
      <c r="AC12" s="57">
        <f t="shared" si="5"/>
        <v>24.031600580577901</v>
      </c>
      <c r="AE12" s="56">
        <f t="shared" si="6"/>
        <v>35</v>
      </c>
      <c r="AF12" s="57">
        <f t="shared" si="1"/>
        <v>19.940734617148919</v>
      </c>
      <c r="AG12" s="57">
        <f t="shared" si="7"/>
        <v>24.031600580577901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18.749383236494818</v>
      </c>
      <c r="G13" s="144">
        <f t="shared" si="14"/>
        <v>15.519383236494818</v>
      </c>
      <c r="H13" s="146"/>
      <c r="I13" s="146"/>
      <c r="J13" s="146"/>
      <c r="K13" s="80">
        <f t="shared" si="15"/>
        <v>0.5864048123877339</v>
      </c>
      <c r="L13" s="75" t="s">
        <v>21</v>
      </c>
      <c r="M13" s="293">
        <v>0</v>
      </c>
      <c r="N13" s="78"/>
      <c r="O13" s="291"/>
      <c r="V13" s="55">
        <f t="shared" si="8"/>
        <v>250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24.303788035891028</v>
      </c>
      <c r="AC13" s="57">
        <f t="shared" si="5"/>
        <v>24.303788035891028</v>
      </c>
      <c r="AE13" s="56">
        <f t="shared" si="6"/>
        <v>40</v>
      </c>
      <c r="AF13" s="57">
        <f t="shared" si="1"/>
        <v>20.212922072462046</v>
      </c>
      <c r="AG13" s="57">
        <f t="shared" si="7"/>
        <v>24.303788035891028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19.20423414614222</v>
      </c>
      <c r="G14" s="144">
        <f t="shared" si="14"/>
        <v>15.974234146142219</v>
      </c>
      <c r="H14" s="146"/>
      <c r="I14" s="146"/>
      <c r="J14" s="146"/>
      <c r="K14" s="80">
        <f t="shared" si="15"/>
        <v>0.45485090964740138</v>
      </c>
      <c r="L14" s="75" t="s">
        <v>21</v>
      </c>
      <c r="N14" s="78"/>
      <c r="O14" s="291"/>
      <c r="V14" s="55">
        <f t="shared" si="8"/>
        <v>250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24.543874386555498</v>
      </c>
      <c r="AC14" s="57">
        <f t="shared" si="5"/>
        <v>24.543874386555498</v>
      </c>
      <c r="AE14" s="56">
        <f t="shared" si="6"/>
        <v>45</v>
      </c>
      <c r="AF14" s="57">
        <f t="shared" si="1"/>
        <v>20.453008423126516</v>
      </c>
      <c r="AG14" s="57">
        <f t="shared" si="7"/>
        <v>24.543874386555498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20.617130121582161</v>
      </c>
      <c r="G15" s="144">
        <f t="shared" si="14"/>
        <v>17.38713012158216</v>
      </c>
      <c r="H15" s="146"/>
      <c r="I15" s="146"/>
      <c r="J15" s="146"/>
      <c r="K15" s="80">
        <f t="shared" si="15"/>
        <v>1.4128959754399411</v>
      </c>
      <c r="L15" s="75" t="s">
        <v>21</v>
      </c>
      <c r="N15" s="81"/>
      <c r="O15" s="53"/>
      <c r="V15" s="55">
        <f t="shared" si="8"/>
        <v>250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24.758638945538429</v>
      </c>
      <c r="AC15" s="57">
        <f t="shared" si="5"/>
        <v>24.758638945538429</v>
      </c>
      <c r="AE15" s="56">
        <f t="shared" si="6"/>
        <v>50</v>
      </c>
      <c r="AF15" s="57">
        <f>AC15-$P$3</f>
        <v>20.667772982109447</v>
      </c>
      <c r="AG15" s="57">
        <f t="shared" si="7"/>
        <v>24.758638945538429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21.443621284634368</v>
      </c>
      <c r="G16" s="144">
        <f t="shared" si="14"/>
        <v>18.213621284634367</v>
      </c>
      <c r="H16" s="146"/>
      <c r="I16" s="146"/>
      <c r="J16" s="146"/>
      <c r="K16" s="80">
        <f t="shared" si="15"/>
        <v>0.82649116305220716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250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24.952917120853524</v>
      </c>
      <c r="AC16" s="57">
        <f t="shared" si="5"/>
        <v>24.952917120853524</v>
      </c>
      <c r="AE16" s="56">
        <f t="shared" si="6"/>
        <v>55</v>
      </c>
      <c r="AF16" s="57">
        <f>AC16-$P$3</f>
        <v>20.862051157424542</v>
      </c>
      <c r="AG16" s="57">
        <f t="shared" si="7"/>
        <v>24.952917120853524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22.030026097022105</v>
      </c>
      <c r="G17" s="144">
        <f t="shared" si="14"/>
        <v>18.800026097022105</v>
      </c>
      <c r="H17" s="146"/>
      <c r="I17" s="146"/>
      <c r="J17" s="146"/>
      <c r="K17" s="80">
        <f t="shared" si="15"/>
        <v>0.58640481238773745</v>
      </c>
      <c r="L17" s="373">
        <f>D10</f>
        <v>1</v>
      </c>
      <c r="M17" s="374">
        <f>INT(B10/1440*10000)/10000</f>
        <v>0.1736</v>
      </c>
      <c r="N17" s="374">
        <f>L17*M17</f>
        <v>0.1736</v>
      </c>
      <c r="O17" s="374">
        <f>INT((D7/2/1000)^2*PI()*100000)/100000</f>
        <v>1.7670000000000002E-2</v>
      </c>
      <c r="P17" s="374">
        <f>INT(N17/O17*100)/100</f>
        <v>9.82</v>
      </c>
      <c r="Q17" s="375">
        <f>INT((G10-P17)*100)/100</f>
        <v>2.87</v>
      </c>
      <c r="V17" s="55">
        <f t="shared" si="8"/>
        <v>250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25.130279198943231</v>
      </c>
      <c r="AC17" s="57">
        <f t="shared" si="5"/>
        <v>25.130279198943231</v>
      </c>
      <c r="AE17" s="56">
        <f t="shared" si="6"/>
        <v>60</v>
      </c>
      <c r="AF17" s="57">
        <f>AC17-$P$3</f>
        <v>21.03941323551425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22.484877006669503</v>
      </c>
      <c r="G18" s="144">
        <f t="shared" si="14"/>
        <v>19.254877006669503</v>
      </c>
      <c r="H18" s="146"/>
      <c r="I18" s="146"/>
      <c r="J18" s="146"/>
      <c r="K18" s="80">
        <f t="shared" si="15"/>
        <v>0.45485090964739783</v>
      </c>
      <c r="L18" s="373">
        <f t="shared" ref="L18:L31" si="16">D11</f>
        <v>2</v>
      </c>
      <c r="M18" s="374">
        <f>M17</f>
        <v>0.1736</v>
      </c>
      <c r="N18" s="374">
        <f>L18*M18</f>
        <v>0.34720000000000001</v>
      </c>
      <c r="O18" s="374">
        <f>O17</f>
        <v>1.7670000000000002E-2</v>
      </c>
      <c r="P18" s="374">
        <f>INT(N18/O18*100)/100</f>
        <v>19.64</v>
      </c>
      <c r="Q18" s="375">
        <f t="shared" ref="Q18:Q27" si="17">INT((G11-P18)*100)/100</f>
        <v>-5.54</v>
      </c>
      <c r="V18" s="55">
        <f t="shared" si="8"/>
        <v>250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25.585130108590633</v>
      </c>
      <c r="AC18" s="57">
        <f t="shared" si="5"/>
        <v>25.585130108590633</v>
      </c>
      <c r="AE18" s="56">
        <f t="shared" si="6"/>
        <v>75</v>
      </c>
      <c r="AF18" s="57">
        <f>AC18-$P$3</f>
        <v>21.494264145161651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22.856517260074309</v>
      </c>
      <c r="G19" s="144">
        <f t="shared" si="14"/>
        <v>19.626517260074309</v>
      </c>
      <c r="H19" s="146"/>
      <c r="I19" s="146"/>
      <c r="J19" s="146"/>
      <c r="K19" s="80">
        <f t="shared" si="15"/>
        <v>0.37164025340480578</v>
      </c>
      <c r="L19" s="373">
        <f t="shared" si="16"/>
        <v>3</v>
      </c>
      <c r="M19" s="374">
        <f>M18</f>
        <v>0.1736</v>
      </c>
      <c r="N19" s="374">
        <f t="shared" ref="N19:N27" si="18">L19*M19</f>
        <v>0.52080000000000004</v>
      </c>
      <c r="O19" s="374">
        <f t="shared" ref="O19:O31" si="19">O18</f>
        <v>1.7670000000000002E-2</v>
      </c>
      <c r="P19" s="374">
        <f>INT(N19/O19*100)/100</f>
        <v>29.47</v>
      </c>
      <c r="Q19" s="375">
        <f t="shared" si="17"/>
        <v>-14.54</v>
      </c>
      <c r="V19" s="55">
        <f t="shared" si="8"/>
        <v>250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25.956770361995439</v>
      </c>
      <c r="AC19" s="57">
        <f t="shared" si="5"/>
        <v>25.956770361995439</v>
      </c>
      <c r="AE19" s="56">
        <f t="shared" si="6"/>
        <v>90</v>
      </c>
      <c r="AF19" s="57">
        <f>AC19-$P$3</f>
        <v>21.865904398566457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23.17073461714892</v>
      </c>
      <c r="G20" s="144">
        <f t="shared" si="14"/>
        <v>19.940734617148919</v>
      </c>
      <c r="H20" s="146"/>
      <c r="I20" s="146"/>
      <c r="J20" s="146"/>
      <c r="K20" s="80">
        <f t="shared" si="15"/>
        <v>0.31421735707461096</v>
      </c>
      <c r="L20" s="373">
        <f t="shared" si="16"/>
        <v>4</v>
      </c>
      <c r="M20" s="374">
        <f>M19</f>
        <v>0.1736</v>
      </c>
      <c r="N20" s="374">
        <f>L20*M20</f>
        <v>0.69440000000000002</v>
      </c>
      <c r="O20" s="374">
        <f>O19</f>
        <v>1.7670000000000002E-2</v>
      </c>
      <c r="P20" s="374">
        <f>INT(N20/O20*100)/100</f>
        <v>39.29</v>
      </c>
      <c r="Q20" s="375">
        <f t="shared" si="17"/>
        <v>-23.78</v>
      </c>
      <c r="V20" s="55">
        <f t="shared" si="8"/>
        <v>250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26.27098771907005</v>
      </c>
      <c r="AC20" s="57">
        <f t="shared" si="5"/>
        <v>26.27098771907005</v>
      </c>
      <c r="AE20" s="56">
        <f t="shared" si="6"/>
        <v>105</v>
      </c>
      <c r="AF20" s="57">
        <f t="shared" ref="AF20:AF69" si="20">AC20-$P$3</f>
        <v>22.180121755641068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23.442922072462046</v>
      </c>
      <c r="G21" s="144">
        <f t="shared" si="14"/>
        <v>20.212922072462046</v>
      </c>
      <c r="H21" s="146"/>
      <c r="I21" s="146"/>
      <c r="J21" s="146"/>
      <c r="K21" s="80">
        <f t="shared" si="15"/>
        <v>0.27218745531312649</v>
      </c>
      <c r="L21" s="373">
        <f t="shared" si="16"/>
        <v>5</v>
      </c>
      <c r="M21" s="374">
        <f>M20</f>
        <v>0.1736</v>
      </c>
      <c r="N21" s="374">
        <f t="shared" si="18"/>
        <v>0.86799999999999999</v>
      </c>
      <c r="O21" s="374">
        <f t="shared" si="19"/>
        <v>1.7670000000000002E-2</v>
      </c>
      <c r="P21" s="374">
        <f>INT(N21/O21*100)/100</f>
        <v>49.12</v>
      </c>
      <c r="Q21" s="375">
        <f t="shared" si="17"/>
        <v>-33.15</v>
      </c>
      <c r="V21" s="55">
        <f t="shared" si="8"/>
        <v>250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26.543175174383173</v>
      </c>
      <c r="AC21" s="57">
        <f t="shared" si="5"/>
        <v>26.543175174383173</v>
      </c>
      <c r="AE21" s="56">
        <f t="shared" si="6"/>
        <v>120</v>
      </c>
      <c r="AF21" s="57">
        <f t="shared" si="20"/>
        <v>22.452309210954191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23.683008423126516</v>
      </c>
      <c r="G22" s="144">
        <f t="shared" si="14"/>
        <v>20.453008423126516</v>
      </c>
      <c r="H22" s="146"/>
      <c r="I22" s="146"/>
      <c r="J22" s="146"/>
      <c r="K22" s="80">
        <f t="shared" si="15"/>
        <v>0.24008635066446971</v>
      </c>
      <c r="L22" s="373">
        <f t="shared" si="16"/>
        <v>10</v>
      </c>
      <c r="M22" s="374">
        <f t="shared" ref="M22:M31" si="21">M21</f>
        <v>0.1736</v>
      </c>
      <c r="N22" s="374">
        <f>L22*M22</f>
        <v>1.736</v>
      </c>
      <c r="O22" s="374">
        <f>O21</f>
        <v>1.7670000000000002E-2</v>
      </c>
      <c r="P22" s="374">
        <f t="shared" ref="P22:P27" si="22">INT(N22/O22*100)/100</f>
        <v>98.24</v>
      </c>
      <c r="Q22" s="375">
        <f t="shared" si="17"/>
        <v>-80.86</v>
      </c>
      <c r="V22" s="55">
        <f t="shared" si="8"/>
        <v>250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26.857392531457783</v>
      </c>
      <c r="AC22" s="57">
        <f t="shared" si="5"/>
        <v>26.857392531457783</v>
      </c>
      <c r="AE22" s="56">
        <f t="shared" si="6"/>
        <v>140</v>
      </c>
      <c r="AF22" s="57">
        <f t="shared" si="20"/>
        <v>22.766526568028802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23.897772982109448</v>
      </c>
      <c r="G23" s="144">
        <f t="shared" si="14"/>
        <v>20.667772982109447</v>
      </c>
      <c r="H23" s="146"/>
      <c r="I23" s="146"/>
      <c r="J23" s="146"/>
      <c r="K23" s="80">
        <f t="shared" si="15"/>
        <v>0.21476455898293167</v>
      </c>
      <c r="L23" s="373">
        <f t="shared" si="16"/>
        <v>15</v>
      </c>
      <c r="M23" s="374">
        <f t="shared" si="21"/>
        <v>0.1736</v>
      </c>
      <c r="N23" s="374">
        <f t="shared" si="18"/>
        <v>2.6040000000000001</v>
      </c>
      <c r="O23" s="374">
        <f t="shared" si="19"/>
        <v>1.7670000000000002E-2</v>
      </c>
      <c r="P23" s="374">
        <f t="shared" si="22"/>
        <v>147.36000000000001</v>
      </c>
      <c r="Q23" s="375">
        <f t="shared" si="17"/>
        <v>-129.15</v>
      </c>
      <c r="V23" s="55">
        <f t="shared" si="8"/>
        <v>250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27.12957998677091</v>
      </c>
      <c r="AC23" s="57">
        <f t="shared" si="5"/>
        <v>27.12957998677091</v>
      </c>
      <c r="AE23" s="56">
        <f t="shared" si="6"/>
        <v>160</v>
      </c>
      <c r="AF23" s="57">
        <f t="shared" si="20"/>
        <v>23.038714023341928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24.092051157424542</v>
      </c>
      <c r="G24" s="144">
        <f t="shared" si="14"/>
        <v>20.862051157424542</v>
      </c>
      <c r="H24" s="146"/>
      <c r="I24" s="146"/>
      <c r="J24" s="146"/>
      <c r="K24" s="80">
        <f t="shared" si="15"/>
        <v>0.19427817531509461</v>
      </c>
      <c r="L24" s="373">
        <f t="shared" si="16"/>
        <v>20</v>
      </c>
      <c r="M24" s="374">
        <f t="shared" si="21"/>
        <v>0.1736</v>
      </c>
      <c r="N24" s="374">
        <f t="shared" si="18"/>
        <v>3.472</v>
      </c>
      <c r="O24" s="374">
        <f t="shared" si="19"/>
        <v>1.7670000000000002E-2</v>
      </c>
      <c r="P24" s="374">
        <f t="shared" si="22"/>
        <v>196.49</v>
      </c>
      <c r="Q24" s="375">
        <f t="shared" si="17"/>
        <v>-177.69</v>
      </c>
      <c r="V24" s="55">
        <f t="shared" si="8"/>
        <v>250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27.369666337435376</v>
      </c>
      <c r="AC24" s="57">
        <f t="shared" si="5"/>
        <v>27.369666337435376</v>
      </c>
      <c r="AE24" s="56">
        <f t="shared" si="6"/>
        <v>180</v>
      </c>
      <c r="AF24" s="57">
        <f t="shared" si="20"/>
        <v>23.278800374006394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24.26941323551425</v>
      </c>
      <c r="G25" s="144">
        <f t="shared" si="14"/>
        <v>21.03941323551425</v>
      </c>
      <c r="H25" s="146"/>
      <c r="I25" s="146"/>
      <c r="J25" s="146"/>
      <c r="K25" s="80">
        <f t="shared" si="15"/>
        <v>0.17736207808970761</v>
      </c>
      <c r="L25" s="373">
        <f t="shared" si="16"/>
        <v>25</v>
      </c>
      <c r="M25" s="374">
        <f t="shared" si="21"/>
        <v>0.1736</v>
      </c>
      <c r="N25" s="374">
        <f t="shared" si="18"/>
        <v>4.34</v>
      </c>
      <c r="O25" s="374">
        <f t="shared" si="19"/>
        <v>1.7670000000000002E-2</v>
      </c>
      <c r="P25" s="374">
        <f t="shared" si="22"/>
        <v>245.61</v>
      </c>
      <c r="Q25" s="375">
        <f t="shared" si="17"/>
        <v>-226.36</v>
      </c>
      <c r="V25" s="55">
        <f t="shared" si="8"/>
        <v>250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27.95607114982311</v>
      </c>
      <c r="AC25" s="57">
        <f t="shared" si="5"/>
        <v>27.95607114982311</v>
      </c>
      <c r="AE25" s="56">
        <f t="shared" si="6"/>
        <v>240</v>
      </c>
      <c r="AF25" s="57">
        <f t="shared" si="20"/>
        <v>23.865205186394128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24.724264145161651</v>
      </c>
      <c r="G26" s="144">
        <f t="shared" si="14"/>
        <v>21.494264145161651</v>
      </c>
      <c r="H26" s="146"/>
      <c r="I26" s="146"/>
      <c r="J26" s="146"/>
      <c r="K26" s="80">
        <f t="shared" si="15"/>
        <v>0.45485090964740138</v>
      </c>
      <c r="L26" s="373">
        <f t="shared" si="16"/>
        <v>30</v>
      </c>
      <c r="M26" s="374">
        <f t="shared" si="21"/>
        <v>0.1736</v>
      </c>
      <c r="N26" s="374">
        <f t="shared" si="18"/>
        <v>5.2080000000000002</v>
      </c>
      <c r="O26" s="374">
        <f t="shared" si="19"/>
        <v>1.7670000000000002E-2</v>
      </c>
      <c r="P26" s="374">
        <f t="shared" si="22"/>
        <v>294.73</v>
      </c>
      <c r="Q26" s="375">
        <f t="shared" si="17"/>
        <v>-275.11</v>
      </c>
      <c r="V26" s="55">
        <f t="shared" si="8"/>
        <v>250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28.410922059470515</v>
      </c>
      <c r="AC26" s="57">
        <f t="shared" si="5"/>
        <v>28.410922059470515</v>
      </c>
      <c r="AE26" s="56">
        <f t="shared" si="6"/>
        <v>300</v>
      </c>
      <c r="AF26" s="57">
        <f t="shared" si="20"/>
        <v>24.320056096041533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25.095904398566457</v>
      </c>
      <c r="G27" s="144">
        <f t="shared" si="14"/>
        <v>21.865904398566457</v>
      </c>
      <c r="H27" s="146"/>
      <c r="I27" s="146"/>
      <c r="J27" s="146"/>
      <c r="K27" s="80">
        <f t="shared" si="15"/>
        <v>0.37164025340480578</v>
      </c>
      <c r="L27" s="373">
        <f t="shared" si="16"/>
        <v>35</v>
      </c>
      <c r="M27" s="374">
        <f t="shared" si="21"/>
        <v>0.1736</v>
      </c>
      <c r="N27" s="374">
        <f t="shared" si="18"/>
        <v>6.0760000000000005</v>
      </c>
      <c r="O27" s="374">
        <f t="shared" si="19"/>
        <v>1.7670000000000002E-2</v>
      </c>
      <c r="P27" s="374">
        <f t="shared" si="22"/>
        <v>343.85</v>
      </c>
      <c r="Q27" s="375">
        <f t="shared" si="17"/>
        <v>-323.91000000000003</v>
      </c>
      <c r="V27" s="55">
        <f t="shared" si="8"/>
        <v>250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28.782562312875317</v>
      </c>
      <c r="AC27" s="57">
        <f t="shared" si="5"/>
        <v>28.782562312875317</v>
      </c>
      <c r="AE27" s="56">
        <f t="shared" si="6"/>
        <v>360</v>
      </c>
      <c r="AF27" s="57">
        <f t="shared" si="20"/>
        <v>24.691696349446335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25.410121755641068</v>
      </c>
      <c r="G28" s="144">
        <f t="shared" si="14"/>
        <v>22.180121755641068</v>
      </c>
      <c r="H28" s="146"/>
      <c r="I28" s="146"/>
      <c r="J28" s="146"/>
      <c r="K28" s="80">
        <f t="shared" si="15"/>
        <v>0.31421735707461096</v>
      </c>
      <c r="L28" s="373">
        <f t="shared" si="16"/>
        <v>40</v>
      </c>
      <c r="M28" s="374">
        <f t="shared" si="21"/>
        <v>0.1736</v>
      </c>
      <c r="N28" s="374">
        <f>L28*M28</f>
        <v>6.944</v>
      </c>
      <c r="O28" s="374">
        <f t="shared" si="19"/>
        <v>1.7670000000000002E-2</v>
      </c>
      <c r="P28" s="374">
        <f>INT(N28/O28*100)/100</f>
        <v>392.98</v>
      </c>
      <c r="Q28" s="375">
        <f>INT((G21-P28)*100)/100</f>
        <v>-372.77</v>
      </c>
      <c r="S28"/>
      <c r="V28" s="55">
        <f t="shared" si="8"/>
        <v>250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29.096779669949932</v>
      </c>
      <c r="AC28" s="57">
        <f t="shared" si="5"/>
        <v>29.096779669949932</v>
      </c>
      <c r="AE28" s="56">
        <f t="shared" si="6"/>
        <v>420</v>
      </c>
      <c r="AF28" s="57">
        <f t="shared" si="20"/>
        <v>25.00591370652095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25.682309210954191</v>
      </c>
      <c r="G29" s="144">
        <f t="shared" si="14"/>
        <v>22.452309210954191</v>
      </c>
      <c r="H29" s="146"/>
      <c r="I29" s="146"/>
      <c r="J29" s="146"/>
      <c r="K29" s="80">
        <f t="shared" si="15"/>
        <v>0.27218745531312294</v>
      </c>
      <c r="L29" s="373">
        <f t="shared" si="16"/>
        <v>45</v>
      </c>
      <c r="M29" s="374">
        <f t="shared" si="21"/>
        <v>0.1736</v>
      </c>
      <c r="N29" s="374">
        <f>L29*M29</f>
        <v>7.8120000000000003</v>
      </c>
      <c r="O29" s="374">
        <f t="shared" si="19"/>
        <v>1.7670000000000002E-2</v>
      </c>
      <c r="P29" s="374">
        <f>INT(N29/O29*100)/100</f>
        <v>442.1</v>
      </c>
      <c r="Q29" s="375">
        <f>INT((G22-P29)*100)/100</f>
        <v>-421.65</v>
      </c>
      <c r="V29" s="55">
        <f t="shared" si="8"/>
        <v>250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29.368967125263051</v>
      </c>
      <c r="AC29" s="57">
        <f t="shared" si="5"/>
        <v>29.368967125263051</v>
      </c>
      <c r="AE29" s="56">
        <f t="shared" si="6"/>
        <v>480</v>
      </c>
      <c r="AF29" s="57">
        <f t="shared" si="20"/>
        <v>25.278101161834069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25.996526568028802</v>
      </c>
      <c r="G30" s="144">
        <f t="shared" si="14"/>
        <v>22.766526568028802</v>
      </c>
      <c r="H30" s="146"/>
      <c r="I30" s="146"/>
      <c r="J30" s="146"/>
      <c r="K30" s="80">
        <f t="shared" si="15"/>
        <v>0.31421735707461096</v>
      </c>
      <c r="L30" s="373">
        <f t="shared" si="16"/>
        <v>50</v>
      </c>
      <c r="M30" s="374">
        <f t="shared" si="21"/>
        <v>0.1736</v>
      </c>
      <c r="N30" s="374">
        <f>L30*M30</f>
        <v>8.68</v>
      </c>
      <c r="O30" s="374">
        <f t="shared" si="19"/>
        <v>1.7670000000000002E-2</v>
      </c>
      <c r="P30" s="374">
        <f>INT(N30/O30*100)/100</f>
        <v>491.22</v>
      </c>
      <c r="Q30" s="375">
        <f>INT((G23-P30)*100)/100</f>
        <v>-470.56</v>
      </c>
      <c r="V30" s="55">
        <f t="shared" si="8"/>
        <v>250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29.609053475927524</v>
      </c>
      <c r="AC30" s="57">
        <f t="shared" si="5"/>
        <v>29.609053475927524</v>
      </c>
      <c r="AE30" s="56">
        <f t="shared" si="6"/>
        <v>540</v>
      </c>
      <c r="AF30" s="57">
        <f t="shared" si="20"/>
        <v>25.518187512498542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26.268714023341929</v>
      </c>
      <c r="G31" s="144">
        <f t="shared" si="14"/>
        <v>23.038714023341928</v>
      </c>
      <c r="H31" s="146"/>
      <c r="I31" s="146"/>
      <c r="J31" s="146"/>
      <c r="K31" s="80">
        <f t="shared" si="15"/>
        <v>0.27218745531312649</v>
      </c>
      <c r="L31" s="373">
        <f t="shared" si="16"/>
        <v>55</v>
      </c>
      <c r="M31" s="374">
        <f t="shared" si="21"/>
        <v>0.1736</v>
      </c>
      <c r="N31" s="374">
        <f>L31*M31</f>
        <v>9.548</v>
      </c>
      <c r="O31" s="374">
        <f t="shared" si="19"/>
        <v>1.7670000000000002E-2</v>
      </c>
      <c r="P31" s="374">
        <f>INT(N31/O31*100)/100</f>
        <v>540.35</v>
      </c>
      <c r="Q31" s="375">
        <f>INT((G24-P31)*100)/100</f>
        <v>-519.49</v>
      </c>
      <c r="V31" s="55">
        <f t="shared" si="8"/>
        <v>250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29.82381803491046</v>
      </c>
      <c r="AC31" s="57">
        <f t="shared" si="5"/>
        <v>29.82381803491046</v>
      </c>
      <c r="AE31" s="56">
        <f t="shared" si="6"/>
        <v>600</v>
      </c>
      <c r="AF31" s="57">
        <f t="shared" si="20"/>
        <v>25.732952071481478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26.508800374006395</v>
      </c>
      <c r="G32" s="144">
        <f t="shared" si="14"/>
        <v>23.278800374006394</v>
      </c>
      <c r="H32" s="146"/>
      <c r="I32" s="146"/>
      <c r="J32" s="146"/>
      <c r="K32" s="80">
        <f t="shared" si="15"/>
        <v>0.24008635066446615</v>
      </c>
      <c r="L32" s="82" t="s">
        <v>21</v>
      </c>
      <c r="O32" s="84"/>
      <c r="V32" s="55">
        <f t="shared" si="8"/>
        <v>250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30.018096210225547</v>
      </c>
      <c r="AC32" s="57">
        <f t="shared" si="5"/>
        <v>30.018096210225547</v>
      </c>
      <c r="AE32" s="56">
        <f t="shared" si="6"/>
        <v>660</v>
      </c>
      <c r="AF32" s="57">
        <f t="shared" si="20"/>
        <v>25.927230246796565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27.095205186394129</v>
      </c>
      <c r="G33" s="144">
        <f t="shared" si="14"/>
        <v>23.865205186394128</v>
      </c>
      <c r="H33" s="146"/>
      <c r="I33" s="146"/>
      <c r="J33" s="146"/>
      <c r="K33" s="80">
        <f t="shared" si="15"/>
        <v>0.5864048123877339</v>
      </c>
      <c r="L33" s="75" t="s">
        <v>21</v>
      </c>
      <c r="O33" s="84"/>
      <c r="V33" s="55">
        <f t="shared" si="8"/>
        <v>250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30.195458288315258</v>
      </c>
      <c r="AC33" s="57">
        <f t="shared" si="5"/>
        <v>30.195458288315258</v>
      </c>
      <c r="AE33" s="56">
        <f t="shared" si="6"/>
        <v>720</v>
      </c>
      <c r="AF33" s="57">
        <f t="shared" si="20"/>
        <v>26.104592324886276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27.550056096041533</v>
      </c>
      <c r="G34" s="144">
        <f t="shared" si="14"/>
        <v>24.320056096041533</v>
      </c>
      <c r="H34" s="146"/>
      <c r="I34" s="146"/>
      <c r="J34" s="146"/>
      <c r="K34" s="80">
        <f t="shared" si="15"/>
        <v>0.45485090964740493</v>
      </c>
      <c r="L34" s="75" t="s">
        <v>21</v>
      </c>
      <c r="P34" s="84"/>
      <c r="V34" s="55">
        <f t="shared" si="8"/>
        <v>250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30.358615584062889</v>
      </c>
      <c r="AC34" s="57">
        <f t="shared" si="5"/>
        <v>30.358615584062889</v>
      </c>
      <c r="AE34" s="56">
        <f t="shared" si="6"/>
        <v>780</v>
      </c>
      <c r="AF34" s="57">
        <f t="shared" si="20"/>
        <v>26.267749620633907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27.921696349446336</v>
      </c>
      <c r="G35" s="144">
        <f t="shared" si="14"/>
        <v>24.691696349446335</v>
      </c>
      <c r="H35" s="146"/>
      <c r="I35" s="146"/>
      <c r="J35" s="146"/>
      <c r="K35" s="80">
        <f t="shared" si="15"/>
        <v>0.37164025340480222</v>
      </c>
      <c r="L35" s="75" t="s">
        <v>21</v>
      </c>
      <c r="O35" s="84"/>
      <c r="V35" s="55">
        <f t="shared" si="8"/>
        <v>250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30.358615584062889</v>
      </c>
      <c r="AC35" s="57">
        <f t="shared" ref="AC35:AC38" si="24">AC34</f>
        <v>30.358615584062889</v>
      </c>
      <c r="AE35" s="56">
        <f t="shared" si="6"/>
        <v>840</v>
      </c>
      <c r="AF35" s="57">
        <f t="shared" si="20"/>
        <v>26.267749620633907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28.23591370652095</v>
      </c>
      <c r="G36" s="144">
        <f t="shared" si="14"/>
        <v>25.00591370652095</v>
      </c>
      <c r="H36" s="146"/>
      <c r="I36" s="146"/>
      <c r="J36" s="146"/>
      <c r="K36" s="80">
        <f t="shared" si="15"/>
        <v>0.31421735707461451</v>
      </c>
      <c r="L36" s="75" t="s">
        <v>21</v>
      </c>
      <c r="V36" s="55">
        <f t="shared" si="8"/>
        <v>250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30.358615584062889</v>
      </c>
      <c r="AC36" s="57">
        <f t="shared" si="24"/>
        <v>30.358615584062889</v>
      </c>
      <c r="AE36" s="56">
        <f t="shared" si="6"/>
        <v>900</v>
      </c>
      <c r="AF36" s="57">
        <f t="shared" si="20"/>
        <v>26.267749620633907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28.50810116183407</v>
      </c>
      <c r="G37" s="144">
        <f t="shared" si="14"/>
        <v>25.278101161834069</v>
      </c>
      <c r="H37" s="146"/>
      <c r="I37" s="146"/>
      <c r="J37" s="146"/>
      <c r="K37" s="80">
        <f t="shared" si="15"/>
        <v>0.27218745531311939</v>
      </c>
      <c r="L37" s="75" t="s">
        <v>21</v>
      </c>
      <c r="V37" s="55">
        <f t="shared" si="8"/>
        <v>250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30.358615584062889</v>
      </c>
      <c r="AC37" s="57">
        <f t="shared" si="24"/>
        <v>30.358615584062889</v>
      </c>
      <c r="AD37" s="51">
        <v>37</v>
      </c>
      <c r="AE37" s="56">
        <f t="shared" si="6"/>
        <v>960</v>
      </c>
      <c r="AF37" s="57">
        <f t="shared" si="20"/>
        <v>26.267749620633907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28.748187512498543</v>
      </c>
      <c r="G38" s="144">
        <f t="shared" si="14"/>
        <v>25.518187512498542</v>
      </c>
      <c r="H38" s="146"/>
      <c r="I38" s="146"/>
      <c r="J38" s="146"/>
      <c r="K38" s="80">
        <f t="shared" si="15"/>
        <v>0.24008635066447326</v>
      </c>
      <c r="L38" s="75" t="s">
        <v>21</v>
      </c>
      <c r="V38" s="55">
        <f t="shared" si="8"/>
        <v>250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30.358615584062889</v>
      </c>
      <c r="AC38" s="57">
        <f t="shared" si="24"/>
        <v>30.358615584062889</v>
      </c>
      <c r="AD38" s="52" t="s">
        <v>40</v>
      </c>
      <c r="AE38" s="56">
        <f t="shared" si="6"/>
        <v>1020</v>
      </c>
      <c r="AF38" s="57">
        <f t="shared" si="20"/>
        <v>26.267749620633907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28.962952071481478</v>
      </c>
      <c r="G39" s="144">
        <f t="shared" si="14"/>
        <v>25.732952071481478</v>
      </c>
      <c r="H39" s="146"/>
      <c r="I39" s="146"/>
      <c r="J39" s="146"/>
      <c r="K39" s="80">
        <f t="shared" si="15"/>
        <v>0.21476455898293523</v>
      </c>
      <c r="L39" s="75" t="s">
        <v>21</v>
      </c>
      <c r="V39" s="55">
        <f t="shared" si="8"/>
        <v>250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30.358615584062889</v>
      </c>
      <c r="AC39" s="57">
        <f t="shared" ref="AC39:AC40" si="25">AC38</f>
        <v>30.358615584062889</v>
      </c>
      <c r="AD39" s="85">
        <v>39</v>
      </c>
      <c r="AE39" s="56">
        <f t="shared" si="6"/>
        <v>1080</v>
      </c>
      <c r="AF39" s="57">
        <f t="shared" si="20"/>
        <v>26.267749620633907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29.157230246796566</v>
      </c>
      <c r="G40" s="144">
        <f t="shared" si="14"/>
        <v>25.927230246796565</v>
      </c>
      <c r="H40" s="146"/>
      <c r="I40" s="146"/>
      <c r="J40" s="146"/>
      <c r="K40" s="80">
        <f t="shared" si="15"/>
        <v>0.19427817531508751</v>
      </c>
      <c r="L40" s="75" t="s">
        <v>21</v>
      </c>
      <c r="V40" s="55">
        <f t="shared" si="8"/>
        <v>250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30.358615584062889</v>
      </c>
      <c r="AC40" s="57">
        <f t="shared" si="25"/>
        <v>30.358615584062889</v>
      </c>
      <c r="AD40" s="85">
        <v>40</v>
      </c>
      <c r="AE40" s="56">
        <f t="shared" si="6"/>
        <v>1140</v>
      </c>
      <c r="AF40" s="57">
        <f t="shared" si="20"/>
        <v>26.267749620633907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29.334592324886277</v>
      </c>
      <c r="G41" s="144">
        <f t="shared" si="14"/>
        <v>26.104592324886276</v>
      </c>
      <c r="H41" s="146"/>
      <c r="I41" s="146"/>
      <c r="J41" s="146"/>
      <c r="K41" s="80">
        <f t="shared" si="15"/>
        <v>0.17736207808971116</v>
      </c>
      <c r="L41" s="75" t="s">
        <v>21</v>
      </c>
      <c r="V41" s="86">
        <f t="shared" si="8"/>
        <v>250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30.358615584062889</v>
      </c>
      <c r="AC41" s="57">
        <f t="shared" ref="AC41:AC46" si="26">AC40</f>
        <v>30.358615584062889</v>
      </c>
      <c r="AD41" s="90">
        <v>41</v>
      </c>
      <c r="AE41" s="56">
        <f t="shared" si="6"/>
        <v>1200</v>
      </c>
      <c r="AF41" s="57">
        <f t="shared" si="20"/>
        <v>26.267749620633907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29.497749620633908</v>
      </c>
      <c r="G42" s="144">
        <f t="shared" si="14"/>
        <v>26.267749620633907</v>
      </c>
      <c r="H42" s="146"/>
      <c r="I42" s="146"/>
      <c r="J42" s="146"/>
      <c r="K42" s="80">
        <f t="shared" si="15"/>
        <v>0.16315729574763083</v>
      </c>
      <c r="L42" s="75" t="s">
        <v>21</v>
      </c>
      <c r="V42" s="55">
        <f t="shared" si="8"/>
        <v>250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30.358615584062889</v>
      </c>
      <c r="AC42" s="57">
        <f t="shared" si="26"/>
        <v>30.358615584062889</v>
      </c>
      <c r="AD42" s="85">
        <v>42</v>
      </c>
      <c r="AE42" s="56">
        <f t="shared" si="6"/>
        <v>1260</v>
      </c>
      <c r="AF42" s="57">
        <f t="shared" si="20"/>
        <v>26.267749620633907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29.497749620633908</v>
      </c>
      <c r="G43" s="144">
        <f t="shared" si="14"/>
        <v>26.267749620633907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250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30.358615584062889</v>
      </c>
      <c r="AC43" s="57">
        <f t="shared" si="26"/>
        <v>30.358615584062889</v>
      </c>
      <c r="AD43" s="90">
        <v>43</v>
      </c>
      <c r="AE43" s="56">
        <f t="shared" si="6"/>
        <v>1320</v>
      </c>
      <c r="AF43" s="57">
        <f t="shared" si="20"/>
        <v>26.267749620633907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29.497749620633908</v>
      </c>
      <c r="G44" s="144">
        <f t="shared" si="14"/>
        <v>26.267749620633907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250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30.358615584062889</v>
      </c>
      <c r="AC44" s="57">
        <f t="shared" si="26"/>
        <v>30.358615584062889</v>
      </c>
      <c r="AD44" s="85">
        <v>44</v>
      </c>
      <c r="AE44" s="56">
        <f t="shared" si="6"/>
        <v>1380</v>
      </c>
      <c r="AF44" s="57">
        <f t="shared" si="20"/>
        <v>26.267749620633907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29.497749620633908</v>
      </c>
      <c r="G45" s="144">
        <f t="shared" si="14"/>
        <v>26.267749620633907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250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30.358615584062889</v>
      </c>
      <c r="AC45" s="57">
        <f t="shared" si="26"/>
        <v>30.358615584062889</v>
      </c>
      <c r="AD45" s="90">
        <v>45</v>
      </c>
      <c r="AE45" s="56">
        <f t="shared" si="6"/>
        <v>1440</v>
      </c>
      <c r="AF45" s="57">
        <f t="shared" si="20"/>
        <v>26.267749620633907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29.497749620633908</v>
      </c>
      <c r="G46" s="144">
        <f t="shared" si="14"/>
        <v>26.267749620633907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250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30.358615584062889</v>
      </c>
      <c r="AC46" s="57">
        <f t="shared" si="26"/>
        <v>30.358615584062889</v>
      </c>
      <c r="AD46" s="85">
        <v>46</v>
      </c>
      <c r="AE46" s="91">
        <f t="shared" si="6"/>
        <v>1500</v>
      </c>
      <c r="AF46" s="93">
        <f t="shared" si="20"/>
        <v>26.267749620633907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29.497749620633908</v>
      </c>
      <c r="G47" s="144">
        <f t="shared" si="14"/>
        <v>26.267749620633907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250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30.358615584062889</v>
      </c>
      <c r="AC47" s="57">
        <f t="shared" ref="AC47:AC69" si="27">AC46</f>
        <v>30.358615584062889</v>
      </c>
      <c r="AE47" s="56">
        <f t="shared" si="6"/>
        <v>1560</v>
      </c>
      <c r="AF47" s="57">
        <f t="shared" si="20"/>
        <v>26.267749620633907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29.497749620633908</v>
      </c>
      <c r="G48" s="144">
        <f t="shared" si="14"/>
        <v>26.267749620633907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250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30.358615584062889</v>
      </c>
      <c r="AC48" s="57">
        <f t="shared" si="27"/>
        <v>30.358615584062889</v>
      </c>
      <c r="AE48" s="56">
        <f t="shared" si="6"/>
        <v>1620</v>
      </c>
      <c r="AF48" s="57">
        <f t="shared" si="20"/>
        <v>26.267749620633907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29.497749620633908</v>
      </c>
      <c r="G49" s="144">
        <f t="shared" si="14"/>
        <v>26.267749620633907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250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30.358615584062889</v>
      </c>
      <c r="AC49" s="57">
        <f t="shared" si="27"/>
        <v>30.358615584062889</v>
      </c>
      <c r="AE49" s="56">
        <f t="shared" si="6"/>
        <v>1680</v>
      </c>
      <c r="AF49" s="57">
        <f t="shared" si="20"/>
        <v>26.267749620633907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29.497749620633908</v>
      </c>
      <c r="G50" s="144">
        <f t="shared" si="14"/>
        <v>26.267749620633907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250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30.358615584062889</v>
      </c>
      <c r="AC50" s="57">
        <f t="shared" si="27"/>
        <v>30.358615584062889</v>
      </c>
      <c r="AE50" s="56">
        <f t="shared" si="6"/>
        <v>1740</v>
      </c>
      <c r="AF50" s="57">
        <f t="shared" si="20"/>
        <v>26.267749620633907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29.497749620633908</v>
      </c>
      <c r="G51" s="144">
        <f t="shared" si="14"/>
        <v>26.267749620633907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250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30.358615584062889</v>
      </c>
      <c r="AC51" s="57">
        <f t="shared" si="27"/>
        <v>30.358615584062889</v>
      </c>
      <c r="AE51" s="56">
        <f t="shared" si="6"/>
        <v>1800</v>
      </c>
      <c r="AF51" s="57">
        <f t="shared" si="20"/>
        <v>26.267749620633907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29.497749620633908</v>
      </c>
      <c r="G52" s="144">
        <f t="shared" si="14"/>
        <v>26.267749620633907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250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30.358615584062889</v>
      </c>
      <c r="AC52" s="57">
        <f t="shared" si="27"/>
        <v>30.358615584062889</v>
      </c>
      <c r="AE52" s="56">
        <f t="shared" si="6"/>
        <v>1860</v>
      </c>
      <c r="AF52" s="57">
        <f t="shared" si="20"/>
        <v>26.267749620633907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29.497749620633908</v>
      </c>
      <c r="G53" s="144">
        <f t="shared" si="14"/>
        <v>26.267749620633907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250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30.358615584062889</v>
      </c>
      <c r="AC53" s="57">
        <f t="shared" si="27"/>
        <v>30.358615584062889</v>
      </c>
      <c r="AE53" s="56">
        <f t="shared" si="6"/>
        <v>1920</v>
      </c>
      <c r="AF53" s="57">
        <f t="shared" si="20"/>
        <v>26.267749620633907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29.497749620633908</v>
      </c>
      <c r="G54" s="144">
        <f t="shared" si="14"/>
        <v>26.267749620633907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250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30.358615584062889</v>
      </c>
      <c r="AC54" s="57">
        <f t="shared" si="27"/>
        <v>30.358615584062889</v>
      </c>
      <c r="AE54" s="56">
        <f t="shared" si="6"/>
        <v>1980</v>
      </c>
      <c r="AF54" s="57">
        <f t="shared" si="20"/>
        <v>26.267749620633907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29.497749620633908</v>
      </c>
      <c r="G55" s="144">
        <f t="shared" si="14"/>
        <v>26.267749620633907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250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30.358615584062889</v>
      </c>
      <c r="AC55" s="57">
        <f t="shared" si="27"/>
        <v>30.358615584062889</v>
      </c>
      <c r="AE55" s="56">
        <f t="shared" si="6"/>
        <v>2040</v>
      </c>
      <c r="AF55" s="57">
        <f t="shared" si="20"/>
        <v>26.267749620633907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29.497749620633908</v>
      </c>
      <c r="G56" s="144">
        <f t="shared" si="14"/>
        <v>26.267749620633907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250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30.358615584062889</v>
      </c>
      <c r="AC56" s="57">
        <f t="shared" si="27"/>
        <v>30.358615584062889</v>
      </c>
      <c r="AE56" s="56">
        <f t="shared" si="6"/>
        <v>2100</v>
      </c>
      <c r="AF56" s="57">
        <f t="shared" si="20"/>
        <v>26.267749620633907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29.497749620633908</v>
      </c>
      <c r="G57" s="144">
        <f t="shared" si="14"/>
        <v>26.267749620633907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250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30.358615584062889</v>
      </c>
      <c r="AC57" s="57">
        <f t="shared" si="27"/>
        <v>30.358615584062889</v>
      </c>
      <c r="AE57" s="56">
        <f t="shared" si="6"/>
        <v>2160</v>
      </c>
      <c r="AF57" s="57">
        <f t="shared" si="20"/>
        <v>26.267749620633907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29.497749620633908</v>
      </c>
      <c r="G58" s="144">
        <f t="shared" si="14"/>
        <v>26.267749620633907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250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30.358615584062889</v>
      </c>
      <c r="AC58" s="57">
        <f t="shared" si="27"/>
        <v>30.358615584062889</v>
      </c>
      <c r="AE58" s="56">
        <f t="shared" si="6"/>
        <v>2220</v>
      </c>
      <c r="AF58" s="57">
        <f t="shared" si="20"/>
        <v>26.267749620633907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29.497749620633908</v>
      </c>
      <c r="G59" s="144">
        <f t="shared" si="14"/>
        <v>26.267749620633907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250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30.358615584062889</v>
      </c>
      <c r="AC59" s="57">
        <f t="shared" si="27"/>
        <v>30.358615584062889</v>
      </c>
      <c r="AE59" s="56">
        <f t="shared" si="6"/>
        <v>2280</v>
      </c>
      <c r="AF59" s="57">
        <f t="shared" si="20"/>
        <v>26.267749620633907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29.497749620633908</v>
      </c>
      <c r="G60" s="144">
        <f t="shared" si="14"/>
        <v>26.267749620633907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250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30.358615584062889</v>
      </c>
      <c r="AC60" s="57">
        <f t="shared" si="27"/>
        <v>30.358615584062889</v>
      </c>
      <c r="AE60" s="56">
        <f t="shared" si="6"/>
        <v>2340</v>
      </c>
      <c r="AF60" s="57">
        <f t="shared" si="20"/>
        <v>26.267749620633907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29.497749620633908</v>
      </c>
      <c r="G61" s="144">
        <f t="shared" si="14"/>
        <v>26.267749620633907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250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30.358615584062889</v>
      </c>
      <c r="AC61" s="57">
        <f t="shared" si="27"/>
        <v>30.358615584062889</v>
      </c>
      <c r="AE61" s="56">
        <f t="shared" si="6"/>
        <v>2400</v>
      </c>
      <c r="AF61" s="57">
        <f t="shared" si="20"/>
        <v>26.267749620633907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29.497749620633908</v>
      </c>
      <c r="G62" s="144">
        <f t="shared" si="14"/>
        <v>26.267749620633907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250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30.358615584062889</v>
      </c>
      <c r="AC62" s="57">
        <f t="shared" si="27"/>
        <v>30.358615584062889</v>
      </c>
      <c r="AE62" s="56">
        <f t="shared" si="6"/>
        <v>2460</v>
      </c>
      <c r="AF62" s="57">
        <f t="shared" si="20"/>
        <v>26.267749620633907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29.497749620633908</v>
      </c>
      <c r="G63" s="144">
        <f t="shared" si="14"/>
        <v>26.267749620633907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250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30.358615584062889</v>
      </c>
      <c r="AC63" s="57">
        <f t="shared" si="27"/>
        <v>30.358615584062889</v>
      </c>
      <c r="AE63" s="56">
        <f t="shared" si="6"/>
        <v>2520</v>
      </c>
      <c r="AF63" s="57">
        <f t="shared" si="20"/>
        <v>26.267749620633907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29.497749620633908</v>
      </c>
      <c r="G64" s="144">
        <f t="shared" si="14"/>
        <v>26.267749620633907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250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30.358615584062889</v>
      </c>
      <c r="AC64" s="57">
        <f t="shared" si="27"/>
        <v>30.358615584062889</v>
      </c>
      <c r="AE64" s="56">
        <f t="shared" si="6"/>
        <v>2580</v>
      </c>
      <c r="AF64" s="57">
        <f t="shared" si="20"/>
        <v>26.267749620633907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29.497749620633908</v>
      </c>
      <c r="G65" s="144">
        <f t="shared" si="14"/>
        <v>26.267749620633907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250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30.358615584062889</v>
      </c>
      <c r="AC65" s="57">
        <f t="shared" si="27"/>
        <v>30.358615584062889</v>
      </c>
      <c r="AE65" s="56">
        <f t="shared" si="6"/>
        <v>2640</v>
      </c>
      <c r="AF65" s="57">
        <f t="shared" si="20"/>
        <v>26.267749620633907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29.497749620633908</v>
      </c>
      <c r="G66" s="144">
        <f t="shared" si="14"/>
        <v>26.267749620633907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250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30.358615584062889</v>
      </c>
      <c r="AC66" s="57">
        <f t="shared" si="27"/>
        <v>30.358615584062889</v>
      </c>
      <c r="AE66" s="56">
        <f t="shared" si="6"/>
        <v>2700</v>
      </c>
      <c r="AF66" s="57">
        <f t="shared" si="20"/>
        <v>26.267749620633907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29.497749620633908</v>
      </c>
      <c r="G67" s="144">
        <f t="shared" si="14"/>
        <v>26.267749620633907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250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30.358615584062889</v>
      </c>
      <c r="AC67" s="57">
        <f t="shared" si="27"/>
        <v>30.358615584062889</v>
      </c>
      <c r="AE67" s="56">
        <f>AA67</f>
        <v>2760</v>
      </c>
      <c r="AF67" s="57">
        <f t="shared" si="20"/>
        <v>26.267749620633907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29.497749620633908</v>
      </c>
      <c r="G68" s="144">
        <f t="shared" si="14"/>
        <v>26.267749620633907</v>
      </c>
      <c r="H68" s="146"/>
      <c r="I68" s="146"/>
      <c r="J68" s="146"/>
      <c r="K68" s="51" t="s">
        <v>21</v>
      </c>
      <c r="L68" s="75" t="s">
        <v>21</v>
      </c>
      <c r="V68" s="55">
        <f>V67</f>
        <v>250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30.358615584062889</v>
      </c>
      <c r="AC68" s="57">
        <f t="shared" si="27"/>
        <v>30.358615584062889</v>
      </c>
      <c r="AE68" s="56">
        <f>AA68</f>
        <v>2820</v>
      </c>
      <c r="AF68" s="57">
        <f t="shared" si="20"/>
        <v>26.267749620633907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29.497749620633908</v>
      </c>
      <c r="G69" s="144">
        <f t="shared" si="14"/>
        <v>26.267749620633907</v>
      </c>
      <c r="H69" s="146"/>
      <c r="I69" s="146"/>
      <c r="J69" s="146"/>
      <c r="K69" s="51" t="s">
        <v>21</v>
      </c>
      <c r="L69" s="75" t="s">
        <v>21</v>
      </c>
      <c r="V69" s="55">
        <f>V68</f>
        <v>250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30.358615584062889</v>
      </c>
      <c r="AC69" s="57">
        <f t="shared" si="27"/>
        <v>30.358615584062889</v>
      </c>
      <c r="AE69" s="56">
        <f>AA69</f>
        <v>2880</v>
      </c>
      <c r="AF69" s="57">
        <f t="shared" si="20"/>
        <v>26.267749620633907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29.497749620633908</v>
      </c>
      <c r="G70" s="144">
        <f t="shared" si="14"/>
        <v>26.267749620633907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29.497749620633908</v>
      </c>
      <c r="G71" s="144">
        <f t="shared" si="14"/>
        <v>26.267749620633907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29.497749620633908</v>
      </c>
      <c r="G72" s="144">
        <f t="shared" si="14"/>
        <v>26.267749620633907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29.497749620633908</v>
      </c>
      <c r="G73" s="144">
        <f t="shared" si="14"/>
        <v>26.267749620633907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29.497749620633908</v>
      </c>
      <c r="G74" s="144">
        <f t="shared" si="14"/>
        <v>26.267749620633907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29.497749620633908</v>
      </c>
      <c r="G75" s="144">
        <f>AF67</f>
        <v>26.267749620633907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29.497749620633908</v>
      </c>
      <c r="G76" s="144">
        <f>AF68</f>
        <v>26.267749620633907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29.497749620633908</v>
      </c>
      <c r="G77" s="144">
        <f>AF69</f>
        <v>26.267749620633907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19.852780359863086</v>
      </c>
      <c r="G78" s="144">
        <f>H114</f>
        <v>16.622780359863086</v>
      </c>
      <c r="H78" s="503" t="s">
        <v>191</v>
      </c>
      <c r="I78" s="503"/>
      <c r="J78" s="503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18.300268168583521</v>
      </c>
      <c r="G79" s="144">
        <f>H115</f>
        <v>15.070268168583521</v>
      </c>
      <c r="H79" s="503"/>
      <c r="I79" s="503"/>
      <c r="J79" s="503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16.89275543298417</v>
      </c>
      <c r="G80" s="144">
        <f>H116</f>
        <v>13.66275543298417</v>
      </c>
      <c r="H80" s="503"/>
      <c r="I80" s="503"/>
      <c r="J80" s="503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15.616699687978</v>
      </c>
      <c r="G81" s="144">
        <f>H117</f>
        <v>12.386699687978</v>
      </c>
      <c r="H81" s="503"/>
      <c r="I81" s="503"/>
      <c r="J81" s="503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14.4598232895063</v>
      </c>
      <c r="G82" s="144">
        <f>H118</f>
        <v>11.229823289506299</v>
      </c>
      <c r="H82" s="503"/>
      <c r="I82" s="503"/>
      <c r="J82" s="503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11.598061517075923</v>
      </c>
      <c r="G83" s="144">
        <f>H121</f>
        <v>8.3680615170759225</v>
      </c>
      <c r="H83" s="503"/>
      <c r="I83" s="503"/>
      <c r="J83" s="503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11.068562163509535</v>
      </c>
      <c r="G84" s="144">
        <f>H124</f>
        <v>7.8385621635095353</v>
      </c>
      <c r="H84" s="503"/>
      <c r="I84" s="503"/>
      <c r="J84" s="50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9.6727463678017411</v>
      </c>
      <c r="G85" s="144">
        <f>H126</f>
        <v>6.4427463678017407</v>
      </c>
      <c r="H85" s="503"/>
      <c r="I85" s="503"/>
      <c r="J85" s="50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9.0710153658397648</v>
      </c>
      <c r="G86" s="144">
        <f t="shared" ref="G86:G92" si="36">H127</f>
        <v>5.8410153658397652</v>
      </c>
      <c r="H86" s="503"/>
      <c r="I86" s="503"/>
      <c r="J86" s="50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8.5254840306117892</v>
      </c>
      <c r="G87" s="144">
        <f t="shared" si="36"/>
        <v>5.2954840306117896</v>
      </c>
      <c r="H87" s="503"/>
      <c r="I87" s="503"/>
      <c r="J87" s="50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8.3552072758703044</v>
      </c>
      <c r="G88" s="144">
        <f t="shared" si="36"/>
        <v>5.1252072758703049</v>
      </c>
      <c r="H88" s="503"/>
      <c r="I88" s="503"/>
      <c r="J88" s="50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8.1904057851533523</v>
      </c>
      <c r="G89" s="144">
        <f t="shared" si="36"/>
        <v>4.9604057851533518</v>
      </c>
      <c r="H89" s="503"/>
      <c r="I89" s="503"/>
      <c r="J89" s="50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8.0309035008646745</v>
      </c>
      <c r="G90" s="144">
        <f t="shared" si="36"/>
        <v>4.8009035008646741</v>
      </c>
      <c r="H90" s="503"/>
      <c r="I90" s="503"/>
      <c r="J90" s="50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7.8765300265555034</v>
      </c>
      <c r="G91" s="144">
        <f t="shared" si="36"/>
        <v>4.6465300265555038</v>
      </c>
      <c r="H91" s="503"/>
      <c r="I91" s="503"/>
      <c r="J91" s="50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7.7271204448898736</v>
      </c>
      <c r="G92" s="144">
        <f t="shared" si="36"/>
        <v>4.4971204448898741</v>
      </c>
      <c r="H92" s="503"/>
      <c r="I92" s="503"/>
      <c r="J92" s="50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7.5825151414632561</v>
      </c>
      <c r="G93" s="144">
        <f>H134</f>
        <v>4.3525151414632557</v>
      </c>
      <c r="H93" s="503"/>
      <c r="I93" s="503"/>
      <c r="J93" s="50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7.44255963428634</v>
      </c>
      <c r="G94" s="144">
        <f>H135</f>
        <v>4.2125596342863396</v>
      </c>
      <c r="H94" s="503"/>
      <c r="I94" s="503"/>
      <c r="J94" s="50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7.3071044087517656</v>
      </c>
      <c r="G95" s="144">
        <f>H136</f>
        <v>4.0771044087517661</v>
      </c>
      <c r="H95" s="503"/>
      <c r="I95" s="503"/>
      <c r="J95" s="50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7.1760047579075259</v>
      </c>
      <c r="G96" s="144">
        <f>H137</f>
        <v>3.9460047579075264</v>
      </c>
      <c r="H96" s="503"/>
      <c r="I96" s="503"/>
      <c r="J96" s="50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6.8074610870610552</v>
      </c>
      <c r="G97" s="144">
        <f>H138</f>
        <v>3.5774610870610548</v>
      </c>
      <c r="H97" s="503"/>
      <c r="I97" s="503"/>
      <c r="J97" s="50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6.692427511169349</v>
      </c>
      <c r="G98" s="144">
        <f>H140</f>
        <v>3.4624275111693485</v>
      </c>
      <c r="H98" s="503"/>
      <c r="I98" s="503"/>
      <c r="J98" s="503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6.0758717052995159</v>
      </c>
      <c r="G99" s="144">
        <f>H142</f>
        <v>2.8458717052995159</v>
      </c>
      <c r="H99" s="503"/>
      <c r="I99" s="503"/>
      <c r="J99" s="503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5.5691062302093206</v>
      </c>
      <c r="G100" s="144">
        <f>H144</f>
        <v>2.3391062302093206</v>
      </c>
      <c r="H100" s="503"/>
      <c r="I100" s="503"/>
      <c r="J100" s="503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5.1525806792397955</v>
      </c>
      <c r="G101" s="148">
        <f>H146</f>
        <v>1.9225806792397959</v>
      </c>
      <c r="H101" s="503"/>
      <c r="I101" s="503"/>
      <c r="J101" s="503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26.267749620633907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26.267749620633907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22.307542271363143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26.267749620633907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20.224092295846496</v>
      </c>
      <c r="I112" s="341"/>
      <c r="J112" s="343">
        <f>H111-H112</f>
        <v>2.0834499755166469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26.267749620633907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18.33522959254821</v>
      </c>
      <c r="I113" s="341"/>
      <c r="J113" s="343">
        <f t="shared" ref="J113:J146" si="42">H112-H113</f>
        <v>1.8888627032982868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26.267749620633907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16.622780359863086</v>
      </c>
      <c r="I114" s="346"/>
      <c r="J114" s="343">
        <f t="shared" si="42"/>
        <v>1.7124492326851239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26.267749620633907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15.070268168583521</v>
      </c>
      <c r="I115" s="346"/>
      <c r="J115" s="343">
        <f t="shared" si="42"/>
        <v>1.5525121912795647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26.267749620633907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13.66275543298417</v>
      </c>
      <c r="I116" s="346"/>
      <c r="J116" s="343">
        <f t="shared" si="42"/>
        <v>1.4075127355993509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26.267749620633907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12.386699687978</v>
      </c>
      <c r="I117" s="346"/>
      <c r="J117" s="343">
        <f t="shared" si="42"/>
        <v>1.27605574500617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26.267749620633907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11.229823289506299</v>
      </c>
      <c r="I118" s="346"/>
      <c r="J118" s="343">
        <f t="shared" si="42"/>
        <v>1.1568763984717005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26.267749620633907</v>
      </c>
      <c r="E119" s="338">
        <f t="shared" si="40"/>
        <v>0.71</v>
      </c>
      <c r="F119" s="339"/>
      <c r="G119" s="331">
        <v>9</v>
      </c>
      <c r="H119" s="347">
        <f t="shared" si="38"/>
        <v>10.180995284477103</v>
      </c>
      <c r="I119" s="348"/>
      <c r="J119" s="343">
        <f t="shared" si="42"/>
        <v>1.0488280050291969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26.267749620633907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9.2301243136571181</v>
      </c>
      <c r="I120" s="341"/>
      <c r="J120" s="343">
        <f t="shared" si="42"/>
        <v>0.95087097081998451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26.267749620633907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8.3680615170759225</v>
      </c>
      <c r="I121" s="346"/>
      <c r="J121" s="343">
        <f t="shared" si="42"/>
        <v>0.86206279658119556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26.267749620633907</v>
      </c>
      <c r="E122" s="338">
        <f t="shared" si="40"/>
        <v>0.62</v>
      </c>
      <c r="F122" s="339"/>
      <c r="G122" s="331">
        <v>14</v>
      </c>
      <c r="H122" s="340">
        <f t="shared" si="38"/>
        <v>7.5865125077413174</v>
      </c>
      <c r="I122" s="341"/>
      <c r="J122" s="343">
        <f t="shared" si="42"/>
        <v>0.78154900933460514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26.267749620633907</v>
      </c>
      <c r="E123" s="338">
        <f t="shared" si="40"/>
        <v>0.37</v>
      </c>
      <c r="F123" s="339"/>
      <c r="G123" s="331">
        <v>15</v>
      </c>
      <c r="H123" s="340">
        <f t="shared" si="38"/>
        <v>3.3510928500276291</v>
      </c>
      <c r="I123" s="341"/>
      <c r="J123" s="343">
        <f t="shared" si="42"/>
        <v>4.2354196577136882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26.267749620633907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7.8385621635095353</v>
      </c>
      <c r="I124" s="346"/>
      <c r="J124" s="343">
        <f t="shared" si="42"/>
        <v>-4.4874693134819061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26.267749620633907</v>
      </c>
      <c r="E125" s="338">
        <f t="shared" si="40"/>
        <v>0.6</v>
      </c>
      <c r="F125" s="339"/>
      <c r="G125" s="331">
        <v>18</v>
      </c>
      <c r="H125" s="340">
        <f t="shared" si="38"/>
        <v>7.1064666260905787</v>
      </c>
      <c r="I125" s="341"/>
      <c r="J125" s="343">
        <f t="shared" si="42"/>
        <v>0.73209553741895661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26.267749620633907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6.4427463678017407</v>
      </c>
      <c r="I126" s="346"/>
      <c r="J126" s="343">
        <f t="shared" si="42"/>
        <v>0.66372025828883796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26.267749620633907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5.8410153658397652</v>
      </c>
      <c r="I127" s="346"/>
      <c r="J127" s="343">
        <f t="shared" si="42"/>
        <v>0.60173100196197549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26.267749620633907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5.2954840306117896</v>
      </c>
      <c r="I128" s="346"/>
      <c r="J128" s="343">
        <f t="shared" si="42"/>
        <v>0.54553133522797559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26.267749620633907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5.1252072758703049</v>
      </c>
      <c r="I129" s="346"/>
      <c r="J129" s="343">
        <f t="shared" si="42"/>
        <v>0.17027675474148474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26.267749620633907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4.9604057851533518</v>
      </c>
      <c r="I130" s="346"/>
      <c r="J130" s="343">
        <f t="shared" si="42"/>
        <v>0.16480149071695305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26.267749620633907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4.8009035008646741</v>
      </c>
      <c r="I131" s="346"/>
      <c r="J131" s="343">
        <f t="shared" si="42"/>
        <v>0.15950228428867774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26.267749620633907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4.6465300265555038</v>
      </c>
      <c r="I132" s="346"/>
      <c r="J132" s="343">
        <f t="shared" si="42"/>
        <v>0.15437347430917026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26.267749620633907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4.4971204448898741</v>
      </c>
      <c r="I133" s="346"/>
      <c r="J133" s="343">
        <f t="shared" si="42"/>
        <v>0.14940958166562979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26.267749620633907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4.3525151414632557</v>
      </c>
      <c r="I134" s="346"/>
      <c r="J134" s="343">
        <f t="shared" si="42"/>
        <v>0.14460530342661837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26.267749620633907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4.2125596342863396</v>
      </c>
      <c r="I135" s="346"/>
      <c r="J135" s="343">
        <f t="shared" si="42"/>
        <v>0.13995550717691607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26.267749620633907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4.0771044087517661</v>
      </c>
      <c r="I136" s="346"/>
      <c r="J136" s="343">
        <f t="shared" si="42"/>
        <v>0.13545522553457356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26.267749620633907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3.9460047579075264</v>
      </c>
      <c r="I137" s="346"/>
      <c r="J137" s="343">
        <f t="shared" si="42"/>
        <v>0.13109965084423969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26.267749620633907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3.5774610870610548</v>
      </c>
      <c r="I138" s="346"/>
      <c r="J138" s="343">
        <f t="shared" si="42"/>
        <v>0.36854367084647155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26.267749620633907</v>
      </c>
      <c r="E139" s="338">
        <f t="shared" si="40"/>
        <v>0.36</v>
      </c>
      <c r="F139" s="339"/>
      <c r="G139" s="331">
        <v>150</v>
      </c>
      <c r="H139" s="340">
        <f t="shared" si="38"/>
        <v>3.2433381647067909</v>
      </c>
      <c r="I139" s="341"/>
      <c r="J139" s="343">
        <f t="shared" si="42"/>
        <v>0.33412292235426388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26.267749620633907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3.4624275111693485</v>
      </c>
      <c r="I140" s="346"/>
      <c r="J140" s="343">
        <f t="shared" si="42"/>
        <v>-0.21908934646255762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26.267749620633907</v>
      </c>
      <c r="E141" s="338">
        <f t="shared" si="40"/>
        <v>0.35</v>
      </c>
      <c r="F141" s="339"/>
      <c r="G141" s="331">
        <v>210</v>
      </c>
      <c r="H141" s="340">
        <f t="shared" si="38"/>
        <v>3.1390483407694552</v>
      </c>
      <c r="I141" s="341"/>
      <c r="J141" s="343">
        <f t="shared" si="42"/>
        <v>0.32337917039989339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26.267749620633907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2.8458717052995159</v>
      </c>
      <c r="I142" s="346"/>
      <c r="J142" s="343">
        <f t="shared" si="42"/>
        <v>0.29317663546993922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26.267749620633907</v>
      </c>
      <c r="E143" s="338">
        <f>C143/100</f>
        <v>0.28999999999999998</v>
      </c>
      <c r="F143" s="339"/>
      <c r="G143" s="331">
        <v>270</v>
      </c>
      <c r="H143" s="340">
        <f t="shared" si="38"/>
        <v>2.5800767888267435</v>
      </c>
      <c r="I143" s="341"/>
      <c r="J143" s="343">
        <f t="shared" si="42"/>
        <v>0.26579491647277242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26.267749620633907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2.3391062302093206</v>
      </c>
      <c r="I144" s="346"/>
      <c r="J144" s="343">
        <f t="shared" si="42"/>
        <v>0.24097055861742289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26.267749620633907</v>
      </c>
      <c r="E145" s="338">
        <f>C145/100</f>
        <v>0.23</v>
      </c>
      <c r="F145" s="339"/>
      <c r="G145" s="331">
        <v>330</v>
      </c>
      <c r="H145" s="340">
        <f t="shared" si="38"/>
        <v>2.1206415172984503</v>
      </c>
      <c r="I145" s="341"/>
      <c r="J145" s="343">
        <f t="shared" si="42"/>
        <v>0.21846471291087033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26.267749620633907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1.9225806792397959</v>
      </c>
      <c r="I146" s="346"/>
      <c r="J146" s="343">
        <f t="shared" si="42"/>
        <v>0.19806083805865438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157</v>
      </c>
      <c r="C24" s="114"/>
    </row>
    <row r="25" spans="1:3">
      <c r="A25" s="115">
        <f>StepTest!D31</f>
        <v>120</v>
      </c>
      <c r="B25" s="115">
        <f>Input!D4</f>
        <v>200</v>
      </c>
      <c r="C25" s="114"/>
    </row>
    <row r="26" spans="1:3">
      <c r="A26" s="115">
        <f>StepTest!D36</f>
        <v>240</v>
      </c>
      <c r="B26" s="115">
        <f>Input!D5</f>
        <v>243.95</v>
      </c>
      <c r="C26" s="114"/>
    </row>
    <row r="27" spans="1:3">
      <c r="A27" s="115">
        <f>StepTest!D41</f>
        <v>360</v>
      </c>
      <c r="B27" s="115">
        <f>Input!D6</f>
        <v>287</v>
      </c>
      <c r="C27" s="114"/>
    </row>
    <row r="28" spans="1:3">
      <c r="A28" s="115">
        <f>StepTest!D46</f>
        <v>480</v>
      </c>
      <c r="B28" s="115">
        <f>Input!D7</f>
        <v>330.04999999999995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-1.0900000000000001</v>
      </c>
      <c r="C35" s="115">
        <v>1</v>
      </c>
    </row>
    <row r="36" spans="1:3">
      <c r="A36" s="113">
        <f>Sheet1!A2</f>
        <v>2</v>
      </c>
      <c r="B36" s="114">
        <f>Sheet1!B2</f>
        <v>0.08</v>
      </c>
      <c r="C36" s="115">
        <v>1</v>
      </c>
    </row>
    <row r="37" spans="1:3">
      <c r="A37" s="113">
        <f>Sheet1!A3</f>
        <v>3</v>
      </c>
      <c r="B37" s="114">
        <f>Sheet1!B3</f>
        <v>0.77</v>
      </c>
      <c r="C37" s="115">
        <v>1</v>
      </c>
    </row>
    <row r="38" spans="1:3">
      <c r="A38" s="113">
        <f>Sheet1!A4</f>
        <v>4</v>
      </c>
      <c r="B38" s="114">
        <f>Sheet1!B4</f>
        <v>1.25</v>
      </c>
      <c r="C38" s="115">
        <v>1</v>
      </c>
    </row>
    <row r="39" spans="1:3">
      <c r="A39" s="113">
        <f>Sheet1!A5</f>
        <v>5</v>
      </c>
      <c r="B39" s="114">
        <f>Sheet1!B5</f>
        <v>1.63</v>
      </c>
      <c r="C39" s="115">
        <v>1</v>
      </c>
    </row>
    <row r="40" spans="1:3">
      <c r="A40" s="113">
        <f>Sheet1!A6</f>
        <v>10</v>
      </c>
      <c r="B40" s="114">
        <f>Sheet1!B6</f>
        <v>2.8</v>
      </c>
      <c r="C40" s="115">
        <v>1</v>
      </c>
    </row>
    <row r="41" spans="1:3">
      <c r="A41" s="113">
        <f>Sheet1!A7</f>
        <v>15</v>
      </c>
      <c r="B41" s="114">
        <f>Sheet1!B7</f>
        <v>3.49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4.3499999999999996</v>
      </c>
      <c r="C43" s="115">
        <v>1</v>
      </c>
    </row>
    <row r="44" spans="1:3">
      <c r="A44" s="113">
        <f>Sheet1!A10</f>
        <v>30</v>
      </c>
      <c r="B44" s="114">
        <f>Sheet1!B10</f>
        <v>4.66</v>
      </c>
      <c r="C44" s="115">
        <v>1</v>
      </c>
    </row>
    <row r="45" spans="1:3">
      <c r="A45" s="113">
        <f>Sheet1!A11</f>
        <v>35</v>
      </c>
      <c r="B45" s="114">
        <f>Sheet1!B11</f>
        <v>4.92</v>
      </c>
      <c r="C45" s="115">
        <v>1</v>
      </c>
    </row>
    <row r="46" spans="1:3">
      <c r="A46" s="113">
        <f>Sheet1!A12</f>
        <v>40</v>
      </c>
      <c r="B46" s="114">
        <f>Sheet1!B12</f>
        <v>5.15</v>
      </c>
      <c r="C46" s="115">
        <v>1</v>
      </c>
    </row>
    <row r="47" spans="1:3">
      <c r="A47" s="113">
        <f>Sheet1!A13</f>
        <v>45</v>
      </c>
      <c r="B47" s="114">
        <f>Sheet1!B13</f>
        <v>5.35</v>
      </c>
      <c r="C47" s="115">
        <v>1</v>
      </c>
    </row>
    <row r="48" spans="1:3">
      <c r="A48" s="113">
        <f>Sheet1!A14</f>
        <v>50</v>
      </c>
      <c r="B48" s="114">
        <f>Sheet1!B14</f>
        <v>5.52</v>
      </c>
      <c r="C48" s="115">
        <v>1</v>
      </c>
    </row>
    <row r="49" spans="1:3">
      <c r="A49" s="113">
        <f>Sheet1!A15</f>
        <v>55</v>
      </c>
      <c r="B49" s="114">
        <f>Sheet1!B15</f>
        <v>5.69</v>
      </c>
      <c r="C49" s="115">
        <v>1</v>
      </c>
    </row>
    <row r="50" spans="1:3">
      <c r="A50" s="113">
        <f>Sheet1!A16</f>
        <v>60</v>
      </c>
      <c r="B50" s="114">
        <f>Sheet1!B16</f>
        <v>5.83</v>
      </c>
      <c r="C50" s="115">
        <v>1</v>
      </c>
    </row>
    <row r="51" spans="1:3">
      <c r="A51" s="113">
        <f>Sheet1!A17</f>
        <v>75</v>
      </c>
      <c r="B51" s="114">
        <f>Sheet1!B17</f>
        <v>6.21</v>
      </c>
      <c r="C51" s="115">
        <v>1</v>
      </c>
    </row>
    <row r="52" spans="1:3">
      <c r="A52" s="113">
        <f>Sheet1!A18</f>
        <v>90</v>
      </c>
      <c r="B52" s="114">
        <f>Sheet1!B18</f>
        <v>6.52</v>
      </c>
      <c r="C52" s="115">
        <v>1</v>
      </c>
    </row>
    <row r="53" spans="1:3">
      <c r="A53" s="113">
        <f>Sheet1!A19</f>
        <v>105</v>
      </c>
      <c r="B53" s="114">
        <f>Sheet1!B19</f>
        <v>6.78</v>
      </c>
      <c r="C53" s="115">
        <v>1</v>
      </c>
    </row>
    <row r="54" spans="1:3">
      <c r="A54" s="113">
        <f>Sheet1!A20</f>
        <v>120</v>
      </c>
      <c r="B54" s="114">
        <f>Sheet1!B20</f>
        <v>7.01</v>
      </c>
      <c r="C54" s="115">
        <v>1</v>
      </c>
    </row>
    <row r="55" spans="1:3">
      <c r="A55" s="113">
        <f>Sheet1!A21</f>
        <v>121</v>
      </c>
      <c r="B55" s="114">
        <f>Sheet1!B21</f>
        <v>7.17</v>
      </c>
      <c r="C55" s="115">
        <v>1</v>
      </c>
    </row>
    <row r="56" spans="1:3">
      <c r="A56" s="113">
        <f>Sheet1!A22</f>
        <v>122</v>
      </c>
      <c r="B56" s="114">
        <f>Sheet1!B22</f>
        <v>7.32</v>
      </c>
      <c r="C56" s="115">
        <v>1</v>
      </c>
    </row>
    <row r="57" spans="1:3">
      <c r="A57" s="113">
        <f>Sheet1!A23</f>
        <v>123</v>
      </c>
      <c r="B57" s="114">
        <f>Sheet1!B23</f>
        <v>7.46</v>
      </c>
      <c r="C57" s="115">
        <v>1</v>
      </c>
    </row>
    <row r="58" spans="1:3">
      <c r="A58" s="113">
        <f>Sheet1!A24</f>
        <v>124</v>
      </c>
      <c r="B58" s="114">
        <f>Sheet1!B24</f>
        <v>7.59</v>
      </c>
      <c r="C58" s="115">
        <v>1</v>
      </c>
    </row>
    <row r="59" spans="1:3">
      <c r="A59" s="113">
        <f>Sheet1!A25</f>
        <v>125</v>
      </c>
      <c r="B59" s="114">
        <f>Sheet1!B25</f>
        <v>7.72</v>
      </c>
      <c r="C59" s="115">
        <v>1</v>
      </c>
    </row>
    <row r="60" spans="1:3">
      <c r="A60" s="113">
        <f>Sheet1!A26</f>
        <v>130</v>
      </c>
      <c r="B60" s="114">
        <f>Sheet1!B26</f>
        <v>8.41</v>
      </c>
      <c r="C60" s="115">
        <v>1</v>
      </c>
    </row>
    <row r="61" spans="1:3">
      <c r="A61" s="113">
        <f>Sheet1!A27</f>
        <v>135</v>
      </c>
      <c r="B61" s="114">
        <f>Sheet1!B27</f>
        <v>8.52</v>
      </c>
      <c r="C61" s="115">
        <v>1</v>
      </c>
    </row>
    <row r="62" spans="1:3">
      <c r="A62" s="113">
        <f>Sheet1!A28</f>
        <v>140</v>
      </c>
      <c r="B62" s="114">
        <f>Sheet1!B28</f>
        <v>8.64</v>
      </c>
      <c r="C62" s="115">
        <v>1</v>
      </c>
    </row>
    <row r="63" spans="1:3">
      <c r="A63" s="113">
        <f>Sheet1!A29</f>
        <v>145</v>
      </c>
      <c r="B63" s="114">
        <f>Sheet1!B29</f>
        <v>8.74</v>
      </c>
      <c r="C63" s="115">
        <v>1</v>
      </c>
    </row>
    <row r="64" spans="1:3">
      <c r="A64" s="113">
        <f>Sheet1!A30</f>
        <v>150</v>
      </c>
      <c r="B64" s="114">
        <f>Sheet1!B30</f>
        <v>8.8800000000000008</v>
      </c>
      <c r="C64" s="115">
        <v>1</v>
      </c>
    </row>
    <row r="65" spans="1:3">
      <c r="A65" s="113">
        <f>Sheet1!A31</f>
        <v>155</v>
      </c>
      <c r="B65" s="114">
        <f>Sheet1!B31</f>
        <v>8.9400000000000013</v>
      </c>
      <c r="C65" s="115">
        <v>1</v>
      </c>
    </row>
    <row r="66" spans="1:3">
      <c r="A66" s="113">
        <f>Sheet1!A32</f>
        <v>160</v>
      </c>
      <c r="B66" s="114">
        <f>Sheet1!B32</f>
        <v>8.990000000000002</v>
      </c>
      <c r="C66" s="115">
        <v>1</v>
      </c>
    </row>
    <row r="67" spans="1:3">
      <c r="A67" s="113">
        <f>Sheet1!A33</f>
        <v>165</v>
      </c>
      <c r="B67" s="114">
        <f>Sheet1!B33</f>
        <v>9.0300000000000011</v>
      </c>
      <c r="C67" s="115">
        <v>1</v>
      </c>
    </row>
    <row r="68" spans="1:3">
      <c r="A68" s="113">
        <f>Sheet1!A34</f>
        <v>170</v>
      </c>
      <c r="B68" s="114">
        <f>Sheet1!B34</f>
        <v>9.06</v>
      </c>
      <c r="C68" s="115">
        <v>1</v>
      </c>
    </row>
    <row r="69" spans="1:3">
      <c r="A69" s="113">
        <f>Sheet1!A35</f>
        <v>175</v>
      </c>
      <c r="B69" s="114">
        <f>Sheet1!B35</f>
        <v>9.08</v>
      </c>
      <c r="C69" s="115">
        <v>1</v>
      </c>
    </row>
    <row r="70" spans="1:3">
      <c r="A70" s="113">
        <f>Sheet1!A36</f>
        <v>180</v>
      </c>
      <c r="B70" s="114">
        <f>Sheet1!B36</f>
        <v>9.11</v>
      </c>
      <c r="C70" s="115">
        <v>1</v>
      </c>
    </row>
    <row r="71" spans="1:3">
      <c r="A71" s="113">
        <f>Sheet1!A37</f>
        <v>195</v>
      </c>
      <c r="B71" s="114">
        <f>Sheet1!B37</f>
        <v>9.18</v>
      </c>
      <c r="C71" s="115">
        <v>1</v>
      </c>
    </row>
    <row r="72" spans="1:3">
      <c r="A72" s="113">
        <f>Sheet1!A38</f>
        <v>210</v>
      </c>
      <c r="B72" s="114">
        <f>Sheet1!B38</f>
        <v>9.24</v>
      </c>
      <c r="C72" s="115">
        <v>1</v>
      </c>
    </row>
    <row r="73" spans="1:3">
      <c r="A73" s="113">
        <f>Sheet1!A39</f>
        <v>225</v>
      </c>
      <c r="B73" s="114">
        <f>Sheet1!B39</f>
        <v>9.2900000000000009</v>
      </c>
      <c r="C73" s="115">
        <v>1</v>
      </c>
    </row>
    <row r="74" spans="1:3">
      <c r="A74" s="113">
        <f>Sheet1!A40</f>
        <v>240</v>
      </c>
      <c r="B74" s="114">
        <f>Sheet1!B40</f>
        <v>9.35</v>
      </c>
      <c r="C74" s="115">
        <v>1</v>
      </c>
    </row>
    <row r="75" spans="1:3">
      <c r="A75" s="113">
        <f>Sheet1!A41</f>
        <v>241</v>
      </c>
      <c r="B75" s="114">
        <f>Sheet1!B41</f>
        <v>9.5299999999999994</v>
      </c>
      <c r="C75" s="115">
        <v>1</v>
      </c>
    </row>
    <row r="76" spans="1:3">
      <c r="A76" s="113">
        <f>Sheet1!A42</f>
        <v>242</v>
      </c>
      <c r="B76" s="114">
        <f>Sheet1!B42</f>
        <v>9.69</v>
      </c>
      <c r="C76" s="115">
        <v>1</v>
      </c>
    </row>
    <row r="77" spans="1:3">
      <c r="A77" s="113">
        <f>Sheet1!A43</f>
        <v>243</v>
      </c>
      <c r="B77" s="114">
        <f>Sheet1!B43</f>
        <v>9.84</v>
      </c>
      <c r="C77" s="115">
        <v>1</v>
      </c>
    </row>
    <row r="78" spans="1:3">
      <c r="A78" s="113">
        <f>Sheet1!A44</f>
        <v>244</v>
      </c>
      <c r="B78" s="114">
        <f>Sheet1!B44</f>
        <v>9.98</v>
      </c>
      <c r="C78" s="115">
        <v>1</v>
      </c>
    </row>
    <row r="79" spans="1:3">
      <c r="A79" s="113">
        <f>Sheet1!A45</f>
        <v>245</v>
      </c>
      <c r="B79" s="114">
        <f>Sheet1!B45</f>
        <v>10.110000000000001</v>
      </c>
      <c r="C79" s="115">
        <v>1</v>
      </c>
    </row>
    <row r="80" spans="1:3">
      <c r="A80" s="113">
        <f>Sheet1!A46</f>
        <v>250</v>
      </c>
      <c r="B80" s="114">
        <f>Sheet1!B46</f>
        <v>10.92</v>
      </c>
      <c r="C80" s="115">
        <v>1</v>
      </c>
    </row>
    <row r="81" spans="1:3">
      <c r="A81" s="113">
        <f>Sheet1!A47</f>
        <v>255</v>
      </c>
      <c r="B81" s="114">
        <f>Sheet1!B47</f>
        <v>11.03</v>
      </c>
      <c r="C81" s="115">
        <v>1</v>
      </c>
    </row>
    <row r="82" spans="1:3">
      <c r="A82" s="113">
        <f>Sheet1!A48</f>
        <v>260</v>
      </c>
      <c r="B82" s="114">
        <f>Sheet1!B48</f>
        <v>11.19</v>
      </c>
      <c r="C82" s="115">
        <v>1</v>
      </c>
    </row>
    <row r="83" spans="1:3">
      <c r="A83" s="113">
        <f>Sheet1!A49</f>
        <v>265</v>
      </c>
      <c r="B83" s="114">
        <f>Sheet1!B49</f>
        <v>11.299999999999999</v>
      </c>
      <c r="C83" s="115">
        <v>1</v>
      </c>
    </row>
    <row r="84" spans="1:3">
      <c r="A84" s="113">
        <f>Sheet1!A50</f>
        <v>270</v>
      </c>
      <c r="B84" s="114">
        <f>Sheet1!B50</f>
        <v>11.45</v>
      </c>
      <c r="C84" s="115">
        <v>1</v>
      </c>
    </row>
    <row r="85" spans="1:3">
      <c r="A85" s="113">
        <f>Sheet1!A51</f>
        <v>275</v>
      </c>
      <c r="B85" s="114">
        <f>Sheet1!B51</f>
        <v>11.52</v>
      </c>
      <c r="C85" s="115">
        <v>1</v>
      </c>
    </row>
    <row r="86" spans="1:3">
      <c r="A86" s="113">
        <f>Sheet1!A52</f>
        <v>280</v>
      </c>
      <c r="B86" s="114">
        <f>Sheet1!B52</f>
        <v>11.57</v>
      </c>
      <c r="C86" s="115">
        <v>1</v>
      </c>
    </row>
    <row r="87" spans="1:3">
      <c r="A87" s="113">
        <f>Sheet1!A53</f>
        <v>285</v>
      </c>
      <c r="B87" s="114">
        <f>Sheet1!B53</f>
        <v>11.61</v>
      </c>
      <c r="C87" s="115">
        <v>1</v>
      </c>
    </row>
    <row r="88" spans="1:3">
      <c r="A88" s="113">
        <f>Sheet1!A54</f>
        <v>290</v>
      </c>
      <c r="B88" s="114">
        <f>Sheet1!B54</f>
        <v>11.639999999999999</v>
      </c>
      <c r="C88" s="115">
        <v>1</v>
      </c>
    </row>
    <row r="89" spans="1:3">
      <c r="A89" s="113">
        <f>Sheet1!A55</f>
        <v>295</v>
      </c>
      <c r="B89" s="114">
        <f>Sheet1!B55</f>
        <v>11.659999999999998</v>
      </c>
      <c r="C89" s="115">
        <v>1</v>
      </c>
    </row>
    <row r="90" spans="1:3">
      <c r="A90" s="113">
        <f>Sheet1!A56</f>
        <v>300</v>
      </c>
      <c r="B90" s="114">
        <f>Sheet1!B56</f>
        <v>11.71</v>
      </c>
      <c r="C90" s="115">
        <v>1</v>
      </c>
    </row>
    <row r="91" spans="1:3">
      <c r="A91" s="113">
        <f>Sheet1!A57</f>
        <v>315</v>
      </c>
      <c r="B91" s="114">
        <f>Sheet1!B57</f>
        <v>11.790000000000001</v>
      </c>
      <c r="C91" s="115">
        <v>1</v>
      </c>
    </row>
    <row r="92" spans="1:3">
      <c r="A92" s="113">
        <f>Sheet1!A58</f>
        <v>330</v>
      </c>
      <c r="B92" s="114">
        <f>Sheet1!B58</f>
        <v>11.850000000000001</v>
      </c>
      <c r="C92" s="115">
        <v>1</v>
      </c>
    </row>
    <row r="93" spans="1:3">
      <c r="A93" s="113">
        <f>Sheet1!A59</f>
        <v>345</v>
      </c>
      <c r="B93" s="114">
        <f>Sheet1!B59</f>
        <v>11.900000000000002</v>
      </c>
      <c r="C93" s="115">
        <v>1</v>
      </c>
    </row>
    <row r="94" spans="1:3">
      <c r="A94" s="113">
        <f>Sheet1!A60</f>
        <v>360</v>
      </c>
      <c r="B94" s="114">
        <f>Sheet1!B60</f>
        <v>11.98</v>
      </c>
      <c r="C94" s="115">
        <v>1</v>
      </c>
    </row>
    <row r="95" spans="1:3">
      <c r="A95" s="113">
        <f>Sheet1!A61</f>
        <v>361</v>
      </c>
      <c r="B95" s="114">
        <f>Sheet1!B61</f>
        <v>12.17</v>
      </c>
      <c r="C95" s="115">
        <v>1</v>
      </c>
    </row>
    <row r="96" spans="1:3">
      <c r="A96" s="113">
        <f>Sheet1!A62</f>
        <v>362</v>
      </c>
      <c r="B96" s="114">
        <f>Sheet1!B62</f>
        <v>12.34</v>
      </c>
      <c r="C96" s="115">
        <v>1</v>
      </c>
    </row>
    <row r="97" spans="1:3">
      <c r="A97" s="113">
        <f>Sheet1!A63</f>
        <v>363</v>
      </c>
      <c r="B97" s="114">
        <f>Sheet1!B63</f>
        <v>12.5</v>
      </c>
      <c r="C97" s="115">
        <v>1</v>
      </c>
    </row>
    <row r="98" spans="1:3">
      <c r="A98" s="113">
        <f>Sheet1!A64</f>
        <v>364</v>
      </c>
      <c r="B98" s="114">
        <f>Sheet1!B64</f>
        <v>12.65</v>
      </c>
      <c r="C98" s="115">
        <v>1</v>
      </c>
    </row>
    <row r="99" spans="1:3">
      <c r="A99" s="113">
        <f>Sheet1!A65</f>
        <v>365</v>
      </c>
      <c r="B99" s="114">
        <f>Sheet1!B65</f>
        <v>12.790000000000001</v>
      </c>
      <c r="C99" s="115">
        <v>1</v>
      </c>
    </row>
    <row r="100" spans="1:3">
      <c r="A100" s="113">
        <f>Sheet1!A66</f>
        <v>370</v>
      </c>
      <c r="B100" s="114">
        <f>Sheet1!B66</f>
        <v>13.74</v>
      </c>
      <c r="C100" s="115">
        <v>1</v>
      </c>
    </row>
    <row r="101" spans="1:3">
      <c r="A101" s="113">
        <f>Sheet1!A67</f>
        <v>375</v>
      </c>
      <c r="B101" s="114">
        <f>Sheet1!B67</f>
        <v>13.86</v>
      </c>
      <c r="C101" s="115">
        <v>1</v>
      </c>
    </row>
    <row r="102" spans="1:3">
      <c r="A102" s="113">
        <f>Sheet1!A68</f>
        <v>380</v>
      </c>
      <c r="B102" s="114">
        <f>Sheet1!B68</f>
        <v>14.03</v>
      </c>
      <c r="C102" s="115">
        <v>1</v>
      </c>
    </row>
    <row r="103" spans="1:3">
      <c r="A103" s="113">
        <f>Sheet1!A69</f>
        <v>385</v>
      </c>
      <c r="B103" s="114">
        <f>Sheet1!B69</f>
        <v>14.149999999999999</v>
      </c>
      <c r="C103" s="115">
        <v>1</v>
      </c>
    </row>
    <row r="104" spans="1:3">
      <c r="A104" s="113">
        <f>Sheet1!A70</f>
        <v>390</v>
      </c>
      <c r="B104" s="114">
        <f>Sheet1!B70</f>
        <v>14.33</v>
      </c>
      <c r="C104" s="115">
        <v>1</v>
      </c>
    </row>
    <row r="105" spans="1:3">
      <c r="A105" s="113">
        <f>Sheet1!A71</f>
        <v>395</v>
      </c>
      <c r="B105" s="114">
        <f>Sheet1!B71</f>
        <v>14.4</v>
      </c>
      <c r="C105" s="115">
        <v>1</v>
      </c>
    </row>
    <row r="106" spans="1:3">
      <c r="A106" s="113">
        <f>Sheet1!A72</f>
        <v>400</v>
      </c>
      <c r="B106" s="114">
        <f>Sheet1!B72</f>
        <v>14.450000000000001</v>
      </c>
      <c r="C106" s="115">
        <v>1</v>
      </c>
    </row>
    <row r="107" spans="1:3">
      <c r="A107" s="113">
        <f>Sheet1!A73</f>
        <v>405</v>
      </c>
      <c r="B107" s="114">
        <f>Sheet1!B73</f>
        <v>14.49</v>
      </c>
      <c r="C107" s="115">
        <v>1</v>
      </c>
    </row>
    <row r="108" spans="1:3">
      <c r="A108" s="113">
        <f>Sheet1!A74</f>
        <v>410</v>
      </c>
      <c r="B108" s="114">
        <f>Sheet1!B74</f>
        <v>14.52</v>
      </c>
      <c r="C108" s="115">
        <v>1</v>
      </c>
    </row>
    <row r="109" spans="1:3">
      <c r="A109" s="113">
        <f>Sheet1!A75</f>
        <v>415</v>
      </c>
      <c r="B109" s="114">
        <f>Sheet1!B75</f>
        <v>14.549999999999999</v>
      </c>
      <c r="C109" s="115">
        <v>1</v>
      </c>
    </row>
    <row r="110" spans="1:3">
      <c r="A110" s="113">
        <f>Sheet1!A76</f>
        <v>420</v>
      </c>
      <c r="B110" s="114">
        <f>Sheet1!B76</f>
        <v>14.62</v>
      </c>
      <c r="C110" s="115">
        <v>1</v>
      </c>
    </row>
    <row r="111" spans="1:3">
      <c r="A111" s="113">
        <f>Sheet1!A77</f>
        <v>435</v>
      </c>
      <c r="B111" s="114">
        <f>Sheet1!B77</f>
        <v>14.709999999999999</v>
      </c>
      <c r="C111" s="115">
        <v>1</v>
      </c>
    </row>
    <row r="112" spans="1:3">
      <c r="A112" s="113">
        <f>Sheet1!A78</f>
        <v>450</v>
      </c>
      <c r="B112" s="114">
        <f>Sheet1!B78</f>
        <v>14.78</v>
      </c>
      <c r="C112" s="115">
        <v>1</v>
      </c>
    </row>
    <row r="113" spans="1:3">
      <c r="A113" s="113">
        <f>Sheet1!A79</f>
        <v>465</v>
      </c>
      <c r="B113" s="114">
        <f>Sheet1!B79</f>
        <v>14.83</v>
      </c>
      <c r="C113" s="115">
        <v>1</v>
      </c>
    </row>
    <row r="114" spans="1:3">
      <c r="A114" s="113">
        <f>Sheet1!A80</f>
        <v>480</v>
      </c>
      <c r="B114" s="114">
        <f>Sheet1!B80</f>
        <v>14.92</v>
      </c>
      <c r="C114" s="115">
        <v>1</v>
      </c>
    </row>
    <row r="115" spans="1:3">
      <c r="A115" s="113">
        <f>Sheet1!A81</f>
        <v>481</v>
      </c>
      <c r="B115" s="114">
        <f>Sheet1!B81</f>
        <v>15.13</v>
      </c>
      <c r="C115" s="115">
        <v>1</v>
      </c>
    </row>
    <row r="116" spans="1:3">
      <c r="A116" s="113">
        <f>Sheet1!A82</f>
        <v>482</v>
      </c>
      <c r="B116" s="114">
        <f>Sheet1!B82</f>
        <v>15.32</v>
      </c>
      <c r="C116" s="115">
        <v>1</v>
      </c>
    </row>
    <row r="117" spans="1:3">
      <c r="A117" s="113">
        <f>Sheet1!A83</f>
        <v>483</v>
      </c>
      <c r="B117" s="114">
        <f>Sheet1!B83</f>
        <v>15.49</v>
      </c>
      <c r="C117" s="115">
        <v>1</v>
      </c>
    </row>
    <row r="118" spans="1:3">
      <c r="A118" s="113">
        <f>Sheet1!A84</f>
        <v>484</v>
      </c>
      <c r="B118" s="114">
        <f>Sheet1!B84</f>
        <v>15.65</v>
      </c>
      <c r="C118" s="115">
        <v>1</v>
      </c>
    </row>
    <row r="119" spans="1:3">
      <c r="A119" s="113">
        <f>Sheet1!A85</f>
        <v>485</v>
      </c>
      <c r="B119" s="114">
        <f>Sheet1!B85</f>
        <v>15.790000000000001</v>
      </c>
      <c r="C119" s="115">
        <v>1</v>
      </c>
    </row>
    <row r="120" spans="1:3">
      <c r="A120" s="113">
        <f>Sheet1!A86</f>
        <v>490</v>
      </c>
      <c r="B120" s="114">
        <f>Sheet1!B86</f>
        <v>16.7</v>
      </c>
      <c r="C120" s="115">
        <v>1</v>
      </c>
    </row>
    <row r="121" spans="1:3">
      <c r="A121" s="113">
        <f>Sheet1!A87</f>
        <v>495</v>
      </c>
      <c r="B121" s="114">
        <f>Sheet1!B87</f>
        <v>17.009999999999998</v>
      </c>
      <c r="C121" s="115">
        <v>1</v>
      </c>
    </row>
    <row r="122" spans="1:3">
      <c r="A122" s="113">
        <f>Sheet1!A88</f>
        <v>500</v>
      </c>
      <c r="B122" s="114">
        <f>Sheet1!B88</f>
        <v>17.37</v>
      </c>
      <c r="C122" s="115">
        <v>1</v>
      </c>
    </row>
    <row r="123" spans="1:3">
      <c r="A123" s="113">
        <f>Sheet1!A89</f>
        <v>505</v>
      </c>
      <c r="B123" s="114">
        <f>Sheet1!B89</f>
        <v>17.670000000000002</v>
      </c>
      <c r="C123" s="115">
        <v>1</v>
      </c>
    </row>
    <row r="124" spans="1:3">
      <c r="A124" s="113">
        <f>Sheet1!A90</f>
        <v>510</v>
      </c>
      <c r="B124" s="114">
        <f>Sheet1!B90</f>
        <v>18.04</v>
      </c>
      <c r="C124" s="115">
        <v>1</v>
      </c>
    </row>
    <row r="125" spans="1:3">
      <c r="A125" s="113">
        <f>Sheet1!A91</f>
        <v>515</v>
      </c>
      <c r="B125" s="114">
        <f>Sheet1!B91</f>
        <v>18.189999999999998</v>
      </c>
      <c r="C125" s="115">
        <v>1</v>
      </c>
    </row>
    <row r="126" spans="1:3">
      <c r="A126" s="113">
        <f>Sheet1!A92</f>
        <v>520</v>
      </c>
      <c r="B126" s="114">
        <f>Sheet1!B92</f>
        <v>18.319999999999997</v>
      </c>
      <c r="C126" s="115">
        <v>1</v>
      </c>
    </row>
    <row r="127" spans="1:3">
      <c r="A127" s="113">
        <f>Sheet1!A93</f>
        <v>525</v>
      </c>
      <c r="B127" s="114">
        <f>Sheet1!B93</f>
        <v>18.429999999999996</v>
      </c>
      <c r="C127" s="115">
        <v>1</v>
      </c>
    </row>
    <row r="128" spans="1:3">
      <c r="A128" s="113">
        <f>Sheet1!A94</f>
        <v>530</v>
      </c>
      <c r="B128" s="114">
        <f>Sheet1!B94</f>
        <v>18.509999999999994</v>
      </c>
      <c r="C128" s="115">
        <v>1</v>
      </c>
    </row>
    <row r="129" spans="1:3">
      <c r="A129" s="113">
        <f>Sheet1!A95</f>
        <v>535</v>
      </c>
      <c r="B129" s="114">
        <f>Sheet1!B95</f>
        <v>18.579999999999995</v>
      </c>
      <c r="C129" s="115">
        <v>1</v>
      </c>
    </row>
    <row r="130" spans="1:3">
      <c r="A130" s="113">
        <f>Sheet1!A96</f>
        <v>540</v>
      </c>
      <c r="B130" s="114">
        <f>Sheet1!B96</f>
        <v>18.71</v>
      </c>
      <c r="C130" s="115">
        <v>1</v>
      </c>
    </row>
    <row r="131" spans="1:3">
      <c r="A131" s="113">
        <f>Sheet1!A97</f>
        <v>555</v>
      </c>
      <c r="B131" s="114">
        <f>Sheet1!B97</f>
        <v>18.900000000000002</v>
      </c>
      <c r="C131" s="115">
        <v>1</v>
      </c>
    </row>
    <row r="132" spans="1:3">
      <c r="A132" s="113">
        <f>Sheet1!A98</f>
        <v>570</v>
      </c>
      <c r="B132" s="114">
        <f>Sheet1!B98</f>
        <v>19.060000000000002</v>
      </c>
      <c r="C132" s="115">
        <v>1</v>
      </c>
    </row>
    <row r="133" spans="1:3">
      <c r="A133" s="113">
        <f>Sheet1!A99</f>
        <v>585</v>
      </c>
      <c r="B133" s="114">
        <f>Sheet1!B99</f>
        <v>19.200000000000003</v>
      </c>
      <c r="C133" s="115">
        <v>1</v>
      </c>
    </row>
    <row r="134" spans="1:3">
      <c r="A134" s="113">
        <f>Sheet1!A100</f>
        <v>600</v>
      </c>
      <c r="B134" s="114">
        <f>Sheet1!B100</f>
        <v>19.39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250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0.40500000000000003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12.693591285614936</v>
      </c>
      <c r="C31" s="115">
        <v>1</v>
      </c>
    </row>
    <row r="32" spans="1:3">
      <c r="A32" s="113">
        <f>LongTest!D11</f>
        <v>2</v>
      </c>
      <c r="B32" s="117">
        <f>LongTest!G11</f>
        <v>14.106487261054877</v>
      </c>
      <c r="C32" s="115">
        <v>1</v>
      </c>
    </row>
    <row r="33" spans="1:3">
      <c r="A33" s="113">
        <f>LongTest!D12</f>
        <v>3</v>
      </c>
      <c r="B33" s="117">
        <f>LongTest!G12</f>
        <v>14.932978424107084</v>
      </c>
      <c r="C33" s="115">
        <v>1</v>
      </c>
    </row>
    <row r="34" spans="1:3">
      <c r="A34" s="113">
        <f>LongTest!D13</f>
        <v>4</v>
      </c>
      <c r="B34" s="117">
        <f>LongTest!G13</f>
        <v>15.519383236494818</v>
      </c>
      <c r="C34" s="115">
        <v>1</v>
      </c>
    </row>
    <row r="35" spans="1:3">
      <c r="A35" s="113">
        <f>LongTest!D14</f>
        <v>5</v>
      </c>
      <c r="B35" s="117">
        <f>LongTest!G14</f>
        <v>15.974234146142219</v>
      </c>
      <c r="C35" s="115">
        <v>1</v>
      </c>
    </row>
    <row r="36" spans="1:3">
      <c r="A36" s="113">
        <f>LongTest!D15</f>
        <v>10</v>
      </c>
      <c r="B36" s="117">
        <f>LongTest!G15</f>
        <v>17.38713012158216</v>
      </c>
      <c r="C36" s="115">
        <v>1</v>
      </c>
    </row>
    <row r="37" spans="1:3">
      <c r="A37" s="113">
        <f>LongTest!D16</f>
        <v>15</v>
      </c>
      <c r="B37" s="117">
        <f>LongTest!G16</f>
        <v>18.213621284634367</v>
      </c>
      <c r="C37" s="115">
        <v>1</v>
      </c>
    </row>
    <row r="38" spans="1:3">
      <c r="A38" s="113">
        <f>LongTest!D17</f>
        <v>20</v>
      </c>
      <c r="B38" s="117">
        <f>LongTest!G17</f>
        <v>18.800026097022105</v>
      </c>
      <c r="C38" s="115">
        <v>1</v>
      </c>
    </row>
    <row r="39" spans="1:3">
      <c r="A39" s="113">
        <f>LongTest!D18</f>
        <v>25</v>
      </c>
      <c r="B39" s="117">
        <f>LongTest!G18</f>
        <v>19.254877006669503</v>
      </c>
      <c r="C39" s="115">
        <v>1</v>
      </c>
    </row>
    <row r="40" spans="1:3">
      <c r="A40" s="113">
        <f>LongTest!D19</f>
        <v>30</v>
      </c>
      <c r="B40" s="117">
        <f>LongTest!G19</f>
        <v>19.626517260074309</v>
      </c>
      <c r="C40" s="115">
        <v>1</v>
      </c>
    </row>
    <row r="41" spans="1:3">
      <c r="A41" s="113">
        <f>LongTest!D20</f>
        <v>35</v>
      </c>
      <c r="B41" s="117">
        <f>LongTest!G20</f>
        <v>19.940734617148919</v>
      </c>
      <c r="C41" s="115">
        <v>1</v>
      </c>
    </row>
    <row r="42" spans="1:3">
      <c r="A42" s="113">
        <f>LongTest!D21</f>
        <v>40</v>
      </c>
      <c r="B42" s="117">
        <f>LongTest!G21</f>
        <v>20.212922072462046</v>
      </c>
      <c r="C42" s="115">
        <v>1</v>
      </c>
    </row>
    <row r="43" spans="1:3">
      <c r="A43" s="113">
        <f>LongTest!D22</f>
        <v>45</v>
      </c>
      <c r="B43" s="117">
        <f>LongTest!G22</f>
        <v>20.453008423126516</v>
      </c>
      <c r="C43" s="115">
        <v>1</v>
      </c>
    </row>
    <row r="44" spans="1:3">
      <c r="A44" s="113">
        <f>LongTest!D23</f>
        <v>50</v>
      </c>
      <c r="B44" s="117">
        <f>LongTest!G23</f>
        <v>20.667772982109447</v>
      </c>
      <c r="C44" s="115">
        <v>1</v>
      </c>
    </row>
    <row r="45" spans="1:3">
      <c r="A45" s="113">
        <f>LongTest!D24</f>
        <v>55</v>
      </c>
      <c r="B45" s="117">
        <f>LongTest!G24</f>
        <v>20.862051157424542</v>
      </c>
      <c r="C45" s="115">
        <v>1</v>
      </c>
    </row>
    <row r="46" spans="1:3">
      <c r="A46" s="113">
        <f>LongTest!D25</f>
        <v>60</v>
      </c>
      <c r="B46" s="117">
        <f>LongTest!G25</f>
        <v>21.03941323551425</v>
      </c>
      <c r="C46" s="115">
        <v>1</v>
      </c>
    </row>
    <row r="47" spans="1:3">
      <c r="A47" s="113">
        <f>LongTest!D26</f>
        <v>75</v>
      </c>
      <c r="B47" s="117">
        <f>LongTest!G26</f>
        <v>21.494264145161651</v>
      </c>
      <c r="C47" s="115">
        <v>1</v>
      </c>
    </row>
    <row r="48" spans="1:3">
      <c r="A48" s="113">
        <f>LongTest!D27</f>
        <v>90</v>
      </c>
      <c r="B48" s="117">
        <f>LongTest!G27</f>
        <v>21.865904398566457</v>
      </c>
      <c r="C48" s="115">
        <v>1</v>
      </c>
    </row>
    <row r="49" spans="1:3">
      <c r="A49" s="113">
        <f>LongTest!D28</f>
        <v>105</v>
      </c>
      <c r="B49" s="117">
        <f>LongTest!G28</f>
        <v>22.180121755641068</v>
      </c>
      <c r="C49" s="115">
        <v>1</v>
      </c>
    </row>
    <row r="50" spans="1:3">
      <c r="A50" s="113">
        <f>LongTest!D29</f>
        <v>120</v>
      </c>
      <c r="B50" s="117">
        <f>LongTest!G29</f>
        <v>22.452309210954191</v>
      </c>
      <c r="C50" s="115">
        <v>1</v>
      </c>
    </row>
    <row r="51" spans="1:3">
      <c r="A51" s="113">
        <f>LongTest!D30</f>
        <v>140</v>
      </c>
      <c r="B51" s="117">
        <f>LongTest!G30</f>
        <v>22.766526568028802</v>
      </c>
      <c r="C51" s="115">
        <v>1</v>
      </c>
    </row>
    <row r="52" spans="1:3">
      <c r="A52" s="113">
        <f>LongTest!D31</f>
        <v>160</v>
      </c>
      <c r="B52" s="117">
        <f>LongTest!G31</f>
        <v>23.038714023341928</v>
      </c>
      <c r="C52" s="115">
        <v>1</v>
      </c>
    </row>
    <row r="53" spans="1:3">
      <c r="A53" s="113">
        <f>LongTest!D32</f>
        <v>180</v>
      </c>
      <c r="B53" s="117">
        <f>LongTest!G32</f>
        <v>23.278800374006394</v>
      </c>
      <c r="C53" s="115">
        <v>1</v>
      </c>
    </row>
    <row r="54" spans="1:3">
      <c r="A54" s="113">
        <f>LongTest!D33</f>
        <v>240</v>
      </c>
      <c r="B54" s="117">
        <f>LongTest!G33</f>
        <v>23.865205186394128</v>
      </c>
      <c r="C54" s="115">
        <v>1</v>
      </c>
    </row>
    <row r="55" spans="1:3">
      <c r="A55" s="113">
        <f>LongTest!D34</f>
        <v>300</v>
      </c>
      <c r="B55" s="117">
        <f>LongTest!G34</f>
        <v>24.320056096041533</v>
      </c>
      <c r="C55" s="115">
        <v>1</v>
      </c>
    </row>
    <row r="56" spans="1:3">
      <c r="A56" s="113">
        <f>LongTest!D35</f>
        <v>360</v>
      </c>
      <c r="B56" s="117">
        <f>LongTest!G35</f>
        <v>24.691696349446335</v>
      </c>
      <c r="C56" s="115">
        <v>1</v>
      </c>
    </row>
    <row r="57" spans="1:3">
      <c r="A57" s="113">
        <f>LongTest!D36</f>
        <v>420</v>
      </c>
      <c r="B57" s="117">
        <f>LongTest!G36</f>
        <v>25.00591370652095</v>
      </c>
      <c r="C57" s="115">
        <v>1</v>
      </c>
    </row>
    <row r="58" spans="1:3">
      <c r="A58" s="113">
        <f>LongTest!D37</f>
        <v>480</v>
      </c>
      <c r="B58" s="117">
        <f>LongTest!G37</f>
        <v>25.278101161834069</v>
      </c>
      <c r="C58" s="115">
        <v>1</v>
      </c>
    </row>
    <row r="59" spans="1:3">
      <c r="A59" s="113">
        <f>LongTest!D38</f>
        <v>540</v>
      </c>
      <c r="B59" s="117">
        <f>LongTest!G38</f>
        <v>25.518187512498542</v>
      </c>
      <c r="C59" s="115">
        <v>1</v>
      </c>
    </row>
    <row r="60" spans="1:3">
      <c r="A60" s="113">
        <f>LongTest!D39</f>
        <v>600</v>
      </c>
      <c r="B60" s="117">
        <f>LongTest!G39</f>
        <v>25.732952071481478</v>
      </c>
      <c r="C60" s="115">
        <v>1</v>
      </c>
    </row>
    <row r="61" spans="1:3">
      <c r="A61" s="113">
        <f>LongTest!D40</f>
        <v>660</v>
      </c>
      <c r="B61" s="117">
        <f>LongTest!G40</f>
        <v>25.927230246796565</v>
      </c>
      <c r="C61" s="115">
        <v>1</v>
      </c>
    </row>
    <row r="62" spans="1:3">
      <c r="A62" s="113">
        <f>LongTest!D41</f>
        <v>720</v>
      </c>
      <c r="B62" s="117">
        <f>LongTest!G41</f>
        <v>26.104592324886276</v>
      </c>
      <c r="C62" s="115">
        <v>1</v>
      </c>
    </row>
    <row r="63" spans="1:3">
      <c r="A63" s="113">
        <f>LongTest!D42</f>
        <v>780</v>
      </c>
      <c r="B63" s="117">
        <f>LongTest!G42</f>
        <v>26.267749620633907</v>
      </c>
      <c r="C63" s="115">
        <v>1</v>
      </c>
    </row>
    <row r="64" spans="1:3">
      <c r="A64" s="113">
        <f>LongTest!D43</f>
        <v>840</v>
      </c>
      <c r="B64" s="117">
        <f>LongTest!G43</f>
        <v>26.267749620633907</v>
      </c>
      <c r="C64" s="115">
        <v>1</v>
      </c>
    </row>
    <row r="65" spans="1:3">
      <c r="A65" s="113">
        <f>LongTest!D44</f>
        <v>900</v>
      </c>
      <c r="B65" s="117">
        <f>LongTest!G44</f>
        <v>26.267749620633907</v>
      </c>
      <c r="C65" s="115">
        <v>1</v>
      </c>
    </row>
    <row r="66" spans="1:3">
      <c r="A66" s="113">
        <f>LongTest!D45</f>
        <v>960</v>
      </c>
      <c r="B66" s="117">
        <f>LongTest!G45</f>
        <v>26.267749620633907</v>
      </c>
      <c r="C66" s="115">
        <v>1</v>
      </c>
    </row>
    <row r="67" spans="1:3">
      <c r="A67" s="113">
        <f>LongTest!D46</f>
        <v>1020</v>
      </c>
      <c r="B67" s="117">
        <f>LongTest!G46</f>
        <v>26.267749620633907</v>
      </c>
      <c r="C67" s="115">
        <v>1</v>
      </c>
    </row>
    <row r="68" spans="1:3">
      <c r="A68" s="113">
        <f>LongTest!D47</f>
        <v>1080</v>
      </c>
      <c r="B68" s="117">
        <f>LongTest!G47</f>
        <v>26.267749620633907</v>
      </c>
      <c r="C68" s="115">
        <v>1</v>
      </c>
    </row>
    <row r="69" spans="1:3">
      <c r="A69" s="113">
        <f>LongTest!D48</f>
        <v>1140</v>
      </c>
      <c r="B69" s="117">
        <f>LongTest!G48</f>
        <v>26.267749620633907</v>
      </c>
      <c r="C69" s="115">
        <v>1</v>
      </c>
    </row>
    <row r="70" spans="1:3">
      <c r="A70" s="113">
        <f>LongTest!D49</f>
        <v>1200</v>
      </c>
      <c r="B70" s="117">
        <f>LongTest!G49</f>
        <v>26.267749620633907</v>
      </c>
      <c r="C70" s="115">
        <v>1</v>
      </c>
    </row>
    <row r="71" spans="1:3">
      <c r="A71" s="113">
        <f>LongTest!D50</f>
        <v>1260</v>
      </c>
      <c r="B71" s="117">
        <f>LongTest!G50</f>
        <v>26.267749620633907</v>
      </c>
      <c r="C71" s="115">
        <v>1</v>
      </c>
    </row>
    <row r="72" spans="1:3">
      <c r="A72" s="113">
        <f>LongTest!D51</f>
        <v>1320</v>
      </c>
      <c r="B72" s="117">
        <f>LongTest!G51</f>
        <v>26.267749620633907</v>
      </c>
      <c r="C72" s="115">
        <v>1</v>
      </c>
    </row>
    <row r="73" spans="1:3">
      <c r="A73" s="113">
        <f>LongTest!D52</f>
        <v>1380</v>
      </c>
      <c r="B73" s="117">
        <f>LongTest!G52</f>
        <v>26.267749620633907</v>
      </c>
      <c r="C73" s="115">
        <v>1</v>
      </c>
    </row>
    <row r="74" spans="1:3">
      <c r="A74" s="113">
        <f>LongTest!D53</f>
        <v>1440</v>
      </c>
      <c r="B74" s="117">
        <f>LongTest!G53</f>
        <v>26.267749620633907</v>
      </c>
      <c r="C74" s="115">
        <v>1</v>
      </c>
    </row>
    <row r="75" spans="1:3">
      <c r="A75" s="113">
        <f>LongTest!D54</f>
        <v>1500</v>
      </c>
      <c r="B75" s="117">
        <f>LongTest!G54</f>
        <v>26.267749620633907</v>
      </c>
      <c r="C75" s="115">
        <v>1</v>
      </c>
    </row>
    <row r="76" spans="1:3">
      <c r="A76" s="113">
        <f>LongTest!D55</f>
        <v>1560</v>
      </c>
      <c r="B76" s="117">
        <f>LongTest!G55</f>
        <v>26.267749620633907</v>
      </c>
      <c r="C76" s="115">
        <v>1</v>
      </c>
    </row>
    <row r="77" spans="1:3">
      <c r="A77" s="113">
        <f>LongTest!D56</f>
        <v>1620</v>
      </c>
      <c r="B77" s="117">
        <f>LongTest!G56</f>
        <v>26.267749620633907</v>
      </c>
      <c r="C77" s="115">
        <v>1</v>
      </c>
    </row>
    <row r="78" spans="1:3">
      <c r="A78" s="113">
        <f>LongTest!D57</f>
        <v>1680</v>
      </c>
      <c r="B78" s="117">
        <f>LongTest!G57</f>
        <v>26.267749620633907</v>
      </c>
      <c r="C78" s="115">
        <v>1</v>
      </c>
    </row>
    <row r="79" spans="1:3">
      <c r="A79" s="113">
        <f>LongTest!D58</f>
        <v>1740</v>
      </c>
      <c r="B79" s="117">
        <f>LongTest!G58</f>
        <v>26.267749620633907</v>
      </c>
      <c r="C79" s="115">
        <v>1</v>
      </c>
    </row>
    <row r="80" spans="1:3">
      <c r="A80" s="113">
        <f>LongTest!D59</f>
        <v>1800</v>
      </c>
      <c r="B80" s="117">
        <f>LongTest!G59</f>
        <v>26.267749620633907</v>
      </c>
      <c r="C80" s="115">
        <v>1</v>
      </c>
    </row>
    <row r="81" spans="1:3">
      <c r="A81" s="113">
        <f>LongTest!D60</f>
        <v>1860</v>
      </c>
      <c r="B81" s="117">
        <f>LongTest!G60</f>
        <v>26.267749620633907</v>
      </c>
      <c r="C81" s="115">
        <v>1</v>
      </c>
    </row>
    <row r="82" spans="1:3">
      <c r="A82" s="113">
        <f>LongTest!D61</f>
        <v>1920</v>
      </c>
      <c r="B82" s="117">
        <f>LongTest!G61</f>
        <v>26.267749620633907</v>
      </c>
      <c r="C82" s="115">
        <v>1</v>
      </c>
    </row>
    <row r="83" spans="1:3">
      <c r="A83" s="113">
        <f>LongTest!D62</f>
        <v>1980</v>
      </c>
      <c r="B83" s="117">
        <f>LongTest!G62</f>
        <v>26.267749620633907</v>
      </c>
      <c r="C83" s="115">
        <v>1</v>
      </c>
    </row>
    <row r="84" spans="1:3">
      <c r="A84" s="113">
        <f>LongTest!D63</f>
        <v>2040</v>
      </c>
      <c r="B84" s="117">
        <f>LongTest!G63</f>
        <v>26.267749620633907</v>
      </c>
      <c r="C84" s="115">
        <v>1</v>
      </c>
    </row>
    <row r="85" spans="1:3">
      <c r="A85" s="113">
        <f>LongTest!D64</f>
        <v>2100</v>
      </c>
      <c r="B85" s="117">
        <f>LongTest!G64</f>
        <v>26.267749620633907</v>
      </c>
      <c r="C85" s="115">
        <v>1</v>
      </c>
    </row>
    <row r="86" spans="1:3">
      <c r="A86" s="113">
        <f>LongTest!D65</f>
        <v>2160</v>
      </c>
      <c r="B86" s="117">
        <f>LongTest!G65</f>
        <v>26.267749620633907</v>
      </c>
      <c r="C86" s="115">
        <v>1</v>
      </c>
    </row>
    <row r="87" spans="1:3">
      <c r="A87" s="113">
        <f>LongTest!D66</f>
        <v>2220</v>
      </c>
      <c r="B87" s="117">
        <f>LongTest!G66</f>
        <v>26.267749620633907</v>
      </c>
      <c r="C87" s="115">
        <v>1</v>
      </c>
    </row>
    <row r="88" spans="1:3">
      <c r="A88" s="113">
        <f>LongTest!D67</f>
        <v>2280</v>
      </c>
      <c r="B88" s="117">
        <f>LongTest!G67</f>
        <v>26.267749620633907</v>
      </c>
      <c r="C88" s="115">
        <v>1</v>
      </c>
    </row>
    <row r="89" spans="1:3">
      <c r="A89" s="113">
        <f>LongTest!D68</f>
        <v>2340</v>
      </c>
      <c r="B89" s="117">
        <f>LongTest!G68</f>
        <v>26.267749620633907</v>
      </c>
      <c r="C89" s="115">
        <v>1</v>
      </c>
    </row>
    <row r="90" spans="1:3">
      <c r="A90" s="113">
        <f>LongTest!D69</f>
        <v>2400</v>
      </c>
      <c r="B90" s="117">
        <f>LongTest!G69</f>
        <v>26.267749620633907</v>
      </c>
      <c r="C90" s="115">
        <v>1</v>
      </c>
    </row>
    <row r="91" spans="1:3">
      <c r="A91" s="113">
        <f>LongTest!D70</f>
        <v>2460</v>
      </c>
      <c r="B91" s="117">
        <f>LongTest!G70</f>
        <v>26.267749620633907</v>
      </c>
      <c r="C91" s="115">
        <v>1</v>
      </c>
    </row>
    <row r="92" spans="1:3">
      <c r="A92" s="113">
        <f>LongTest!D71</f>
        <v>2520</v>
      </c>
      <c r="B92" s="117">
        <f>LongTest!G71</f>
        <v>26.267749620633907</v>
      </c>
      <c r="C92" s="115">
        <v>1</v>
      </c>
    </row>
    <row r="93" spans="1:3">
      <c r="A93" s="113">
        <f>LongTest!D72</f>
        <v>2580</v>
      </c>
      <c r="B93" s="117">
        <f>LongTest!G72</f>
        <v>26.267749620633907</v>
      </c>
      <c r="C93" s="115">
        <v>1</v>
      </c>
    </row>
    <row r="94" spans="1:3">
      <c r="A94" s="113">
        <f>LongTest!D73</f>
        <v>2640</v>
      </c>
      <c r="B94" s="117">
        <f>LongTest!G73</f>
        <v>26.267749620633907</v>
      </c>
      <c r="C94" s="115">
        <v>1</v>
      </c>
    </row>
    <row r="95" spans="1:3">
      <c r="A95" s="113">
        <f>LongTest!D74</f>
        <v>2700</v>
      </c>
      <c r="B95" s="117">
        <f>LongTest!G74</f>
        <v>26.267749620633907</v>
      </c>
      <c r="C95" s="115">
        <v>1</v>
      </c>
    </row>
    <row r="96" spans="1:3">
      <c r="A96" s="113">
        <f>LongTest!D75</f>
        <v>2760</v>
      </c>
      <c r="B96" s="117">
        <f>LongTest!G75</f>
        <v>26.267749620633907</v>
      </c>
      <c r="C96" s="115">
        <v>1</v>
      </c>
    </row>
    <row r="97" spans="1:3">
      <c r="A97" s="113">
        <f>LongTest!D76</f>
        <v>2820</v>
      </c>
      <c r="B97" s="117">
        <f>LongTest!G76</f>
        <v>26.267749620633907</v>
      </c>
      <c r="C97" s="115">
        <v>1</v>
      </c>
    </row>
    <row r="98" spans="1:3">
      <c r="A98" s="113">
        <f>LongTest!D77</f>
        <v>2880</v>
      </c>
      <c r="B98" s="117">
        <f>LongTest!G77</f>
        <v>26.267749620633907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J26" sqref="J26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08"/>
      <c r="M6" s="508"/>
      <c r="N6" s="508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250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0.40500000000000003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26.267749620633907</v>
      </c>
      <c r="C32" s="115">
        <v>1</v>
      </c>
    </row>
    <row r="33" spans="1:3">
      <c r="A33" s="113">
        <f>$A$32+LongTest!D78</f>
        <v>2881</v>
      </c>
      <c r="B33" s="114">
        <f>LongTest!G78</f>
        <v>16.622780359863086</v>
      </c>
      <c r="C33" s="115">
        <v>1</v>
      </c>
    </row>
    <row r="34" spans="1:3">
      <c r="A34" s="113">
        <f>$A$32+LongTest!D79</f>
        <v>2882</v>
      </c>
      <c r="B34" s="114">
        <f>LongTest!G79</f>
        <v>15.070268168583521</v>
      </c>
      <c r="C34" s="115">
        <v>1</v>
      </c>
    </row>
    <row r="35" spans="1:3">
      <c r="A35" s="113">
        <f>$A$32+LongTest!D80</f>
        <v>2883</v>
      </c>
      <c r="B35" s="114">
        <f>LongTest!G80</f>
        <v>13.66275543298417</v>
      </c>
      <c r="C35" s="115">
        <v>1</v>
      </c>
    </row>
    <row r="36" spans="1:3">
      <c r="A36" s="113">
        <f>$A$32+LongTest!D81</f>
        <v>2884</v>
      </c>
      <c r="B36" s="114">
        <f>LongTest!G81</f>
        <v>12.386699687978</v>
      </c>
      <c r="C36" s="115">
        <v>1</v>
      </c>
    </row>
    <row r="37" spans="1:3">
      <c r="A37" s="113">
        <f>$A$32+LongTest!D82</f>
        <v>2885</v>
      </c>
      <c r="B37" s="114">
        <f>LongTest!G82</f>
        <v>11.229823289506299</v>
      </c>
      <c r="C37" s="115">
        <v>1</v>
      </c>
    </row>
    <row r="38" spans="1:3">
      <c r="A38" s="113">
        <f>$A$32+LongTest!D83</f>
        <v>2890</v>
      </c>
      <c r="B38" s="114">
        <f>LongTest!G83</f>
        <v>8.3680615170759225</v>
      </c>
      <c r="C38" s="115">
        <v>1</v>
      </c>
    </row>
    <row r="39" spans="1:3">
      <c r="A39" s="113">
        <f>$A$32+LongTest!D84</f>
        <v>2895</v>
      </c>
      <c r="B39" s="114">
        <f>LongTest!G84</f>
        <v>7.8385621635095353</v>
      </c>
      <c r="C39" s="115">
        <v>1</v>
      </c>
    </row>
    <row r="40" spans="1:3">
      <c r="A40" s="113">
        <f>$A$32+LongTest!D85</f>
        <v>2900</v>
      </c>
      <c r="B40" s="114">
        <f>LongTest!G85</f>
        <v>6.4427463678017407</v>
      </c>
      <c r="C40" s="115">
        <v>1</v>
      </c>
    </row>
    <row r="41" spans="1:3">
      <c r="A41" s="113">
        <f>$A$32+LongTest!D86</f>
        <v>2905</v>
      </c>
      <c r="B41" s="114">
        <f>LongTest!G86</f>
        <v>5.8410153658397652</v>
      </c>
      <c r="C41" s="115">
        <v>1</v>
      </c>
    </row>
    <row r="42" spans="1:3">
      <c r="A42" s="113">
        <f>$A$32+LongTest!D87</f>
        <v>2910</v>
      </c>
      <c r="B42" s="114">
        <f>LongTest!G87</f>
        <v>5.2954840306117896</v>
      </c>
      <c r="C42" s="115">
        <v>1</v>
      </c>
    </row>
    <row r="43" spans="1:3">
      <c r="A43" s="113">
        <f>$A$32+LongTest!D88</f>
        <v>2915</v>
      </c>
      <c r="B43" s="114">
        <f>LongTest!G88</f>
        <v>5.1252072758703049</v>
      </c>
      <c r="C43" s="115">
        <v>1</v>
      </c>
    </row>
    <row r="44" spans="1:3">
      <c r="A44" s="113">
        <f>$A$32+LongTest!D89</f>
        <v>2920</v>
      </c>
      <c r="B44" s="114">
        <f>LongTest!G89</f>
        <v>4.9604057851533518</v>
      </c>
      <c r="C44" s="115">
        <v>1</v>
      </c>
    </row>
    <row r="45" spans="1:3">
      <c r="A45" s="113">
        <f>$A$32+LongTest!D90</f>
        <v>2925</v>
      </c>
      <c r="B45" s="114">
        <f>LongTest!G90</f>
        <v>4.8009035008646741</v>
      </c>
      <c r="C45" s="115">
        <v>1</v>
      </c>
    </row>
    <row r="46" spans="1:3">
      <c r="A46" s="113">
        <f>$A$32+LongTest!D91</f>
        <v>2930</v>
      </c>
      <c r="B46" s="114">
        <f>LongTest!G91</f>
        <v>4.6465300265555038</v>
      </c>
      <c r="C46" s="115">
        <v>1</v>
      </c>
    </row>
    <row r="47" spans="1:3">
      <c r="A47" s="113">
        <f>$A$32+LongTest!D92</f>
        <v>2935</v>
      </c>
      <c r="B47" s="114">
        <f>LongTest!G92</f>
        <v>4.4971204448898741</v>
      </c>
      <c r="C47" s="115">
        <v>1</v>
      </c>
    </row>
    <row r="48" spans="1:3">
      <c r="A48" s="113">
        <f>$A$32+LongTest!D93</f>
        <v>2940</v>
      </c>
      <c r="B48" s="114">
        <f>LongTest!G93</f>
        <v>4.3525151414632557</v>
      </c>
      <c r="C48" s="115">
        <v>1</v>
      </c>
    </row>
    <row r="49" spans="1:3">
      <c r="A49" s="113">
        <f>$A$32+LongTest!D94</f>
        <v>2955</v>
      </c>
      <c r="B49" s="114">
        <f>LongTest!G94</f>
        <v>4.2125596342863396</v>
      </c>
      <c r="C49" s="115">
        <v>1</v>
      </c>
    </row>
    <row r="50" spans="1:3">
      <c r="A50" s="113">
        <f>$A$32+LongTest!D95</f>
        <v>2970</v>
      </c>
      <c r="B50" s="114">
        <f>LongTest!G95</f>
        <v>4.0771044087517661</v>
      </c>
      <c r="C50" s="115">
        <v>1</v>
      </c>
    </row>
    <row r="51" spans="1:3">
      <c r="A51" s="113">
        <f>$A$32+LongTest!D96</f>
        <v>2985</v>
      </c>
      <c r="B51" s="114">
        <f>LongTest!G96</f>
        <v>3.9460047579075264</v>
      </c>
      <c r="C51" s="115">
        <v>1</v>
      </c>
    </row>
    <row r="52" spans="1:3">
      <c r="A52" s="113">
        <f>$A$32+LongTest!D97</f>
        <v>3000</v>
      </c>
      <c r="B52" s="114">
        <f>LongTest!G97</f>
        <v>3.5774610870610548</v>
      </c>
      <c r="C52" s="115">
        <v>1</v>
      </c>
    </row>
    <row r="53" spans="1:3">
      <c r="A53" s="113">
        <f>$A$32+LongTest!D98</f>
        <v>3060</v>
      </c>
      <c r="B53" s="114">
        <f>LongTest!G98</f>
        <v>3.4624275111693485</v>
      </c>
      <c r="C53" s="115">
        <v>1</v>
      </c>
    </row>
    <row r="54" spans="1:3">
      <c r="A54" s="113">
        <f>$A$32+LongTest!D99</f>
        <v>3120</v>
      </c>
      <c r="B54" s="114">
        <f>LongTest!G99</f>
        <v>2.8458717052995159</v>
      </c>
      <c r="C54" s="115">
        <v>1</v>
      </c>
    </row>
    <row r="55" spans="1:3">
      <c r="A55" s="113">
        <f>$A$32+LongTest!D100</f>
        <v>3180</v>
      </c>
      <c r="B55" s="114">
        <f>LongTest!G100</f>
        <v>2.3391062302093206</v>
      </c>
      <c r="C55" s="115">
        <v>1</v>
      </c>
    </row>
    <row r="56" spans="1:3">
      <c r="A56" s="113">
        <f>$A$32+LongTest!D101</f>
        <v>3240</v>
      </c>
      <c r="B56" s="114">
        <f>LongTest!G101</f>
        <v>1.9225806792397959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rgb="FFFF0000"/>
  </sheetPr>
  <dimension ref="A1:J110"/>
  <sheetViews>
    <sheetView showGridLines="0" view="pageBreakPreview" topLeftCell="A82" zoomScaleNormal="130" zoomScaleSheetLayoutView="100" workbookViewId="0">
      <selection activeCell="M102" sqref="M102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" customHeight="1" thickBot="1">
      <c r="A1" s="515" t="s">
        <v>323</v>
      </c>
      <c r="B1" s="515"/>
      <c r="C1" s="515"/>
      <c r="D1" s="515"/>
      <c r="E1" s="515"/>
      <c r="F1" s="515"/>
      <c r="G1" s="515"/>
      <c r="H1" s="515"/>
      <c r="I1" s="515"/>
      <c r="J1" s="515"/>
    </row>
    <row r="2" spans="1:10" ht="24.95" customHeight="1">
      <c r="A2" s="516" t="s">
        <v>298</v>
      </c>
      <c r="B2" s="517"/>
      <c r="C2" s="518" t="str">
        <f>LongTest!C2</f>
        <v>부여군 농업기술센터 지하수사후관리 및 영향조사 용역</v>
      </c>
      <c r="D2" s="519"/>
      <c r="E2" s="519"/>
      <c r="F2" s="519"/>
      <c r="G2" s="519"/>
      <c r="H2" s="519"/>
      <c r="I2" s="519"/>
      <c r="J2" s="520"/>
    </row>
    <row r="3" spans="1:10" ht="24.95" customHeight="1">
      <c r="A3" s="521" t="s">
        <v>299</v>
      </c>
      <c r="B3" s="522"/>
      <c r="C3" s="526" t="str">
        <f>LongTest!C4</f>
        <v>충청남도 부여군 규암면 노화리 284-1번지</v>
      </c>
      <c r="D3" s="527"/>
      <c r="E3" s="527"/>
      <c r="F3" s="527"/>
      <c r="G3" s="527"/>
      <c r="H3" s="528"/>
      <c r="I3" s="428" t="str">
        <f>Input!I54</f>
        <v>W-1</v>
      </c>
      <c r="J3" s="431" t="s">
        <v>330</v>
      </c>
    </row>
    <row r="4" spans="1:10" ht="24.95" customHeight="1">
      <c r="A4" s="521" t="s">
        <v>300</v>
      </c>
      <c r="B4" s="522"/>
      <c r="C4" s="523">
        <f>LongTest!C10</f>
        <v>45490.458333333336</v>
      </c>
      <c r="D4" s="524"/>
      <c r="E4" s="524"/>
      <c r="F4" s="524"/>
      <c r="G4" s="524"/>
      <c r="H4" s="524"/>
      <c r="I4" s="524"/>
      <c r="J4" s="525"/>
    </row>
    <row r="5" spans="1:10" ht="24.95" customHeight="1">
      <c r="A5" s="521" t="s">
        <v>301</v>
      </c>
      <c r="B5" s="522"/>
      <c r="C5" s="523">
        <f>LongTest!C77</f>
        <v>45492.458333333336</v>
      </c>
      <c r="D5" s="524"/>
      <c r="E5" s="524"/>
      <c r="F5" s="524"/>
      <c r="G5" s="524"/>
      <c r="H5" s="524"/>
      <c r="I5" s="524"/>
      <c r="J5" s="525"/>
    </row>
    <row r="6" spans="1:10" ht="24.95" customHeight="1">
      <c r="A6" s="521" t="s">
        <v>297</v>
      </c>
      <c r="B6" s="522"/>
      <c r="C6" s="532" t="str">
        <f>LongTest!C5</f>
        <v>부여지하수개발주식회사</v>
      </c>
      <c r="D6" s="533"/>
      <c r="E6" s="533"/>
      <c r="F6" s="533"/>
      <c r="G6" s="533"/>
      <c r="H6" s="533"/>
      <c r="I6" s="533"/>
      <c r="J6" s="534"/>
    </row>
    <row r="7" spans="1:10" ht="24.95" customHeight="1">
      <c r="A7" s="521" t="s">
        <v>302</v>
      </c>
      <c r="B7" s="522"/>
      <c r="C7" s="529" t="s">
        <v>336</v>
      </c>
      <c r="D7" s="522"/>
      <c r="E7" s="421">
        <f>LongTest!C6</f>
        <v>1</v>
      </c>
      <c r="F7" s="420" t="s">
        <v>303</v>
      </c>
      <c r="G7" s="420" t="s">
        <v>338</v>
      </c>
      <c r="H7" s="530">
        <f>Input!I50</f>
        <v>50</v>
      </c>
      <c r="I7" s="531"/>
      <c r="J7" s="432" t="s">
        <v>304</v>
      </c>
    </row>
    <row r="8" spans="1:10" ht="24.95" customHeight="1">
      <c r="A8" s="521" t="s">
        <v>305</v>
      </c>
      <c r="B8" s="522"/>
      <c r="C8" s="529" t="s">
        <v>337</v>
      </c>
      <c r="D8" s="522"/>
      <c r="E8" s="421">
        <f>LongTest!D7</f>
        <v>150</v>
      </c>
      <c r="F8" s="420" t="s">
        <v>306</v>
      </c>
      <c r="G8" s="420" t="s">
        <v>307</v>
      </c>
      <c r="H8" s="530">
        <f>LongTest!G7</f>
        <v>100</v>
      </c>
      <c r="I8" s="531"/>
      <c r="J8" s="432" t="s">
        <v>304</v>
      </c>
    </row>
    <row r="9" spans="1:10" ht="24.95" customHeight="1">
      <c r="A9" s="521" t="s">
        <v>308</v>
      </c>
      <c r="B9" s="522"/>
      <c r="C9" s="529" t="s">
        <v>335</v>
      </c>
      <c r="D9" s="522"/>
      <c r="E9" s="421">
        <f>LongTest!D8</f>
        <v>3.23</v>
      </c>
      <c r="F9" s="420" t="s">
        <v>304</v>
      </c>
      <c r="G9" s="420" t="s">
        <v>309</v>
      </c>
      <c r="H9" s="530">
        <f>LongTest!G8</f>
        <v>29.497749620633908</v>
      </c>
      <c r="I9" s="531"/>
      <c r="J9" s="432" t="s">
        <v>304</v>
      </c>
    </row>
    <row r="10" spans="1:10" ht="24.95" customHeight="1">
      <c r="A10" s="536" t="s">
        <v>310</v>
      </c>
      <c r="B10" s="420" t="s">
        <v>311</v>
      </c>
      <c r="C10" s="537" t="s">
        <v>190</v>
      </c>
      <c r="D10" s="538" t="s">
        <v>313</v>
      </c>
      <c r="E10" s="538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36"/>
      <c r="B11" s="420" t="s">
        <v>312</v>
      </c>
      <c r="C11" s="537"/>
      <c r="D11" s="538" t="s">
        <v>314</v>
      </c>
      <c r="E11" s="538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43" si="0">$C$4+D12/1440</f>
        <v>45490.459027777782</v>
      </c>
      <c r="D12" s="535">
        <v>1</v>
      </c>
      <c r="E12" s="535"/>
      <c r="F12" s="425">
        <f>LongTest!F10</f>
        <v>15.923591285614936</v>
      </c>
      <c r="G12" s="425">
        <f>LongTest!G10</f>
        <v>12.693591285614936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35">
        <v>2</v>
      </c>
      <c r="E13" s="535"/>
      <c r="F13" s="425">
        <f>LongTest!F11</f>
        <v>17.336487261054877</v>
      </c>
      <c r="G13" s="425">
        <f>LongTest!G11</f>
        <v>14.106487261054877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35">
        <v>3</v>
      </c>
      <c r="E14" s="535"/>
      <c r="F14" s="425">
        <f>LongTest!F12</f>
        <v>18.162978424107084</v>
      </c>
      <c r="G14" s="425">
        <f>LongTest!G12</f>
        <v>14.932978424107084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35">
        <v>4</v>
      </c>
      <c r="E15" s="535"/>
      <c r="F15" s="425">
        <f>LongTest!F13</f>
        <v>18.749383236494818</v>
      </c>
      <c r="G15" s="425">
        <f>LongTest!G13</f>
        <v>15.519383236494818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35">
        <v>5</v>
      </c>
      <c r="E16" s="535"/>
      <c r="F16" s="425">
        <f>LongTest!F14</f>
        <v>19.20423414614222</v>
      </c>
      <c r="G16" s="425">
        <f>LongTest!G14</f>
        <v>15.974234146142219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35">
        <v>10</v>
      </c>
      <c r="E17" s="535"/>
      <c r="F17" s="425">
        <f>LongTest!F15</f>
        <v>20.617130121582161</v>
      </c>
      <c r="G17" s="425">
        <f>LongTest!G15</f>
        <v>17.38713012158216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35">
        <v>15</v>
      </c>
      <c r="E18" s="535"/>
      <c r="F18" s="425">
        <f>LongTest!F16</f>
        <v>21.443621284634368</v>
      </c>
      <c r="G18" s="425">
        <f>LongTest!G16</f>
        <v>18.213621284634367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35">
        <v>20</v>
      </c>
      <c r="E19" s="535"/>
      <c r="F19" s="425">
        <f>LongTest!F17</f>
        <v>22.030026097022105</v>
      </c>
      <c r="G19" s="425">
        <f>LongTest!G17</f>
        <v>18.800026097022105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35">
        <v>25</v>
      </c>
      <c r="E20" s="535"/>
      <c r="F20" s="425">
        <f>LongTest!F18</f>
        <v>22.484877006669503</v>
      </c>
      <c r="G20" s="425">
        <f>LongTest!G18</f>
        <v>19.254877006669503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35">
        <v>30</v>
      </c>
      <c r="E21" s="535"/>
      <c r="F21" s="425">
        <f>LongTest!F19</f>
        <v>22.856517260074309</v>
      </c>
      <c r="G21" s="425">
        <f>LongTest!G19</f>
        <v>19.626517260074309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35">
        <v>35</v>
      </c>
      <c r="E22" s="535"/>
      <c r="F22" s="425">
        <f>LongTest!F20</f>
        <v>23.17073461714892</v>
      </c>
      <c r="G22" s="425">
        <f>LongTest!G20</f>
        <v>19.940734617148919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35">
        <v>40</v>
      </c>
      <c r="E23" s="535"/>
      <c r="F23" s="425">
        <f>LongTest!F21</f>
        <v>23.442922072462046</v>
      </c>
      <c r="G23" s="425">
        <f>LongTest!G21</f>
        <v>20.212922072462046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35">
        <v>45</v>
      </c>
      <c r="E24" s="535"/>
      <c r="F24" s="425">
        <f>LongTest!F22</f>
        <v>23.683008423126516</v>
      </c>
      <c r="G24" s="425">
        <f>LongTest!G22</f>
        <v>20.453008423126516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35">
        <v>50</v>
      </c>
      <c r="E25" s="535"/>
      <c r="F25" s="425">
        <f>LongTest!F23</f>
        <v>23.897772982109448</v>
      </c>
      <c r="G25" s="425">
        <f>LongTest!G23</f>
        <v>20.667772982109447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35">
        <v>55</v>
      </c>
      <c r="E26" s="535"/>
      <c r="F26" s="425">
        <f>LongTest!F24</f>
        <v>24.092051157424542</v>
      </c>
      <c r="G26" s="425">
        <f>LongTest!G24</f>
        <v>20.862051157424542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35">
        <v>60</v>
      </c>
      <c r="E27" s="535"/>
      <c r="F27" s="425">
        <f>LongTest!F25</f>
        <v>24.26941323551425</v>
      </c>
      <c r="G27" s="425">
        <f>LongTest!G25</f>
        <v>21.03941323551425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35">
        <v>75</v>
      </c>
      <c r="E28" s="535"/>
      <c r="F28" s="425">
        <f>LongTest!F26</f>
        <v>24.724264145161651</v>
      </c>
      <c r="G28" s="425">
        <f>LongTest!G26</f>
        <v>21.494264145161651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35">
        <v>90</v>
      </c>
      <c r="E29" s="535"/>
      <c r="F29" s="425">
        <f>LongTest!F27</f>
        <v>25.095904398566457</v>
      </c>
      <c r="G29" s="425">
        <f>LongTest!G27</f>
        <v>21.865904398566457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35">
        <v>105</v>
      </c>
      <c r="E30" s="535"/>
      <c r="F30" s="425">
        <f>LongTest!F28</f>
        <v>25.410121755641068</v>
      </c>
      <c r="G30" s="425">
        <f>LongTest!G28</f>
        <v>22.180121755641068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35">
        <v>120</v>
      </c>
      <c r="E31" s="535"/>
      <c r="F31" s="425">
        <f>LongTest!F29</f>
        <v>25.682309210954191</v>
      </c>
      <c r="G31" s="425">
        <f>LongTest!G29</f>
        <v>22.452309210954191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35">
        <v>140</v>
      </c>
      <c r="E32" s="535"/>
      <c r="F32" s="425">
        <f>LongTest!F30</f>
        <v>25.996526568028802</v>
      </c>
      <c r="G32" s="425">
        <f>LongTest!G30</f>
        <v>22.766526568028802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35">
        <v>160</v>
      </c>
      <c r="E33" s="535"/>
      <c r="F33" s="425">
        <f>LongTest!F31</f>
        <v>26.268714023341929</v>
      </c>
      <c r="G33" s="425">
        <f>LongTest!G31</f>
        <v>23.038714023341928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35">
        <v>180</v>
      </c>
      <c r="E34" s="535"/>
      <c r="F34" s="425">
        <f>LongTest!F32</f>
        <v>26.508800374006395</v>
      </c>
      <c r="G34" s="425">
        <f>LongTest!G32</f>
        <v>23.278800374006394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35">
        <v>240</v>
      </c>
      <c r="E35" s="535"/>
      <c r="F35" s="425">
        <f>LongTest!F33</f>
        <v>27.095205186394129</v>
      </c>
      <c r="G35" s="425">
        <f>LongTest!G33</f>
        <v>23.865205186394128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35">
        <v>300</v>
      </c>
      <c r="E36" s="535"/>
      <c r="F36" s="425">
        <f>LongTest!F34</f>
        <v>27.550056096041533</v>
      </c>
      <c r="G36" s="425">
        <f>LongTest!G34</f>
        <v>24.320056096041533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35">
        <v>360</v>
      </c>
      <c r="E37" s="535"/>
      <c r="F37" s="425">
        <f>LongTest!F35</f>
        <v>27.921696349446336</v>
      </c>
      <c r="G37" s="425">
        <f>LongTest!G35</f>
        <v>24.691696349446335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35">
        <v>420</v>
      </c>
      <c r="E38" s="535"/>
      <c r="F38" s="425">
        <f>LongTest!F36</f>
        <v>28.23591370652095</v>
      </c>
      <c r="G38" s="425">
        <f>LongTest!G36</f>
        <v>25.00591370652095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35">
        <v>480</v>
      </c>
      <c r="E39" s="535"/>
      <c r="F39" s="425">
        <f>LongTest!F37</f>
        <v>28.50810116183407</v>
      </c>
      <c r="G39" s="425">
        <f>LongTest!G37</f>
        <v>25.278101161834069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35">
        <v>540</v>
      </c>
      <c r="E40" s="535"/>
      <c r="F40" s="425">
        <f>LongTest!F38</f>
        <v>28.748187512498543</v>
      </c>
      <c r="G40" s="425">
        <f>LongTest!G38</f>
        <v>25.518187512498542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35">
        <v>600</v>
      </c>
      <c r="E41" s="535"/>
      <c r="F41" s="425">
        <f>LongTest!F39</f>
        <v>28.962952071481478</v>
      </c>
      <c r="G41" s="425">
        <f>LongTest!G39</f>
        <v>25.732952071481478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35">
        <v>660</v>
      </c>
      <c r="E42" s="535"/>
      <c r="F42" s="425">
        <f>LongTest!F40</f>
        <v>29.157230246796566</v>
      </c>
      <c r="G42" s="425">
        <f>LongTest!G40</f>
        <v>25.927230246796565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35">
        <v>720</v>
      </c>
      <c r="E43" s="535"/>
      <c r="F43" s="425">
        <f>LongTest!F41</f>
        <v>29.334592324886277</v>
      </c>
      <c r="G43" s="425">
        <f>LongTest!G41</f>
        <v>26.104592324886276</v>
      </c>
      <c r="H43" s="421"/>
      <c r="I43" s="421"/>
      <c r="J43" s="437"/>
    </row>
    <row r="44" spans="1:10" ht="24.95" customHeight="1">
      <c r="A44" s="433"/>
      <c r="B44" s="420"/>
      <c r="C44" s="422">
        <f t="shared" ref="C44:C75" si="1">$C$4+D44/1440</f>
        <v>45491</v>
      </c>
      <c r="D44" s="535">
        <v>780</v>
      </c>
      <c r="E44" s="535"/>
      <c r="F44" s="421">
        <f>LongTest!F42</f>
        <v>29.497749620633908</v>
      </c>
      <c r="G44" s="421">
        <f>LongTest!G42</f>
        <v>26.267749620633907</v>
      </c>
      <c r="H44" s="421"/>
      <c r="I44" s="421"/>
      <c r="J44" s="437"/>
    </row>
    <row r="45" spans="1:10" ht="24.95" customHeight="1">
      <c r="A45" s="433"/>
      <c r="B45" s="420"/>
      <c r="C45" s="422">
        <f t="shared" si="1"/>
        <v>45491.041666666672</v>
      </c>
      <c r="D45" s="535">
        <v>840</v>
      </c>
      <c r="E45" s="535"/>
      <c r="F45" s="421">
        <f>LongTest!F43</f>
        <v>29.497749620633908</v>
      </c>
      <c r="G45" s="421">
        <f>LongTest!G43</f>
        <v>26.267749620633907</v>
      </c>
      <c r="H45" s="421"/>
      <c r="I45" s="421"/>
      <c r="J45" s="437"/>
    </row>
    <row r="46" spans="1:10" ht="24.95" customHeight="1">
      <c r="A46" s="433"/>
      <c r="B46" s="420"/>
      <c r="C46" s="422">
        <f t="shared" si="1"/>
        <v>45491.083333333336</v>
      </c>
      <c r="D46" s="535">
        <v>900</v>
      </c>
      <c r="E46" s="535"/>
      <c r="F46" s="421">
        <f>LongTest!F44</f>
        <v>29.497749620633908</v>
      </c>
      <c r="G46" s="421">
        <f>LongTest!G44</f>
        <v>26.267749620633907</v>
      </c>
      <c r="H46" s="421"/>
      <c r="I46" s="421"/>
      <c r="J46" s="437"/>
    </row>
    <row r="47" spans="1:10" ht="24.95" customHeight="1">
      <c r="A47" s="439"/>
      <c r="B47" s="424"/>
      <c r="C47" s="422">
        <f t="shared" si="1"/>
        <v>45491.125</v>
      </c>
      <c r="D47" s="535">
        <v>960</v>
      </c>
      <c r="E47" s="535"/>
      <c r="F47" s="421">
        <f>LongTest!F45</f>
        <v>29.497749620633908</v>
      </c>
      <c r="G47" s="421">
        <f>LongTest!G45</f>
        <v>26.267749620633907</v>
      </c>
      <c r="H47" s="421"/>
      <c r="I47" s="421"/>
      <c r="J47" s="437"/>
    </row>
    <row r="48" spans="1:10" ht="24.95" customHeight="1">
      <c r="A48" s="433"/>
      <c r="B48" s="420"/>
      <c r="C48" s="422">
        <f t="shared" si="1"/>
        <v>45491.166666666672</v>
      </c>
      <c r="D48" s="535">
        <v>1020</v>
      </c>
      <c r="E48" s="535"/>
      <c r="F48" s="421">
        <f>LongTest!F46</f>
        <v>29.497749620633908</v>
      </c>
      <c r="G48" s="421">
        <f>LongTest!G46</f>
        <v>26.267749620633907</v>
      </c>
      <c r="H48" s="421"/>
      <c r="I48" s="421"/>
      <c r="J48" s="437"/>
    </row>
    <row r="49" spans="1:10" ht="24.95" customHeight="1">
      <c r="A49" s="433"/>
      <c r="B49" s="420"/>
      <c r="C49" s="422">
        <f t="shared" si="1"/>
        <v>45491.208333333336</v>
      </c>
      <c r="D49" s="535">
        <v>1080</v>
      </c>
      <c r="E49" s="535"/>
      <c r="F49" s="421">
        <f>LongTest!F47</f>
        <v>29.497749620633908</v>
      </c>
      <c r="G49" s="421">
        <f>LongTest!G47</f>
        <v>26.267749620633907</v>
      </c>
      <c r="H49" s="421"/>
      <c r="I49" s="421"/>
      <c r="J49" s="437"/>
    </row>
    <row r="50" spans="1:10" ht="24.95" customHeight="1">
      <c r="A50" s="433"/>
      <c r="B50" s="420"/>
      <c r="C50" s="422">
        <f t="shared" si="1"/>
        <v>45491.25</v>
      </c>
      <c r="D50" s="535">
        <v>1140</v>
      </c>
      <c r="E50" s="535"/>
      <c r="F50" s="421">
        <f>LongTest!F48</f>
        <v>29.497749620633908</v>
      </c>
      <c r="G50" s="421">
        <f>LongTest!G48</f>
        <v>26.267749620633907</v>
      </c>
      <c r="H50" s="421"/>
      <c r="I50" s="421"/>
      <c r="J50" s="437"/>
    </row>
    <row r="51" spans="1:10" ht="24.95" customHeight="1">
      <c r="A51" s="433"/>
      <c r="B51" s="420"/>
      <c r="C51" s="422">
        <f t="shared" si="1"/>
        <v>45491.291666666672</v>
      </c>
      <c r="D51" s="535">
        <v>1200</v>
      </c>
      <c r="E51" s="535"/>
      <c r="F51" s="421">
        <f>LongTest!F49</f>
        <v>29.497749620633908</v>
      </c>
      <c r="G51" s="421">
        <f>LongTest!G49</f>
        <v>26.267749620633907</v>
      </c>
      <c r="H51" s="421"/>
      <c r="I51" s="421"/>
      <c r="J51" s="437"/>
    </row>
    <row r="52" spans="1:10" ht="24.95" customHeight="1">
      <c r="A52" s="433"/>
      <c r="B52" s="420"/>
      <c r="C52" s="422">
        <f t="shared" si="1"/>
        <v>45491.333333333336</v>
      </c>
      <c r="D52" s="535">
        <v>1260</v>
      </c>
      <c r="E52" s="535"/>
      <c r="F52" s="421">
        <f>LongTest!F50</f>
        <v>29.497749620633908</v>
      </c>
      <c r="G52" s="421">
        <f>LongTest!G50</f>
        <v>26.267749620633907</v>
      </c>
      <c r="H52" s="421"/>
      <c r="I52" s="421"/>
      <c r="J52" s="437"/>
    </row>
    <row r="53" spans="1:10" ht="24.95" customHeight="1">
      <c r="A53" s="433"/>
      <c r="B53" s="420"/>
      <c r="C53" s="422">
        <f t="shared" si="1"/>
        <v>45491.375</v>
      </c>
      <c r="D53" s="535">
        <v>1320</v>
      </c>
      <c r="E53" s="535"/>
      <c r="F53" s="421">
        <f>LongTest!F51</f>
        <v>29.497749620633908</v>
      </c>
      <c r="G53" s="421">
        <f>LongTest!G51</f>
        <v>26.267749620633907</v>
      </c>
      <c r="H53" s="421"/>
      <c r="I53" s="421"/>
      <c r="J53" s="437"/>
    </row>
    <row r="54" spans="1:10" ht="24.95" customHeight="1">
      <c r="A54" s="433"/>
      <c r="B54" s="420"/>
      <c r="C54" s="422">
        <f t="shared" si="1"/>
        <v>45491.416666666672</v>
      </c>
      <c r="D54" s="535">
        <v>1380</v>
      </c>
      <c r="E54" s="535"/>
      <c r="F54" s="421">
        <f>LongTest!F52</f>
        <v>29.497749620633908</v>
      </c>
      <c r="G54" s="421">
        <f>LongTest!G52</f>
        <v>26.267749620633907</v>
      </c>
      <c r="H54" s="421"/>
      <c r="I54" s="421"/>
      <c r="J54" s="437"/>
    </row>
    <row r="55" spans="1:10" ht="24.95" customHeight="1">
      <c r="A55" s="433"/>
      <c r="B55" s="420"/>
      <c r="C55" s="422">
        <f t="shared" si="1"/>
        <v>45491.458333333336</v>
      </c>
      <c r="D55" s="535">
        <v>1440</v>
      </c>
      <c r="E55" s="535"/>
      <c r="F55" s="421">
        <f>LongTest!F53</f>
        <v>29.497749620633908</v>
      </c>
      <c r="G55" s="421">
        <f>LongTest!G53</f>
        <v>26.267749620633907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>
        <f t="shared" si="1"/>
        <v>45491.5</v>
      </c>
      <c r="D56" s="509">
        <v>1500</v>
      </c>
      <c r="E56" s="539"/>
      <c r="F56" s="421">
        <f>LongTest!F54</f>
        <v>29.497749620633908</v>
      </c>
      <c r="G56" s="421">
        <f>LongTest!G54</f>
        <v>26.267749620633907</v>
      </c>
      <c r="H56" s="421"/>
      <c r="I56" s="421"/>
      <c r="J56" s="437"/>
    </row>
    <row r="57" spans="1:10" ht="24.95" customHeight="1">
      <c r="A57" s="440"/>
      <c r="B57" s="422"/>
      <c r="C57" s="422">
        <f t="shared" si="1"/>
        <v>45491.541666666672</v>
      </c>
      <c r="D57" s="509">
        <v>1560</v>
      </c>
      <c r="E57" s="539"/>
      <c r="F57" s="421">
        <f>LongTest!F55</f>
        <v>29.497749620633908</v>
      </c>
      <c r="G57" s="421">
        <f>LongTest!G55</f>
        <v>26.267749620633907</v>
      </c>
      <c r="H57" s="421"/>
      <c r="I57" s="421"/>
      <c r="J57" s="437"/>
    </row>
    <row r="58" spans="1:10" ht="24.95" customHeight="1">
      <c r="A58" s="440"/>
      <c r="B58" s="422"/>
      <c r="C58" s="422">
        <f t="shared" si="1"/>
        <v>45491.583333333336</v>
      </c>
      <c r="D58" s="509">
        <v>1620</v>
      </c>
      <c r="E58" s="539"/>
      <c r="F58" s="421">
        <f>LongTest!F56</f>
        <v>29.497749620633908</v>
      </c>
      <c r="G58" s="421">
        <f>LongTest!G56</f>
        <v>26.267749620633907</v>
      </c>
      <c r="H58" s="421"/>
      <c r="I58" s="421"/>
      <c r="J58" s="437"/>
    </row>
    <row r="59" spans="1:10" ht="24.95" customHeight="1">
      <c r="A59" s="440"/>
      <c r="B59" s="422"/>
      <c r="C59" s="422">
        <f t="shared" si="1"/>
        <v>45491.625</v>
      </c>
      <c r="D59" s="509">
        <v>1680</v>
      </c>
      <c r="E59" s="539"/>
      <c r="F59" s="421">
        <f>LongTest!F57</f>
        <v>29.497749620633908</v>
      </c>
      <c r="G59" s="421">
        <f>LongTest!G57</f>
        <v>26.267749620633907</v>
      </c>
      <c r="H59" s="421">
        <f>H55</f>
        <v>14.799999999999999</v>
      </c>
      <c r="I59" s="421">
        <f t="shared" ref="I59:J59" si="2">I55</f>
        <v>196</v>
      </c>
      <c r="J59" s="437">
        <f t="shared" si="2"/>
        <v>6.89</v>
      </c>
    </row>
    <row r="60" spans="1:10" ht="24.95" customHeight="1">
      <c r="A60" s="440"/>
      <c r="B60" s="422"/>
      <c r="C60" s="422">
        <f t="shared" si="1"/>
        <v>45491.666666666672</v>
      </c>
      <c r="D60" s="509">
        <v>1740</v>
      </c>
      <c r="E60" s="539"/>
      <c r="F60" s="421">
        <f>LongTest!F58</f>
        <v>29.497749620633908</v>
      </c>
      <c r="G60" s="421">
        <f>LongTest!G58</f>
        <v>26.267749620633907</v>
      </c>
      <c r="H60" s="421"/>
      <c r="I60" s="421"/>
      <c r="J60" s="437"/>
    </row>
    <row r="61" spans="1:10" ht="24.95" customHeight="1">
      <c r="A61" s="440"/>
      <c r="B61" s="422"/>
      <c r="C61" s="422">
        <f t="shared" si="1"/>
        <v>45491.708333333336</v>
      </c>
      <c r="D61" s="509">
        <v>1800</v>
      </c>
      <c r="E61" s="539"/>
      <c r="F61" s="421">
        <f>LongTest!F59</f>
        <v>29.497749620633908</v>
      </c>
      <c r="G61" s="421">
        <f>LongTest!G59</f>
        <v>26.267749620633907</v>
      </c>
      <c r="H61" s="421"/>
      <c r="I61" s="421"/>
      <c r="J61" s="437"/>
    </row>
    <row r="62" spans="1:10" ht="24.95" customHeight="1">
      <c r="A62" s="440"/>
      <c r="B62" s="422"/>
      <c r="C62" s="422">
        <f t="shared" si="1"/>
        <v>45491.75</v>
      </c>
      <c r="D62" s="509">
        <v>1860</v>
      </c>
      <c r="E62" s="539"/>
      <c r="F62" s="421">
        <f>LongTest!F60</f>
        <v>29.497749620633908</v>
      </c>
      <c r="G62" s="421">
        <f>LongTest!G60</f>
        <v>26.267749620633907</v>
      </c>
      <c r="H62" s="421"/>
      <c r="I62" s="421"/>
      <c r="J62" s="437"/>
    </row>
    <row r="63" spans="1:10" ht="24.95" customHeight="1">
      <c r="A63" s="440"/>
      <c r="B63" s="422"/>
      <c r="C63" s="422">
        <f t="shared" si="1"/>
        <v>45491.791666666672</v>
      </c>
      <c r="D63" s="509">
        <v>1920</v>
      </c>
      <c r="E63" s="539"/>
      <c r="F63" s="421">
        <f>LongTest!F61</f>
        <v>29.497749620633908</v>
      </c>
      <c r="G63" s="421">
        <f>LongTest!G61</f>
        <v>26.267749620633907</v>
      </c>
      <c r="H63" s="421">
        <f>H59</f>
        <v>14.799999999999999</v>
      </c>
      <c r="I63" s="421">
        <f t="shared" ref="I63:J63" si="3">I59</f>
        <v>196</v>
      </c>
      <c r="J63" s="437">
        <f t="shared" si="3"/>
        <v>6.89</v>
      </c>
    </row>
    <row r="64" spans="1:10" ht="24.95" customHeight="1">
      <c r="A64" s="440"/>
      <c r="B64" s="422"/>
      <c r="C64" s="422">
        <f t="shared" si="1"/>
        <v>45491.833333333336</v>
      </c>
      <c r="D64" s="509">
        <v>1980</v>
      </c>
      <c r="E64" s="539"/>
      <c r="F64" s="421">
        <f>LongTest!F62</f>
        <v>29.497749620633908</v>
      </c>
      <c r="G64" s="421">
        <f>LongTest!G62</f>
        <v>26.267749620633907</v>
      </c>
      <c r="H64" s="421"/>
      <c r="I64" s="421"/>
      <c r="J64" s="437"/>
    </row>
    <row r="65" spans="1:10" ht="24.95" customHeight="1">
      <c r="A65" s="440"/>
      <c r="B65" s="422"/>
      <c r="C65" s="422">
        <f t="shared" si="1"/>
        <v>45491.875</v>
      </c>
      <c r="D65" s="509">
        <v>2040</v>
      </c>
      <c r="E65" s="539"/>
      <c r="F65" s="421">
        <f>LongTest!F63</f>
        <v>29.497749620633908</v>
      </c>
      <c r="G65" s="421">
        <f>LongTest!G63</f>
        <v>26.267749620633907</v>
      </c>
      <c r="H65" s="421"/>
      <c r="I65" s="421"/>
      <c r="J65" s="437"/>
    </row>
    <row r="66" spans="1:10" ht="24.95" customHeight="1">
      <c r="A66" s="440"/>
      <c r="B66" s="422"/>
      <c r="C66" s="422">
        <f t="shared" si="1"/>
        <v>45491.916666666672</v>
      </c>
      <c r="D66" s="509">
        <v>2100</v>
      </c>
      <c r="E66" s="539"/>
      <c r="F66" s="421">
        <f>LongTest!F64</f>
        <v>29.497749620633908</v>
      </c>
      <c r="G66" s="421">
        <f>LongTest!G64</f>
        <v>26.267749620633907</v>
      </c>
      <c r="H66" s="421"/>
      <c r="I66" s="421"/>
      <c r="J66" s="437"/>
    </row>
    <row r="67" spans="1:10" ht="24.95" customHeight="1">
      <c r="A67" s="440"/>
      <c r="B67" s="422"/>
      <c r="C67" s="422">
        <f t="shared" si="1"/>
        <v>45491.958333333336</v>
      </c>
      <c r="D67" s="509">
        <v>2160</v>
      </c>
      <c r="E67" s="539"/>
      <c r="F67" s="421">
        <f>LongTest!F65</f>
        <v>29.497749620633908</v>
      </c>
      <c r="G67" s="421">
        <f>LongTest!G65</f>
        <v>26.267749620633907</v>
      </c>
      <c r="H67" s="421"/>
      <c r="I67" s="421"/>
      <c r="J67" s="437"/>
    </row>
    <row r="68" spans="1:10" ht="24.95" customHeight="1">
      <c r="A68" s="440"/>
      <c r="B68" s="422"/>
      <c r="C68" s="422">
        <f t="shared" si="1"/>
        <v>45492</v>
      </c>
      <c r="D68" s="509">
        <v>2220</v>
      </c>
      <c r="E68" s="539"/>
      <c r="F68" s="421">
        <f>LongTest!F66</f>
        <v>29.497749620633908</v>
      </c>
      <c r="G68" s="421">
        <f>LongTest!G66</f>
        <v>26.267749620633907</v>
      </c>
      <c r="H68" s="421"/>
      <c r="I68" s="421"/>
      <c r="J68" s="437"/>
    </row>
    <row r="69" spans="1:10" ht="24.95" customHeight="1">
      <c r="A69" s="440"/>
      <c r="B69" s="422"/>
      <c r="C69" s="422">
        <f t="shared" si="1"/>
        <v>45492.041666666672</v>
      </c>
      <c r="D69" s="509">
        <v>2280</v>
      </c>
      <c r="E69" s="539"/>
      <c r="F69" s="421">
        <f>LongTest!F67</f>
        <v>29.497749620633908</v>
      </c>
      <c r="G69" s="421">
        <f>LongTest!G67</f>
        <v>26.267749620633907</v>
      </c>
      <c r="H69" s="421"/>
      <c r="I69" s="421"/>
      <c r="J69" s="437"/>
    </row>
    <row r="70" spans="1:10" ht="24.95" customHeight="1">
      <c r="A70" s="440"/>
      <c r="B70" s="422"/>
      <c r="C70" s="422">
        <f t="shared" si="1"/>
        <v>45492.083333333336</v>
      </c>
      <c r="D70" s="509">
        <v>2340</v>
      </c>
      <c r="E70" s="539"/>
      <c r="F70" s="421">
        <f>LongTest!F68</f>
        <v>29.497749620633908</v>
      </c>
      <c r="G70" s="421">
        <f>LongTest!G68</f>
        <v>26.267749620633907</v>
      </c>
      <c r="H70" s="421"/>
      <c r="I70" s="421"/>
      <c r="J70" s="437"/>
    </row>
    <row r="71" spans="1:10" ht="24.95" customHeight="1">
      <c r="A71" s="440"/>
      <c r="B71" s="422"/>
      <c r="C71" s="422">
        <f t="shared" si="1"/>
        <v>45492.125</v>
      </c>
      <c r="D71" s="509">
        <v>2400</v>
      </c>
      <c r="E71" s="539"/>
      <c r="F71" s="421">
        <f>LongTest!F69</f>
        <v>29.497749620633908</v>
      </c>
      <c r="G71" s="421">
        <f>LongTest!G69</f>
        <v>26.267749620633907</v>
      </c>
      <c r="H71" s="421"/>
      <c r="I71" s="421"/>
      <c r="J71" s="437"/>
    </row>
    <row r="72" spans="1:10" ht="24.95" customHeight="1">
      <c r="A72" s="440"/>
      <c r="B72" s="422"/>
      <c r="C72" s="422">
        <f t="shared" si="1"/>
        <v>45492.166666666672</v>
      </c>
      <c r="D72" s="509">
        <v>2460</v>
      </c>
      <c r="E72" s="539"/>
      <c r="F72" s="421">
        <f>LongTest!F70</f>
        <v>29.497749620633908</v>
      </c>
      <c r="G72" s="421">
        <f>LongTest!G70</f>
        <v>26.267749620633907</v>
      </c>
      <c r="H72" s="421"/>
      <c r="I72" s="421"/>
      <c r="J72" s="437"/>
    </row>
    <row r="73" spans="1:10" ht="24.95" customHeight="1">
      <c r="A73" s="440"/>
      <c r="B73" s="422"/>
      <c r="C73" s="422">
        <f t="shared" si="1"/>
        <v>45492.208333333336</v>
      </c>
      <c r="D73" s="509">
        <v>2520</v>
      </c>
      <c r="E73" s="539"/>
      <c r="F73" s="421">
        <f>LongTest!F71</f>
        <v>29.497749620633908</v>
      </c>
      <c r="G73" s="421">
        <f>LongTest!G71</f>
        <v>26.267749620633907</v>
      </c>
      <c r="H73" s="421"/>
      <c r="I73" s="421"/>
      <c r="J73" s="437"/>
    </row>
    <row r="74" spans="1:10" ht="24.95" customHeight="1">
      <c r="A74" s="440"/>
      <c r="B74" s="422"/>
      <c r="C74" s="422">
        <f t="shared" si="1"/>
        <v>45492.25</v>
      </c>
      <c r="D74" s="509">
        <v>2580</v>
      </c>
      <c r="E74" s="539"/>
      <c r="F74" s="421">
        <f>LongTest!F72</f>
        <v>29.497749620633908</v>
      </c>
      <c r="G74" s="421">
        <f>LongTest!G72</f>
        <v>26.267749620633907</v>
      </c>
      <c r="H74" s="421"/>
      <c r="I74" s="421"/>
      <c r="J74" s="437"/>
    </row>
    <row r="75" spans="1:10" ht="24.95" customHeight="1">
      <c r="A75" s="440"/>
      <c r="B75" s="422"/>
      <c r="C75" s="422">
        <f t="shared" si="1"/>
        <v>45492.291666666672</v>
      </c>
      <c r="D75" s="509">
        <v>2640</v>
      </c>
      <c r="E75" s="539"/>
      <c r="F75" s="421">
        <f>LongTest!F73</f>
        <v>29.497749620633908</v>
      </c>
      <c r="G75" s="421">
        <f>LongTest!G73</f>
        <v>26.267749620633907</v>
      </c>
      <c r="H75" s="421"/>
      <c r="I75" s="421"/>
      <c r="J75" s="437"/>
    </row>
    <row r="76" spans="1:10" ht="24.95" customHeight="1">
      <c r="A76" s="440"/>
      <c r="B76" s="422"/>
      <c r="C76" s="422">
        <f t="shared" ref="C76:C103" si="4">$C$4+D76/1440</f>
        <v>45492.333333333336</v>
      </c>
      <c r="D76" s="509">
        <v>2700</v>
      </c>
      <c r="E76" s="539"/>
      <c r="F76" s="421">
        <f>LongTest!F74</f>
        <v>29.497749620633908</v>
      </c>
      <c r="G76" s="421">
        <f>LongTest!G74</f>
        <v>26.267749620633907</v>
      </c>
      <c r="H76" s="421"/>
      <c r="I76" s="421"/>
      <c r="J76" s="437"/>
    </row>
    <row r="77" spans="1:10" ht="24.95" customHeight="1">
      <c r="A77" s="440"/>
      <c r="B77" s="422"/>
      <c r="C77" s="422">
        <f t="shared" si="4"/>
        <v>45492.375</v>
      </c>
      <c r="D77" s="509">
        <v>2760</v>
      </c>
      <c r="E77" s="539"/>
      <c r="F77" s="421">
        <f>LongTest!F75</f>
        <v>29.497749620633908</v>
      </c>
      <c r="G77" s="421">
        <f>LongTest!G75</f>
        <v>26.267749620633907</v>
      </c>
      <c r="H77" s="421"/>
      <c r="I77" s="421"/>
      <c r="J77" s="437"/>
    </row>
    <row r="78" spans="1:10" ht="24.95" customHeight="1">
      <c r="A78" s="440"/>
      <c r="B78" s="422"/>
      <c r="C78" s="422">
        <f t="shared" si="4"/>
        <v>45492.416666666672</v>
      </c>
      <c r="D78" s="509">
        <v>2820</v>
      </c>
      <c r="E78" s="539"/>
      <c r="F78" s="421">
        <f>LongTest!F76</f>
        <v>29.497749620633908</v>
      </c>
      <c r="G78" s="421">
        <f>LongTest!G76</f>
        <v>26.267749620633907</v>
      </c>
      <c r="H78" s="421"/>
      <c r="I78" s="421"/>
      <c r="J78" s="437"/>
    </row>
    <row r="79" spans="1:10" ht="24.95" customHeight="1">
      <c r="A79" s="440"/>
      <c r="B79" s="422"/>
      <c r="C79" s="422">
        <f t="shared" si="4"/>
        <v>45492.458333333336</v>
      </c>
      <c r="D79" s="509">
        <v>2880</v>
      </c>
      <c r="E79" s="539"/>
      <c r="F79" s="421">
        <f>LongTest!F77</f>
        <v>29.497749620633908</v>
      </c>
      <c r="G79" s="421">
        <f>LongTest!G77</f>
        <v>26.267749620633907</v>
      </c>
      <c r="H79" s="421">
        <f>H63</f>
        <v>14.799999999999999</v>
      </c>
      <c r="I79" s="421">
        <f t="shared" ref="I79:J79" si="5">I63</f>
        <v>196</v>
      </c>
      <c r="J79" s="437">
        <f t="shared" si="5"/>
        <v>6.89</v>
      </c>
    </row>
    <row r="80" spans="1:10" ht="24.95" customHeight="1">
      <c r="A80" s="440"/>
      <c r="B80" s="421">
        <v>0</v>
      </c>
      <c r="C80" s="422">
        <f t="shared" si="4"/>
        <v>45490.459027777782</v>
      </c>
      <c r="D80" s="509">
        <v>1</v>
      </c>
      <c r="E80" s="539"/>
      <c r="F80" s="425">
        <f>LongTest!F78</f>
        <v>19.852780359863086</v>
      </c>
      <c r="G80" s="425">
        <f>LongTest!G78</f>
        <v>16.622780359863086</v>
      </c>
      <c r="H80" s="530" t="s">
        <v>191</v>
      </c>
      <c r="I80" s="541"/>
      <c r="J80" s="542"/>
    </row>
    <row r="81" spans="1:10" ht="24.95" customHeight="1">
      <c r="A81" s="440"/>
      <c r="B81" s="422"/>
      <c r="C81" s="422">
        <f t="shared" si="4"/>
        <v>45490.459722222222</v>
      </c>
      <c r="D81" s="509">
        <v>2</v>
      </c>
      <c r="E81" s="539"/>
      <c r="F81" s="425">
        <f>LongTest!F79</f>
        <v>18.300268168583521</v>
      </c>
      <c r="G81" s="425">
        <f>LongTest!G79</f>
        <v>15.070268168583521</v>
      </c>
      <c r="H81" s="509"/>
      <c r="I81" s="510"/>
      <c r="J81" s="511"/>
    </row>
    <row r="82" spans="1:10" ht="24.95" customHeight="1">
      <c r="A82" s="440"/>
      <c r="B82" s="422"/>
      <c r="C82" s="422">
        <f t="shared" si="4"/>
        <v>45490.460416666669</v>
      </c>
      <c r="D82" s="509">
        <v>3</v>
      </c>
      <c r="E82" s="539"/>
      <c r="F82" s="425">
        <f>LongTest!F80</f>
        <v>16.89275543298417</v>
      </c>
      <c r="G82" s="425">
        <f>LongTest!G80</f>
        <v>13.66275543298417</v>
      </c>
      <c r="H82" s="509"/>
      <c r="I82" s="510"/>
      <c r="J82" s="511"/>
    </row>
    <row r="83" spans="1:10" ht="24.95" customHeight="1">
      <c r="A83" s="440"/>
      <c r="B83" s="422"/>
      <c r="C83" s="422">
        <f t="shared" si="4"/>
        <v>45490.461111111115</v>
      </c>
      <c r="D83" s="509">
        <v>4</v>
      </c>
      <c r="E83" s="539"/>
      <c r="F83" s="425">
        <f>LongTest!F81</f>
        <v>15.616699687978</v>
      </c>
      <c r="G83" s="425">
        <f>LongTest!G81</f>
        <v>12.386699687978</v>
      </c>
      <c r="H83" s="509"/>
      <c r="I83" s="510"/>
      <c r="J83" s="511"/>
    </row>
    <row r="84" spans="1:10" ht="24.95" customHeight="1">
      <c r="A84" s="440"/>
      <c r="B84" s="422"/>
      <c r="C84" s="422">
        <f t="shared" si="4"/>
        <v>45490.461805555555</v>
      </c>
      <c r="D84" s="509">
        <v>5</v>
      </c>
      <c r="E84" s="539"/>
      <c r="F84" s="425">
        <f>LongTest!F82</f>
        <v>14.4598232895063</v>
      </c>
      <c r="G84" s="425">
        <f>LongTest!G82</f>
        <v>11.229823289506299</v>
      </c>
      <c r="H84" s="509"/>
      <c r="I84" s="510"/>
      <c r="J84" s="511"/>
    </row>
    <row r="85" spans="1:10" ht="24.95" customHeight="1">
      <c r="A85" s="440"/>
      <c r="B85" s="422"/>
      <c r="C85" s="422">
        <f t="shared" si="4"/>
        <v>45490.465277777781</v>
      </c>
      <c r="D85" s="509">
        <v>10</v>
      </c>
      <c r="E85" s="539"/>
      <c r="F85" s="425">
        <f>LongTest!F83</f>
        <v>11.598061517075923</v>
      </c>
      <c r="G85" s="425">
        <f>LongTest!G83</f>
        <v>8.3680615170759225</v>
      </c>
      <c r="H85" s="509"/>
      <c r="I85" s="510"/>
      <c r="J85" s="511"/>
    </row>
    <row r="86" spans="1:10" ht="24.95" customHeight="1">
      <c r="A86" s="440"/>
      <c r="B86" s="422"/>
      <c r="C86" s="422">
        <f t="shared" si="4"/>
        <v>45490.46875</v>
      </c>
      <c r="D86" s="509">
        <v>15</v>
      </c>
      <c r="E86" s="539"/>
      <c r="F86" s="425">
        <f>LongTest!F84</f>
        <v>11.068562163509535</v>
      </c>
      <c r="G86" s="425">
        <f>LongTest!G84</f>
        <v>7.8385621635095353</v>
      </c>
      <c r="H86" s="509"/>
      <c r="I86" s="510"/>
      <c r="J86" s="511"/>
    </row>
    <row r="87" spans="1:10" ht="24.95" customHeight="1">
      <c r="A87" s="440"/>
      <c r="B87" s="422"/>
      <c r="C87" s="422">
        <f t="shared" si="4"/>
        <v>45490.472222222226</v>
      </c>
      <c r="D87" s="509">
        <v>20</v>
      </c>
      <c r="E87" s="539"/>
      <c r="F87" s="425">
        <f>LongTest!F85</f>
        <v>9.6727463678017411</v>
      </c>
      <c r="G87" s="425">
        <f>LongTest!G85</f>
        <v>6.4427463678017407</v>
      </c>
      <c r="H87" s="509"/>
      <c r="I87" s="510"/>
      <c r="J87" s="511"/>
    </row>
    <row r="88" spans="1:10" ht="24.95" customHeight="1">
      <c r="A88" s="440"/>
      <c r="B88" s="422"/>
      <c r="C88" s="422">
        <f t="shared" si="4"/>
        <v>45490.475694444445</v>
      </c>
      <c r="D88" s="509">
        <v>25</v>
      </c>
      <c r="E88" s="539"/>
      <c r="F88" s="425">
        <f>LongTest!F86</f>
        <v>9.0710153658397648</v>
      </c>
      <c r="G88" s="425">
        <f>LongTest!G86</f>
        <v>5.8410153658397652</v>
      </c>
      <c r="H88" s="509"/>
      <c r="I88" s="510"/>
      <c r="J88" s="511"/>
    </row>
    <row r="89" spans="1:10" ht="24.95" customHeight="1">
      <c r="A89" s="440"/>
      <c r="B89" s="422"/>
      <c r="C89" s="422">
        <f t="shared" si="4"/>
        <v>45490.479166666672</v>
      </c>
      <c r="D89" s="509">
        <v>30</v>
      </c>
      <c r="E89" s="539"/>
      <c r="F89" s="425">
        <f>LongTest!F87</f>
        <v>8.5254840306117892</v>
      </c>
      <c r="G89" s="425">
        <f>LongTest!G87</f>
        <v>5.2954840306117896</v>
      </c>
      <c r="H89" s="509"/>
      <c r="I89" s="510"/>
      <c r="J89" s="511"/>
    </row>
    <row r="90" spans="1:10" ht="24.95" customHeight="1">
      <c r="A90" s="440"/>
      <c r="B90" s="422"/>
      <c r="C90" s="422">
        <f t="shared" si="4"/>
        <v>45490.482638888891</v>
      </c>
      <c r="D90" s="509">
        <v>35</v>
      </c>
      <c r="E90" s="539"/>
      <c r="F90" s="425">
        <f>LongTest!F88</f>
        <v>8.3552072758703044</v>
      </c>
      <c r="G90" s="425">
        <f>LongTest!G88</f>
        <v>5.1252072758703049</v>
      </c>
      <c r="H90" s="509"/>
      <c r="I90" s="510"/>
      <c r="J90" s="511"/>
    </row>
    <row r="91" spans="1:10" ht="24.95" customHeight="1">
      <c r="A91" s="440"/>
      <c r="B91" s="422"/>
      <c r="C91" s="422">
        <f t="shared" si="4"/>
        <v>45490.486111111117</v>
      </c>
      <c r="D91" s="509">
        <v>40</v>
      </c>
      <c r="E91" s="539"/>
      <c r="F91" s="425">
        <f>LongTest!F89</f>
        <v>8.1904057851533523</v>
      </c>
      <c r="G91" s="425">
        <f>LongTest!G89</f>
        <v>4.9604057851533518</v>
      </c>
      <c r="H91" s="509"/>
      <c r="I91" s="510"/>
      <c r="J91" s="511"/>
    </row>
    <row r="92" spans="1:10" ht="24.95" customHeight="1">
      <c r="A92" s="440"/>
      <c r="B92" s="422"/>
      <c r="C92" s="422">
        <f t="shared" si="4"/>
        <v>45490.489583333336</v>
      </c>
      <c r="D92" s="509">
        <v>45</v>
      </c>
      <c r="E92" s="539"/>
      <c r="F92" s="425">
        <f>LongTest!F90</f>
        <v>8.0309035008646745</v>
      </c>
      <c r="G92" s="425">
        <f>LongTest!G90</f>
        <v>4.8009035008646741</v>
      </c>
      <c r="H92" s="509"/>
      <c r="I92" s="510"/>
      <c r="J92" s="511"/>
    </row>
    <row r="93" spans="1:10" ht="24.95" customHeight="1">
      <c r="A93" s="440"/>
      <c r="B93" s="422"/>
      <c r="C93" s="422">
        <f t="shared" si="4"/>
        <v>45490.493055555555</v>
      </c>
      <c r="D93" s="509">
        <v>50</v>
      </c>
      <c r="E93" s="539"/>
      <c r="F93" s="425">
        <f>LongTest!F91</f>
        <v>7.8765300265555034</v>
      </c>
      <c r="G93" s="425">
        <f>LongTest!G91</f>
        <v>4.6465300265555038</v>
      </c>
      <c r="H93" s="509"/>
      <c r="I93" s="510"/>
      <c r="J93" s="511"/>
    </row>
    <row r="94" spans="1:10" ht="24.95" customHeight="1">
      <c r="A94" s="440"/>
      <c r="B94" s="422"/>
      <c r="C94" s="422">
        <f t="shared" si="4"/>
        <v>45490.496527777781</v>
      </c>
      <c r="D94" s="509">
        <v>55</v>
      </c>
      <c r="E94" s="539"/>
      <c r="F94" s="425">
        <f>LongTest!F92</f>
        <v>7.7271204448898736</v>
      </c>
      <c r="G94" s="425">
        <f>LongTest!G92</f>
        <v>4.4971204448898741</v>
      </c>
      <c r="H94" s="509"/>
      <c r="I94" s="510"/>
      <c r="J94" s="511"/>
    </row>
    <row r="95" spans="1:10" ht="24.95" customHeight="1">
      <c r="A95" s="440"/>
      <c r="B95" s="422"/>
      <c r="C95" s="422">
        <f t="shared" si="4"/>
        <v>45490.5</v>
      </c>
      <c r="D95" s="509">
        <v>60</v>
      </c>
      <c r="E95" s="539"/>
      <c r="F95" s="425">
        <f>LongTest!F93</f>
        <v>7.5825151414632561</v>
      </c>
      <c r="G95" s="425">
        <f>LongTest!G93</f>
        <v>4.3525151414632557</v>
      </c>
      <c r="H95" s="509"/>
      <c r="I95" s="510"/>
      <c r="J95" s="511"/>
    </row>
    <row r="96" spans="1:10" ht="24.95" customHeight="1">
      <c r="A96" s="440"/>
      <c r="B96" s="422"/>
      <c r="C96" s="422">
        <f t="shared" si="4"/>
        <v>45490.510416666672</v>
      </c>
      <c r="D96" s="509">
        <v>75</v>
      </c>
      <c r="E96" s="539"/>
      <c r="F96" s="425">
        <f>LongTest!F94</f>
        <v>7.44255963428634</v>
      </c>
      <c r="G96" s="425">
        <f>LongTest!G94</f>
        <v>4.2125596342863396</v>
      </c>
      <c r="H96" s="509"/>
      <c r="I96" s="510"/>
      <c r="J96" s="511"/>
    </row>
    <row r="97" spans="1:10" ht="24.95" customHeight="1">
      <c r="A97" s="440"/>
      <c r="B97" s="422"/>
      <c r="C97" s="422">
        <f t="shared" si="4"/>
        <v>45490.520833333336</v>
      </c>
      <c r="D97" s="509">
        <v>90</v>
      </c>
      <c r="E97" s="539"/>
      <c r="F97" s="425">
        <f>LongTest!F95</f>
        <v>7.3071044087517656</v>
      </c>
      <c r="G97" s="425">
        <f>LongTest!G95</f>
        <v>4.0771044087517661</v>
      </c>
      <c r="H97" s="509"/>
      <c r="I97" s="510"/>
      <c r="J97" s="511"/>
    </row>
    <row r="98" spans="1:10" ht="24.95" customHeight="1">
      <c r="A98" s="440"/>
      <c r="B98" s="422"/>
      <c r="C98" s="422">
        <f t="shared" si="4"/>
        <v>45490.53125</v>
      </c>
      <c r="D98" s="509">
        <v>105</v>
      </c>
      <c r="E98" s="539"/>
      <c r="F98" s="425">
        <f>LongTest!F96</f>
        <v>7.1760047579075259</v>
      </c>
      <c r="G98" s="425">
        <f>LongTest!G96</f>
        <v>3.9460047579075264</v>
      </c>
      <c r="H98" s="509"/>
      <c r="I98" s="510"/>
      <c r="J98" s="511"/>
    </row>
    <row r="99" spans="1:10" ht="24.95" customHeight="1">
      <c r="A99" s="440"/>
      <c r="B99" s="422"/>
      <c r="C99" s="422">
        <f t="shared" si="4"/>
        <v>45490.541666666672</v>
      </c>
      <c r="D99" s="509">
        <v>120</v>
      </c>
      <c r="E99" s="539"/>
      <c r="F99" s="425">
        <f>LongTest!F97</f>
        <v>6.8074610870610552</v>
      </c>
      <c r="G99" s="425">
        <f>LongTest!G97</f>
        <v>3.5774610870610548</v>
      </c>
      <c r="H99" s="509"/>
      <c r="I99" s="510"/>
      <c r="J99" s="511"/>
    </row>
    <row r="100" spans="1:10" ht="24.95" customHeight="1">
      <c r="A100" s="440"/>
      <c r="B100" s="422"/>
      <c r="C100" s="422">
        <f t="shared" si="4"/>
        <v>45490.583333333336</v>
      </c>
      <c r="D100" s="509">
        <v>180</v>
      </c>
      <c r="E100" s="539"/>
      <c r="F100" s="425">
        <f>LongTest!F98</f>
        <v>6.692427511169349</v>
      </c>
      <c r="G100" s="425">
        <f>LongTest!G98</f>
        <v>3.4624275111693485</v>
      </c>
      <c r="H100" s="509"/>
      <c r="I100" s="510"/>
      <c r="J100" s="511"/>
    </row>
    <row r="101" spans="1:10" ht="24.95" customHeight="1">
      <c r="A101" s="440"/>
      <c r="B101" s="422"/>
      <c r="C101" s="422">
        <f t="shared" si="4"/>
        <v>45490.625</v>
      </c>
      <c r="D101" s="509">
        <v>240</v>
      </c>
      <c r="E101" s="539"/>
      <c r="F101" s="425">
        <f>LongTest!F99</f>
        <v>6.0758717052995159</v>
      </c>
      <c r="G101" s="425">
        <f>LongTest!G99</f>
        <v>2.8458717052995159</v>
      </c>
      <c r="H101" s="509"/>
      <c r="I101" s="510"/>
      <c r="J101" s="511"/>
    </row>
    <row r="102" spans="1:10" ht="24.95" customHeight="1">
      <c r="A102" s="440"/>
      <c r="B102" s="422"/>
      <c r="C102" s="422">
        <f t="shared" si="4"/>
        <v>45490.666666666672</v>
      </c>
      <c r="D102" s="509">
        <v>300</v>
      </c>
      <c r="E102" s="539"/>
      <c r="F102" s="425">
        <f>LongTest!F100</f>
        <v>5.5691062302093206</v>
      </c>
      <c r="G102" s="425">
        <f>LongTest!G100</f>
        <v>2.3391062302093206</v>
      </c>
      <c r="H102" s="509"/>
      <c r="I102" s="510"/>
      <c r="J102" s="511"/>
    </row>
    <row r="103" spans="1:10" ht="24.95" customHeight="1" thickBot="1">
      <c r="A103" s="441"/>
      <c r="B103" s="442"/>
      <c r="C103" s="442">
        <f t="shared" si="4"/>
        <v>45490.708333333336</v>
      </c>
      <c r="D103" s="512">
        <v>360</v>
      </c>
      <c r="E103" s="540"/>
      <c r="F103" s="443">
        <f>LongTest!F101</f>
        <v>5.1525806792397955</v>
      </c>
      <c r="G103" s="443">
        <f>LongTest!G101</f>
        <v>1.9225806792397959</v>
      </c>
      <c r="H103" s="512" t="s">
        <v>333</v>
      </c>
      <c r="I103" s="513"/>
      <c r="J103" s="51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rgb="FFFFFF00"/>
  </sheetPr>
  <dimension ref="A1:J88"/>
  <sheetViews>
    <sheetView showGridLines="0" view="pageBreakPreview" zoomScaleNormal="130" zoomScaleSheetLayoutView="100" workbookViewId="0">
      <selection activeCell="U75" sqref="U75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" customHeight="1" thickBot="1">
      <c r="A1" s="515" t="s">
        <v>323</v>
      </c>
      <c r="B1" s="515"/>
      <c r="C1" s="515"/>
      <c r="D1" s="515"/>
      <c r="E1" s="515"/>
      <c r="F1" s="515"/>
      <c r="G1" s="515"/>
      <c r="H1" s="515"/>
      <c r="I1" s="515"/>
      <c r="J1" s="515"/>
    </row>
    <row r="2" spans="1:10" ht="24.95" customHeight="1">
      <c r="A2" s="516" t="s">
        <v>298</v>
      </c>
      <c r="B2" s="517"/>
      <c r="C2" s="518" t="str">
        <f>LongTest!C2</f>
        <v>부여군 농업기술센터 지하수사후관리 및 영향조사 용역</v>
      </c>
      <c r="D2" s="519"/>
      <c r="E2" s="519"/>
      <c r="F2" s="519"/>
      <c r="G2" s="519"/>
      <c r="H2" s="519"/>
      <c r="I2" s="519"/>
      <c r="J2" s="520"/>
    </row>
    <row r="3" spans="1:10" ht="24.95" customHeight="1">
      <c r="A3" s="521" t="s">
        <v>299</v>
      </c>
      <c r="B3" s="522"/>
      <c r="C3" s="526" t="str">
        <f>LongTest!C4</f>
        <v>충청남도 부여군 규암면 노화리 284-1번지</v>
      </c>
      <c r="D3" s="527"/>
      <c r="E3" s="527"/>
      <c r="F3" s="527"/>
      <c r="G3" s="527"/>
      <c r="H3" s="528"/>
      <c r="I3" s="428" t="str">
        <f>Input!I54</f>
        <v>W-1</v>
      </c>
      <c r="J3" s="431" t="s">
        <v>330</v>
      </c>
    </row>
    <row r="4" spans="1:10" ht="24.95" customHeight="1">
      <c r="A4" s="521" t="s">
        <v>300</v>
      </c>
      <c r="B4" s="522"/>
      <c r="C4" s="523">
        <f>LongTest!C10</f>
        <v>45490.458333333336</v>
      </c>
      <c r="D4" s="524"/>
      <c r="E4" s="524"/>
      <c r="F4" s="524"/>
      <c r="G4" s="524"/>
      <c r="H4" s="524"/>
      <c r="I4" s="524"/>
      <c r="J4" s="525"/>
    </row>
    <row r="5" spans="1:10" ht="24.95" customHeight="1">
      <c r="A5" s="521" t="s">
        <v>301</v>
      </c>
      <c r="B5" s="522"/>
      <c r="C5" s="523">
        <f>LongTest!C77</f>
        <v>45492.458333333336</v>
      </c>
      <c r="D5" s="524"/>
      <c r="E5" s="524"/>
      <c r="F5" s="524"/>
      <c r="G5" s="524"/>
      <c r="H5" s="524"/>
      <c r="I5" s="524"/>
      <c r="J5" s="525"/>
    </row>
    <row r="6" spans="1:10" ht="24.95" customHeight="1">
      <c r="A6" s="521" t="s">
        <v>297</v>
      </c>
      <c r="B6" s="522"/>
      <c r="C6" s="532" t="str">
        <f>LongTest!C5</f>
        <v>부여지하수개발주식회사</v>
      </c>
      <c r="D6" s="533"/>
      <c r="E6" s="533"/>
      <c r="F6" s="533"/>
      <c r="G6" s="533"/>
      <c r="H6" s="533"/>
      <c r="I6" s="533"/>
      <c r="J6" s="534"/>
    </row>
    <row r="7" spans="1:10" ht="24.95" customHeight="1">
      <c r="A7" s="521" t="s">
        <v>302</v>
      </c>
      <c r="B7" s="522"/>
      <c r="C7" s="529" t="s">
        <v>336</v>
      </c>
      <c r="D7" s="522"/>
      <c r="E7" s="421">
        <f>LongTest!C6</f>
        <v>1</v>
      </c>
      <c r="F7" s="420" t="s">
        <v>303</v>
      </c>
      <c r="G7" s="420" t="s">
        <v>338</v>
      </c>
      <c r="H7" s="530">
        <f>Input!I50</f>
        <v>50</v>
      </c>
      <c r="I7" s="531"/>
      <c r="J7" s="432" t="s">
        <v>304</v>
      </c>
    </row>
    <row r="8" spans="1:10" ht="24.95" customHeight="1">
      <c r="A8" s="521" t="s">
        <v>305</v>
      </c>
      <c r="B8" s="522"/>
      <c r="C8" s="529" t="s">
        <v>337</v>
      </c>
      <c r="D8" s="522"/>
      <c r="E8" s="421">
        <f>LongTest!D7</f>
        <v>150</v>
      </c>
      <c r="F8" s="420" t="s">
        <v>306</v>
      </c>
      <c r="G8" s="420" t="s">
        <v>307</v>
      </c>
      <c r="H8" s="530">
        <f>LongTest!G7</f>
        <v>100</v>
      </c>
      <c r="I8" s="531"/>
      <c r="J8" s="432" t="s">
        <v>304</v>
      </c>
    </row>
    <row r="9" spans="1:10" ht="24.95" customHeight="1">
      <c r="A9" s="521" t="s">
        <v>308</v>
      </c>
      <c r="B9" s="522"/>
      <c r="C9" s="529" t="s">
        <v>335</v>
      </c>
      <c r="D9" s="522"/>
      <c r="E9" s="421">
        <f>LongTest!D8</f>
        <v>3.23</v>
      </c>
      <c r="F9" s="420" t="s">
        <v>304</v>
      </c>
      <c r="G9" s="420" t="s">
        <v>309</v>
      </c>
      <c r="H9" s="530">
        <f>LongTest!G8</f>
        <v>29.497749620633908</v>
      </c>
      <c r="I9" s="531"/>
      <c r="J9" s="432" t="s">
        <v>304</v>
      </c>
    </row>
    <row r="10" spans="1:10" ht="24.95" customHeight="1">
      <c r="A10" s="536" t="s">
        <v>310</v>
      </c>
      <c r="B10" s="420" t="s">
        <v>311</v>
      </c>
      <c r="C10" s="537" t="s">
        <v>190</v>
      </c>
      <c r="D10" s="538" t="s">
        <v>313</v>
      </c>
      <c r="E10" s="538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36"/>
      <c r="B11" s="420" t="s">
        <v>312</v>
      </c>
      <c r="C11" s="537"/>
      <c r="D11" s="538" t="s">
        <v>314</v>
      </c>
      <c r="E11" s="538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55" si="0">$C$4+D12/1440</f>
        <v>45490.459027777782</v>
      </c>
      <c r="D12" s="535">
        <v>1</v>
      </c>
      <c r="E12" s="535"/>
      <c r="F12" s="425">
        <f>LongTest!F10</f>
        <v>15.923591285614936</v>
      </c>
      <c r="G12" s="425">
        <f>LongTest!G10</f>
        <v>12.693591285614936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35">
        <v>2</v>
      </c>
      <c r="E13" s="535"/>
      <c r="F13" s="425">
        <f>LongTest!F11</f>
        <v>17.336487261054877</v>
      </c>
      <c r="G13" s="425">
        <f>LongTest!G11</f>
        <v>14.106487261054877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35">
        <v>3</v>
      </c>
      <c r="E14" s="535"/>
      <c r="F14" s="425">
        <f>LongTest!F12</f>
        <v>18.162978424107084</v>
      </c>
      <c r="G14" s="425">
        <f>LongTest!G12</f>
        <v>14.932978424107084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35">
        <v>4</v>
      </c>
      <c r="E15" s="535"/>
      <c r="F15" s="425">
        <f>LongTest!F13</f>
        <v>18.749383236494818</v>
      </c>
      <c r="G15" s="425">
        <f>LongTest!G13</f>
        <v>15.519383236494818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35">
        <v>5</v>
      </c>
      <c r="E16" s="535"/>
      <c r="F16" s="425">
        <f>LongTest!F14</f>
        <v>19.20423414614222</v>
      </c>
      <c r="G16" s="425">
        <f>LongTest!G14</f>
        <v>15.974234146142219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35">
        <v>10</v>
      </c>
      <c r="E17" s="535"/>
      <c r="F17" s="425">
        <f>LongTest!F15</f>
        <v>20.617130121582161</v>
      </c>
      <c r="G17" s="425">
        <f>LongTest!G15</f>
        <v>17.38713012158216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35">
        <v>15</v>
      </c>
      <c r="E18" s="535"/>
      <c r="F18" s="425">
        <f>LongTest!F16</f>
        <v>21.443621284634368</v>
      </c>
      <c r="G18" s="425">
        <f>LongTest!G16</f>
        <v>18.213621284634367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35">
        <v>20</v>
      </c>
      <c r="E19" s="535"/>
      <c r="F19" s="425">
        <f>LongTest!F17</f>
        <v>22.030026097022105</v>
      </c>
      <c r="G19" s="425">
        <f>LongTest!G17</f>
        <v>18.800026097022105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35">
        <v>25</v>
      </c>
      <c r="E20" s="535"/>
      <c r="F20" s="425">
        <f>LongTest!F18</f>
        <v>22.484877006669503</v>
      </c>
      <c r="G20" s="425">
        <f>LongTest!G18</f>
        <v>19.254877006669503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35">
        <v>30</v>
      </c>
      <c r="E21" s="535"/>
      <c r="F21" s="425">
        <f>LongTest!F19</f>
        <v>22.856517260074309</v>
      </c>
      <c r="G21" s="425">
        <f>LongTest!G19</f>
        <v>19.626517260074309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35">
        <v>35</v>
      </c>
      <c r="E22" s="535"/>
      <c r="F22" s="425">
        <f>LongTest!F20</f>
        <v>23.17073461714892</v>
      </c>
      <c r="G22" s="425">
        <f>LongTest!G20</f>
        <v>19.940734617148919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35">
        <v>40</v>
      </c>
      <c r="E23" s="535"/>
      <c r="F23" s="425">
        <f>LongTest!F21</f>
        <v>23.442922072462046</v>
      </c>
      <c r="G23" s="425">
        <f>LongTest!G21</f>
        <v>20.212922072462046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35">
        <v>45</v>
      </c>
      <c r="E24" s="535"/>
      <c r="F24" s="425">
        <f>LongTest!F22</f>
        <v>23.683008423126516</v>
      </c>
      <c r="G24" s="425">
        <f>LongTest!G22</f>
        <v>20.453008423126516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35">
        <v>50</v>
      </c>
      <c r="E25" s="535"/>
      <c r="F25" s="425">
        <f>LongTest!F23</f>
        <v>23.897772982109448</v>
      </c>
      <c r="G25" s="425">
        <f>LongTest!G23</f>
        <v>20.667772982109447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35">
        <v>55</v>
      </c>
      <c r="E26" s="535"/>
      <c r="F26" s="425">
        <f>LongTest!F24</f>
        <v>24.092051157424542</v>
      </c>
      <c r="G26" s="425">
        <f>LongTest!G24</f>
        <v>20.862051157424542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35">
        <v>60</v>
      </c>
      <c r="E27" s="535"/>
      <c r="F27" s="425">
        <f>LongTest!F25</f>
        <v>24.26941323551425</v>
      </c>
      <c r="G27" s="425">
        <f>LongTest!G25</f>
        <v>21.03941323551425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35">
        <v>75</v>
      </c>
      <c r="E28" s="535"/>
      <c r="F28" s="425">
        <f>LongTest!F26</f>
        <v>24.724264145161651</v>
      </c>
      <c r="G28" s="425">
        <f>LongTest!G26</f>
        <v>21.494264145161651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35">
        <v>90</v>
      </c>
      <c r="E29" s="535"/>
      <c r="F29" s="425">
        <f>LongTest!F27</f>
        <v>25.095904398566457</v>
      </c>
      <c r="G29" s="425">
        <f>LongTest!G27</f>
        <v>21.865904398566457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35">
        <v>105</v>
      </c>
      <c r="E30" s="535"/>
      <c r="F30" s="425">
        <f>LongTest!F28</f>
        <v>25.410121755641068</v>
      </c>
      <c r="G30" s="425">
        <f>LongTest!G28</f>
        <v>22.180121755641068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35">
        <v>120</v>
      </c>
      <c r="E31" s="535"/>
      <c r="F31" s="425">
        <f>LongTest!F29</f>
        <v>25.682309210954191</v>
      </c>
      <c r="G31" s="425">
        <f>LongTest!G29</f>
        <v>22.452309210954191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35">
        <v>140</v>
      </c>
      <c r="E32" s="535"/>
      <c r="F32" s="425">
        <f>LongTest!F30</f>
        <v>25.996526568028802</v>
      </c>
      <c r="G32" s="425">
        <f>LongTest!G30</f>
        <v>22.766526568028802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35">
        <v>160</v>
      </c>
      <c r="E33" s="535"/>
      <c r="F33" s="425">
        <f>LongTest!F31</f>
        <v>26.268714023341929</v>
      </c>
      <c r="G33" s="425">
        <f>LongTest!G31</f>
        <v>23.038714023341928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35">
        <v>180</v>
      </c>
      <c r="E34" s="535"/>
      <c r="F34" s="425">
        <f>LongTest!F32</f>
        <v>26.508800374006395</v>
      </c>
      <c r="G34" s="425">
        <f>LongTest!G32</f>
        <v>23.278800374006394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35">
        <v>240</v>
      </c>
      <c r="E35" s="535"/>
      <c r="F35" s="425">
        <f>LongTest!F33</f>
        <v>27.095205186394129</v>
      </c>
      <c r="G35" s="425">
        <f>LongTest!G33</f>
        <v>23.865205186394128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35">
        <v>300</v>
      </c>
      <c r="E36" s="535"/>
      <c r="F36" s="425">
        <f>LongTest!F34</f>
        <v>27.550056096041533</v>
      </c>
      <c r="G36" s="425">
        <f>LongTest!G34</f>
        <v>24.320056096041533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35">
        <v>360</v>
      </c>
      <c r="E37" s="535"/>
      <c r="F37" s="425">
        <f>LongTest!F35</f>
        <v>27.921696349446336</v>
      </c>
      <c r="G37" s="425">
        <f>LongTest!G35</f>
        <v>24.691696349446335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35">
        <v>420</v>
      </c>
      <c r="E38" s="535"/>
      <c r="F38" s="425">
        <f>LongTest!F36</f>
        <v>28.23591370652095</v>
      </c>
      <c r="G38" s="425">
        <f>LongTest!G36</f>
        <v>25.00591370652095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35">
        <v>480</v>
      </c>
      <c r="E39" s="535"/>
      <c r="F39" s="425">
        <f>LongTest!F37</f>
        <v>28.50810116183407</v>
      </c>
      <c r="G39" s="425">
        <f>LongTest!G37</f>
        <v>25.278101161834069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35">
        <v>540</v>
      </c>
      <c r="E40" s="535"/>
      <c r="F40" s="425">
        <f>LongTest!F38</f>
        <v>28.748187512498543</v>
      </c>
      <c r="G40" s="425">
        <f>LongTest!G38</f>
        <v>25.518187512498542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35">
        <v>600</v>
      </c>
      <c r="E41" s="535"/>
      <c r="F41" s="425">
        <f>LongTest!F39</f>
        <v>28.962952071481478</v>
      </c>
      <c r="G41" s="425">
        <f>LongTest!G39</f>
        <v>25.732952071481478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35">
        <v>660</v>
      </c>
      <c r="E42" s="535"/>
      <c r="F42" s="425">
        <f>LongTest!F40</f>
        <v>29.157230246796566</v>
      </c>
      <c r="G42" s="425">
        <f>LongTest!G40</f>
        <v>25.927230246796565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35">
        <v>720</v>
      </c>
      <c r="E43" s="535"/>
      <c r="F43" s="425">
        <f>LongTest!F41</f>
        <v>29.334592324886277</v>
      </c>
      <c r="G43" s="425">
        <f>LongTest!G41</f>
        <v>26.104592324886276</v>
      </c>
      <c r="H43" s="421"/>
      <c r="I43" s="421"/>
      <c r="J43" s="437"/>
    </row>
    <row r="44" spans="1:10" ht="24.95" customHeight="1">
      <c r="A44" s="433"/>
      <c r="B44" s="420"/>
      <c r="C44" s="422">
        <f t="shared" si="0"/>
        <v>45491</v>
      </c>
      <c r="D44" s="535">
        <v>780</v>
      </c>
      <c r="E44" s="535"/>
      <c r="F44" s="421">
        <f>LongTest!F42</f>
        <v>29.497749620633908</v>
      </c>
      <c r="G44" s="421">
        <f>LongTest!G42</f>
        <v>26.267749620633907</v>
      </c>
      <c r="H44" s="421"/>
      <c r="I44" s="421"/>
      <c r="J44" s="437"/>
    </row>
    <row r="45" spans="1:10" ht="24.95" customHeight="1">
      <c r="A45" s="433"/>
      <c r="B45" s="420"/>
      <c r="C45" s="422">
        <f t="shared" si="0"/>
        <v>45491.041666666672</v>
      </c>
      <c r="D45" s="535">
        <v>840</v>
      </c>
      <c r="E45" s="535"/>
      <c r="F45" s="421">
        <f>LongTest!F43</f>
        <v>29.497749620633908</v>
      </c>
      <c r="G45" s="421">
        <f>LongTest!G43</f>
        <v>26.267749620633907</v>
      </c>
      <c r="H45" s="421"/>
      <c r="I45" s="421"/>
      <c r="J45" s="437"/>
    </row>
    <row r="46" spans="1:10" ht="24.95" customHeight="1">
      <c r="A46" s="433"/>
      <c r="B46" s="420"/>
      <c r="C46" s="422">
        <f t="shared" si="0"/>
        <v>45491.083333333336</v>
      </c>
      <c r="D46" s="535">
        <v>900</v>
      </c>
      <c r="E46" s="535"/>
      <c r="F46" s="421">
        <f>LongTest!F44</f>
        <v>29.497749620633908</v>
      </c>
      <c r="G46" s="421">
        <f>LongTest!G44</f>
        <v>26.267749620633907</v>
      </c>
      <c r="H46" s="421"/>
      <c r="I46" s="421"/>
      <c r="J46" s="437"/>
    </row>
    <row r="47" spans="1:10" ht="24.95" customHeight="1">
      <c r="A47" s="439"/>
      <c r="B47" s="424"/>
      <c r="C47" s="422">
        <f t="shared" si="0"/>
        <v>45491.125</v>
      </c>
      <c r="D47" s="535">
        <v>960</v>
      </c>
      <c r="E47" s="535"/>
      <c r="F47" s="421">
        <f>LongTest!F45</f>
        <v>29.497749620633908</v>
      </c>
      <c r="G47" s="421">
        <f>LongTest!G45</f>
        <v>26.267749620633907</v>
      </c>
      <c r="H47" s="421"/>
      <c r="I47" s="421"/>
      <c r="J47" s="437"/>
    </row>
    <row r="48" spans="1:10" ht="24.95" customHeight="1">
      <c r="A48" s="433"/>
      <c r="B48" s="420"/>
      <c r="C48" s="422">
        <f t="shared" si="0"/>
        <v>45491.166666666672</v>
      </c>
      <c r="D48" s="535">
        <v>1020</v>
      </c>
      <c r="E48" s="535"/>
      <c r="F48" s="421">
        <f>LongTest!F46</f>
        <v>29.497749620633908</v>
      </c>
      <c r="G48" s="421">
        <f>LongTest!G46</f>
        <v>26.267749620633907</v>
      </c>
      <c r="H48" s="421"/>
      <c r="I48" s="421"/>
      <c r="J48" s="437"/>
    </row>
    <row r="49" spans="1:10" ht="24.95" customHeight="1">
      <c r="A49" s="433"/>
      <c r="B49" s="420"/>
      <c r="C49" s="422">
        <f t="shared" si="0"/>
        <v>45491.208333333336</v>
      </c>
      <c r="D49" s="535">
        <v>1080</v>
      </c>
      <c r="E49" s="535"/>
      <c r="F49" s="421">
        <f>LongTest!F47</f>
        <v>29.497749620633908</v>
      </c>
      <c r="G49" s="421">
        <f>LongTest!G47</f>
        <v>26.267749620633907</v>
      </c>
      <c r="H49" s="421"/>
      <c r="I49" s="421"/>
      <c r="J49" s="437"/>
    </row>
    <row r="50" spans="1:10" ht="24.95" customHeight="1">
      <c r="A50" s="433"/>
      <c r="B50" s="420"/>
      <c r="C50" s="422">
        <f t="shared" si="0"/>
        <v>45491.25</v>
      </c>
      <c r="D50" s="535">
        <v>1140</v>
      </c>
      <c r="E50" s="535"/>
      <c r="F50" s="421">
        <f>LongTest!F48</f>
        <v>29.497749620633908</v>
      </c>
      <c r="G50" s="421">
        <f>LongTest!G48</f>
        <v>26.267749620633907</v>
      </c>
      <c r="H50" s="421"/>
      <c r="I50" s="421"/>
      <c r="J50" s="437"/>
    </row>
    <row r="51" spans="1:10" ht="24.95" customHeight="1">
      <c r="A51" s="433"/>
      <c r="B51" s="420"/>
      <c r="C51" s="422">
        <f t="shared" si="0"/>
        <v>45491.291666666672</v>
      </c>
      <c r="D51" s="535">
        <v>1200</v>
      </c>
      <c r="E51" s="535"/>
      <c r="F51" s="421">
        <f>LongTest!F49</f>
        <v>29.497749620633908</v>
      </c>
      <c r="G51" s="421">
        <f>LongTest!G49</f>
        <v>26.267749620633907</v>
      </c>
      <c r="H51" s="421"/>
      <c r="I51" s="421"/>
      <c r="J51" s="437"/>
    </row>
    <row r="52" spans="1:10" ht="24.95" customHeight="1">
      <c r="A52" s="433"/>
      <c r="B52" s="420"/>
      <c r="C52" s="422">
        <f t="shared" si="0"/>
        <v>45491.333333333336</v>
      </c>
      <c r="D52" s="535">
        <v>1260</v>
      </c>
      <c r="E52" s="535"/>
      <c r="F52" s="421">
        <f>LongTest!F50</f>
        <v>29.497749620633908</v>
      </c>
      <c r="G52" s="421">
        <f>LongTest!G50</f>
        <v>26.267749620633907</v>
      </c>
      <c r="H52" s="421"/>
      <c r="I52" s="421"/>
      <c r="J52" s="437"/>
    </row>
    <row r="53" spans="1:10" ht="24.95" customHeight="1">
      <c r="A53" s="433"/>
      <c r="B53" s="420"/>
      <c r="C53" s="422">
        <f t="shared" si="0"/>
        <v>45491.375</v>
      </c>
      <c r="D53" s="535">
        <v>1320</v>
      </c>
      <c r="E53" s="535"/>
      <c r="F53" s="421">
        <f>LongTest!F51</f>
        <v>29.497749620633908</v>
      </c>
      <c r="G53" s="421">
        <f>LongTest!G51</f>
        <v>26.267749620633907</v>
      </c>
      <c r="H53" s="421"/>
      <c r="I53" s="421"/>
      <c r="J53" s="437"/>
    </row>
    <row r="54" spans="1:10" ht="24.95" customHeight="1">
      <c r="A54" s="433"/>
      <c r="B54" s="420"/>
      <c r="C54" s="422">
        <f t="shared" si="0"/>
        <v>45491.416666666672</v>
      </c>
      <c r="D54" s="535">
        <v>1380</v>
      </c>
      <c r="E54" s="535"/>
      <c r="F54" s="421">
        <f>LongTest!F52</f>
        <v>29.497749620633908</v>
      </c>
      <c r="G54" s="421">
        <f>LongTest!G52</f>
        <v>26.267749620633907</v>
      </c>
      <c r="H54" s="421"/>
      <c r="I54" s="421"/>
      <c r="J54" s="437"/>
    </row>
    <row r="55" spans="1:10" ht="24.95" customHeight="1">
      <c r="A55" s="433"/>
      <c r="B55" s="420"/>
      <c r="C55" s="422">
        <f t="shared" si="0"/>
        <v>45491.458333333336</v>
      </c>
      <c r="D55" s="535">
        <v>1440</v>
      </c>
      <c r="E55" s="535"/>
      <c r="F55" s="421">
        <f>LongTest!F53</f>
        <v>29.497749620633908</v>
      </c>
      <c r="G55" s="421">
        <f>LongTest!G53</f>
        <v>26.267749620633907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/>
      <c r="D56" s="509"/>
      <c r="E56" s="539"/>
      <c r="F56" s="421"/>
      <c r="G56" s="421"/>
      <c r="H56" s="421"/>
      <c r="I56" s="421"/>
      <c r="J56" s="437"/>
    </row>
    <row r="57" spans="1:10" ht="24.95" customHeight="1">
      <c r="A57" s="440"/>
      <c r="B57" s="422"/>
      <c r="C57" s="422"/>
      <c r="D57" s="509"/>
      <c r="E57" s="539"/>
      <c r="F57" s="421"/>
      <c r="G57" s="421"/>
      <c r="H57" s="421"/>
      <c r="I57" s="421"/>
      <c r="J57" s="437"/>
    </row>
    <row r="58" spans="1:10" ht="24.95" customHeight="1">
      <c r="A58" s="440"/>
      <c r="B58" s="421">
        <v>0</v>
      </c>
      <c r="C58" s="422">
        <f t="shared" ref="C58:C77" si="1">$C$4+D58/1440</f>
        <v>45490.459027777782</v>
      </c>
      <c r="D58" s="509">
        <v>1</v>
      </c>
      <c r="E58" s="539"/>
      <c r="F58" s="425">
        <f>LongTest!F78</f>
        <v>19.852780359863086</v>
      </c>
      <c r="G58" s="425">
        <f>LongTest!G78</f>
        <v>16.622780359863086</v>
      </c>
      <c r="H58" s="530" t="s">
        <v>191</v>
      </c>
      <c r="I58" s="541"/>
      <c r="J58" s="542"/>
    </row>
    <row r="59" spans="1:10" ht="24.95" customHeight="1">
      <c r="A59" s="440"/>
      <c r="B59" s="422"/>
      <c r="C59" s="422">
        <f t="shared" si="1"/>
        <v>45490.459722222222</v>
      </c>
      <c r="D59" s="509">
        <v>2</v>
      </c>
      <c r="E59" s="539"/>
      <c r="F59" s="425">
        <f>LongTest!F79</f>
        <v>18.300268168583521</v>
      </c>
      <c r="G59" s="425">
        <f>LongTest!G79</f>
        <v>15.070268168583521</v>
      </c>
      <c r="H59" s="509"/>
      <c r="I59" s="510"/>
      <c r="J59" s="511"/>
    </row>
    <row r="60" spans="1:10" ht="24.95" customHeight="1">
      <c r="A60" s="440"/>
      <c r="B60" s="422"/>
      <c r="C60" s="422">
        <f t="shared" si="1"/>
        <v>45490.460416666669</v>
      </c>
      <c r="D60" s="509">
        <v>3</v>
      </c>
      <c r="E60" s="539"/>
      <c r="F60" s="425">
        <f>LongTest!F80</f>
        <v>16.89275543298417</v>
      </c>
      <c r="G60" s="425">
        <f>LongTest!G80</f>
        <v>13.66275543298417</v>
      </c>
      <c r="H60" s="509"/>
      <c r="I60" s="510"/>
      <c r="J60" s="511"/>
    </row>
    <row r="61" spans="1:10" ht="24.95" customHeight="1">
      <c r="A61" s="440"/>
      <c r="B61" s="422"/>
      <c r="C61" s="422">
        <f t="shared" si="1"/>
        <v>45490.461111111115</v>
      </c>
      <c r="D61" s="509">
        <v>4</v>
      </c>
      <c r="E61" s="539"/>
      <c r="F61" s="425">
        <f>LongTest!F81</f>
        <v>15.616699687978</v>
      </c>
      <c r="G61" s="425">
        <f>LongTest!G81</f>
        <v>12.386699687978</v>
      </c>
      <c r="H61" s="509"/>
      <c r="I61" s="510"/>
      <c r="J61" s="511"/>
    </row>
    <row r="62" spans="1:10" ht="24.95" customHeight="1">
      <c r="A62" s="440"/>
      <c r="B62" s="422"/>
      <c r="C62" s="422">
        <f t="shared" si="1"/>
        <v>45490.461805555555</v>
      </c>
      <c r="D62" s="509">
        <v>5</v>
      </c>
      <c r="E62" s="539"/>
      <c r="F62" s="425">
        <f>LongTest!F82</f>
        <v>14.4598232895063</v>
      </c>
      <c r="G62" s="425">
        <f>LongTest!G82</f>
        <v>11.229823289506299</v>
      </c>
      <c r="H62" s="509"/>
      <c r="I62" s="510"/>
      <c r="J62" s="511"/>
    </row>
    <row r="63" spans="1:10" ht="24.95" customHeight="1">
      <c r="A63" s="440"/>
      <c r="B63" s="422"/>
      <c r="C63" s="422">
        <f t="shared" si="1"/>
        <v>45490.465277777781</v>
      </c>
      <c r="D63" s="509">
        <v>10</v>
      </c>
      <c r="E63" s="539"/>
      <c r="F63" s="425">
        <f>LongTest!F83</f>
        <v>11.598061517075923</v>
      </c>
      <c r="G63" s="425">
        <f>LongTest!G83</f>
        <v>8.3680615170759225</v>
      </c>
      <c r="H63" s="509"/>
      <c r="I63" s="510"/>
      <c r="J63" s="511"/>
    </row>
    <row r="64" spans="1:10" ht="24.95" customHeight="1">
      <c r="A64" s="440"/>
      <c r="B64" s="422"/>
      <c r="C64" s="422">
        <f t="shared" si="1"/>
        <v>45490.46875</v>
      </c>
      <c r="D64" s="509">
        <v>15</v>
      </c>
      <c r="E64" s="539"/>
      <c r="F64" s="425">
        <f>LongTest!F84</f>
        <v>11.068562163509535</v>
      </c>
      <c r="G64" s="425">
        <f>LongTest!G84</f>
        <v>7.8385621635095353</v>
      </c>
      <c r="H64" s="509"/>
      <c r="I64" s="510"/>
      <c r="J64" s="511"/>
    </row>
    <row r="65" spans="1:10" ht="24.95" customHeight="1">
      <c r="A65" s="440"/>
      <c r="B65" s="422"/>
      <c r="C65" s="422">
        <f t="shared" si="1"/>
        <v>45490.472222222226</v>
      </c>
      <c r="D65" s="509">
        <v>20</v>
      </c>
      <c r="E65" s="539"/>
      <c r="F65" s="425">
        <f>LongTest!F85</f>
        <v>9.6727463678017411</v>
      </c>
      <c r="G65" s="425">
        <f>LongTest!G85</f>
        <v>6.4427463678017407</v>
      </c>
      <c r="H65" s="509"/>
      <c r="I65" s="510"/>
      <c r="J65" s="511"/>
    </row>
    <row r="66" spans="1:10" ht="24.95" customHeight="1">
      <c r="A66" s="440"/>
      <c r="B66" s="422"/>
      <c r="C66" s="422">
        <f t="shared" si="1"/>
        <v>45490.475694444445</v>
      </c>
      <c r="D66" s="509">
        <v>25</v>
      </c>
      <c r="E66" s="539"/>
      <c r="F66" s="425">
        <f>LongTest!F86</f>
        <v>9.0710153658397648</v>
      </c>
      <c r="G66" s="425">
        <f>LongTest!G86</f>
        <v>5.8410153658397652</v>
      </c>
      <c r="H66" s="509"/>
      <c r="I66" s="510"/>
      <c r="J66" s="511"/>
    </row>
    <row r="67" spans="1:10" ht="24.95" customHeight="1">
      <c r="A67" s="440"/>
      <c r="B67" s="422"/>
      <c r="C67" s="422">
        <f t="shared" si="1"/>
        <v>45490.479166666672</v>
      </c>
      <c r="D67" s="509">
        <v>30</v>
      </c>
      <c r="E67" s="539"/>
      <c r="F67" s="425">
        <f>LongTest!F87</f>
        <v>8.5254840306117892</v>
      </c>
      <c r="G67" s="425">
        <f>LongTest!G87</f>
        <v>5.2954840306117896</v>
      </c>
      <c r="H67" s="509"/>
      <c r="I67" s="510"/>
      <c r="J67" s="511"/>
    </row>
    <row r="68" spans="1:10" ht="24.95" customHeight="1">
      <c r="A68" s="440"/>
      <c r="B68" s="422"/>
      <c r="C68" s="422">
        <f t="shared" si="1"/>
        <v>45490.482638888891</v>
      </c>
      <c r="D68" s="509">
        <v>35</v>
      </c>
      <c r="E68" s="539"/>
      <c r="F68" s="425">
        <f>LongTest!F88</f>
        <v>8.3552072758703044</v>
      </c>
      <c r="G68" s="425">
        <f>LongTest!G88</f>
        <v>5.1252072758703049</v>
      </c>
      <c r="H68" s="509"/>
      <c r="I68" s="510"/>
      <c r="J68" s="511"/>
    </row>
    <row r="69" spans="1:10" ht="24.95" customHeight="1">
      <c r="A69" s="440"/>
      <c r="B69" s="422"/>
      <c r="C69" s="422">
        <f t="shared" si="1"/>
        <v>45490.486111111117</v>
      </c>
      <c r="D69" s="509">
        <v>40</v>
      </c>
      <c r="E69" s="539"/>
      <c r="F69" s="425">
        <f>LongTest!F89</f>
        <v>8.1904057851533523</v>
      </c>
      <c r="G69" s="425">
        <f>LongTest!G89</f>
        <v>4.9604057851533518</v>
      </c>
      <c r="H69" s="509"/>
      <c r="I69" s="510"/>
      <c r="J69" s="511"/>
    </row>
    <row r="70" spans="1:10" ht="24.95" customHeight="1">
      <c r="A70" s="440"/>
      <c r="B70" s="422"/>
      <c r="C70" s="422">
        <f t="shared" si="1"/>
        <v>45490.489583333336</v>
      </c>
      <c r="D70" s="509">
        <v>45</v>
      </c>
      <c r="E70" s="539"/>
      <c r="F70" s="425">
        <f>LongTest!F90</f>
        <v>8.0309035008646745</v>
      </c>
      <c r="G70" s="425">
        <f>LongTest!G90</f>
        <v>4.8009035008646741</v>
      </c>
      <c r="H70" s="509"/>
      <c r="I70" s="510"/>
      <c r="J70" s="511"/>
    </row>
    <row r="71" spans="1:10" ht="24.95" customHeight="1">
      <c r="A71" s="440"/>
      <c r="B71" s="422"/>
      <c r="C71" s="422">
        <f t="shared" si="1"/>
        <v>45490.493055555555</v>
      </c>
      <c r="D71" s="509">
        <v>50</v>
      </c>
      <c r="E71" s="539"/>
      <c r="F71" s="425">
        <f>LongTest!F91</f>
        <v>7.8765300265555034</v>
      </c>
      <c r="G71" s="425">
        <f>LongTest!G91</f>
        <v>4.6465300265555038</v>
      </c>
      <c r="H71" s="509"/>
      <c r="I71" s="510"/>
      <c r="J71" s="511"/>
    </row>
    <row r="72" spans="1:10" ht="24.95" customHeight="1">
      <c r="A72" s="440"/>
      <c r="B72" s="422"/>
      <c r="C72" s="422">
        <f t="shared" si="1"/>
        <v>45490.496527777781</v>
      </c>
      <c r="D72" s="509">
        <v>55</v>
      </c>
      <c r="E72" s="539"/>
      <c r="F72" s="425">
        <f>LongTest!F92</f>
        <v>7.7271204448898736</v>
      </c>
      <c r="G72" s="425">
        <f>LongTest!G92</f>
        <v>4.4971204448898741</v>
      </c>
      <c r="H72" s="509"/>
      <c r="I72" s="510"/>
      <c r="J72" s="511"/>
    </row>
    <row r="73" spans="1:10" ht="24.95" customHeight="1">
      <c r="A73" s="440"/>
      <c r="B73" s="422"/>
      <c r="C73" s="422">
        <f t="shared" si="1"/>
        <v>45490.5</v>
      </c>
      <c r="D73" s="509">
        <v>60</v>
      </c>
      <c r="E73" s="539"/>
      <c r="F73" s="425">
        <f>LongTest!F93</f>
        <v>7.5825151414632561</v>
      </c>
      <c r="G73" s="425">
        <f>LongTest!G93</f>
        <v>4.3525151414632557</v>
      </c>
      <c r="H73" s="509"/>
      <c r="I73" s="510"/>
      <c r="J73" s="511"/>
    </row>
    <row r="74" spans="1:10" ht="24.95" customHeight="1">
      <c r="A74" s="440"/>
      <c r="B74" s="422"/>
      <c r="C74" s="422">
        <f t="shared" si="1"/>
        <v>45490.510416666672</v>
      </c>
      <c r="D74" s="509">
        <v>75</v>
      </c>
      <c r="E74" s="539"/>
      <c r="F74" s="425">
        <f>LongTest!F94</f>
        <v>7.44255963428634</v>
      </c>
      <c r="G74" s="425">
        <f>LongTest!G94</f>
        <v>4.2125596342863396</v>
      </c>
      <c r="H74" s="509"/>
      <c r="I74" s="510"/>
      <c r="J74" s="511"/>
    </row>
    <row r="75" spans="1:10" ht="24.95" customHeight="1">
      <c r="A75" s="440"/>
      <c r="B75" s="422"/>
      <c r="C75" s="422">
        <f t="shared" si="1"/>
        <v>45490.520833333336</v>
      </c>
      <c r="D75" s="509">
        <v>90</v>
      </c>
      <c r="E75" s="539"/>
      <c r="F75" s="425">
        <f>LongTest!F95</f>
        <v>7.3071044087517656</v>
      </c>
      <c r="G75" s="425">
        <f>LongTest!G95</f>
        <v>4.0771044087517661</v>
      </c>
      <c r="H75" s="509"/>
      <c r="I75" s="510"/>
      <c r="J75" s="511"/>
    </row>
    <row r="76" spans="1:10" ht="24.95" customHeight="1">
      <c r="A76" s="440"/>
      <c r="B76" s="422"/>
      <c r="C76" s="422">
        <f t="shared" si="1"/>
        <v>45490.53125</v>
      </c>
      <c r="D76" s="509">
        <v>105</v>
      </c>
      <c r="E76" s="539"/>
      <c r="F76" s="425">
        <f>LongTest!F96</f>
        <v>7.1760047579075259</v>
      </c>
      <c r="G76" s="425">
        <f>LongTest!G96</f>
        <v>3.9460047579075264</v>
      </c>
      <c r="H76" s="509"/>
      <c r="I76" s="510"/>
      <c r="J76" s="511"/>
    </row>
    <row r="77" spans="1:10" ht="24.95" customHeight="1">
      <c r="A77" s="440"/>
      <c r="B77" s="422"/>
      <c r="C77" s="422">
        <f t="shared" si="1"/>
        <v>45490.541666666672</v>
      </c>
      <c r="D77" s="509">
        <v>120</v>
      </c>
      <c r="E77" s="539"/>
      <c r="F77" s="425">
        <f>LongTest!F97</f>
        <v>6.8074610870610552</v>
      </c>
      <c r="G77" s="425">
        <f>LongTest!G97</f>
        <v>3.5774610870610548</v>
      </c>
      <c r="H77" s="509" t="s">
        <v>339</v>
      </c>
      <c r="I77" s="510"/>
      <c r="J77" s="511"/>
    </row>
    <row r="78" spans="1:10" ht="24.95" customHeight="1">
      <c r="A78" s="440"/>
      <c r="B78" s="422"/>
      <c r="C78" s="422"/>
      <c r="D78" s="509"/>
      <c r="E78" s="539"/>
      <c r="F78" s="425"/>
      <c r="G78" s="425"/>
      <c r="H78" s="509"/>
      <c r="I78" s="510"/>
      <c r="J78" s="511"/>
    </row>
    <row r="79" spans="1:10" ht="24.95" customHeight="1">
      <c r="A79" s="440"/>
      <c r="B79" s="422"/>
      <c r="C79" s="422"/>
      <c r="D79" s="509"/>
      <c r="E79" s="539"/>
      <c r="F79" s="425"/>
      <c r="G79" s="425"/>
      <c r="H79" s="509"/>
      <c r="I79" s="510"/>
      <c r="J79" s="511"/>
    </row>
    <row r="80" spans="1:10" ht="24.95" customHeight="1">
      <c r="A80" s="440"/>
      <c r="B80" s="422"/>
      <c r="C80" s="422"/>
      <c r="D80" s="509"/>
      <c r="E80" s="539"/>
      <c r="F80" s="425"/>
      <c r="G80" s="425"/>
      <c r="H80" s="509"/>
      <c r="I80" s="510"/>
      <c r="J80" s="511"/>
    </row>
    <row r="81" spans="1:10" ht="24.95" customHeight="1" thickBot="1">
      <c r="A81" s="441"/>
      <c r="B81" s="442"/>
      <c r="C81" s="442"/>
      <c r="D81" s="512"/>
      <c r="E81" s="540"/>
      <c r="F81" s="443"/>
      <c r="G81" s="443"/>
      <c r="H81" s="512"/>
      <c r="I81" s="513"/>
      <c r="J81" s="51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2DA5FF"/>
  </sheetPr>
  <dimension ref="A1:K58"/>
  <sheetViews>
    <sheetView showGridLines="0" view="pageBreakPreview" zoomScaleNormal="130" zoomScaleSheetLayoutView="100" workbookViewId="0">
      <selection activeCell="H17" sqref="H17:J17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1" ht="45" customHeight="1" thickBot="1">
      <c r="A1" s="515" t="s">
        <v>327</v>
      </c>
      <c r="B1" s="515"/>
      <c r="C1" s="515"/>
      <c r="D1" s="515"/>
      <c r="E1" s="515"/>
      <c r="F1" s="515"/>
      <c r="G1" s="515"/>
      <c r="H1" s="515"/>
      <c r="I1" s="515"/>
      <c r="J1" s="515"/>
    </row>
    <row r="2" spans="1:11" ht="24.95" customHeight="1">
      <c r="A2" s="516" t="s">
        <v>298</v>
      </c>
      <c r="B2" s="517"/>
      <c r="C2" s="518" t="str">
        <f>LongTest!C2</f>
        <v>부여군 농업기술센터 지하수사후관리 및 영향조사 용역</v>
      </c>
      <c r="D2" s="519"/>
      <c r="E2" s="519"/>
      <c r="F2" s="519"/>
      <c r="G2" s="519"/>
      <c r="H2" s="519"/>
      <c r="I2" s="519"/>
      <c r="J2" s="520"/>
    </row>
    <row r="3" spans="1:11" ht="24.95" customHeight="1">
      <c r="A3" s="521" t="s">
        <v>299</v>
      </c>
      <c r="B3" s="522"/>
      <c r="C3" s="526" t="str">
        <f>LongTest!C4</f>
        <v>충청남도 부여군 규암면 노화리 284-1번지</v>
      </c>
      <c r="D3" s="527"/>
      <c r="E3" s="527"/>
      <c r="F3" s="527"/>
      <c r="G3" s="527"/>
      <c r="H3" s="528"/>
      <c r="I3" s="428" t="str">
        <f>Input!I54</f>
        <v>W-1</v>
      </c>
      <c r="J3" s="431" t="s">
        <v>330</v>
      </c>
    </row>
    <row r="4" spans="1:11" ht="24.95" customHeight="1">
      <c r="A4" s="521" t="s">
        <v>300</v>
      </c>
      <c r="B4" s="522"/>
      <c r="C4" s="523">
        <f>StepTest!C12</f>
        <v>44992.479166666664</v>
      </c>
      <c r="D4" s="524"/>
      <c r="E4" s="524"/>
      <c r="F4" s="524"/>
      <c r="G4" s="524"/>
      <c r="H4" s="524"/>
      <c r="I4" s="524"/>
      <c r="J4" s="525"/>
    </row>
    <row r="5" spans="1:11" ht="24.95" customHeight="1">
      <c r="A5" s="521" t="s">
        <v>301</v>
      </c>
      <c r="B5" s="522"/>
      <c r="C5" s="523">
        <f>StepTest!C51</f>
        <v>44992.895833333328</v>
      </c>
      <c r="D5" s="524"/>
      <c r="E5" s="524"/>
      <c r="F5" s="524"/>
      <c r="G5" s="524"/>
      <c r="H5" s="524"/>
      <c r="I5" s="524"/>
      <c r="J5" s="525"/>
    </row>
    <row r="6" spans="1:11" ht="24.95" customHeight="1">
      <c r="A6" s="521" t="s">
        <v>297</v>
      </c>
      <c r="B6" s="522"/>
      <c r="C6" s="532" t="str">
        <f>LongTest!C5</f>
        <v>부여지하수개발주식회사</v>
      </c>
      <c r="D6" s="533"/>
      <c r="E6" s="533"/>
      <c r="F6" s="533"/>
      <c r="G6" s="533"/>
      <c r="H6" s="533"/>
      <c r="I6" s="533"/>
      <c r="J6" s="534"/>
    </row>
    <row r="7" spans="1:11" ht="24.95" customHeight="1">
      <c r="A7" s="521" t="s">
        <v>302</v>
      </c>
      <c r="B7" s="522"/>
      <c r="C7" s="529" t="s">
        <v>336</v>
      </c>
      <c r="D7" s="522"/>
      <c r="E7" s="421">
        <f>LongTest!C6</f>
        <v>1</v>
      </c>
      <c r="F7" s="420" t="s">
        <v>303</v>
      </c>
      <c r="G7" s="543"/>
      <c r="H7" s="544"/>
      <c r="I7" s="544"/>
      <c r="J7" s="545"/>
    </row>
    <row r="8" spans="1:11" ht="24.95" customHeight="1">
      <c r="A8" s="521" t="s">
        <v>305</v>
      </c>
      <c r="B8" s="522"/>
      <c r="C8" s="529" t="s">
        <v>337</v>
      </c>
      <c r="D8" s="522"/>
      <c r="E8" s="421">
        <f>LongTest!D7</f>
        <v>150</v>
      </c>
      <c r="F8" s="420" t="s">
        <v>306</v>
      </c>
      <c r="G8" s="420" t="s">
        <v>338</v>
      </c>
      <c r="H8" s="530">
        <f>LongTest!G7</f>
        <v>100</v>
      </c>
      <c r="I8" s="531"/>
      <c r="J8" s="432" t="s">
        <v>304</v>
      </c>
    </row>
    <row r="9" spans="1:11" ht="24.95" customHeight="1">
      <c r="A9" s="521" t="s">
        <v>308</v>
      </c>
      <c r="B9" s="522"/>
      <c r="C9" s="529" t="s">
        <v>335</v>
      </c>
      <c r="D9" s="522"/>
      <c r="E9" s="421">
        <f>LongTest!D8</f>
        <v>3.23</v>
      </c>
      <c r="F9" s="420" t="s">
        <v>304</v>
      </c>
      <c r="G9" s="420" t="s">
        <v>328</v>
      </c>
      <c r="H9" s="530">
        <f>Input!M51</f>
        <v>250</v>
      </c>
      <c r="I9" s="531"/>
      <c r="J9" s="432" t="s">
        <v>312</v>
      </c>
    </row>
    <row r="10" spans="1:11" ht="24.95" customHeight="1">
      <c r="A10" s="536" t="s">
        <v>310</v>
      </c>
      <c r="B10" s="420" t="s">
        <v>311</v>
      </c>
      <c r="C10" s="537" t="s">
        <v>190</v>
      </c>
      <c r="D10" s="538" t="s">
        <v>313</v>
      </c>
      <c r="E10" s="538"/>
      <c r="F10" s="420" t="s">
        <v>315</v>
      </c>
      <c r="G10" s="420" t="s">
        <v>317</v>
      </c>
      <c r="H10" s="538" t="s">
        <v>329</v>
      </c>
      <c r="I10" s="538"/>
      <c r="J10" s="549"/>
    </row>
    <row r="11" spans="1:11" ht="24.95" customHeight="1">
      <c r="A11" s="536"/>
      <c r="B11" s="420" t="s">
        <v>331</v>
      </c>
      <c r="C11" s="537"/>
      <c r="D11" s="538" t="s">
        <v>314</v>
      </c>
      <c r="E11" s="538"/>
      <c r="F11" s="420" t="s">
        <v>316</v>
      </c>
      <c r="G11" s="420" t="s">
        <v>316</v>
      </c>
      <c r="H11" s="543"/>
      <c r="I11" s="544"/>
      <c r="J11" s="545"/>
      <c r="K11" s="427"/>
    </row>
    <row r="12" spans="1:11" ht="24.95" customHeight="1">
      <c r="A12" s="435">
        <v>1</v>
      </c>
      <c r="B12" s="426">
        <f>Input!D20</f>
        <v>157</v>
      </c>
      <c r="C12" s="422">
        <f t="shared" ref="C12:C51" si="0">$C$4+D12/1440</f>
        <v>44992.479861111111</v>
      </c>
      <c r="D12" s="535">
        <v>1</v>
      </c>
      <c r="E12" s="535"/>
      <c r="F12" s="425">
        <f>StepTest!F12</f>
        <v>2.1399999999999997</v>
      </c>
      <c r="G12" s="425">
        <f>StepTest!G12</f>
        <v>-1.0900000000000001</v>
      </c>
      <c r="H12" s="546"/>
      <c r="I12" s="547"/>
      <c r="J12" s="548"/>
    </row>
    <row r="13" spans="1:11" ht="24.95" customHeight="1">
      <c r="A13" s="433"/>
      <c r="B13" s="421"/>
      <c r="C13" s="422">
        <f t="shared" si="0"/>
        <v>44992.48055555555</v>
      </c>
      <c r="D13" s="535">
        <v>2</v>
      </c>
      <c r="E13" s="535"/>
      <c r="F13" s="425">
        <f>StepTest!F13</f>
        <v>3.31</v>
      </c>
      <c r="G13" s="425">
        <f>StepTest!G13</f>
        <v>0.08</v>
      </c>
      <c r="H13" s="546"/>
      <c r="I13" s="547"/>
      <c r="J13" s="548"/>
    </row>
    <row r="14" spans="1:11" ht="24.95" customHeight="1">
      <c r="A14" s="433"/>
      <c r="B14" s="421"/>
      <c r="C14" s="422">
        <f t="shared" si="0"/>
        <v>44992.481249999997</v>
      </c>
      <c r="D14" s="535">
        <v>3</v>
      </c>
      <c r="E14" s="535"/>
      <c r="F14" s="425">
        <f>StepTest!F14</f>
        <v>4</v>
      </c>
      <c r="G14" s="425">
        <f>StepTest!G14</f>
        <v>0.77</v>
      </c>
      <c r="H14" s="546"/>
      <c r="I14" s="547"/>
      <c r="J14" s="548"/>
    </row>
    <row r="15" spans="1:11" ht="24.95" customHeight="1">
      <c r="A15" s="433"/>
      <c r="B15" s="421"/>
      <c r="C15" s="422">
        <f t="shared" si="0"/>
        <v>44992.481944444444</v>
      </c>
      <c r="D15" s="535">
        <v>4</v>
      </c>
      <c r="E15" s="535"/>
      <c r="F15" s="425">
        <f>StepTest!F15</f>
        <v>4.4800000000000004</v>
      </c>
      <c r="G15" s="425">
        <f>StepTest!G15</f>
        <v>1.25</v>
      </c>
      <c r="H15" s="546"/>
      <c r="I15" s="547"/>
      <c r="J15" s="548"/>
    </row>
    <row r="16" spans="1:11" ht="24.95" customHeight="1">
      <c r="A16" s="433"/>
      <c r="B16" s="421"/>
      <c r="C16" s="422">
        <f t="shared" si="0"/>
        <v>44992.482638888883</v>
      </c>
      <c r="D16" s="535">
        <v>5</v>
      </c>
      <c r="E16" s="535"/>
      <c r="F16" s="425">
        <f>StepTest!F16</f>
        <v>4.8599999999999994</v>
      </c>
      <c r="G16" s="425">
        <f>StepTest!G16</f>
        <v>1.63</v>
      </c>
      <c r="H16" s="509"/>
      <c r="I16" s="510"/>
      <c r="J16" s="511"/>
    </row>
    <row r="17" spans="1:10" ht="24.95" customHeight="1">
      <c r="A17" s="433"/>
      <c r="B17" s="421"/>
      <c r="C17" s="422">
        <f t="shared" si="0"/>
        <v>44992.486111111109</v>
      </c>
      <c r="D17" s="535">
        <v>10</v>
      </c>
      <c r="E17" s="535"/>
      <c r="F17" s="425">
        <f>StepTest!F17</f>
        <v>6.0299999999999994</v>
      </c>
      <c r="G17" s="425">
        <f>StepTest!G17</f>
        <v>2.8</v>
      </c>
      <c r="H17" s="509"/>
      <c r="I17" s="510"/>
      <c r="J17" s="511"/>
    </row>
    <row r="18" spans="1:10" ht="24.95" customHeight="1">
      <c r="A18" s="433"/>
      <c r="B18" s="421"/>
      <c r="C18" s="422">
        <f t="shared" si="0"/>
        <v>44992.489583333328</v>
      </c>
      <c r="D18" s="535">
        <v>15</v>
      </c>
      <c r="E18" s="535"/>
      <c r="F18" s="425">
        <f>StepTest!F18</f>
        <v>6.7200000000000006</v>
      </c>
      <c r="G18" s="425">
        <f>StepTest!G18</f>
        <v>3.49</v>
      </c>
      <c r="H18" s="509"/>
      <c r="I18" s="510"/>
      <c r="J18" s="511"/>
    </row>
    <row r="19" spans="1:10" ht="24.95" customHeight="1">
      <c r="A19" s="433"/>
      <c r="B19" s="421"/>
      <c r="C19" s="422">
        <f t="shared" si="0"/>
        <v>44992.493055555555</v>
      </c>
      <c r="D19" s="535">
        <v>20</v>
      </c>
      <c r="E19" s="535"/>
      <c r="F19" s="425">
        <f>StepTest!F19</f>
        <v>7.2</v>
      </c>
      <c r="G19" s="425">
        <f>StepTest!G19</f>
        <v>3.97</v>
      </c>
      <c r="H19" s="509"/>
      <c r="I19" s="510"/>
      <c r="J19" s="511"/>
    </row>
    <row r="20" spans="1:10" ht="24.95" customHeight="1">
      <c r="A20" s="433"/>
      <c r="B20" s="421"/>
      <c r="C20" s="422">
        <f t="shared" si="0"/>
        <v>44992.496527777774</v>
      </c>
      <c r="D20" s="535">
        <v>25</v>
      </c>
      <c r="E20" s="535"/>
      <c r="F20" s="425">
        <f>StepTest!F20</f>
        <v>7.58</v>
      </c>
      <c r="G20" s="425">
        <f>StepTest!G20</f>
        <v>4.3499999999999996</v>
      </c>
      <c r="H20" s="509"/>
      <c r="I20" s="510"/>
      <c r="J20" s="511"/>
    </row>
    <row r="21" spans="1:10" ht="24.95" customHeight="1">
      <c r="A21" s="433"/>
      <c r="B21" s="421"/>
      <c r="C21" s="422">
        <f t="shared" si="0"/>
        <v>44992.5</v>
      </c>
      <c r="D21" s="535">
        <v>30</v>
      </c>
      <c r="E21" s="535"/>
      <c r="F21" s="425">
        <f>StepTest!F21</f>
        <v>7.8900000000000006</v>
      </c>
      <c r="G21" s="425">
        <f>StepTest!G21</f>
        <v>4.66</v>
      </c>
      <c r="H21" s="509"/>
      <c r="I21" s="510"/>
      <c r="J21" s="511"/>
    </row>
    <row r="22" spans="1:10" ht="24.95" customHeight="1">
      <c r="A22" s="433"/>
      <c r="B22" s="421"/>
      <c r="C22" s="422">
        <f t="shared" si="0"/>
        <v>44992.503472222219</v>
      </c>
      <c r="D22" s="535">
        <v>35</v>
      </c>
      <c r="E22" s="535"/>
      <c r="F22" s="425">
        <f>StepTest!F22</f>
        <v>8.15</v>
      </c>
      <c r="G22" s="425">
        <f>StepTest!G22</f>
        <v>4.92</v>
      </c>
      <c r="H22" s="509"/>
      <c r="I22" s="510"/>
      <c r="J22" s="511"/>
    </row>
    <row r="23" spans="1:10" ht="24.95" customHeight="1">
      <c r="A23" s="433"/>
      <c r="B23" s="421"/>
      <c r="C23" s="422">
        <f t="shared" si="0"/>
        <v>44992.506944444445</v>
      </c>
      <c r="D23" s="535">
        <v>40</v>
      </c>
      <c r="E23" s="535"/>
      <c r="F23" s="425">
        <f>StepTest!F23</f>
        <v>8.3800000000000008</v>
      </c>
      <c r="G23" s="425">
        <f>StepTest!G23</f>
        <v>5.15</v>
      </c>
      <c r="H23" s="509"/>
      <c r="I23" s="510"/>
      <c r="J23" s="511"/>
    </row>
    <row r="24" spans="1:10" ht="24.95" customHeight="1">
      <c r="A24" s="433"/>
      <c r="B24" s="421"/>
      <c r="C24" s="422">
        <f t="shared" si="0"/>
        <v>44992.510416666664</v>
      </c>
      <c r="D24" s="535">
        <v>45</v>
      </c>
      <c r="E24" s="535"/>
      <c r="F24" s="425">
        <f>StepTest!F24</f>
        <v>8.58</v>
      </c>
      <c r="G24" s="425">
        <f>StepTest!G24</f>
        <v>5.35</v>
      </c>
      <c r="H24" s="509"/>
      <c r="I24" s="510"/>
      <c r="J24" s="511"/>
    </row>
    <row r="25" spans="1:10" ht="24.95" customHeight="1">
      <c r="A25" s="433"/>
      <c r="B25" s="421"/>
      <c r="C25" s="422">
        <f t="shared" si="0"/>
        <v>44992.513888888883</v>
      </c>
      <c r="D25" s="535">
        <v>50</v>
      </c>
      <c r="E25" s="535"/>
      <c r="F25" s="425">
        <f>StepTest!F25</f>
        <v>8.75</v>
      </c>
      <c r="G25" s="425">
        <f>StepTest!G25</f>
        <v>5.52</v>
      </c>
      <c r="H25" s="509"/>
      <c r="I25" s="510"/>
      <c r="J25" s="511"/>
    </row>
    <row r="26" spans="1:10" ht="24.95" customHeight="1">
      <c r="A26" s="433"/>
      <c r="B26" s="421"/>
      <c r="C26" s="422">
        <f t="shared" si="0"/>
        <v>44992.517361111109</v>
      </c>
      <c r="D26" s="535">
        <v>55</v>
      </c>
      <c r="E26" s="535"/>
      <c r="F26" s="425">
        <f>StepTest!F26</f>
        <v>8.92</v>
      </c>
      <c r="G26" s="425">
        <f>StepTest!G26</f>
        <v>5.69</v>
      </c>
      <c r="H26" s="509"/>
      <c r="I26" s="510"/>
      <c r="J26" s="511"/>
    </row>
    <row r="27" spans="1:10" ht="24.95" customHeight="1">
      <c r="A27" s="433"/>
      <c r="B27" s="421"/>
      <c r="C27" s="422">
        <f t="shared" si="0"/>
        <v>44992.520833333328</v>
      </c>
      <c r="D27" s="535">
        <v>60</v>
      </c>
      <c r="E27" s="535"/>
      <c r="F27" s="425">
        <f>StepTest!F27</f>
        <v>9.06</v>
      </c>
      <c r="G27" s="425">
        <f>StepTest!G27</f>
        <v>5.83</v>
      </c>
      <c r="H27" s="509"/>
      <c r="I27" s="510"/>
      <c r="J27" s="511"/>
    </row>
    <row r="28" spans="1:10" ht="24.95" customHeight="1">
      <c r="A28" s="433"/>
      <c r="B28" s="421"/>
      <c r="C28" s="422">
        <f t="shared" si="0"/>
        <v>44992.53125</v>
      </c>
      <c r="D28" s="535">
        <v>75</v>
      </c>
      <c r="E28" s="535"/>
      <c r="F28" s="425">
        <f>StepTest!F28</f>
        <v>9.44</v>
      </c>
      <c r="G28" s="425">
        <f>StepTest!G28</f>
        <v>6.21</v>
      </c>
      <c r="H28" s="509"/>
      <c r="I28" s="510"/>
      <c r="J28" s="511"/>
    </row>
    <row r="29" spans="1:10" ht="24.95" customHeight="1">
      <c r="A29" s="433"/>
      <c r="B29" s="421"/>
      <c r="C29" s="422">
        <f t="shared" si="0"/>
        <v>44992.541666666664</v>
      </c>
      <c r="D29" s="535">
        <v>90</v>
      </c>
      <c r="E29" s="535"/>
      <c r="F29" s="425">
        <f>StepTest!F29</f>
        <v>9.75</v>
      </c>
      <c r="G29" s="425">
        <f>StepTest!G29</f>
        <v>6.52</v>
      </c>
      <c r="H29" s="509"/>
      <c r="I29" s="510"/>
      <c r="J29" s="511"/>
    </row>
    <row r="30" spans="1:10" ht="24.95" customHeight="1">
      <c r="A30" s="433"/>
      <c r="B30" s="421"/>
      <c r="C30" s="422">
        <f t="shared" si="0"/>
        <v>44992.552083333328</v>
      </c>
      <c r="D30" s="535">
        <v>105</v>
      </c>
      <c r="E30" s="535"/>
      <c r="F30" s="425">
        <f>StepTest!F30</f>
        <v>10.01</v>
      </c>
      <c r="G30" s="425">
        <f>StepTest!G30</f>
        <v>6.78</v>
      </c>
      <c r="H30" s="509"/>
      <c r="I30" s="510"/>
      <c r="J30" s="511"/>
    </row>
    <row r="31" spans="1:10" ht="24.95" customHeight="1">
      <c r="A31" s="433"/>
      <c r="B31" s="421"/>
      <c r="C31" s="422">
        <f t="shared" si="0"/>
        <v>44992.5625</v>
      </c>
      <c r="D31" s="535">
        <v>120</v>
      </c>
      <c r="E31" s="535"/>
      <c r="F31" s="425">
        <f>StepTest!F31</f>
        <v>10.24</v>
      </c>
      <c r="G31" s="425">
        <f>StepTest!G31</f>
        <v>7.01</v>
      </c>
      <c r="H31" s="509"/>
      <c r="I31" s="510"/>
      <c r="J31" s="511"/>
    </row>
    <row r="32" spans="1:10" ht="24.95" customHeight="1">
      <c r="A32" s="444">
        <v>2</v>
      </c>
      <c r="B32" s="426">
        <f>Input!D21</f>
        <v>200</v>
      </c>
      <c r="C32" s="422">
        <f t="shared" si="0"/>
        <v>44992.569444444445</v>
      </c>
      <c r="D32" s="535">
        <v>130</v>
      </c>
      <c r="E32" s="535"/>
      <c r="F32" s="425">
        <f>StepTest!F32</f>
        <v>11.64</v>
      </c>
      <c r="G32" s="425">
        <f>StepTest!G32</f>
        <v>8.41</v>
      </c>
      <c r="H32" s="509"/>
      <c r="I32" s="510"/>
      <c r="J32" s="511"/>
    </row>
    <row r="33" spans="1:10" ht="24.95" customHeight="1">
      <c r="A33" s="444"/>
      <c r="B33" s="426"/>
      <c r="C33" s="422">
        <f t="shared" si="0"/>
        <v>44992.576388888883</v>
      </c>
      <c r="D33" s="535">
        <v>140</v>
      </c>
      <c r="E33" s="535"/>
      <c r="F33" s="425">
        <f>StepTest!F33</f>
        <v>11.870000000000001</v>
      </c>
      <c r="G33" s="425">
        <f>StepTest!G33</f>
        <v>8.64</v>
      </c>
      <c r="H33" s="509"/>
      <c r="I33" s="510"/>
      <c r="J33" s="511"/>
    </row>
    <row r="34" spans="1:10" ht="24.95" customHeight="1">
      <c r="A34" s="444"/>
      <c r="B34" s="426"/>
      <c r="C34" s="422">
        <f t="shared" si="0"/>
        <v>44992.583333333328</v>
      </c>
      <c r="D34" s="535">
        <v>150</v>
      </c>
      <c r="E34" s="535"/>
      <c r="F34" s="425">
        <f>StepTest!F34</f>
        <v>12.110000000000001</v>
      </c>
      <c r="G34" s="425">
        <f>StepTest!G34</f>
        <v>8.8800000000000008</v>
      </c>
      <c r="H34" s="509"/>
      <c r="I34" s="510"/>
      <c r="J34" s="511"/>
    </row>
    <row r="35" spans="1:10" ht="24.95" customHeight="1">
      <c r="A35" s="444"/>
      <c r="B35" s="426"/>
      <c r="C35" s="422">
        <f t="shared" si="0"/>
        <v>44992.604166666664</v>
      </c>
      <c r="D35" s="535">
        <v>180</v>
      </c>
      <c r="E35" s="535"/>
      <c r="F35" s="425">
        <f>StepTest!F35</f>
        <v>12.34</v>
      </c>
      <c r="G35" s="425">
        <f>StepTest!G35</f>
        <v>9.11</v>
      </c>
      <c r="H35" s="509"/>
      <c r="I35" s="510"/>
      <c r="J35" s="511"/>
    </row>
    <row r="36" spans="1:10" ht="24.95" customHeight="1">
      <c r="A36" s="444"/>
      <c r="B36" s="426"/>
      <c r="C36" s="422">
        <f t="shared" si="0"/>
        <v>44992.645833333328</v>
      </c>
      <c r="D36" s="535">
        <v>240</v>
      </c>
      <c r="E36" s="535"/>
      <c r="F36" s="425">
        <f>StepTest!F36</f>
        <v>12.58</v>
      </c>
      <c r="G36" s="425">
        <f>StepTest!G36</f>
        <v>9.35</v>
      </c>
      <c r="H36" s="509"/>
      <c r="I36" s="510"/>
      <c r="J36" s="511"/>
    </row>
    <row r="37" spans="1:10" ht="24.95" customHeight="1">
      <c r="A37" s="444">
        <v>3</v>
      </c>
      <c r="B37" s="426">
        <f>Input!D22</f>
        <v>243.95</v>
      </c>
      <c r="C37" s="422">
        <f t="shared" si="0"/>
        <v>44992.652777777774</v>
      </c>
      <c r="D37" s="535">
        <v>250</v>
      </c>
      <c r="E37" s="535"/>
      <c r="F37" s="425">
        <f>StepTest!F37</f>
        <v>14.15</v>
      </c>
      <c r="G37" s="425">
        <f>StepTest!G37</f>
        <v>10.92</v>
      </c>
      <c r="H37" s="509"/>
      <c r="I37" s="510"/>
      <c r="J37" s="511"/>
    </row>
    <row r="38" spans="1:10" ht="24.95" customHeight="1">
      <c r="A38" s="444"/>
      <c r="B38" s="426"/>
      <c r="C38" s="422">
        <f t="shared" si="0"/>
        <v>44992.659722222219</v>
      </c>
      <c r="D38" s="535">
        <v>260</v>
      </c>
      <c r="E38" s="535"/>
      <c r="F38" s="425">
        <f>StepTest!F38</f>
        <v>14.42</v>
      </c>
      <c r="G38" s="425">
        <f>StepTest!G38</f>
        <v>11.19</v>
      </c>
      <c r="H38" s="509"/>
      <c r="I38" s="510"/>
      <c r="J38" s="511"/>
    </row>
    <row r="39" spans="1:10" ht="24.95" customHeight="1">
      <c r="A39" s="444"/>
      <c r="B39" s="426"/>
      <c r="C39" s="422">
        <f t="shared" si="0"/>
        <v>44992.666666666664</v>
      </c>
      <c r="D39" s="535">
        <v>270</v>
      </c>
      <c r="E39" s="535"/>
      <c r="F39" s="425">
        <f>StepTest!F39</f>
        <v>14.68</v>
      </c>
      <c r="G39" s="425">
        <f>StepTest!G39</f>
        <v>11.45</v>
      </c>
      <c r="H39" s="509"/>
      <c r="I39" s="510"/>
      <c r="J39" s="511"/>
    </row>
    <row r="40" spans="1:10" ht="24.95" customHeight="1">
      <c r="A40" s="444"/>
      <c r="B40" s="426"/>
      <c r="C40" s="422">
        <f t="shared" si="0"/>
        <v>44992.6875</v>
      </c>
      <c r="D40" s="535">
        <v>300</v>
      </c>
      <c r="E40" s="535"/>
      <c r="F40" s="425">
        <f>StepTest!F40</f>
        <v>14.940000000000001</v>
      </c>
      <c r="G40" s="425">
        <f>StepTest!G40</f>
        <v>11.71</v>
      </c>
      <c r="H40" s="509"/>
      <c r="I40" s="510"/>
      <c r="J40" s="511"/>
    </row>
    <row r="41" spans="1:10" ht="24.95" customHeight="1">
      <c r="A41" s="444"/>
      <c r="B41" s="426"/>
      <c r="C41" s="422">
        <f t="shared" si="0"/>
        <v>44992.729166666664</v>
      </c>
      <c r="D41" s="535">
        <v>360</v>
      </c>
      <c r="E41" s="535"/>
      <c r="F41" s="425">
        <f>StepTest!F41</f>
        <v>15.21</v>
      </c>
      <c r="G41" s="425">
        <f>StepTest!G41</f>
        <v>11.98</v>
      </c>
      <c r="H41" s="509"/>
      <c r="I41" s="510"/>
      <c r="J41" s="511"/>
    </row>
    <row r="42" spans="1:10" ht="24.95" customHeight="1">
      <c r="A42" s="444">
        <v>4</v>
      </c>
      <c r="B42" s="426">
        <f>Input!D23</f>
        <v>287</v>
      </c>
      <c r="C42" s="422">
        <f t="shared" si="0"/>
        <v>44992.736111111109</v>
      </c>
      <c r="D42" s="530">
        <v>370</v>
      </c>
      <c r="E42" s="531"/>
      <c r="F42" s="425">
        <f>StepTest!F42</f>
        <v>16.97</v>
      </c>
      <c r="G42" s="425">
        <f>StepTest!G42</f>
        <v>13.74</v>
      </c>
      <c r="H42" s="509"/>
      <c r="I42" s="510"/>
      <c r="J42" s="511"/>
    </row>
    <row r="43" spans="1:10" ht="24.95" customHeight="1">
      <c r="A43" s="444"/>
      <c r="B43" s="426"/>
      <c r="C43" s="422">
        <f t="shared" si="0"/>
        <v>44992.743055555555</v>
      </c>
      <c r="D43" s="530">
        <v>380</v>
      </c>
      <c r="E43" s="531"/>
      <c r="F43" s="425">
        <f>StepTest!F43</f>
        <v>17.259999999999998</v>
      </c>
      <c r="G43" s="425">
        <f>StepTest!G43</f>
        <v>14.03</v>
      </c>
      <c r="H43" s="509"/>
      <c r="I43" s="510"/>
      <c r="J43" s="511"/>
    </row>
    <row r="44" spans="1:10" ht="24.95" customHeight="1">
      <c r="A44" s="444"/>
      <c r="B44" s="426"/>
      <c r="C44" s="422">
        <f t="shared" si="0"/>
        <v>44992.75</v>
      </c>
      <c r="D44" s="530">
        <v>390</v>
      </c>
      <c r="E44" s="531"/>
      <c r="F44" s="425">
        <f>StepTest!F44</f>
        <v>17.559999999999999</v>
      </c>
      <c r="G44" s="425">
        <f>StepTest!G44</f>
        <v>14.33</v>
      </c>
      <c r="H44" s="509"/>
      <c r="I44" s="510"/>
      <c r="J44" s="511"/>
    </row>
    <row r="45" spans="1:10" ht="24.95" customHeight="1">
      <c r="A45" s="444"/>
      <c r="B45" s="426"/>
      <c r="C45" s="422">
        <f t="shared" si="0"/>
        <v>44992.770833333328</v>
      </c>
      <c r="D45" s="530">
        <v>420</v>
      </c>
      <c r="E45" s="531"/>
      <c r="F45" s="425">
        <f>StepTest!F45</f>
        <v>17.849999999999998</v>
      </c>
      <c r="G45" s="425">
        <f>StepTest!G45</f>
        <v>14.62</v>
      </c>
      <c r="H45" s="509"/>
      <c r="I45" s="510"/>
      <c r="J45" s="511"/>
    </row>
    <row r="46" spans="1:10" ht="24.95" customHeight="1">
      <c r="A46" s="444"/>
      <c r="B46" s="426"/>
      <c r="C46" s="422">
        <f t="shared" si="0"/>
        <v>44992.8125</v>
      </c>
      <c r="D46" s="530">
        <v>480</v>
      </c>
      <c r="E46" s="531"/>
      <c r="F46" s="425">
        <f>StepTest!F46</f>
        <v>18.149999999999999</v>
      </c>
      <c r="G46" s="425">
        <f>StepTest!G46</f>
        <v>14.92</v>
      </c>
      <c r="H46" s="509"/>
      <c r="I46" s="510"/>
      <c r="J46" s="511"/>
    </row>
    <row r="47" spans="1:10" ht="24.95" customHeight="1">
      <c r="A47" s="444">
        <v>5</v>
      </c>
      <c r="B47" s="426">
        <f>Input!D24</f>
        <v>330.04999999999995</v>
      </c>
      <c r="C47" s="422">
        <f t="shared" si="0"/>
        <v>44992.819444444445</v>
      </c>
      <c r="D47" s="530">
        <v>490</v>
      </c>
      <c r="E47" s="531"/>
      <c r="F47" s="425">
        <f>StepTest!F47</f>
        <v>19.93</v>
      </c>
      <c r="G47" s="425">
        <f>StepTest!G47</f>
        <v>16.7</v>
      </c>
      <c r="H47" s="509"/>
      <c r="I47" s="510"/>
      <c r="J47" s="511"/>
    </row>
    <row r="48" spans="1:10" ht="24.95" customHeight="1">
      <c r="A48" s="444"/>
      <c r="B48" s="426"/>
      <c r="C48" s="422">
        <f t="shared" si="0"/>
        <v>44992.826388888883</v>
      </c>
      <c r="D48" s="530">
        <v>500</v>
      </c>
      <c r="E48" s="531"/>
      <c r="F48" s="425">
        <f>StepTest!F48</f>
        <v>20.6</v>
      </c>
      <c r="G48" s="425">
        <f>StepTest!G48</f>
        <v>17.37</v>
      </c>
      <c r="H48" s="509"/>
      <c r="I48" s="510"/>
      <c r="J48" s="511"/>
    </row>
    <row r="49" spans="1:10" ht="24.95" customHeight="1">
      <c r="A49" s="444"/>
      <c r="B49" s="426"/>
      <c r="C49" s="422">
        <f t="shared" si="0"/>
        <v>44992.833333333328</v>
      </c>
      <c r="D49" s="530">
        <v>510</v>
      </c>
      <c r="E49" s="531"/>
      <c r="F49" s="425">
        <f>StepTest!F49</f>
        <v>21.27</v>
      </c>
      <c r="G49" s="425">
        <f>StepTest!G49</f>
        <v>18.04</v>
      </c>
      <c r="H49" s="509"/>
      <c r="I49" s="510"/>
      <c r="J49" s="511"/>
    </row>
    <row r="50" spans="1:10" ht="24.95" customHeight="1">
      <c r="A50" s="444"/>
      <c r="B50" s="426"/>
      <c r="C50" s="422">
        <f t="shared" si="0"/>
        <v>44992.854166666664</v>
      </c>
      <c r="D50" s="530">
        <v>540</v>
      </c>
      <c r="E50" s="531"/>
      <c r="F50" s="425">
        <f>StepTest!F50</f>
        <v>21.94</v>
      </c>
      <c r="G50" s="425">
        <f>StepTest!G50</f>
        <v>18.71</v>
      </c>
      <c r="H50" s="509"/>
      <c r="I50" s="510"/>
      <c r="J50" s="511"/>
    </row>
    <row r="51" spans="1:10" ht="24.95" customHeight="1" thickBot="1">
      <c r="A51" s="445"/>
      <c r="B51" s="446"/>
      <c r="C51" s="442">
        <f t="shared" si="0"/>
        <v>44992.895833333328</v>
      </c>
      <c r="D51" s="550">
        <v>600</v>
      </c>
      <c r="E51" s="551"/>
      <c r="F51" s="443">
        <f>StepTest!F51</f>
        <v>22.62</v>
      </c>
      <c r="G51" s="443">
        <f>StepTest!G51</f>
        <v>19.39</v>
      </c>
      <c r="H51" s="512"/>
      <c r="I51" s="513"/>
      <c r="J51" s="514"/>
    </row>
    <row r="52" spans="1:10" ht="24.95" customHeight="1"/>
    <row r="53" spans="1:10" ht="24.95" customHeight="1"/>
    <row r="54" spans="1:10" ht="24.95" customHeight="1"/>
    <row r="55" spans="1:10" ht="24.95" customHeight="1"/>
    <row r="56" spans="1:10" ht="24.95" customHeight="1"/>
    <row r="57" spans="1:10" ht="21" customHeight="1"/>
    <row r="58" spans="1:10" ht="21" customHeight="1"/>
  </sheetData>
  <mergeCells count="10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5:J15"/>
    <mergeCell ref="H16:J16"/>
    <mergeCell ref="H17:J17"/>
    <mergeCell ref="H18:J18"/>
    <mergeCell ref="H19:J19"/>
    <mergeCell ref="H20:J20"/>
    <mergeCell ref="D43:E43"/>
    <mergeCell ref="D42:E42"/>
    <mergeCell ref="H10:J10"/>
    <mergeCell ref="H11:J11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C3:H3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36:J36"/>
    <mergeCell ref="H37:J37"/>
    <mergeCell ref="H38:J38"/>
    <mergeCell ref="H27:J27"/>
    <mergeCell ref="H28:J28"/>
    <mergeCell ref="H29:J29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2DA5FF"/>
  </sheetPr>
  <dimension ref="A1:J86"/>
  <sheetViews>
    <sheetView showGridLines="0" view="pageBreakPreview" topLeftCell="A49" zoomScaleNormal="130" zoomScaleSheetLayoutView="100" workbookViewId="0">
      <selection activeCell="L68" sqref="L68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.75" customHeight="1" thickBot="1">
      <c r="A1" s="515" t="s">
        <v>326</v>
      </c>
      <c r="B1" s="515"/>
      <c r="C1" s="515"/>
      <c r="D1" s="515"/>
      <c r="E1" s="515"/>
      <c r="F1" s="515"/>
      <c r="G1" s="515"/>
      <c r="H1" s="515"/>
      <c r="I1" s="515"/>
      <c r="J1" s="515"/>
    </row>
    <row r="2" spans="1:10" ht="24.95" customHeight="1">
      <c r="A2" s="516" t="s">
        <v>298</v>
      </c>
      <c r="B2" s="517"/>
      <c r="C2" s="518" t="str">
        <f>LongTest!C2</f>
        <v>부여군 농업기술센터 지하수사후관리 및 영향조사 용역</v>
      </c>
      <c r="D2" s="519"/>
      <c r="E2" s="519"/>
      <c r="F2" s="519"/>
      <c r="G2" s="519"/>
      <c r="H2" s="519"/>
      <c r="I2" s="519"/>
      <c r="J2" s="520"/>
    </row>
    <row r="3" spans="1:10" ht="24.95" customHeight="1">
      <c r="A3" s="521" t="s">
        <v>299</v>
      </c>
      <c r="B3" s="522"/>
      <c r="C3" s="526" t="str">
        <f>LongTest!C4</f>
        <v>충청남도 부여군 규암면 노화리 284-1번지</v>
      </c>
      <c r="D3" s="527"/>
      <c r="E3" s="527"/>
      <c r="F3" s="527"/>
      <c r="G3" s="527"/>
      <c r="H3" s="528"/>
      <c r="I3" s="428" t="str">
        <f>Input!I54</f>
        <v>W-1</v>
      </c>
      <c r="J3" s="431" t="s">
        <v>330</v>
      </c>
    </row>
    <row r="4" spans="1:10" ht="24.95" customHeight="1">
      <c r="A4" s="521" t="s">
        <v>300</v>
      </c>
      <c r="B4" s="522"/>
      <c r="C4" s="523">
        <f>LongTest!C10</f>
        <v>45490.458333333336</v>
      </c>
      <c r="D4" s="524"/>
      <c r="E4" s="524"/>
      <c r="F4" s="524"/>
      <c r="G4" s="524"/>
      <c r="H4" s="524"/>
      <c r="I4" s="524"/>
      <c r="J4" s="525"/>
    </row>
    <row r="5" spans="1:10" ht="24.95" customHeight="1">
      <c r="A5" s="521" t="s">
        <v>301</v>
      </c>
      <c r="B5" s="522"/>
      <c r="C5" s="523">
        <f>LongTest!C77</f>
        <v>45492.458333333336</v>
      </c>
      <c r="D5" s="524"/>
      <c r="E5" s="524"/>
      <c r="F5" s="524"/>
      <c r="G5" s="524"/>
      <c r="H5" s="524"/>
      <c r="I5" s="524"/>
      <c r="J5" s="525"/>
    </row>
    <row r="6" spans="1:10" ht="24.95" customHeight="1">
      <c r="A6" s="521" t="s">
        <v>297</v>
      </c>
      <c r="B6" s="522"/>
      <c r="C6" s="532" t="str">
        <f>LongTest!C5</f>
        <v>부여지하수개발주식회사</v>
      </c>
      <c r="D6" s="533"/>
      <c r="E6" s="533"/>
      <c r="F6" s="533"/>
      <c r="G6" s="533"/>
      <c r="H6" s="533"/>
      <c r="I6" s="533"/>
      <c r="J6" s="534"/>
    </row>
    <row r="7" spans="1:10" ht="24.95" customHeight="1">
      <c r="A7" s="521" t="s">
        <v>302</v>
      </c>
      <c r="B7" s="522"/>
      <c r="C7" s="529" t="s">
        <v>336</v>
      </c>
      <c r="D7" s="522"/>
      <c r="E7" s="421">
        <f>LongTest!C6</f>
        <v>1</v>
      </c>
      <c r="F7" s="420" t="s">
        <v>303</v>
      </c>
      <c r="G7" s="420" t="s">
        <v>338</v>
      </c>
      <c r="H7" s="530">
        <f>Input!I50</f>
        <v>50</v>
      </c>
      <c r="I7" s="531"/>
      <c r="J7" s="432" t="s">
        <v>304</v>
      </c>
    </row>
    <row r="8" spans="1:10" ht="24.95" customHeight="1">
      <c r="A8" s="521" t="s">
        <v>305</v>
      </c>
      <c r="B8" s="522"/>
      <c r="C8" s="529" t="s">
        <v>337</v>
      </c>
      <c r="D8" s="522"/>
      <c r="E8" s="421">
        <f>LongTest!D7</f>
        <v>150</v>
      </c>
      <c r="F8" s="420" t="s">
        <v>306</v>
      </c>
      <c r="G8" s="420" t="s">
        <v>307</v>
      </c>
      <c r="H8" s="530">
        <f>LongTest!G7</f>
        <v>100</v>
      </c>
      <c r="I8" s="531"/>
      <c r="J8" s="432" t="s">
        <v>304</v>
      </c>
    </row>
    <row r="9" spans="1:10" ht="24.95" customHeight="1">
      <c r="A9" s="521" t="s">
        <v>308</v>
      </c>
      <c r="B9" s="522"/>
      <c r="C9" s="529" t="s">
        <v>335</v>
      </c>
      <c r="D9" s="522"/>
      <c r="E9" s="421">
        <f>LongTest!D8</f>
        <v>3.23</v>
      </c>
      <c r="F9" s="420" t="s">
        <v>304</v>
      </c>
      <c r="G9" s="420" t="s">
        <v>309</v>
      </c>
      <c r="H9" s="530">
        <f>LongTest!G8</f>
        <v>29.497749620633908</v>
      </c>
      <c r="I9" s="531"/>
      <c r="J9" s="432" t="s">
        <v>304</v>
      </c>
    </row>
    <row r="10" spans="1:10" ht="24.95" customHeight="1">
      <c r="A10" s="536" t="s">
        <v>310</v>
      </c>
      <c r="B10" s="420" t="s">
        <v>311</v>
      </c>
      <c r="C10" s="537" t="s">
        <v>190</v>
      </c>
      <c r="D10" s="538" t="s">
        <v>313</v>
      </c>
      <c r="E10" s="538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36"/>
      <c r="B11" s="420" t="s">
        <v>312</v>
      </c>
      <c r="C11" s="537"/>
      <c r="D11" s="538" t="s">
        <v>314</v>
      </c>
      <c r="E11" s="538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43" si="0">$C$4+D12/1440</f>
        <v>45490.459027777782</v>
      </c>
      <c r="D12" s="535">
        <v>1</v>
      </c>
      <c r="E12" s="535"/>
      <c r="F12" s="425">
        <f>LongTest!F10</f>
        <v>15.923591285614936</v>
      </c>
      <c r="G12" s="425">
        <f>LongTest!G10</f>
        <v>12.693591285614936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35">
        <v>2</v>
      </c>
      <c r="E13" s="535"/>
      <c r="F13" s="425">
        <f>LongTest!F11</f>
        <v>17.336487261054877</v>
      </c>
      <c r="G13" s="425">
        <f>LongTest!G11</f>
        <v>14.106487261054877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35">
        <v>3</v>
      </c>
      <c r="E14" s="535"/>
      <c r="F14" s="425">
        <f>LongTest!F12</f>
        <v>18.162978424107084</v>
      </c>
      <c r="G14" s="425">
        <f>LongTest!G12</f>
        <v>14.932978424107084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35">
        <v>4</v>
      </c>
      <c r="E15" s="535"/>
      <c r="F15" s="425">
        <f>LongTest!F13</f>
        <v>18.749383236494818</v>
      </c>
      <c r="G15" s="425">
        <f>LongTest!G13</f>
        <v>15.519383236494818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35">
        <v>5</v>
      </c>
      <c r="E16" s="535"/>
      <c r="F16" s="425">
        <f>LongTest!F14</f>
        <v>19.20423414614222</v>
      </c>
      <c r="G16" s="425">
        <f>LongTest!G14</f>
        <v>15.974234146142219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35">
        <v>10</v>
      </c>
      <c r="E17" s="535"/>
      <c r="F17" s="425">
        <f>LongTest!F15</f>
        <v>20.617130121582161</v>
      </c>
      <c r="G17" s="425">
        <f>LongTest!G15</f>
        <v>17.38713012158216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35">
        <v>15</v>
      </c>
      <c r="E18" s="535"/>
      <c r="F18" s="425">
        <f>LongTest!F16</f>
        <v>21.443621284634368</v>
      </c>
      <c r="G18" s="425">
        <f>LongTest!G16</f>
        <v>18.213621284634367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35">
        <v>20</v>
      </c>
      <c r="E19" s="535"/>
      <c r="F19" s="425">
        <f>LongTest!F17</f>
        <v>22.030026097022105</v>
      </c>
      <c r="G19" s="425">
        <f>LongTest!G17</f>
        <v>18.800026097022105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35">
        <v>25</v>
      </c>
      <c r="E20" s="535"/>
      <c r="F20" s="425">
        <f>LongTest!F18</f>
        <v>22.484877006669503</v>
      </c>
      <c r="G20" s="425">
        <f>LongTest!G18</f>
        <v>19.254877006669503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35">
        <v>30</v>
      </c>
      <c r="E21" s="535"/>
      <c r="F21" s="425">
        <f>LongTest!F19</f>
        <v>22.856517260074309</v>
      </c>
      <c r="G21" s="425">
        <f>LongTest!G19</f>
        <v>19.626517260074309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35">
        <v>35</v>
      </c>
      <c r="E22" s="535"/>
      <c r="F22" s="425">
        <f>LongTest!F20</f>
        <v>23.17073461714892</v>
      </c>
      <c r="G22" s="425">
        <f>LongTest!G20</f>
        <v>19.940734617148919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35">
        <v>40</v>
      </c>
      <c r="E23" s="535"/>
      <c r="F23" s="425">
        <f>LongTest!F21</f>
        <v>23.442922072462046</v>
      </c>
      <c r="G23" s="425">
        <f>LongTest!G21</f>
        <v>20.212922072462046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35">
        <v>45</v>
      </c>
      <c r="E24" s="535"/>
      <c r="F24" s="425">
        <f>LongTest!F22</f>
        <v>23.683008423126516</v>
      </c>
      <c r="G24" s="425">
        <f>LongTest!G22</f>
        <v>20.453008423126516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35">
        <v>50</v>
      </c>
      <c r="E25" s="535"/>
      <c r="F25" s="425">
        <f>LongTest!F23</f>
        <v>23.897772982109448</v>
      </c>
      <c r="G25" s="425">
        <f>LongTest!G23</f>
        <v>20.667772982109447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35">
        <v>55</v>
      </c>
      <c r="E26" s="535"/>
      <c r="F26" s="425">
        <f>LongTest!F24</f>
        <v>24.092051157424542</v>
      </c>
      <c r="G26" s="425">
        <f>LongTest!G24</f>
        <v>20.862051157424542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35">
        <v>60</v>
      </c>
      <c r="E27" s="535"/>
      <c r="F27" s="425">
        <f>LongTest!F25</f>
        <v>24.26941323551425</v>
      </c>
      <c r="G27" s="425">
        <f>LongTest!G25</f>
        <v>21.03941323551425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35">
        <v>75</v>
      </c>
      <c r="E28" s="535"/>
      <c r="F28" s="425">
        <f>LongTest!F26</f>
        <v>24.724264145161651</v>
      </c>
      <c r="G28" s="425">
        <f>LongTest!G26</f>
        <v>21.494264145161651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35">
        <v>90</v>
      </c>
      <c r="E29" s="535"/>
      <c r="F29" s="425">
        <f>LongTest!F27</f>
        <v>25.095904398566457</v>
      </c>
      <c r="G29" s="425">
        <f>LongTest!G27</f>
        <v>21.865904398566457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35">
        <v>105</v>
      </c>
      <c r="E30" s="535"/>
      <c r="F30" s="425">
        <f>LongTest!F28</f>
        <v>25.410121755641068</v>
      </c>
      <c r="G30" s="425">
        <f>LongTest!G28</f>
        <v>22.180121755641068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35">
        <v>120</v>
      </c>
      <c r="E31" s="535"/>
      <c r="F31" s="425">
        <f>LongTest!F29</f>
        <v>25.682309210954191</v>
      </c>
      <c r="G31" s="425">
        <f>LongTest!G29</f>
        <v>22.452309210954191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35">
        <v>140</v>
      </c>
      <c r="E32" s="535"/>
      <c r="F32" s="425">
        <f>LongTest!F30</f>
        <v>25.996526568028802</v>
      </c>
      <c r="G32" s="425">
        <f>LongTest!G30</f>
        <v>22.766526568028802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35">
        <v>160</v>
      </c>
      <c r="E33" s="535"/>
      <c r="F33" s="425">
        <f>LongTest!F31</f>
        <v>26.268714023341929</v>
      </c>
      <c r="G33" s="425">
        <f>LongTest!G31</f>
        <v>23.038714023341928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35">
        <v>180</v>
      </c>
      <c r="E34" s="535"/>
      <c r="F34" s="425">
        <f>LongTest!F32</f>
        <v>26.508800374006395</v>
      </c>
      <c r="G34" s="425">
        <f>LongTest!G32</f>
        <v>23.278800374006394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35">
        <v>240</v>
      </c>
      <c r="E35" s="535"/>
      <c r="F35" s="425">
        <f>LongTest!F33</f>
        <v>27.095205186394129</v>
      </c>
      <c r="G35" s="425">
        <f>LongTest!G33</f>
        <v>23.865205186394128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35">
        <v>300</v>
      </c>
      <c r="E36" s="535"/>
      <c r="F36" s="425">
        <f>LongTest!F34</f>
        <v>27.550056096041533</v>
      </c>
      <c r="G36" s="425">
        <f>LongTest!G34</f>
        <v>24.320056096041533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35">
        <v>360</v>
      </c>
      <c r="E37" s="535"/>
      <c r="F37" s="425">
        <f>LongTest!F35</f>
        <v>27.921696349446336</v>
      </c>
      <c r="G37" s="425">
        <f>LongTest!G35</f>
        <v>24.691696349446335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35">
        <v>420</v>
      </c>
      <c r="E38" s="535"/>
      <c r="F38" s="425">
        <f>LongTest!F36</f>
        <v>28.23591370652095</v>
      </c>
      <c r="G38" s="425">
        <f>LongTest!G36</f>
        <v>25.00591370652095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35">
        <v>480</v>
      </c>
      <c r="E39" s="535"/>
      <c r="F39" s="425">
        <f>LongTest!F37</f>
        <v>28.50810116183407</v>
      </c>
      <c r="G39" s="425">
        <f>LongTest!G37</f>
        <v>25.278101161834069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35">
        <v>540</v>
      </c>
      <c r="E40" s="535"/>
      <c r="F40" s="425">
        <f>LongTest!F38</f>
        <v>28.748187512498543</v>
      </c>
      <c r="G40" s="425">
        <f>LongTest!G38</f>
        <v>25.518187512498542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35">
        <v>600</v>
      </c>
      <c r="E41" s="535"/>
      <c r="F41" s="425">
        <f>LongTest!F39</f>
        <v>28.962952071481478</v>
      </c>
      <c r="G41" s="425">
        <f>LongTest!G39</f>
        <v>25.732952071481478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35">
        <v>660</v>
      </c>
      <c r="E42" s="535"/>
      <c r="F42" s="425">
        <f>LongTest!F40</f>
        <v>29.157230246796566</v>
      </c>
      <c r="G42" s="425">
        <f>LongTest!G40</f>
        <v>25.927230246796565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35">
        <v>720</v>
      </c>
      <c r="E43" s="535"/>
      <c r="F43" s="425">
        <f>LongTest!F41</f>
        <v>29.334592324886277</v>
      </c>
      <c r="G43" s="425">
        <f>LongTest!G41</f>
        <v>26.104592324886276</v>
      </c>
      <c r="H43" s="421"/>
      <c r="I43" s="421"/>
      <c r="J43" s="437"/>
    </row>
    <row r="44" spans="1:10" ht="24.95" customHeight="1">
      <c r="A44" s="433"/>
      <c r="B44" s="420"/>
      <c r="C44" s="422">
        <f t="shared" ref="C44:C75" si="1">$C$4+D44/1440</f>
        <v>45491</v>
      </c>
      <c r="D44" s="535">
        <v>780</v>
      </c>
      <c r="E44" s="535"/>
      <c r="F44" s="421">
        <f>LongTest!F42</f>
        <v>29.497749620633908</v>
      </c>
      <c r="G44" s="421">
        <f>LongTest!G42</f>
        <v>26.267749620633907</v>
      </c>
      <c r="H44" s="421"/>
      <c r="I44" s="421"/>
      <c r="J44" s="437"/>
    </row>
    <row r="45" spans="1:10" ht="24.95" customHeight="1">
      <c r="A45" s="433"/>
      <c r="B45" s="420"/>
      <c r="C45" s="422">
        <f t="shared" si="1"/>
        <v>45491.041666666672</v>
      </c>
      <c r="D45" s="535">
        <v>840</v>
      </c>
      <c r="E45" s="535"/>
      <c r="F45" s="421">
        <f>LongTest!F43</f>
        <v>29.497749620633908</v>
      </c>
      <c r="G45" s="421">
        <f>LongTest!G43</f>
        <v>26.267749620633907</v>
      </c>
      <c r="H45" s="421"/>
      <c r="I45" s="421"/>
      <c r="J45" s="437"/>
    </row>
    <row r="46" spans="1:10" ht="24.95" customHeight="1">
      <c r="A46" s="433"/>
      <c r="B46" s="420"/>
      <c r="C46" s="422">
        <f t="shared" si="1"/>
        <v>45491.083333333336</v>
      </c>
      <c r="D46" s="535">
        <v>900</v>
      </c>
      <c r="E46" s="535"/>
      <c r="F46" s="421">
        <f>LongTest!F44</f>
        <v>29.497749620633908</v>
      </c>
      <c r="G46" s="421">
        <f>LongTest!G44</f>
        <v>26.267749620633907</v>
      </c>
      <c r="H46" s="421"/>
      <c r="I46" s="421"/>
      <c r="J46" s="437"/>
    </row>
    <row r="47" spans="1:10" ht="24.95" customHeight="1">
      <c r="A47" s="439"/>
      <c r="B47" s="424"/>
      <c r="C47" s="422">
        <f t="shared" si="1"/>
        <v>45491.125</v>
      </c>
      <c r="D47" s="535">
        <v>960</v>
      </c>
      <c r="E47" s="535"/>
      <c r="F47" s="421">
        <f>LongTest!F45</f>
        <v>29.497749620633908</v>
      </c>
      <c r="G47" s="421">
        <f>LongTest!G45</f>
        <v>26.267749620633907</v>
      </c>
      <c r="H47" s="421"/>
      <c r="I47" s="421"/>
      <c r="J47" s="437"/>
    </row>
    <row r="48" spans="1:10" ht="24.95" customHeight="1">
      <c r="A48" s="433"/>
      <c r="B48" s="420"/>
      <c r="C48" s="422">
        <f t="shared" si="1"/>
        <v>45491.166666666672</v>
      </c>
      <c r="D48" s="535">
        <v>1020</v>
      </c>
      <c r="E48" s="535"/>
      <c r="F48" s="421">
        <f>LongTest!F46</f>
        <v>29.497749620633908</v>
      </c>
      <c r="G48" s="421">
        <f>LongTest!G46</f>
        <v>26.267749620633907</v>
      </c>
      <c r="H48" s="421"/>
      <c r="I48" s="421"/>
      <c r="J48" s="437"/>
    </row>
    <row r="49" spans="1:10" ht="24.95" customHeight="1">
      <c r="A49" s="433"/>
      <c r="B49" s="420"/>
      <c r="C49" s="422">
        <f t="shared" si="1"/>
        <v>45491.208333333336</v>
      </c>
      <c r="D49" s="535">
        <v>1080</v>
      </c>
      <c r="E49" s="535"/>
      <c r="F49" s="421">
        <f>LongTest!F47</f>
        <v>29.497749620633908</v>
      </c>
      <c r="G49" s="421">
        <f>LongTest!G47</f>
        <v>26.267749620633907</v>
      </c>
      <c r="H49" s="421"/>
      <c r="I49" s="421"/>
      <c r="J49" s="437"/>
    </row>
    <row r="50" spans="1:10" ht="24.95" customHeight="1">
      <c r="A50" s="433"/>
      <c r="B50" s="420"/>
      <c r="C50" s="422">
        <f t="shared" si="1"/>
        <v>45491.25</v>
      </c>
      <c r="D50" s="535">
        <v>1140</v>
      </c>
      <c r="E50" s="535"/>
      <c r="F50" s="421">
        <f>LongTest!F48</f>
        <v>29.497749620633908</v>
      </c>
      <c r="G50" s="421">
        <f>LongTest!G48</f>
        <v>26.267749620633907</v>
      </c>
      <c r="H50" s="421"/>
      <c r="I50" s="421"/>
      <c r="J50" s="437"/>
    </row>
    <row r="51" spans="1:10" ht="24.95" customHeight="1">
      <c r="A51" s="433"/>
      <c r="B51" s="420"/>
      <c r="C51" s="422">
        <f t="shared" si="1"/>
        <v>45491.291666666672</v>
      </c>
      <c r="D51" s="535">
        <v>1200</v>
      </c>
      <c r="E51" s="535"/>
      <c r="F51" s="421">
        <f>LongTest!F49</f>
        <v>29.497749620633908</v>
      </c>
      <c r="G51" s="421">
        <f>LongTest!G49</f>
        <v>26.267749620633907</v>
      </c>
      <c r="H51" s="421"/>
      <c r="I51" s="421"/>
      <c r="J51" s="437"/>
    </row>
    <row r="52" spans="1:10" ht="24.95" customHeight="1">
      <c r="A52" s="433"/>
      <c r="B52" s="420"/>
      <c r="C52" s="422">
        <f t="shared" si="1"/>
        <v>45491.333333333336</v>
      </c>
      <c r="D52" s="535">
        <v>1260</v>
      </c>
      <c r="E52" s="535"/>
      <c r="F52" s="421">
        <f>LongTest!F50</f>
        <v>29.497749620633908</v>
      </c>
      <c r="G52" s="421">
        <f>LongTest!G50</f>
        <v>26.267749620633907</v>
      </c>
      <c r="H52" s="421"/>
      <c r="I52" s="421"/>
      <c r="J52" s="437"/>
    </row>
    <row r="53" spans="1:10" ht="24.95" customHeight="1">
      <c r="A53" s="433"/>
      <c r="B53" s="420"/>
      <c r="C53" s="422">
        <f t="shared" si="1"/>
        <v>45491.375</v>
      </c>
      <c r="D53" s="535">
        <v>1320</v>
      </c>
      <c r="E53" s="535"/>
      <c r="F53" s="421">
        <f>LongTest!F51</f>
        <v>29.497749620633908</v>
      </c>
      <c r="G53" s="421">
        <f>LongTest!G51</f>
        <v>26.267749620633907</v>
      </c>
      <c r="H53" s="421"/>
      <c r="I53" s="421"/>
      <c r="J53" s="437"/>
    </row>
    <row r="54" spans="1:10" ht="24.95" customHeight="1">
      <c r="A54" s="433"/>
      <c r="B54" s="420"/>
      <c r="C54" s="422">
        <f t="shared" si="1"/>
        <v>45491.416666666672</v>
      </c>
      <c r="D54" s="535">
        <v>1380</v>
      </c>
      <c r="E54" s="535"/>
      <c r="F54" s="421">
        <f>LongTest!F52</f>
        <v>29.497749620633908</v>
      </c>
      <c r="G54" s="421">
        <f>LongTest!G52</f>
        <v>26.267749620633907</v>
      </c>
      <c r="H54" s="421"/>
      <c r="I54" s="421"/>
      <c r="J54" s="437"/>
    </row>
    <row r="55" spans="1:10" ht="24.95" customHeight="1">
      <c r="A55" s="433"/>
      <c r="B55" s="420"/>
      <c r="C55" s="422">
        <f t="shared" si="1"/>
        <v>45491.458333333336</v>
      </c>
      <c r="D55" s="535">
        <v>1440</v>
      </c>
      <c r="E55" s="535"/>
      <c r="F55" s="421">
        <f>LongTest!F53</f>
        <v>29.497749620633908</v>
      </c>
      <c r="G55" s="421">
        <f>LongTest!G53</f>
        <v>26.267749620633907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>
        <f t="shared" si="1"/>
        <v>45491.5</v>
      </c>
      <c r="D56" s="509">
        <v>1500</v>
      </c>
      <c r="E56" s="539"/>
      <c r="F56" s="421">
        <f>LongTest!F54</f>
        <v>29.497749620633908</v>
      </c>
      <c r="G56" s="421">
        <f>LongTest!G54</f>
        <v>26.267749620633907</v>
      </c>
      <c r="H56" s="421"/>
      <c r="I56" s="421"/>
      <c r="J56" s="437"/>
    </row>
    <row r="57" spans="1:10" ht="24.95" customHeight="1">
      <c r="A57" s="440"/>
      <c r="B57" s="422"/>
      <c r="C57" s="422">
        <f t="shared" si="1"/>
        <v>45491.541666666672</v>
      </c>
      <c r="D57" s="509">
        <v>1560</v>
      </c>
      <c r="E57" s="539"/>
      <c r="F57" s="421">
        <f>LongTest!F55</f>
        <v>29.497749620633908</v>
      </c>
      <c r="G57" s="421">
        <f>LongTest!G55</f>
        <v>26.267749620633907</v>
      </c>
      <c r="H57" s="421"/>
      <c r="I57" s="421"/>
      <c r="J57" s="437"/>
    </row>
    <row r="58" spans="1:10" ht="24.95" customHeight="1">
      <c r="A58" s="440"/>
      <c r="B58" s="422"/>
      <c r="C58" s="422">
        <f t="shared" si="1"/>
        <v>45491.583333333336</v>
      </c>
      <c r="D58" s="509">
        <v>1620</v>
      </c>
      <c r="E58" s="539"/>
      <c r="F58" s="421">
        <f>LongTest!F56</f>
        <v>29.497749620633908</v>
      </c>
      <c r="G58" s="421">
        <f>LongTest!G56</f>
        <v>26.267749620633907</v>
      </c>
      <c r="H58" s="421"/>
      <c r="I58" s="421"/>
      <c r="J58" s="437"/>
    </row>
    <row r="59" spans="1:10" ht="24.95" customHeight="1">
      <c r="A59" s="440"/>
      <c r="B59" s="422"/>
      <c r="C59" s="422">
        <f t="shared" si="1"/>
        <v>45491.625</v>
      </c>
      <c r="D59" s="509">
        <v>1680</v>
      </c>
      <c r="E59" s="539"/>
      <c r="F59" s="421">
        <f>LongTest!F57</f>
        <v>29.497749620633908</v>
      </c>
      <c r="G59" s="421">
        <f>LongTest!G57</f>
        <v>26.267749620633907</v>
      </c>
      <c r="H59" s="421">
        <f>H55</f>
        <v>14.799999999999999</v>
      </c>
      <c r="I59" s="421">
        <f t="shared" ref="I59:J59" si="2">I55</f>
        <v>196</v>
      </c>
      <c r="J59" s="437">
        <f t="shared" si="2"/>
        <v>6.89</v>
      </c>
    </row>
    <row r="60" spans="1:10" ht="24.95" customHeight="1">
      <c r="A60" s="440"/>
      <c r="B60" s="422"/>
      <c r="C60" s="422">
        <f t="shared" si="1"/>
        <v>45491.666666666672</v>
      </c>
      <c r="D60" s="509">
        <v>1740</v>
      </c>
      <c r="E60" s="539"/>
      <c r="F60" s="421">
        <f>LongTest!F58</f>
        <v>29.497749620633908</v>
      </c>
      <c r="G60" s="421">
        <f>LongTest!G58</f>
        <v>26.267749620633907</v>
      </c>
      <c r="H60" s="421"/>
      <c r="I60" s="421"/>
      <c r="J60" s="437"/>
    </row>
    <row r="61" spans="1:10" ht="24.95" customHeight="1">
      <c r="A61" s="440"/>
      <c r="B61" s="422"/>
      <c r="C61" s="422">
        <f t="shared" si="1"/>
        <v>45491.708333333336</v>
      </c>
      <c r="D61" s="509">
        <v>1800</v>
      </c>
      <c r="E61" s="539"/>
      <c r="F61" s="421">
        <f>LongTest!F59</f>
        <v>29.497749620633908</v>
      </c>
      <c r="G61" s="421">
        <f>LongTest!G59</f>
        <v>26.267749620633907</v>
      </c>
      <c r="H61" s="421"/>
      <c r="I61" s="421"/>
      <c r="J61" s="437"/>
    </row>
    <row r="62" spans="1:10" ht="24.95" customHeight="1">
      <c r="A62" s="440"/>
      <c r="B62" s="422"/>
      <c r="C62" s="422">
        <f t="shared" si="1"/>
        <v>45491.75</v>
      </c>
      <c r="D62" s="509">
        <v>1860</v>
      </c>
      <c r="E62" s="539"/>
      <c r="F62" s="421">
        <f>LongTest!F60</f>
        <v>29.497749620633908</v>
      </c>
      <c r="G62" s="421">
        <f>LongTest!G60</f>
        <v>26.267749620633907</v>
      </c>
      <c r="H62" s="421"/>
      <c r="I62" s="421"/>
      <c r="J62" s="437"/>
    </row>
    <row r="63" spans="1:10" ht="24.95" customHeight="1">
      <c r="A63" s="440"/>
      <c r="B63" s="422"/>
      <c r="C63" s="422">
        <f t="shared" si="1"/>
        <v>45491.791666666672</v>
      </c>
      <c r="D63" s="509">
        <v>1920</v>
      </c>
      <c r="E63" s="539"/>
      <c r="F63" s="421">
        <f>LongTest!F61</f>
        <v>29.497749620633908</v>
      </c>
      <c r="G63" s="421">
        <f>LongTest!G61</f>
        <v>26.267749620633907</v>
      </c>
      <c r="H63" s="421">
        <f>H59</f>
        <v>14.799999999999999</v>
      </c>
      <c r="I63" s="421">
        <f t="shared" ref="I63:J63" si="3">I59</f>
        <v>196</v>
      </c>
      <c r="J63" s="437">
        <f t="shared" si="3"/>
        <v>6.89</v>
      </c>
    </row>
    <row r="64" spans="1:10" ht="24.95" customHeight="1">
      <c r="A64" s="440"/>
      <c r="B64" s="422"/>
      <c r="C64" s="422">
        <f t="shared" si="1"/>
        <v>45491.833333333336</v>
      </c>
      <c r="D64" s="509">
        <v>1980</v>
      </c>
      <c r="E64" s="539"/>
      <c r="F64" s="421">
        <f>LongTest!F62</f>
        <v>29.497749620633908</v>
      </c>
      <c r="G64" s="421">
        <f>LongTest!G62</f>
        <v>26.267749620633907</v>
      </c>
      <c r="H64" s="421"/>
      <c r="I64" s="421"/>
      <c r="J64" s="437"/>
    </row>
    <row r="65" spans="1:10" ht="24.95" customHeight="1">
      <c r="A65" s="440"/>
      <c r="B65" s="422"/>
      <c r="C65" s="422">
        <f t="shared" si="1"/>
        <v>45491.875</v>
      </c>
      <c r="D65" s="509">
        <v>2040</v>
      </c>
      <c r="E65" s="539"/>
      <c r="F65" s="421">
        <f>LongTest!F63</f>
        <v>29.497749620633908</v>
      </c>
      <c r="G65" s="421">
        <f>LongTest!G63</f>
        <v>26.267749620633907</v>
      </c>
      <c r="H65" s="421"/>
      <c r="I65" s="421"/>
      <c r="J65" s="437"/>
    </row>
    <row r="66" spans="1:10" ht="24.95" customHeight="1">
      <c r="A66" s="440"/>
      <c r="B66" s="422"/>
      <c r="C66" s="422">
        <f t="shared" si="1"/>
        <v>45491.916666666672</v>
      </c>
      <c r="D66" s="509">
        <v>2100</v>
      </c>
      <c r="E66" s="539"/>
      <c r="F66" s="421">
        <f>LongTest!F64</f>
        <v>29.497749620633908</v>
      </c>
      <c r="G66" s="421">
        <f>LongTest!G64</f>
        <v>26.267749620633907</v>
      </c>
      <c r="H66" s="421"/>
      <c r="I66" s="421"/>
      <c r="J66" s="437"/>
    </row>
    <row r="67" spans="1:10" ht="24.95" customHeight="1">
      <c r="A67" s="440"/>
      <c r="B67" s="422"/>
      <c r="C67" s="422">
        <f t="shared" si="1"/>
        <v>45491.958333333336</v>
      </c>
      <c r="D67" s="509">
        <v>2160</v>
      </c>
      <c r="E67" s="539"/>
      <c r="F67" s="421">
        <f>LongTest!F65</f>
        <v>29.497749620633908</v>
      </c>
      <c r="G67" s="421">
        <f>LongTest!G65</f>
        <v>26.267749620633907</v>
      </c>
      <c r="H67" s="421"/>
      <c r="I67" s="421"/>
      <c r="J67" s="437"/>
    </row>
    <row r="68" spans="1:10" ht="24.95" customHeight="1">
      <c r="A68" s="440"/>
      <c r="B68" s="422"/>
      <c r="C68" s="422">
        <f t="shared" si="1"/>
        <v>45492</v>
      </c>
      <c r="D68" s="509">
        <v>2220</v>
      </c>
      <c r="E68" s="539"/>
      <c r="F68" s="421">
        <f>LongTest!F66</f>
        <v>29.497749620633908</v>
      </c>
      <c r="G68" s="421">
        <f>LongTest!G66</f>
        <v>26.267749620633907</v>
      </c>
      <c r="H68" s="421"/>
      <c r="I68" s="421"/>
      <c r="J68" s="437"/>
    </row>
    <row r="69" spans="1:10" ht="24.95" customHeight="1">
      <c r="A69" s="440"/>
      <c r="B69" s="422"/>
      <c r="C69" s="422">
        <f t="shared" si="1"/>
        <v>45492.041666666672</v>
      </c>
      <c r="D69" s="509">
        <v>2280</v>
      </c>
      <c r="E69" s="539"/>
      <c r="F69" s="421">
        <f>LongTest!F67</f>
        <v>29.497749620633908</v>
      </c>
      <c r="G69" s="421">
        <f>LongTest!G67</f>
        <v>26.267749620633907</v>
      </c>
      <c r="H69" s="421"/>
      <c r="I69" s="421"/>
      <c r="J69" s="437"/>
    </row>
    <row r="70" spans="1:10" ht="24.95" customHeight="1">
      <c r="A70" s="440"/>
      <c r="B70" s="422"/>
      <c r="C70" s="422">
        <f t="shared" si="1"/>
        <v>45492.083333333336</v>
      </c>
      <c r="D70" s="509">
        <v>2340</v>
      </c>
      <c r="E70" s="539"/>
      <c r="F70" s="421">
        <f>LongTest!F68</f>
        <v>29.497749620633908</v>
      </c>
      <c r="G70" s="421">
        <f>LongTest!G68</f>
        <v>26.267749620633907</v>
      </c>
      <c r="H70" s="421"/>
      <c r="I70" s="421"/>
      <c r="J70" s="437"/>
    </row>
    <row r="71" spans="1:10" ht="24.95" customHeight="1">
      <c r="A71" s="440"/>
      <c r="B71" s="422"/>
      <c r="C71" s="422">
        <f t="shared" si="1"/>
        <v>45492.125</v>
      </c>
      <c r="D71" s="509">
        <v>2400</v>
      </c>
      <c r="E71" s="539"/>
      <c r="F71" s="421">
        <f>LongTest!F69</f>
        <v>29.497749620633908</v>
      </c>
      <c r="G71" s="421">
        <f>LongTest!G69</f>
        <v>26.267749620633907</v>
      </c>
      <c r="H71" s="421"/>
      <c r="I71" s="421"/>
      <c r="J71" s="437"/>
    </row>
    <row r="72" spans="1:10" ht="24.95" customHeight="1">
      <c r="A72" s="440"/>
      <c r="B72" s="422"/>
      <c r="C72" s="422">
        <f t="shared" si="1"/>
        <v>45492.166666666672</v>
      </c>
      <c r="D72" s="509">
        <v>2460</v>
      </c>
      <c r="E72" s="539"/>
      <c r="F72" s="421">
        <f>LongTest!F70</f>
        <v>29.497749620633908</v>
      </c>
      <c r="G72" s="421">
        <f>LongTest!G70</f>
        <v>26.267749620633907</v>
      </c>
      <c r="H72" s="421"/>
      <c r="I72" s="421"/>
      <c r="J72" s="437"/>
    </row>
    <row r="73" spans="1:10" ht="24.95" customHeight="1">
      <c r="A73" s="440"/>
      <c r="B73" s="422"/>
      <c r="C73" s="422">
        <f t="shared" si="1"/>
        <v>45492.208333333336</v>
      </c>
      <c r="D73" s="509">
        <v>2520</v>
      </c>
      <c r="E73" s="539"/>
      <c r="F73" s="421">
        <f>LongTest!F71</f>
        <v>29.497749620633908</v>
      </c>
      <c r="G73" s="421">
        <f>LongTest!G71</f>
        <v>26.267749620633907</v>
      </c>
      <c r="H73" s="421"/>
      <c r="I73" s="421"/>
      <c r="J73" s="437"/>
    </row>
    <row r="74" spans="1:10" ht="24.95" customHeight="1">
      <c r="A74" s="440"/>
      <c r="B74" s="422"/>
      <c r="C74" s="422">
        <f t="shared" si="1"/>
        <v>45492.25</v>
      </c>
      <c r="D74" s="509">
        <v>2580</v>
      </c>
      <c r="E74" s="539"/>
      <c r="F74" s="421">
        <f>LongTest!F72</f>
        <v>29.497749620633908</v>
      </c>
      <c r="G74" s="421">
        <f>LongTest!G72</f>
        <v>26.267749620633907</v>
      </c>
      <c r="H74" s="421"/>
      <c r="I74" s="421"/>
      <c r="J74" s="437"/>
    </row>
    <row r="75" spans="1:10" ht="24.95" customHeight="1">
      <c r="A75" s="440"/>
      <c r="B75" s="422"/>
      <c r="C75" s="422">
        <f t="shared" si="1"/>
        <v>45492.291666666672</v>
      </c>
      <c r="D75" s="509">
        <v>2640</v>
      </c>
      <c r="E75" s="539"/>
      <c r="F75" s="421">
        <f>LongTest!F73</f>
        <v>29.497749620633908</v>
      </c>
      <c r="G75" s="421">
        <f>LongTest!G73</f>
        <v>26.267749620633907</v>
      </c>
      <c r="H75" s="421"/>
      <c r="I75" s="421"/>
      <c r="J75" s="437"/>
    </row>
    <row r="76" spans="1:10" ht="24.95" customHeight="1">
      <c r="A76" s="440"/>
      <c r="B76" s="422"/>
      <c r="C76" s="422">
        <f t="shared" ref="C76:C79" si="4">$C$4+D76/1440</f>
        <v>45492.333333333336</v>
      </c>
      <c r="D76" s="509">
        <v>2700</v>
      </c>
      <c r="E76" s="539"/>
      <c r="F76" s="421">
        <f>LongTest!F74</f>
        <v>29.497749620633908</v>
      </c>
      <c r="G76" s="421">
        <f>LongTest!G74</f>
        <v>26.267749620633907</v>
      </c>
      <c r="H76" s="421"/>
      <c r="I76" s="421"/>
      <c r="J76" s="437"/>
    </row>
    <row r="77" spans="1:10" ht="24.95" customHeight="1">
      <c r="A77" s="440"/>
      <c r="B77" s="422"/>
      <c r="C77" s="422">
        <f t="shared" si="4"/>
        <v>45492.375</v>
      </c>
      <c r="D77" s="509">
        <v>2760</v>
      </c>
      <c r="E77" s="539"/>
      <c r="F77" s="421">
        <f>LongTest!F75</f>
        <v>29.497749620633908</v>
      </c>
      <c r="G77" s="421">
        <f>LongTest!G75</f>
        <v>26.267749620633907</v>
      </c>
      <c r="H77" s="421"/>
      <c r="I77" s="421"/>
      <c r="J77" s="437"/>
    </row>
    <row r="78" spans="1:10" ht="24.95" customHeight="1">
      <c r="A78" s="440"/>
      <c r="B78" s="422"/>
      <c r="C78" s="422">
        <f t="shared" si="4"/>
        <v>45492.416666666672</v>
      </c>
      <c r="D78" s="509">
        <v>2820</v>
      </c>
      <c r="E78" s="539"/>
      <c r="F78" s="421">
        <f>LongTest!F76</f>
        <v>29.497749620633908</v>
      </c>
      <c r="G78" s="421">
        <f>LongTest!G76</f>
        <v>26.267749620633907</v>
      </c>
      <c r="H78" s="421"/>
      <c r="I78" s="421"/>
      <c r="J78" s="437"/>
    </row>
    <row r="79" spans="1:10" ht="24.95" customHeight="1">
      <c r="A79" s="448"/>
      <c r="B79" s="449"/>
      <c r="C79" s="449">
        <f t="shared" si="4"/>
        <v>45492.458333333336</v>
      </c>
      <c r="D79" s="555">
        <v>2880</v>
      </c>
      <c r="E79" s="556"/>
      <c r="F79" s="450">
        <f>LongTest!F77</f>
        <v>29.497749620633908</v>
      </c>
      <c r="G79" s="450">
        <f>LongTest!G77</f>
        <v>26.267749620633907</v>
      </c>
      <c r="H79" s="450">
        <f>H63</f>
        <v>14.799999999999999</v>
      </c>
      <c r="I79" s="450">
        <f t="shared" ref="I79:J79" si="5">I63</f>
        <v>196</v>
      </c>
      <c r="J79" s="451">
        <f t="shared" si="5"/>
        <v>6.89</v>
      </c>
    </row>
    <row r="80" spans="1:10" ht="24.95" customHeight="1" thickBot="1">
      <c r="A80" s="552" t="s">
        <v>334</v>
      </c>
      <c r="B80" s="553"/>
      <c r="C80" s="553"/>
      <c r="D80" s="553"/>
      <c r="E80" s="553"/>
      <c r="F80" s="553"/>
      <c r="G80" s="553"/>
      <c r="H80" s="553"/>
      <c r="I80" s="553"/>
      <c r="J80" s="55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FFFF00"/>
  </sheetPr>
  <dimension ref="A1:J63"/>
  <sheetViews>
    <sheetView showGridLines="0" view="pageBreakPreview" zoomScaleNormal="130" zoomScaleSheetLayoutView="100" workbookViewId="0">
      <selection activeCell="Q19" sqref="Q19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.75" customHeight="1" thickBot="1">
      <c r="A1" s="515" t="s">
        <v>326</v>
      </c>
      <c r="B1" s="515"/>
      <c r="C1" s="515"/>
      <c r="D1" s="515"/>
      <c r="E1" s="515"/>
      <c r="F1" s="515"/>
      <c r="G1" s="515"/>
      <c r="H1" s="515"/>
      <c r="I1" s="515"/>
      <c r="J1" s="515"/>
    </row>
    <row r="2" spans="1:10" ht="24.95" customHeight="1">
      <c r="A2" s="516" t="s">
        <v>298</v>
      </c>
      <c r="B2" s="517"/>
      <c r="C2" s="518" t="str">
        <f>LongTest!C2</f>
        <v>부여군 농업기술센터 지하수사후관리 및 영향조사 용역</v>
      </c>
      <c r="D2" s="519"/>
      <c r="E2" s="519"/>
      <c r="F2" s="519"/>
      <c r="G2" s="519"/>
      <c r="H2" s="519"/>
      <c r="I2" s="519"/>
      <c r="J2" s="520"/>
    </row>
    <row r="3" spans="1:10" ht="24.95" customHeight="1">
      <c r="A3" s="521" t="s">
        <v>299</v>
      </c>
      <c r="B3" s="522"/>
      <c r="C3" s="526" t="str">
        <f>LongTest!C4</f>
        <v>충청남도 부여군 규암면 노화리 284-1번지</v>
      </c>
      <c r="D3" s="527"/>
      <c r="E3" s="527"/>
      <c r="F3" s="527"/>
      <c r="G3" s="527"/>
      <c r="H3" s="528"/>
      <c r="I3" s="428" t="str">
        <f>Input!I54</f>
        <v>W-1</v>
      </c>
      <c r="J3" s="431" t="s">
        <v>330</v>
      </c>
    </row>
    <row r="4" spans="1:10" ht="24.95" customHeight="1">
      <c r="A4" s="521" t="s">
        <v>300</v>
      </c>
      <c r="B4" s="522"/>
      <c r="C4" s="523">
        <f>LongTest!C10</f>
        <v>45490.458333333336</v>
      </c>
      <c r="D4" s="524"/>
      <c r="E4" s="524"/>
      <c r="F4" s="524"/>
      <c r="G4" s="524"/>
      <c r="H4" s="524"/>
      <c r="I4" s="524"/>
      <c r="J4" s="525"/>
    </row>
    <row r="5" spans="1:10" ht="24.95" customHeight="1">
      <c r="A5" s="521" t="s">
        <v>301</v>
      </c>
      <c r="B5" s="522"/>
      <c r="C5" s="523">
        <f>LongTest!C77</f>
        <v>45492.458333333336</v>
      </c>
      <c r="D5" s="524"/>
      <c r="E5" s="524"/>
      <c r="F5" s="524"/>
      <c r="G5" s="524"/>
      <c r="H5" s="524"/>
      <c r="I5" s="524"/>
      <c r="J5" s="525"/>
    </row>
    <row r="6" spans="1:10" ht="24.95" customHeight="1">
      <c r="A6" s="521" t="s">
        <v>297</v>
      </c>
      <c r="B6" s="522"/>
      <c r="C6" s="532" t="str">
        <f>LongTest!C5</f>
        <v>부여지하수개발주식회사</v>
      </c>
      <c r="D6" s="533"/>
      <c r="E6" s="533"/>
      <c r="F6" s="533"/>
      <c r="G6" s="533"/>
      <c r="H6" s="533"/>
      <c r="I6" s="533"/>
      <c r="J6" s="534"/>
    </row>
    <row r="7" spans="1:10" ht="24.95" customHeight="1">
      <c r="A7" s="521" t="s">
        <v>302</v>
      </c>
      <c r="B7" s="522"/>
      <c r="C7" s="529" t="s">
        <v>336</v>
      </c>
      <c r="D7" s="522"/>
      <c r="E7" s="421">
        <f>LongTest!C6</f>
        <v>1</v>
      </c>
      <c r="F7" s="420" t="s">
        <v>303</v>
      </c>
      <c r="G7" s="420" t="s">
        <v>338</v>
      </c>
      <c r="H7" s="530">
        <f>Input!I50</f>
        <v>50</v>
      </c>
      <c r="I7" s="531"/>
      <c r="J7" s="432" t="s">
        <v>304</v>
      </c>
    </row>
    <row r="8" spans="1:10" ht="24.95" customHeight="1">
      <c r="A8" s="521" t="s">
        <v>305</v>
      </c>
      <c r="B8" s="522"/>
      <c r="C8" s="529" t="s">
        <v>337</v>
      </c>
      <c r="D8" s="522"/>
      <c r="E8" s="421">
        <f>LongTest!D7</f>
        <v>150</v>
      </c>
      <c r="F8" s="420" t="s">
        <v>306</v>
      </c>
      <c r="G8" s="420" t="s">
        <v>307</v>
      </c>
      <c r="H8" s="530">
        <f>LongTest!G7</f>
        <v>100</v>
      </c>
      <c r="I8" s="531"/>
      <c r="J8" s="432" t="s">
        <v>304</v>
      </c>
    </row>
    <row r="9" spans="1:10" ht="24.95" customHeight="1">
      <c r="A9" s="521" t="s">
        <v>308</v>
      </c>
      <c r="B9" s="522"/>
      <c r="C9" s="529" t="s">
        <v>335</v>
      </c>
      <c r="D9" s="522"/>
      <c r="E9" s="421">
        <f>LongTest!D8</f>
        <v>3.23</v>
      </c>
      <c r="F9" s="420" t="s">
        <v>304</v>
      </c>
      <c r="G9" s="420" t="s">
        <v>309</v>
      </c>
      <c r="H9" s="530">
        <f>LongTest!G8</f>
        <v>29.497749620633908</v>
      </c>
      <c r="I9" s="531"/>
      <c r="J9" s="432" t="s">
        <v>304</v>
      </c>
    </row>
    <row r="10" spans="1:10" ht="24.95" customHeight="1">
      <c r="A10" s="536" t="s">
        <v>310</v>
      </c>
      <c r="B10" s="420" t="s">
        <v>311</v>
      </c>
      <c r="C10" s="537" t="s">
        <v>190</v>
      </c>
      <c r="D10" s="538" t="s">
        <v>313</v>
      </c>
      <c r="E10" s="538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36"/>
      <c r="B11" s="420" t="s">
        <v>312</v>
      </c>
      <c r="C11" s="537"/>
      <c r="D11" s="538" t="s">
        <v>314</v>
      </c>
      <c r="E11" s="538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55" si="0">$C$4+D12/1440</f>
        <v>45490.459027777782</v>
      </c>
      <c r="D12" s="535">
        <v>1</v>
      </c>
      <c r="E12" s="535"/>
      <c r="F12" s="425">
        <f>LongTest!F10</f>
        <v>15.923591285614936</v>
      </c>
      <c r="G12" s="425">
        <f>LongTest!G10</f>
        <v>12.693591285614936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35">
        <v>2</v>
      </c>
      <c r="E13" s="535"/>
      <c r="F13" s="425">
        <f>LongTest!F11</f>
        <v>17.336487261054877</v>
      </c>
      <c r="G13" s="425">
        <f>LongTest!G11</f>
        <v>14.106487261054877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35">
        <v>3</v>
      </c>
      <c r="E14" s="535"/>
      <c r="F14" s="425">
        <f>LongTest!F12</f>
        <v>18.162978424107084</v>
      </c>
      <c r="G14" s="425">
        <f>LongTest!G12</f>
        <v>14.932978424107084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35">
        <v>4</v>
      </c>
      <c r="E15" s="535"/>
      <c r="F15" s="425">
        <f>LongTest!F13</f>
        <v>18.749383236494818</v>
      </c>
      <c r="G15" s="425">
        <f>LongTest!G13</f>
        <v>15.519383236494818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35">
        <v>5</v>
      </c>
      <c r="E16" s="535"/>
      <c r="F16" s="425">
        <f>LongTest!F14</f>
        <v>19.20423414614222</v>
      </c>
      <c r="G16" s="425">
        <f>LongTest!G14</f>
        <v>15.974234146142219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35">
        <v>10</v>
      </c>
      <c r="E17" s="535"/>
      <c r="F17" s="425">
        <f>LongTest!F15</f>
        <v>20.617130121582161</v>
      </c>
      <c r="G17" s="425">
        <f>LongTest!G15</f>
        <v>17.38713012158216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35">
        <v>15</v>
      </c>
      <c r="E18" s="535"/>
      <c r="F18" s="425">
        <f>LongTest!F16</f>
        <v>21.443621284634368</v>
      </c>
      <c r="G18" s="425">
        <f>LongTest!G16</f>
        <v>18.213621284634367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35">
        <v>20</v>
      </c>
      <c r="E19" s="535"/>
      <c r="F19" s="425">
        <f>LongTest!F17</f>
        <v>22.030026097022105</v>
      </c>
      <c r="G19" s="425">
        <f>LongTest!G17</f>
        <v>18.800026097022105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35">
        <v>25</v>
      </c>
      <c r="E20" s="535"/>
      <c r="F20" s="425">
        <f>LongTest!F18</f>
        <v>22.484877006669503</v>
      </c>
      <c r="G20" s="425">
        <f>LongTest!G18</f>
        <v>19.254877006669503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35">
        <v>30</v>
      </c>
      <c r="E21" s="535"/>
      <c r="F21" s="425">
        <f>LongTest!F19</f>
        <v>22.856517260074309</v>
      </c>
      <c r="G21" s="425">
        <f>LongTest!G19</f>
        <v>19.626517260074309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35">
        <v>35</v>
      </c>
      <c r="E22" s="535"/>
      <c r="F22" s="425">
        <f>LongTest!F20</f>
        <v>23.17073461714892</v>
      </c>
      <c r="G22" s="425">
        <f>LongTest!G20</f>
        <v>19.940734617148919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35">
        <v>40</v>
      </c>
      <c r="E23" s="535"/>
      <c r="F23" s="425">
        <f>LongTest!F21</f>
        <v>23.442922072462046</v>
      </c>
      <c r="G23" s="425">
        <f>LongTest!G21</f>
        <v>20.212922072462046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35">
        <v>45</v>
      </c>
      <c r="E24" s="535"/>
      <c r="F24" s="425">
        <f>LongTest!F22</f>
        <v>23.683008423126516</v>
      </c>
      <c r="G24" s="425">
        <f>LongTest!G22</f>
        <v>20.453008423126516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35">
        <v>50</v>
      </c>
      <c r="E25" s="535"/>
      <c r="F25" s="425">
        <f>LongTest!F23</f>
        <v>23.897772982109448</v>
      </c>
      <c r="G25" s="425">
        <f>LongTest!G23</f>
        <v>20.667772982109447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35">
        <v>55</v>
      </c>
      <c r="E26" s="535"/>
      <c r="F26" s="425">
        <f>LongTest!F24</f>
        <v>24.092051157424542</v>
      </c>
      <c r="G26" s="425">
        <f>LongTest!G24</f>
        <v>20.862051157424542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35">
        <v>60</v>
      </c>
      <c r="E27" s="535"/>
      <c r="F27" s="425">
        <f>LongTest!F25</f>
        <v>24.26941323551425</v>
      </c>
      <c r="G27" s="425">
        <f>LongTest!G25</f>
        <v>21.03941323551425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35">
        <v>75</v>
      </c>
      <c r="E28" s="535"/>
      <c r="F28" s="425">
        <f>LongTest!F26</f>
        <v>24.724264145161651</v>
      </c>
      <c r="G28" s="425">
        <f>LongTest!G26</f>
        <v>21.494264145161651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35">
        <v>90</v>
      </c>
      <c r="E29" s="535"/>
      <c r="F29" s="425">
        <f>LongTest!F27</f>
        <v>25.095904398566457</v>
      </c>
      <c r="G29" s="425">
        <f>LongTest!G27</f>
        <v>21.865904398566457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35">
        <v>105</v>
      </c>
      <c r="E30" s="535"/>
      <c r="F30" s="425">
        <f>LongTest!F28</f>
        <v>25.410121755641068</v>
      </c>
      <c r="G30" s="425">
        <f>LongTest!G28</f>
        <v>22.180121755641068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35">
        <v>120</v>
      </c>
      <c r="E31" s="535"/>
      <c r="F31" s="425">
        <f>LongTest!F29</f>
        <v>25.682309210954191</v>
      </c>
      <c r="G31" s="425">
        <f>LongTest!G29</f>
        <v>22.452309210954191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35">
        <v>140</v>
      </c>
      <c r="E32" s="535"/>
      <c r="F32" s="425">
        <f>LongTest!F30</f>
        <v>25.996526568028802</v>
      </c>
      <c r="G32" s="425">
        <f>LongTest!G30</f>
        <v>22.766526568028802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35">
        <v>160</v>
      </c>
      <c r="E33" s="535"/>
      <c r="F33" s="425">
        <f>LongTest!F31</f>
        <v>26.268714023341929</v>
      </c>
      <c r="G33" s="425">
        <f>LongTest!G31</f>
        <v>23.038714023341928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35">
        <v>180</v>
      </c>
      <c r="E34" s="535"/>
      <c r="F34" s="425">
        <f>LongTest!F32</f>
        <v>26.508800374006395</v>
      </c>
      <c r="G34" s="425">
        <f>LongTest!G32</f>
        <v>23.278800374006394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35">
        <v>240</v>
      </c>
      <c r="E35" s="535"/>
      <c r="F35" s="425">
        <f>LongTest!F33</f>
        <v>27.095205186394129</v>
      </c>
      <c r="G35" s="425">
        <f>LongTest!G33</f>
        <v>23.865205186394128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35">
        <v>300</v>
      </c>
      <c r="E36" s="535"/>
      <c r="F36" s="425">
        <f>LongTest!F34</f>
        <v>27.550056096041533</v>
      </c>
      <c r="G36" s="425">
        <f>LongTest!G34</f>
        <v>24.320056096041533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35">
        <v>360</v>
      </c>
      <c r="E37" s="535"/>
      <c r="F37" s="425">
        <f>LongTest!F35</f>
        <v>27.921696349446336</v>
      </c>
      <c r="G37" s="425">
        <f>LongTest!G35</f>
        <v>24.691696349446335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35">
        <v>420</v>
      </c>
      <c r="E38" s="535"/>
      <c r="F38" s="425">
        <f>LongTest!F36</f>
        <v>28.23591370652095</v>
      </c>
      <c r="G38" s="425">
        <f>LongTest!G36</f>
        <v>25.00591370652095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35">
        <v>480</v>
      </c>
      <c r="E39" s="535"/>
      <c r="F39" s="425">
        <f>LongTest!F37</f>
        <v>28.50810116183407</v>
      </c>
      <c r="G39" s="425">
        <f>LongTest!G37</f>
        <v>25.278101161834069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35">
        <v>540</v>
      </c>
      <c r="E40" s="535"/>
      <c r="F40" s="425">
        <f>LongTest!F38</f>
        <v>28.748187512498543</v>
      </c>
      <c r="G40" s="425">
        <f>LongTest!G38</f>
        <v>25.518187512498542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35">
        <v>600</v>
      </c>
      <c r="E41" s="535"/>
      <c r="F41" s="425">
        <f>LongTest!F39</f>
        <v>28.962952071481478</v>
      </c>
      <c r="G41" s="425">
        <f>LongTest!G39</f>
        <v>25.732952071481478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35">
        <v>660</v>
      </c>
      <c r="E42" s="535"/>
      <c r="F42" s="425">
        <f>LongTest!F40</f>
        <v>29.157230246796566</v>
      </c>
      <c r="G42" s="425">
        <f>LongTest!G40</f>
        <v>25.927230246796565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35">
        <v>720</v>
      </c>
      <c r="E43" s="535"/>
      <c r="F43" s="425">
        <f>LongTest!F41</f>
        <v>29.334592324886277</v>
      </c>
      <c r="G43" s="425">
        <f>LongTest!G41</f>
        <v>26.104592324886276</v>
      </c>
      <c r="H43" s="421"/>
      <c r="I43" s="421"/>
      <c r="J43" s="437"/>
    </row>
    <row r="44" spans="1:10" ht="24.95" customHeight="1">
      <c r="A44" s="433"/>
      <c r="B44" s="420"/>
      <c r="C44" s="422">
        <f t="shared" si="0"/>
        <v>45491</v>
      </c>
      <c r="D44" s="535">
        <v>780</v>
      </c>
      <c r="E44" s="535"/>
      <c r="F44" s="421">
        <f>LongTest!F42</f>
        <v>29.497749620633908</v>
      </c>
      <c r="G44" s="421">
        <f>LongTest!G42</f>
        <v>26.267749620633907</v>
      </c>
      <c r="H44" s="421"/>
      <c r="I44" s="421"/>
      <c r="J44" s="437"/>
    </row>
    <row r="45" spans="1:10" ht="24.95" customHeight="1">
      <c r="A45" s="433"/>
      <c r="B45" s="420"/>
      <c r="C45" s="422">
        <f t="shared" si="0"/>
        <v>45491.041666666672</v>
      </c>
      <c r="D45" s="535">
        <v>840</v>
      </c>
      <c r="E45" s="535"/>
      <c r="F45" s="421">
        <f>LongTest!F43</f>
        <v>29.497749620633908</v>
      </c>
      <c r="G45" s="421">
        <f>LongTest!G43</f>
        <v>26.267749620633907</v>
      </c>
      <c r="H45" s="421"/>
      <c r="I45" s="421"/>
      <c r="J45" s="437"/>
    </row>
    <row r="46" spans="1:10" ht="24.95" customHeight="1">
      <c r="A46" s="433"/>
      <c r="B46" s="420"/>
      <c r="C46" s="422">
        <f t="shared" si="0"/>
        <v>45491.083333333336</v>
      </c>
      <c r="D46" s="535">
        <v>900</v>
      </c>
      <c r="E46" s="535"/>
      <c r="F46" s="421">
        <f>LongTest!F44</f>
        <v>29.497749620633908</v>
      </c>
      <c r="G46" s="421">
        <f>LongTest!G44</f>
        <v>26.267749620633907</v>
      </c>
      <c r="H46" s="421"/>
      <c r="I46" s="421"/>
      <c r="J46" s="437"/>
    </row>
    <row r="47" spans="1:10" ht="24.95" customHeight="1">
      <c r="A47" s="439"/>
      <c r="B47" s="424"/>
      <c r="C47" s="422">
        <f t="shared" si="0"/>
        <v>45491.125</v>
      </c>
      <c r="D47" s="535">
        <v>960</v>
      </c>
      <c r="E47" s="535"/>
      <c r="F47" s="421">
        <f>LongTest!F45</f>
        <v>29.497749620633908</v>
      </c>
      <c r="G47" s="421">
        <f>LongTest!G45</f>
        <v>26.267749620633907</v>
      </c>
      <c r="H47" s="421"/>
      <c r="I47" s="421"/>
      <c r="J47" s="437"/>
    </row>
    <row r="48" spans="1:10" ht="24.95" customHeight="1">
      <c r="A48" s="433"/>
      <c r="B48" s="420"/>
      <c r="C48" s="422">
        <f t="shared" si="0"/>
        <v>45491.166666666672</v>
      </c>
      <c r="D48" s="535">
        <v>1020</v>
      </c>
      <c r="E48" s="535"/>
      <c r="F48" s="421">
        <f>LongTest!F46</f>
        <v>29.497749620633908</v>
      </c>
      <c r="G48" s="421">
        <f>LongTest!G46</f>
        <v>26.267749620633907</v>
      </c>
      <c r="H48" s="421"/>
      <c r="I48" s="421"/>
      <c r="J48" s="437"/>
    </row>
    <row r="49" spans="1:10" ht="24.95" customHeight="1">
      <c r="A49" s="433"/>
      <c r="B49" s="420"/>
      <c r="C49" s="422">
        <f t="shared" si="0"/>
        <v>45491.208333333336</v>
      </c>
      <c r="D49" s="535">
        <v>1080</v>
      </c>
      <c r="E49" s="535"/>
      <c r="F49" s="421">
        <f>LongTest!F47</f>
        <v>29.497749620633908</v>
      </c>
      <c r="G49" s="421">
        <f>LongTest!G47</f>
        <v>26.267749620633907</v>
      </c>
      <c r="H49" s="421"/>
      <c r="I49" s="421"/>
      <c r="J49" s="437"/>
    </row>
    <row r="50" spans="1:10" ht="24.95" customHeight="1">
      <c r="A50" s="433"/>
      <c r="B50" s="420"/>
      <c r="C50" s="422">
        <f t="shared" si="0"/>
        <v>45491.25</v>
      </c>
      <c r="D50" s="535">
        <v>1140</v>
      </c>
      <c r="E50" s="535"/>
      <c r="F50" s="421">
        <f>LongTest!F48</f>
        <v>29.497749620633908</v>
      </c>
      <c r="G50" s="421">
        <f>LongTest!G48</f>
        <v>26.267749620633907</v>
      </c>
      <c r="H50" s="421"/>
      <c r="I50" s="421"/>
      <c r="J50" s="437"/>
    </row>
    <row r="51" spans="1:10" ht="24.95" customHeight="1">
      <c r="A51" s="433"/>
      <c r="B51" s="420"/>
      <c r="C51" s="422">
        <f t="shared" si="0"/>
        <v>45491.291666666672</v>
      </c>
      <c r="D51" s="535">
        <v>1200</v>
      </c>
      <c r="E51" s="535"/>
      <c r="F51" s="421">
        <f>LongTest!F49</f>
        <v>29.497749620633908</v>
      </c>
      <c r="G51" s="421">
        <f>LongTest!G49</f>
        <v>26.267749620633907</v>
      </c>
      <c r="H51" s="421"/>
      <c r="I51" s="421"/>
      <c r="J51" s="437"/>
    </row>
    <row r="52" spans="1:10" ht="24.95" customHeight="1">
      <c r="A52" s="433"/>
      <c r="B52" s="420"/>
      <c r="C52" s="422">
        <f t="shared" si="0"/>
        <v>45491.333333333336</v>
      </c>
      <c r="D52" s="535">
        <v>1260</v>
      </c>
      <c r="E52" s="535"/>
      <c r="F52" s="421">
        <f>LongTest!F50</f>
        <v>29.497749620633908</v>
      </c>
      <c r="G52" s="421">
        <f>LongTest!G50</f>
        <v>26.267749620633907</v>
      </c>
      <c r="H52" s="421"/>
      <c r="I52" s="421"/>
      <c r="J52" s="437"/>
    </row>
    <row r="53" spans="1:10" ht="24.95" customHeight="1">
      <c r="A53" s="433"/>
      <c r="B53" s="420"/>
      <c r="C53" s="422">
        <f t="shared" si="0"/>
        <v>45491.375</v>
      </c>
      <c r="D53" s="535">
        <v>1320</v>
      </c>
      <c r="E53" s="535"/>
      <c r="F53" s="421">
        <f>LongTest!F51</f>
        <v>29.497749620633908</v>
      </c>
      <c r="G53" s="421">
        <f>LongTest!G51</f>
        <v>26.267749620633907</v>
      </c>
      <c r="H53" s="421"/>
      <c r="I53" s="421"/>
      <c r="J53" s="437"/>
    </row>
    <row r="54" spans="1:10" ht="24.95" customHeight="1">
      <c r="A54" s="433"/>
      <c r="B54" s="420"/>
      <c r="C54" s="422">
        <f t="shared" si="0"/>
        <v>45491.416666666672</v>
      </c>
      <c r="D54" s="535">
        <v>1380</v>
      </c>
      <c r="E54" s="535"/>
      <c r="F54" s="421">
        <f>LongTest!F52</f>
        <v>29.497749620633908</v>
      </c>
      <c r="G54" s="421">
        <f>LongTest!G52</f>
        <v>26.267749620633907</v>
      </c>
      <c r="H54" s="421"/>
      <c r="I54" s="421"/>
      <c r="J54" s="437"/>
    </row>
    <row r="55" spans="1:10" ht="24.95" customHeight="1">
      <c r="A55" s="433"/>
      <c r="B55" s="420"/>
      <c r="C55" s="422">
        <f t="shared" si="0"/>
        <v>45491.458333333336</v>
      </c>
      <c r="D55" s="535">
        <v>1440</v>
      </c>
      <c r="E55" s="535"/>
      <c r="F55" s="421">
        <f>LongTest!F53</f>
        <v>29.497749620633908</v>
      </c>
      <c r="G55" s="421">
        <f>LongTest!G53</f>
        <v>26.267749620633907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/>
      <c r="D56" s="509"/>
      <c r="E56" s="539"/>
      <c r="F56" s="421"/>
      <c r="G56" s="421"/>
      <c r="H56" s="421"/>
      <c r="I56" s="421"/>
      <c r="J56" s="437"/>
    </row>
    <row r="57" spans="1:10" ht="24.95" customHeight="1" thickBot="1">
      <c r="A57" s="552" t="s">
        <v>334</v>
      </c>
      <c r="B57" s="553"/>
      <c r="C57" s="553"/>
      <c r="D57" s="553"/>
      <c r="E57" s="553"/>
      <c r="F57" s="553"/>
      <c r="G57" s="553"/>
      <c r="H57" s="553"/>
      <c r="I57" s="553"/>
      <c r="J57" s="55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2DA5FF"/>
  </sheetPr>
  <dimension ref="A1:J101"/>
  <sheetViews>
    <sheetView showGridLines="0" view="pageBreakPreview" zoomScaleNormal="130" zoomScaleSheetLayoutView="100" workbookViewId="0">
      <selection activeCell="N22" sqref="N22"/>
    </sheetView>
  </sheetViews>
  <sheetFormatPr defaultRowHeight="16.5"/>
  <cols>
    <col min="2" max="2" width="9.5" bestFit="1" customWidth="1"/>
    <col min="3" max="3" width="11.375" customWidth="1"/>
    <col min="4" max="4" width="6.75" customWidth="1"/>
    <col min="5" max="5" width="7.25" customWidth="1"/>
    <col min="6" max="6" width="14" bestFit="1" customWidth="1"/>
    <col min="7" max="7" width="12.125" customWidth="1"/>
  </cols>
  <sheetData>
    <row r="1" spans="1:10" ht="45" customHeight="1" thickBot="1">
      <c r="A1" s="515" t="s">
        <v>322</v>
      </c>
      <c r="B1" s="515"/>
      <c r="C1" s="515"/>
      <c r="D1" s="515"/>
      <c r="E1" s="515"/>
      <c r="F1" s="515"/>
      <c r="G1" s="515"/>
      <c r="H1" s="515"/>
      <c r="I1" s="515"/>
      <c r="J1" s="515"/>
    </row>
    <row r="2" spans="1:10" ht="24.95" customHeight="1">
      <c r="A2" s="516" t="s">
        <v>298</v>
      </c>
      <c r="B2" s="517"/>
      <c r="C2" s="518" t="str">
        <f>LongTest!C2</f>
        <v>부여군 농업기술센터 지하수사후관리 및 영향조사 용역</v>
      </c>
      <c r="D2" s="519"/>
      <c r="E2" s="519"/>
      <c r="F2" s="519"/>
      <c r="G2" s="519"/>
      <c r="H2" s="519"/>
      <c r="I2" s="519"/>
      <c r="J2" s="520"/>
    </row>
    <row r="3" spans="1:10" ht="24.95" customHeight="1">
      <c r="A3" s="521" t="s">
        <v>299</v>
      </c>
      <c r="B3" s="522"/>
      <c r="C3" s="526" t="str">
        <f>LongTest!C4</f>
        <v>충청남도 부여군 규암면 노화리 284-1번지</v>
      </c>
      <c r="D3" s="527"/>
      <c r="E3" s="527"/>
      <c r="F3" s="527"/>
      <c r="G3" s="527"/>
      <c r="H3" s="528"/>
      <c r="I3" s="428" t="str">
        <f>Input!I54</f>
        <v>W-1</v>
      </c>
      <c r="J3" s="431" t="s">
        <v>330</v>
      </c>
    </row>
    <row r="4" spans="1:10" ht="24.95" customHeight="1">
      <c r="A4" s="521" t="s">
        <v>300</v>
      </c>
      <c r="B4" s="522"/>
      <c r="C4" s="523">
        <f>LongTest!C10</f>
        <v>45490.458333333336</v>
      </c>
      <c r="D4" s="524"/>
      <c r="E4" s="524"/>
      <c r="F4" s="524"/>
      <c r="G4" s="524"/>
      <c r="H4" s="524"/>
      <c r="I4" s="524"/>
      <c r="J4" s="525"/>
    </row>
    <row r="5" spans="1:10" ht="24.95" customHeight="1">
      <c r="A5" s="521" t="s">
        <v>301</v>
      </c>
      <c r="B5" s="522"/>
      <c r="C5" s="523">
        <f>LongTest!C77</f>
        <v>45492.458333333336</v>
      </c>
      <c r="D5" s="524"/>
      <c r="E5" s="524"/>
      <c r="F5" s="524"/>
      <c r="G5" s="524"/>
      <c r="H5" s="524"/>
      <c r="I5" s="524"/>
      <c r="J5" s="525"/>
    </row>
    <row r="6" spans="1:10" ht="24.95" customHeight="1">
      <c r="A6" s="521" t="s">
        <v>297</v>
      </c>
      <c r="B6" s="522"/>
      <c r="C6" s="532" t="str">
        <f>LongTest!C5</f>
        <v>부여지하수개발주식회사</v>
      </c>
      <c r="D6" s="533"/>
      <c r="E6" s="533"/>
      <c r="F6" s="533"/>
      <c r="G6" s="533"/>
      <c r="H6" s="533"/>
      <c r="I6" s="533"/>
      <c r="J6" s="534"/>
    </row>
    <row r="7" spans="1:10" ht="24.95" customHeight="1">
      <c r="A7" s="521" t="s">
        <v>302</v>
      </c>
      <c r="B7" s="522"/>
      <c r="C7" s="529" t="s">
        <v>336</v>
      </c>
      <c r="D7" s="522"/>
      <c r="E7" s="421">
        <f>LongTest!C6</f>
        <v>1</v>
      </c>
      <c r="F7" s="420" t="s">
        <v>303</v>
      </c>
      <c r="G7" s="420" t="s">
        <v>338</v>
      </c>
      <c r="H7" s="530">
        <f>Input!I50</f>
        <v>50</v>
      </c>
      <c r="I7" s="531"/>
      <c r="J7" s="432" t="s">
        <v>304</v>
      </c>
    </row>
    <row r="8" spans="1:10" ht="24.95" customHeight="1">
      <c r="A8" s="521" t="s">
        <v>305</v>
      </c>
      <c r="B8" s="522"/>
      <c r="C8" s="529" t="s">
        <v>337</v>
      </c>
      <c r="D8" s="522"/>
      <c r="E8" s="421">
        <f>LongTest!D7</f>
        <v>150</v>
      </c>
      <c r="F8" s="420" t="s">
        <v>306</v>
      </c>
      <c r="G8" s="420" t="s">
        <v>307</v>
      </c>
      <c r="H8" s="530">
        <f>LongTest!G7</f>
        <v>100</v>
      </c>
      <c r="I8" s="531"/>
      <c r="J8" s="432" t="s">
        <v>304</v>
      </c>
    </row>
    <row r="9" spans="1:10" ht="24.95" customHeight="1">
      <c r="A9" s="521" t="s">
        <v>308</v>
      </c>
      <c r="B9" s="522"/>
      <c r="C9" s="529" t="s">
        <v>335</v>
      </c>
      <c r="D9" s="522"/>
      <c r="E9" s="421">
        <f>LongTest!D8</f>
        <v>3.23</v>
      </c>
      <c r="F9" s="420" t="s">
        <v>304</v>
      </c>
      <c r="G9" s="420" t="s">
        <v>309</v>
      </c>
      <c r="H9" s="530">
        <f>LongTest!G8</f>
        <v>29.497749620633908</v>
      </c>
      <c r="I9" s="531"/>
      <c r="J9" s="432" t="s">
        <v>304</v>
      </c>
    </row>
    <row r="10" spans="1:10" ht="24.95" customHeight="1">
      <c r="A10" s="536" t="s">
        <v>310</v>
      </c>
      <c r="B10" s="420" t="s">
        <v>311</v>
      </c>
      <c r="C10" s="537" t="s">
        <v>190</v>
      </c>
      <c r="D10" s="538" t="s">
        <v>313</v>
      </c>
      <c r="E10" s="538"/>
      <c r="F10" s="420" t="s">
        <v>315</v>
      </c>
      <c r="G10" s="420" t="s">
        <v>317</v>
      </c>
      <c r="H10" s="543" t="s">
        <v>332</v>
      </c>
      <c r="I10" s="544"/>
      <c r="J10" s="545"/>
    </row>
    <row r="11" spans="1:10" ht="24.95" customHeight="1">
      <c r="A11" s="536"/>
      <c r="B11" s="420" t="s">
        <v>312</v>
      </c>
      <c r="C11" s="537"/>
      <c r="D11" s="538" t="s">
        <v>314</v>
      </c>
      <c r="E11" s="538"/>
      <c r="F11" s="420" t="s">
        <v>316</v>
      </c>
      <c r="G11" s="420" t="s">
        <v>316</v>
      </c>
      <c r="H11" s="530" t="s">
        <v>191</v>
      </c>
      <c r="I11" s="541"/>
      <c r="J11" s="542"/>
    </row>
    <row r="12" spans="1:10" ht="24.95" customHeight="1">
      <c r="A12" s="440"/>
      <c r="B12" s="421">
        <v>0</v>
      </c>
      <c r="C12" s="422">
        <f t="shared" ref="C12:C35" si="0">$C$4+D12/1440</f>
        <v>45490.459027777782</v>
      </c>
      <c r="D12" s="509">
        <v>1</v>
      </c>
      <c r="E12" s="539"/>
      <c r="F12" s="425">
        <f>LongTest!F10</f>
        <v>15.923591285614936</v>
      </c>
      <c r="G12" s="425">
        <f>LongTest!G10</f>
        <v>12.693591285614936</v>
      </c>
      <c r="H12" s="429"/>
      <c r="I12" s="430"/>
      <c r="J12" s="447"/>
    </row>
    <row r="13" spans="1:10" ht="24.95" customHeight="1">
      <c r="A13" s="440"/>
      <c r="B13" s="422"/>
      <c r="C13" s="422">
        <f t="shared" si="0"/>
        <v>45490.459722222222</v>
      </c>
      <c r="D13" s="509">
        <v>2</v>
      </c>
      <c r="E13" s="539"/>
      <c r="F13" s="425">
        <f>LongTest!F11</f>
        <v>17.336487261054877</v>
      </c>
      <c r="G13" s="425">
        <f>LongTest!G11</f>
        <v>14.106487261054877</v>
      </c>
      <c r="H13" s="509"/>
      <c r="I13" s="510"/>
      <c r="J13" s="511"/>
    </row>
    <row r="14" spans="1:10" ht="24.95" customHeight="1">
      <c r="A14" s="440"/>
      <c r="B14" s="422"/>
      <c r="C14" s="422">
        <f t="shared" si="0"/>
        <v>45490.460416666669</v>
      </c>
      <c r="D14" s="509">
        <v>3</v>
      </c>
      <c r="E14" s="539"/>
      <c r="F14" s="425">
        <f>LongTest!F12</f>
        <v>18.162978424107084</v>
      </c>
      <c r="G14" s="425">
        <f>LongTest!G12</f>
        <v>14.932978424107084</v>
      </c>
      <c r="H14" s="509"/>
      <c r="I14" s="510"/>
      <c r="J14" s="511"/>
    </row>
    <row r="15" spans="1:10" ht="24.95" customHeight="1">
      <c r="A15" s="440"/>
      <c r="B15" s="422"/>
      <c r="C15" s="422">
        <f t="shared" si="0"/>
        <v>45490.461111111115</v>
      </c>
      <c r="D15" s="509">
        <v>4</v>
      </c>
      <c r="E15" s="539"/>
      <c r="F15" s="425">
        <f>LongTest!F13</f>
        <v>18.749383236494818</v>
      </c>
      <c r="G15" s="425">
        <f>LongTest!G13</f>
        <v>15.519383236494818</v>
      </c>
      <c r="H15" s="509"/>
      <c r="I15" s="510"/>
      <c r="J15" s="511"/>
    </row>
    <row r="16" spans="1:10" ht="24.95" customHeight="1">
      <c r="A16" s="440"/>
      <c r="B16" s="422"/>
      <c r="C16" s="422">
        <f t="shared" si="0"/>
        <v>45490.461805555555</v>
      </c>
      <c r="D16" s="509">
        <v>5</v>
      </c>
      <c r="E16" s="539"/>
      <c r="F16" s="425">
        <f>LongTest!F14</f>
        <v>19.20423414614222</v>
      </c>
      <c r="G16" s="425">
        <f>LongTest!G14</f>
        <v>15.974234146142219</v>
      </c>
      <c r="H16" s="509"/>
      <c r="I16" s="510"/>
      <c r="J16" s="511"/>
    </row>
    <row r="17" spans="1:10" ht="24.95" customHeight="1">
      <c r="A17" s="440"/>
      <c r="B17" s="422"/>
      <c r="C17" s="422">
        <f t="shared" si="0"/>
        <v>45490.465277777781</v>
      </c>
      <c r="D17" s="509">
        <v>10</v>
      </c>
      <c r="E17" s="539"/>
      <c r="F17" s="425">
        <f>LongTest!F15</f>
        <v>20.617130121582161</v>
      </c>
      <c r="G17" s="425">
        <f>LongTest!G15</f>
        <v>17.38713012158216</v>
      </c>
      <c r="H17" s="509"/>
      <c r="I17" s="510"/>
      <c r="J17" s="511"/>
    </row>
    <row r="18" spans="1:10" ht="24.95" customHeight="1">
      <c r="A18" s="440"/>
      <c r="B18" s="422"/>
      <c r="C18" s="422">
        <f t="shared" si="0"/>
        <v>45490.46875</v>
      </c>
      <c r="D18" s="509">
        <v>15</v>
      </c>
      <c r="E18" s="539"/>
      <c r="F18" s="425">
        <f>LongTest!F16</f>
        <v>21.443621284634368</v>
      </c>
      <c r="G18" s="425">
        <f>LongTest!G16</f>
        <v>18.213621284634367</v>
      </c>
      <c r="H18" s="509"/>
      <c r="I18" s="510"/>
      <c r="J18" s="511"/>
    </row>
    <row r="19" spans="1:10" ht="24.95" customHeight="1">
      <c r="A19" s="440"/>
      <c r="B19" s="422"/>
      <c r="C19" s="422">
        <f t="shared" si="0"/>
        <v>45490.472222222226</v>
      </c>
      <c r="D19" s="509">
        <v>20</v>
      </c>
      <c r="E19" s="539"/>
      <c r="F19" s="425">
        <f>LongTest!F17</f>
        <v>22.030026097022105</v>
      </c>
      <c r="G19" s="425">
        <f>LongTest!G17</f>
        <v>18.800026097022105</v>
      </c>
      <c r="H19" s="509"/>
      <c r="I19" s="510"/>
      <c r="J19" s="511"/>
    </row>
    <row r="20" spans="1:10" ht="24.95" customHeight="1">
      <c r="A20" s="440"/>
      <c r="B20" s="422"/>
      <c r="C20" s="422">
        <f t="shared" si="0"/>
        <v>45490.475694444445</v>
      </c>
      <c r="D20" s="509">
        <v>25</v>
      </c>
      <c r="E20" s="539"/>
      <c r="F20" s="425">
        <f>LongTest!F18</f>
        <v>22.484877006669503</v>
      </c>
      <c r="G20" s="425">
        <f>LongTest!G18</f>
        <v>19.254877006669503</v>
      </c>
      <c r="H20" s="509"/>
      <c r="I20" s="510"/>
      <c r="J20" s="511"/>
    </row>
    <row r="21" spans="1:10" ht="24.95" customHeight="1">
      <c r="A21" s="440"/>
      <c r="B21" s="422"/>
      <c r="C21" s="422">
        <f t="shared" si="0"/>
        <v>45490.479166666672</v>
      </c>
      <c r="D21" s="509">
        <v>30</v>
      </c>
      <c r="E21" s="539"/>
      <c r="F21" s="425">
        <f>LongTest!F19</f>
        <v>22.856517260074309</v>
      </c>
      <c r="G21" s="425">
        <f>LongTest!G19</f>
        <v>19.626517260074309</v>
      </c>
      <c r="H21" s="509"/>
      <c r="I21" s="510"/>
      <c r="J21" s="511"/>
    </row>
    <row r="22" spans="1:10" ht="24.95" customHeight="1">
      <c r="A22" s="440"/>
      <c r="B22" s="422"/>
      <c r="C22" s="422">
        <f t="shared" si="0"/>
        <v>45490.482638888891</v>
      </c>
      <c r="D22" s="509">
        <v>35</v>
      </c>
      <c r="E22" s="539"/>
      <c r="F22" s="425">
        <f>LongTest!F20</f>
        <v>23.17073461714892</v>
      </c>
      <c r="G22" s="425">
        <f>LongTest!G20</f>
        <v>19.940734617148919</v>
      </c>
      <c r="H22" s="509"/>
      <c r="I22" s="510"/>
      <c r="J22" s="511"/>
    </row>
    <row r="23" spans="1:10" ht="24.95" customHeight="1">
      <c r="A23" s="440"/>
      <c r="B23" s="422"/>
      <c r="C23" s="422">
        <f t="shared" si="0"/>
        <v>45490.486111111117</v>
      </c>
      <c r="D23" s="509">
        <v>40</v>
      </c>
      <c r="E23" s="539"/>
      <c r="F23" s="425">
        <f>LongTest!F21</f>
        <v>23.442922072462046</v>
      </c>
      <c r="G23" s="425">
        <f>LongTest!G21</f>
        <v>20.212922072462046</v>
      </c>
      <c r="H23" s="509"/>
      <c r="I23" s="510"/>
      <c r="J23" s="511"/>
    </row>
    <row r="24" spans="1:10" ht="24.95" customHeight="1">
      <c r="A24" s="440"/>
      <c r="B24" s="422"/>
      <c r="C24" s="422">
        <f t="shared" si="0"/>
        <v>45490.489583333336</v>
      </c>
      <c r="D24" s="509">
        <v>45</v>
      </c>
      <c r="E24" s="539"/>
      <c r="F24" s="425">
        <f>LongTest!F22</f>
        <v>23.683008423126516</v>
      </c>
      <c r="G24" s="425">
        <f>LongTest!G22</f>
        <v>20.453008423126516</v>
      </c>
      <c r="H24" s="509"/>
      <c r="I24" s="510"/>
      <c r="J24" s="511"/>
    </row>
    <row r="25" spans="1:10" ht="24.95" customHeight="1">
      <c r="A25" s="440"/>
      <c r="B25" s="422"/>
      <c r="C25" s="422">
        <f t="shared" si="0"/>
        <v>45490.493055555555</v>
      </c>
      <c r="D25" s="509">
        <v>50</v>
      </c>
      <c r="E25" s="539"/>
      <c r="F25" s="425">
        <f>LongTest!F23</f>
        <v>23.897772982109448</v>
      </c>
      <c r="G25" s="425">
        <f>LongTest!G23</f>
        <v>20.667772982109447</v>
      </c>
      <c r="H25" s="509"/>
      <c r="I25" s="510"/>
      <c r="J25" s="511"/>
    </row>
    <row r="26" spans="1:10" ht="24.95" customHeight="1">
      <c r="A26" s="440"/>
      <c r="B26" s="422"/>
      <c r="C26" s="422">
        <f t="shared" si="0"/>
        <v>45490.496527777781</v>
      </c>
      <c r="D26" s="509">
        <v>55</v>
      </c>
      <c r="E26" s="539"/>
      <c r="F26" s="425">
        <f>LongTest!F24</f>
        <v>24.092051157424542</v>
      </c>
      <c r="G26" s="425">
        <f>LongTest!G24</f>
        <v>20.862051157424542</v>
      </c>
      <c r="H26" s="509"/>
      <c r="I26" s="510"/>
      <c r="J26" s="511"/>
    </row>
    <row r="27" spans="1:10" ht="24.95" customHeight="1">
      <c r="A27" s="440"/>
      <c r="B27" s="422"/>
      <c r="C27" s="422">
        <f t="shared" si="0"/>
        <v>45490.5</v>
      </c>
      <c r="D27" s="509">
        <v>60</v>
      </c>
      <c r="E27" s="539"/>
      <c r="F27" s="425">
        <f>LongTest!F25</f>
        <v>24.26941323551425</v>
      </c>
      <c r="G27" s="425">
        <f>LongTest!G25</f>
        <v>21.03941323551425</v>
      </c>
      <c r="H27" s="509"/>
      <c r="I27" s="510"/>
      <c r="J27" s="511"/>
    </row>
    <row r="28" spans="1:10" ht="24.95" customHeight="1">
      <c r="A28" s="440"/>
      <c r="B28" s="422"/>
      <c r="C28" s="422">
        <f t="shared" si="0"/>
        <v>45490.510416666672</v>
      </c>
      <c r="D28" s="509">
        <v>75</v>
      </c>
      <c r="E28" s="539"/>
      <c r="F28" s="425">
        <f>LongTest!F26</f>
        <v>24.724264145161651</v>
      </c>
      <c r="G28" s="425">
        <f>LongTest!G26</f>
        <v>21.494264145161651</v>
      </c>
      <c r="H28" s="509"/>
      <c r="I28" s="510"/>
      <c r="J28" s="511"/>
    </row>
    <row r="29" spans="1:10" ht="24.95" customHeight="1">
      <c r="A29" s="440"/>
      <c r="B29" s="422"/>
      <c r="C29" s="422">
        <f t="shared" si="0"/>
        <v>45490.520833333336</v>
      </c>
      <c r="D29" s="509">
        <v>90</v>
      </c>
      <c r="E29" s="539"/>
      <c r="F29" s="425">
        <f>LongTest!F27</f>
        <v>25.095904398566457</v>
      </c>
      <c r="G29" s="425">
        <f>LongTest!G27</f>
        <v>21.865904398566457</v>
      </c>
      <c r="H29" s="509"/>
      <c r="I29" s="510"/>
      <c r="J29" s="511"/>
    </row>
    <row r="30" spans="1:10" ht="24.95" customHeight="1">
      <c r="A30" s="440"/>
      <c r="B30" s="422"/>
      <c r="C30" s="422">
        <f t="shared" si="0"/>
        <v>45490.53125</v>
      </c>
      <c r="D30" s="509">
        <v>105</v>
      </c>
      <c r="E30" s="539"/>
      <c r="F30" s="425">
        <f>LongTest!F28</f>
        <v>25.410121755641068</v>
      </c>
      <c r="G30" s="425">
        <f>LongTest!G28</f>
        <v>22.180121755641068</v>
      </c>
      <c r="H30" s="509"/>
      <c r="I30" s="510"/>
      <c r="J30" s="511"/>
    </row>
    <row r="31" spans="1:10" ht="24.95" customHeight="1">
      <c r="A31" s="440"/>
      <c r="B31" s="422"/>
      <c r="C31" s="422">
        <f t="shared" si="0"/>
        <v>45490.541666666672</v>
      </c>
      <c r="D31" s="509">
        <v>120</v>
      </c>
      <c r="E31" s="539"/>
      <c r="F31" s="425">
        <f>LongTest!F29</f>
        <v>25.682309210954191</v>
      </c>
      <c r="G31" s="425">
        <f>LongTest!G29</f>
        <v>22.452309210954191</v>
      </c>
      <c r="H31" s="509"/>
      <c r="I31" s="510"/>
      <c r="J31" s="511"/>
    </row>
    <row r="32" spans="1:10" ht="24.95" customHeight="1">
      <c r="A32" s="440"/>
      <c r="B32" s="422"/>
      <c r="C32" s="422">
        <f t="shared" si="0"/>
        <v>45490.583333333336</v>
      </c>
      <c r="D32" s="509">
        <v>180</v>
      </c>
      <c r="E32" s="539"/>
      <c r="F32" s="425">
        <f>LongTest!F30</f>
        <v>25.996526568028802</v>
      </c>
      <c r="G32" s="425">
        <f>LongTest!G30</f>
        <v>22.766526568028802</v>
      </c>
      <c r="H32" s="509"/>
      <c r="I32" s="510"/>
      <c r="J32" s="511"/>
    </row>
    <row r="33" spans="1:10" ht="24.95" customHeight="1">
      <c r="A33" s="440"/>
      <c r="B33" s="422"/>
      <c r="C33" s="422">
        <f t="shared" si="0"/>
        <v>45490.625</v>
      </c>
      <c r="D33" s="509">
        <v>240</v>
      </c>
      <c r="E33" s="539"/>
      <c r="F33" s="425">
        <f>LongTest!F31</f>
        <v>26.268714023341929</v>
      </c>
      <c r="G33" s="425">
        <f>LongTest!G31</f>
        <v>23.038714023341928</v>
      </c>
      <c r="H33" s="509"/>
      <c r="I33" s="510"/>
      <c r="J33" s="511"/>
    </row>
    <row r="34" spans="1:10" ht="24.95" customHeight="1">
      <c r="A34" s="440"/>
      <c r="B34" s="422"/>
      <c r="C34" s="422">
        <f t="shared" si="0"/>
        <v>45490.666666666672</v>
      </c>
      <c r="D34" s="509">
        <v>300</v>
      </c>
      <c r="E34" s="539"/>
      <c r="F34" s="425">
        <f>LongTest!F32</f>
        <v>26.508800374006395</v>
      </c>
      <c r="G34" s="425">
        <f>LongTest!G32</f>
        <v>23.278800374006394</v>
      </c>
      <c r="H34" s="509"/>
      <c r="I34" s="510"/>
      <c r="J34" s="511"/>
    </row>
    <row r="35" spans="1:10" ht="24.95" customHeight="1" thickBot="1">
      <c r="A35" s="441"/>
      <c r="B35" s="442"/>
      <c r="C35" s="442">
        <f t="shared" si="0"/>
        <v>45490.708333333336</v>
      </c>
      <c r="D35" s="512">
        <v>360</v>
      </c>
      <c r="E35" s="540"/>
      <c r="F35" s="443">
        <f>LongTest!F33</f>
        <v>27.095205186394129</v>
      </c>
      <c r="G35" s="443">
        <f>LongTest!G33</f>
        <v>23.865205186394128</v>
      </c>
      <c r="H35" s="512" t="s">
        <v>333</v>
      </c>
      <c r="I35" s="513"/>
      <c r="J35" s="51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3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1:J11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10:J1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FFFF00"/>
  </sheetPr>
  <dimension ref="A1:J101"/>
  <sheetViews>
    <sheetView showGridLines="0" view="pageBreakPreview" zoomScaleNormal="130" zoomScaleSheetLayoutView="100" workbookViewId="0">
      <selection activeCell="P26" sqref="P26"/>
    </sheetView>
  </sheetViews>
  <sheetFormatPr defaultRowHeight="16.5"/>
  <cols>
    <col min="2" max="2" width="9.5" bestFit="1" customWidth="1"/>
    <col min="3" max="3" width="11.375" customWidth="1"/>
    <col min="4" max="4" width="6.75" customWidth="1"/>
    <col min="5" max="5" width="7.25" customWidth="1"/>
    <col min="6" max="6" width="14" bestFit="1" customWidth="1"/>
    <col min="7" max="7" width="12.125" customWidth="1"/>
  </cols>
  <sheetData>
    <row r="1" spans="1:10" ht="45" customHeight="1" thickBot="1">
      <c r="A1" s="515" t="s">
        <v>322</v>
      </c>
      <c r="B1" s="515"/>
      <c r="C1" s="515"/>
      <c r="D1" s="515"/>
      <c r="E1" s="515"/>
      <c r="F1" s="515"/>
      <c r="G1" s="515"/>
      <c r="H1" s="515"/>
      <c r="I1" s="515"/>
      <c r="J1" s="515"/>
    </row>
    <row r="2" spans="1:10" ht="24.95" customHeight="1">
      <c r="A2" s="516" t="s">
        <v>298</v>
      </c>
      <c r="B2" s="517"/>
      <c r="C2" s="518" t="str">
        <f>LongTest!C2</f>
        <v>부여군 농업기술센터 지하수사후관리 및 영향조사 용역</v>
      </c>
      <c r="D2" s="519"/>
      <c r="E2" s="519"/>
      <c r="F2" s="519"/>
      <c r="G2" s="519"/>
      <c r="H2" s="519"/>
      <c r="I2" s="519"/>
      <c r="J2" s="520"/>
    </row>
    <row r="3" spans="1:10" ht="24.95" customHeight="1">
      <c r="A3" s="521" t="s">
        <v>299</v>
      </c>
      <c r="B3" s="522"/>
      <c r="C3" s="526" t="str">
        <f>LongTest!C4</f>
        <v>충청남도 부여군 규암면 노화리 284-1번지</v>
      </c>
      <c r="D3" s="527"/>
      <c r="E3" s="527"/>
      <c r="F3" s="527"/>
      <c r="G3" s="527"/>
      <c r="H3" s="528"/>
      <c r="I3" s="428" t="str">
        <f>Input!I54</f>
        <v>W-1</v>
      </c>
      <c r="J3" s="431" t="s">
        <v>330</v>
      </c>
    </row>
    <row r="4" spans="1:10" ht="24.95" customHeight="1">
      <c r="A4" s="521" t="s">
        <v>300</v>
      </c>
      <c r="B4" s="522"/>
      <c r="C4" s="523">
        <f>LongTest!C10</f>
        <v>45490.458333333336</v>
      </c>
      <c r="D4" s="524"/>
      <c r="E4" s="524"/>
      <c r="F4" s="524"/>
      <c r="G4" s="524"/>
      <c r="H4" s="524"/>
      <c r="I4" s="524"/>
      <c r="J4" s="525"/>
    </row>
    <row r="5" spans="1:10" ht="24.95" customHeight="1">
      <c r="A5" s="521" t="s">
        <v>301</v>
      </c>
      <c r="B5" s="522"/>
      <c r="C5" s="523">
        <f>LongTest!C77</f>
        <v>45492.458333333336</v>
      </c>
      <c r="D5" s="524"/>
      <c r="E5" s="524"/>
      <c r="F5" s="524"/>
      <c r="G5" s="524"/>
      <c r="H5" s="524"/>
      <c r="I5" s="524"/>
      <c r="J5" s="525"/>
    </row>
    <row r="6" spans="1:10" ht="24.95" customHeight="1">
      <c r="A6" s="521" t="s">
        <v>297</v>
      </c>
      <c r="B6" s="522"/>
      <c r="C6" s="532" t="str">
        <f>LongTest!C5</f>
        <v>부여지하수개발주식회사</v>
      </c>
      <c r="D6" s="533"/>
      <c r="E6" s="533"/>
      <c r="F6" s="533"/>
      <c r="G6" s="533"/>
      <c r="H6" s="533"/>
      <c r="I6" s="533"/>
      <c r="J6" s="534"/>
    </row>
    <row r="7" spans="1:10" ht="24.95" customHeight="1">
      <c r="A7" s="521" t="s">
        <v>302</v>
      </c>
      <c r="B7" s="522"/>
      <c r="C7" s="529" t="s">
        <v>336</v>
      </c>
      <c r="D7" s="522"/>
      <c r="E7" s="421">
        <f>LongTest!C6</f>
        <v>1</v>
      </c>
      <c r="F7" s="420" t="s">
        <v>303</v>
      </c>
      <c r="G7" s="420" t="s">
        <v>338</v>
      </c>
      <c r="H7" s="530">
        <f>Input!I50</f>
        <v>50</v>
      </c>
      <c r="I7" s="531"/>
      <c r="J7" s="432" t="s">
        <v>304</v>
      </c>
    </row>
    <row r="8" spans="1:10" ht="24.95" customHeight="1">
      <c r="A8" s="521" t="s">
        <v>305</v>
      </c>
      <c r="B8" s="522"/>
      <c r="C8" s="529" t="s">
        <v>337</v>
      </c>
      <c r="D8" s="522"/>
      <c r="E8" s="421">
        <f>LongTest!D7</f>
        <v>150</v>
      </c>
      <c r="F8" s="420" t="s">
        <v>306</v>
      </c>
      <c r="G8" s="420" t="s">
        <v>307</v>
      </c>
      <c r="H8" s="530">
        <f>LongTest!G7</f>
        <v>100</v>
      </c>
      <c r="I8" s="531"/>
      <c r="J8" s="432" t="s">
        <v>304</v>
      </c>
    </row>
    <row r="9" spans="1:10" ht="24.95" customHeight="1">
      <c r="A9" s="521" t="s">
        <v>308</v>
      </c>
      <c r="B9" s="522"/>
      <c r="C9" s="529" t="s">
        <v>335</v>
      </c>
      <c r="D9" s="522"/>
      <c r="E9" s="421">
        <f>LongTest!D8</f>
        <v>3.23</v>
      </c>
      <c r="F9" s="420" t="s">
        <v>304</v>
      </c>
      <c r="G9" s="420" t="s">
        <v>309</v>
      </c>
      <c r="H9" s="530">
        <f>LongTest!G8</f>
        <v>29.497749620633908</v>
      </c>
      <c r="I9" s="531"/>
      <c r="J9" s="432" t="s">
        <v>304</v>
      </c>
    </row>
    <row r="10" spans="1:10" ht="24.95" customHeight="1">
      <c r="A10" s="536" t="s">
        <v>310</v>
      </c>
      <c r="B10" s="420" t="s">
        <v>311</v>
      </c>
      <c r="C10" s="537" t="s">
        <v>190</v>
      </c>
      <c r="D10" s="538" t="s">
        <v>313</v>
      </c>
      <c r="E10" s="538"/>
      <c r="F10" s="420" t="s">
        <v>315</v>
      </c>
      <c r="G10" s="420" t="s">
        <v>317</v>
      </c>
      <c r="H10" s="543" t="s">
        <v>332</v>
      </c>
      <c r="I10" s="544"/>
      <c r="J10" s="545"/>
    </row>
    <row r="11" spans="1:10" ht="24.95" customHeight="1">
      <c r="A11" s="536"/>
      <c r="B11" s="420" t="s">
        <v>312</v>
      </c>
      <c r="C11" s="537"/>
      <c r="D11" s="538" t="s">
        <v>314</v>
      </c>
      <c r="E11" s="538"/>
      <c r="F11" s="420" t="s">
        <v>316</v>
      </c>
      <c r="G11" s="420" t="s">
        <v>316</v>
      </c>
      <c r="H11" s="530" t="s">
        <v>191</v>
      </c>
      <c r="I11" s="541"/>
      <c r="J11" s="542"/>
    </row>
    <row r="12" spans="1:10" ht="24.95" customHeight="1">
      <c r="A12" s="440"/>
      <c r="B12" s="421">
        <v>0</v>
      </c>
      <c r="C12" s="422">
        <f t="shared" ref="C12:C31" si="0">$C$4+D12/1440</f>
        <v>45490.459027777782</v>
      </c>
      <c r="D12" s="509">
        <v>1</v>
      </c>
      <c r="E12" s="539"/>
      <c r="F12" s="425">
        <f>LongTest!F10</f>
        <v>15.923591285614936</v>
      </c>
      <c r="G12" s="425">
        <f>LongTest!G10</f>
        <v>12.693591285614936</v>
      </c>
      <c r="H12" s="429"/>
      <c r="I12" s="430"/>
      <c r="J12" s="447"/>
    </row>
    <row r="13" spans="1:10" ht="24.95" customHeight="1">
      <c r="A13" s="440"/>
      <c r="B13" s="422"/>
      <c r="C13" s="422">
        <f t="shared" si="0"/>
        <v>45490.459722222222</v>
      </c>
      <c r="D13" s="509">
        <v>2</v>
      </c>
      <c r="E13" s="539"/>
      <c r="F13" s="425">
        <f>LongTest!F11</f>
        <v>17.336487261054877</v>
      </c>
      <c r="G13" s="425">
        <f>LongTest!G11</f>
        <v>14.106487261054877</v>
      </c>
      <c r="H13" s="509"/>
      <c r="I13" s="510"/>
      <c r="J13" s="511"/>
    </row>
    <row r="14" spans="1:10" ht="24.95" customHeight="1">
      <c r="A14" s="440"/>
      <c r="B14" s="422"/>
      <c r="C14" s="422">
        <f t="shared" si="0"/>
        <v>45490.460416666669</v>
      </c>
      <c r="D14" s="509">
        <v>3</v>
      </c>
      <c r="E14" s="539"/>
      <c r="F14" s="425">
        <f>LongTest!F12</f>
        <v>18.162978424107084</v>
      </c>
      <c r="G14" s="425">
        <f>LongTest!G12</f>
        <v>14.932978424107084</v>
      </c>
      <c r="H14" s="509"/>
      <c r="I14" s="510"/>
      <c r="J14" s="511"/>
    </row>
    <row r="15" spans="1:10" ht="24.95" customHeight="1">
      <c r="A15" s="440"/>
      <c r="B15" s="422"/>
      <c r="C15" s="422">
        <f t="shared" si="0"/>
        <v>45490.461111111115</v>
      </c>
      <c r="D15" s="509">
        <v>4</v>
      </c>
      <c r="E15" s="539"/>
      <c r="F15" s="425">
        <f>LongTest!F13</f>
        <v>18.749383236494818</v>
      </c>
      <c r="G15" s="425">
        <f>LongTest!G13</f>
        <v>15.519383236494818</v>
      </c>
      <c r="H15" s="509"/>
      <c r="I15" s="510"/>
      <c r="J15" s="511"/>
    </row>
    <row r="16" spans="1:10" ht="24.95" customHeight="1">
      <c r="A16" s="440"/>
      <c r="B16" s="422"/>
      <c r="C16" s="422">
        <f t="shared" si="0"/>
        <v>45490.461805555555</v>
      </c>
      <c r="D16" s="509">
        <v>5</v>
      </c>
      <c r="E16" s="539"/>
      <c r="F16" s="425">
        <f>LongTest!F14</f>
        <v>19.20423414614222</v>
      </c>
      <c r="G16" s="425">
        <f>LongTest!G14</f>
        <v>15.974234146142219</v>
      </c>
      <c r="H16" s="509"/>
      <c r="I16" s="510"/>
      <c r="J16" s="511"/>
    </row>
    <row r="17" spans="1:10" ht="24.95" customHeight="1">
      <c r="A17" s="440"/>
      <c r="B17" s="422"/>
      <c r="C17" s="422">
        <f t="shared" si="0"/>
        <v>45490.465277777781</v>
      </c>
      <c r="D17" s="509">
        <v>10</v>
      </c>
      <c r="E17" s="539"/>
      <c r="F17" s="425">
        <f>LongTest!F15</f>
        <v>20.617130121582161</v>
      </c>
      <c r="G17" s="425">
        <f>LongTest!G15</f>
        <v>17.38713012158216</v>
      </c>
      <c r="H17" s="509"/>
      <c r="I17" s="510"/>
      <c r="J17" s="511"/>
    </row>
    <row r="18" spans="1:10" ht="24.95" customHeight="1">
      <c r="A18" s="440"/>
      <c r="B18" s="422"/>
      <c r="C18" s="422">
        <f t="shared" si="0"/>
        <v>45490.46875</v>
      </c>
      <c r="D18" s="509">
        <v>15</v>
      </c>
      <c r="E18" s="539"/>
      <c r="F18" s="425">
        <f>LongTest!F16</f>
        <v>21.443621284634368</v>
      </c>
      <c r="G18" s="425">
        <f>LongTest!G16</f>
        <v>18.213621284634367</v>
      </c>
      <c r="H18" s="509"/>
      <c r="I18" s="510"/>
      <c r="J18" s="511"/>
    </row>
    <row r="19" spans="1:10" ht="24.95" customHeight="1">
      <c r="A19" s="440"/>
      <c r="B19" s="422"/>
      <c r="C19" s="422">
        <f t="shared" si="0"/>
        <v>45490.472222222226</v>
      </c>
      <c r="D19" s="509">
        <v>20</v>
      </c>
      <c r="E19" s="539"/>
      <c r="F19" s="425">
        <f>LongTest!F17</f>
        <v>22.030026097022105</v>
      </c>
      <c r="G19" s="425">
        <f>LongTest!G17</f>
        <v>18.800026097022105</v>
      </c>
      <c r="H19" s="509"/>
      <c r="I19" s="510"/>
      <c r="J19" s="511"/>
    </row>
    <row r="20" spans="1:10" ht="24.95" customHeight="1">
      <c r="A20" s="440"/>
      <c r="B20" s="422"/>
      <c r="C20" s="422">
        <f t="shared" si="0"/>
        <v>45490.475694444445</v>
      </c>
      <c r="D20" s="509">
        <v>25</v>
      </c>
      <c r="E20" s="539"/>
      <c r="F20" s="425">
        <f>LongTest!F18</f>
        <v>22.484877006669503</v>
      </c>
      <c r="G20" s="425">
        <f>LongTest!G18</f>
        <v>19.254877006669503</v>
      </c>
      <c r="H20" s="509"/>
      <c r="I20" s="510"/>
      <c r="J20" s="511"/>
    </row>
    <row r="21" spans="1:10" ht="24.95" customHeight="1">
      <c r="A21" s="440"/>
      <c r="B21" s="422"/>
      <c r="C21" s="422">
        <f t="shared" si="0"/>
        <v>45490.479166666672</v>
      </c>
      <c r="D21" s="509">
        <v>30</v>
      </c>
      <c r="E21" s="539"/>
      <c r="F21" s="425">
        <f>LongTest!F19</f>
        <v>22.856517260074309</v>
      </c>
      <c r="G21" s="425">
        <f>LongTest!G19</f>
        <v>19.626517260074309</v>
      </c>
      <c r="H21" s="509"/>
      <c r="I21" s="510"/>
      <c r="J21" s="511"/>
    </row>
    <row r="22" spans="1:10" ht="24.95" customHeight="1">
      <c r="A22" s="440"/>
      <c r="B22" s="422"/>
      <c r="C22" s="422">
        <f t="shared" si="0"/>
        <v>45490.482638888891</v>
      </c>
      <c r="D22" s="509">
        <v>35</v>
      </c>
      <c r="E22" s="539"/>
      <c r="F22" s="425">
        <f>LongTest!F20</f>
        <v>23.17073461714892</v>
      </c>
      <c r="G22" s="425">
        <f>LongTest!G20</f>
        <v>19.940734617148919</v>
      </c>
      <c r="H22" s="509"/>
      <c r="I22" s="510"/>
      <c r="J22" s="511"/>
    </row>
    <row r="23" spans="1:10" ht="24.95" customHeight="1">
      <c r="A23" s="440"/>
      <c r="B23" s="422"/>
      <c r="C23" s="422">
        <f t="shared" si="0"/>
        <v>45490.486111111117</v>
      </c>
      <c r="D23" s="509">
        <v>40</v>
      </c>
      <c r="E23" s="539"/>
      <c r="F23" s="425">
        <f>LongTest!F21</f>
        <v>23.442922072462046</v>
      </c>
      <c r="G23" s="425">
        <f>LongTest!G21</f>
        <v>20.212922072462046</v>
      </c>
      <c r="H23" s="509"/>
      <c r="I23" s="510"/>
      <c r="J23" s="511"/>
    </row>
    <row r="24" spans="1:10" ht="24.95" customHeight="1">
      <c r="A24" s="440"/>
      <c r="B24" s="422"/>
      <c r="C24" s="422">
        <f t="shared" si="0"/>
        <v>45490.489583333336</v>
      </c>
      <c r="D24" s="509">
        <v>45</v>
      </c>
      <c r="E24" s="539"/>
      <c r="F24" s="425">
        <f>LongTest!F22</f>
        <v>23.683008423126516</v>
      </c>
      <c r="G24" s="425">
        <f>LongTest!G22</f>
        <v>20.453008423126516</v>
      </c>
      <c r="H24" s="509"/>
      <c r="I24" s="510"/>
      <c r="J24" s="511"/>
    </row>
    <row r="25" spans="1:10" ht="24.95" customHeight="1">
      <c r="A25" s="440"/>
      <c r="B25" s="422"/>
      <c r="C25" s="422">
        <f t="shared" si="0"/>
        <v>45490.493055555555</v>
      </c>
      <c r="D25" s="509">
        <v>50</v>
      </c>
      <c r="E25" s="539"/>
      <c r="F25" s="425">
        <f>LongTest!F23</f>
        <v>23.897772982109448</v>
      </c>
      <c r="G25" s="425">
        <f>LongTest!G23</f>
        <v>20.667772982109447</v>
      </c>
      <c r="H25" s="509"/>
      <c r="I25" s="510"/>
      <c r="J25" s="511"/>
    </row>
    <row r="26" spans="1:10" ht="24.95" customHeight="1">
      <c r="A26" s="440"/>
      <c r="B26" s="422"/>
      <c r="C26" s="422">
        <f t="shared" si="0"/>
        <v>45490.496527777781</v>
      </c>
      <c r="D26" s="509">
        <v>55</v>
      </c>
      <c r="E26" s="539"/>
      <c r="F26" s="425">
        <f>LongTest!F24</f>
        <v>24.092051157424542</v>
      </c>
      <c r="G26" s="425">
        <f>LongTest!G24</f>
        <v>20.862051157424542</v>
      </c>
      <c r="H26" s="509"/>
      <c r="I26" s="510"/>
      <c r="J26" s="511"/>
    </row>
    <row r="27" spans="1:10" ht="24.95" customHeight="1">
      <c r="A27" s="440"/>
      <c r="B27" s="422"/>
      <c r="C27" s="422">
        <f t="shared" si="0"/>
        <v>45490.5</v>
      </c>
      <c r="D27" s="509">
        <v>60</v>
      </c>
      <c r="E27" s="539"/>
      <c r="F27" s="425">
        <f>LongTest!F25</f>
        <v>24.26941323551425</v>
      </c>
      <c r="G27" s="425">
        <f>LongTest!G25</f>
        <v>21.03941323551425</v>
      </c>
      <c r="H27" s="509"/>
      <c r="I27" s="510"/>
      <c r="J27" s="511"/>
    </row>
    <row r="28" spans="1:10" ht="24.95" customHeight="1">
      <c r="A28" s="440"/>
      <c r="B28" s="422"/>
      <c r="C28" s="422">
        <f t="shared" si="0"/>
        <v>45490.510416666672</v>
      </c>
      <c r="D28" s="509">
        <v>75</v>
      </c>
      <c r="E28" s="539"/>
      <c r="F28" s="425">
        <f>LongTest!F26</f>
        <v>24.724264145161651</v>
      </c>
      <c r="G28" s="425">
        <f>LongTest!G26</f>
        <v>21.494264145161651</v>
      </c>
      <c r="H28" s="509"/>
      <c r="I28" s="510"/>
      <c r="J28" s="511"/>
    </row>
    <row r="29" spans="1:10" ht="24.95" customHeight="1">
      <c r="A29" s="440"/>
      <c r="B29" s="422"/>
      <c r="C29" s="422">
        <f t="shared" si="0"/>
        <v>45490.520833333336</v>
      </c>
      <c r="D29" s="509">
        <v>90</v>
      </c>
      <c r="E29" s="539"/>
      <c r="F29" s="425">
        <f>LongTest!F27</f>
        <v>25.095904398566457</v>
      </c>
      <c r="G29" s="425">
        <f>LongTest!G27</f>
        <v>21.865904398566457</v>
      </c>
      <c r="H29" s="509"/>
      <c r="I29" s="510"/>
      <c r="J29" s="511"/>
    </row>
    <row r="30" spans="1:10" ht="24.95" customHeight="1">
      <c r="A30" s="440"/>
      <c r="B30" s="422"/>
      <c r="C30" s="422">
        <f t="shared" si="0"/>
        <v>45490.53125</v>
      </c>
      <c r="D30" s="509">
        <v>105</v>
      </c>
      <c r="E30" s="539"/>
      <c r="F30" s="425">
        <f>LongTest!F28</f>
        <v>25.410121755641068</v>
      </c>
      <c r="G30" s="425">
        <f>LongTest!G28</f>
        <v>22.180121755641068</v>
      </c>
      <c r="H30" s="509"/>
      <c r="I30" s="510"/>
      <c r="J30" s="511"/>
    </row>
    <row r="31" spans="1:10" ht="24.95" customHeight="1">
      <c r="A31" s="440"/>
      <c r="B31" s="422"/>
      <c r="C31" s="422">
        <f t="shared" si="0"/>
        <v>45490.541666666672</v>
      </c>
      <c r="D31" s="509">
        <v>120</v>
      </c>
      <c r="E31" s="539"/>
      <c r="F31" s="425">
        <f>LongTest!F29</f>
        <v>25.682309210954191</v>
      </c>
      <c r="G31" s="425">
        <f>LongTest!G29</f>
        <v>22.452309210954191</v>
      </c>
      <c r="H31" s="509" t="s">
        <v>339</v>
      </c>
      <c r="I31" s="510"/>
      <c r="J31" s="511"/>
    </row>
    <row r="32" spans="1:10" ht="24.95" customHeight="1">
      <c r="A32" s="440"/>
      <c r="B32" s="422"/>
      <c r="C32" s="422"/>
      <c r="D32" s="509"/>
      <c r="E32" s="539"/>
      <c r="F32" s="425"/>
      <c r="G32" s="425"/>
      <c r="H32" s="509"/>
      <c r="I32" s="510"/>
      <c r="J32" s="511"/>
    </row>
    <row r="33" spans="1:10" ht="24.95" customHeight="1">
      <c r="A33" s="440"/>
      <c r="B33" s="422"/>
      <c r="C33" s="422"/>
      <c r="D33" s="509"/>
      <c r="E33" s="539"/>
      <c r="F33" s="425"/>
      <c r="G33" s="425"/>
      <c r="H33" s="509"/>
      <c r="I33" s="510"/>
      <c r="J33" s="511"/>
    </row>
    <row r="34" spans="1:10" ht="24.95" customHeight="1">
      <c r="A34" s="440"/>
      <c r="B34" s="422"/>
      <c r="C34" s="422"/>
      <c r="D34" s="509"/>
      <c r="E34" s="539"/>
      <c r="F34" s="425"/>
      <c r="G34" s="425"/>
      <c r="H34" s="509"/>
      <c r="I34" s="510"/>
      <c r="J34" s="511"/>
    </row>
    <row r="35" spans="1:10" ht="24.95" customHeight="1" thickBot="1">
      <c r="A35" s="441"/>
      <c r="B35" s="442"/>
      <c r="C35" s="442"/>
      <c r="D35" s="512"/>
      <c r="E35" s="540"/>
      <c r="F35" s="443"/>
      <c r="G35" s="443"/>
      <c r="H35" s="512"/>
      <c r="I35" s="513"/>
      <c r="J35" s="51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3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H10:J10"/>
    <mergeCell ref="D11:E11"/>
    <mergeCell ref="H11:J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J27" sqref="J2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559" t="s">
        <v>207</v>
      </c>
      <c r="C12" s="560"/>
      <c r="D12" s="559" t="str">
        <f>C4</f>
        <v>W-1</v>
      </c>
      <c r="E12" s="561"/>
      <c r="F12" s="560"/>
      <c r="H12" s="559" t="str">
        <f>C4</f>
        <v>W-1</v>
      </c>
      <c r="I12" s="561"/>
      <c r="J12" s="560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15.4</v>
      </c>
      <c r="E14" s="408">
        <f>$C$8+I14</f>
        <v>192</v>
      </c>
      <c r="F14" s="409">
        <f>$C$9+J14</f>
        <v>6.71</v>
      </c>
      <c r="H14" s="401">
        <v>0.3</v>
      </c>
      <c r="I14" s="404">
        <v>-1</v>
      </c>
      <c r="J14" s="402">
        <v>-0.09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14.799999999999999</v>
      </c>
      <c r="E15" s="412">
        <f t="shared" ref="E15:E20" si="2">$C$8+I15</f>
        <v>195</v>
      </c>
      <c r="F15" s="413">
        <f t="shared" ref="F15:F20" si="3">$C$9+J15</f>
        <v>6.72</v>
      </c>
      <c r="H15" s="401">
        <v>-0.3</v>
      </c>
      <c r="I15" s="404">
        <v>2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</v>
      </c>
      <c r="E16" s="412">
        <f t="shared" si="2"/>
        <v>190</v>
      </c>
      <c r="F16" s="413">
        <f t="shared" si="3"/>
        <v>6.93</v>
      </c>
      <c r="H16" s="401">
        <v>-0.1</v>
      </c>
      <c r="I16" s="404">
        <v>-3</v>
      </c>
      <c r="J16" s="402">
        <v>0.13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14.9</v>
      </c>
      <c r="E17" s="412">
        <f t="shared" si="2"/>
        <v>191</v>
      </c>
      <c r="F17" s="413">
        <f t="shared" si="3"/>
        <v>6.87</v>
      </c>
      <c r="H17" s="401">
        <v>-0.2</v>
      </c>
      <c r="I17" s="404">
        <v>-2</v>
      </c>
      <c r="J17" s="402">
        <v>7.0000000000000007E-2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15.4</v>
      </c>
      <c r="E18" s="412">
        <f t="shared" si="2"/>
        <v>196</v>
      </c>
      <c r="F18" s="413">
        <f t="shared" si="3"/>
        <v>6.68</v>
      </c>
      <c r="H18" s="401">
        <v>0.3</v>
      </c>
      <c r="I18" s="404">
        <v>3</v>
      </c>
      <c r="J18" s="402">
        <v>-0.12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14.799999999999999</v>
      </c>
      <c r="E19" s="412">
        <f t="shared" si="2"/>
        <v>190</v>
      </c>
      <c r="F19" s="413">
        <f t="shared" si="3"/>
        <v>6.72</v>
      </c>
      <c r="H19" s="401">
        <v>-0.3</v>
      </c>
      <c r="I19" s="404">
        <v>-3</v>
      </c>
      <c r="J19" s="402">
        <v>-0.08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14.799999999999999</v>
      </c>
      <c r="E20" s="412">
        <f t="shared" si="2"/>
        <v>196</v>
      </c>
      <c r="F20" s="413">
        <f t="shared" si="3"/>
        <v>6.89</v>
      </c>
      <c r="H20" s="401">
        <v>-0.3</v>
      </c>
      <c r="I20" s="404">
        <v>3</v>
      </c>
      <c r="J20" s="402">
        <v>0.09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14.799999999999999</v>
      </c>
      <c r="E21" s="412">
        <f>$E$20</f>
        <v>196</v>
      </c>
      <c r="F21" s="413">
        <f>$F$20</f>
        <v>6.89</v>
      </c>
      <c r="H21" s="401">
        <v>-0.3</v>
      </c>
      <c r="I21" s="404">
        <v>1</v>
      </c>
      <c r="J21" s="402">
        <v>-0.09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14.799999999999999</v>
      </c>
      <c r="E22" s="412">
        <f t="shared" ref="E22:E23" si="5">$E$20</f>
        <v>196</v>
      </c>
      <c r="F22" s="413">
        <f t="shared" ref="F22:F23" si="6">$F$20</f>
        <v>6.89</v>
      </c>
      <c r="H22" s="401">
        <v>0.1</v>
      </c>
      <c r="I22" s="404">
        <v>-2</v>
      </c>
      <c r="J22" s="402">
        <v>-0.11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14.799999999999999</v>
      </c>
      <c r="E23" s="412">
        <f t="shared" si="5"/>
        <v>196</v>
      </c>
      <c r="F23" s="413">
        <f t="shared" si="6"/>
        <v>6.89</v>
      </c>
      <c r="H23" s="414">
        <v>-0.1</v>
      </c>
      <c r="I23" s="415">
        <v>-2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562" t="s">
        <v>79</v>
      </c>
      <c r="C24" s="563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562" t="s">
        <v>212</v>
      </c>
      <c r="C25" s="563"/>
      <c r="D25" s="403">
        <f>MIN(D14:D23)</f>
        <v>14.799999999999999</v>
      </c>
      <c r="E25" s="404">
        <f t="shared" ref="E25:F25" si="8">MIN(E14:E23)</f>
        <v>190</v>
      </c>
      <c r="F25" s="402">
        <f t="shared" si="8"/>
        <v>6.68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57" t="s">
        <v>213</v>
      </c>
      <c r="C26" s="558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장기14</vt:lpstr>
      <vt:lpstr>회복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2024-07-24T05:14:15Z</cp:lastPrinted>
  <dcterms:created xsi:type="dcterms:W3CDTF">2022-01-08T04:40:11Z</dcterms:created>
  <dcterms:modified xsi:type="dcterms:W3CDTF">2024-07-24T05:22:26Z</dcterms:modified>
</cp:coreProperties>
</file>