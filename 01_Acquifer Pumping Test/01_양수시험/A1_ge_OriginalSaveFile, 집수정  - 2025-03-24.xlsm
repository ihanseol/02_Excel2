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1511F5BD-F347-4E25-8961-B4370C43244C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<sst xmlns="http://schemas.openxmlformats.org/spreadsheetml/2006/main" count="1419" uniqueCount="348">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</sst>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4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1" sqref="S21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488" t="s">
        <v>5</v>
      </c>
      <c r="F8" s="488"/>
      <c r="G8" s="48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7" t="s">
        <v>7</v>
      </c>
      <c r="G9" s="487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487" t="s">
        <v>8</v>
      </c>
      <c r="G10" s="487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487" t="s">
        <v>9</v>
      </c>
      <c r="G11" s="487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487" t="s">
        <v>10</v>
      </c>
      <c r="G12" s="487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488" t="s">
        <v>11</v>
      </c>
      <c r="F13" s="488"/>
      <c r="G13" s="48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487" t="s">
        <v>7</v>
      </c>
      <c r="G14" s="487"/>
    </row>
    <row r="15" spans="1:19" s="6" customFormat="1">
      <c r="A15" s="330"/>
      <c r="B15" s="330"/>
      <c r="C15" s="330"/>
      <c r="D15" s="330"/>
      <c r="E15" s="332">
        <v>1</v>
      </c>
      <c r="F15" s="487" t="s">
        <v>8</v>
      </c>
      <c r="G15" s="487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7" t="s">
        <v>9</v>
      </c>
      <c r="G16" s="487"/>
      <c r="Q16" s="509" t="s">
        <v>339</v>
      </c>
      <c r="R16" s="510"/>
      <c r="S16" s="511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487" t="s">
        <v>10</v>
      </c>
      <c r="G17" s="487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489" t="s">
        <v>14</v>
      </c>
      <c r="B26" s="489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489" t="s">
        <v>15</v>
      </c>
      <c r="B27" s="489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90" t="s">
        <v>341</v>
      </c>
      <c r="J44" s="491"/>
      <c r="K44" s="492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4" t="s">
        <v>342</v>
      </c>
      <c r="J45" s="495"/>
      <c r="K45" s="496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493" t="s">
        <v>36</v>
      </c>
      <c r="D46" s="493"/>
      <c r="E46" s="330"/>
      <c r="F46" s="330"/>
      <c r="G46" s="330"/>
      <c r="H46" s="371" t="s">
        <v>37</v>
      </c>
      <c r="I46" s="490" t="s">
        <v>340</v>
      </c>
      <c r="J46" s="491"/>
      <c r="K46" s="492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493" t="s">
        <v>40</v>
      </c>
      <c r="D47" s="493"/>
      <c r="E47" s="330"/>
      <c r="F47" s="330"/>
      <c r="G47" s="330"/>
      <c r="H47" s="371" t="s">
        <v>41</v>
      </c>
      <c r="I47" s="497" t="s">
        <v>336</v>
      </c>
      <c r="J47" s="498"/>
      <c r="K47" s="499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3" t="s">
        <v>291</v>
      </c>
      <c r="K48" s="523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4">
        <f>LongTest!C10</f>
        <v>45722.444444444445</v>
      </c>
      <c r="J49" s="524"/>
      <c r="K49" s="524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8"/>
      <c r="K50" s="529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5"/>
      <c r="J51" s="526"/>
      <c r="K51" s="527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8" t="s">
        <v>241</v>
      </c>
      <c r="J53" s="508"/>
      <c r="K53" s="508"/>
      <c r="L53" s="508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18" t="s">
        <v>62</v>
      </c>
      <c r="E57" s="519"/>
      <c r="F57" s="518" t="s">
        <v>61</v>
      </c>
      <c r="G57" s="519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518" t="s">
        <v>66</v>
      </c>
      <c r="M57" s="520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21">
        <f>SkinFactor!E10</f>
        <v>5.1830000000000001E-2</v>
      </c>
      <c r="E58" s="522"/>
      <c r="F58" s="512"/>
      <c r="G58" s="513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0">
        <f>B59</f>
        <v>7.4550000000000001</v>
      </c>
      <c r="D59" s="502">
        <f>SkinFactor!I16</f>
        <v>1.7809999999999999E-4</v>
      </c>
      <c r="E59" s="503"/>
      <c r="F59" s="504">
        <f>INT((D59+D60)/1*10000000)/10000000</f>
        <v>1.7809999999999999E-4</v>
      </c>
      <c r="G59" s="505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1"/>
      <c r="D60" s="502"/>
      <c r="E60" s="503"/>
      <c r="F60" s="506"/>
      <c r="G60" s="507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512"/>
      <c r="E61" s="513"/>
      <c r="F61" s="512"/>
      <c r="G61" s="513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514"/>
      <c r="E62" s="515"/>
      <c r="F62" s="516">
        <f>F59</f>
        <v>1.7809999999999999E-4</v>
      </c>
      <c r="G62" s="517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L18" sqref="L18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61" t="s">
        <v>314</v>
      </c>
      <c r="B1" s="561"/>
      <c r="C1" s="561"/>
      <c r="D1" s="561"/>
      <c r="E1" s="561"/>
      <c r="F1" s="561"/>
      <c r="G1" s="561"/>
      <c r="H1" s="561"/>
      <c r="I1" s="561"/>
      <c r="J1" s="561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C103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50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50"/>
      <c r="F80" s="286">
        <f>LongTest!F78</f>
        <v>19.473948130984031</v>
      </c>
      <c r="G80" s="286">
        <f>LongTest!G78</f>
        <v>9.2339481309840306</v>
      </c>
      <c r="H80" s="551" t="s">
        <v>191</v>
      </c>
      <c r="I80" s="552"/>
      <c r="J80" s="553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50"/>
      <c r="F81" s="286">
        <f>LongTest!F79</f>
        <v>18.784981464046744</v>
      </c>
      <c r="G81" s="286">
        <f>LongTest!G79</f>
        <v>8.5449814640467441</v>
      </c>
      <c r="H81" s="549"/>
      <c r="I81" s="554"/>
      <c r="J81" s="555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50"/>
      <c r="F82" s="286">
        <f>LongTest!F80</f>
        <v>18.147420226446659</v>
      </c>
      <c r="G82" s="286">
        <f>LongTest!G80</f>
        <v>7.9074202264466589</v>
      </c>
      <c r="H82" s="549"/>
      <c r="I82" s="554"/>
      <c r="J82" s="555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50"/>
      <c r="F83" s="286">
        <f>LongTest!F81</f>
        <v>17.557428937757575</v>
      </c>
      <c r="G83" s="286">
        <f>LongTest!G81</f>
        <v>7.3174289377575734</v>
      </c>
      <c r="H83" s="549"/>
      <c r="I83" s="554"/>
      <c r="J83" s="555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50"/>
      <c r="F84" s="286">
        <f>LongTest!F82</f>
        <v>17.011458291801603</v>
      </c>
      <c r="G84" s="286">
        <f>LongTest!G82</f>
        <v>6.7714582918016006</v>
      </c>
      <c r="H84" s="549"/>
      <c r="I84" s="554"/>
      <c r="J84" s="555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50"/>
      <c r="F85" s="286">
        <f>LongTest!F83</f>
        <v>15.606032400483841</v>
      </c>
      <c r="G85" s="286">
        <f>LongTest!G83</f>
        <v>5.3660324004838404</v>
      </c>
      <c r="H85" s="549"/>
      <c r="I85" s="554"/>
      <c r="J85" s="555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50"/>
      <c r="F86" s="286">
        <f>LongTest!F84</f>
        <v>15.335683202369154</v>
      </c>
      <c r="G86" s="286">
        <f>LongTest!G84</f>
        <v>5.0956832023691545</v>
      </c>
      <c r="H86" s="549"/>
      <c r="I86" s="554"/>
      <c r="J86" s="555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50"/>
      <c r="F87" s="286">
        <f>LongTest!F85</f>
        <v>14.603648988537731</v>
      </c>
      <c r="G87" s="286">
        <f>LongTest!G85</f>
        <v>4.3636489885377312</v>
      </c>
      <c r="H87" s="549"/>
      <c r="I87" s="554"/>
      <c r="J87" s="555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50"/>
      <c r="F88" s="286">
        <f>LongTest!F86</f>
        <v>14.278066837038606</v>
      </c>
      <c r="G88" s="286">
        <f>LongTest!G86</f>
        <v>4.0380668370386061</v>
      </c>
      <c r="H88" s="549"/>
      <c r="I88" s="554"/>
      <c r="J88" s="555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50"/>
      <c r="F89" s="286">
        <f>LongTest!F87</f>
        <v>13.976777138404788</v>
      </c>
      <c r="G89" s="286">
        <f>LongTest!G87</f>
        <v>3.736777138404789</v>
      </c>
      <c r="H89" s="549"/>
      <c r="I89" s="554"/>
      <c r="J89" s="555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50"/>
      <c r="F90" s="286">
        <f>LongTest!F88</f>
        <v>13.881428291206625</v>
      </c>
      <c r="G90" s="286">
        <f>LongTest!G88</f>
        <v>3.6414282912066249</v>
      </c>
      <c r="H90" s="549"/>
      <c r="I90" s="554"/>
      <c r="J90" s="555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50"/>
      <c r="F91" s="286">
        <f>LongTest!F89</f>
        <v>13.788512396878083</v>
      </c>
      <c r="G91" s="286">
        <f>LongTest!G89</f>
        <v>3.548512396878083</v>
      </c>
      <c r="H91" s="549"/>
      <c r="I91" s="554"/>
      <c r="J91" s="555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50"/>
      <c r="F92" s="286">
        <f>LongTest!F90</f>
        <v>13.697967375385268</v>
      </c>
      <c r="G92" s="286">
        <f>LongTest!G90</f>
        <v>3.4579673753852687</v>
      </c>
      <c r="H92" s="549"/>
      <c r="I92" s="554"/>
      <c r="J92" s="555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50"/>
      <c r="F93" s="286">
        <f>LongTest!F91</f>
        <v>13.609732730749062</v>
      </c>
      <c r="G93" s="286">
        <f>LongTest!G91</f>
        <v>3.3697327307490625</v>
      </c>
      <c r="H93" s="549"/>
      <c r="I93" s="554"/>
      <c r="J93" s="555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50"/>
      <c r="F94" s="286">
        <f>LongTest!F92</f>
        <v>13.523749510625851</v>
      </c>
      <c r="G94" s="286">
        <f>LongTest!G92</f>
        <v>3.2837495106258512</v>
      </c>
      <c r="H94" s="549"/>
      <c r="I94" s="554"/>
      <c r="J94" s="555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50"/>
      <c r="F95" s="286">
        <f>LongTest!F93</f>
        <v>13.439960266919609</v>
      </c>
      <c r="G95" s="286">
        <f>LongTest!G93</f>
        <v>3.1999602669196099</v>
      </c>
      <c r="H95" s="549"/>
      <c r="I95" s="554"/>
      <c r="J95" s="555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50"/>
      <c r="F96" s="286">
        <f>LongTest!F94</f>
        <v>13.358309017399023</v>
      </c>
      <c r="G96" s="286">
        <f>LongTest!G94</f>
        <v>3.1183090173990231</v>
      </c>
      <c r="H96" s="549"/>
      <c r="I96" s="554"/>
      <c r="J96" s="555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50"/>
      <c r="F97" s="286">
        <f>LongTest!F95</f>
        <v>13.278741208293992</v>
      </c>
      <c r="G97" s="286">
        <f>LongTest!G95</f>
        <v>3.0387412082939922</v>
      </c>
      <c r="H97" s="549"/>
      <c r="I97" s="554"/>
      <c r="J97" s="555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50"/>
      <c r="F98" s="286">
        <f>LongTest!F96</f>
        <v>13.201203677846545</v>
      </c>
      <c r="G98" s="286">
        <f>LongTest!G96</f>
        <v>2.9612036778465445</v>
      </c>
      <c r="H98" s="549"/>
      <c r="I98" s="554"/>
      <c r="J98" s="555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50"/>
      <c r="F99" s="286">
        <f>LongTest!F97</f>
        <v>12.980261281473028</v>
      </c>
      <c r="G99" s="286">
        <f>LongTest!G97</f>
        <v>2.7402612814730278</v>
      </c>
      <c r="H99" s="549"/>
      <c r="I99" s="554"/>
      <c r="J99" s="555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50"/>
      <c r="F100" s="286">
        <f>LongTest!F98</f>
        <v>12.910339864023509</v>
      </c>
      <c r="G100" s="286">
        <f>LongTest!G98</f>
        <v>2.6703398640235099</v>
      </c>
      <c r="H100" s="549"/>
      <c r="I100" s="554"/>
      <c r="J100" s="555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50"/>
      <c r="F101" s="286">
        <f>LongTest!F99</f>
        <v>12.526724936369781</v>
      </c>
      <c r="G101" s="286">
        <f>LongTest!G99</f>
        <v>2.2867249363697812</v>
      </c>
      <c r="H101" s="549"/>
      <c r="I101" s="554"/>
      <c r="J101" s="555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50"/>
      <c r="F102" s="286">
        <f>LongTest!F100</f>
        <v>12.198219253311249</v>
      </c>
      <c r="G102" s="286">
        <f>LongTest!G100</f>
        <v>1.9582192533112495</v>
      </c>
      <c r="H102" s="549"/>
      <c r="I102" s="554"/>
      <c r="J102" s="555"/>
    </row>
    <row r="103" spans="1:10" ht="24.95" customHeight="1" thickBot="1">
      <c r="A103" s="312"/>
      <c r="B103" s="313"/>
      <c r="C103" s="313">
        <f t="shared" si="6"/>
        <v>45724.694444444445</v>
      </c>
      <c r="D103" s="556">
        <v>360</v>
      </c>
      <c r="E103" s="557"/>
      <c r="F103" s="314">
        <f>LongTest!F101</f>
        <v>11.916905946600821</v>
      </c>
      <c r="G103" s="314">
        <f>LongTest!G101</f>
        <v>1.6769059466008196</v>
      </c>
      <c r="H103" s="556" t="s">
        <v>321</v>
      </c>
      <c r="I103" s="578"/>
      <c r="J103" s="57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C77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50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50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50"/>
      <c r="F58" s="286">
        <f>LongTest!F78</f>
        <v>19.473948130984031</v>
      </c>
      <c r="G58" s="286">
        <f>LongTest!G78</f>
        <v>9.2339481309840306</v>
      </c>
      <c r="H58" s="551" t="s">
        <v>191</v>
      </c>
      <c r="I58" s="552"/>
      <c r="J58" s="553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50"/>
      <c r="F59" s="286">
        <f>LongTest!F79</f>
        <v>18.784981464046744</v>
      </c>
      <c r="G59" s="286">
        <f>LongTest!G79</f>
        <v>8.5449814640467441</v>
      </c>
      <c r="H59" s="549"/>
      <c r="I59" s="554"/>
      <c r="J59" s="555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50"/>
      <c r="F60" s="286">
        <f>LongTest!F80</f>
        <v>18.147420226446659</v>
      </c>
      <c r="G60" s="286">
        <f>LongTest!G80</f>
        <v>7.9074202264466589</v>
      </c>
      <c r="H60" s="549"/>
      <c r="I60" s="554"/>
      <c r="J60" s="555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50"/>
      <c r="F61" s="286">
        <f>LongTest!F81</f>
        <v>17.557428937757575</v>
      </c>
      <c r="G61" s="286">
        <f>LongTest!G81</f>
        <v>7.3174289377575734</v>
      </c>
      <c r="H61" s="549"/>
      <c r="I61" s="554"/>
      <c r="J61" s="555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50"/>
      <c r="F62" s="286">
        <f>LongTest!F82</f>
        <v>17.011458291801603</v>
      </c>
      <c r="G62" s="286">
        <f>LongTest!G82</f>
        <v>6.7714582918016006</v>
      </c>
      <c r="H62" s="549"/>
      <c r="I62" s="554"/>
      <c r="J62" s="555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50"/>
      <c r="F63" s="286">
        <f>LongTest!F83</f>
        <v>15.606032400483841</v>
      </c>
      <c r="G63" s="286">
        <f>LongTest!G83</f>
        <v>5.3660324004838404</v>
      </c>
      <c r="H63" s="549"/>
      <c r="I63" s="554"/>
      <c r="J63" s="555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50"/>
      <c r="F64" s="286">
        <f>LongTest!F84</f>
        <v>15.335683202369154</v>
      </c>
      <c r="G64" s="286">
        <f>LongTest!G84</f>
        <v>5.0956832023691545</v>
      </c>
      <c r="H64" s="549"/>
      <c r="I64" s="554"/>
      <c r="J64" s="555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50"/>
      <c r="F65" s="286">
        <f>LongTest!F85</f>
        <v>14.603648988537731</v>
      </c>
      <c r="G65" s="286">
        <f>LongTest!G85</f>
        <v>4.3636489885377312</v>
      </c>
      <c r="H65" s="549"/>
      <c r="I65" s="554"/>
      <c r="J65" s="555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50"/>
      <c r="F66" s="286">
        <f>LongTest!F86</f>
        <v>14.278066837038606</v>
      </c>
      <c r="G66" s="286">
        <f>LongTest!G86</f>
        <v>4.0380668370386061</v>
      </c>
      <c r="H66" s="549"/>
      <c r="I66" s="554"/>
      <c r="J66" s="555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50"/>
      <c r="F67" s="286">
        <f>LongTest!F87</f>
        <v>13.976777138404788</v>
      </c>
      <c r="G67" s="286">
        <f>LongTest!G87</f>
        <v>3.736777138404789</v>
      </c>
      <c r="H67" s="549"/>
      <c r="I67" s="554"/>
      <c r="J67" s="555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50"/>
      <c r="F68" s="286">
        <f>LongTest!F88</f>
        <v>13.881428291206625</v>
      </c>
      <c r="G68" s="286">
        <f>LongTest!G88</f>
        <v>3.6414282912066249</v>
      </c>
      <c r="H68" s="549"/>
      <c r="I68" s="554"/>
      <c r="J68" s="555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50"/>
      <c r="F69" s="286">
        <f>LongTest!F89</f>
        <v>13.788512396878083</v>
      </c>
      <c r="G69" s="286">
        <f>LongTest!G89</f>
        <v>3.548512396878083</v>
      </c>
      <c r="H69" s="549"/>
      <c r="I69" s="554"/>
      <c r="J69" s="555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50"/>
      <c r="F70" s="286">
        <f>LongTest!F90</f>
        <v>13.697967375385268</v>
      </c>
      <c r="G70" s="286">
        <f>LongTest!G90</f>
        <v>3.4579673753852687</v>
      </c>
      <c r="H70" s="549"/>
      <c r="I70" s="554"/>
      <c r="J70" s="555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50"/>
      <c r="F71" s="286">
        <f>LongTest!F91</f>
        <v>13.609732730749062</v>
      </c>
      <c r="G71" s="286">
        <f>LongTest!G91</f>
        <v>3.3697327307490625</v>
      </c>
      <c r="H71" s="549"/>
      <c r="I71" s="554"/>
      <c r="J71" s="555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50"/>
      <c r="F72" s="286">
        <f>LongTest!F92</f>
        <v>13.523749510625851</v>
      </c>
      <c r="G72" s="286">
        <f>LongTest!G92</f>
        <v>3.2837495106258512</v>
      </c>
      <c r="H72" s="549"/>
      <c r="I72" s="554"/>
      <c r="J72" s="555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50"/>
      <c r="F73" s="286">
        <f>LongTest!F93</f>
        <v>13.439960266919609</v>
      </c>
      <c r="G73" s="286">
        <f>LongTest!G93</f>
        <v>3.1999602669196099</v>
      </c>
      <c r="H73" s="549"/>
      <c r="I73" s="554"/>
      <c r="J73" s="555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50"/>
      <c r="F74" s="286">
        <f>LongTest!F94</f>
        <v>13.358309017399023</v>
      </c>
      <c r="G74" s="286">
        <f>LongTest!G94</f>
        <v>3.1183090173990231</v>
      </c>
      <c r="H74" s="549"/>
      <c r="I74" s="554"/>
      <c r="J74" s="555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50"/>
      <c r="F75" s="286">
        <f>LongTest!F95</f>
        <v>13.278741208293992</v>
      </c>
      <c r="G75" s="286">
        <f>LongTest!G95</f>
        <v>3.0387412082939922</v>
      </c>
      <c r="H75" s="549"/>
      <c r="I75" s="554"/>
      <c r="J75" s="555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50"/>
      <c r="F76" s="286">
        <f>LongTest!F96</f>
        <v>13.201203677846545</v>
      </c>
      <c r="G76" s="286">
        <f>LongTest!G96</f>
        <v>2.9612036778465445</v>
      </c>
      <c r="H76" s="549"/>
      <c r="I76" s="554"/>
      <c r="J76" s="555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50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4"/>
      <c r="J77" s="555"/>
    </row>
    <row r="78" spans="1:10" ht="24.95" customHeight="1">
      <c r="A78" s="308"/>
      <c r="B78" s="285"/>
      <c r="C78" s="285"/>
      <c r="D78" s="549"/>
      <c r="E78" s="550"/>
      <c r="F78" s="286"/>
      <c r="G78" s="286"/>
      <c r="H78" s="549"/>
      <c r="I78" s="554"/>
      <c r="J78" s="555"/>
    </row>
    <row r="79" spans="1:10" ht="24.95" customHeight="1">
      <c r="A79" s="308"/>
      <c r="B79" s="285"/>
      <c r="C79" s="285"/>
      <c r="D79" s="549"/>
      <c r="E79" s="550"/>
      <c r="F79" s="286"/>
      <c r="G79" s="286"/>
      <c r="H79" s="549"/>
      <c r="I79" s="554"/>
      <c r="J79" s="555"/>
    </row>
    <row r="80" spans="1:10" ht="24.95" customHeight="1">
      <c r="A80" s="308"/>
      <c r="B80" s="285"/>
      <c r="C80" s="285"/>
      <c r="D80" s="549"/>
      <c r="E80" s="550"/>
      <c r="F80" s="286"/>
      <c r="G80" s="286"/>
      <c r="H80" s="549"/>
      <c r="I80" s="554"/>
      <c r="J80" s="555"/>
    </row>
    <row r="81" spans="1:10" ht="24.95" customHeight="1" thickBot="1">
      <c r="A81" s="312"/>
      <c r="B81" s="313"/>
      <c r="C81" s="313"/>
      <c r="D81" s="556"/>
      <c r="E81" s="557"/>
      <c r="F81" s="314"/>
      <c r="G81" s="314"/>
      <c r="H81" s="556"/>
      <c r="I81" s="578"/>
      <c r="J81" s="57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1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1" ht="24.95" customHeight="1">
      <c r="A4" s="567" t="s">
        <v>295</v>
      </c>
      <c r="B4" s="568"/>
      <c r="C4" s="569">
        <f>StepTest!C12</f>
        <v>45491.468055555553</v>
      </c>
      <c r="D4" s="570"/>
      <c r="E4" s="570"/>
      <c r="F4" s="570"/>
      <c r="G4" s="570"/>
      <c r="H4" s="570"/>
      <c r="I4" s="570"/>
      <c r="J4" s="571"/>
    </row>
    <row r="5" spans="1:11" ht="24.95" customHeight="1">
      <c r="A5" s="567" t="s">
        <v>296</v>
      </c>
      <c r="B5" s="568"/>
      <c r="C5" s="569">
        <f>StepTest!C51</f>
        <v>45491.884722222218</v>
      </c>
      <c r="D5" s="570"/>
      <c r="E5" s="570"/>
      <c r="F5" s="570"/>
      <c r="G5" s="570"/>
      <c r="H5" s="570"/>
      <c r="I5" s="570"/>
      <c r="J5" s="571"/>
    </row>
    <row r="6" spans="1:11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1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549"/>
      <c r="H7" s="554"/>
      <c r="I7" s="554"/>
      <c r="J7" s="555"/>
    </row>
    <row r="8" spans="1:11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326</v>
      </c>
      <c r="H8" s="551">
        <f>LongTest!G7</f>
        <v>500</v>
      </c>
      <c r="I8" s="568"/>
      <c r="J8" s="282" t="s">
        <v>299</v>
      </c>
    </row>
    <row r="9" spans="1:11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319</v>
      </c>
      <c r="H9" s="551">
        <f>Input!M51</f>
        <v>120</v>
      </c>
      <c r="I9" s="568"/>
      <c r="J9" s="282" t="s">
        <v>307</v>
      </c>
    </row>
    <row r="10" spans="1:11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58">
        <v>1</v>
      </c>
      <c r="E12" s="558"/>
      <c r="F12" s="286">
        <f>StepTest!F12</f>
        <v>11.24</v>
      </c>
      <c r="G12" s="286">
        <f>StepTest!G12</f>
        <v>1</v>
      </c>
      <c r="H12" s="585"/>
      <c r="I12" s="586"/>
      <c r="J12" s="587"/>
    </row>
    <row r="13" spans="1:11" ht="24.95" customHeight="1">
      <c r="A13" s="283"/>
      <c r="B13" s="281"/>
      <c r="C13" s="285">
        <f t="shared" si="0"/>
        <v>45491.469444444439</v>
      </c>
      <c r="D13" s="558">
        <v>2</v>
      </c>
      <c r="E13" s="558"/>
      <c r="F13" s="286">
        <f>StepTest!F13</f>
        <v>11.89</v>
      </c>
      <c r="G13" s="286">
        <f>StepTest!G13</f>
        <v>1.65</v>
      </c>
      <c r="H13" s="585"/>
      <c r="I13" s="586"/>
      <c r="J13" s="587"/>
    </row>
    <row r="14" spans="1:11" ht="24.95" customHeight="1">
      <c r="A14" s="283"/>
      <c r="B14" s="281"/>
      <c r="C14" s="285">
        <f t="shared" si="0"/>
        <v>45491.470138888886</v>
      </c>
      <c r="D14" s="558">
        <v>3</v>
      </c>
      <c r="E14" s="558"/>
      <c r="F14" s="286">
        <f>StepTest!F14</f>
        <v>12.280000000000001</v>
      </c>
      <c r="G14" s="286">
        <f>StepTest!G14</f>
        <v>2.04</v>
      </c>
      <c r="H14" s="585"/>
      <c r="I14" s="586"/>
      <c r="J14" s="587"/>
    </row>
    <row r="15" spans="1:11" ht="24.95" customHeight="1">
      <c r="A15" s="283"/>
      <c r="B15" s="281"/>
      <c r="C15" s="285">
        <f t="shared" si="0"/>
        <v>45491.470833333333</v>
      </c>
      <c r="D15" s="558">
        <v>4</v>
      </c>
      <c r="E15" s="558"/>
      <c r="F15" s="286">
        <f>StepTest!F15</f>
        <v>12.55</v>
      </c>
      <c r="G15" s="286">
        <f>StepTest!G15</f>
        <v>2.31</v>
      </c>
      <c r="H15" s="585"/>
      <c r="I15" s="586"/>
      <c r="J15" s="587"/>
    </row>
    <row r="16" spans="1:11" ht="24.95" customHeight="1">
      <c r="A16" s="283"/>
      <c r="B16" s="281"/>
      <c r="C16" s="285">
        <f t="shared" si="0"/>
        <v>45491.471527777772</v>
      </c>
      <c r="D16" s="558">
        <v>5</v>
      </c>
      <c r="E16" s="558"/>
      <c r="F16" s="286">
        <f>StepTest!F16</f>
        <v>12.77</v>
      </c>
      <c r="G16" s="286">
        <f>StepTest!G16</f>
        <v>2.5299999999999998</v>
      </c>
      <c r="H16" s="549"/>
      <c r="I16" s="554"/>
      <c r="J16" s="555"/>
    </row>
    <row r="17" spans="1:10" ht="24.95" customHeight="1">
      <c r="A17" s="283"/>
      <c r="B17" s="281"/>
      <c r="C17" s="285">
        <f t="shared" si="0"/>
        <v>45491.474999999999</v>
      </c>
      <c r="D17" s="558">
        <v>10</v>
      </c>
      <c r="E17" s="558"/>
      <c r="F17" s="286">
        <f>StepTest!F17</f>
        <v>13.42</v>
      </c>
      <c r="G17" s="286">
        <f>StepTest!G17</f>
        <v>3.18</v>
      </c>
      <c r="H17" s="549"/>
      <c r="I17" s="554"/>
      <c r="J17" s="555"/>
    </row>
    <row r="18" spans="1:10" ht="24.95" customHeight="1">
      <c r="A18" s="283"/>
      <c r="B18" s="281"/>
      <c r="C18" s="285">
        <f t="shared" si="0"/>
        <v>45491.478472222218</v>
      </c>
      <c r="D18" s="558">
        <v>15</v>
      </c>
      <c r="E18" s="558"/>
      <c r="F18" s="286">
        <f>StepTest!F18</f>
        <v>13.81</v>
      </c>
      <c r="G18" s="286">
        <f>StepTest!G18</f>
        <v>3.57</v>
      </c>
      <c r="H18" s="549"/>
      <c r="I18" s="554"/>
      <c r="J18" s="555"/>
    </row>
    <row r="19" spans="1:10" ht="24.95" customHeight="1">
      <c r="A19" s="283"/>
      <c r="B19" s="281"/>
      <c r="C19" s="285">
        <f t="shared" si="0"/>
        <v>45491.481944444444</v>
      </c>
      <c r="D19" s="558">
        <v>20</v>
      </c>
      <c r="E19" s="558"/>
      <c r="F19" s="286">
        <f>StepTest!F19</f>
        <v>14.08</v>
      </c>
      <c r="G19" s="286">
        <f>StepTest!G19</f>
        <v>3.84</v>
      </c>
      <c r="H19" s="549"/>
      <c r="I19" s="554"/>
      <c r="J19" s="555"/>
    </row>
    <row r="20" spans="1:10" ht="24.95" customHeight="1">
      <c r="A20" s="283"/>
      <c r="B20" s="281"/>
      <c r="C20" s="285">
        <f t="shared" si="0"/>
        <v>45491.485416666663</v>
      </c>
      <c r="D20" s="558">
        <v>25</v>
      </c>
      <c r="E20" s="558"/>
      <c r="F20" s="286">
        <f>StepTest!F20</f>
        <v>14.29</v>
      </c>
      <c r="G20" s="286">
        <f>StepTest!G20</f>
        <v>4.05</v>
      </c>
      <c r="H20" s="549"/>
      <c r="I20" s="554"/>
      <c r="J20" s="555"/>
    </row>
    <row r="21" spans="1:10" ht="24.95" customHeight="1">
      <c r="A21" s="283"/>
      <c r="B21" s="281"/>
      <c r="C21" s="285">
        <f t="shared" si="0"/>
        <v>45491.488888888889</v>
      </c>
      <c r="D21" s="558">
        <v>30</v>
      </c>
      <c r="E21" s="558"/>
      <c r="F21" s="286">
        <f>StepTest!F21</f>
        <v>14.47</v>
      </c>
      <c r="G21" s="286">
        <f>StepTest!G21</f>
        <v>4.2300000000000004</v>
      </c>
      <c r="H21" s="549"/>
      <c r="I21" s="554"/>
      <c r="J21" s="555"/>
    </row>
    <row r="22" spans="1:10" ht="24.95" customHeight="1">
      <c r="A22" s="283"/>
      <c r="B22" s="281"/>
      <c r="C22" s="285">
        <f t="shared" si="0"/>
        <v>45491.492361111108</v>
      </c>
      <c r="D22" s="558">
        <v>35</v>
      </c>
      <c r="E22" s="558"/>
      <c r="F22" s="286">
        <f>StepTest!F22</f>
        <v>14.61</v>
      </c>
      <c r="G22" s="286">
        <f>StepTest!G22</f>
        <v>4.37</v>
      </c>
      <c r="H22" s="549"/>
      <c r="I22" s="554"/>
      <c r="J22" s="555"/>
    </row>
    <row r="23" spans="1:10" ht="24.95" customHeight="1">
      <c r="A23" s="283"/>
      <c r="B23" s="281"/>
      <c r="C23" s="285">
        <f t="shared" si="0"/>
        <v>45491.495833333334</v>
      </c>
      <c r="D23" s="558">
        <v>40</v>
      </c>
      <c r="E23" s="558"/>
      <c r="F23" s="286">
        <f>StepTest!F23</f>
        <v>14.74</v>
      </c>
      <c r="G23" s="286">
        <f>StepTest!G23</f>
        <v>4.5</v>
      </c>
      <c r="H23" s="549"/>
      <c r="I23" s="554"/>
      <c r="J23" s="555"/>
    </row>
    <row r="24" spans="1:10" ht="24.95" customHeight="1">
      <c r="A24" s="283"/>
      <c r="B24" s="281"/>
      <c r="C24" s="285">
        <f t="shared" si="0"/>
        <v>45491.499305555553</v>
      </c>
      <c r="D24" s="558">
        <v>45</v>
      </c>
      <c r="E24" s="558"/>
      <c r="F24" s="286">
        <f>StepTest!F24</f>
        <v>14.850000000000001</v>
      </c>
      <c r="G24" s="286">
        <f>StepTest!G24</f>
        <v>4.6100000000000003</v>
      </c>
      <c r="H24" s="549"/>
      <c r="I24" s="554"/>
      <c r="J24" s="555"/>
    </row>
    <row r="25" spans="1:10" ht="24.95" customHeight="1">
      <c r="A25" s="283"/>
      <c r="B25" s="281"/>
      <c r="C25" s="285">
        <f t="shared" si="0"/>
        <v>45491.502777777772</v>
      </c>
      <c r="D25" s="558">
        <v>50</v>
      </c>
      <c r="E25" s="558"/>
      <c r="F25" s="286">
        <f>StepTest!F25</f>
        <v>14.95</v>
      </c>
      <c r="G25" s="286">
        <f>StepTest!G25</f>
        <v>4.71</v>
      </c>
      <c r="H25" s="549"/>
      <c r="I25" s="554"/>
      <c r="J25" s="555"/>
    </row>
    <row r="26" spans="1:10" ht="24.95" customHeight="1">
      <c r="A26" s="283"/>
      <c r="B26" s="281"/>
      <c r="C26" s="285">
        <f t="shared" si="0"/>
        <v>45491.506249999999</v>
      </c>
      <c r="D26" s="558">
        <v>55</v>
      </c>
      <c r="E26" s="558"/>
      <c r="F26" s="286">
        <f>StepTest!F26</f>
        <v>15.04</v>
      </c>
      <c r="G26" s="286">
        <f>StepTest!G26</f>
        <v>4.8</v>
      </c>
      <c r="H26" s="549"/>
      <c r="I26" s="554"/>
      <c r="J26" s="555"/>
    </row>
    <row r="27" spans="1:10" ht="24.95" customHeight="1">
      <c r="A27" s="283"/>
      <c r="B27" s="281"/>
      <c r="C27" s="285">
        <f t="shared" si="0"/>
        <v>45491.509722222218</v>
      </c>
      <c r="D27" s="558">
        <v>60</v>
      </c>
      <c r="E27" s="558"/>
      <c r="F27" s="286">
        <f>StepTest!F27</f>
        <v>15.129999999999999</v>
      </c>
      <c r="G27" s="286">
        <f>StepTest!G27</f>
        <v>4.8899999999999997</v>
      </c>
      <c r="H27" s="549"/>
      <c r="I27" s="554"/>
      <c r="J27" s="555"/>
    </row>
    <row r="28" spans="1:10" ht="24.95" customHeight="1">
      <c r="A28" s="283"/>
      <c r="B28" s="281"/>
      <c r="C28" s="285">
        <f t="shared" si="0"/>
        <v>45491.520138888889</v>
      </c>
      <c r="D28" s="558">
        <v>75</v>
      </c>
      <c r="E28" s="558"/>
      <c r="F28" s="286">
        <f>StepTest!F28</f>
        <v>15.34</v>
      </c>
      <c r="G28" s="286">
        <f>StepTest!G28</f>
        <v>5.0999999999999996</v>
      </c>
      <c r="H28" s="549"/>
      <c r="I28" s="554"/>
      <c r="J28" s="555"/>
    </row>
    <row r="29" spans="1:10" ht="24.95" customHeight="1">
      <c r="A29" s="283"/>
      <c r="B29" s="281"/>
      <c r="C29" s="285">
        <f t="shared" si="0"/>
        <v>45491.530555555553</v>
      </c>
      <c r="D29" s="558">
        <v>90</v>
      </c>
      <c r="E29" s="558"/>
      <c r="F29" s="286">
        <f>StepTest!F29</f>
        <v>15.51</v>
      </c>
      <c r="G29" s="286">
        <f>StepTest!G29</f>
        <v>5.27</v>
      </c>
      <c r="H29" s="549"/>
      <c r="I29" s="554"/>
      <c r="J29" s="555"/>
    </row>
    <row r="30" spans="1:10" ht="24.95" customHeight="1">
      <c r="A30" s="283"/>
      <c r="B30" s="281"/>
      <c r="C30" s="285">
        <f t="shared" si="0"/>
        <v>45491.540972222218</v>
      </c>
      <c r="D30" s="558">
        <v>105</v>
      </c>
      <c r="E30" s="558"/>
      <c r="F30" s="286">
        <f>StepTest!F30</f>
        <v>15.66</v>
      </c>
      <c r="G30" s="286">
        <f>StepTest!G30</f>
        <v>5.42</v>
      </c>
      <c r="H30" s="549"/>
      <c r="I30" s="554"/>
      <c r="J30" s="555"/>
    </row>
    <row r="31" spans="1:10" ht="24.95" customHeight="1">
      <c r="A31" s="283"/>
      <c r="B31" s="281"/>
      <c r="C31" s="285">
        <f t="shared" si="0"/>
        <v>45491.551388888889</v>
      </c>
      <c r="D31" s="558">
        <v>120</v>
      </c>
      <c r="E31" s="558"/>
      <c r="F31" s="286">
        <f>StepTest!F31</f>
        <v>15.79</v>
      </c>
      <c r="G31" s="286">
        <f>StepTest!G31</f>
        <v>5.55</v>
      </c>
      <c r="H31" s="549"/>
      <c r="I31" s="554"/>
      <c r="J31" s="555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58">
        <v>130</v>
      </c>
      <c r="E32" s="558"/>
      <c r="F32" s="286">
        <f>StepTest!F32</f>
        <v>16.899999999999999</v>
      </c>
      <c r="G32" s="286">
        <f>StepTest!G32</f>
        <v>6.66</v>
      </c>
      <c r="H32" s="549"/>
      <c r="I32" s="554"/>
      <c r="J32" s="555"/>
    </row>
    <row r="33" spans="1:10" ht="24.95" customHeight="1">
      <c r="A33" s="287"/>
      <c r="B33" s="284"/>
      <c r="C33" s="285">
        <f t="shared" si="0"/>
        <v>45491.565277777772</v>
      </c>
      <c r="D33" s="558">
        <v>140</v>
      </c>
      <c r="E33" s="558"/>
      <c r="F33" s="286">
        <f>StepTest!F33</f>
        <v>17.079999999999998</v>
      </c>
      <c r="G33" s="286">
        <f>StepTest!G33</f>
        <v>6.84</v>
      </c>
      <c r="H33" s="549"/>
      <c r="I33" s="554"/>
      <c r="J33" s="555"/>
    </row>
    <row r="34" spans="1:10" ht="24.95" customHeight="1">
      <c r="A34" s="287"/>
      <c r="B34" s="284"/>
      <c r="C34" s="285">
        <f t="shared" si="0"/>
        <v>45491.572222222218</v>
      </c>
      <c r="D34" s="558">
        <v>150</v>
      </c>
      <c r="E34" s="558"/>
      <c r="F34" s="286">
        <f>StepTest!F34</f>
        <v>17.27</v>
      </c>
      <c r="G34" s="286">
        <f>StepTest!G34</f>
        <v>7.03</v>
      </c>
      <c r="H34" s="549"/>
      <c r="I34" s="554"/>
      <c r="J34" s="555"/>
    </row>
    <row r="35" spans="1:10" ht="24.95" customHeight="1">
      <c r="A35" s="287"/>
      <c r="B35" s="284"/>
      <c r="C35" s="285">
        <f t="shared" si="0"/>
        <v>45491.593055555553</v>
      </c>
      <c r="D35" s="558">
        <v>180</v>
      </c>
      <c r="E35" s="558"/>
      <c r="F35" s="286">
        <f>StepTest!F35</f>
        <v>17.45</v>
      </c>
      <c r="G35" s="286">
        <f>StepTest!G35</f>
        <v>7.21</v>
      </c>
      <c r="H35" s="549"/>
      <c r="I35" s="554"/>
      <c r="J35" s="555"/>
    </row>
    <row r="36" spans="1:10" ht="24.95" customHeight="1">
      <c r="A36" s="287"/>
      <c r="B36" s="284"/>
      <c r="C36" s="285">
        <f t="shared" si="0"/>
        <v>45491.634722222218</v>
      </c>
      <c r="D36" s="558">
        <v>240</v>
      </c>
      <c r="E36" s="558"/>
      <c r="F36" s="286">
        <f>StepTest!F36</f>
        <v>17.64</v>
      </c>
      <c r="G36" s="286">
        <f>StepTest!G36</f>
        <v>7.4</v>
      </c>
      <c r="H36" s="549"/>
      <c r="I36" s="554"/>
      <c r="J36" s="555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58">
        <v>250</v>
      </c>
      <c r="E37" s="558"/>
      <c r="F37" s="286">
        <f>StepTest!F37</f>
        <v>18.880000000000003</v>
      </c>
      <c r="G37" s="286">
        <f>StepTest!G37</f>
        <v>8.64</v>
      </c>
      <c r="H37" s="549"/>
      <c r="I37" s="554"/>
      <c r="J37" s="555"/>
    </row>
    <row r="38" spans="1:10" ht="24.95" customHeight="1">
      <c r="A38" s="287"/>
      <c r="B38" s="284"/>
      <c r="C38" s="285">
        <f t="shared" si="0"/>
        <v>45491.648611111108</v>
      </c>
      <c r="D38" s="558">
        <v>260</v>
      </c>
      <c r="E38" s="558"/>
      <c r="F38" s="286">
        <f>StepTest!F38</f>
        <v>19.09</v>
      </c>
      <c r="G38" s="286">
        <f>StepTest!G38</f>
        <v>8.85</v>
      </c>
      <c r="H38" s="549"/>
      <c r="I38" s="554"/>
      <c r="J38" s="555"/>
    </row>
    <row r="39" spans="1:10" ht="24.95" customHeight="1">
      <c r="A39" s="287"/>
      <c r="B39" s="284"/>
      <c r="C39" s="285">
        <f t="shared" si="0"/>
        <v>45491.655555555553</v>
      </c>
      <c r="D39" s="558">
        <v>270</v>
      </c>
      <c r="E39" s="558"/>
      <c r="F39" s="286">
        <f>StepTest!F39</f>
        <v>19.3</v>
      </c>
      <c r="G39" s="286">
        <f>StepTest!G39</f>
        <v>9.06</v>
      </c>
      <c r="H39" s="549"/>
      <c r="I39" s="554"/>
      <c r="J39" s="555"/>
    </row>
    <row r="40" spans="1:10" ht="24.95" customHeight="1">
      <c r="A40" s="287"/>
      <c r="B40" s="284"/>
      <c r="C40" s="285">
        <f t="shared" si="0"/>
        <v>45491.676388888889</v>
      </c>
      <c r="D40" s="558">
        <v>300</v>
      </c>
      <c r="E40" s="558"/>
      <c r="F40" s="286">
        <f>StepTest!F40</f>
        <v>19.509999999999998</v>
      </c>
      <c r="G40" s="286">
        <f>StepTest!G40</f>
        <v>9.27</v>
      </c>
      <c r="H40" s="549"/>
      <c r="I40" s="554"/>
      <c r="J40" s="555"/>
    </row>
    <row r="41" spans="1:10" ht="24.95" customHeight="1">
      <c r="A41" s="287"/>
      <c r="B41" s="284"/>
      <c r="C41" s="285">
        <f t="shared" si="0"/>
        <v>45491.718055555553</v>
      </c>
      <c r="D41" s="558">
        <v>360</v>
      </c>
      <c r="E41" s="558"/>
      <c r="F41" s="286">
        <f>StepTest!F41</f>
        <v>19.72</v>
      </c>
      <c r="G41" s="286">
        <f>StepTest!G41</f>
        <v>9.48</v>
      </c>
      <c r="H41" s="549"/>
      <c r="I41" s="554"/>
      <c r="J41" s="555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51">
        <v>370</v>
      </c>
      <c r="E42" s="568"/>
      <c r="F42" s="286">
        <f>StepTest!F42</f>
        <v>21.11</v>
      </c>
      <c r="G42" s="286">
        <f>StepTest!G42</f>
        <v>10.87</v>
      </c>
      <c r="H42" s="549"/>
      <c r="I42" s="554"/>
      <c r="J42" s="555"/>
    </row>
    <row r="43" spans="1:10" ht="24.95" customHeight="1">
      <c r="A43" s="287"/>
      <c r="B43" s="284"/>
      <c r="C43" s="285">
        <f t="shared" si="0"/>
        <v>45491.731944444444</v>
      </c>
      <c r="D43" s="551">
        <v>380</v>
      </c>
      <c r="E43" s="568"/>
      <c r="F43" s="286">
        <f>StepTest!F43</f>
        <v>21.34</v>
      </c>
      <c r="G43" s="286">
        <f>StepTest!G43</f>
        <v>11.1</v>
      </c>
      <c r="H43" s="549"/>
      <c r="I43" s="554"/>
      <c r="J43" s="555"/>
    </row>
    <row r="44" spans="1:10" ht="24.95" customHeight="1">
      <c r="A44" s="287"/>
      <c r="B44" s="284"/>
      <c r="C44" s="285">
        <f t="shared" si="0"/>
        <v>45491.738888888889</v>
      </c>
      <c r="D44" s="551">
        <v>390</v>
      </c>
      <c r="E44" s="568"/>
      <c r="F44" s="286">
        <f>StepTest!F44</f>
        <v>21.57</v>
      </c>
      <c r="G44" s="286">
        <f>StepTest!G44</f>
        <v>11.33</v>
      </c>
      <c r="H44" s="549"/>
      <c r="I44" s="554"/>
      <c r="J44" s="555"/>
    </row>
    <row r="45" spans="1:10" ht="24.95" customHeight="1">
      <c r="A45" s="287"/>
      <c r="B45" s="284"/>
      <c r="C45" s="285">
        <f t="shared" si="0"/>
        <v>45491.759722222218</v>
      </c>
      <c r="D45" s="551">
        <v>420</v>
      </c>
      <c r="E45" s="568"/>
      <c r="F45" s="286">
        <f>StepTest!F45</f>
        <v>21.8</v>
      </c>
      <c r="G45" s="286">
        <f>StepTest!G45</f>
        <v>11.56</v>
      </c>
      <c r="H45" s="549"/>
      <c r="I45" s="554"/>
      <c r="J45" s="555"/>
    </row>
    <row r="46" spans="1:10" ht="24.95" customHeight="1">
      <c r="A46" s="287"/>
      <c r="B46" s="284"/>
      <c r="C46" s="285">
        <f t="shared" si="0"/>
        <v>45491.801388888889</v>
      </c>
      <c r="D46" s="551">
        <v>480</v>
      </c>
      <c r="E46" s="568"/>
      <c r="F46" s="286">
        <f>StepTest!F46</f>
        <v>22.04</v>
      </c>
      <c r="G46" s="286">
        <f>StepTest!G46</f>
        <v>11.8</v>
      </c>
      <c r="H46" s="549"/>
      <c r="I46" s="554"/>
      <c r="J46" s="555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51">
        <v>490</v>
      </c>
      <c r="E47" s="568"/>
      <c r="F47" s="286">
        <f>StepTest!F47</f>
        <v>23.450000000000003</v>
      </c>
      <c r="G47" s="286">
        <f>StepTest!G47</f>
        <v>13.21</v>
      </c>
      <c r="H47" s="549"/>
      <c r="I47" s="554"/>
      <c r="J47" s="555"/>
    </row>
    <row r="48" spans="1:10" ht="24.95" customHeight="1">
      <c r="A48" s="287"/>
      <c r="B48" s="284"/>
      <c r="C48" s="285">
        <f t="shared" si="0"/>
        <v>45491.815277777772</v>
      </c>
      <c r="D48" s="551">
        <v>500</v>
      </c>
      <c r="E48" s="568"/>
      <c r="F48" s="286">
        <f>StepTest!F48</f>
        <v>23.98</v>
      </c>
      <c r="G48" s="286">
        <f>StepTest!G48</f>
        <v>13.74</v>
      </c>
      <c r="H48" s="549"/>
      <c r="I48" s="554"/>
      <c r="J48" s="555"/>
    </row>
    <row r="49" spans="1:10" ht="24.95" customHeight="1">
      <c r="A49" s="287"/>
      <c r="B49" s="284"/>
      <c r="C49" s="285">
        <f t="shared" si="0"/>
        <v>45491.822222222218</v>
      </c>
      <c r="D49" s="551">
        <v>510</v>
      </c>
      <c r="E49" s="568"/>
      <c r="F49" s="286">
        <f>StepTest!F49</f>
        <v>24.509999999999998</v>
      </c>
      <c r="G49" s="286">
        <f>StepTest!G49</f>
        <v>14.27</v>
      </c>
      <c r="H49" s="549"/>
      <c r="I49" s="554"/>
      <c r="J49" s="555"/>
    </row>
    <row r="50" spans="1:10" ht="24.95" customHeight="1">
      <c r="A50" s="287"/>
      <c r="B50" s="284"/>
      <c r="C50" s="285">
        <f t="shared" si="0"/>
        <v>45491.843055555553</v>
      </c>
      <c r="D50" s="551">
        <v>540</v>
      </c>
      <c r="E50" s="568"/>
      <c r="F50" s="286">
        <f>StepTest!F50</f>
        <v>25.04</v>
      </c>
      <c r="G50" s="286">
        <f>StepTest!G50</f>
        <v>14.8</v>
      </c>
      <c r="H50" s="549"/>
      <c r="I50" s="554"/>
      <c r="J50" s="555"/>
    </row>
    <row r="51" spans="1:10" ht="24.95" customHeight="1">
      <c r="A51" s="288"/>
      <c r="B51" s="289"/>
      <c r="C51" s="290">
        <f t="shared" si="0"/>
        <v>45491.884722222218</v>
      </c>
      <c r="D51" s="583">
        <v>600</v>
      </c>
      <c r="E51" s="584"/>
      <c r="F51" s="291">
        <f>StepTest!F51</f>
        <v>25.58</v>
      </c>
      <c r="G51" s="291">
        <f>StepTest!G51</f>
        <v>15.34</v>
      </c>
      <c r="H51" s="588"/>
      <c r="I51" s="589"/>
      <c r="J51" s="590"/>
    </row>
    <row r="52" spans="1:10" ht="24.95" customHeight="1">
      <c r="A52" s="308"/>
      <c r="B52" s="316"/>
      <c r="C52" s="316"/>
      <c r="D52" s="591"/>
      <c r="E52" s="597"/>
      <c r="F52" s="316"/>
      <c r="G52" s="316"/>
      <c r="H52" s="591"/>
      <c r="I52" s="592"/>
      <c r="J52" s="593"/>
    </row>
    <row r="53" spans="1:10" ht="24.95" customHeight="1">
      <c r="A53" s="308"/>
      <c r="B53" s="316"/>
      <c r="C53" s="316"/>
      <c r="D53" s="591"/>
      <c r="E53" s="597"/>
      <c r="F53" s="316"/>
      <c r="G53" s="316"/>
      <c r="H53" s="591"/>
      <c r="I53" s="592"/>
      <c r="J53" s="593"/>
    </row>
    <row r="54" spans="1:10" ht="24.95" customHeight="1">
      <c r="A54" s="308"/>
      <c r="B54" s="316"/>
      <c r="C54" s="316"/>
      <c r="D54" s="591"/>
      <c r="E54" s="597"/>
      <c r="F54" s="316"/>
      <c r="G54" s="316"/>
      <c r="H54" s="591"/>
      <c r="I54" s="592"/>
      <c r="J54" s="593"/>
    </row>
    <row r="55" spans="1:10" ht="24.95" customHeight="1">
      <c r="A55" s="308"/>
      <c r="B55" s="316"/>
      <c r="C55" s="316"/>
      <c r="D55" s="591"/>
      <c r="E55" s="597"/>
      <c r="F55" s="316"/>
      <c r="G55" s="316"/>
      <c r="H55" s="591"/>
      <c r="I55" s="592"/>
      <c r="J55" s="593"/>
    </row>
    <row r="56" spans="1:10" ht="24.95" customHeight="1">
      <c r="A56" s="308"/>
      <c r="B56" s="316"/>
      <c r="C56" s="316"/>
      <c r="D56" s="591"/>
      <c r="E56" s="597"/>
      <c r="F56" s="316"/>
      <c r="G56" s="316"/>
      <c r="H56" s="591"/>
      <c r="I56" s="592"/>
      <c r="J56" s="593"/>
    </row>
    <row r="57" spans="1:10" ht="24.95" customHeight="1" thickBot="1">
      <c r="A57" s="312"/>
      <c r="B57" s="317"/>
      <c r="C57" s="317"/>
      <c r="D57" s="594"/>
      <c r="E57" s="598"/>
      <c r="F57" s="317"/>
      <c r="G57" s="317"/>
      <c r="H57" s="594"/>
      <c r="I57" s="595"/>
      <c r="J57" s="596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LongTest!C77</f>
        <v>45724.444444444445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88">
        <v>2880</v>
      </c>
      <c r="E79" s="599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600" t="s">
        <v>322</v>
      </c>
      <c r="B80" s="601"/>
      <c r="C80" s="601"/>
      <c r="D80" s="601"/>
      <c r="E80" s="601"/>
      <c r="F80" s="601"/>
      <c r="G80" s="601"/>
      <c r="H80" s="601"/>
      <c r="I80" s="601"/>
      <c r="J80" s="60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장기28!C5</f>
        <v>45724.444444444445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LongTest!C101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/>
      <c r="I31" s="554"/>
      <c r="J31" s="555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50"/>
      <c r="F32" s="286">
        <f>LongTest!F98</f>
        <v>12.910339864023509</v>
      </c>
      <c r="G32" s="286">
        <f>LongTest!G98</f>
        <v>2.6703398640235099</v>
      </c>
      <c r="H32" s="549"/>
      <c r="I32" s="554"/>
      <c r="J32" s="555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50"/>
      <c r="F33" s="286">
        <f>LongTest!F99</f>
        <v>12.526724936369781</v>
      </c>
      <c r="G33" s="286">
        <f>LongTest!G99</f>
        <v>2.2867249363697812</v>
      </c>
      <c r="H33" s="549"/>
      <c r="I33" s="554"/>
      <c r="J33" s="555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50"/>
      <c r="F34" s="286">
        <f>LongTest!F100</f>
        <v>12.198219253311249</v>
      </c>
      <c r="G34" s="286">
        <f>LongTest!G100</f>
        <v>1.9582192533112495</v>
      </c>
      <c r="H34" s="549"/>
      <c r="I34" s="554"/>
      <c r="J34" s="555"/>
    </row>
    <row r="35" spans="1:10" ht="24.95" customHeight="1" thickBot="1">
      <c r="A35" s="312"/>
      <c r="B35" s="313"/>
      <c r="C35" s="313">
        <f t="shared" si="0"/>
        <v>45724.694444444445</v>
      </c>
      <c r="D35" s="556">
        <v>360</v>
      </c>
      <c r="E35" s="557"/>
      <c r="F35" s="314">
        <f>LongTest!F101</f>
        <v>11.916905946600821</v>
      </c>
      <c r="G35" s="314">
        <f>LongTest!G101</f>
        <v>1.6769059466008196</v>
      </c>
      <c r="H35" s="556" t="s">
        <v>321</v>
      </c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8" t="s">
        <v>317</v>
      </c>
      <c r="B1" s="609"/>
      <c r="C1" s="609"/>
      <c r="D1" s="609"/>
      <c r="E1" s="609"/>
      <c r="F1" s="609"/>
      <c r="G1" s="609"/>
      <c r="H1" s="609"/>
      <c r="I1" s="609"/>
      <c r="J1" s="610"/>
    </row>
    <row r="2" spans="1:10" ht="24.95" customHeight="1">
      <c r="A2" s="611" t="s">
        <v>293</v>
      </c>
      <c r="B2" s="612"/>
      <c r="C2" s="613" t="str">
        <f>LongTest!C2</f>
        <v>국립광주박물관 도자문화관 건립 지열공사</v>
      </c>
      <c r="D2" s="614"/>
      <c r="E2" s="614"/>
      <c r="F2" s="614"/>
      <c r="G2" s="614"/>
      <c r="H2" s="614"/>
      <c r="I2" s="614"/>
      <c r="J2" s="615"/>
    </row>
    <row r="3" spans="1:10" ht="24.95" customHeight="1">
      <c r="A3" s="603" t="s">
        <v>294</v>
      </c>
      <c r="B3" s="604"/>
      <c r="C3" s="616" t="str">
        <f>LongTest!C4</f>
        <v>광주광역시 북구 매곡동 430번지</v>
      </c>
      <c r="D3" s="617"/>
      <c r="E3" s="617"/>
      <c r="F3" s="617"/>
      <c r="G3" s="617"/>
      <c r="H3" s="618"/>
      <c r="I3" s="293" t="str">
        <f>Input!I54</f>
        <v>W-1</v>
      </c>
      <c r="J3" s="294" t="s">
        <v>320</v>
      </c>
    </row>
    <row r="4" spans="1:10" ht="24.95" customHeight="1">
      <c r="A4" s="603" t="s">
        <v>295</v>
      </c>
      <c r="B4" s="604"/>
      <c r="C4" s="605">
        <f>LongTest!C10</f>
        <v>45722.444444444445</v>
      </c>
      <c r="D4" s="606"/>
      <c r="E4" s="606"/>
      <c r="F4" s="606"/>
      <c r="G4" s="606"/>
      <c r="H4" s="606"/>
      <c r="I4" s="606"/>
      <c r="J4" s="607"/>
    </row>
    <row r="5" spans="1:10" ht="24.95" customHeight="1">
      <c r="A5" s="603" t="s">
        <v>296</v>
      </c>
      <c r="B5" s="604"/>
      <c r="C5" s="605">
        <f>C55</f>
        <v>45723.444444444445</v>
      </c>
      <c r="D5" s="606"/>
      <c r="E5" s="606"/>
      <c r="F5" s="606"/>
      <c r="G5" s="606"/>
      <c r="H5" s="606"/>
      <c r="I5" s="606"/>
      <c r="J5" s="607"/>
    </row>
    <row r="6" spans="1:10" ht="24.95" customHeight="1">
      <c r="A6" s="603" t="s">
        <v>292</v>
      </c>
      <c r="B6" s="604"/>
      <c r="C6" s="619" t="str">
        <f>LongTest!C5</f>
        <v>주식회사 한일지하수</v>
      </c>
      <c r="D6" s="620"/>
      <c r="E6" s="620"/>
      <c r="F6" s="620"/>
      <c r="G6" s="620"/>
      <c r="H6" s="620"/>
      <c r="I6" s="620"/>
      <c r="J6" s="621"/>
    </row>
    <row r="7" spans="1:10" ht="24.95" customHeight="1">
      <c r="A7" s="603" t="s">
        <v>297</v>
      </c>
      <c r="B7" s="604"/>
      <c r="C7" s="622" t="s">
        <v>324</v>
      </c>
      <c r="D7" s="604"/>
      <c r="E7" s="295">
        <f>LongTest!C6</f>
        <v>5</v>
      </c>
      <c r="F7" s="295" t="s">
        <v>298</v>
      </c>
      <c r="G7" s="295" t="s">
        <v>326</v>
      </c>
      <c r="H7" s="622">
        <f>Input!I50</f>
        <v>50</v>
      </c>
      <c r="I7" s="604"/>
      <c r="J7" s="296" t="s">
        <v>299</v>
      </c>
    </row>
    <row r="8" spans="1:10" ht="24.95" customHeight="1">
      <c r="A8" s="603" t="s">
        <v>300</v>
      </c>
      <c r="B8" s="604"/>
      <c r="C8" s="622" t="s">
        <v>325</v>
      </c>
      <c r="D8" s="604"/>
      <c r="E8" s="295">
        <f>LongTest!D7</f>
        <v>200</v>
      </c>
      <c r="F8" s="295" t="s">
        <v>301</v>
      </c>
      <c r="G8" s="295" t="s">
        <v>302</v>
      </c>
      <c r="H8" s="622">
        <f>LongTest!G7</f>
        <v>500</v>
      </c>
      <c r="I8" s="604"/>
      <c r="J8" s="296" t="s">
        <v>299</v>
      </c>
    </row>
    <row r="9" spans="1:10" ht="24.95" customHeight="1">
      <c r="A9" s="603" t="s">
        <v>303</v>
      </c>
      <c r="B9" s="604"/>
      <c r="C9" s="622" t="s">
        <v>323</v>
      </c>
      <c r="D9" s="604"/>
      <c r="E9" s="295">
        <f>LongTest!D8</f>
        <v>10.24</v>
      </c>
      <c r="F9" s="295" t="s">
        <v>299</v>
      </c>
      <c r="G9" s="295" t="s">
        <v>304</v>
      </c>
      <c r="H9" s="622">
        <f>LongTest!G8</f>
        <v>23.5</v>
      </c>
      <c r="I9" s="604"/>
      <c r="J9" s="296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60">
        <v>1</v>
      </c>
      <c r="E12" s="560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60">
        <v>2</v>
      </c>
      <c r="E13" s="560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60">
        <v>3</v>
      </c>
      <c r="E14" s="560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60">
        <v>4</v>
      </c>
      <c r="E15" s="560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60">
        <v>5</v>
      </c>
      <c r="E16" s="560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60">
        <v>10</v>
      </c>
      <c r="E17" s="560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60">
        <v>15</v>
      </c>
      <c r="E18" s="560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60">
        <v>20</v>
      </c>
      <c r="E19" s="560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60">
        <v>25</v>
      </c>
      <c r="E20" s="560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60">
        <v>30</v>
      </c>
      <c r="E21" s="560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60">
        <v>35</v>
      </c>
      <c r="E22" s="560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60">
        <v>40</v>
      </c>
      <c r="E23" s="560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60">
        <v>45</v>
      </c>
      <c r="E24" s="560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60">
        <v>50</v>
      </c>
      <c r="E25" s="560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60">
        <v>55</v>
      </c>
      <c r="E26" s="560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60">
        <v>60</v>
      </c>
      <c r="E27" s="560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60">
        <v>75</v>
      </c>
      <c r="E28" s="560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60">
        <v>90</v>
      </c>
      <c r="E29" s="560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60">
        <v>105</v>
      </c>
      <c r="E30" s="560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60">
        <v>120</v>
      </c>
      <c r="E31" s="560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60">
        <v>140</v>
      </c>
      <c r="E32" s="560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60">
        <v>160</v>
      </c>
      <c r="E33" s="560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60">
        <v>180</v>
      </c>
      <c r="E34" s="560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60">
        <v>240</v>
      </c>
      <c r="E35" s="560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60">
        <v>300</v>
      </c>
      <c r="E36" s="560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60">
        <v>360</v>
      </c>
      <c r="E37" s="560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60">
        <v>420</v>
      </c>
      <c r="E38" s="560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60">
        <v>480</v>
      </c>
      <c r="E39" s="560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60">
        <v>540</v>
      </c>
      <c r="E40" s="560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60">
        <v>600</v>
      </c>
      <c r="E41" s="560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60">
        <v>660</v>
      </c>
      <c r="E42" s="560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60">
        <v>720</v>
      </c>
      <c r="E43" s="560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60">
        <v>780</v>
      </c>
      <c r="E44" s="560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60">
        <v>840</v>
      </c>
      <c r="E45" s="560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60">
        <v>900</v>
      </c>
      <c r="E46" s="560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60">
        <v>960</v>
      </c>
      <c r="E47" s="560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60">
        <v>1020</v>
      </c>
      <c r="E48" s="560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60">
        <v>1080</v>
      </c>
      <c r="E49" s="560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60">
        <v>1140</v>
      </c>
      <c r="E50" s="560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60">
        <v>1200</v>
      </c>
      <c r="E51" s="560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60">
        <v>1260</v>
      </c>
      <c r="E52" s="560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60">
        <v>1320</v>
      </c>
      <c r="E53" s="560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60">
        <v>1380</v>
      </c>
      <c r="E54" s="560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60">
        <v>1440</v>
      </c>
      <c r="E55" s="560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6"/>
      <c r="E56" s="627"/>
      <c r="F56" s="295"/>
      <c r="G56" s="295"/>
      <c r="H56" s="295"/>
      <c r="I56" s="295"/>
      <c r="J56" s="296"/>
    </row>
    <row r="57" spans="1:10" ht="24.95" customHeight="1" thickBot="1">
      <c r="A57" s="623" t="s">
        <v>322</v>
      </c>
      <c r="B57" s="624"/>
      <c r="C57" s="624"/>
      <c r="D57" s="624"/>
      <c r="E57" s="624"/>
      <c r="F57" s="624"/>
      <c r="G57" s="624"/>
      <c r="H57" s="624"/>
      <c r="I57" s="624"/>
      <c r="J57" s="62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장기14!C55</f>
        <v>45723.444444444445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C31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4"/>
      <c r="J31" s="555"/>
    </row>
    <row r="32" spans="1:10" ht="24.95" customHeight="1">
      <c r="A32" s="308"/>
      <c r="B32" s="285"/>
      <c r="C32" s="285"/>
      <c r="D32" s="549"/>
      <c r="E32" s="550"/>
      <c r="F32" s="286"/>
      <c r="G32" s="286"/>
      <c r="H32" s="549"/>
      <c r="I32" s="554"/>
      <c r="J32" s="555"/>
    </row>
    <row r="33" spans="1:10" ht="24.95" customHeight="1">
      <c r="A33" s="308"/>
      <c r="B33" s="285"/>
      <c r="C33" s="285"/>
      <c r="D33" s="549"/>
      <c r="E33" s="550"/>
      <c r="F33" s="286"/>
      <c r="G33" s="286"/>
      <c r="H33" s="549"/>
      <c r="I33" s="554"/>
      <c r="J33" s="555"/>
    </row>
    <row r="34" spans="1:10" ht="24.95" customHeight="1">
      <c r="A34" s="308"/>
      <c r="B34" s="285"/>
      <c r="C34" s="285"/>
      <c r="D34" s="549"/>
      <c r="E34" s="550"/>
      <c r="F34" s="286"/>
      <c r="G34" s="286"/>
      <c r="H34" s="549"/>
      <c r="I34" s="554"/>
      <c r="J34" s="555"/>
    </row>
    <row r="35" spans="1:10" ht="24.95" customHeight="1" thickBot="1">
      <c r="A35" s="312"/>
      <c r="B35" s="313"/>
      <c r="C35" s="313"/>
      <c r="D35" s="556"/>
      <c r="E35" s="557"/>
      <c r="F35" s="314"/>
      <c r="G35" s="314"/>
      <c r="H35" s="556"/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H8" sqref="H8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2025-03-18T08:29:26Z</cp:lastPrinted>
  <dcterms:created xsi:type="dcterms:W3CDTF">2022-01-08T04:40:11Z</dcterms:created>
  <dcterms:modified xsi:type="dcterms:W3CDTF">2025-03-24T08:11:32Z</dcterms:modified>
</cp:coreProperties>
</file>