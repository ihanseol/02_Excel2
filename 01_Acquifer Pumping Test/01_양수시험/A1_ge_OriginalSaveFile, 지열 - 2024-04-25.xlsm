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B5B28BC-1A34-4B31-A9AA-5208569F5FFB}" xr6:coauthVersionLast="47" xr6:coauthVersionMax="47" xr10:uidLastSave="{00000000-0000-0000-0000-000000000000}"/>
  <bookViews>
    <workbookView xWindow="6105" yWindow="1035" windowWidth="30600" windowHeight="1980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9" l="1"/>
  <c r="A28" i="10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<sst xmlns="http://schemas.openxmlformats.org/spreadsheetml/2006/main" count="1146" uniqueCount="302">
  <si>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</si>
  <si>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</si>
  <si>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</si>
  <si>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</si>
  <si>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</si>
  <si>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</si>
  <si>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</si>
  <si>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</si>
  <si>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</si>
  <si>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</si>
  <si>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</si>
  <si>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</si>
  <si>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</si>
  <si>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</si>
  <si>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</si>
  <si>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</si>
  <si>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</si>
  <si>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</si>
  <si>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</si>
  <si>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</si>
  <si>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</si>
  <si>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</si>
  <si>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</si>
  <si>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</si>
  <si>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</si>
  <si>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</si>
  <si>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</si>
  <si>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</si>
  <si>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</si>
  <si>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</si>
  <si>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</si>
  <si>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</si>
  <si>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</si>
  <si>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</si>
  <si>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</si>
  <si>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</si>
  <si>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</si>
  <si>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</si>
  <si>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</si>
  <si>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</si>
  <si>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</si>
  <si>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</si>
  <si>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</si>
  <si>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</si>
  <si>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</si>
  <si>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</si>
  <si>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</si>
  <si>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</si>
  <si>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</si>
  <si>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</si>
  <si>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</si>
  <si>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</si>
  <si>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</si>
  <si>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</si>
  <si>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</si>
  <si>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</si>
  <si>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</si>
  <si>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</si>
  <si>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</si>
  <si>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</si>
  <si>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</si>
  <si>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</si>
  <si>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</si>
  <si>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</si>
  <si>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</si>
  <si>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</si>
  <si>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</si>
  <si>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</si>
  <si>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</si>
  <si>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</si>
  <si>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</si>
  <si>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</si>
  <si>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</si>
  <si>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</si>
  <si>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</si>
  <si>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</si>
  <si>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</si>
  <si>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</si>
  <si>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</si>
  <si>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</si>
  <si>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</si>
  <si>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</si>
  <si>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</si>
  <si>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</si>
  <si>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</si>
  <si>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</si>
  <si>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</si>
  <si>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</si>
  <si>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</si>
  <si>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</si>
  <si>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</si>
  <si>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</si>
  <si>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</si>
  <si>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</si>
  <si>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</si>
  <si>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</si>
  <si>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</si>
  <si>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</si>
  <si>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</si>
  <si>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</si>
  <si>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</si>
  <si>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</si>
  <si>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</si>
  <si>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</si>
  <si>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</si>
  <si>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</si>
  <si>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</si>
  <si>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</si>
  <si>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</si>
  <si>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</si>
  <si>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</si>
  <si>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</si>
  <si>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</si>
  <si>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</si>
  <si>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</si>
  <si>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</si>
  <si>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</si>
  <si>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</si>
  <si>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</si>
  <si>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</si>
  <si>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</si>
  <si>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</si>
  <si>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</si>
  <si>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</si>
  <si>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</si>
  <si>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</si>
  <si>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</si>
  <si>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</si>
  <si>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</si>
  <si>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</si>
  <si>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</si>
  <si>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</si>
  <si>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</si>
  <si>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</si>
  <si>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</si>
  <si>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</si>
  <si>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</si>
  <si>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</si>
  <si>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</si>
  <si>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</si>
  <si>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</si>
  <si>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</si>
  <si>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</si>
  <si>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</si>
  <si>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</si>
  <si>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</si>
  <si>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</si>
  <si>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</si>
  <si>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</si>
  <si>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</si>
  <si>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</si>
  <si>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</si>
  <si>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</si>
  <si>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</si>
  <si>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</si>
  <si>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</si>
  <si>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</si>
  <si>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</si>
  <si>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</si>
  <si>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</si>
  <si>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</si>
  <si>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</si>
  <si>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</si>
  <si>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</si>
  <si>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</si>
  <si>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</si>
  <si>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</si>
  <si>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</si>
  <si>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</si>
  <si>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</si>
  <si>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</si>
  <si>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</si>
  <si>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</si>
  <si>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</si>
  <si>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</si>
  <si>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</si>
  <si>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</si>
  <si>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</si>
  <si>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</si>
  <si>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</si>
  <si>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</si>
  <si>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</si>
  <si>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</si>
  <si>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</si>
  <si>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</si>
  <si>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</si>
  <si>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</si>
  <si>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</si>
  <si>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</si>
  <si>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</si>
  <si>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</si>
  <si>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</si>
  <si>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</si>
  <si>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</si>
  <si>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</si>
  <si>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</si>
  <si>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</si>
  <si>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</si>
  <si>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</si>
  <si>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</si>
  <si>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</si>
  <si>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</si>
  <si>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</si>
  <si>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</si>
  <si>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</si>
  <si>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</si>
  <si>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</si>
  <si>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</si>
  <si>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</si>
  <si>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</si>
  <si>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</si>
  <si>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</si>
  <si>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</si>
  <si>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</si>
  <si>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</si>
  <si>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</si>
  <si>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</si>
  <si>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</si>
  <si>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</si>
  <si>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</si>
  <si>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</si>
  <si>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</si>
  <si>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</si>
  <si>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</si>
  <si>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</si>
  <si>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</si>
  <si>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</si>
  <si>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</si>
  <si>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</si>
  <si>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</si>
  <si>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</si>
  <si>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</si>
  <si>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</si>
  <si>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</si>
  <si>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</si>
  <si>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</si>
  <si>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</si>
  <si>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</si>
  <si>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</si>
  <si>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</si>
  <si>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</si>
  <si>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</si>
  <si>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</si>
  <si>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</si>
  <si>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</si>
  <si>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</si>
  <si>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</si>
  <si>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</si>
  <si>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</si>
  <si>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</si>
  <si>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</si>
  <si>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</si>
  <si>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</si>
  <si>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</si>
  <si>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</si>
  <si>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</si>
  <si>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</si>
  <si>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</si>
  <si>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</si>
  <si>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</si>
  <si>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</si>
  <si>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</si>
  <si>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</si>
  <si>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</si>
  <si>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</si>
  <si>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</si>
  <si>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</si>
  <si>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</si>
  <si>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</si>
  <si>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</si>
  <si>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</si>
  <si>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</si>
  <si>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</si>
  <si>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</si>
  <si>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</si>
  <si>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</si>
  <si>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</si>
  <si>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</si>
  <si>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</si>
  <si>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</si>
  <si>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</si>
  <si>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</si>
  <si>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</si>
  <si>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</si>
  <si>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</si>
  <si>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</si>
  <si>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</si>
  <si>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</si>
  <si>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</si>
  <si>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</si>
  <si>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</si>
  <si>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</si>
  <si>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</si>
  <si>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</si>
  <si>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</si>
  <si>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</si>
  <si>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</si>
  <si>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</si>
  <si>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이랜드 R&amp;D센터 지열시스템공사</t>
    <phoneticPr fontId="7" type="noConversion"/>
  </si>
  <si>
    <t>이랜드 R&amp;D센터</t>
    <phoneticPr fontId="7" type="noConversion"/>
  </si>
  <si>
    <t>서울특별시 강서구 마곡동 780번지</t>
    <phoneticPr fontId="7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</si>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</sst>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9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14" fillId="0" borderId="0" xfId="2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217" fontId="14" fillId="0" borderId="43" xfId="2" applyNumberFormat="1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182" fontId="14" fillId="0" borderId="45" xfId="2" applyNumberFormat="1" applyFont="1" applyBorder="1" applyAlignment="1">
      <alignment horizontal="center" vertical="center"/>
    </xf>
    <xf numFmtId="38" fontId="14" fillId="0" borderId="46" xfId="2" applyNumberFormat="1" applyFont="1" applyBorder="1" applyAlignment="1">
      <alignment horizontal="center" vertical="center"/>
    </xf>
    <xf numFmtId="218" fontId="14" fillId="0" borderId="44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217" fontId="14" fillId="0" borderId="40" xfId="2" applyNumberFormat="1" applyFont="1" applyBorder="1" applyAlignment="1">
      <alignment horizontal="center" vertical="center"/>
    </xf>
    <xf numFmtId="182" fontId="14" fillId="0" borderId="42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41" xfId="2" applyNumberFormat="1" applyFont="1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14" fillId="0" borderId="48" xfId="2" applyFont="1" applyBorder="1" applyAlignment="1">
      <alignment horizontal="center" vertical="center"/>
    </xf>
    <xf numFmtId="0" fontId="14" fillId="0" borderId="49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  <xf numFmtId="0" fontId="14" fillId="20" borderId="42" xfId="2" applyFont="1" applyFill="1" applyBorder="1" applyAlignment="1">
      <alignment horizontal="center" vertical="center"/>
    </xf>
    <xf numFmtId="0" fontId="14" fillId="20" borderId="3" xfId="2" applyFont="1" applyFill="1" applyBorder="1" applyAlignment="1">
      <alignment horizontal="center" vertical="center"/>
    </xf>
    <xf numFmtId="0" fontId="14" fillId="20" borderId="50" xfId="2" applyFont="1" applyFill="1" applyBorder="1" applyAlignment="1">
      <alignment horizontal="center" vertical="center"/>
    </xf>
    <xf numFmtId="0" fontId="14" fillId="20" borderId="48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14" fillId="20" borderId="12" xfId="2" applyFont="1" applyFill="1" applyBorder="1" applyAlignment="1">
      <alignment horizontal="center" vertical="center"/>
    </xf>
    <xf numFmtId="215" fontId="14" fillId="20" borderId="32" xfId="2" applyNumberFormat="1" applyFont="1" applyFill="1" applyBorder="1" applyAlignment="1">
      <alignment horizontal="center" vertical="center"/>
    </xf>
    <xf numFmtId="215" fontId="14" fillId="20" borderId="0" xfId="2" applyNumberFormat="1" applyFont="1" applyFill="1" applyAlignment="1">
      <alignment horizontal="center" vertical="center"/>
    </xf>
    <xf numFmtId="0" fontId="14" fillId="20" borderId="0" xfId="2" applyFont="1" applyFill="1" applyAlignment="1">
      <alignment horizontal="center" vertical="center"/>
    </xf>
    <xf numFmtId="0" fontId="14" fillId="20" borderId="14" xfId="2" applyFont="1" applyFill="1" applyBorder="1" applyAlignment="1">
      <alignment horizontal="center" vertical="center"/>
    </xf>
    <xf numFmtId="216" fontId="14" fillId="20" borderId="33" xfId="2" applyNumberFormat="1" applyFont="1" applyFill="1" applyBorder="1" applyAlignment="1">
      <alignment horizontal="center" vertical="center"/>
    </xf>
    <xf numFmtId="0" fontId="14" fillId="20" borderId="34" xfId="2" applyFont="1" applyFill="1" applyBorder="1" applyAlignment="1">
      <alignment horizontal="center" vertical="center"/>
    </xf>
    <xf numFmtId="40" fontId="14" fillId="20" borderId="35" xfId="2" applyNumberFormat="1" applyFont="1" applyFill="1" applyBorder="1" applyAlignment="1">
      <alignment horizontal="center" vertical="center"/>
    </xf>
    <xf numFmtId="216" fontId="14" fillId="20" borderId="0" xfId="2" applyNumberFormat="1" applyFont="1" applyFill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9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53" xfId="5" applyFont="1" applyFill="1" applyBorder="1" applyAlignment="1">
      <alignment horizontal="center" vertical="center"/>
    </xf>
    <xf numFmtId="193" fontId="17" fillId="14" borderId="54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60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4" xfId="5" applyFont="1" applyFill="1" applyBorder="1" applyAlignment="1">
      <alignment horizontal="center" vertical="center"/>
    </xf>
    <xf numFmtId="194" fontId="17" fillId="14" borderId="54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14" borderId="0" xfId="2" applyFont="1" applyFill="1" applyAlignment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7" xfId="2" applyFont="1" applyFill="1" applyBorder="1" applyAlignment="1">
      <alignment horizontal="center" vertical="center"/>
    </xf>
    <xf numFmtId="0" fontId="13" fillId="25" borderId="58" xfId="2" applyFont="1" applyFill="1" applyBorder="1" applyAlignment="1">
      <alignment horizontal="center" vertical="center"/>
    </xf>
    <xf numFmtId="179" fontId="13" fillId="25" borderId="57" xfId="2" applyNumberFormat="1" applyFont="1" applyFill="1" applyBorder="1" applyAlignment="1">
      <alignment horizontal="center" vertical="center"/>
    </xf>
    <xf numFmtId="179" fontId="13" fillId="25" borderId="58" xfId="2" applyNumberFormat="1" applyFont="1" applyFill="1" applyBorder="1" applyAlignment="1">
      <alignment horizontal="center" vertical="center"/>
    </xf>
    <xf numFmtId="0" fontId="13" fillId="20" borderId="55" xfId="2" applyFont="1" applyFill="1" applyBorder="1" applyAlignment="1">
      <alignment horizontal="center" vertical="center"/>
    </xf>
    <xf numFmtId="0" fontId="13" fillId="20" borderId="56" xfId="2" applyFont="1" applyFill="1" applyBorder="1" applyAlignment="1">
      <alignment horizontal="center" vertical="center"/>
    </xf>
    <xf numFmtId="0" fontId="13" fillId="20" borderId="53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51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52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20" borderId="47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17" fillId="20" borderId="36" xfId="2" applyFont="1" applyFill="1" applyBorder="1" applyAlignment="1">
      <alignment horizontal="center" vertical="center"/>
    </xf>
    <xf numFmtId="0" fontId="17" fillId="20" borderId="37" xfId="2" applyFont="1" applyFill="1" applyBorder="1" applyAlignment="1">
      <alignment horizontal="center" vertical="center"/>
    </xf>
    <xf numFmtId="0" fontId="17" fillId="20" borderId="38" xfId="2" applyFont="1" applyFill="1" applyBorder="1" applyAlignment="1">
      <alignment horizontal="center" vertical="center"/>
    </xf>
    <xf numFmtId="0" fontId="17" fillId="20" borderId="39" xfId="2" applyFont="1" applyFill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1.9195967756376788</c:v>
                </c:pt>
                <c:pt idx="2">
                  <c:v>2.455391869317884</c:v>
                </c:pt>
                <c:pt idx="3">
                  <c:v>2.8355445381347</c:v>
                </c:pt>
                <c:pt idx="4">
                  <c:v>3.1304138563317068</c:v>
                </c:pt>
                <c:pt idx="5">
                  <c:v>4.0463616188287279</c:v>
                </c:pt>
                <c:pt idx="6">
                  <c:v>4.5821567125089349</c:v>
                </c:pt>
                <c:pt idx="7">
                  <c:v>4.9623093813257508</c:v>
                </c:pt>
                <c:pt idx="8">
                  <c:v>5.2571786995227576</c:v>
                </c:pt>
                <c:pt idx="9">
                  <c:v>5.4981044750059542</c:v>
                </c:pt>
                <c:pt idx="10">
                  <c:v>5.7018043157253704</c:v>
                </c:pt>
                <c:pt idx="11">
                  <c:v>5.8782571438227702</c:v>
                </c:pt>
                <c:pt idx="12">
                  <c:v>6.0338995686861612</c:v>
                </c:pt>
                <c:pt idx="13">
                  <c:v>6.1731264620197788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9.296169330596781</c:v>
                </c:pt>
                <c:pt idx="24">
                  <c:v>9.7799999999999994</c:v>
                </c:pt>
                <c:pt idx="25">
                  <c:v>11.785320330324659</c:v>
                </c:pt>
                <c:pt idx="26">
                  <c:v>11.865417462635858</c:v>
                </c:pt>
                <c:pt idx="27">
                  <c:v>11.942491330010373</c:v>
                </c:pt>
                <c:pt idx="28">
                  <c:v>12.15766016516233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15.038715559127084</c:v>
                </c:pt>
                <c:pt idx="32">
                  <c:v>15.101124418360648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12.329531273625038</c:v>
                </c:pt>
                <c:pt idx="1">
                  <c:v>11.295105479762084</c:v>
                </c:pt>
                <c:pt idx="2">
                  <c:v>10.347466174311545</c:v>
                </c:pt>
                <c:pt idx="3">
                  <c:v>9.4793321249069802</c:v>
                </c:pt>
                <c:pt idx="4">
                  <c:v>8.6840329816562143</c:v>
                </c:pt>
                <c:pt idx="5">
                  <c:v>6.6765581748317917</c:v>
                </c:pt>
                <c:pt idx="6">
                  <c:v>6.2976973688855296</c:v>
                </c:pt>
                <c:pt idx="7">
                  <c:v>5.2852950411824065</c:v>
                </c:pt>
                <c:pt idx="8">
                  <c:v>4.8418681665152068</c:v>
                </c:pt>
                <c:pt idx="9">
                  <c:v>4.4356440197269649</c:v>
                </c:pt>
                <c:pt idx="10">
                  <c:v>4.307956006909011</c:v>
                </c:pt>
                <c:pt idx="11">
                  <c:v>4.1839437238261041</c:v>
                </c:pt>
                <c:pt idx="12">
                  <c:v>4.0635013579686223</c:v>
                </c:pt>
                <c:pt idx="13">
                  <c:v>3.9465261428308644</c:v>
                </c:pt>
                <c:pt idx="14">
                  <c:v>3.8329182702263371</c:v>
                </c:pt>
                <c:pt idx="15">
                  <c:v>3.7225808051271971</c:v>
                </c:pt>
                <c:pt idx="16">
                  <c:v>3.6154196029552041</c:v>
                </c:pt>
                <c:pt idx="17">
                  <c:v>3.5113432292535913</c:v>
                </c:pt>
                <c:pt idx="18">
                  <c:v>3.4102628816713327</c:v>
                </c:pt>
                <c:pt idx="19">
                  <c:v>3.1241478777538267</c:v>
                </c:pt>
                <c:pt idx="20">
                  <c:v>3.0342136466735852</c:v>
                </c:pt>
                <c:pt idx="21">
                  <c:v>2.5464409293280825</c:v>
                </c:pt>
                <c:pt idx="22">
                  <c:v>2.137081353406372</c:v>
                </c:pt>
                <c:pt idx="23">
                  <c:v>1.793529415301345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0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0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0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0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0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0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0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0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0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0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0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0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0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0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0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0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0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0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1">
        <v>120</v>
      </c>
      <c r="B20" s="122">
        <f t="shared" si="0"/>
        <v>7.33</v>
      </c>
      <c r="C20" s="122">
        <f>B26-B20</f>
        <v>1.4700000000000006</v>
      </c>
      <c r="D20" s="123">
        <f>C20/10</f>
        <v>0.14700000000000008</v>
      </c>
      <c r="E20" s="6">
        <v>120</v>
      </c>
      <c r="F20" s="6">
        <f>StepTest!G31</f>
        <v>7.33</v>
      </c>
    </row>
    <row r="21" spans="1:6">
      <c r="A21" s="120">
        <v>121</v>
      </c>
      <c r="B21" s="124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0">
        <v>122</v>
      </c>
      <c r="B22" s="124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0">
        <v>123</v>
      </c>
      <c r="B23" s="124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0">
        <v>124</v>
      </c>
      <c r="B24" s="124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0">
        <v>125</v>
      </c>
      <c r="B25" s="124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0">
        <v>130</v>
      </c>
      <c r="B26" s="122">
        <f>F21</f>
        <v>8.8000000000000007</v>
      </c>
      <c r="C26" s="122">
        <f>B28-B26</f>
        <v>0.23999999999999844</v>
      </c>
      <c r="D26" s="122">
        <f>C26/2</f>
        <v>0.11999999999999922</v>
      </c>
      <c r="E26" s="6">
        <v>250</v>
      </c>
      <c r="F26" s="6">
        <f>StepTest!G37</f>
        <v>11.43</v>
      </c>
    </row>
    <row r="27" spans="1:6">
      <c r="A27" s="120">
        <v>135</v>
      </c>
      <c r="B27" s="124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0">
        <v>140</v>
      </c>
      <c r="B28" s="122">
        <f>F22</f>
        <v>9.0399999999999991</v>
      </c>
      <c r="C28" s="122">
        <f>B30-B28</f>
        <v>0.25</v>
      </c>
      <c r="D28" s="122">
        <f>C28/2</f>
        <v>0.125</v>
      </c>
      <c r="E28" s="6">
        <v>270</v>
      </c>
      <c r="F28" s="6">
        <f>StepTest!G39</f>
        <v>11.98</v>
      </c>
    </row>
    <row r="29" spans="1:6">
      <c r="A29" s="120">
        <v>145</v>
      </c>
      <c r="B29" s="124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0">
        <v>150</v>
      </c>
      <c r="B30" s="122">
        <f>F23</f>
        <v>9.2899999999999991</v>
      </c>
      <c r="C30" s="122">
        <f>B36-B30</f>
        <v>0.24000000000000021</v>
      </c>
      <c r="D30" s="125">
        <f>C30/6</f>
        <v>4.0000000000000036E-2</v>
      </c>
      <c r="E30" s="6">
        <v>360</v>
      </c>
      <c r="F30" s="6">
        <f>StepTest!G41</f>
        <v>12.53</v>
      </c>
    </row>
    <row r="31" spans="1:6">
      <c r="A31" s="120">
        <v>155</v>
      </c>
      <c r="B31" s="124">
        <f>B30+D31</f>
        <v>9.35</v>
      </c>
      <c r="D31" s="6">
        <v>0.06</v>
      </c>
    </row>
    <row r="32" spans="1:6">
      <c r="A32" s="120">
        <v>160</v>
      </c>
      <c r="B32" s="124">
        <f t="shared" ref="B32:B39" si="1">B31+D32</f>
        <v>9.4</v>
      </c>
      <c r="D32" s="6">
        <v>0.05</v>
      </c>
    </row>
    <row r="33" spans="1:4">
      <c r="A33" s="120">
        <v>165</v>
      </c>
      <c r="B33" s="124">
        <f t="shared" si="1"/>
        <v>9.44</v>
      </c>
      <c r="D33" s="6">
        <v>0.04</v>
      </c>
    </row>
    <row r="34" spans="1:4">
      <c r="A34" s="120">
        <v>170</v>
      </c>
      <c r="B34" s="124">
        <f t="shared" si="1"/>
        <v>9.4699999999999989</v>
      </c>
      <c r="D34" s="6">
        <v>0.03</v>
      </c>
    </row>
    <row r="35" spans="1:4">
      <c r="A35" s="120">
        <v>175</v>
      </c>
      <c r="B35" s="124">
        <f t="shared" si="1"/>
        <v>9.4899999999999984</v>
      </c>
      <c r="D35" s="6">
        <v>0.02</v>
      </c>
    </row>
    <row r="36" spans="1:4">
      <c r="A36" s="120">
        <v>180</v>
      </c>
      <c r="B36" s="122">
        <f>F24</f>
        <v>9.5299999999999994</v>
      </c>
      <c r="C36" s="122">
        <f>B40-B36</f>
        <v>0.25</v>
      </c>
      <c r="D36" s="122">
        <f>C36/4</f>
        <v>6.25E-2</v>
      </c>
    </row>
    <row r="37" spans="1:4">
      <c r="A37" s="120">
        <v>195</v>
      </c>
      <c r="B37" s="124">
        <f t="shared" si="1"/>
        <v>9.6</v>
      </c>
      <c r="D37" s="6">
        <v>7.0000000000000007E-2</v>
      </c>
    </row>
    <row r="38" spans="1:4">
      <c r="A38" s="120">
        <v>210</v>
      </c>
      <c r="B38" s="124">
        <f t="shared" si="1"/>
        <v>9.66</v>
      </c>
      <c r="D38" s="6">
        <v>0.06</v>
      </c>
    </row>
    <row r="39" spans="1:4">
      <c r="A39" s="120">
        <v>225</v>
      </c>
      <c r="B39" s="124">
        <f t="shared" si="1"/>
        <v>9.7100000000000009</v>
      </c>
      <c r="D39" s="6">
        <v>0.05</v>
      </c>
    </row>
    <row r="40" spans="1:4">
      <c r="A40" s="121">
        <v>240</v>
      </c>
      <c r="B40" s="122">
        <f>F25</f>
        <v>9.7799999999999994</v>
      </c>
      <c r="C40" s="122">
        <f>B46-B40</f>
        <v>1.6500000000000004</v>
      </c>
      <c r="D40" s="123">
        <f>C40/10</f>
        <v>0.16500000000000004</v>
      </c>
    </row>
    <row r="41" spans="1:4">
      <c r="A41" s="120">
        <v>241</v>
      </c>
      <c r="B41" s="124">
        <f>B40+D41</f>
        <v>9.9599999999999991</v>
      </c>
      <c r="D41" s="6">
        <v>0.18</v>
      </c>
    </row>
    <row r="42" spans="1:4">
      <c r="A42" s="120">
        <v>242</v>
      </c>
      <c r="B42" s="124">
        <f>B41+D42</f>
        <v>10.119999999999999</v>
      </c>
      <c r="D42" s="6">
        <v>0.16</v>
      </c>
    </row>
    <row r="43" spans="1:4">
      <c r="A43" s="120">
        <v>243</v>
      </c>
      <c r="B43" s="124">
        <f>B42+D43</f>
        <v>10.27</v>
      </c>
      <c r="D43" s="6">
        <v>0.15</v>
      </c>
    </row>
    <row r="44" spans="1:4">
      <c r="A44" s="120">
        <v>244</v>
      </c>
      <c r="B44" s="124">
        <f>B43+D44</f>
        <v>10.41</v>
      </c>
      <c r="D44" s="6">
        <v>0.14000000000000001</v>
      </c>
    </row>
    <row r="45" spans="1:4">
      <c r="A45" s="120">
        <v>245</v>
      </c>
      <c r="B45" s="124">
        <f>B44+D45</f>
        <v>10.540000000000001</v>
      </c>
      <c r="D45" s="6">
        <v>0.13</v>
      </c>
    </row>
    <row r="46" spans="1:4">
      <c r="A46" s="120">
        <v>250</v>
      </c>
      <c r="B46" s="122">
        <f>F26</f>
        <v>11.43</v>
      </c>
      <c r="C46" s="122">
        <f>B48-B46</f>
        <v>0.26999999999999957</v>
      </c>
      <c r="D46" s="122">
        <f>C46/2</f>
        <v>0.13499999999999979</v>
      </c>
    </row>
    <row r="47" spans="1:4">
      <c r="A47" s="120">
        <v>255</v>
      </c>
      <c r="B47" s="124">
        <f>B46+D47</f>
        <v>11.54</v>
      </c>
      <c r="D47" s="6">
        <v>0.11</v>
      </c>
    </row>
    <row r="48" spans="1:4">
      <c r="A48" s="120">
        <v>260</v>
      </c>
      <c r="B48" s="122">
        <f>F27</f>
        <v>11.7</v>
      </c>
      <c r="C48" s="122">
        <f>B50-B48</f>
        <v>0.28000000000000114</v>
      </c>
      <c r="D48" s="122">
        <f>C48/2</f>
        <v>0.14000000000000057</v>
      </c>
    </row>
    <row r="49" spans="1:6">
      <c r="A49" s="120">
        <v>265</v>
      </c>
      <c r="B49" s="124">
        <f>B48+D49</f>
        <v>11.809999999999999</v>
      </c>
      <c r="D49" s="6">
        <v>0.11</v>
      </c>
    </row>
    <row r="50" spans="1:6">
      <c r="A50" s="120">
        <v>270</v>
      </c>
      <c r="B50" s="122">
        <f>F28</f>
        <v>11.98</v>
      </c>
      <c r="C50" s="122">
        <f>B56-B50</f>
        <v>0.26999999999999957</v>
      </c>
      <c r="D50" s="125">
        <f>C50/6</f>
        <v>4.4999999999999929E-2</v>
      </c>
    </row>
    <row r="51" spans="1:6">
      <c r="A51" s="120">
        <v>275</v>
      </c>
      <c r="B51" s="124">
        <f>B50+D51</f>
        <v>12.05</v>
      </c>
      <c r="D51" s="6">
        <v>7.0000000000000007E-2</v>
      </c>
    </row>
    <row r="52" spans="1:6">
      <c r="A52" s="120">
        <v>280</v>
      </c>
      <c r="B52" s="124">
        <f>B51+D52</f>
        <v>12.100000000000001</v>
      </c>
      <c r="D52" s="6">
        <v>0.05</v>
      </c>
    </row>
    <row r="53" spans="1:6">
      <c r="A53" s="120">
        <v>285</v>
      </c>
      <c r="B53" s="124">
        <f>B52+D53</f>
        <v>12.14</v>
      </c>
      <c r="D53" s="6">
        <v>0.04</v>
      </c>
    </row>
    <row r="54" spans="1:6">
      <c r="A54" s="120">
        <v>290</v>
      </c>
      <c r="B54" s="124">
        <f>B53+D54</f>
        <v>12.17</v>
      </c>
      <c r="D54" s="6">
        <v>0.03</v>
      </c>
    </row>
    <row r="55" spans="1:6">
      <c r="A55" s="120">
        <v>295</v>
      </c>
      <c r="B55" s="124">
        <f>B54+D55</f>
        <v>12.19</v>
      </c>
      <c r="D55" s="6">
        <v>0.02</v>
      </c>
    </row>
    <row r="56" spans="1:6">
      <c r="A56" s="120">
        <v>300</v>
      </c>
      <c r="B56" s="122">
        <f>F29</f>
        <v>12.25</v>
      </c>
      <c r="C56" s="122">
        <f>B60-B56</f>
        <v>0.27999999999999936</v>
      </c>
      <c r="D56" s="122">
        <f>C56/4</f>
        <v>6.999999999999984E-2</v>
      </c>
    </row>
    <row r="57" spans="1:6">
      <c r="A57" s="120">
        <v>315</v>
      </c>
      <c r="B57" s="124">
        <f>B56+D57</f>
        <v>12.33</v>
      </c>
      <c r="D57" s="6">
        <v>0.08</v>
      </c>
    </row>
    <row r="58" spans="1:6">
      <c r="A58" s="120">
        <v>330</v>
      </c>
      <c r="B58" s="124">
        <f>B57+D58</f>
        <v>12.39</v>
      </c>
      <c r="D58" s="6">
        <v>0.06</v>
      </c>
    </row>
    <row r="59" spans="1:6">
      <c r="A59" s="120">
        <v>345</v>
      </c>
      <c r="B59" s="124">
        <f>B58+D59</f>
        <v>12.440000000000001</v>
      </c>
      <c r="D59" s="6">
        <v>0.05</v>
      </c>
    </row>
    <row r="60" spans="1:6">
      <c r="A60" s="121">
        <v>360</v>
      </c>
      <c r="B60" s="122">
        <f>F30</f>
        <v>12.53</v>
      </c>
      <c r="C60" s="122">
        <f>B66-B60</f>
        <v>1.8399999999999999</v>
      </c>
      <c r="D60" s="123">
        <f>C60/10</f>
        <v>0.184</v>
      </c>
    </row>
    <row r="61" spans="1:6">
      <c r="A61" s="120">
        <v>361</v>
      </c>
      <c r="B61" s="124">
        <f>B60+D61</f>
        <v>12.719999999999999</v>
      </c>
      <c r="D61" s="6">
        <v>0.19</v>
      </c>
    </row>
    <row r="62" spans="1:6">
      <c r="A62" s="120">
        <v>362</v>
      </c>
      <c r="B62" s="124">
        <f>B61+D62</f>
        <v>12.889999999999999</v>
      </c>
      <c r="D62" s="6">
        <v>0.17</v>
      </c>
    </row>
    <row r="63" spans="1:6">
      <c r="A63" s="120">
        <v>363</v>
      </c>
      <c r="B63" s="124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0">
        <v>364</v>
      </c>
      <c r="B64" s="124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0">
        <v>365</v>
      </c>
      <c r="B65" s="124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0">
        <v>370</v>
      </c>
      <c r="B66" s="122">
        <f>F63</f>
        <v>14.37</v>
      </c>
      <c r="C66" s="126">
        <f>B68-B66</f>
        <v>0.30000000000000071</v>
      </c>
      <c r="D66" s="122">
        <f>C66/2</f>
        <v>0.15000000000000036</v>
      </c>
      <c r="E66" s="6">
        <v>420</v>
      </c>
      <c r="F66" s="6">
        <f>StepTest!G45</f>
        <v>15.29</v>
      </c>
    </row>
    <row r="67" spans="1:6">
      <c r="A67" s="120">
        <v>375</v>
      </c>
      <c r="B67" s="124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0">
        <v>380</v>
      </c>
      <c r="B68" s="127">
        <f>F64</f>
        <v>14.67</v>
      </c>
      <c r="C68" s="122">
        <f>B70-B68</f>
        <v>0.3100000000000005</v>
      </c>
      <c r="D68" s="122">
        <f>C68/2</f>
        <v>0.15500000000000025</v>
      </c>
      <c r="E68" s="6">
        <v>490</v>
      </c>
      <c r="F68" s="6">
        <f>StepTest!G47</f>
        <v>17.47</v>
      </c>
    </row>
    <row r="69" spans="1:6">
      <c r="A69" s="120">
        <v>385</v>
      </c>
      <c r="B69" s="124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0">
        <v>390</v>
      </c>
      <c r="B70" s="127">
        <f>F65</f>
        <v>14.98</v>
      </c>
      <c r="C70" s="122">
        <f>B76-B70</f>
        <v>0.30999999999999872</v>
      </c>
      <c r="D70" s="125">
        <f>C70/6</f>
        <v>5.1666666666666451E-2</v>
      </c>
      <c r="E70" s="6">
        <v>510</v>
      </c>
      <c r="F70" s="6">
        <f>StepTest!G49</f>
        <v>18.87</v>
      </c>
    </row>
    <row r="71" spans="1:6">
      <c r="A71" s="120">
        <v>395</v>
      </c>
      <c r="B71" s="124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0">
        <v>400</v>
      </c>
      <c r="B72" s="124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0">
        <v>405</v>
      </c>
      <c r="B73" s="124">
        <f>B72+D73</f>
        <v>15.14</v>
      </c>
      <c r="D73" s="6">
        <v>0.04</v>
      </c>
    </row>
    <row r="74" spans="1:6">
      <c r="A74" s="120">
        <v>410</v>
      </c>
      <c r="B74" s="124">
        <f>B73+D74</f>
        <v>15.17</v>
      </c>
      <c r="D74" s="6">
        <v>0.03</v>
      </c>
    </row>
    <row r="75" spans="1:6">
      <c r="A75" s="120">
        <v>415</v>
      </c>
      <c r="B75" s="124">
        <f>B74+D75</f>
        <v>15.2</v>
      </c>
      <c r="D75" s="6">
        <v>0.03</v>
      </c>
    </row>
    <row r="76" spans="1:6">
      <c r="A76" s="120">
        <v>420</v>
      </c>
      <c r="B76" s="127">
        <f>F66</f>
        <v>15.29</v>
      </c>
      <c r="C76" s="122">
        <f>B80-B76</f>
        <v>0.3100000000000005</v>
      </c>
      <c r="D76" s="122">
        <f>C76/4</f>
        <v>7.7500000000000124E-2</v>
      </c>
    </row>
    <row r="77" spans="1:6">
      <c r="A77" s="120">
        <v>435</v>
      </c>
      <c r="B77" s="124">
        <f>B76+D77</f>
        <v>15.379999999999999</v>
      </c>
      <c r="D77" s="6">
        <v>0.09</v>
      </c>
    </row>
    <row r="78" spans="1:6">
      <c r="A78" s="120">
        <v>450</v>
      </c>
      <c r="B78" s="124">
        <f>B77+D78</f>
        <v>15.45</v>
      </c>
      <c r="D78" s="6">
        <v>7.0000000000000007E-2</v>
      </c>
    </row>
    <row r="79" spans="1:6">
      <c r="A79" s="120">
        <v>465</v>
      </c>
      <c r="B79" s="124">
        <f>B78+D79</f>
        <v>15.5</v>
      </c>
      <c r="D79" s="6">
        <v>0.05</v>
      </c>
    </row>
    <row r="80" spans="1:6">
      <c r="A80" s="121">
        <v>480</v>
      </c>
      <c r="B80" s="127">
        <f>F67</f>
        <v>15.6</v>
      </c>
      <c r="C80" s="122">
        <f>B86-B80</f>
        <v>1.8699999999999992</v>
      </c>
      <c r="D80" s="123">
        <f>C80/10</f>
        <v>0.18699999999999992</v>
      </c>
    </row>
    <row r="81" spans="1:4">
      <c r="A81" s="120">
        <v>481</v>
      </c>
      <c r="B81" s="124">
        <f>B80+D81</f>
        <v>15.81</v>
      </c>
      <c r="D81" s="6">
        <v>0.21</v>
      </c>
    </row>
    <row r="82" spans="1:4">
      <c r="A82" s="120">
        <v>482</v>
      </c>
      <c r="B82" s="124">
        <f>B81+D82</f>
        <v>16</v>
      </c>
      <c r="D82" s="6">
        <v>0.19</v>
      </c>
    </row>
    <row r="83" spans="1:4">
      <c r="A83" s="120">
        <v>483</v>
      </c>
      <c r="B83" s="124">
        <f>B82+D83</f>
        <v>16.170000000000002</v>
      </c>
      <c r="D83" s="6">
        <v>0.17</v>
      </c>
    </row>
    <row r="84" spans="1:4">
      <c r="A84" s="120">
        <v>484</v>
      </c>
      <c r="B84" s="124">
        <f>B83+D84</f>
        <v>16.330000000000002</v>
      </c>
      <c r="D84" s="6">
        <v>0.16</v>
      </c>
    </row>
    <row r="85" spans="1:4">
      <c r="A85" s="120">
        <v>485</v>
      </c>
      <c r="B85" s="124">
        <f>B84+D85</f>
        <v>16.470000000000002</v>
      </c>
      <c r="D85" s="6">
        <v>0.14000000000000001</v>
      </c>
    </row>
    <row r="86" spans="1:4">
      <c r="A86" s="120">
        <v>490</v>
      </c>
      <c r="B86" s="127">
        <f>F68</f>
        <v>17.47</v>
      </c>
      <c r="C86" s="122">
        <f>B88-B86</f>
        <v>0.70000000000000284</v>
      </c>
      <c r="D86" s="122">
        <f>C86/2</f>
        <v>0.35000000000000142</v>
      </c>
    </row>
    <row r="87" spans="1:4">
      <c r="A87" s="120">
        <v>495</v>
      </c>
      <c r="B87" s="124">
        <f>B86+D87</f>
        <v>17.779999999999998</v>
      </c>
      <c r="D87" s="6">
        <v>0.31</v>
      </c>
    </row>
    <row r="88" spans="1:4">
      <c r="A88" s="120">
        <v>500</v>
      </c>
      <c r="B88" s="127">
        <f>F69</f>
        <v>18.170000000000002</v>
      </c>
      <c r="C88" s="122">
        <f>B90-B88</f>
        <v>0.69999999999999929</v>
      </c>
      <c r="D88" s="122">
        <f>C88/2</f>
        <v>0.34999999999999964</v>
      </c>
    </row>
    <row r="89" spans="1:4">
      <c r="A89" s="120">
        <v>505</v>
      </c>
      <c r="B89" s="124">
        <f>B88+D89</f>
        <v>18.470000000000002</v>
      </c>
      <c r="D89" s="6">
        <v>0.3</v>
      </c>
    </row>
    <row r="90" spans="1:4">
      <c r="A90" s="120">
        <v>510</v>
      </c>
      <c r="B90" s="127">
        <f>F70</f>
        <v>18.87</v>
      </c>
      <c r="C90" s="122">
        <f>B96-B90</f>
        <v>0.69999999999999929</v>
      </c>
      <c r="D90" s="125">
        <f>C90/6</f>
        <v>0.11666666666666654</v>
      </c>
    </row>
    <row r="91" spans="1:4">
      <c r="A91" s="120">
        <v>515</v>
      </c>
      <c r="B91" s="124">
        <f>B90+D91</f>
        <v>19.02</v>
      </c>
      <c r="D91" s="6">
        <v>0.15</v>
      </c>
    </row>
    <row r="92" spans="1:4">
      <c r="A92" s="120">
        <v>520</v>
      </c>
      <c r="B92" s="124">
        <f>B91+D92</f>
        <v>19.149999999999999</v>
      </c>
      <c r="D92" s="6">
        <v>0.13</v>
      </c>
    </row>
    <row r="93" spans="1:4">
      <c r="A93" s="120">
        <v>525</v>
      </c>
      <c r="B93" s="124">
        <f>B92+D93</f>
        <v>19.259999999999998</v>
      </c>
      <c r="D93" s="6">
        <v>0.11</v>
      </c>
    </row>
    <row r="94" spans="1:4">
      <c r="A94" s="120">
        <v>530</v>
      </c>
      <c r="B94" s="124">
        <f>B93+D94</f>
        <v>19.339999999999996</v>
      </c>
      <c r="D94" s="6">
        <v>0.08</v>
      </c>
    </row>
    <row r="95" spans="1:4">
      <c r="A95" s="120">
        <v>535</v>
      </c>
      <c r="B95" s="124">
        <f>B94+D95</f>
        <v>19.409999999999997</v>
      </c>
      <c r="D95" s="6">
        <v>7.0000000000000007E-2</v>
      </c>
    </row>
    <row r="96" spans="1:4">
      <c r="A96" s="120">
        <v>540</v>
      </c>
      <c r="B96" s="127">
        <f>F71</f>
        <v>19.57</v>
      </c>
      <c r="C96" s="122">
        <f>B100-B96</f>
        <v>0.71000000000000085</v>
      </c>
      <c r="D96" s="122">
        <f>C96/4</f>
        <v>0.17750000000000021</v>
      </c>
    </row>
    <row r="97" spans="1:4">
      <c r="A97" s="120">
        <v>555</v>
      </c>
      <c r="B97" s="124">
        <f>B96+D97</f>
        <v>19.760000000000002</v>
      </c>
      <c r="D97" s="6">
        <v>0.19</v>
      </c>
    </row>
    <row r="98" spans="1:4">
      <c r="A98" s="120">
        <v>570</v>
      </c>
      <c r="B98" s="124">
        <f>B97+D98</f>
        <v>19.920000000000002</v>
      </c>
      <c r="D98" s="6">
        <v>0.16</v>
      </c>
    </row>
    <row r="99" spans="1:4">
      <c r="A99" s="120">
        <v>585</v>
      </c>
      <c r="B99" s="124">
        <f>B98+D99</f>
        <v>20.060000000000002</v>
      </c>
      <c r="D99" s="6">
        <v>0.14000000000000001</v>
      </c>
    </row>
    <row r="100" spans="1:4">
      <c r="A100" s="121">
        <v>600</v>
      </c>
      <c r="B100" s="66">
        <f>F72</f>
        <v>20.28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" zoomScaleNormal="100" workbookViewId="0">
      <selection activeCell="T17" sqref="T17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04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04" customFormat="1">
      <c r="A2" s="271" t="s">
        <v>0</v>
      </c>
      <c r="B2" s="271" t="s">
        <v>238</v>
      </c>
      <c r="C2" s="4"/>
      <c r="D2" s="208">
        <f>D19</f>
        <v>297</v>
      </c>
      <c r="E2" s="3">
        <f>M51/3</f>
        <v>174</v>
      </c>
      <c r="F2" s="272" t="s">
        <v>2</v>
      </c>
      <c r="G2" s="3" t="s">
        <v>3</v>
      </c>
    </row>
    <row r="3" spans="1:15" s="204" customFormat="1">
      <c r="A3" s="209">
        <f>B3+$M$48</f>
        <v>11.690000000000001</v>
      </c>
      <c r="B3" s="292">
        <f>B20</f>
        <v>7.33</v>
      </c>
      <c r="C3" s="210"/>
      <c r="D3" s="293">
        <f t="shared" ref="D3:D7" si="0">D20</f>
        <v>330</v>
      </c>
      <c r="E3" s="4">
        <f>D3/12</f>
        <v>27.5</v>
      </c>
      <c r="F3" s="211">
        <f>B3/D3</f>
        <v>2.2212121212121211E-2</v>
      </c>
      <c r="G3" s="211">
        <f>1/F3</f>
        <v>45.020463847203274</v>
      </c>
    </row>
    <row r="4" spans="1:15" s="204" customFormat="1">
      <c r="A4" s="209">
        <f>B4+$M$48</f>
        <v>14.14</v>
      </c>
      <c r="B4" s="210">
        <f>B21</f>
        <v>9.7799999999999994</v>
      </c>
      <c r="C4" s="210"/>
      <c r="D4" s="208">
        <f t="shared" si="0"/>
        <v>420</v>
      </c>
      <c r="E4" s="4">
        <f>D4/12</f>
        <v>35</v>
      </c>
      <c r="F4" s="211">
        <f t="shared" ref="F4:F7" si="1">B4/D4</f>
        <v>2.3285714285714285E-2</v>
      </c>
      <c r="G4" s="211">
        <f t="shared" ref="G4:G7" si="2">1/F4</f>
        <v>42.944785276073624</v>
      </c>
    </row>
    <row r="5" spans="1:15" s="204" customFormat="1">
      <c r="A5" s="209">
        <f>B5+$M$48</f>
        <v>16.89</v>
      </c>
      <c r="B5" s="210">
        <f>B22</f>
        <v>12.53</v>
      </c>
      <c r="C5" s="210"/>
      <c r="D5" s="208">
        <f t="shared" si="0"/>
        <v>510</v>
      </c>
      <c r="E5" s="4">
        <f>D5/12</f>
        <v>42.5</v>
      </c>
      <c r="F5" s="211">
        <f t="shared" si="1"/>
        <v>2.4568627450980391E-2</v>
      </c>
      <c r="G5" s="211">
        <f t="shared" si="2"/>
        <v>40.702314445331204</v>
      </c>
    </row>
    <row r="6" spans="1:15" s="204" customFormat="1">
      <c r="A6" s="209">
        <f>B6+$M$48</f>
        <v>19.96</v>
      </c>
      <c r="B6" s="292">
        <f>B23</f>
        <v>15.6</v>
      </c>
      <c r="C6" s="210"/>
      <c r="D6" s="208">
        <f>D23</f>
        <v>600</v>
      </c>
      <c r="E6" s="4">
        <f>D6/12</f>
        <v>50</v>
      </c>
      <c r="F6" s="211">
        <f t="shared" si="1"/>
        <v>2.5999999999999999E-2</v>
      </c>
      <c r="G6" s="211">
        <f t="shared" si="2"/>
        <v>38.46153846153846</v>
      </c>
    </row>
    <row r="7" spans="1:15" s="204" customFormat="1">
      <c r="A7" s="209">
        <f>B7+$M$48</f>
        <v>24.64</v>
      </c>
      <c r="B7" s="210">
        <f>B24</f>
        <v>20.28</v>
      </c>
      <c r="C7" s="210"/>
      <c r="D7" s="208">
        <f t="shared" si="0"/>
        <v>690</v>
      </c>
      <c r="E7" s="4">
        <f>D7/12</f>
        <v>57.5</v>
      </c>
      <c r="F7" s="211">
        <f t="shared" si="1"/>
        <v>2.9391304347826087E-2</v>
      </c>
      <c r="G7" s="211">
        <f t="shared" si="2"/>
        <v>34.023668639053255</v>
      </c>
    </row>
    <row r="8" spans="1:15" s="204" customFormat="1">
      <c r="A8" s="4"/>
      <c r="B8" s="4" t="s">
        <v>4</v>
      </c>
      <c r="C8" s="4"/>
      <c r="D8" s="4"/>
      <c r="E8" s="461" t="s">
        <v>5</v>
      </c>
      <c r="F8" s="461"/>
      <c r="G8" s="461"/>
    </row>
    <row r="9" spans="1:15" s="204" customFormat="1">
      <c r="A9" s="4" t="s">
        <v>6</v>
      </c>
      <c r="B9" s="4" t="s">
        <v>2</v>
      </c>
      <c r="C9" s="4"/>
      <c r="D9" s="4"/>
      <c r="E9" s="270">
        <v>0.98</v>
      </c>
      <c r="F9" s="462" t="s">
        <v>7</v>
      </c>
      <c r="G9" s="462"/>
    </row>
    <row r="10" spans="1:15" s="204" customFormat="1">
      <c r="A10" s="213">
        <f>D20/B20</f>
        <v>45.020463847203274</v>
      </c>
      <c r="B10" s="213">
        <f>B20/D20</f>
        <v>2.2212121212121211E-2</v>
      </c>
      <c r="C10" s="4"/>
      <c r="D10" s="4"/>
      <c r="E10" s="270">
        <v>0.98</v>
      </c>
      <c r="F10" s="462" t="s">
        <v>8</v>
      </c>
      <c r="G10" s="462"/>
    </row>
    <row r="11" spans="1:15" s="204" customFormat="1">
      <c r="A11" s="213">
        <f t="shared" ref="A11:A14" si="3">D21/B21</f>
        <v>42.944785276073624</v>
      </c>
      <c r="B11" s="213">
        <f t="shared" ref="B11:B14" si="4">B21/D21</f>
        <v>2.3285714285714285E-2</v>
      </c>
      <c r="C11" s="4"/>
      <c r="D11" s="4" t="s">
        <v>4</v>
      </c>
      <c r="E11" s="270">
        <v>0.98</v>
      </c>
      <c r="F11" s="462" t="s">
        <v>9</v>
      </c>
      <c r="G11" s="462"/>
    </row>
    <row r="12" spans="1:15" s="204" customFormat="1">
      <c r="A12" s="213">
        <f t="shared" si="3"/>
        <v>40.702314445331204</v>
      </c>
      <c r="B12" s="213">
        <f t="shared" si="4"/>
        <v>2.4568627450980391E-2</v>
      </c>
      <c r="C12" s="4"/>
      <c r="D12" s="4"/>
      <c r="E12" s="270">
        <v>1</v>
      </c>
      <c r="F12" s="462" t="s">
        <v>10</v>
      </c>
      <c r="G12" s="462"/>
    </row>
    <row r="13" spans="1:15" s="204" customFormat="1">
      <c r="A13" s="213">
        <f t="shared" si="3"/>
        <v>38.46153846153846</v>
      </c>
      <c r="B13" s="213">
        <f t="shared" si="4"/>
        <v>2.5999999999999999E-2</v>
      </c>
      <c r="C13" s="4"/>
      <c r="D13" s="4" t="s">
        <v>4</v>
      </c>
      <c r="E13" s="461" t="s">
        <v>11</v>
      </c>
      <c r="F13" s="461"/>
      <c r="G13" s="461"/>
    </row>
    <row r="14" spans="1:15" s="204" customFormat="1">
      <c r="A14" s="213">
        <f t="shared" si="3"/>
        <v>34.023668639053255</v>
      </c>
      <c r="B14" s="213">
        <f t="shared" si="4"/>
        <v>2.9391304347826087E-2</v>
      </c>
      <c r="C14" s="4"/>
      <c r="D14" s="4"/>
      <c r="E14" s="270">
        <v>1</v>
      </c>
      <c r="F14" s="462" t="s">
        <v>7</v>
      </c>
      <c r="G14" s="462"/>
    </row>
    <row r="15" spans="1:15" s="204" customFormat="1">
      <c r="A15" s="4"/>
      <c r="B15" s="4"/>
      <c r="C15" s="4"/>
      <c r="D15" s="4"/>
      <c r="E15" s="270">
        <v>1</v>
      </c>
      <c r="F15" s="462" t="s">
        <v>8</v>
      </c>
      <c r="G15" s="462"/>
    </row>
    <row r="16" spans="1:15" s="204" customFormat="1">
      <c r="A16" s="4"/>
      <c r="B16" s="203" t="s">
        <v>12</v>
      </c>
      <c r="C16" s="4"/>
      <c r="D16" s="203" t="s">
        <v>13</v>
      </c>
      <c r="E16" s="270">
        <v>1</v>
      </c>
      <c r="F16" s="462" t="s">
        <v>9</v>
      </c>
      <c r="G16" s="462"/>
      <c r="O16" s="260">
        <v>45024</v>
      </c>
    </row>
    <row r="17" spans="1:21" s="204" customFormat="1">
      <c r="A17" s="4"/>
      <c r="B17" s="212">
        <f>M52</f>
        <v>15.6</v>
      </c>
      <c r="C17" s="4"/>
      <c r="D17" s="277">
        <f>M47</f>
        <v>600</v>
      </c>
      <c r="E17" s="270">
        <v>1</v>
      </c>
      <c r="F17" s="462" t="s">
        <v>10</v>
      </c>
      <c r="G17" s="462"/>
      <c r="P17" s="5"/>
      <c r="Q17" s="214"/>
      <c r="S17" s="215"/>
    </row>
    <row r="18" spans="1:21" s="204" customFormat="1">
      <c r="A18" s="4"/>
      <c r="B18" s="4"/>
      <c r="C18" s="4"/>
      <c r="D18" s="4"/>
      <c r="E18" s="4"/>
      <c r="F18" s="210"/>
      <c r="G18" s="210"/>
      <c r="P18" s="5"/>
    </row>
    <row r="19" spans="1:21" s="204" customFormat="1">
      <c r="A19" s="4"/>
      <c r="B19" s="210"/>
      <c r="C19" s="210"/>
      <c r="D19" s="216">
        <f>INT(D20*0.9)</f>
        <v>297</v>
      </c>
      <c r="E19" s="4"/>
      <c r="F19" s="210"/>
      <c r="G19" s="210"/>
    </row>
    <row r="20" spans="1:21" s="204" customFormat="1">
      <c r="A20" s="271" t="s">
        <v>244</v>
      </c>
      <c r="B20" s="217">
        <f>INT(B$17*C20*100)/100</f>
        <v>7.33</v>
      </c>
      <c r="C20" s="4">
        <f>0.48*E9</f>
        <v>0.47039999999999998</v>
      </c>
      <c r="D20" s="235">
        <f>INT(D$17*E20)</f>
        <v>330</v>
      </c>
      <c r="E20" s="278">
        <f>0.55*E14</f>
        <v>0.55000000000000004</v>
      </c>
      <c r="F20" s="211">
        <f>B20/D20</f>
        <v>2.2212121212121211E-2</v>
      </c>
      <c r="G20" s="4">
        <f>F20-F19</f>
        <v>2.2212121212121211E-2</v>
      </c>
    </row>
    <row r="21" spans="1:21" s="204" customFormat="1" ht="16.5">
      <c r="A21" s="210">
        <f>B21-B20</f>
        <v>2.4499999999999993</v>
      </c>
      <c r="B21" s="217">
        <f>INT(B$17*C21*100)/100</f>
        <v>9.7799999999999994</v>
      </c>
      <c r="C21" s="4">
        <f>0.64*E10</f>
        <v>0.62719999999999998</v>
      </c>
      <c r="D21" s="235">
        <f>INT(D$17*E21)</f>
        <v>420</v>
      </c>
      <c r="E21" s="278">
        <f>0.7*E15</f>
        <v>0.7</v>
      </c>
      <c r="F21" s="211">
        <f>B21/D21</f>
        <v>2.3285714285714285E-2</v>
      </c>
      <c r="G21" s="4">
        <f>F21-F20</f>
        <v>1.0735930735930738E-3</v>
      </c>
      <c r="O21" s="218"/>
      <c r="P21" s="218"/>
      <c r="Q21" s="218"/>
      <c r="R21" s="218"/>
      <c r="S21" s="218"/>
      <c r="T21" s="218"/>
    </row>
    <row r="22" spans="1:21" s="204" customFormat="1">
      <c r="A22" s="210">
        <f>B22-B21</f>
        <v>2.75</v>
      </c>
      <c r="B22" s="217">
        <f>INT(B$17*C22*100)/100</f>
        <v>12.53</v>
      </c>
      <c r="C22" s="4">
        <f>0.82*E11</f>
        <v>0.80359999999999998</v>
      </c>
      <c r="D22" s="236">
        <f>(D$17*E22)</f>
        <v>510</v>
      </c>
      <c r="E22" s="278">
        <f>0.85*E16</f>
        <v>0.85</v>
      </c>
      <c r="F22" s="211">
        <f>B22/D22</f>
        <v>2.4568627450980391E-2</v>
      </c>
      <c r="G22" s="4">
        <f>F22-F21</f>
        <v>1.2829131652661065E-3</v>
      </c>
    </row>
    <row r="23" spans="1:21" s="204" customFormat="1">
      <c r="A23" s="210">
        <f>B23-B22</f>
        <v>3.0700000000000003</v>
      </c>
      <c r="B23" s="217">
        <f>INT(B$17*C23*100)/100</f>
        <v>15.6</v>
      </c>
      <c r="C23" s="4">
        <v>1</v>
      </c>
      <c r="D23" s="235">
        <f>D$17*E23</f>
        <v>600</v>
      </c>
      <c r="E23" s="276">
        <v>1</v>
      </c>
      <c r="F23" s="211">
        <f>B23/D23</f>
        <v>2.5999999999999999E-2</v>
      </c>
      <c r="G23" s="4">
        <f>F23-F22</f>
        <v>1.4313725490196078E-3</v>
      </c>
      <c r="O23" s="219"/>
      <c r="Q23" s="219"/>
      <c r="S23" s="219"/>
      <c r="U23" s="219"/>
    </row>
    <row r="24" spans="1:21" s="204" customFormat="1">
      <c r="A24" s="210">
        <f>B24-B23</f>
        <v>4.6800000000000015</v>
      </c>
      <c r="B24" s="217">
        <f>INT(B$17*C24*100)/100</f>
        <v>20.28</v>
      </c>
      <c r="C24" s="4">
        <f>1.3*E12</f>
        <v>1.3</v>
      </c>
      <c r="D24" s="235">
        <f>D$17*E24</f>
        <v>690</v>
      </c>
      <c r="E24" s="276">
        <f>1.15*E17</f>
        <v>1.1499999999999999</v>
      </c>
      <c r="F24" s="211"/>
      <c r="G24" s="210"/>
      <c r="O24" s="219"/>
      <c r="Q24" s="219"/>
      <c r="S24" s="219"/>
      <c r="U24" s="219"/>
    </row>
    <row r="25" spans="1:21" s="204" customFormat="1">
      <c r="A25" s="4"/>
      <c r="B25" s="4"/>
      <c r="C25" s="4"/>
      <c r="D25" s="220"/>
      <c r="E25" s="4"/>
      <c r="F25" s="211">
        <f>B24/D24</f>
        <v>2.9391304347826087E-2</v>
      </c>
      <c r="G25" s="210"/>
      <c r="O25" s="219"/>
      <c r="Q25" s="219"/>
      <c r="S25" s="219"/>
      <c r="U25" s="219"/>
    </row>
    <row r="26" spans="1:21" s="204" customFormat="1">
      <c r="A26" s="445" t="s">
        <v>14</v>
      </c>
      <c r="B26" s="445"/>
      <c r="C26" s="221">
        <f>INT(M51*1)</f>
        <v>522</v>
      </c>
      <c r="D26" s="4"/>
      <c r="E26" s="4"/>
      <c r="F26" s="222">
        <f>M50/M51</f>
        <v>3.3582375478927208E-2</v>
      </c>
      <c r="G26" s="4"/>
      <c r="O26" s="219"/>
      <c r="Q26" s="219"/>
      <c r="S26" s="219"/>
      <c r="U26" s="219"/>
    </row>
    <row r="27" spans="1:21" s="204" customFormat="1">
      <c r="A27" s="445" t="s">
        <v>15</v>
      </c>
      <c r="B27" s="445"/>
      <c r="C27" s="223">
        <f>SafeYield!B7</f>
        <v>546.00215358489913</v>
      </c>
      <c r="D27" s="210">
        <f>(C27/D6)*100</f>
        <v>91.000358930816532</v>
      </c>
      <c r="E27" s="4"/>
      <c r="F27" s="4"/>
      <c r="G27" s="4"/>
      <c r="O27" s="219"/>
      <c r="Q27" s="219"/>
      <c r="S27" s="219"/>
      <c r="U27" s="219"/>
    </row>
    <row r="28" spans="1:21" s="204" customFormat="1">
      <c r="A28" s="4"/>
      <c r="B28" s="4"/>
      <c r="C28" s="4"/>
      <c r="D28" s="4"/>
      <c r="E28" s="4"/>
      <c r="F28" s="4"/>
      <c r="G28" s="4"/>
      <c r="O28" s="219"/>
      <c r="Q28" s="219"/>
      <c r="S28" s="219"/>
      <c r="U28" s="219"/>
    </row>
    <row r="29" spans="1:21" s="204" customFormat="1" ht="13.5" customHeight="1">
      <c r="A29" s="4"/>
      <c r="B29" s="4"/>
      <c r="C29" s="4"/>
      <c r="D29" s="4"/>
      <c r="E29" s="4"/>
      <c r="F29" s="4"/>
      <c r="G29" s="4"/>
      <c r="O29" s="219"/>
      <c r="Q29" s="219"/>
      <c r="S29" s="219"/>
      <c r="U29" s="219"/>
    </row>
    <row r="30" spans="1:21" s="204" customFormat="1" ht="13.5" customHeight="1">
      <c r="A30" s="203" t="s">
        <v>16</v>
      </c>
      <c r="B30" s="203" t="s">
        <v>17</v>
      </c>
      <c r="C30" s="4"/>
      <c r="D30" s="4"/>
      <c r="E30" s="224">
        <f>ROUNDUP(F32,-1)</f>
        <v>80</v>
      </c>
      <c r="F30" s="224">
        <f>ROUNDDOWN(F35,-1)</f>
        <v>60</v>
      </c>
      <c r="G30" s="4"/>
      <c r="O30" s="219"/>
      <c r="Q30" s="219"/>
      <c r="S30" s="219"/>
      <c r="U30" s="219"/>
    </row>
    <row r="31" spans="1:21" s="204" customFormat="1" ht="13.5" customHeight="1">
      <c r="A31" s="270">
        <v>1.4100000000000001E-5</v>
      </c>
      <c r="B31" s="270">
        <v>1.7482600000000001E-2</v>
      </c>
      <c r="C31" s="4"/>
      <c r="D31" s="208">
        <f t="shared" ref="D31:D36" si="5">D19</f>
        <v>297</v>
      </c>
      <c r="E31" s="4"/>
      <c r="F31" s="224"/>
      <c r="G31" s="224"/>
      <c r="O31" s="219"/>
      <c r="Q31" s="219"/>
      <c r="S31" s="219"/>
      <c r="U31" s="219"/>
    </row>
    <row r="32" spans="1:21" s="204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08">
        <f t="shared" si="5"/>
        <v>330</v>
      </c>
      <c r="E32" s="4"/>
      <c r="F32" s="224">
        <f>B32*D32/(B32*D32+A32*D32*D32)*100</f>
        <v>78.979562333977853</v>
      </c>
      <c r="G32" s="224"/>
      <c r="O32" s="219"/>
      <c r="Q32" s="219"/>
      <c r="S32" s="219"/>
      <c r="U32" s="219"/>
    </row>
    <row r="33" spans="1:21" s="204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08">
        <f t="shared" si="5"/>
        <v>420</v>
      </c>
      <c r="E33" s="4"/>
      <c r="F33" s="224">
        <f>B33*D33/(B33*D33+A33*D33*D33)*100</f>
        <v>74.697281730941796</v>
      </c>
      <c r="G33" s="224"/>
      <c r="N33" s="218"/>
      <c r="O33" s="225"/>
      <c r="P33" s="226"/>
      <c r="Q33" s="225"/>
      <c r="R33" s="226"/>
      <c r="S33" s="225"/>
      <c r="T33" s="226"/>
      <c r="U33" s="225"/>
    </row>
    <row r="34" spans="1:21" s="204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08">
        <f t="shared" si="5"/>
        <v>510</v>
      </c>
      <c r="E34" s="4"/>
      <c r="F34" s="224">
        <f>B34*D34/(B34*D34+A34*D34*D34)*100</f>
        <v>70.855489267881453</v>
      </c>
      <c r="G34" s="224"/>
      <c r="N34" s="218"/>
      <c r="O34" s="225"/>
      <c r="P34" s="227"/>
      <c r="Q34" s="225"/>
      <c r="R34" s="227"/>
      <c r="S34" s="225"/>
      <c r="T34" s="227"/>
      <c r="U34" s="225"/>
    </row>
    <row r="35" spans="1:21" s="204" customFormat="1" ht="13.5" customHeight="1">
      <c r="A35" s="4">
        <f>A34</f>
        <v>1.4100000000000001E-5</v>
      </c>
      <c r="B35" s="4">
        <f>B34</f>
        <v>1.7482600000000001E-2</v>
      </c>
      <c r="C35" s="4"/>
      <c r="D35" s="208">
        <f t="shared" si="5"/>
        <v>600</v>
      </c>
      <c r="E35" s="4"/>
      <c r="F35" s="224">
        <f>B35*D35/(B35*D35+A35*D35*D35)*100</f>
        <v>67.389544610023663</v>
      </c>
      <c r="G35" s="224"/>
      <c r="N35" s="218"/>
    </row>
    <row r="36" spans="1:21" s="204" customFormat="1" ht="13.5" customHeight="1">
      <c r="A36" s="4"/>
      <c r="B36" s="4"/>
      <c r="C36" s="4"/>
      <c r="D36" s="208">
        <f t="shared" si="5"/>
        <v>690</v>
      </c>
      <c r="E36" s="4"/>
      <c r="F36" s="224"/>
      <c r="G36" s="224"/>
      <c r="N36" s="218"/>
    </row>
    <row r="37" spans="1:21" s="204" customFormat="1" ht="13.5" customHeight="1">
      <c r="A37" s="203" t="s">
        <v>18</v>
      </c>
      <c r="B37" s="203" t="s">
        <v>19</v>
      </c>
      <c r="C37" s="203" t="s">
        <v>20</v>
      </c>
      <c r="D37" s="4" t="s">
        <v>21</v>
      </c>
      <c r="E37" s="4" t="s">
        <v>21</v>
      </c>
      <c r="F37" s="224">
        <f>AVERAGE(F32:F35)</f>
        <v>72.980469485706195</v>
      </c>
      <c r="G37" s="4"/>
      <c r="P37" s="257">
        <v>1.4100000000000001E-5</v>
      </c>
      <c r="Q37" s="257">
        <v>4.2999999999999997E-2</v>
      </c>
    </row>
    <row r="38" spans="1:21" s="204" customFormat="1" ht="13.5" customHeight="1">
      <c r="A38" s="279">
        <v>70.484000000000009</v>
      </c>
      <c r="B38" s="270">
        <v>4.2999999999999997E-2</v>
      </c>
      <c r="C38" s="270">
        <v>92.93</v>
      </c>
      <c r="D38" s="4"/>
      <c r="E38" s="4" t="s">
        <v>21</v>
      </c>
      <c r="F38" s="4"/>
      <c r="G38" s="4"/>
      <c r="P38" s="257">
        <v>1.7482600000000001E-2</v>
      </c>
      <c r="Q38" s="257">
        <v>92.93</v>
      </c>
    </row>
    <row r="39" spans="1:21" s="204" customFormat="1" ht="13.5" customHeight="1">
      <c r="A39" s="205"/>
      <c r="B39" s="4" t="s">
        <v>22</v>
      </c>
      <c r="C39" s="210">
        <f>(C38-A38)/B38</f>
        <v>522</v>
      </c>
      <c r="D39" s="4">
        <f>C38-B38*M51</f>
        <v>70.484000000000009</v>
      </c>
      <c r="E39" s="4"/>
      <c r="F39" s="4"/>
      <c r="G39" s="4"/>
    </row>
    <row r="40" spans="1:21" s="204" customFormat="1" ht="13.5" customHeight="1">
      <c r="A40" s="205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04" customFormat="1" ht="13.5" customHeight="1">
      <c r="A41" s="4"/>
      <c r="B41" s="4"/>
      <c r="C41" s="4"/>
      <c r="D41" s="4"/>
      <c r="E41" s="4"/>
      <c r="F41" s="4"/>
      <c r="G41" s="4"/>
    </row>
    <row r="42" spans="1:21" s="204" customFormat="1" ht="17.25" customHeight="1" thickBot="1">
      <c r="A42" s="273" t="s">
        <v>24</v>
      </c>
      <c r="B42" s="274"/>
      <c r="C42" s="4"/>
      <c r="D42" s="4"/>
      <c r="E42" s="4"/>
      <c r="F42" s="4"/>
      <c r="G42" s="4"/>
    </row>
    <row r="43" spans="1:21" s="204" customFormat="1" ht="21" customHeight="1">
      <c r="A43" s="273" t="s">
        <v>25</v>
      </c>
      <c r="B43" s="275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84" t="s">
        <v>27</v>
      </c>
      <c r="R43" s="285" t="s">
        <v>0</v>
      </c>
      <c r="S43" s="285" t="s">
        <v>1</v>
      </c>
      <c r="T43" s="285" t="s">
        <v>3</v>
      </c>
      <c r="U43" s="286" t="s">
        <v>2</v>
      </c>
    </row>
    <row r="44" spans="1:21" s="204" customFormat="1" ht="16.5">
      <c r="A44" s="228">
        <f>B58</f>
        <v>40.21</v>
      </c>
      <c r="B44" s="401" t="s">
        <v>28</v>
      </c>
      <c r="C44" s="402"/>
      <c r="D44" s="402"/>
      <c r="E44" s="4"/>
      <c r="F44" s="4"/>
      <c r="G44" s="4"/>
      <c r="H44" s="261" t="s">
        <v>29</v>
      </c>
      <c r="I44" s="446" t="s">
        <v>298</v>
      </c>
      <c r="J44" s="447"/>
      <c r="K44" s="448"/>
      <c r="L44" s="261" t="s">
        <v>30</v>
      </c>
      <c r="M44" s="265">
        <v>200</v>
      </c>
      <c r="N44" s="261" t="s">
        <v>31</v>
      </c>
      <c r="Q44" s="406">
        <v>330</v>
      </c>
      <c r="R44" s="237">
        <v>11.690000000000001</v>
      </c>
      <c r="S44" s="237">
        <v>7.33</v>
      </c>
      <c r="T44" s="238">
        <v>45.02</v>
      </c>
      <c r="U44" s="287">
        <v>2.2212121212121211E-2</v>
      </c>
    </row>
    <row r="45" spans="1:21" s="204" customFormat="1" ht="16.5">
      <c r="A45" s="270">
        <v>5.0000000000000001E-4</v>
      </c>
      <c r="B45" s="401" t="s">
        <v>32</v>
      </c>
      <c r="C45" s="402"/>
      <c r="D45" s="402"/>
      <c r="E45" s="4"/>
      <c r="F45" s="4"/>
      <c r="G45" s="4"/>
      <c r="H45" s="261" t="s">
        <v>33</v>
      </c>
      <c r="I45" s="455" t="s">
        <v>299</v>
      </c>
      <c r="J45" s="456"/>
      <c r="K45" s="457"/>
      <c r="L45" s="261" t="s">
        <v>34</v>
      </c>
      <c r="M45" s="232">
        <v>500</v>
      </c>
      <c r="N45" s="266">
        <f>M44</f>
        <v>200</v>
      </c>
      <c r="Q45" s="406">
        <v>420</v>
      </c>
      <c r="R45" s="237">
        <v>14.14</v>
      </c>
      <c r="S45" s="237">
        <v>9.7799999999999994</v>
      </c>
      <c r="T45" s="238">
        <v>42.945</v>
      </c>
      <c r="U45" s="287">
        <v>2.3285714285714285E-2</v>
      </c>
    </row>
    <row r="46" spans="1:21" s="204" customFormat="1" ht="16.5">
      <c r="A46" s="4">
        <f>B34</f>
        <v>1.7482600000000001E-2</v>
      </c>
      <c r="B46" s="401" t="s">
        <v>35</v>
      </c>
      <c r="C46" s="449" t="s">
        <v>36</v>
      </c>
      <c r="D46" s="449"/>
      <c r="E46" s="4"/>
      <c r="F46" s="4"/>
      <c r="G46" s="4"/>
      <c r="H46" s="261" t="s">
        <v>37</v>
      </c>
      <c r="I46" s="446" t="s">
        <v>300</v>
      </c>
      <c r="J46" s="447"/>
      <c r="K46" s="448"/>
      <c r="L46" s="261" t="s">
        <v>38</v>
      </c>
      <c r="M46" s="229">
        <f>IF(I52&gt;M48, M45-I52,M45-M48)</f>
        <v>470</v>
      </c>
      <c r="N46" s="12"/>
      <c r="Q46" s="406">
        <v>510</v>
      </c>
      <c r="R46" s="237">
        <v>16.89</v>
      </c>
      <c r="S46" s="237">
        <v>12.53</v>
      </c>
      <c r="T46" s="238">
        <v>40.701999999999998</v>
      </c>
      <c r="U46" s="287">
        <v>2.4568627450980391E-2</v>
      </c>
    </row>
    <row r="47" spans="1:21" s="204" customFormat="1" ht="16.5">
      <c r="A47" s="4">
        <f>120/1440</f>
        <v>8.3333333333333329E-2</v>
      </c>
      <c r="B47" s="401" t="s">
        <v>39</v>
      </c>
      <c r="C47" s="449" t="s">
        <v>40</v>
      </c>
      <c r="D47" s="449"/>
      <c r="E47" s="4"/>
      <c r="F47" s="4"/>
      <c r="G47" s="4"/>
      <c r="H47" s="261" t="s">
        <v>41</v>
      </c>
      <c r="I47" s="458" t="s">
        <v>223</v>
      </c>
      <c r="J47" s="459"/>
      <c r="K47" s="460"/>
      <c r="L47" s="261" t="s">
        <v>42</v>
      </c>
      <c r="M47" s="230">
        <f>INT((M51*100)/M53)</f>
        <v>600</v>
      </c>
      <c r="N47" s="12"/>
      <c r="Q47" s="406">
        <v>600</v>
      </c>
      <c r="R47" s="237">
        <v>19.96</v>
      </c>
      <c r="S47" s="237">
        <v>15.6</v>
      </c>
      <c r="T47" s="238">
        <v>38.462000000000003</v>
      </c>
      <c r="U47" s="287">
        <v>2.5999999999999999E-2</v>
      </c>
    </row>
    <row r="48" spans="1:21" s="204" customFormat="1" ht="17.25" thickBot="1">
      <c r="A48" s="4"/>
      <c r="B48" s="402"/>
      <c r="C48" s="402"/>
      <c r="D48" s="402"/>
      <c r="E48" s="4"/>
      <c r="F48" s="4"/>
      <c r="G48" s="4"/>
      <c r="H48" s="261" t="s">
        <v>43</v>
      </c>
      <c r="I48" s="283">
        <v>5</v>
      </c>
      <c r="J48" s="450" t="s">
        <v>301</v>
      </c>
      <c r="K48" s="450"/>
      <c r="L48" s="261" t="s">
        <v>44</v>
      </c>
      <c r="M48" s="232">
        <v>4.3600000000000003</v>
      </c>
      <c r="N48" s="12"/>
      <c r="Q48" s="407">
        <v>690</v>
      </c>
      <c r="R48" s="288">
        <v>24.64</v>
      </c>
      <c r="S48" s="288">
        <v>20.28</v>
      </c>
      <c r="T48" s="289">
        <v>34.024000000000001</v>
      </c>
      <c r="U48" s="290">
        <v>2.9391304347826087E-2</v>
      </c>
    </row>
    <row r="49" spans="1:24" s="204" customFormat="1" ht="16.5">
      <c r="A49" s="4" t="s">
        <v>45</v>
      </c>
      <c r="B49" s="403">
        <f>INT(SQRT(B54)*1000)/1000</f>
        <v>1.4790000000000001</v>
      </c>
      <c r="C49" s="401" t="s">
        <v>46</v>
      </c>
      <c r="D49" s="404" t="s">
        <v>21</v>
      </c>
      <c r="E49" s="4"/>
      <c r="F49" s="4"/>
      <c r="G49" s="4"/>
      <c r="H49" s="261" t="s">
        <v>47</v>
      </c>
      <c r="I49" s="451" t="str">
        <f>I45</f>
        <v>이랜드 R&amp;D센터</v>
      </c>
      <c r="J49" s="451"/>
      <c r="K49" s="451"/>
      <c r="L49" s="261" t="s">
        <v>48</v>
      </c>
      <c r="M49" s="232">
        <v>21.89</v>
      </c>
      <c r="N49" s="12"/>
    </row>
    <row r="50" spans="1:24" s="204" customFormat="1" ht="16.5">
      <c r="A50" s="4" t="s">
        <v>49</v>
      </c>
      <c r="B50" s="401">
        <f>INT(2.25*A44*A47*1000)/1000</f>
        <v>7.5389999999999997</v>
      </c>
      <c r="C50" s="401">
        <f>B50</f>
        <v>7.5389999999999997</v>
      </c>
      <c r="D50" s="402"/>
      <c r="E50" s="4"/>
      <c r="F50" s="4"/>
      <c r="G50" s="4"/>
      <c r="H50" s="261"/>
      <c r="I50" s="451"/>
      <c r="J50" s="451"/>
      <c r="K50" s="451"/>
      <c r="L50" s="261" t="s">
        <v>50</v>
      </c>
      <c r="M50" s="231">
        <f>M49-M48</f>
        <v>17.53</v>
      </c>
      <c r="N50" s="12"/>
    </row>
    <row r="51" spans="1:24" s="204" customFormat="1" ht="16.5">
      <c r="A51" s="4" t="s">
        <v>51</v>
      </c>
      <c r="B51" s="401">
        <f>A45</f>
        <v>5.0000000000000001E-4</v>
      </c>
      <c r="C51" s="401" t="s">
        <v>35</v>
      </c>
      <c r="D51" s="405" t="s">
        <v>21</v>
      </c>
      <c r="E51" s="4"/>
      <c r="F51" s="4"/>
      <c r="G51" s="4"/>
      <c r="H51" s="261"/>
      <c r="I51" s="452"/>
      <c r="J51" s="453"/>
      <c r="K51" s="454"/>
      <c r="L51" s="206" t="s">
        <v>52</v>
      </c>
      <c r="M51" s="232">
        <v>522</v>
      </c>
      <c r="N51" s="12"/>
      <c r="O51" s="204">
        <f>M51</f>
        <v>522</v>
      </c>
      <c r="P51" s="202">
        <f>ROUND((O51/O52)*100,1)</f>
        <v>600</v>
      </c>
    </row>
    <row r="52" spans="1:24" s="204" customFormat="1" ht="16.5">
      <c r="A52" s="205" t="s">
        <v>53</v>
      </c>
      <c r="B52" s="401">
        <f>INT(10^((INT(5.46*A44*A46*1000))/1000)*1000)/1000</f>
        <v>6886.5219999999999</v>
      </c>
      <c r="C52" s="401">
        <f>INT(B52*B51*1000)/1000</f>
        <v>3.4430000000000001</v>
      </c>
      <c r="D52" s="402"/>
      <c r="E52" s="4"/>
      <c r="F52" s="4"/>
      <c r="G52" s="4"/>
      <c r="H52" s="262" t="s">
        <v>54</v>
      </c>
      <c r="I52" s="283">
        <v>30</v>
      </c>
      <c r="J52" s="259" t="s">
        <v>55</v>
      </c>
      <c r="K52" s="207">
        <v>0</v>
      </c>
      <c r="L52" s="258" t="s">
        <v>56</v>
      </c>
      <c r="M52" s="229">
        <f>INT(M50*0.89*100)/100</f>
        <v>15.6</v>
      </c>
      <c r="N52" s="233"/>
      <c r="O52" s="204">
        <f>M53</f>
        <v>87</v>
      </c>
      <c r="P52" s="202"/>
    </row>
    <row r="53" spans="1:24" s="204" customFormat="1" ht="16.5">
      <c r="A53" s="4"/>
      <c r="B53" s="4"/>
      <c r="C53" s="4"/>
      <c r="D53" s="4"/>
      <c r="E53" s="4"/>
      <c r="F53" s="4"/>
      <c r="G53" s="4"/>
      <c r="H53" s="12"/>
      <c r="I53" s="444" t="s">
        <v>243</v>
      </c>
      <c r="J53" s="444"/>
      <c r="K53" s="444"/>
      <c r="L53" s="444"/>
      <c r="M53" s="234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3" t="s">
        <v>58</v>
      </c>
      <c r="I54" s="264" t="s">
        <v>59</v>
      </c>
      <c r="J54" s="202"/>
      <c r="K54" s="202"/>
      <c r="L54" s="202"/>
      <c r="M54" s="202"/>
      <c r="N54" s="202"/>
    </row>
    <row r="55" spans="1:24">
      <c r="A55" s="7"/>
      <c r="R55" s="291"/>
    </row>
    <row r="56" spans="1:24" ht="14.25" thickBot="1">
      <c r="A56" s="7"/>
    </row>
    <row r="57" spans="1:24" s="204" customFormat="1" ht="18" customHeight="1">
      <c r="A57" s="269"/>
      <c r="B57" s="386" t="s">
        <v>60</v>
      </c>
      <c r="C57" s="386" t="s">
        <v>61</v>
      </c>
      <c r="D57" s="433" t="s">
        <v>62</v>
      </c>
      <c r="E57" s="434"/>
      <c r="F57" s="433" t="s">
        <v>61</v>
      </c>
      <c r="G57" s="434"/>
      <c r="H57" s="386" t="s">
        <v>63</v>
      </c>
      <c r="I57" s="387">
        <f>M50</f>
        <v>17.53</v>
      </c>
      <c r="J57" s="386" t="s">
        <v>64</v>
      </c>
      <c r="K57" s="386" t="s">
        <v>65</v>
      </c>
      <c r="L57" s="433" t="s">
        <v>66</v>
      </c>
      <c r="M57" s="435"/>
    </row>
    <row r="58" spans="1:24" s="204" customFormat="1" ht="18" customHeight="1">
      <c r="A58" s="267" t="s">
        <v>67</v>
      </c>
      <c r="B58" s="388">
        <v>40.21</v>
      </c>
      <c r="C58" s="259"/>
      <c r="D58" s="427">
        <v>0.22439999999999999</v>
      </c>
      <c r="E58" s="428"/>
      <c r="F58" s="427"/>
      <c r="G58" s="428"/>
      <c r="H58" s="259" t="s">
        <v>68</v>
      </c>
      <c r="I58" s="389">
        <f>C62/M46</f>
        <v>9.6638297872340434E-2</v>
      </c>
      <c r="J58" s="259" t="s">
        <v>69</v>
      </c>
      <c r="K58" s="390">
        <f>INT((6*I57*I58*I60/I59)^0.5)</f>
        <v>5</v>
      </c>
      <c r="L58" s="259" t="s">
        <v>70</v>
      </c>
      <c r="M58" s="391" t="s">
        <v>71</v>
      </c>
    </row>
    <row r="59" spans="1:24" s="204" customFormat="1" ht="18" customHeight="1">
      <c r="A59" s="267" t="s">
        <v>72</v>
      </c>
      <c r="B59" s="388">
        <v>59.61</v>
      </c>
      <c r="C59" s="436">
        <f>B59</f>
        <v>59.61</v>
      </c>
      <c r="D59" s="438">
        <v>0.15190000000000001</v>
      </c>
      <c r="E59" s="439"/>
      <c r="F59" s="440">
        <f>INT((D59+D60)/1*10000000)/10000000</f>
        <v>0.15190000000000001</v>
      </c>
      <c r="G59" s="441"/>
      <c r="H59" s="259" t="s">
        <v>32</v>
      </c>
      <c r="I59" s="259">
        <f>F62</f>
        <v>0.15190000000000001</v>
      </c>
      <c r="J59" s="259" t="s">
        <v>73</v>
      </c>
      <c r="K59" s="390">
        <f>INT(3*(I57*I58*I60/I59)^0.5)</f>
        <v>7</v>
      </c>
      <c r="L59" s="390"/>
      <c r="M59" s="392"/>
    </row>
    <row r="60" spans="1:24" s="204" customFormat="1" ht="18" customHeight="1">
      <c r="A60" s="267" t="s">
        <v>74</v>
      </c>
      <c r="B60" s="388"/>
      <c r="C60" s="437"/>
      <c r="D60" s="438"/>
      <c r="E60" s="439"/>
      <c r="F60" s="442"/>
      <c r="G60" s="443"/>
      <c r="H60" s="393">
        <f>LongTest!AE33</f>
        <v>720</v>
      </c>
      <c r="I60" s="389">
        <f>INT(H60/1440*10000)/10000</f>
        <v>0.5</v>
      </c>
      <c r="J60" s="259" t="s">
        <v>75</v>
      </c>
      <c r="K60" s="390">
        <f>(2.25*I61*I60/I59)^0.5</f>
        <v>18.340912511588275</v>
      </c>
      <c r="L60" s="390"/>
      <c r="M60" s="392"/>
    </row>
    <row r="61" spans="1:24" s="204" customFormat="1" ht="18" customHeight="1">
      <c r="A61" s="267" t="s">
        <v>76</v>
      </c>
      <c r="B61" s="388">
        <v>31.23</v>
      </c>
      <c r="C61" s="259">
        <f>B61</f>
        <v>31.23</v>
      </c>
      <c r="D61" s="427"/>
      <c r="E61" s="428"/>
      <c r="F61" s="427"/>
      <c r="G61" s="428"/>
      <c r="H61" s="259" t="s">
        <v>28</v>
      </c>
      <c r="I61" s="259">
        <f>C62</f>
        <v>45.42</v>
      </c>
      <c r="J61" s="259" t="s">
        <v>77</v>
      </c>
      <c r="K61" s="390">
        <f>((K58+K59+K60)/3)</f>
        <v>10.113637503862758</v>
      </c>
      <c r="L61" s="390"/>
      <c r="M61" s="392"/>
    </row>
    <row r="62" spans="1:24" s="204" customFormat="1" ht="18" customHeight="1" thickBot="1">
      <c r="A62" s="268" t="s">
        <v>61</v>
      </c>
      <c r="B62" s="394"/>
      <c r="C62" s="395">
        <f>INT((C58+C59+C61)*1000/2)/1000</f>
        <v>45.42</v>
      </c>
      <c r="D62" s="429"/>
      <c r="E62" s="430"/>
      <c r="F62" s="431">
        <f>F59</f>
        <v>0.15190000000000001</v>
      </c>
      <c r="G62" s="432"/>
      <c r="H62" s="396" t="s">
        <v>78</v>
      </c>
      <c r="I62" s="397">
        <v>70.33</v>
      </c>
      <c r="J62" s="396" t="s">
        <v>79</v>
      </c>
      <c r="K62" s="398">
        <f>MAX(K58:K60)</f>
        <v>18.340912511588275</v>
      </c>
      <c r="L62" s="399"/>
      <c r="M62" s="400"/>
    </row>
    <row r="63" spans="1:24" s="204" customFormat="1" ht="18" customHeight="1" thickBot="1">
      <c r="A63" s="4"/>
      <c r="B63" s="4"/>
      <c r="C63" s="4"/>
      <c r="D63" s="4"/>
      <c r="E63" s="4"/>
      <c r="F63" s="4"/>
      <c r="G63" s="4"/>
    </row>
    <row r="64" spans="1:24" s="136" customFormat="1" ht="97.5" customHeight="1" thickBot="1">
      <c r="A64" s="137"/>
      <c r="B64" s="137"/>
      <c r="C64" s="137"/>
      <c r="D64" s="137"/>
      <c r="E64" s="137"/>
      <c r="F64" s="137"/>
      <c r="G64" s="137"/>
      <c r="Q64" s="280" t="s">
        <v>254</v>
      </c>
      <c r="R64" s="281" t="s">
        <v>255</v>
      </c>
      <c r="S64" s="281" t="s">
        <v>256</v>
      </c>
      <c r="T64" s="281" t="s">
        <v>257</v>
      </c>
      <c r="U64" s="281" t="s">
        <v>258</v>
      </c>
      <c r="V64" s="281" t="s">
        <v>219</v>
      </c>
      <c r="W64" s="281" t="s">
        <v>220</v>
      </c>
      <c r="X64" s="282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199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18" t="s">
        <v>116</v>
      </c>
      <c r="C3" s="319" t="s">
        <v>13</v>
      </c>
      <c r="D3" s="319" t="s">
        <v>28</v>
      </c>
      <c r="E3" s="319" t="s">
        <v>117</v>
      </c>
      <c r="F3" s="319" t="s">
        <v>32</v>
      </c>
      <c r="G3" s="319" t="s">
        <v>118</v>
      </c>
      <c r="H3" s="320" t="s">
        <v>35</v>
      </c>
      <c r="I3" s="307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1">
        <f>LongTest!G10</f>
        <v>5.4139095456310251</v>
      </c>
      <c r="C4" s="313">
        <f>LongTest!B10</f>
        <v>522</v>
      </c>
      <c r="D4" s="314">
        <v>1.855</v>
      </c>
      <c r="E4" s="315">
        <f>Input!M44/2000</f>
        <v>0.1</v>
      </c>
      <c r="F4" s="20">
        <v>5.0000000000000001E-4</v>
      </c>
      <c r="G4" s="20">
        <f>PI()</f>
        <v>3.1415926535897931</v>
      </c>
      <c r="H4" s="128">
        <f>Input!$A$46</f>
        <v>1.7482600000000001E-2</v>
      </c>
      <c r="I4" s="308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09"/>
      <c r="C5" s="22"/>
      <c r="D5" s="310">
        <v>16.829999999999998</v>
      </c>
      <c r="E5" s="311" t="s">
        <v>237</v>
      </c>
      <c r="F5" s="22"/>
      <c r="G5" s="22"/>
      <c r="H5" s="312"/>
      <c r="I5" s="316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3" t="s">
        <v>120</v>
      </c>
      <c r="C6" s="239">
        <f>(2*G4*B4*D5)/(C4)</f>
        <v>1.0967420038710389</v>
      </c>
      <c r="D6" s="240"/>
      <c r="E6" s="239">
        <f>1.15*LOG((2.25*D5*(1/1440))/(F4*E4^2))</f>
        <v>4.2790742583043047</v>
      </c>
      <c r="F6" s="241" t="s">
        <v>121</v>
      </c>
      <c r="G6" s="421">
        <f>C6-E6</f>
        <v>-3.1823322544332657</v>
      </c>
      <c r="H6" s="36"/>
      <c r="I6" s="308">
        <f>Input!M49</f>
        <v>21.89</v>
      </c>
      <c r="J6" s="301">
        <f>MAX(C13,C18,C23)</f>
        <v>109.2</v>
      </c>
      <c r="K6" s="299" t="s">
        <v>215</v>
      </c>
      <c r="M6" s="21"/>
      <c r="N6" s="15"/>
      <c r="O6" s="15"/>
    </row>
    <row r="7" spans="1:15" ht="22.7" customHeight="1">
      <c r="A7" s="15"/>
      <c r="B7" s="244" t="s">
        <v>122</v>
      </c>
      <c r="C7" s="29">
        <f>2.25*D4*(120/1440)</f>
        <v>0.34781249999999997</v>
      </c>
      <c r="D7" s="28"/>
      <c r="E7" s="242" t="s">
        <v>123</v>
      </c>
      <c r="F7" s="29">
        <f>F4*10^(5.46*D4*H4)</f>
        <v>7.5169043133301917E-4</v>
      </c>
      <c r="G7" s="242" t="s">
        <v>124</v>
      </c>
      <c r="H7" s="36">
        <f>F4*EXP(4*G4*D4*H4)</f>
        <v>7.5155042024228045E-4</v>
      </c>
      <c r="I7" s="316" t="s">
        <v>125</v>
      </c>
      <c r="J7" s="302">
        <f>ROUND((C13+C18+C23)/3,1)</f>
        <v>62</v>
      </c>
      <c r="K7" s="300" t="s">
        <v>216</v>
      </c>
      <c r="L7" s="15"/>
      <c r="M7" s="21"/>
      <c r="N7" s="15"/>
      <c r="O7" s="15"/>
    </row>
    <row r="8" spans="1:15" ht="22.7" customHeight="1" thickBot="1">
      <c r="A8" s="15"/>
      <c r="B8" s="245" t="s">
        <v>126</v>
      </c>
      <c r="C8" s="420">
        <f>ROUND(E4*EXP(-1*G6),3)</f>
        <v>2.41</v>
      </c>
      <c r="D8" s="246"/>
      <c r="E8" s="246"/>
      <c r="F8" s="247"/>
      <c r="G8" s="246"/>
      <c r="H8" s="248"/>
      <c r="I8" s="317">
        <f>Input!M45</f>
        <v>500</v>
      </c>
      <c r="J8" s="297" t="s">
        <v>240</v>
      </c>
      <c r="K8" s="303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06" t="s">
        <v>127</v>
      </c>
      <c r="J9" s="297" t="s">
        <v>241</v>
      </c>
      <c r="K9" s="304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6.1535294153013451</v>
      </c>
      <c r="D10" s="25" t="s">
        <v>236</v>
      </c>
      <c r="E10" s="294">
        <v>0.32969999999999999</v>
      </c>
      <c r="H10" s="249" t="s">
        <v>214</v>
      </c>
      <c r="I10" s="255">
        <f>Input!I52</f>
        <v>30</v>
      </c>
      <c r="J10" s="298" t="s">
        <v>242</v>
      </c>
      <c r="K10" s="305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15.736470584698655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23" t="s">
        <v>130</v>
      </c>
      <c r="C13" s="325">
        <f>ROUND(SQRT(6*B16*E16*H16/I16),1)</f>
        <v>34.5</v>
      </c>
      <c r="D13" s="26"/>
      <c r="E13" s="423" t="s">
        <v>251</v>
      </c>
      <c r="F13" s="324">
        <f>D5</f>
        <v>16.829999999999998</v>
      </c>
      <c r="G13" s="423" t="s">
        <v>250</v>
      </c>
      <c r="H13" s="295">
        <v>14.23</v>
      </c>
      <c r="I13" s="322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2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3">
        <f>I6-I4</f>
        <v>17.53</v>
      </c>
      <c r="C16" s="250">
        <f>I8-IF(I4&gt;I10,I4,I10)</f>
        <v>470</v>
      </c>
      <c r="D16" s="252">
        <f>(F13+H13)/2</f>
        <v>15.53</v>
      </c>
      <c r="E16" s="31">
        <f>INT(D16/C16*100000)/100000</f>
        <v>3.304E-2</v>
      </c>
      <c r="F16" s="32">
        <v>1440</v>
      </c>
      <c r="G16" s="254">
        <v>300</v>
      </c>
      <c r="H16" s="252">
        <f>INT(G16/F16*10000)/10000</f>
        <v>0.20830000000000001</v>
      </c>
      <c r="I16" s="296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23" t="s">
        <v>137</v>
      </c>
      <c r="C18" s="325">
        <f>ROUND(3*SQRT(B21*E21*H21/I21),1)</f>
        <v>42.2</v>
      </c>
      <c r="D18" s="26"/>
      <c r="E18" s="34"/>
      <c r="F18" s="34"/>
      <c r="G18" s="34"/>
      <c r="H18" s="35"/>
      <c r="I18" s="139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38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56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1">
        <f t="shared" si="0"/>
        <v>470</v>
      </c>
      <c r="D21" s="32">
        <f t="shared" si="0"/>
        <v>15.53</v>
      </c>
      <c r="E21" s="252">
        <f t="shared" si="0"/>
        <v>3.304E-2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23" t="s">
        <v>141</v>
      </c>
      <c r="C23" s="325">
        <f>ROUND(SQRT((2.25*D26*H26)/I26),1)</f>
        <v>109.2</v>
      </c>
      <c r="D23" s="26"/>
      <c r="E23" s="34"/>
      <c r="F23" s="34"/>
      <c r="G23" s="34"/>
      <c r="H23" s="35"/>
      <c r="I23" s="139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199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38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470</v>
      </c>
      <c r="D26" s="32">
        <f t="shared" si="1"/>
        <v>15.53</v>
      </c>
      <c r="E26" s="31">
        <f t="shared" si="1"/>
        <v>3.304E-2</v>
      </c>
      <c r="F26" s="32">
        <f t="shared" si="1"/>
        <v>1440</v>
      </c>
      <c r="G26" s="32">
        <f t="shared" si="1"/>
        <v>300</v>
      </c>
      <c r="H26" s="252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0"/>
      <c r="E27" s="201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16">
        <f>D16</f>
        <v>15.53</v>
      </c>
      <c r="D28" s="419">
        <f>(C28/C16)*(100/86400)</f>
        <v>3.8243695823483054E-5</v>
      </c>
      <c r="E28" s="199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17">
        <f>I16</f>
        <v>6.0990000000000003E-4</v>
      </c>
      <c r="D29" s="16">
        <f>(C28*100)/(C16*86400)</f>
        <v>3.824369582348306E-5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18">
        <f>(C13+C18+C23)/3</f>
        <v>61.966666666666669</v>
      </c>
      <c r="D30" s="15"/>
      <c r="E30" s="413">
        <f>(C13+C18)/2</f>
        <v>38.35</v>
      </c>
      <c r="F30" s="414">
        <f>MAX(C13,C18)</f>
        <v>42.2</v>
      </c>
      <c r="G30" s="415">
        <f>ROUND(C4/(G4*F30^2*I16),3)</f>
        <v>152.98099999999999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2">
        <f>StepTest!B12</f>
        <v>330</v>
      </c>
    </row>
    <row r="3" spans="1:2" ht="20.100000000000001" customHeight="1">
      <c r="A3" s="43" t="s">
        <v>146</v>
      </c>
      <c r="B3" s="193">
        <f>StepTest!G31</f>
        <v>7.33</v>
      </c>
    </row>
    <row r="4" spans="1:2" ht="20.100000000000001" customHeight="1">
      <c r="A4" s="43" t="s">
        <v>147</v>
      </c>
      <c r="B4" s="194">
        <f>StepTest!G46</f>
        <v>15.6</v>
      </c>
    </row>
    <row r="5" spans="1:2" ht="20.100000000000001" customHeight="1">
      <c r="A5" s="44" t="s">
        <v>148</v>
      </c>
      <c r="B5" s="194">
        <f>2/3</f>
        <v>0.66666666666666663</v>
      </c>
    </row>
    <row r="6" spans="1:2" ht="20.100000000000001" customHeight="1">
      <c r="A6" s="43"/>
      <c r="B6" s="194"/>
    </row>
    <row r="7" spans="1:2" ht="20.100000000000001" customHeight="1">
      <c r="A7" s="43" t="s">
        <v>149</v>
      </c>
      <c r="B7" s="194">
        <f>B2*(B4/B3)^(2/3)</f>
        <v>546.00215358489913</v>
      </c>
    </row>
    <row r="8" spans="1:2" ht="20.100000000000001" customHeight="1">
      <c r="A8" s="43" t="s">
        <v>150</v>
      </c>
      <c r="B8" s="194">
        <f>INT(B7)</f>
        <v>546</v>
      </c>
    </row>
    <row r="9" spans="1:2" ht="24.75" customHeight="1">
      <c r="B9" s="194"/>
    </row>
    <row r="10" spans="1:2" ht="24.75" customHeight="1">
      <c r="B10" s="194"/>
    </row>
    <row r="11" spans="1:2">
      <c r="B11" s="195">
        <f>B8/Input!$D$23</f>
        <v>0.91</v>
      </c>
    </row>
    <row r="12" spans="1:2" ht="17.25" thickBot="1"/>
    <row r="13" spans="1:2" ht="24.95" customHeight="1">
      <c r="A13" s="45" t="s">
        <v>151</v>
      </c>
      <c r="B13" s="196">
        <f>Input!$D$6</f>
        <v>600</v>
      </c>
    </row>
    <row r="14" spans="1:2" ht="24.95" customHeight="1">
      <c r="A14" s="46" t="s">
        <v>52</v>
      </c>
      <c r="B14" s="197">
        <f>B8</f>
        <v>546</v>
      </c>
    </row>
    <row r="15" spans="1:2" ht="24.95" customHeight="1" thickBot="1">
      <c r="A15" s="47" t="s">
        <v>152</v>
      </c>
      <c r="B15" s="198">
        <f>Input!$M$51</f>
        <v>522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86" t="s">
        <v>153</v>
      </c>
      <c r="B1" s="187"/>
      <c r="C1" s="187"/>
      <c r="D1" s="187"/>
      <c r="E1" s="187"/>
      <c r="F1" s="187"/>
      <c r="G1" s="187"/>
      <c r="H1" s="187"/>
      <c r="I1" s="188"/>
      <c r="J1" s="50"/>
    </row>
    <row r="2" spans="1:136" s="50" customFormat="1" ht="20.25">
      <c r="A2" s="189"/>
      <c r="B2" s="187"/>
      <c r="C2" s="187"/>
      <c r="D2" s="187"/>
      <c r="E2" s="187"/>
      <c r="F2" s="187"/>
      <c r="G2" s="187"/>
      <c r="H2" s="187"/>
      <c r="I2" s="188"/>
      <c r="J2" s="52"/>
      <c r="Q2" s="333" t="s">
        <v>154</v>
      </c>
      <c r="T2" s="334" t="s">
        <v>155</v>
      </c>
      <c r="U2" s="335"/>
      <c r="V2" s="334"/>
    </row>
    <row r="3" spans="1:136" s="52" customFormat="1" ht="26.25">
      <c r="A3" s="190" t="s">
        <v>156</v>
      </c>
      <c r="B3" s="190"/>
      <c r="C3" s="190"/>
      <c r="D3" s="190"/>
      <c r="E3" s="190"/>
      <c r="F3" s="190"/>
      <c r="G3" s="190"/>
      <c r="H3" s="191"/>
      <c r="I3" s="190"/>
      <c r="Q3" s="326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65" t="s">
        <v>160</v>
      </c>
      <c r="B4" s="465"/>
      <c r="C4" s="339" t="str">
        <f>Input!I44</f>
        <v>이랜드 R&amp;D센터 지열시스템공사</v>
      </c>
      <c r="D4" s="340"/>
      <c r="E4" s="340"/>
      <c r="F4" s="340"/>
      <c r="G4" s="340"/>
      <c r="H4" s="341"/>
      <c r="I4" s="342"/>
      <c r="P4" s="52">
        <v>1</v>
      </c>
      <c r="Q4" s="409"/>
      <c r="R4" s="56">
        <f>B12</f>
        <v>330</v>
      </c>
      <c r="S4" s="52">
        <f>$R$4</f>
        <v>330</v>
      </c>
      <c r="T4" s="337">
        <v>19.850478415366382</v>
      </c>
      <c r="U4" s="336">
        <f>Input!M44/2/1000</f>
        <v>0.1</v>
      </c>
      <c r="V4" s="326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11.539855724732838</v>
      </c>
      <c r="Z4" s="59">
        <f>Z22</f>
        <v>10.536206711592181</v>
      </c>
      <c r="AA4" s="58">
        <f>$Z$4</f>
        <v>10.536206711592181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65" t="s">
        <v>161</v>
      </c>
      <c r="B5" s="465"/>
      <c r="C5" s="343" t="str">
        <f>Input!I45</f>
        <v>이랜드 R&amp;D센터</v>
      </c>
      <c r="D5" s="340"/>
      <c r="E5" s="340"/>
      <c r="F5" s="344"/>
      <c r="G5" s="340"/>
      <c r="H5" s="345" t="str">
        <f>Input!J48</f>
        <v>공  번 : W - 1</v>
      </c>
      <c r="I5" s="346"/>
      <c r="P5" s="52">
        <v>2</v>
      </c>
      <c r="Q5" s="409"/>
      <c r="S5" s="52">
        <f t="shared" ref="S5:S23" si="3">$R$4</f>
        <v>330</v>
      </c>
      <c r="T5" s="52">
        <f>$T4</f>
        <v>19.850478415366382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12.45580348722986</v>
      </c>
      <c r="AA5" s="58">
        <f t="shared" ref="AA5:AA23" si="5">$Z$4</f>
        <v>10.536206711592181</v>
      </c>
      <c r="AB5" s="58">
        <f t="shared" ref="AB5:AB43" si="6">X5</f>
        <v>2</v>
      </c>
      <c r="AC5" s="58">
        <f t="shared" ref="AC5:AC43" si="7">Y5-AA5</f>
        <v>1.9195967756376788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65" t="s">
        <v>162</v>
      </c>
      <c r="B6" s="465"/>
      <c r="C6" s="347" t="str">
        <f>Input!I46</f>
        <v>서울특별시 강서구 마곡동 780번지</v>
      </c>
      <c r="D6" s="340"/>
      <c r="E6" s="340"/>
      <c r="F6" s="340"/>
      <c r="G6" s="340"/>
      <c r="H6" s="341"/>
      <c r="I6" s="342"/>
      <c r="P6" s="52">
        <v>3</v>
      </c>
      <c r="Q6" s="409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12.991598580910065</v>
      </c>
      <c r="AA6" s="58">
        <f t="shared" si="5"/>
        <v>10.536206711592181</v>
      </c>
      <c r="AB6" s="58">
        <f t="shared" si="6"/>
        <v>3</v>
      </c>
      <c r="AC6" s="58">
        <f t="shared" si="7"/>
        <v>2.455391869317884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65" t="s">
        <v>163</v>
      </c>
      <c r="B7" s="465"/>
      <c r="C7" s="348" t="str">
        <f>Input!I47</f>
        <v>주식회사 한일지하수</v>
      </c>
      <c r="D7" s="349"/>
      <c r="E7" s="340"/>
      <c r="F7" s="350"/>
      <c r="G7" s="351" t="str">
        <f>Input!I49</f>
        <v>이랜드 R&amp;D센터</v>
      </c>
      <c r="H7" s="352"/>
      <c r="I7" s="353"/>
      <c r="P7" s="52">
        <v>4</v>
      </c>
      <c r="Q7" s="409"/>
      <c r="S7" s="52">
        <f t="shared" si="3"/>
        <v>330</v>
      </c>
      <c r="T7" s="52">
        <f t="shared" si="10"/>
        <v>19.850478415366382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13.371751249726881</v>
      </c>
      <c r="AA7" s="58">
        <f t="shared" si="5"/>
        <v>10.536206711592181</v>
      </c>
      <c r="AB7" s="58">
        <f t="shared" si="6"/>
        <v>4</v>
      </c>
      <c r="AC7" s="58">
        <f t="shared" si="7"/>
        <v>2.8355445381347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54" t="s">
        <v>164</v>
      </c>
      <c r="B8" s="354"/>
      <c r="C8" s="466">
        <f>Input!I48</f>
        <v>5</v>
      </c>
      <c r="D8" s="467"/>
      <c r="E8" s="468"/>
      <c r="F8" s="355" t="s">
        <v>165</v>
      </c>
      <c r="G8" s="351" t="str">
        <f>G7</f>
        <v>이랜드 R&amp;D센터</v>
      </c>
      <c r="H8" s="352"/>
      <c r="I8" s="356"/>
      <c r="K8" s="63"/>
      <c r="P8" s="52">
        <v>5</v>
      </c>
      <c r="Q8" s="409"/>
      <c r="S8" s="52">
        <f t="shared" si="3"/>
        <v>330</v>
      </c>
      <c r="T8" s="52">
        <f t="shared" si="10"/>
        <v>19.850478415366382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13.666620567923887</v>
      </c>
      <c r="AA8" s="58">
        <f t="shared" si="5"/>
        <v>10.536206711592181</v>
      </c>
      <c r="AB8" s="58">
        <f t="shared" si="6"/>
        <v>5</v>
      </c>
      <c r="AC8" s="58">
        <f t="shared" si="7"/>
        <v>3.1304138563317068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54" t="s">
        <v>166</v>
      </c>
      <c r="B9" s="354"/>
      <c r="C9" s="357" t="s">
        <v>167</v>
      </c>
      <c r="D9" s="469">
        <f>Input!M44</f>
        <v>200</v>
      </c>
      <c r="E9" s="469"/>
      <c r="F9" s="338" t="s">
        <v>168</v>
      </c>
      <c r="G9" s="470">
        <f>Input!M45</f>
        <v>500</v>
      </c>
      <c r="H9" s="470"/>
      <c r="I9" s="338"/>
      <c r="P9" s="52">
        <v>10</v>
      </c>
      <c r="Q9" s="409"/>
      <c r="S9" s="52">
        <f t="shared" si="3"/>
        <v>330</v>
      </c>
      <c r="T9" s="52">
        <f t="shared" si="10"/>
        <v>19.850478415366382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14.582568330420909</v>
      </c>
      <c r="AA9" s="58">
        <f t="shared" si="5"/>
        <v>10.536206711592181</v>
      </c>
      <c r="AB9" s="58">
        <f t="shared" si="6"/>
        <v>10</v>
      </c>
      <c r="AC9" s="58">
        <f t="shared" si="7"/>
        <v>4.0463616188287279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54" t="s">
        <v>169</v>
      </c>
      <c r="B10" s="354"/>
      <c r="C10" s="357" t="s">
        <v>217</v>
      </c>
      <c r="D10" s="471">
        <f>Input!M48</f>
        <v>4.3600000000000003</v>
      </c>
      <c r="E10" s="472"/>
      <c r="F10" s="358" t="s">
        <v>4</v>
      </c>
      <c r="G10" s="473" t="s">
        <v>4</v>
      </c>
      <c r="H10" s="473"/>
      <c r="I10" s="346"/>
      <c r="P10" s="52">
        <v>15</v>
      </c>
      <c r="Q10" s="409"/>
      <c r="S10" s="52">
        <f t="shared" si="3"/>
        <v>330</v>
      </c>
      <c r="T10" s="52">
        <f t="shared" si="10"/>
        <v>19.850478415366382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15.118363424101116</v>
      </c>
      <c r="AA10" s="58">
        <f t="shared" si="5"/>
        <v>10.536206711592181</v>
      </c>
      <c r="AB10" s="58">
        <f t="shared" si="6"/>
        <v>15</v>
      </c>
      <c r="AC10" s="58">
        <f t="shared" si="7"/>
        <v>4.5821567125089349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38" t="s">
        <v>170</v>
      </c>
      <c r="B11" s="359" t="s">
        <v>171</v>
      </c>
      <c r="C11" s="357" t="s">
        <v>172</v>
      </c>
      <c r="D11" s="474" t="s">
        <v>173</v>
      </c>
      <c r="E11" s="474"/>
      <c r="F11" s="359" t="s">
        <v>174</v>
      </c>
      <c r="G11" s="475" t="s">
        <v>175</v>
      </c>
      <c r="H11" s="475"/>
      <c r="I11" s="338" t="s">
        <v>176</v>
      </c>
      <c r="J11" s="64">
        <f>G12-J13</f>
        <v>9.000000000000008E-2</v>
      </c>
      <c r="P11" s="52">
        <v>20</v>
      </c>
      <c r="Q11" s="409"/>
      <c r="S11" s="52">
        <f t="shared" si="3"/>
        <v>330</v>
      </c>
      <c r="T11" s="52">
        <f t="shared" si="10"/>
        <v>19.850478415366382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15.498516092917932</v>
      </c>
      <c r="AA11" s="58">
        <f t="shared" si="5"/>
        <v>10.536206711592181</v>
      </c>
      <c r="AB11" s="58">
        <f t="shared" si="6"/>
        <v>20</v>
      </c>
      <c r="AC11" s="58">
        <f t="shared" si="7"/>
        <v>4.9623093813257508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0">
        <v>1</v>
      </c>
      <c r="B12" s="361">
        <f>Input!D20</f>
        <v>330</v>
      </c>
      <c r="C12" s="362">
        <v>44992.479166666664</v>
      </c>
      <c r="D12" s="463">
        <v>1</v>
      </c>
      <c r="E12" s="463"/>
      <c r="F12" s="363">
        <f>G12+$D$10</f>
        <v>5.36</v>
      </c>
      <c r="G12" s="464">
        <f>AD4</f>
        <v>1</v>
      </c>
      <c r="H12" s="464"/>
      <c r="I12" s="338" t="s">
        <v>177</v>
      </c>
      <c r="J12" s="65"/>
      <c r="P12" s="52">
        <v>25</v>
      </c>
      <c r="Q12" s="409"/>
      <c r="S12" s="52">
        <f t="shared" si="3"/>
        <v>330</v>
      </c>
      <c r="T12" s="52">
        <f t="shared" si="10"/>
        <v>19.850478415366382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15.793385411114938</v>
      </c>
      <c r="AA12" s="58">
        <f t="shared" si="5"/>
        <v>10.536206711592181</v>
      </c>
      <c r="AB12" s="58">
        <f t="shared" si="6"/>
        <v>25</v>
      </c>
      <c r="AC12" s="58">
        <f t="shared" si="7"/>
        <v>5.2571786995227576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0"/>
      <c r="B13" s="360"/>
      <c r="C13" s="362"/>
      <c r="D13" s="463">
        <v>2</v>
      </c>
      <c r="E13" s="463"/>
      <c r="F13" s="363">
        <f t="shared" ref="F13:F51" si="13">G13+$D$10</f>
        <v>6.2700000000000005</v>
      </c>
      <c r="G13" s="464">
        <f t="shared" ref="G13:G51" si="14">AD5</f>
        <v>1.91</v>
      </c>
      <c r="H13" s="464"/>
      <c r="I13" s="364"/>
      <c r="J13" s="365">
        <f>G13-G12</f>
        <v>0.90999999999999992</v>
      </c>
      <c r="P13" s="52">
        <v>30</v>
      </c>
      <c r="Q13" s="409"/>
      <c r="S13" s="52">
        <f t="shared" si="3"/>
        <v>330</v>
      </c>
      <c r="T13" s="52">
        <f t="shared" si="10"/>
        <v>19.850478415366382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16.034311186598135</v>
      </c>
      <c r="AA13" s="58">
        <f t="shared" si="5"/>
        <v>10.536206711592181</v>
      </c>
      <c r="AB13" s="58">
        <f t="shared" si="6"/>
        <v>30</v>
      </c>
      <c r="AC13" s="58">
        <f t="shared" si="7"/>
        <v>5.4981044750059542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0"/>
      <c r="B14" s="360"/>
      <c r="C14" s="362"/>
      <c r="D14" s="463">
        <v>3</v>
      </c>
      <c r="E14" s="463"/>
      <c r="F14" s="363">
        <f t="shared" si="13"/>
        <v>6.8100000000000005</v>
      </c>
      <c r="G14" s="464">
        <f t="shared" si="14"/>
        <v>2.4500000000000002</v>
      </c>
      <c r="H14" s="464"/>
      <c r="I14" s="364"/>
      <c r="J14" s="365">
        <f t="shared" ref="J14:J51" si="15">G14-G13</f>
        <v>0.54000000000000026</v>
      </c>
      <c r="Q14" s="409"/>
      <c r="S14" s="52">
        <f t="shared" si="3"/>
        <v>330</v>
      </c>
      <c r="T14" s="52">
        <f t="shared" si="10"/>
        <v>19.850478415366382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16.238011027317551</v>
      </c>
      <c r="AA14" s="58">
        <f t="shared" si="5"/>
        <v>10.536206711592181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0"/>
      <c r="B15" s="360"/>
      <c r="C15" s="362"/>
      <c r="D15" s="463">
        <v>4</v>
      </c>
      <c r="E15" s="463"/>
      <c r="F15" s="363">
        <f t="shared" si="13"/>
        <v>7.19</v>
      </c>
      <c r="G15" s="464">
        <f t="shared" si="14"/>
        <v>2.83</v>
      </c>
      <c r="H15" s="464"/>
      <c r="I15" s="364"/>
      <c r="J15" s="365">
        <f t="shared" si="15"/>
        <v>0.37999999999999989</v>
      </c>
      <c r="Q15" s="409"/>
      <c r="S15" s="52">
        <f t="shared" si="3"/>
        <v>330</v>
      </c>
      <c r="T15" s="52">
        <f t="shared" si="10"/>
        <v>19.850478415366382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16.414463855414951</v>
      </c>
      <c r="AA15" s="58">
        <f t="shared" si="5"/>
        <v>10.536206711592181</v>
      </c>
      <c r="AB15" s="58">
        <f t="shared" si="6"/>
        <v>40</v>
      </c>
      <c r="AC15" s="58">
        <f t="shared" si="7"/>
        <v>5.8782571438227702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0"/>
      <c r="B16" s="360"/>
      <c r="C16" s="362"/>
      <c r="D16" s="463">
        <v>5</v>
      </c>
      <c r="E16" s="463"/>
      <c r="F16" s="363">
        <f t="shared" si="13"/>
        <v>7.49</v>
      </c>
      <c r="G16" s="464">
        <f t="shared" si="14"/>
        <v>3.13</v>
      </c>
      <c r="H16" s="464"/>
      <c r="I16" s="364"/>
      <c r="J16" s="365">
        <f t="shared" si="15"/>
        <v>0.29999999999999982</v>
      </c>
      <c r="K16" s="424" t="s">
        <v>247</v>
      </c>
      <c r="L16" s="425" t="s">
        <v>178</v>
      </c>
      <c r="M16" s="425" t="s">
        <v>179</v>
      </c>
      <c r="N16" s="425" t="s">
        <v>245</v>
      </c>
      <c r="O16" s="425" t="s">
        <v>246</v>
      </c>
      <c r="P16" s="425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16.570106280278342</v>
      </c>
      <c r="AA16" s="58">
        <f t="shared" si="5"/>
        <v>10.536206711592181</v>
      </c>
      <c r="AB16" s="58">
        <f t="shared" si="6"/>
        <v>45</v>
      </c>
      <c r="AC16" s="58">
        <f t="shared" si="7"/>
        <v>6.0338995686861612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0"/>
      <c r="B17" s="360"/>
      <c r="C17" s="362"/>
      <c r="D17" s="463">
        <v>10</v>
      </c>
      <c r="E17" s="463"/>
      <c r="F17" s="363">
        <f t="shared" si="13"/>
        <v>8.4</v>
      </c>
      <c r="G17" s="464">
        <f t="shared" si="14"/>
        <v>4.04</v>
      </c>
      <c r="H17" s="464"/>
      <c r="I17" s="364"/>
      <c r="J17" s="365">
        <f t="shared" si="15"/>
        <v>0.91000000000000014</v>
      </c>
      <c r="K17" s="410">
        <f>D12</f>
        <v>1</v>
      </c>
      <c r="L17" s="411">
        <f>INT(B12/1440*10000)/10000</f>
        <v>0.2291</v>
      </c>
      <c r="M17" s="411">
        <f>K17*L17</f>
        <v>0.2291</v>
      </c>
      <c r="N17" s="411">
        <f>INT((D9/2000)^2*3.14159*100000)/100000</f>
        <v>3.141E-2</v>
      </c>
      <c r="O17" s="411">
        <f>INT(M17/N17*100)/100</f>
        <v>7.29</v>
      </c>
      <c r="P17" s="412">
        <f>INT((G12-O17)*100)/100</f>
        <v>-6.29</v>
      </c>
      <c r="S17" s="52">
        <f t="shared" si="3"/>
        <v>330</v>
      </c>
      <c r="T17" s="52">
        <f t="shared" si="10"/>
        <v>19.850478415366382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16.709333173611959</v>
      </c>
      <c r="AA17" s="58">
        <f t="shared" si="5"/>
        <v>10.536206711592181</v>
      </c>
      <c r="AB17" s="58">
        <f t="shared" si="6"/>
        <v>50</v>
      </c>
      <c r="AC17" s="58">
        <f t="shared" si="7"/>
        <v>6.1731264620197788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0"/>
      <c r="B18" s="360"/>
      <c r="C18" s="362"/>
      <c r="D18" s="463">
        <v>15</v>
      </c>
      <c r="E18" s="463"/>
      <c r="F18" s="363">
        <f t="shared" si="13"/>
        <v>8.9400000000000013</v>
      </c>
      <c r="G18" s="464">
        <f t="shared" si="14"/>
        <v>4.58</v>
      </c>
      <c r="H18" s="464"/>
      <c r="I18" s="364"/>
      <c r="J18" s="365">
        <f t="shared" si="15"/>
        <v>0.54</v>
      </c>
      <c r="K18" s="410">
        <f>D13</f>
        <v>2</v>
      </c>
      <c r="L18" s="411">
        <f>L17</f>
        <v>0.2291</v>
      </c>
      <c r="M18" s="411">
        <f t="shared" ref="M18:M32" si="17">K18*L18</f>
        <v>0.4582</v>
      </c>
      <c r="N18" s="411">
        <f>N17</f>
        <v>3.141E-2</v>
      </c>
      <c r="O18" s="411">
        <f>INT(M18/N18*100)/100</f>
        <v>14.58</v>
      </c>
      <c r="P18" s="412">
        <f>INT((G13-O18)*100*0.98)/100</f>
        <v>-12.42</v>
      </c>
      <c r="S18" s="52">
        <f t="shared" si="3"/>
        <v>330</v>
      </c>
      <c r="T18" s="52">
        <f t="shared" si="10"/>
        <v>19.850478415366382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16.835279218526171</v>
      </c>
      <c r="AA18" s="58">
        <f t="shared" si="5"/>
        <v>10.536206711592181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0"/>
      <c r="B19" s="360"/>
      <c r="C19" s="362"/>
      <c r="D19" s="463">
        <v>20</v>
      </c>
      <c r="E19" s="463"/>
      <c r="F19" s="363">
        <f t="shared" si="13"/>
        <v>9.32</v>
      </c>
      <c r="G19" s="464">
        <f t="shared" si="14"/>
        <v>4.96</v>
      </c>
      <c r="H19" s="464"/>
      <c r="I19" s="364"/>
      <c r="J19" s="365">
        <f t="shared" si="15"/>
        <v>0.37999999999999989</v>
      </c>
      <c r="K19" s="410">
        <f t="shared" ref="K19:K32" si="18">D14</f>
        <v>3</v>
      </c>
      <c r="L19" s="411">
        <f>L18</f>
        <v>0.2291</v>
      </c>
      <c r="M19" s="411">
        <f t="shared" si="17"/>
        <v>0.68730000000000002</v>
      </c>
      <c r="N19" s="411">
        <f t="shared" ref="N19:N32" si="19">N18</f>
        <v>3.141E-2</v>
      </c>
      <c r="O19" s="411">
        <f>INT(M19/N19*100)/100</f>
        <v>21.88</v>
      </c>
      <c r="P19" s="412">
        <f>INT((G14-O19)*100*0.95)/100</f>
        <v>-18.46</v>
      </c>
      <c r="S19" s="52">
        <f t="shared" si="3"/>
        <v>330</v>
      </c>
      <c r="T19" s="52">
        <f t="shared" si="10"/>
        <v>19.850478415366382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16.950258949095158</v>
      </c>
      <c r="AA19" s="58">
        <f t="shared" si="5"/>
        <v>10.536206711592181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0"/>
      <c r="B20" s="360"/>
      <c r="C20" s="362"/>
      <c r="D20" s="463">
        <v>25</v>
      </c>
      <c r="E20" s="463"/>
      <c r="F20" s="363">
        <f t="shared" si="13"/>
        <v>9.61</v>
      </c>
      <c r="G20" s="464">
        <f t="shared" si="14"/>
        <v>5.25</v>
      </c>
      <c r="H20" s="464"/>
      <c r="I20" s="364"/>
      <c r="J20" s="365">
        <f t="shared" si="15"/>
        <v>0.29000000000000004</v>
      </c>
      <c r="K20" s="410">
        <f t="shared" si="18"/>
        <v>4</v>
      </c>
      <c r="L20" s="411">
        <f>L19</f>
        <v>0.2291</v>
      </c>
      <c r="M20" s="411">
        <f t="shared" si="17"/>
        <v>0.91639999999999999</v>
      </c>
      <c r="N20" s="411">
        <f t="shared" si="19"/>
        <v>3.141E-2</v>
      </c>
      <c r="O20" s="411">
        <f>INT(M20/N20*100)/100</f>
        <v>29.17</v>
      </c>
      <c r="P20" s="412">
        <f>INT((G15-O20)*100*0.91)/100</f>
        <v>-23.97</v>
      </c>
      <c r="S20" s="52">
        <f t="shared" si="3"/>
        <v>330</v>
      </c>
      <c r="T20" s="52">
        <f t="shared" si="10"/>
        <v>19.850478415366382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17.245128267292166</v>
      </c>
      <c r="AA20" s="58">
        <f t="shared" si="5"/>
        <v>10.536206711592181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0"/>
      <c r="B21" s="360"/>
      <c r="C21" s="362"/>
      <c r="D21" s="463">
        <v>30</v>
      </c>
      <c r="E21" s="463"/>
      <c r="F21" s="363">
        <f t="shared" si="13"/>
        <v>9.8500000000000014</v>
      </c>
      <c r="G21" s="464">
        <f t="shared" si="14"/>
        <v>5.49</v>
      </c>
      <c r="H21" s="464"/>
      <c r="I21" s="364"/>
      <c r="J21" s="365">
        <f t="shared" si="15"/>
        <v>0.24000000000000021</v>
      </c>
      <c r="K21" s="410">
        <f t="shared" si="18"/>
        <v>5</v>
      </c>
      <c r="L21" s="410">
        <f>L20</f>
        <v>0.2291</v>
      </c>
      <c r="M21" s="411">
        <f t="shared" si="17"/>
        <v>1.1455</v>
      </c>
      <c r="N21" s="411">
        <f t="shared" si="19"/>
        <v>3.141E-2</v>
      </c>
      <c r="O21" s="410">
        <f>INT(M21/N21*100)/100</f>
        <v>36.46</v>
      </c>
      <c r="P21" s="412">
        <f>INT((G16-O21)*100*0.86)/100</f>
        <v>-28.67</v>
      </c>
      <c r="S21" s="52">
        <f t="shared" si="3"/>
        <v>330</v>
      </c>
      <c r="T21" s="52">
        <f t="shared" si="10"/>
        <v>19.850478415366382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17.486054042775365</v>
      </c>
      <c r="AA21" s="58">
        <f t="shared" si="5"/>
        <v>10.536206711592181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0"/>
      <c r="B22" s="360"/>
      <c r="C22" s="362"/>
      <c r="D22" s="463">
        <v>35</v>
      </c>
      <c r="E22" s="463"/>
      <c r="F22" s="363">
        <f t="shared" si="13"/>
        <v>10.06</v>
      </c>
      <c r="G22" s="464">
        <f t="shared" si="14"/>
        <v>5.7</v>
      </c>
      <c r="H22" s="464"/>
      <c r="I22" s="338"/>
      <c r="J22" s="365">
        <f t="shared" si="15"/>
        <v>0.20999999999999996</v>
      </c>
      <c r="K22" s="410">
        <f t="shared" si="18"/>
        <v>10</v>
      </c>
      <c r="L22" s="410">
        <f t="shared" ref="L22:L32" si="20">L21</f>
        <v>0.2291</v>
      </c>
      <c r="M22" s="411">
        <f t="shared" si="17"/>
        <v>2.2909999999999999</v>
      </c>
      <c r="N22" s="411">
        <f t="shared" si="19"/>
        <v>3.141E-2</v>
      </c>
      <c r="O22" s="410">
        <f t="shared" ref="O22:O30" si="21">INT(M22/N22*100)/100</f>
        <v>72.930000000000007</v>
      </c>
      <c r="P22" s="412">
        <f>INT((G17-O22)*100*0.8)/100</f>
        <v>-55.12</v>
      </c>
      <c r="S22" s="52">
        <f t="shared" si="3"/>
        <v>330</v>
      </c>
      <c r="T22" s="52">
        <f t="shared" si="10"/>
        <v>19.850478415366382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17.689753883494777</v>
      </c>
      <c r="Z22" s="58">
        <f>Y23-Z23</f>
        <v>10.536206711592181</v>
      </c>
      <c r="AA22" s="58">
        <f t="shared" si="5"/>
        <v>10.536206711592181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0"/>
      <c r="B23" s="360"/>
      <c r="C23" s="362"/>
      <c r="D23" s="463">
        <v>40</v>
      </c>
      <c r="E23" s="463"/>
      <c r="F23" s="363">
        <f t="shared" si="13"/>
        <v>10.23</v>
      </c>
      <c r="G23" s="464">
        <f t="shared" si="14"/>
        <v>5.87</v>
      </c>
      <c r="H23" s="464"/>
      <c r="I23" s="338"/>
      <c r="J23" s="365">
        <f t="shared" si="15"/>
        <v>0.16999999999999993</v>
      </c>
      <c r="K23" s="410">
        <f t="shared" si="18"/>
        <v>15</v>
      </c>
      <c r="L23" s="410">
        <f t="shared" si="20"/>
        <v>0.2291</v>
      </c>
      <c r="M23" s="411">
        <f t="shared" si="17"/>
        <v>3.4365000000000001</v>
      </c>
      <c r="N23" s="411">
        <f t="shared" si="19"/>
        <v>3.141E-2</v>
      </c>
      <c r="O23" s="410">
        <f t="shared" si="21"/>
        <v>109.4</v>
      </c>
      <c r="P23" s="412">
        <f t="shared" ref="P23:P32" si="22">INT((G18-O23)*100)/100</f>
        <v>-104.82</v>
      </c>
      <c r="S23" s="52">
        <f t="shared" si="3"/>
        <v>330</v>
      </c>
      <c r="T23" s="52">
        <f t="shared" si="10"/>
        <v>19.850478415366382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17.866206711592181</v>
      </c>
      <c r="Z23" s="58">
        <f>Input!B20</f>
        <v>7.33</v>
      </c>
      <c r="AA23" s="58">
        <f t="shared" si="5"/>
        <v>10.536206711592181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0"/>
      <c r="B24" s="360"/>
      <c r="C24" s="362"/>
      <c r="D24" s="463">
        <v>45</v>
      </c>
      <c r="E24" s="463"/>
      <c r="F24" s="363">
        <f t="shared" si="13"/>
        <v>10.39</v>
      </c>
      <c r="G24" s="464">
        <f t="shared" si="14"/>
        <v>6.03</v>
      </c>
      <c r="H24" s="464"/>
      <c r="I24" s="338"/>
      <c r="J24" s="365">
        <f t="shared" si="15"/>
        <v>0.16000000000000014</v>
      </c>
      <c r="K24" s="410">
        <f t="shared" si="18"/>
        <v>20</v>
      </c>
      <c r="L24" s="410">
        <f t="shared" si="20"/>
        <v>0.2291</v>
      </c>
      <c r="M24" s="411">
        <f t="shared" si="17"/>
        <v>4.5819999999999999</v>
      </c>
      <c r="N24" s="411">
        <f t="shared" si="19"/>
        <v>3.141E-2</v>
      </c>
      <c r="O24" s="410">
        <f t="shared" si="21"/>
        <v>145.87</v>
      </c>
      <c r="P24" s="412">
        <f t="shared" si="22"/>
        <v>-140.91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22.873426304282084</v>
      </c>
      <c r="Z24" s="58">
        <f>Z27</f>
        <v>14.124560239749892</v>
      </c>
      <c r="AA24" s="58">
        <f>$Z$24</f>
        <v>14.124560239749892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0"/>
      <c r="B25" s="360"/>
      <c r="C25" s="362"/>
      <c r="D25" s="463">
        <v>50</v>
      </c>
      <c r="E25" s="463"/>
      <c r="F25" s="363">
        <f t="shared" si="13"/>
        <v>10.530000000000001</v>
      </c>
      <c r="G25" s="464">
        <f t="shared" si="14"/>
        <v>6.17</v>
      </c>
      <c r="H25" s="464"/>
      <c r="I25" s="338"/>
      <c r="J25" s="365">
        <f t="shared" si="15"/>
        <v>0.13999999999999968</v>
      </c>
      <c r="K25" s="410">
        <f t="shared" si="18"/>
        <v>25</v>
      </c>
      <c r="L25" s="410">
        <f t="shared" si="20"/>
        <v>0.2291</v>
      </c>
      <c r="M25" s="411">
        <f t="shared" si="17"/>
        <v>5.7275</v>
      </c>
      <c r="N25" s="411">
        <f t="shared" si="19"/>
        <v>3.141E-2</v>
      </c>
      <c r="O25" s="410">
        <f t="shared" si="21"/>
        <v>182.34</v>
      </c>
      <c r="P25" s="412">
        <f t="shared" si="22"/>
        <v>-177.09</v>
      </c>
      <c r="S25" s="52">
        <f>$R$24</f>
        <v>420</v>
      </c>
      <c r="T25" s="52">
        <f t="shared" si="10"/>
        <v>19.850478415366382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22.998062884760209</v>
      </c>
      <c r="AA25" s="58">
        <f>$Z$24</f>
        <v>14.124560239749892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0"/>
      <c r="B26" s="360"/>
      <c r="C26" s="362"/>
      <c r="D26" s="463">
        <v>55</v>
      </c>
      <c r="E26" s="463"/>
      <c r="F26" s="363">
        <f t="shared" si="13"/>
        <v>10.65</v>
      </c>
      <c r="G26" s="464">
        <f t="shared" si="14"/>
        <v>6.29</v>
      </c>
      <c r="H26" s="464"/>
      <c r="I26" s="338"/>
      <c r="J26" s="365">
        <f t="shared" si="15"/>
        <v>0.12000000000000011</v>
      </c>
      <c r="K26" s="410">
        <f t="shared" si="18"/>
        <v>30</v>
      </c>
      <c r="L26" s="410">
        <f t="shared" si="20"/>
        <v>0.2291</v>
      </c>
      <c r="M26" s="411">
        <f t="shared" si="17"/>
        <v>6.8730000000000002</v>
      </c>
      <c r="N26" s="411">
        <f t="shared" si="19"/>
        <v>3.141E-2</v>
      </c>
      <c r="O26" s="411">
        <f t="shared" si="21"/>
        <v>218.81</v>
      </c>
      <c r="P26" s="412">
        <f t="shared" si="22"/>
        <v>-213.32</v>
      </c>
      <c r="S26" s="52">
        <f>$R$24</f>
        <v>420</v>
      </c>
      <c r="T26" s="52">
        <f t="shared" si="10"/>
        <v>19.850478415366382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23.114096765186236</v>
      </c>
      <c r="AA26" s="58">
        <f>$Z$24</f>
        <v>14.124560239749892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0"/>
      <c r="B27" s="360"/>
      <c r="C27" s="362">
        <f>$C$12+D27/1440</f>
        <v>44992.520833333328</v>
      </c>
      <c r="D27" s="463">
        <v>60</v>
      </c>
      <c r="E27" s="463"/>
      <c r="F27" s="363">
        <f t="shared" si="13"/>
        <v>10.77</v>
      </c>
      <c r="G27" s="464">
        <f t="shared" si="14"/>
        <v>6.41</v>
      </c>
      <c r="H27" s="464"/>
      <c r="I27" s="338"/>
      <c r="J27" s="365">
        <f t="shared" si="15"/>
        <v>0.12000000000000011</v>
      </c>
      <c r="K27" s="410">
        <f t="shared" si="18"/>
        <v>35</v>
      </c>
      <c r="L27" s="410">
        <f t="shared" si="20"/>
        <v>0.2291</v>
      </c>
      <c r="M27" s="411">
        <f t="shared" si="17"/>
        <v>8.0184999999999995</v>
      </c>
      <c r="N27" s="411">
        <f t="shared" si="19"/>
        <v>3.141E-2</v>
      </c>
      <c r="O27" s="411">
        <f t="shared" si="21"/>
        <v>255.28</v>
      </c>
      <c r="P27" s="412">
        <f t="shared" si="22"/>
        <v>-249.58</v>
      </c>
      <c r="S27" s="52">
        <f>$R$24</f>
        <v>420</v>
      </c>
      <c r="T27" s="52">
        <f t="shared" si="10"/>
        <v>19.850478415366382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23.420729570346673</v>
      </c>
      <c r="Z27" s="58">
        <f>Y28-Z28</f>
        <v>14.124560239749892</v>
      </c>
      <c r="AA27" s="58">
        <f>$Z$24</f>
        <v>14.124560239749892</v>
      </c>
      <c r="AB27" s="58">
        <f t="shared" si="6"/>
        <v>180</v>
      </c>
      <c r="AC27" s="58">
        <f t="shared" si="7"/>
        <v>9.296169330596781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0"/>
      <c r="B28" s="360"/>
      <c r="C28" s="362"/>
      <c r="D28" s="463">
        <v>75</v>
      </c>
      <c r="E28" s="463"/>
      <c r="F28" s="363">
        <f t="shared" si="13"/>
        <v>11.06</v>
      </c>
      <c r="G28" s="464">
        <f t="shared" si="14"/>
        <v>6.7</v>
      </c>
      <c r="H28" s="464"/>
      <c r="I28" s="338"/>
      <c r="J28" s="365">
        <f t="shared" si="15"/>
        <v>0.29000000000000004</v>
      </c>
      <c r="K28" s="410">
        <f t="shared" si="18"/>
        <v>40</v>
      </c>
      <c r="L28" s="410">
        <f t="shared" si="20"/>
        <v>0.2291</v>
      </c>
      <c r="M28" s="411">
        <f t="shared" si="17"/>
        <v>9.1639999999999997</v>
      </c>
      <c r="N28" s="411">
        <f t="shared" si="19"/>
        <v>3.141E-2</v>
      </c>
      <c r="O28" s="411">
        <f t="shared" si="21"/>
        <v>291.75</v>
      </c>
      <c r="P28" s="412">
        <f t="shared" si="22"/>
        <v>-285.88</v>
      </c>
      <c r="S28" s="52">
        <f>$R$24</f>
        <v>420</v>
      </c>
      <c r="T28" s="52">
        <f t="shared" si="10"/>
        <v>19.850478415366382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23.904560239749891</v>
      </c>
      <c r="Z28" s="58">
        <f>Input!B21</f>
        <v>9.7799999999999994</v>
      </c>
      <c r="AA28" s="58">
        <f>$Z$24</f>
        <v>14.124560239749892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0"/>
      <c r="B29" s="360"/>
      <c r="C29" s="362"/>
      <c r="D29" s="463">
        <v>90</v>
      </c>
      <c r="E29" s="463"/>
      <c r="F29" s="363">
        <f t="shared" si="13"/>
        <v>11.3</v>
      </c>
      <c r="G29" s="464">
        <f t="shared" si="14"/>
        <v>6.94</v>
      </c>
      <c r="H29" s="464"/>
      <c r="I29" s="338"/>
      <c r="J29" s="365">
        <f t="shared" si="15"/>
        <v>0.24000000000000021</v>
      </c>
      <c r="K29" s="410">
        <f t="shared" si="18"/>
        <v>45</v>
      </c>
      <c r="L29" s="410">
        <f t="shared" si="20"/>
        <v>0.2291</v>
      </c>
      <c r="M29" s="411">
        <f t="shared" si="17"/>
        <v>10.3095</v>
      </c>
      <c r="N29" s="411">
        <f t="shared" si="19"/>
        <v>3.141E-2</v>
      </c>
      <c r="O29" s="411">
        <f t="shared" si="21"/>
        <v>328.22</v>
      </c>
      <c r="P29" s="412">
        <f t="shared" si="22"/>
        <v>-322.19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29.110333298695565</v>
      </c>
      <c r="Z29" s="58">
        <f>Z32</f>
        <v>17.325012968370906</v>
      </c>
      <c r="AA29" s="58">
        <f>$Z$29</f>
        <v>17.325012968370906</v>
      </c>
      <c r="AB29" s="58">
        <f t="shared" si="6"/>
        <v>250</v>
      </c>
      <c r="AC29" s="58">
        <f t="shared" si="7"/>
        <v>11.785320330324659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0"/>
      <c r="B30" s="360"/>
      <c r="C30" s="362"/>
      <c r="D30" s="463">
        <v>105</v>
      </c>
      <c r="E30" s="463"/>
      <c r="F30" s="363">
        <f t="shared" si="13"/>
        <v>11.510000000000002</v>
      </c>
      <c r="G30" s="464">
        <f t="shared" si="14"/>
        <v>7.15</v>
      </c>
      <c r="H30" s="464"/>
      <c r="I30" s="338"/>
      <c r="J30" s="365">
        <f t="shared" si="15"/>
        <v>0.20999999999999996</v>
      </c>
      <c r="K30" s="410">
        <f t="shared" si="18"/>
        <v>50</v>
      </c>
      <c r="L30" s="410">
        <f t="shared" si="20"/>
        <v>0.2291</v>
      </c>
      <c r="M30" s="411">
        <f t="shared" si="17"/>
        <v>11.455</v>
      </c>
      <c r="N30" s="411">
        <f t="shared" si="19"/>
        <v>3.141E-2</v>
      </c>
      <c r="O30" s="411">
        <f t="shared" si="21"/>
        <v>364.69</v>
      </c>
      <c r="P30" s="412">
        <f t="shared" si="22"/>
        <v>-358.52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29.190430431006764</v>
      </c>
      <c r="AA30" s="58">
        <f>$Z$29</f>
        <v>17.325012968370906</v>
      </c>
      <c r="AB30" s="58">
        <f t="shared" si="6"/>
        <v>260</v>
      </c>
      <c r="AC30" s="58">
        <f t="shared" si="7"/>
        <v>11.865417462635858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0"/>
      <c r="B31" s="360"/>
      <c r="C31" s="362"/>
      <c r="D31" s="463">
        <v>120</v>
      </c>
      <c r="E31" s="463"/>
      <c r="F31" s="363">
        <f t="shared" si="13"/>
        <v>11.690000000000001</v>
      </c>
      <c r="G31" s="464">
        <f t="shared" si="14"/>
        <v>7.33</v>
      </c>
      <c r="H31" s="464"/>
      <c r="I31" s="338"/>
      <c r="J31" s="365">
        <f t="shared" si="15"/>
        <v>0.17999999999999972</v>
      </c>
      <c r="K31" s="410">
        <f t="shared" si="18"/>
        <v>55</v>
      </c>
      <c r="L31" s="410">
        <f t="shared" si="20"/>
        <v>0.2291</v>
      </c>
      <c r="M31" s="411">
        <f t="shared" si="17"/>
        <v>12.6005</v>
      </c>
      <c r="N31" s="411">
        <f t="shared" si="19"/>
        <v>3.141E-2</v>
      </c>
      <c r="O31" s="411">
        <f>INT(M31/N31*100)/100</f>
        <v>401.16</v>
      </c>
      <c r="P31" s="412">
        <f t="shared" si="22"/>
        <v>-394.87</v>
      </c>
      <c r="S31" s="52">
        <f>$R$29</f>
        <v>510</v>
      </c>
      <c r="T31" s="52">
        <f t="shared" si="10"/>
        <v>19.850478415366382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29.267504298381279</v>
      </c>
      <c r="AA31" s="58">
        <f>$Z$29</f>
        <v>17.325012968370906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0">
        <v>2</v>
      </c>
      <c r="B32" s="361">
        <f>Input!D21</f>
        <v>420</v>
      </c>
      <c r="C32" s="362">
        <f>$C$12+D32/1440</f>
        <v>44992.569444444445</v>
      </c>
      <c r="D32" s="463">
        <v>130</v>
      </c>
      <c r="E32" s="463"/>
      <c r="F32" s="363">
        <f t="shared" si="13"/>
        <v>13.16</v>
      </c>
      <c r="G32" s="464">
        <f t="shared" si="14"/>
        <v>8.8000000000000007</v>
      </c>
      <c r="H32" s="464"/>
      <c r="I32" s="338"/>
      <c r="J32" s="365">
        <f t="shared" si="15"/>
        <v>1.4700000000000006</v>
      </c>
      <c r="K32" s="410">
        <f t="shared" si="18"/>
        <v>60</v>
      </c>
      <c r="L32" s="410">
        <f t="shared" si="20"/>
        <v>0.2291</v>
      </c>
      <c r="M32" s="411">
        <f t="shared" si="17"/>
        <v>13.746</v>
      </c>
      <c r="N32" s="411">
        <f t="shared" si="19"/>
        <v>3.141E-2</v>
      </c>
      <c r="O32" s="411">
        <f>INT(M32/N32*100)/100</f>
        <v>437.63</v>
      </c>
      <c r="P32" s="412">
        <f t="shared" si="22"/>
        <v>-431.22</v>
      </c>
      <c r="S32" s="52">
        <f>$R$29</f>
        <v>510</v>
      </c>
      <c r="T32" s="52">
        <f t="shared" si="10"/>
        <v>19.850478415366382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29.482673133533236</v>
      </c>
      <c r="Z32" s="58">
        <f>Y33-Z33</f>
        <v>17.325012968370906</v>
      </c>
      <c r="AA32" s="58">
        <f>$Z$29</f>
        <v>17.325012968370906</v>
      </c>
      <c r="AB32" s="58">
        <f t="shared" si="6"/>
        <v>300</v>
      </c>
      <c r="AC32" s="58">
        <f t="shared" si="7"/>
        <v>12.15766016516233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0"/>
      <c r="B33" s="360"/>
      <c r="C33" s="362"/>
      <c r="D33" s="463">
        <v>140</v>
      </c>
      <c r="E33" s="463"/>
      <c r="F33" s="363">
        <f t="shared" si="13"/>
        <v>13.399999999999999</v>
      </c>
      <c r="G33" s="464">
        <f t="shared" si="14"/>
        <v>9.0399999999999991</v>
      </c>
      <c r="H33" s="464"/>
      <c r="I33" s="338"/>
      <c r="J33" s="365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29.855012968370904</v>
      </c>
      <c r="Z33" s="58">
        <f>Input!B22</f>
        <v>12.53</v>
      </c>
      <c r="AA33" s="58">
        <f>$Z$29</f>
        <v>17.325012968370906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0"/>
      <c r="B34" s="360"/>
      <c r="C34" s="362"/>
      <c r="D34" s="463">
        <v>150</v>
      </c>
      <c r="E34" s="463"/>
      <c r="F34" s="363">
        <f t="shared" si="13"/>
        <v>13.649999999999999</v>
      </c>
      <c r="G34" s="464">
        <f t="shared" si="14"/>
        <v>9.2899999999999991</v>
      </c>
      <c r="H34" s="464"/>
      <c r="I34" s="338"/>
      <c r="J34" s="365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35.189373608184226</v>
      </c>
      <c r="Z34" s="58">
        <f>Z37</f>
        <v>20.214731339247678</v>
      </c>
      <c r="AA34" s="58">
        <f>$Z$34</f>
        <v>20.214731339247678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0"/>
      <c r="B35" s="360"/>
      <c r="C35" s="362"/>
      <c r="D35" s="463">
        <v>180</v>
      </c>
      <c r="E35" s="463"/>
      <c r="F35" s="363">
        <f t="shared" si="13"/>
        <v>13.89</v>
      </c>
      <c r="G35" s="464">
        <f t="shared" si="14"/>
        <v>9.5299999999999994</v>
      </c>
      <c r="H35" s="464"/>
      <c r="I35" s="338"/>
      <c r="J35" s="365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35.253446898374762</v>
      </c>
      <c r="AA35" s="58">
        <f>$Z$34</f>
        <v>20.214731339247678</v>
      </c>
      <c r="AB35" s="58">
        <f t="shared" si="6"/>
        <v>380</v>
      </c>
      <c r="AC35" s="58">
        <f t="shared" si="7"/>
        <v>15.038715559127084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0"/>
      <c r="B36" s="360"/>
      <c r="C36" s="362"/>
      <c r="D36" s="463">
        <v>240</v>
      </c>
      <c r="E36" s="463"/>
      <c r="F36" s="363">
        <f t="shared" si="13"/>
        <v>14.14</v>
      </c>
      <c r="G36" s="464">
        <f t="shared" si="14"/>
        <v>9.7799999999999994</v>
      </c>
      <c r="H36" s="464"/>
      <c r="I36" s="338"/>
      <c r="J36" s="365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35.315855757608325</v>
      </c>
      <c r="AA36" s="58">
        <f>$Z$34</f>
        <v>20.214731339247678</v>
      </c>
      <c r="AB36" s="58">
        <f t="shared" si="6"/>
        <v>390</v>
      </c>
      <c r="AC36" s="58">
        <f t="shared" si="7"/>
        <v>15.101124418360648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0">
        <v>3</v>
      </c>
      <c r="B37" s="361">
        <f>Input!D22</f>
        <v>510</v>
      </c>
      <c r="C37" s="362">
        <f>$C$12+D37/1440</f>
        <v>44992.652777777774</v>
      </c>
      <c r="D37" s="463">
        <v>250</v>
      </c>
      <c r="E37" s="463"/>
      <c r="F37" s="363">
        <f t="shared" si="13"/>
        <v>15.79</v>
      </c>
      <c r="G37" s="464">
        <f t="shared" si="14"/>
        <v>11.43</v>
      </c>
      <c r="H37" s="464"/>
      <c r="I37" s="338"/>
      <c r="J37" s="365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35.493908015434222</v>
      </c>
      <c r="Z37" s="58">
        <f>Y38-Z38</f>
        <v>20.214731339247678</v>
      </c>
      <c r="AA37" s="58">
        <f>$Z$34</f>
        <v>20.214731339247678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0"/>
      <c r="B38" s="360"/>
      <c r="C38" s="362"/>
      <c r="D38" s="463">
        <v>260</v>
      </c>
      <c r="E38" s="463"/>
      <c r="F38" s="363">
        <f t="shared" si="13"/>
        <v>16.059999999999999</v>
      </c>
      <c r="G38" s="464">
        <f t="shared" si="14"/>
        <v>11.7</v>
      </c>
      <c r="H38" s="464"/>
      <c r="I38" s="338"/>
      <c r="J38" s="365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35.814731339247679</v>
      </c>
      <c r="Z38" s="58">
        <f>Input!B23</f>
        <v>15.6</v>
      </c>
      <c r="AA38" s="58">
        <f>$Z$34</f>
        <v>20.214731339247678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0"/>
      <c r="B39" s="360"/>
      <c r="C39" s="362"/>
      <c r="D39" s="463">
        <v>270</v>
      </c>
      <c r="E39" s="463"/>
      <c r="F39" s="363">
        <f t="shared" si="13"/>
        <v>16.34</v>
      </c>
      <c r="G39" s="464">
        <f t="shared" si="14"/>
        <v>11.98</v>
      </c>
      <c r="H39" s="464"/>
      <c r="I39" s="338"/>
      <c r="J39" s="365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41.243912066526306</v>
      </c>
      <c r="Z39" s="58">
        <f>Z42</f>
        <v>21.52348597818311</v>
      </c>
      <c r="AA39" s="58">
        <f>$Z$39</f>
        <v>21.52348597818311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0"/>
      <c r="B40" s="360"/>
      <c r="C40" s="362"/>
      <c r="D40" s="463">
        <v>300</v>
      </c>
      <c r="E40" s="463"/>
      <c r="F40" s="363">
        <f t="shared" si="13"/>
        <v>16.61</v>
      </c>
      <c r="G40" s="464">
        <f t="shared" si="14"/>
        <v>12.25</v>
      </c>
      <c r="H40" s="464"/>
      <c r="I40" s="338"/>
      <c r="J40" s="365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41.299732083990975</v>
      </c>
      <c r="AA40" s="58">
        <f>$Z$39</f>
        <v>21.52348597818311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0"/>
      <c r="B41" s="360"/>
      <c r="C41" s="362"/>
      <c r="D41" s="463">
        <v>360</v>
      </c>
      <c r="E41" s="463"/>
      <c r="F41" s="363">
        <f t="shared" si="13"/>
        <v>16.89</v>
      </c>
      <c r="G41" s="464">
        <f t="shared" si="14"/>
        <v>12.53</v>
      </c>
      <c r="H41" s="464"/>
      <c r="I41" s="338"/>
      <c r="J41" s="365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41.354446681601395</v>
      </c>
      <c r="AA41" s="58">
        <f>$Z$39</f>
        <v>21.52348597818311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0">
        <v>4</v>
      </c>
      <c r="B42" s="361">
        <f>Input!D23</f>
        <v>600</v>
      </c>
      <c r="C42" s="362">
        <f>$C$12+D42/1440</f>
        <v>44992.736111111109</v>
      </c>
      <c r="D42" s="463">
        <v>370</v>
      </c>
      <c r="E42" s="463"/>
      <c r="F42" s="363">
        <f t="shared" si="13"/>
        <v>18.73</v>
      </c>
      <c r="G42" s="464">
        <f t="shared" si="14"/>
        <v>14.37</v>
      </c>
      <c r="H42" s="464"/>
      <c r="I42" s="338"/>
      <c r="J42" s="365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41.512375201212819</v>
      </c>
      <c r="Z42" s="58">
        <f>Y43-Z43</f>
        <v>21.52348597818311</v>
      </c>
      <c r="AA42" s="58">
        <f>$Z$39</f>
        <v>21.52348597818311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0"/>
      <c r="B43" s="360"/>
      <c r="C43" s="362"/>
      <c r="D43" s="463">
        <v>380</v>
      </c>
      <c r="E43" s="463"/>
      <c r="F43" s="363">
        <f t="shared" si="13"/>
        <v>19.03</v>
      </c>
      <c r="G43" s="464">
        <f t="shared" si="14"/>
        <v>14.67</v>
      </c>
      <c r="H43" s="464"/>
      <c r="I43" s="338"/>
      <c r="J43" s="365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41.803485978183112</v>
      </c>
      <c r="Z43" s="58">
        <f>Input!B24</f>
        <v>20.28</v>
      </c>
      <c r="AA43" s="58">
        <f>$Z$39</f>
        <v>21.52348597818311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0"/>
      <c r="B44" s="360"/>
      <c r="C44" s="362"/>
      <c r="D44" s="463">
        <v>390</v>
      </c>
      <c r="E44" s="463"/>
      <c r="F44" s="363">
        <f t="shared" si="13"/>
        <v>19.34</v>
      </c>
      <c r="G44" s="464">
        <f t="shared" si="14"/>
        <v>14.98</v>
      </c>
      <c r="H44" s="464"/>
      <c r="I44" s="338"/>
      <c r="J44" s="365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0"/>
      <c r="B45" s="360"/>
      <c r="C45" s="362"/>
      <c r="D45" s="463">
        <v>420</v>
      </c>
      <c r="E45" s="463"/>
      <c r="F45" s="363">
        <f t="shared" si="13"/>
        <v>19.649999999999999</v>
      </c>
      <c r="G45" s="464">
        <f t="shared" si="14"/>
        <v>15.29</v>
      </c>
      <c r="H45" s="464"/>
      <c r="I45" s="338"/>
      <c r="J45" s="365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0"/>
      <c r="B46" s="360"/>
      <c r="C46" s="362"/>
      <c r="D46" s="463">
        <v>480</v>
      </c>
      <c r="E46" s="463"/>
      <c r="F46" s="363">
        <f t="shared" si="13"/>
        <v>19.96</v>
      </c>
      <c r="G46" s="464">
        <f t="shared" si="14"/>
        <v>15.6</v>
      </c>
      <c r="H46" s="464"/>
      <c r="I46" s="338"/>
      <c r="J46" s="365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0">
        <v>5</v>
      </c>
      <c r="B47" s="361">
        <f>Input!D24</f>
        <v>690</v>
      </c>
      <c r="C47" s="362">
        <f>$C$12+D47/1440</f>
        <v>44992.819444444445</v>
      </c>
      <c r="D47" s="463">
        <v>490</v>
      </c>
      <c r="E47" s="463"/>
      <c r="F47" s="363">
        <f t="shared" si="13"/>
        <v>21.83</v>
      </c>
      <c r="G47" s="464">
        <f t="shared" si="14"/>
        <v>17.47</v>
      </c>
      <c r="H47" s="464"/>
      <c r="I47" s="338"/>
      <c r="J47" s="365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0"/>
      <c r="B48" s="360"/>
      <c r="C48" s="362"/>
      <c r="D48" s="463">
        <v>500</v>
      </c>
      <c r="E48" s="463"/>
      <c r="F48" s="363">
        <f t="shared" si="13"/>
        <v>22.53</v>
      </c>
      <c r="G48" s="464">
        <f t="shared" si="14"/>
        <v>18.170000000000002</v>
      </c>
      <c r="H48" s="464"/>
      <c r="I48" s="338"/>
      <c r="J48" s="365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0"/>
      <c r="B49" s="360"/>
      <c r="C49" s="362"/>
      <c r="D49" s="463">
        <v>510</v>
      </c>
      <c r="E49" s="463"/>
      <c r="F49" s="363">
        <f t="shared" si="13"/>
        <v>23.23</v>
      </c>
      <c r="G49" s="464">
        <f t="shared" si="14"/>
        <v>18.87</v>
      </c>
      <c r="H49" s="464"/>
      <c r="I49" s="338"/>
      <c r="J49" s="365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0"/>
      <c r="B50" s="360"/>
      <c r="C50" s="362"/>
      <c r="D50" s="463">
        <v>540</v>
      </c>
      <c r="E50" s="463"/>
      <c r="F50" s="363">
        <f t="shared" si="13"/>
        <v>23.93</v>
      </c>
      <c r="G50" s="464">
        <f t="shared" si="14"/>
        <v>19.57</v>
      </c>
      <c r="H50" s="464"/>
      <c r="I50" s="338"/>
      <c r="J50" s="365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0"/>
      <c r="B51" s="360"/>
      <c r="C51" s="362">
        <f>$C$12+D51/1440</f>
        <v>44992.895833333328</v>
      </c>
      <c r="D51" s="463">
        <v>600</v>
      </c>
      <c r="E51" s="463"/>
      <c r="F51" s="363">
        <f t="shared" si="13"/>
        <v>24.64</v>
      </c>
      <c r="G51" s="464">
        <f t="shared" si="14"/>
        <v>20.28</v>
      </c>
      <c r="H51" s="464"/>
      <c r="I51" s="338" t="s">
        <v>180</v>
      </c>
      <c r="J51" s="365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55" t="s">
        <v>181</v>
      </c>
      <c r="B1" s="156"/>
      <c r="C1" s="156"/>
      <c r="D1" s="156"/>
      <c r="E1" s="156"/>
      <c r="F1" s="156"/>
      <c r="G1" s="156"/>
      <c r="H1" s="156"/>
      <c r="I1" s="156"/>
      <c r="J1" s="156"/>
      <c r="L1" s="68" t="s">
        <v>182</v>
      </c>
      <c r="M1" s="69">
        <f>P1-R1</f>
        <v>-6.0284849574634283</v>
      </c>
      <c r="N1" s="477" t="s">
        <v>183</v>
      </c>
      <c r="O1" s="477"/>
      <c r="P1" s="70">
        <f>StepTest!G41</f>
        <v>12.53</v>
      </c>
      <c r="Q1" s="71" t="s">
        <v>184</v>
      </c>
      <c r="R1" s="72">
        <f>G35</f>
        <v>18.558484957463428</v>
      </c>
      <c r="S1" s="73">
        <f>D7/2000</f>
        <v>0.1</v>
      </c>
      <c r="T1" s="74">
        <v>12.525103550123006</v>
      </c>
      <c r="V1" s="331" t="s">
        <v>13</v>
      </c>
      <c r="W1" s="331" t="s">
        <v>28</v>
      </c>
      <c r="X1" s="331" t="s">
        <v>158</v>
      </c>
      <c r="Y1" s="331" t="s">
        <v>32</v>
      </c>
      <c r="Z1" s="331" t="s">
        <v>159</v>
      </c>
      <c r="AA1" s="331" t="s">
        <v>39</v>
      </c>
      <c r="AB1" s="332" t="s">
        <v>12</v>
      </c>
      <c r="AC1" s="331" t="s">
        <v>12</v>
      </c>
    </row>
    <row r="2" spans="1:38" s="52" customFormat="1" ht="21.6" customHeight="1">
      <c r="A2" s="157" t="str">
        <f>StepTest!A4</f>
        <v>조 사 명</v>
      </c>
      <c r="B2" s="157"/>
      <c r="C2" s="158" t="str">
        <f>StepTest!C4</f>
        <v>이랜드 R&amp;D센터 지열시스템공사</v>
      </c>
      <c r="D2" s="159"/>
      <c r="E2" s="159"/>
      <c r="F2" s="159"/>
      <c r="G2" s="159"/>
      <c r="H2" s="159"/>
      <c r="I2" s="159"/>
      <c r="J2" s="160"/>
      <c r="O2" s="52" t="s">
        <v>185</v>
      </c>
      <c r="P2" s="76">
        <f>G8</f>
        <v>22.918484957463427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19.063908790876379</v>
      </c>
      <c r="AC2" s="58">
        <f>1.6*V2/(4*PI()*W2)*LOG10((2.25*W2*Z2)/(X2*X2*Y2))</f>
        <v>19.063908790876379</v>
      </c>
      <c r="AD2" s="75">
        <v>0</v>
      </c>
      <c r="AE2" s="57">
        <f>AA2</f>
        <v>1</v>
      </c>
      <c r="AF2" s="58">
        <f t="shared" ref="AF2:AF14" si="1">AC2-$P$3-O3</f>
        <v>5.4139095456310251</v>
      </c>
      <c r="AG2" s="58">
        <f>AC2</f>
        <v>19.063908790876379</v>
      </c>
    </row>
    <row r="3" spans="1:38" s="52" customFormat="1" ht="21.6" customHeight="1">
      <c r="A3" s="157" t="str">
        <f>StepTest!A5</f>
        <v>지 구 명</v>
      </c>
      <c r="B3" s="157"/>
      <c r="C3" s="158" t="str">
        <f>StepTest!C5</f>
        <v>이랜드 R&amp;D센터</v>
      </c>
      <c r="D3" s="159"/>
      <c r="E3" s="159"/>
      <c r="F3" s="161"/>
      <c r="G3" s="159"/>
      <c r="H3" s="162" t="str">
        <f>StepTest!H5</f>
        <v>공  번 : W - 1</v>
      </c>
      <c r="I3" s="162"/>
      <c r="J3" s="163"/>
      <c r="L3" s="78" t="s">
        <v>48</v>
      </c>
      <c r="M3" s="59">
        <f t="shared" ref="M3:M10" si="2">Q17</f>
        <v>-6.13</v>
      </c>
      <c r="N3" s="79"/>
      <c r="O3" s="327"/>
      <c r="P3" s="329">
        <v>13.649999245245354</v>
      </c>
      <c r="V3" s="56">
        <f>V2</f>
        <v>522</v>
      </c>
      <c r="W3" s="52">
        <f>W$2</f>
        <v>12.525103550123006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20.661291830438802</v>
      </c>
      <c r="AC3" s="58">
        <f t="shared" ref="AC3:AC26" si="5">1.6*V3/(4*PI()*W3)*LOG10((2.25*W3*Z3)/(X3*X3*Y3))</f>
        <v>20.661291830438802</v>
      </c>
      <c r="AD3" s="58">
        <f>AB69</f>
        <v>32.208484202708782</v>
      </c>
      <c r="AE3" s="57">
        <f t="shared" ref="AE3:AE66" si="6">AA3</f>
        <v>2</v>
      </c>
      <c r="AF3" s="58">
        <f t="shared" si="1"/>
        <v>7.0112925851934484</v>
      </c>
      <c r="AG3" s="58">
        <f t="shared" ref="AG3:AG16" si="7">AC3</f>
        <v>20.661291830438802</v>
      </c>
    </row>
    <row r="4" spans="1:38" s="52" customFormat="1" ht="21.6" customHeight="1">
      <c r="A4" s="157" t="str">
        <f>StepTest!A6</f>
        <v>위    치</v>
      </c>
      <c r="B4" s="157"/>
      <c r="C4" s="158" t="str">
        <f>StepTest!C6</f>
        <v>서울특별시 강서구 마곡동 780번지</v>
      </c>
      <c r="D4" s="162"/>
      <c r="E4" s="162"/>
      <c r="F4" s="159"/>
      <c r="G4" s="159"/>
      <c r="H4" s="159"/>
      <c r="I4" s="159"/>
      <c r="J4" s="160"/>
      <c r="L4" s="78" t="s">
        <v>186</v>
      </c>
      <c r="M4" s="59">
        <f t="shared" si="2"/>
        <v>-16.07</v>
      </c>
      <c r="N4" s="79"/>
      <c r="O4" s="328"/>
      <c r="P4" s="328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21.595701007870801</v>
      </c>
      <c r="AC4" s="58">
        <f>1.6*V4/(4*PI()*W4)*LOG10((2.25*W4*Z4)/(X4*X4*Y4))</f>
        <v>21.595701007870801</v>
      </c>
      <c r="AD4" s="58">
        <f>AC69</f>
        <v>32.208484202708782</v>
      </c>
      <c r="AE4" s="57">
        <f t="shared" si="6"/>
        <v>3</v>
      </c>
      <c r="AF4" s="58">
        <f t="shared" si="1"/>
        <v>7.9457017626254469</v>
      </c>
      <c r="AG4" s="58">
        <f t="shared" si="7"/>
        <v>21.595701007870801</v>
      </c>
    </row>
    <row r="5" spans="1:38" s="52" customFormat="1" ht="21.6" customHeight="1">
      <c r="A5" s="157" t="str">
        <f>StepTest!A7</f>
        <v>조 사 자</v>
      </c>
      <c r="B5" s="157"/>
      <c r="C5" s="164" t="str">
        <f>StepTest!C7</f>
        <v>주식회사 한일지하수</v>
      </c>
      <c r="D5" s="366"/>
      <c r="E5" s="159"/>
      <c r="F5" s="165" t="s">
        <v>169</v>
      </c>
      <c r="G5" s="166">
        <f>Input!I50</f>
        <v>0</v>
      </c>
      <c r="H5" s="167"/>
      <c r="I5" s="167"/>
      <c r="J5" s="167"/>
      <c r="L5" s="78" t="s">
        <v>187</v>
      </c>
      <c r="M5" s="59">
        <f t="shared" si="2"/>
        <v>-26.68</v>
      </c>
      <c r="N5" s="79"/>
      <c r="O5" s="328"/>
      <c r="P5" s="328"/>
      <c r="V5" s="56">
        <f t="shared" si="8"/>
        <v>522</v>
      </c>
      <c r="W5" s="52">
        <f t="shared" si="9"/>
        <v>12.525103550123006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22.258674870001226</v>
      </c>
      <c r="AC5" s="58">
        <f t="shared" si="5"/>
        <v>22.258674870001226</v>
      </c>
      <c r="AD5" s="58">
        <f>AF69</f>
        <v>18.558484957463428</v>
      </c>
      <c r="AE5" s="57">
        <f t="shared" si="6"/>
        <v>4</v>
      </c>
      <c r="AF5" s="58">
        <f t="shared" si="1"/>
        <v>8.6086756247558718</v>
      </c>
      <c r="AG5" s="58">
        <f t="shared" si="7"/>
        <v>22.258674870001226</v>
      </c>
    </row>
    <row r="6" spans="1:38" s="52" customFormat="1" ht="21.6" customHeight="1">
      <c r="A6" s="157" t="str">
        <f>StepTest!A8</f>
        <v>수중모타</v>
      </c>
      <c r="B6" s="157"/>
      <c r="C6" s="478">
        <f>StepTest!C8</f>
        <v>5</v>
      </c>
      <c r="D6" s="478"/>
      <c r="E6" s="479"/>
      <c r="F6" s="165" t="s">
        <v>165</v>
      </c>
      <c r="G6" s="166">
        <f>Input!I51</f>
        <v>0</v>
      </c>
      <c r="H6" s="167"/>
      <c r="I6" s="167"/>
      <c r="J6" s="167"/>
      <c r="K6" s="52">
        <v>0.2</v>
      </c>
      <c r="L6" s="330">
        <v>0.2</v>
      </c>
      <c r="M6" s="59">
        <f t="shared" si="2"/>
        <v>-37.56</v>
      </c>
      <c r="N6" s="79"/>
      <c r="O6" s="328"/>
      <c r="P6" s="328"/>
      <c r="V6" s="56">
        <f t="shared" si="8"/>
        <v>522</v>
      </c>
      <c r="W6" s="52">
        <f t="shared" si="9"/>
        <v>12.525103550123006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22.772917348732946</v>
      </c>
      <c r="AC6" s="58">
        <f t="shared" si="5"/>
        <v>22.772917348732946</v>
      </c>
      <c r="AE6" s="57">
        <f t="shared" si="6"/>
        <v>5</v>
      </c>
      <c r="AF6" s="58">
        <f t="shared" si="1"/>
        <v>9.1229181034875921</v>
      </c>
      <c r="AG6" s="58">
        <f t="shared" si="7"/>
        <v>22.772917348732946</v>
      </c>
      <c r="AL6" s="52">
        <f>10*(2.54/2/100)</f>
        <v>0.127</v>
      </c>
    </row>
    <row r="7" spans="1:38" s="52" customFormat="1" ht="21.6" customHeight="1">
      <c r="A7" s="157" t="str">
        <f>StepTest!A9</f>
        <v>우물현황</v>
      </c>
      <c r="B7" s="157"/>
      <c r="C7" s="168" t="str">
        <f>StepTest!C9</f>
        <v>직     경</v>
      </c>
      <c r="D7" s="169">
        <f>StepTest!D9</f>
        <v>200</v>
      </c>
      <c r="E7" s="170"/>
      <c r="F7" s="171" t="s">
        <v>168</v>
      </c>
      <c r="G7" s="172">
        <f>StepTest!G9</f>
        <v>500</v>
      </c>
      <c r="H7" s="159"/>
      <c r="I7" s="159"/>
      <c r="J7" s="160"/>
      <c r="M7" s="59">
        <f t="shared" si="2"/>
        <v>-48.58</v>
      </c>
      <c r="N7" s="79"/>
      <c r="O7" s="328"/>
      <c r="P7" s="328"/>
      <c r="V7" s="56">
        <f t="shared" si="8"/>
        <v>522</v>
      </c>
      <c r="W7" s="52">
        <f t="shared" si="9"/>
        <v>12.525103550123006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24.370300388295373</v>
      </c>
      <c r="AC7" s="58">
        <f t="shared" si="5"/>
        <v>24.370300388295373</v>
      </c>
      <c r="AE7" s="57">
        <f t="shared" si="6"/>
        <v>10</v>
      </c>
      <c r="AF7" s="58">
        <f t="shared" si="1"/>
        <v>10.720301143050019</v>
      </c>
      <c r="AG7" s="58">
        <f t="shared" si="7"/>
        <v>24.370300388295373</v>
      </c>
      <c r="AL7" s="52">
        <f>AL6*2</f>
        <v>0.254</v>
      </c>
    </row>
    <row r="8" spans="1:38" s="52" customFormat="1" ht="21.6" customHeight="1">
      <c r="A8" s="157" t="str">
        <f>StepTest!A10</f>
        <v>양수시험</v>
      </c>
      <c r="B8" s="157"/>
      <c r="C8" s="173" t="s">
        <v>188</v>
      </c>
      <c r="D8" s="174">
        <f>StepTest!D10</f>
        <v>4.3600000000000003</v>
      </c>
      <c r="E8" s="170"/>
      <c r="F8" s="171" t="s">
        <v>189</v>
      </c>
      <c r="G8" s="175">
        <f>F77</f>
        <v>22.918484957463427</v>
      </c>
      <c r="H8" s="167">
        <f>Input!C40</f>
        <v>522</v>
      </c>
      <c r="I8" s="167"/>
      <c r="J8" s="157"/>
      <c r="K8" s="367">
        <f>Input!M50</f>
        <v>17.53</v>
      </c>
      <c r="L8" s="408">
        <f>G10-K11</f>
        <v>3.8165265060686018</v>
      </c>
      <c r="M8" s="59">
        <f t="shared" si="2"/>
        <v>-104.68</v>
      </c>
      <c r="N8" s="79"/>
      <c r="O8" s="328"/>
      <c r="P8" s="328"/>
      <c r="V8" s="56">
        <f t="shared" si="8"/>
        <v>522</v>
      </c>
      <c r="W8" s="52">
        <f t="shared" si="9"/>
        <v>12.525103550123006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25.304709565727364</v>
      </c>
      <c r="AC8" s="58">
        <f t="shared" si="5"/>
        <v>25.304709565727364</v>
      </c>
      <c r="AE8" s="57">
        <f t="shared" si="6"/>
        <v>15</v>
      </c>
      <c r="AF8" s="58">
        <f t="shared" si="1"/>
        <v>11.65471032048201</v>
      </c>
      <c r="AG8" s="58">
        <f t="shared" si="7"/>
        <v>25.304709565727364</v>
      </c>
    </row>
    <row r="9" spans="1:38" s="52" customFormat="1" ht="21.6" customHeight="1">
      <c r="A9" s="171" t="s">
        <v>170</v>
      </c>
      <c r="B9" s="176" t="s">
        <v>171</v>
      </c>
      <c r="C9" s="173" t="s">
        <v>190</v>
      </c>
      <c r="D9" s="480" t="s">
        <v>173</v>
      </c>
      <c r="E9" s="480"/>
      <c r="F9" s="176" t="s">
        <v>174</v>
      </c>
      <c r="G9" s="176" t="s">
        <v>175</v>
      </c>
      <c r="H9" s="177"/>
      <c r="I9" s="177"/>
      <c r="J9" s="177"/>
      <c r="K9" s="76">
        <f>G8-D8</f>
        <v>18.558484957463428</v>
      </c>
      <c r="M9" s="59">
        <f t="shared" si="2"/>
        <v>-161.46</v>
      </c>
      <c r="N9" s="79"/>
      <c r="O9" s="328"/>
      <c r="P9" s="328"/>
      <c r="V9" s="56">
        <f t="shared" si="8"/>
        <v>522</v>
      </c>
      <c r="W9" s="52">
        <f t="shared" si="9"/>
        <v>12.525103550123006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25.967683427857796</v>
      </c>
      <c r="AC9" s="58">
        <f t="shared" si="5"/>
        <v>25.967683427857796</v>
      </c>
      <c r="AE9" s="57">
        <f t="shared" si="6"/>
        <v>20</v>
      </c>
      <c r="AF9" s="58">
        <f t="shared" si="1"/>
        <v>12.317684182612442</v>
      </c>
      <c r="AG9" s="58">
        <f t="shared" si="7"/>
        <v>25.967683427857796</v>
      </c>
    </row>
    <row r="10" spans="1:38" s="52" customFormat="1" ht="21" customHeight="1">
      <c r="A10" s="177">
        <v>1</v>
      </c>
      <c r="B10" s="178">
        <f>Input!C26</f>
        <v>522</v>
      </c>
      <c r="C10" s="179">
        <v>45082.645833333336</v>
      </c>
      <c r="D10" s="180">
        <v>1</v>
      </c>
      <c r="E10" s="170">
        <f>D10/1440</f>
        <v>6.9444444444444447E-4</v>
      </c>
      <c r="F10" s="181">
        <f>G10+D$8</f>
        <v>9.7739095456310245</v>
      </c>
      <c r="G10" s="182">
        <f>AF2</f>
        <v>5.4139095456310251</v>
      </c>
      <c r="H10" s="183"/>
      <c r="I10" s="183"/>
      <c r="J10" s="183"/>
      <c r="K10" s="80">
        <f>K8-K9</f>
        <v>-1.0284849574634265</v>
      </c>
      <c r="L10" s="76">
        <f>K10+Q17</f>
        <v>-7.1584849574634264</v>
      </c>
      <c r="M10" s="59">
        <f t="shared" si="2"/>
        <v>-218.5</v>
      </c>
      <c r="N10" s="79"/>
      <c r="O10" s="328"/>
      <c r="P10" s="328"/>
      <c r="V10" s="56">
        <f t="shared" si="8"/>
        <v>522</v>
      </c>
      <c r="W10" s="52">
        <f t="shared" si="9"/>
        <v>12.525103550123006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26.481925906589513</v>
      </c>
      <c r="AC10" s="58">
        <f t="shared" si="5"/>
        <v>26.481925906589513</v>
      </c>
      <c r="AE10" s="57">
        <f t="shared" si="6"/>
        <v>25</v>
      </c>
      <c r="AF10" s="58">
        <f t="shared" si="1"/>
        <v>12.831926661344159</v>
      </c>
      <c r="AG10" s="58">
        <f t="shared" si="7"/>
        <v>26.481925906589513</v>
      </c>
    </row>
    <row r="11" spans="1:38" s="52" customFormat="1" ht="21" customHeight="1">
      <c r="A11" s="177"/>
      <c r="B11" s="177"/>
      <c r="C11" s="179"/>
      <c r="D11" s="180">
        <v>2</v>
      </c>
      <c r="E11" s="170">
        <f t="shared" ref="E11:E74" si="12">D11/1440</f>
        <v>1.3888888888888889E-3</v>
      </c>
      <c r="F11" s="181">
        <f t="shared" ref="F11:F62" si="13">G11+D$8</f>
        <v>11.371292585193448</v>
      </c>
      <c r="G11" s="181">
        <f>AF3</f>
        <v>7.0112925851934484</v>
      </c>
      <c r="H11" s="183"/>
      <c r="I11" s="183"/>
      <c r="J11" s="183"/>
      <c r="K11" s="81">
        <f>G11-G10</f>
        <v>1.5973830395624233</v>
      </c>
      <c r="L11" s="76" t="s">
        <v>21</v>
      </c>
      <c r="N11" s="79"/>
      <c r="O11" s="328"/>
      <c r="V11" s="56">
        <f t="shared" si="8"/>
        <v>522</v>
      </c>
      <c r="W11" s="52">
        <f t="shared" si="9"/>
        <v>12.525103550123006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26.902092605289791</v>
      </c>
      <c r="AC11" s="58">
        <f t="shared" si="5"/>
        <v>26.902092605289791</v>
      </c>
      <c r="AE11" s="57">
        <f t="shared" si="6"/>
        <v>30</v>
      </c>
      <c r="AF11" s="58">
        <f t="shared" si="1"/>
        <v>13.252093360044437</v>
      </c>
      <c r="AG11" s="58">
        <f t="shared" si="7"/>
        <v>26.902092605289791</v>
      </c>
    </row>
    <row r="12" spans="1:38" s="52" customFormat="1" ht="21" customHeight="1">
      <c r="A12" s="177"/>
      <c r="B12" s="177"/>
      <c r="C12" s="179"/>
      <c r="D12" s="180">
        <v>3</v>
      </c>
      <c r="E12" s="170">
        <f t="shared" si="12"/>
        <v>2.0833333333333333E-3</v>
      </c>
      <c r="F12" s="181">
        <f t="shared" si="13"/>
        <v>12.305701762625446</v>
      </c>
      <c r="G12" s="181">
        <f t="shared" ref="G12:G74" si="14">AF4</f>
        <v>7.9457017626254469</v>
      </c>
      <c r="H12" s="183"/>
      <c r="I12" s="183"/>
      <c r="J12" s="183"/>
      <c r="K12" s="81">
        <f t="shared" ref="K12:K47" si="15">G12-G11</f>
        <v>0.93440917743199847</v>
      </c>
      <c r="L12" s="76" t="s">
        <v>21</v>
      </c>
      <c r="N12" s="79"/>
      <c r="O12" s="328"/>
      <c r="V12" s="56">
        <f t="shared" si="8"/>
        <v>522</v>
      </c>
      <c r="W12" s="52">
        <f t="shared" si="9"/>
        <v>12.525103550123006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27.257338487259851</v>
      </c>
      <c r="AC12" s="58">
        <f t="shared" si="5"/>
        <v>27.257338487259851</v>
      </c>
      <c r="AE12" s="57">
        <f t="shared" si="6"/>
        <v>35</v>
      </c>
      <c r="AF12" s="58">
        <f t="shared" si="1"/>
        <v>13.607339242014497</v>
      </c>
      <c r="AG12" s="58">
        <f t="shared" si="7"/>
        <v>27.257338487259851</v>
      </c>
    </row>
    <row r="13" spans="1:38" s="52" customFormat="1" ht="21" customHeight="1">
      <c r="A13" s="177"/>
      <c r="B13" s="177"/>
      <c r="C13" s="179"/>
      <c r="D13" s="180">
        <v>4</v>
      </c>
      <c r="E13" s="170">
        <f t="shared" si="12"/>
        <v>2.7777777777777779E-3</v>
      </c>
      <c r="F13" s="181">
        <f t="shared" si="13"/>
        <v>12.968675624755871</v>
      </c>
      <c r="G13" s="181">
        <f t="shared" si="14"/>
        <v>8.6086756247558718</v>
      </c>
      <c r="H13" s="183"/>
      <c r="I13" s="183"/>
      <c r="J13" s="183"/>
      <c r="K13" s="81">
        <f t="shared" si="15"/>
        <v>0.66297386213042486</v>
      </c>
      <c r="L13" s="76" t="s">
        <v>21</v>
      </c>
      <c r="M13" s="330">
        <v>-3</v>
      </c>
      <c r="N13" s="79"/>
      <c r="O13" s="328"/>
      <c r="V13" s="56">
        <f t="shared" si="8"/>
        <v>522</v>
      </c>
      <c r="W13" s="52">
        <f t="shared" si="9"/>
        <v>12.525103550123006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27.565066467420216</v>
      </c>
      <c r="AC13" s="58">
        <f t="shared" si="5"/>
        <v>27.565066467420216</v>
      </c>
      <c r="AE13" s="57">
        <f t="shared" si="6"/>
        <v>40</v>
      </c>
      <c r="AF13" s="58">
        <f t="shared" si="1"/>
        <v>13.915067222174862</v>
      </c>
      <c r="AG13" s="58">
        <f t="shared" si="7"/>
        <v>27.565066467420216</v>
      </c>
    </row>
    <row r="14" spans="1:38" s="52" customFormat="1" ht="21" customHeight="1">
      <c r="A14" s="177"/>
      <c r="B14" s="177"/>
      <c r="C14" s="179"/>
      <c r="D14" s="180">
        <v>5</v>
      </c>
      <c r="E14" s="170">
        <f t="shared" si="12"/>
        <v>3.472222222222222E-3</v>
      </c>
      <c r="F14" s="181">
        <f t="shared" si="13"/>
        <v>13.482918103487592</v>
      </c>
      <c r="G14" s="181">
        <f t="shared" si="14"/>
        <v>9.1229181034875921</v>
      </c>
      <c r="H14" s="183"/>
      <c r="I14" s="183"/>
      <c r="J14" s="183"/>
      <c r="K14" s="81">
        <f t="shared" si="15"/>
        <v>0.51424247873172035</v>
      </c>
      <c r="L14" s="76" t="s">
        <v>21</v>
      </c>
      <c r="N14" s="79"/>
      <c r="O14" s="328"/>
      <c r="V14" s="56">
        <f t="shared" si="8"/>
        <v>522</v>
      </c>
      <c r="W14" s="52">
        <f t="shared" si="9"/>
        <v>12.525103550123006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27.83650178272179</v>
      </c>
      <c r="AC14" s="58">
        <f t="shared" si="5"/>
        <v>27.83650178272179</v>
      </c>
      <c r="AE14" s="57">
        <f t="shared" si="6"/>
        <v>45</v>
      </c>
      <c r="AF14" s="58">
        <f t="shared" si="1"/>
        <v>14.186502537476436</v>
      </c>
      <c r="AG14" s="58">
        <f t="shared" si="7"/>
        <v>27.83650178272179</v>
      </c>
    </row>
    <row r="15" spans="1:38" s="52" customFormat="1" ht="21" customHeight="1">
      <c r="A15" s="177"/>
      <c r="B15" s="366"/>
      <c r="C15" s="179"/>
      <c r="D15" s="180">
        <v>10</v>
      </c>
      <c r="E15" s="170">
        <f t="shared" si="12"/>
        <v>6.9444444444444441E-3</v>
      </c>
      <c r="F15" s="181">
        <f t="shared" si="13"/>
        <v>15.080301143050018</v>
      </c>
      <c r="G15" s="181">
        <f t="shared" si="14"/>
        <v>10.720301143050019</v>
      </c>
      <c r="H15" s="183"/>
      <c r="I15" s="183"/>
      <c r="J15" s="183"/>
      <c r="K15" s="81">
        <f t="shared" si="15"/>
        <v>1.5973830395624269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28.079308946151937</v>
      </c>
      <c r="AC15" s="58">
        <f t="shared" si="5"/>
        <v>28.079308946151937</v>
      </c>
      <c r="AE15" s="57">
        <f t="shared" si="6"/>
        <v>50</v>
      </c>
      <c r="AF15" s="58">
        <f>AC15-$P$3</f>
        <v>14.429309700906582</v>
      </c>
      <c r="AG15" s="58">
        <f t="shared" si="7"/>
        <v>28.079308946151937</v>
      </c>
    </row>
    <row r="16" spans="1:38" s="52" customFormat="1" ht="21" customHeight="1">
      <c r="A16" s="177"/>
      <c r="B16" s="177"/>
      <c r="C16" s="179"/>
      <c r="D16" s="180">
        <v>15</v>
      </c>
      <c r="E16" s="170">
        <f t="shared" si="12"/>
        <v>1.0416666666666666E-2</v>
      </c>
      <c r="F16" s="181">
        <f t="shared" si="13"/>
        <v>16.01471032048201</v>
      </c>
      <c r="G16" s="181">
        <f t="shared" si="14"/>
        <v>11.65471032048201</v>
      </c>
      <c r="H16" s="183"/>
      <c r="I16" s="183"/>
      <c r="J16" s="183"/>
      <c r="K16" s="81">
        <f t="shared" si="15"/>
        <v>0.93440917743199137</v>
      </c>
      <c r="L16" s="424" t="s">
        <v>247</v>
      </c>
      <c r="M16" s="425" t="s">
        <v>178</v>
      </c>
      <c r="N16" s="425" t="s">
        <v>179</v>
      </c>
      <c r="O16" s="425" t="s">
        <v>245</v>
      </c>
      <c r="P16" s="425" t="s">
        <v>246</v>
      </c>
      <c r="Q16" s="425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28.298954742870148</v>
      </c>
      <c r="AC16" s="58">
        <f t="shared" si="5"/>
        <v>28.298954742870148</v>
      </c>
      <c r="AE16" s="57">
        <f t="shared" si="6"/>
        <v>55</v>
      </c>
      <c r="AF16" s="58">
        <f>AC16-$P$3</f>
        <v>14.648955497624794</v>
      </c>
      <c r="AG16" s="58">
        <f t="shared" si="7"/>
        <v>28.298954742870148</v>
      </c>
    </row>
    <row r="17" spans="1:32" s="52" customFormat="1" ht="21" customHeight="1">
      <c r="A17" s="177"/>
      <c r="B17" s="177"/>
      <c r="C17" s="179"/>
      <c r="D17" s="180">
        <v>20</v>
      </c>
      <c r="E17" s="170">
        <f t="shared" si="12"/>
        <v>1.3888888888888888E-2</v>
      </c>
      <c r="F17" s="181">
        <f t="shared" si="13"/>
        <v>16.677684182612442</v>
      </c>
      <c r="G17" s="181">
        <f t="shared" si="14"/>
        <v>12.317684182612442</v>
      </c>
      <c r="H17" s="183"/>
      <c r="I17" s="183"/>
      <c r="J17" s="183"/>
      <c r="K17" s="81">
        <f t="shared" si="15"/>
        <v>0.66297386213043197</v>
      </c>
      <c r="L17" s="410">
        <f>D10</f>
        <v>1</v>
      </c>
      <c r="M17" s="411">
        <f>INT(B10/1440*10000)/10000</f>
        <v>0.36249999999999999</v>
      </c>
      <c r="N17" s="411">
        <f>L17*M17</f>
        <v>0.36249999999999999</v>
      </c>
      <c r="O17" s="411">
        <f>INT((D7/2/1000)^2*PI()*100000)/100000</f>
        <v>3.141E-2</v>
      </c>
      <c r="P17" s="411">
        <f>INT(N17/O17*100)/100</f>
        <v>11.54</v>
      </c>
      <c r="Q17" s="412">
        <f>INT((G10-P17)*100)/100</f>
        <v>-6.13</v>
      </c>
      <c r="V17" s="56">
        <f t="shared" si="8"/>
        <v>522</v>
      </c>
      <c r="W17" s="52">
        <f t="shared" si="9"/>
        <v>12.525103550123006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28.499475644852215</v>
      </c>
      <c r="AC17" s="58">
        <f t="shared" si="5"/>
        <v>28.499475644852215</v>
      </c>
      <c r="AE17" s="57">
        <f t="shared" si="6"/>
        <v>60</v>
      </c>
      <c r="AF17" s="58">
        <f>AC17-$P$3</f>
        <v>14.849476399606861</v>
      </c>
    </row>
    <row r="18" spans="1:32" s="52" customFormat="1" ht="21" customHeight="1">
      <c r="A18" s="177"/>
      <c r="B18" s="177"/>
      <c r="C18" s="179"/>
      <c r="D18" s="180">
        <v>25</v>
      </c>
      <c r="E18" s="170">
        <f t="shared" si="12"/>
        <v>1.7361111111111112E-2</v>
      </c>
      <c r="F18" s="181">
        <f t="shared" si="13"/>
        <v>17.191926661344159</v>
      </c>
      <c r="G18" s="181">
        <f t="shared" si="14"/>
        <v>12.831926661344159</v>
      </c>
      <c r="H18" s="183"/>
      <c r="I18" s="183"/>
      <c r="J18" s="183"/>
      <c r="K18" s="81">
        <f t="shared" si="15"/>
        <v>0.5142424787317168</v>
      </c>
      <c r="L18" s="410">
        <f t="shared" ref="L18:L31" si="16">D11</f>
        <v>2</v>
      </c>
      <c r="M18" s="411">
        <f>M17</f>
        <v>0.36249999999999999</v>
      </c>
      <c r="N18" s="411">
        <f>L18*M18</f>
        <v>0.72499999999999998</v>
      </c>
      <c r="O18" s="411">
        <f>O17</f>
        <v>3.141E-2</v>
      </c>
      <c r="P18" s="411">
        <f>INT(N18/O18*100)/100</f>
        <v>23.08</v>
      </c>
      <c r="Q18" s="412">
        <f t="shared" ref="Q18:Q27" si="17">INT((G11-P18)*100)/100</f>
        <v>-16.07</v>
      </c>
      <c r="V18" s="56">
        <f t="shared" si="8"/>
        <v>522</v>
      </c>
      <c r="W18" s="52">
        <f t="shared" si="9"/>
        <v>12.525103550123006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29.013718123583931</v>
      </c>
      <c r="AC18" s="58">
        <f t="shared" si="5"/>
        <v>29.013718123583931</v>
      </c>
      <c r="AE18" s="57">
        <f t="shared" si="6"/>
        <v>75</v>
      </c>
      <c r="AF18" s="58">
        <f>AC18-$P$3</f>
        <v>15.363718878338577</v>
      </c>
    </row>
    <row r="19" spans="1:32" s="52" customFormat="1" ht="21" customHeight="1">
      <c r="A19" s="177"/>
      <c r="B19" s="177"/>
      <c r="C19" s="179"/>
      <c r="D19" s="180">
        <v>30</v>
      </c>
      <c r="E19" s="170">
        <f t="shared" si="12"/>
        <v>2.0833333333333332E-2</v>
      </c>
      <c r="F19" s="181">
        <f t="shared" si="13"/>
        <v>17.612093360044437</v>
      </c>
      <c r="G19" s="181">
        <f t="shared" si="14"/>
        <v>13.252093360044437</v>
      </c>
      <c r="H19" s="183"/>
      <c r="I19" s="183"/>
      <c r="J19" s="183"/>
      <c r="K19" s="81">
        <f t="shared" si="15"/>
        <v>0.42016669870027812</v>
      </c>
      <c r="L19" s="410">
        <f t="shared" si="16"/>
        <v>3</v>
      </c>
      <c r="M19" s="411">
        <f>M18</f>
        <v>0.36249999999999999</v>
      </c>
      <c r="N19" s="411">
        <f t="shared" ref="N19:N27" si="18">L19*M19</f>
        <v>1.0874999999999999</v>
      </c>
      <c r="O19" s="411">
        <f t="shared" ref="O19:O31" si="19">O18</f>
        <v>3.141E-2</v>
      </c>
      <c r="P19" s="411">
        <f>INT(N19/O19*100)/100</f>
        <v>34.619999999999997</v>
      </c>
      <c r="Q19" s="412">
        <f t="shared" si="17"/>
        <v>-26.68</v>
      </c>
      <c r="V19" s="56">
        <f t="shared" si="8"/>
        <v>522</v>
      </c>
      <c r="W19" s="52">
        <f t="shared" si="9"/>
        <v>12.525103550123006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29.433884822284213</v>
      </c>
      <c r="AC19" s="58">
        <f t="shared" si="5"/>
        <v>29.433884822284213</v>
      </c>
      <c r="AE19" s="57">
        <f t="shared" si="6"/>
        <v>90</v>
      </c>
      <c r="AF19" s="58">
        <f>AC19-$P$3</f>
        <v>15.783885577038859</v>
      </c>
    </row>
    <row r="20" spans="1:32" s="52" customFormat="1" ht="21" customHeight="1">
      <c r="A20" s="177"/>
      <c r="B20" s="177"/>
      <c r="C20" s="179"/>
      <c r="D20" s="180">
        <v>35</v>
      </c>
      <c r="E20" s="170">
        <f t="shared" si="12"/>
        <v>2.4305555555555556E-2</v>
      </c>
      <c r="F20" s="181">
        <f t="shared" si="13"/>
        <v>17.967339242014496</v>
      </c>
      <c r="G20" s="181">
        <f t="shared" si="14"/>
        <v>13.607339242014497</v>
      </c>
      <c r="H20" s="183"/>
      <c r="I20" s="183"/>
      <c r="J20" s="183"/>
      <c r="K20" s="81">
        <f t="shared" si="15"/>
        <v>0.35524588197005968</v>
      </c>
      <c r="L20" s="410">
        <f t="shared" si="16"/>
        <v>4</v>
      </c>
      <c r="M20" s="411">
        <f>M19</f>
        <v>0.36249999999999999</v>
      </c>
      <c r="N20" s="411">
        <f>L20*M20</f>
        <v>1.45</v>
      </c>
      <c r="O20" s="411">
        <f>O19</f>
        <v>3.141E-2</v>
      </c>
      <c r="P20" s="411">
        <f>INT(N20/O20*100)/100</f>
        <v>46.16</v>
      </c>
      <c r="Q20" s="412">
        <f t="shared" si="17"/>
        <v>-37.56</v>
      </c>
      <c r="V20" s="56">
        <f t="shared" si="8"/>
        <v>522</v>
      </c>
      <c r="W20" s="52">
        <f t="shared" si="9"/>
        <v>12.525103550123006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29.789130704254276</v>
      </c>
      <c r="AC20" s="58">
        <f t="shared" si="5"/>
        <v>29.789130704254276</v>
      </c>
      <c r="AE20" s="57">
        <f t="shared" si="6"/>
        <v>105</v>
      </c>
      <c r="AF20" s="58">
        <f t="shared" ref="AF20:AF69" si="20">AC20-$P$3</f>
        <v>16.139131459008922</v>
      </c>
    </row>
    <row r="21" spans="1:32" s="52" customFormat="1" ht="21" customHeight="1">
      <c r="A21" s="177"/>
      <c r="B21" s="177"/>
      <c r="C21" s="179"/>
      <c r="D21" s="180">
        <v>40</v>
      </c>
      <c r="E21" s="170">
        <f t="shared" si="12"/>
        <v>2.7777777777777776E-2</v>
      </c>
      <c r="F21" s="181">
        <f t="shared" si="13"/>
        <v>18.275067222174862</v>
      </c>
      <c r="G21" s="181">
        <f t="shared" si="14"/>
        <v>13.915067222174862</v>
      </c>
      <c r="H21" s="183"/>
      <c r="I21" s="183"/>
      <c r="J21" s="183"/>
      <c r="K21" s="81">
        <f t="shared" si="15"/>
        <v>0.30772798016036518</v>
      </c>
      <c r="L21" s="410">
        <f t="shared" si="16"/>
        <v>5</v>
      </c>
      <c r="M21" s="411">
        <f>M20</f>
        <v>0.36249999999999999</v>
      </c>
      <c r="N21" s="411">
        <f t="shared" si="18"/>
        <v>1.8125</v>
      </c>
      <c r="O21" s="411">
        <f t="shared" si="19"/>
        <v>3.141E-2</v>
      </c>
      <c r="P21" s="411">
        <f>INT(N21/O21*100)/100</f>
        <v>57.7</v>
      </c>
      <c r="Q21" s="412">
        <f t="shared" si="17"/>
        <v>-48.58</v>
      </c>
      <c r="V21" s="56">
        <f t="shared" si="8"/>
        <v>522</v>
      </c>
      <c r="W21" s="52">
        <f t="shared" si="9"/>
        <v>12.525103550123006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30.096858684414642</v>
      </c>
      <c r="AC21" s="58">
        <f t="shared" si="5"/>
        <v>30.096858684414642</v>
      </c>
      <c r="AE21" s="57">
        <f t="shared" si="6"/>
        <v>120</v>
      </c>
      <c r="AF21" s="58">
        <f t="shared" si="20"/>
        <v>16.446859439169287</v>
      </c>
    </row>
    <row r="22" spans="1:32" s="52" customFormat="1" ht="21" customHeight="1">
      <c r="A22" s="177"/>
      <c r="B22" s="177"/>
      <c r="C22" s="179"/>
      <c r="D22" s="180">
        <v>45</v>
      </c>
      <c r="E22" s="170">
        <f t="shared" si="12"/>
        <v>3.125E-2</v>
      </c>
      <c r="F22" s="181">
        <f t="shared" si="13"/>
        <v>18.546502537476435</v>
      </c>
      <c r="G22" s="181">
        <f t="shared" si="14"/>
        <v>14.186502537476436</v>
      </c>
      <c r="H22" s="183"/>
      <c r="I22" s="183"/>
      <c r="J22" s="183"/>
      <c r="K22" s="81">
        <f t="shared" si="15"/>
        <v>0.27143531530157361</v>
      </c>
      <c r="L22" s="410">
        <f t="shared" si="16"/>
        <v>10</v>
      </c>
      <c r="M22" s="411">
        <f t="shared" ref="M22:M31" si="21">M21</f>
        <v>0.36249999999999999</v>
      </c>
      <c r="N22" s="411">
        <f>L22*M22</f>
        <v>3.625</v>
      </c>
      <c r="O22" s="411">
        <f>O21</f>
        <v>3.141E-2</v>
      </c>
      <c r="P22" s="411">
        <f t="shared" ref="P22:P27" si="22">INT(N22/O22*100)/100</f>
        <v>115.4</v>
      </c>
      <c r="Q22" s="412">
        <f t="shared" si="17"/>
        <v>-104.68</v>
      </c>
      <c r="V22" s="56">
        <f t="shared" si="8"/>
        <v>522</v>
      </c>
      <c r="W22" s="52">
        <f t="shared" si="9"/>
        <v>12.525103550123006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30.452104566384705</v>
      </c>
      <c r="AC22" s="58">
        <f t="shared" si="5"/>
        <v>30.452104566384705</v>
      </c>
      <c r="AE22" s="57">
        <f t="shared" si="6"/>
        <v>140</v>
      </c>
      <c r="AF22" s="58">
        <f t="shared" si="20"/>
        <v>16.802105321139351</v>
      </c>
    </row>
    <row r="23" spans="1:32" s="52" customFormat="1" ht="21" customHeight="1">
      <c r="A23" s="177"/>
      <c r="B23" s="177"/>
      <c r="C23" s="179"/>
      <c r="D23" s="180">
        <v>50</v>
      </c>
      <c r="E23" s="170">
        <f t="shared" si="12"/>
        <v>3.4722222222222224E-2</v>
      </c>
      <c r="F23" s="181">
        <f t="shared" si="13"/>
        <v>18.789309700906582</v>
      </c>
      <c r="G23" s="181">
        <f t="shared" si="14"/>
        <v>14.429309700906582</v>
      </c>
      <c r="H23" s="183"/>
      <c r="I23" s="183"/>
      <c r="J23" s="183"/>
      <c r="K23" s="81">
        <f t="shared" si="15"/>
        <v>0.24280716343014674</v>
      </c>
      <c r="L23" s="410">
        <f t="shared" si="16"/>
        <v>15</v>
      </c>
      <c r="M23" s="411">
        <f t="shared" si="21"/>
        <v>0.36249999999999999</v>
      </c>
      <c r="N23" s="411">
        <f t="shared" si="18"/>
        <v>5.4375</v>
      </c>
      <c r="O23" s="411">
        <f t="shared" si="19"/>
        <v>3.141E-2</v>
      </c>
      <c r="P23" s="411">
        <f t="shared" si="22"/>
        <v>173.11</v>
      </c>
      <c r="Q23" s="412">
        <f t="shared" si="17"/>
        <v>-161.46</v>
      </c>
      <c r="V23" s="56">
        <f t="shared" si="8"/>
        <v>522</v>
      </c>
      <c r="W23" s="52">
        <f t="shared" si="9"/>
        <v>12.525103550123006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30.75983254654507</v>
      </c>
      <c r="AC23" s="58">
        <f t="shared" si="5"/>
        <v>30.75983254654507</v>
      </c>
      <c r="AE23" s="57">
        <f t="shared" si="6"/>
        <v>160</v>
      </c>
      <c r="AF23" s="58">
        <f t="shared" si="20"/>
        <v>17.109833301299716</v>
      </c>
    </row>
    <row r="24" spans="1:32" s="52" customFormat="1" ht="21" customHeight="1">
      <c r="A24" s="177"/>
      <c r="B24" s="177"/>
      <c r="C24" s="179"/>
      <c r="D24" s="180">
        <v>55</v>
      </c>
      <c r="E24" s="170">
        <f t="shared" si="12"/>
        <v>3.8194444444444448E-2</v>
      </c>
      <c r="F24" s="181">
        <f t="shared" si="13"/>
        <v>19.008955497624793</v>
      </c>
      <c r="G24" s="181">
        <f t="shared" si="14"/>
        <v>14.648955497624794</v>
      </c>
      <c r="H24" s="183"/>
      <c r="I24" s="183"/>
      <c r="J24" s="183"/>
      <c r="K24" s="81">
        <f t="shared" si="15"/>
        <v>0.21964579671821127</v>
      </c>
      <c r="L24" s="410">
        <f t="shared" si="16"/>
        <v>20</v>
      </c>
      <c r="M24" s="411">
        <f t="shared" si="21"/>
        <v>0.36249999999999999</v>
      </c>
      <c r="N24" s="411">
        <f t="shared" si="18"/>
        <v>7.25</v>
      </c>
      <c r="O24" s="411">
        <f t="shared" si="19"/>
        <v>3.141E-2</v>
      </c>
      <c r="P24" s="411">
        <f t="shared" si="22"/>
        <v>230.81</v>
      </c>
      <c r="Q24" s="412">
        <f t="shared" si="17"/>
        <v>-218.5</v>
      </c>
      <c r="V24" s="56">
        <f t="shared" si="8"/>
        <v>522</v>
      </c>
      <c r="W24" s="52">
        <f t="shared" si="9"/>
        <v>12.525103550123006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31.03126786184664</v>
      </c>
      <c r="AC24" s="58">
        <f t="shared" si="5"/>
        <v>31.03126786184664</v>
      </c>
      <c r="AE24" s="57">
        <f t="shared" si="6"/>
        <v>180</v>
      </c>
      <c r="AF24" s="58">
        <f t="shared" si="20"/>
        <v>17.381268616601286</v>
      </c>
    </row>
    <row r="25" spans="1:32" s="52" customFormat="1" ht="21" customHeight="1">
      <c r="A25" s="177"/>
      <c r="B25" s="177"/>
      <c r="C25" s="179">
        <f>$C$10+D25/1440</f>
        <v>45082.6875</v>
      </c>
      <c r="D25" s="180">
        <v>60</v>
      </c>
      <c r="E25" s="170">
        <f t="shared" si="12"/>
        <v>4.1666666666666664E-2</v>
      </c>
      <c r="F25" s="181">
        <f t="shared" si="13"/>
        <v>19.20947639960686</v>
      </c>
      <c r="G25" s="181">
        <f t="shared" si="14"/>
        <v>14.849476399606861</v>
      </c>
      <c r="H25" s="183"/>
      <c r="I25" s="183"/>
      <c r="J25" s="183"/>
      <c r="K25" s="81">
        <f t="shared" si="15"/>
        <v>0.20052090198206685</v>
      </c>
      <c r="L25" s="410">
        <f t="shared" si="16"/>
        <v>25</v>
      </c>
      <c r="M25" s="411">
        <f t="shared" si="21"/>
        <v>0.36249999999999999</v>
      </c>
      <c r="N25" s="411">
        <f t="shared" si="18"/>
        <v>9.0625</v>
      </c>
      <c r="O25" s="411">
        <f t="shared" si="19"/>
        <v>3.141E-2</v>
      </c>
      <c r="P25" s="411">
        <f t="shared" si="22"/>
        <v>288.52</v>
      </c>
      <c r="Q25" s="412">
        <f t="shared" si="17"/>
        <v>-275.69</v>
      </c>
      <c r="V25" s="56">
        <f t="shared" si="8"/>
        <v>522</v>
      </c>
      <c r="W25" s="52">
        <f t="shared" si="9"/>
        <v>12.525103550123006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31.694241723977068</v>
      </c>
      <c r="AC25" s="58">
        <f t="shared" si="5"/>
        <v>31.694241723977068</v>
      </c>
      <c r="AE25" s="57">
        <f t="shared" si="6"/>
        <v>240</v>
      </c>
      <c r="AF25" s="58">
        <f t="shared" si="20"/>
        <v>18.044242478731714</v>
      </c>
    </row>
    <row r="26" spans="1:32" s="52" customFormat="1" ht="21" customHeight="1">
      <c r="A26" s="177"/>
      <c r="B26" s="177"/>
      <c r="C26" s="179"/>
      <c r="D26" s="180">
        <v>75</v>
      </c>
      <c r="E26" s="170">
        <f t="shared" si="12"/>
        <v>5.2083333333333336E-2</v>
      </c>
      <c r="F26" s="181">
        <f t="shared" si="13"/>
        <v>19.723718878338577</v>
      </c>
      <c r="G26" s="181">
        <f t="shared" si="14"/>
        <v>15.363718878338577</v>
      </c>
      <c r="H26" s="183"/>
      <c r="I26" s="183"/>
      <c r="J26" s="183"/>
      <c r="K26" s="81">
        <f t="shared" si="15"/>
        <v>0.5142424787317168</v>
      </c>
      <c r="L26" s="410">
        <f t="shared" si="16"/>
        <v>30</v>
      </c>
      <c r="M26" s="411">
        <f t="shared" si="21"/>
        <v>0.36249999999999999</v>
      </c>
      <c r="N26" s="411">
        <f t="shared" si="18"/>
        <v>10.875</v>
      </c>
      <c r="O26" s="411">
        <f t="shared" si="19"/>
        <v>3.141E-2</v>
      </c>
      <c r="P26" s="411">
        <f t="shared" si="22"/>
        <v>346.22</v>
      </c>
      <c r="Q26" s="412">
        <f t="shared" si="17"/>
        <v>-332.97</v>
      </c>
      <c r="V26" s="56">
        <f t="shared" si="8"/>
        <v>522</v>
      </c>
      <c r="W26" s="52">
        <f t="shared" si="9"/>
        <v>12.525103550123006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32.208484202708782</v>
      </c>
      <c r="AC26" s="58">
        <f t="shared" si="5"/>
        <v>32.208484202708782</v>
      </c>
      <c r="AE26" s="57">
        <f t="shared" si="6"/>
        <v>300</v>
      </c>
      <c r="AF26" s="58">
        <f t="shared" si="20"/>
        <v>18.558484957463428</v>
      </c>
    </row>
    <row r="27" spans="1:32" s="52" customFormat="1" ht="21" customHeight="1">
      <c r="A27" s="177"/>
      <c r="B27" s="177"/>
      <c r="C27" s="179"/>
      <c r="D27" s="180">
        <v>90</v>
      </c>
      <c r="E27" s="170">
        <f t="shared" si="12"/>
        <v>6.25E-2</v>
      </c>
      <c r="F27" s="181">
        <f t="shared" si="13"/>
        <v>20.143885577038859</v>
      </c>
      <c r="G27" s="181">
        <f t="shared" si="14"/>
        <v>15.783885577038859</v>
      </c>
      <c r="H27" s="183"/>
      <c r="I27" s="183"/>
      <c r="J27" s="183"/>
      <c r="K27" s="81">
        <f t="shared" si="15"/>
        <v>0.42016669870028167</v>
      </c>
      <c r="L27" s="410">
        <f t="shared" si="16"/>
        <v>35</v>
      </c>
      <c r="M27" s="411">
        <f t="shared" si="21"/>
        <v>0.36249999999999999</v>
      </c>
      <c r="N27" s="411">
        <f t="shared" si="18"/>
        <v>12.6875</v>
      </c>
      <c r="O27" s="411">
        <f t="shared" si="19"/>
        <v>3.141E-2</v>
      </c>
      <c r="P27" s="411">
        <f t="shared" si="22"/>
        <v>403.93</v>
      </c>
      <c r="Q27" s="412">
        <f t="shared" si="17"/>
        <v>-390.33</v>
      </c>
      <c r="V27" s="56">
        <f t="shared" si="8"/>
        <v>522</v>
      </c>
      <c r="W27" s="52">
        <f t="shared" si="9"/>
        <v>12.525103550123006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32.208484202708782</v>
      </c>
      <c r="AC27" s="58">
        <f t="shared" ref="AC27:AC38" si="23">AC26</f>
        <v>32.208484202708782</v>
      </c>
      <c r="AE27" s="57">
        <f t="shared" si="6"/>
        <v>360</v>
      </c>
      <c r="AF27" s="58">
        <f t="shared" si="20"/>
        <v>18.558484957463428</v>
      </c>
    </row>
    <row r="28" spans="1:32" s="52" customFormat="1" ht="21" customHeight="1">
      <c r="A28" s="177"/>
      <c r="B28" s="177"/>
      <c r="C28" s="179"/>
      <c r="D28" s="180">
        <v>105</v>
      </c>
      <c r="E28" s="170">
        <f t="shared" si="12"/>
        <v>7.2916666666666671E-2</v>
      </c>
      <c r="F28" s="181">
        <f t="shared" si="13"/>
        <v>20.499131459008922</v>
      </c>
      <c r="G28" s="181">
        <f t="shared" si="14"/>
        <v>16.139131459008922</v>
      </c>
      <c r="H28" s="183"/>
      <c r="I28" s="183"/>
      <c r="J28" s="183"/>
      <c r="K28" s="81">
        <f t="shared" si="15"/>
        <v>0.35524588197006324</v>
      </c>
      <c r="L28" s="410">
        <f t="shared" si="16"/>
        <v>40</v>
      </c>
      <c r="M28" s="411">
        <f t="shared" si="21"/>
        <v>0.36249999999999999</v>
      </c>
      <c r="N28" s="411">
        <f>L28*M28</f>
        <v>14.5</v>
      </c>
      <c r="O28" s="411">
        <f t="shared" si="19"/>
        <v>3.141E-2</v>
      </c>
      <c r="P28" s="411">
        <f>INT(N28/O28*100)/100</f>
        <v>461.63</v>
      </c>
      <c r="Q28" s="412">
        <f>INT((G21-P28)*100)/100</f>
        <v>-447.72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32.208484202708782</v>
      </c>
      <c r="AC28" s="58">
        <f t="shared" si="23"/>
        <v>32.208484202708782</v>
      </c>
      <c r="AE28" s="57">
        <f t="shared" si="6"/>
        <v>420</v>
      </c>
      <c r="AF28" s="58">
        <f t="shared" si="20"/>
        <v>18.558484957463428</v>
      </c>
    </row>
    <row r="29" spans="1:32" s="52" customFormat="1" ht="21" customHeight="1">
      <c r="A29" s="177"/>
      <c r="B29" s="177"/>
      <c r="C29" s="179"/>
      <c r="D29" s="180">
        <v>120</v>
      </c>
      <c r="E29" s="170">
        <f t="shared" si="12"/>
        <v>8.3333333333333329E-2</v>
      </c>
      <c r="F29" s="181">
        <f t="shared" si="13"/>
        <v>20.806859439169287</v>
      </c>
      <c r="G29" s="181">
        <f t="shared" si="14"/>
        <v>16.446859439169287</v>
      </c>
      <c r="H29" s="183"/>
      <c r="I29" s="183"/>
      <c r="J29" s="183"/>
      <c r="K29" s="81">
        <f t="shared" si="15"/>
        <v>0.30772798016036518</v>
      </c>
      <c r="L29" s="410">
        <f t="shared" si="16"/>
        <v>45</v>
      </c>
      <c r="M29" s="411">
        <f t="shared" si="21"/>
        <v>0.36249999999999999</v>
      </c>
      <c r="N29" s="411">
        <f>L29*M29</f>
        <v>16.3125</v>
      </c>
      <c r="O29" s="411">
        <f t="shared" si="19"/>
        <v>3.141E-2</v>
      </c>
      <c r="P29" s="411">
        <f>INT(N29/O29*100)/100</f>
        <v>519.34</v>
      </c>
      <c r="Q29" s="412">
        <f>INT((G22-P29)*100)/100</f>
        <v>-505.16</v>
      </c>
      <c r="V29" s="56">
        <f t="shared" si="8"/>
        <v>522</v>
      </c>
      <c r="W29" s="52">
        <f t="shared" si="9"/>
        <v>12.525103550123006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32.208484202708782</v>
      </c>
      <c r="AC29" s="58">
        <f t="shared" si="23"/>
        <v>32.208484202708782</v>
      </c>
      <c r="AE29" s="57">
        <f t="shared" si="6"/>
        <v>480</v>
      </c>
      <c r="AF29" s="58">
        <f t="shared" si="20"/>
        <v>18.558484957463428</v>
      </c>
    </row>
    <row r="30" spans="1:32" s="52" customFormat="1" ht="21" customHeight="1">
      <c r="A30" s="177" t="s">
        <v>4</v>
      </c>
      <c r="B30" s="177" t="s">
        <v>4</v>
      </c>
      <c r="C30" s="179" t="s">
        <v>4</v>
      </c>
      <c r="D30" s="180">
        <v>140</v>
      </c>
      <c r="E30" s="170">
        <f t="shared" si="12"/>
        <v>9.7222222222222224E-2</v>
      </c>
      <c r="F30" s="181">
        <f t="shared" si="13"/>
        <v>21.16210532113935</v>
      </c>
      <c r="G30" s="181">
        <f t="shared" si="14"/>
        <v>16.802105321139351</v>
      </c>
      <c r="H30" s="183"/>
      <c r="I30" s="183"/>
      <c r="J30" s="183"/>
      <c r="K30" s="81">
        <f t="shared" si="15"/>
        <v>0.35524588197006324</v>
      </c>
      <c r="L30" s="410">
        <f t="shared" si="16"/>
        <v>50</v>
      </c>
      <c r="M30" s="411">
        <f t="shared" si="21"/>
        <v>0.36249999999999999</v>
      </c>
      <c r="N30" s="411">
        <f>L30*M30</f>
        <v>18.125</v>
      </c>
      <c r="O30" s="411">
        <f t="shared" si="19"/>
        <v>3.141E-2</v>
      </c>
      <c r="P30" s="411">
        <f>INT(N30/O30*100)/100</f>
        <v>577.04</v>
      </c>
      <c r="Q30" s="412">
        <f>INT((G23-P30)*100)/100</f>
        <v>-562.62</v>
      </c>
      <c r="V30" s="56">
        <f t="shared" si="8"/>
        <v>522</v>
      </c>
      <c r="W30" s="52">
        <f t="shared" si="9"/>
        <v>12.525103550123006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32.208484202708782</v>
      </c>
      <c r="AC30" s="58">
        <f t="shared" si="23"/>
        <v>32.208484202708782</v>
      </c>
      <c r="AE30" s="57">
        <f t="shared" si="6"/>
        <v>540</v>
      </c>
      <c r="AF30" s="58">
        <f t="shared" si="20"/>
        <v>18.558484957463428</v>
      </c>
    </row>
    <row r="31" spans="1:32" s="52" customFormat="1" ht="21" customHeight="1">
      <c r="A31" s="177"/>
      <c r="B31" s="177"/>
      <c r="C31" s="179"/>
      <c r="D31" s="180">
        <v>160</v>
      </c>
      <c r="E31" s="170">
        <f t="shared" si="12"/>
        <v>0.1111111111111111</v>
      </c>
      <c r="F31" s="181">
        <f t="shared" si="13"/>
        <v>21.469833301299715</v>
      </c>
      <c r="G31" s="181">
        <f t="shared" si="14"/>
        <v>17.109833301299716</v>
      </c>
      <c r="H31" s="183"/>
      <c r="I31" s="183"/>
      <c r="J31" s="183"/>
      <c r="K31" s="81">
        <f t="shared" si="15"/>
        <v>0.30772798016036518</v>
      </c>
      <c r="L31" s="410">
        <f t="shared" si="16"/>
        <v>55</v>
      </c>
      <c r="M31" s="411">
        <f t="shared" si="21"/>
        <v>0.36249999999999999</v>
      </c>
      <c r="N31" s="411">
        <f>L31*M31</f>
        <v>19.9375</v>
      </c>
      <c r="O31" s="411">
        <f t="shared" si="19"/>
        <v>3.141E-2</v>
      </c>
      <c r="P31" s="411">
        <f>INT(N31/O31*100)/100</f>
        <v>634.75</v>
      </c>
      <c r="Q31" s="412">
        <f>INT((G24-P31)*100)/100</f>
        <v>-620.11</v>
      </c>
      <c r="V31" s="56">
        <f t="shared" si="8"/>
        <v>522</v>
      </c>
      <c r="W31" s="52">
        <f t="shared" si="9"/>
        <v>12.525103550123006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32.208484202708782</v>
      </c>
      <c r="AC31" s="58">
        <f t="shared" si="23"/>
        <v>32.208484202708782</v>
      </c>
      <c r="AE31" s="57">
        <f t="shared" si="6"/>
        <v>600</v>
      </c>
      <c r="AF31" s="58">
        <f t="shared" si="20"/>
        <v>18.558484957463428</v>
      </c>
    </row>
    <row r="32" spans="1:32" s="52" customFormat="1" ht="21" customHeight="1">
      <c r="A32" s="177"/>
      <c r="B32" s="177"/>
      <c r="C32" s="179"/>
      <c r="D32" s="180">
        <v>180</v>
      </c>
      <c r="E32" s="170">
        <f t="shared" si="12"/>
        <v>0.125</v>
      </c>
      <c r="F32" s="181">
        <f t="shared" si="13"/>
        <v>21.741268616601285</v>
      </c>
      <c r="G32" s="181">
        <f t="shared" si="14"/>
        <v>17.381268616601286</v>
      </c>
      <c r="H32" s="183"/>
      <c r="I32" s="183"/>
      <c r="J32" s="183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32.208484202708782</v>
      </c>
      <c r="AC32" s="58">
        <f t="shared" si="23"/>
        <v>32.208484202708782</v>
      </c>
      <c r="AE32" s="57">
        <f t="shared" si="6"/>
        <v>660</v>
      </c>
      <c r="AF32" s="58">
        <f t="shared" si="20"/>
        <v>18.558484957463428</v>
      </c>
    </row>
    <row r="33" spans="1:32" s="52" customFormat="1" ht="21" customHeight="1">
      <c r="A33" s="177"/>
      <c r="B33" s="177"/>
      <c r="C33" s="179">
        <f>$C$10+D33/1440</f>
        <v>45082.8125</v>
      </c>
      <c r="D33" s="180">
        <f t="shared" ref="D33:D76" si="24">D32+60</f>
        <v>240</v>
      </c>
      <c r="E33" s="170">
        <f t="shared" si="12"/>
        <v>0.16666666666666666</v>
      </c>
      <c r="F33" s="181">
        <f t="shared" si="13"/>
        <v>22.404242478731714</v>
      </c>
      <c r="G33" s="181">
        <f t="shared" si="14"/>
        <v>18.044242478731714</v>
      </c>
      <c r="H33" s="183"/>
      <c r="I33" s="183"/>
      <c r="J33" s="183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32.208484202708782</v>
      </c>
      <c r="AC33" s="58">
        <f t="shared" si="23"/>
        <v>32.208484202708782</v>
      </c>
      <c r="AE33" s="57">
        <f t="shared" si="6"/>
        <v>720</v>
      </c>
      <c r="AF33" s="58">
        <f t="shared" si="20"/>
        <v>18.558484957463428</v>
      </c>
    </row>
    <row r="34" spans="1:32" s="52" customFormat="1" ht="21" customHeight="1">
      <c r="A34" s="177"/>
      <c r="B34" s="177"/>
      <c r="C34" s="179"/>
      <c r="D34" s="180">
        <f t="shared" si="24"/>
        <v>300</v>
      </c>
      <c r="E34" s="170">
        <f t="shared" si="12"/>
        <v>0.20833333333333334</v>
      </c>
      <c r="F34" s="181">
        <f t="shared" si="13"/>
        <v>22.918484957463427</v>
      </c>
      <c r="G34" s="181">
        <f t="shared" si="14"/>
        <v>18.558484957463428</v>
      </c>
      <c r="H34" s="183"/>
      <c r="I34" s="183"/>
      <c r="J34" s="183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32.208484202708782</v>
      </c>
      <c r="AC34" s="58">
        <f t="shared" si="23"/>
        <v>32.208484202708782</v>
      </c>
      <c r="AE34" s="57">
        <f t="shared" si="6"/>
        <v>780</v>
      </c>
      <c r="AF34" s="58">
        <f t="shared" si="20"/>
        <v>18.558484957463428</v>
      </c>
    </row>
    <row r="35" spans="1:32" s="52" customFormat="1" ht="21" customHeight="1">
      <c r="A35" s="177" t="s">
        <v>4</v>
      </c>
      <c r="B35" s="177" t="s">
        <v>4</v>
      </c>
      <c r="C35" s="179" t="s">
        <v>4</v>
      </c>
      <c r="D35" s="180">
        <f t="shared" si="24"/>
        <v>360</v>
      </c>
      <c r="E35" s="170">
        <f t="shared" si="12"/>
        <v>0.25</v>
      </c>
      <c r="F35" s="181">
        <f t="shared" si="13"/>
        <v>22.918484957463427</v>
      </c>
      <c r="G35" s="181">
        <f t="shared" si="14"/>
        <v>18.558484957463428</v>
      </c>
      <c r="H35" s="183"/>
      <c r="I35" s="183"/>
      <c r="J35" s="183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32.208484202708782</v>
      </c>
      <c r="AC35" s="58">
        <f t="shared" si="23"/>
        <v>32.208484202708782</v>
      </c>
      <c r="AE35" s="57">
        <f t="shared" si="6"/>
        <v>840</v>
      </c>
      <c r="AF35" s="58">
        <f t="shared" si="20"/>
        <v>18.558484957463428</v>
      </c>
    </row>
    <row r="36" spans="1:32" s="52" customFormat="1" ht="21" customHeight="1">
      <c r="A36" s="177"/>
      <c r="B36" s="177"/>
      <c r="C36" s="179"/>
      <c r="D36" s="180">
        <f t="shared" si="24"/>
        <v>420</v>
      </c>
      <c r="E36" s="170">
        <f t="shared" si="12"/>
        <v>0.29166666666666669</v>
      </c>
      <c r="F36" s="181">
        <f t="shared" si="13"/>
        <v>22.918484957463427</v>
      </c>
      <c r="G36" s="181">
        <f t="shared" si="14"/>
        <v>18.558484957463428</v>
      </c>
      <c r="H36" s="183"/>
      <c r="I36" s="183"/>
      <c r="J36" s="183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32.208484202708782</v>
      </c>
      <c r="AC36" s="58">
        <f t="shared" si="23"/>
        <v>32.208484202708782</v>
      </c>
      <c r="AE36" s="57">
        <f t="shared" si="6"/>
        <v>900</v>
      </c>
      <c r="AF36" s="58">
        <f t="shared" si="20"/>
        <v>18.558484957463428</v>
      </c>
    </row>
    <row r="37" spans="1:32" s="52" customFormat="1" ht="21" customHeight="1">
      <c r="A37" s="177"/>
      <c r="B37" s="177"/>
      <c r="C37" s="179"/>
      <c r="D37" s="180">
        <f t="shared" si="24"/>
        <v>480</v>
      </c>
      <c r="E37" s="170">
        <f t="shared" si="12"/>
        <v>0.33333333333333331</v>
      </c>
      <c r="F37" s="181">
        <f t="shared" si="13"/>
        <v>22.918484957463427</v>
      </c>
      <c r="G37" s="181">
        <f t="shared" si="14"/>
        <v>18.558484957463428</v>
      </c>
      <c r="H37" s="183"/>
      <c r="I37" s="183"/>
      <c r="J37" s="183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32.208484202708782</v>
      </c>
      <c r="AC37" s="58">
        <f t="shared" si="23"/>
        <v>32.208484202708782</v>
      </c>
      <c r="AD37" s="52">
        <v>37</v>
      </c>
      <c r="AE37" s="57">
        <f t="shared" si="6"/>
        <v>960</v>
      </c>
      <c r="AF37" s="58">
        <f t="shared" si="20"/>
        <v>18.558484957463428</v>
      </c>
    </row>
    <row r="38" spans="1:32" s="52" customFormat="1" ht="21" customHeight="1">
      <c r="A38" s="177"/>
      <c r="B38" s="177"/>
      <c r="C38" s="179"/>
      <c r="D38" s="180">
        <f t="shared" si="24"/>
        <v>540</v>
      </c>
      <c r="E38" s="170">
        <f t="shared" si="12"/>
        <v>0.375</v>
      </c>
      <c r="F38" s="181">
        <f t="shared" si="13"/>
        <v>22.918484957463427</v>
      </c>
      <c r="G38" s="181">
        <f t="shared" si="14"/>
        <v>18.558484957463428</v>
      </c>
      <c r="H38" s="183"/>
      <c r="I38" s="183"/>
      <c r="J38" s="183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32.208484202708782</v>
      </c>
      <c r="AC38" s="58">
        <f t="shared" si="23"/>
        <v>32.208484202708782</v>
      </c>
      <c r="AD38" s="53" t="s">
        <v>40</v>
      </c>
      <c r="AE38" s="57">
        <f t="shared" si="6"/>
        <v>1020</v>
      </c>
      <c r="AF38" s="58">
        <f t="shared" si="20"/>
        <v>18.558484957463428</v>
      </c>
    </row>
    <row r="39" spans="1:32" s="52" customFormat="1" ht="21" customHeight="1">
      <c r="A39" s="177"/>
      <c r="B39" s="177"/>
      <c r="C39" s="179">
        <f>$C$10+D39/1440</f>
        <v>45083.0625</v>
      </c>
      <c r="D39" s="180">
        <f t="shared" si="24"/>
        <v>600</v>
      </c>
      <c r="E39" s="170">
        <f t="shared" si="12"/>
        <v>0.41666666666666669</v>
      </c>
      <c r="F39" s="181">
        <f t="shared" si="13"/>
        <v>22.918484957463427</v>
      </c>
      <c r="G39" s="181">
        <f t="shared" si="14"/>
        <v>18.558484957463428</v>
      </c>
      <c r="H39" s="183"/>
      <c r="I39" s="183"/>
      <c r="J39" s="183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32.208484202708782</v>
      </c>
      <c r="AC39" s="58">
        <f t="shared" ref="AC39:AC40" si="25">AC38</f>
        <v>32.208484202708782</v>
      </c>
      <c r="AD39" s="86">
        <v>39</v>
      </c>
      <c r="AE39" s="57">
        <f t="shared" si="6"/>
        <v>1080</v>
      </c>
      <c r="AF39" s="58">
        <f t="shared" si="20"/>
        <v>18.558484957463428</v>
      </c>
    </row>
    <row r="40" spans="1:32" s="52" customFormat="1" ht="21" customHeight="1">
      <c r="A40" s="177" t="s">
        <v>4</v>
      </c>
      <c r="B40" s="177" t="s">
        <v>4</v>
      </c>
      <c r="C40" s="179" t="s">
        <v>4</v>
      </c>
      <c r="D40" s="180">
        <f t="shared" si="24"/>
        <v>660</v>
      </c>
      <c r="E40" s="170">
        <f t="shared" si="12"/>
        <v>0.45833333333333331</v>
      </c>
      <c r="F40" s="181">
        <f t="shared" si="13"/>
        <v>22.918484957463427</v>
      </c>
      <c r="G40" s="181">
        <f t="shared" si="14"/>
        <v>18.558484957463428</v>
      </c>
      <c r="H40" s="183"/>
      <c r="I40" s="183"/>
      <c r="J40" s="183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32.208484202708782</v>
      </c>
      <c r="AC40" s="58">
        <f t="shared" si="25"/>
        <v>32.208484202708782</v>
      </c>
      <c r="AD40" s="86">
        <v>40</v>
      </c>
      <c r="AE40" s="57">
        <f t="shared" si="6"/>
        <v>1140</v>
      </c>
      <c r="AF40" s="58">
        <f t="shared" si="20"/>
        <v>18.558484957463428</v>
      </c>
    </row>
    <row r="41" spans="1:32" s="52" customFormat="1" ht="21" customHeight="1">
      <c r="A41" s="177"/>
      <c r="B41" s="177"/>
      <c r="C41" s="179"/>
      <c r="D41" s="180">
        <f t="shared" si="24"/>
        <v>720</v>
      </c>
      <c r="E41" s="170">
        <f t="shared" si="12"/>
        <v>0.5</v>
      </c>
      <c r="F41" s="181">
        <f t="shared" si="13"/>
        <v>22.918484957463427</v>
      </c>
      <c r="G41" s="181">
        <f t="shared" si="14"/>
        <v>18.558484957463428</v>
      </c>
      <c r="H41" s="183"/>
      <c r="I41" s="183"/>
      <c r="J41" s="183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32.208484202708782</v>
      </c>
      <c r="AC41" s="58">
        <f t="shared" ref="AC41:AC46" si="26">AC40</f>
        <v>32.208484202708782</v>
      </c>
      <c r="AD41" s="91">
        <v>41</v>
      </c>
      <c r="AE41" s="57">
        <f t="shared" si="6"/>
        <v>1200</v>
      </c>
      <c r="AF41" s="58">
        <f t="shared" si="20"/>
        <v>18.558484957463428</v>
      </c>
    </row>
    <row r="42" spans="1:32" s="52" customFormat="1" ht="21" customHeight="1">
      <c r="A42" s="177"/>
      <c r="B42" s="177"/>
      <c r="C42" s="179"/>
      <c r="D42" s="180">
        <f t="shared" si="24"/>
        <v>780</v>
      </c>
      <c r="E42" s="170">
        <f t="shared" si="12"/>
        <v>0.54166666666666663</v>
      </c>
      <c r="F42" s="181">
        <f t="shared" si="13"/>
        <v>22.918484957463427</v>
      </c>
      <c r="G42" s="181">
        <f t="shared" si="14"/>
        <v>18.558484957463428</v>
      </c>
      <c r="H42" s="183"/>
      <c r="I42" s="183"/>
      <c r="J42" s="183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32.208484202708782</v>
      </c>
      <c r="AC42" s="58">
        <f t="shared" si="26"/>
        <v>32.208484202708782</v>
      </c>
      <c r="AD42" s="86">
        <v>42</v>
      </c>
      <c r="AE42" s="57">
        <f t="shared" si="6"/>
        <v>1260</v>
      </c>
      <c r="AF42" s="58">
        <f t="shared" si="20"/>
        <v>18.558484957463428</v>
      </c>
    </row>
    <row r="43" spans="1:32" s="52" customFormat="1" ht="21" customHeight="1">
      <c r="A43" s="177"/>
      <c r="B43" s="177"/>
      <c r="C43" s="179"/>
      <c r="D43" s="180">
        <f t="shared" si="24"/>
        <v>840</v>
      </c>
      <c r="E43" s="170">
        <f t="shared" si="12"/>
        <v>0.58333333333333337</v>
      </c>
      <c r="F43" s="181">
        <f t="shared" si="13"/>
        <v>22.918484957463427</v>
      </c>
      <c r="G43" s="181">
        <f t="shared" si="14"/>
        <v>18.558484957463428</v>
      </c>
      <c r="H43" s="183"/>
      <c r="I43" s="183"/>
      <c r="J43" s="183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32.208484202708782</v>
      </c>
      <c r="AC43" s="58">
        <f t="shared" si="26"/>
        <v>32.208484202708782</v>
      </c>
      <c r="AD43" s="91">
        <v>43</v>
      </c>
      <c r="AE43" s="57">
        <f t="shared" si="6"/>
        <v>1320</v>
      </c>
      <c r="AF43" s="58">
        <f t="shared" si="20"/>
        <v>18.558484957463428</v>
      </c>
    </row>
    <row r="44" spans="1:32" s="52" customFormat="1" ht="21" customHeight="1">
      <c r="A44" s="177"/>
      <c r="B44" s="177"/>
      <c r="C44" s="179"/>
      <c r="D44" s="180">
        <f t="shared" si="24"/>
        <v>900</v>
      </c>
      <c r="E44" s="170">
        <f t="shared" si="12"/>
        <v>0.625</v>
      </c>
      <c r="F44" s="181">
        <f t="shared" si="13"/>
        <v>22.918484957463427</v>
      </c>
      <c r="G44" s="181">
        <f t="shared" si="14"/>
        <v>18.558484957463428</v>
      </c>
      <c r="H44" s="183"/>
      <c r="I44" s="183"/>
      <c r="J44" s="183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32.208484202708782</v>
      </c>
      <c r="AC44" s="58">
        <f t="shared" si="26"/>
        <v>32.208484202708782</v>
      </c>
      <c r="AD44" s="86">
        <v>44</v>
      </c>
      <c r="AE44" s="57">
        <f t="shared" si="6"/>
        <v>1380</v>
      </c>
      <c r="AF44" s="58">
        <f t="shared" si="20"/>
        <v>18.558484957463428</v>
      </c>
    </row>
    <row r="45" spans="1:32" s="52" customFormat="1" ht="21" customHeight="1">
      <c r="A45" s="177" t="s">
        <v>4</v>
      </c>
      <c r="B45" s="177" t="s">
        <v>4</v>
      </c>
      <c r="C45" s="179">
        <f>$C$10+D45/1440</f>
        <v>45083.3125</v>
      </c>
      <c r="D45" s="180">
        <f t="shared" si="24"/>
        <v>960</v>
      </c>
      <c r="E45" s="170">
        <f t="shared" si="12"/>
        <v>0.66666666666666663</v>
      </c>
      <c r="F45" s="181">
        <f t="shared" si="13"/>
        <v>22.918484957463427</v>
      </c>
      <c r="G45" s="181">
        <f t="shared" si="14"/>
        <v>18.558484957463428</v>
      </c>
      <c r="H45" s="183"/>
      <c r="I45" s="183"/>
      <c r="J45" s="183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32.208484202708782</v>
      </c>
      <c r="AC45" s="58">
        <f t="shared" si="26"/>
        <v>32.208484202708782</v>
      </c>
      <c r="AD45" s="91">
        <v>45</v>
      </c>
      <c r="AE45" s="57">
        <f t="shared" si="6"/>
        <v>1440</v>
      </c>
      <c r="AF45" s="58">
        <f t="shared" si="20"/>
        <v>18.558484957463428</v>
      </c>
    </row>
    <row r="46" spans="1:32" s="52" customFormat="1" ht="21" customHeight="1">
      <c r="A46" s="177"/>
      <c r="B46" s="177"/>
      <c r="C46" s="177"/>
      <c r="D46" s="184">
        <f t="shared" si="24"/>
        <v>1020</v>
      </c>
      <c r="E46" s="170">
        <f t="shared" si="12"/>
        <v>0.70833333333333337</v>
      </c>
      <c r="F46" s="181">
        <f t="shared" si="13"/>
        <v>22.918484957463427</v>
      </c>
      <c r="G46" s="181">
        <f t="shared" si="14"/>
        <v>18.558484957463428</v>
      </c>
      <c r="H46" s="183"/>
      <c r="I46" s="183"/>
      <c r="J46" s="183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32.208484202708782</v>
      </c>
      <c r="AC46" s="58">
        <f t="shared" si="26"/>
        <v>32.208484202708782</v>
      </c>
      <c r="AD46" s="86">
        <v>46</v>
      </c>
      <c r="AE46" s="92">
        <f t="shared" si="6"/>
        <v>1500</v>
      </c>
      <c r="AF46" s="94">
        <f t="shared" si="20"/>
        <v>18.558484957463428</v>
      </c>
    </row>
    <row r="47" spans="1:32" s="52" customFormat="1" ht="21" customHeight="1">
      <c r="A47" s="177"/>
      <c r="B47" s="177"/>
      <c r="C47" s="179"/>
      <c r="D47" s="180">
        <f t="shared" si="24"/>
        <v>1080</v>
      </c>
      <c r="E47" s="170">
        <f t="shared" si="12"/>
        <v>0.75</v>
      </c>
      <c r="F47" s="181">
        <f t="shared" si="13"/>
        <v>22.918484957463427</v>
      </c>
      <c r="G47" s="181">
        <f t="shared" si="14"/>
        <v>18.558484957463428</v>
      </c>
      <c r="H47" s="183"/>
      <c r="I47" s="183"/>
      <c r="J47" s="183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32.208484202708782</v>
      </c>
      <c r="AC47" s="58">
        <f t="shared" ref="AC47:AC69" si="27">AC46</f>
        <v>32.208484202708782</v>
      </c>
      <c r="AE47" s="57">
        <f t="shared" si="6"/>
        <v>1560</v>
      </c>
      <c r="AF47" s="58">
        <f t="shared" si="20"/>
        <v>18.558484957463428</v>
      </c>
    </row>
    <row r="48" spans="1:32" s="52" customFormat="1" ht="21" customHeight="1">
      <c r="A48" s="177"/>
      <c r="B48" s="177"/>
      <c r="C48" s="179"/>
      <c r="D48" s="180">
        <f t="shared" si="24"/>
        <v>1140</v>
      </c>
      <c r="E48" s="170">
        <f t="shared" si="12"/>
        <v>0.79166666666666663</v>
      </c>
      <c r="F48" s="181">
        <f t="shared" si="13"/>
        <v>22.918484957463427</v>
      </c>
      <c r="G48" s="181">
        <f t="shared" si="14"/>
        <v>18.558484957463428</v>
      </c>
      <c r="H48" s="183"/>
      <c r="I48" s="183"/>
      <c r="J48" s="183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32.208484202708782</v>
      </c>
      <c r="AC48" s="58">
        <f t="shared" si="27"/>
        <v>32.208484202708782</v>
      </c>
      <c r="AE48" s="57">
        <f t="shared" si="6"/>
        <v>1620</v>
      </c>
      <c r="AF48" s="58">
        <f t="shared" si="20"/>
        <v>18.558484957463428</v>
      </c>
    </row>
    <row r="49" spans="1:32" s="52" customFormat="1" ht="21" customHeight="1">
      <c r="A49" s="177"/>
      <c r="B49" s="177"/>
      <c r="C49" s="179"/>
      <c r="D49" s="180">
        <f t="shared" si="24"/>
        <v>1200</v>
      </c>
      <c r="E49" s="170">
        <f t="shared" si="12"/>
        <v>0.83333333333333337</v>
      </c>
      <c r="F49" s="181">
        <f t="shared" si="13"/>
        <v>22.918484957463427</v>
      </c>
      <c r="G49" s="181">
        <f t="shared" si="14"/>
        <v>18.558484957463428</v>
      </c>
      <c r="H49" s="183"/>
      <c r="I49" s="183"/>
      <c r="J49" s="183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32.208484202708782</v>
      </c>
      <c r="AC49" s="58">
        <f t="shared" si="27"/>
        <v>32.208484202708782</v>
      </c>
      <c r="AE49" s="57">
        <f t="shared" si="6"/>
        <v>1680</v>
      </c>
      <c r="AF49" s="58">
        <f t="shared" si="20"/>
        <v>18.558484957463428</v>
      </c>
    </row>
    <row r="50" spans="1:32" s="52" customFormat="1" ht="21" customHeight="1">
      <c r="A50" s="177"/>
      <c r="B50" s="177"/>
      <c r="C50" s="179"/>
      <c r="D50" s="180">
        <f t="shared" si="24"/>
        <v>1260</v>
      </c>
      <c r="E50" s="170">
        <f t="shared" si="12"/>
        <v>0.875</v>
      </c>
      <c r="F50" s="181">
        <f t="shared" si="13"/>
        <v>22.918484957463427</v>
      </c>
      <c r="G50" s="181">
        <f t="shared" si="14"/>
        <v>18.558484957463428</v>
      </c>
      <c r="H50" s="183"/>
      <c r="I50" s="183"/>
      <c r="J50" s="183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32.208484202708782</v>
      </c>
      <c r="AC50" s="58">
        <f t="shared" si="27"/>
        <v>32.208484202708782</v>
      </c>
      <c r="AE50" s="57">
        <f t="shared" si="6"/>
        <v>1740</v>
      </c>
      <c r="AF50" s="58">
        <f t="shared" si="20"/>
        <v>18.558484957463428</v>
      </c>
    </row>
    <row r="51" spans="1:32" s="52" customFormat="1" ht="21" customHeight="1">
      <c r="A51" s="177"/>
      <c r="B51" s="177"/>
      <c r="C51" s="179">
        <f>$C$10+D51/1440</f>
        <v>45083.5625</v>
      </c>
      <c r="D51" s="180">
        <f t="shared" si="24"/>
        <v>1320</v>
      </c>
      <c r="E51" s="170">
        <f t="shared" si="12"/>
        <v>0.91666666666666663</v>
      </c>
      <c r="F51" s="181">
        <f t="shared" si="13"/>
        <v>22.918484957463427</v>
      </c>
      <c r="G51" s="181">
        <f t="shared" si="14"/>
        <v>18.558484957463428</v>
      </c>
      <c r="H51" s="183"/>
      <c r="I51" s="183"/>
      <c r="J51" s="183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32.208484202708782</v>
      </c>
      <c r="AC51" s="58">
        <f t="shared" si="27"/>
        <v>32.208484202708782</v>
      </c>
      <c r="AE51" s="57">
        <f t="shared" si="6"/>
        <v>1800</v>
      </c>
      <c r="AF51" s="58">
        <f t="shared" si="20"/>
        <v>18.558484957463428</v>
      </c>
    </row>
    <row r="52" spans="1:32" s="52" customFormat="1" ht="21" customHeight="1">
      <c r="A52" s="177"/>
      <c r="B52" s="177"/>
      <c r="C52" s="179"/>
      <c r="D52" s="180">
        <f t="shared" si="24"/>
        <v>1380</v>
      </c>
      <c r="E52" s="170">
        <f t="shared" si="12"/>
        <v>0.95833333333333337</v>
      </c>
      <c r="F52" s="181">
        <f t="shared" si="13"/>
        <v>22.918484957463427</v>
      </c>
      <c r="G52" s="181">
        <f t="shared" si="14"/>
        <v>18.558484957463428</v>
      </c>
      <c r="H52" s="183"/>
      <c r="I52" s="183"/>
      <c r="J52" s="183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32.208484202708782</v>
      </c>
      <c r="AC52" s="58">
        <f t="shared" si="27"/>
        <v>32.208484202708782</v>
      </c>
      <c r="AE52" s="57">
        <f t="shared" si="6"/>
        <v>1860</v>
      </c>
      <c r="AF52" s="58">
        <f t="shared" si="20"/>
        <v>18.558484957463428</v>
      </c>
    </row>
    <row r="53" spans="1:32" s="52" customFormat="1" ht="21" customHeight="1">
      <c r="A53" s="177"/>
      <c r="B53" s="177"/>
      <c r="C53" s="179"/>
      <c r="D53" s="180">
        <f t="shared" si="24"/>
        <v>1440</v>
      </c>
      <c r="E53" s="170">
        <f t="shared" si="12"/>
        <v>1</v>
      </c>
      <c r="F53" s="181">
        <f t="shared" si="13"/>
        <v>22.918484957463427</v>
      </c>
      <c r="G53" s="181">
        <f t="shared" si="14"/>
        <v>18.558484957463428</v>
      </c>
      <c r="H53" s="183"/>
      <c r="I53" s="183"/>
      <c r="J53" s="183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32.208484202708782</v>
      </c>
      <c r="AC53" s="58">
        <f t="shared" si="27"/>
        <v>32.208484202708782</v>
      </c>
      <c r="AE53" s="57">
        <f t="shared" si="6"/>
        <v>1920</v>
      </c>
      <c r="AF53" s="58">
        <f t="shared" si="20"/>
        <v>18.558484957463428</v>
      </c>
    </row>
    <row r="54" spans="1:32" s="52" customFormat="1" ht="21" customHeight="1">
      <c r="A54" s="177"/>
      <c r="B54" s="177"/>
      <c r="C54" s="179"/>
      <c r="D54" s="180">
        <f t="shared" si="24"/>
        <v>1500</v>
      </c>
      <c r="E54" s="170">
        <f t="shared" si="12"/>
        <v>1.0416666666666667</v>
      </c>
      <c r="F54" s="181">
        <f t="shared" si="13"/>
        <v>22.918484957463427</v>
      </c>
      <c r="G54" s="181">
        <f t="shared" si="14"/>
        <v>18.558484957463428</v>
      </c>
      <c r="H54" s="183"/>
      <c r="I54" s="183"/>
      <c r="J54" s="183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32.208484202708782</v>
      </c>
      <c r="AC54" s="58">
        <f t="shared" si="27"/>
        <v>32.208484202708782</v>
      </c>
      <c r="AE54" s="57">
        <f t="shared" si="6"/>
        <v>1980</v>
      </c>
      <c r="AF54" s="58">
        <f t="shared" si="20"/>
        <v>18.558484957463428</v>
      </c>
    </row>
    <row r="55" spans="1:32" s="52" customFormat="1" ht="21" customHeight="1">
      <c r="A55" s="177"/>
      <c r="B55" s="177"/>
      <c r="C55" s="179" t="s">
        <v>4</v>
      </c>
      <c r="D55" s="180">
        <f t="shared" si="24"/>
        <v>1560</v>
      </c>
      <c r="E55" s="170">
        <f t="shared" si="12"/>
        <v>1.0833333333333333</v>
      </c>
      <c r="F55" s="181">
        <f t="shared" si="13"/>
        <v>22.918484957463427</v>
      </c>
      <c r="G55" s="181">
        <f t="shared" si="14"/>
        <v>18.558484957463428</v>
      </c>
      <c r="H55" s="183"/>
      <c r="I55" s="183"/>
      <c r="J55" s="183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32.208484202708782</v>
      </c>
      <c r="AC55" s="58">
        <f t="shared" si="27"/>
        <v>32.208484202708782</v>
      </c>
      <c r="AE55" s="57">
        <f t="shared" si="6"/>
        <v>2040</v>
      </c>
      <c r="AF55" s="58">
        <f t="shared" si="20"/>
        <v>18.558484957463428</v>
      </c>
    </row>
    <row r="56" spans="1:32" s="52" customFormat="1" ht="21.6" customHeight="1">
      <c r="A56" s="177"/>
      <c r="B56" s="177"/>
      <c r="C56" s="179">
        <f>$C$10+D56/1440</f>
        <v>45083.770833333336</v>
      </c>
      <c r="D56" s="180">
        <f t="shared" si="24"/>
        <v>1620</v>
      </c>
      <c r="E56" s="170">
        <f t="shared" si="12"/>
        <v>1.125</v>
      </c>
      <c r="F56" s="181">
        <f t="shared" si="13"/>
        <v>22.918484957463427</v>
      </c>
      <c r="G56" s="181">
        <f t="shared" si="14"/>
        <v>18.558484957463428</v>
      </c>
      <c r="H56" s="183"/>
      <c r="I56" s="183"/>
      <c r="J56" s="183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32.208484202708782</v>
      </c>
      <c r="AC56" s="58">
        <f t="shared" si="27"/>
        <v>32.208484202708782</v>
      </c>
      <c r="AE56" s="57">
        <f t="shared" si="6"/>
        <v>2100</v>
      </c>
      <c r="AF56" s="58">
        <f t="shared" si="20"/>
        <v>18.558484957463428</v>
      </c>
    </row>
    <row r="57" spans="1:32" s="52" customFormat="1" ht="21.6" customHeight="1">
      <c r="A57" s="177"/>
      <c r="B57" s="177"/>
      <c r="C57" s="179"/>
      <c r="D57" s="180">
        <f t="shared" si="24"/>
        <v>1680</v>
      </c>
      <c r="E57" s="170">
        <f t="shared" si="12"/>
        <v>1.1666666666666667</v>
      </c>
      <c r="F57" s="181">
        <f t="shared" si="13"/>
        <v>22.918484957463427</v>
      </c>
      <c r="G57" s="181">
        <f t="shared" si="14"/>
        <v>18.558484957463428</v>
      </c>
      <c r="H57" s="183"/>
      <c r="I57" s="183"/>
      <c r="J57" s="183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32.208484202708782</v>
      </c>
      <c r="AC57" s="58">
        <f t="shared" si="27"/>
        <v>32.208484202708782</v>
      </c>
      <c r="AE57" s="57">
        <f t="shared" si="6"/>
        <v>2160</v>
      </c>
      <c r="AF57" s="58">
        <f t="shared" si="20"/>
        <v>18.558484957463428</v>
      </c>
    </row>
    <row r="58" spans="1:32" s="52" customFormat="1" ht="21.6" customHeight="1">
      <c r="A58" s="177"/>
      <c r="B58" s="177"/>
      <c r="C58" s="179"/>
      <c r="D58" s="180">
        <f t="shared" si="24"/>
        <v>1740</v>
      </c>
      <c r="E58" s="170">
        <f t="shared" si="12"/>
        <v>1.2083333333333333</v>
      </c>
      <c r="F58" s="181">
        <f t="shared" si="13"/>
        <v>22.918484957463427</v>
      </c>
      <c r="G58" s="181">
        <f t="shared" si="14"/>
        <v>18.558484957463428</v>
      </c>
      <c r="H58" s="183"/>
      <c r="I58" s="183"/>
      <c r="J58" s="183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32.208484202708782</v>
      </c>
      <c r="AC58" s="58">
        <f t="shared" si="27"/>
        <v>32.208484202708782</v>
      </c>
      <c r="AE58" s="57">
        <f t="shared" si="6"/>
        <v>2220</v>
      </c>
      <c r="AF58" s="58">
        <f t="shared" si="20"/>
        <v>18.558484957463428</v>
      </c>
    </row>
    <row r="59" spans="1:32" s="52" customFormat="1" ht="21.6" customHeight="1">
      <c r="A59" s="177"/>
      <c r="B59" s="177"/>
      <c r="C59" s="179"/>
      <c r="D59" s="180">
        <f t="shared" si="24"/>
        <v>1800</v>
      </c>
      <c r="E59" s="170">
        <f t="shared" si="12"/>
        <v>1.25</v>
      </c>
      <c r="F59" s="181">
        <f t="shared" si="13"/>
        <v>22.918484957463427</v>
      </c>
      <c r="G59" s="181">
        <f t="shared" si="14"/>
        <v>18.558484957463428</v>
      </c>
      <c r="H59" s="183"/>
      <c r="I59" s="183"/>
      <c r="J59" s="183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32.208484202708782</v>
      </c>
      <c r="AC59" s="58">
        <f t="shared" si="27"/>
        <v>32.208484202708782</v>
      </c>
      <c r="AE59" s="57">
        <f t="shared" si="6"/>
        <v>2280</v>
      </c>
      <c r="AF59" s="58">
        <f t="shared" si="20"/>
        <v>18.558484957463428</v>
      </c>
    </row>
    <row r="60" spans="1:32" s="52" customFormat="1" ht="21.6" customHeight="1">
      <c r="A60" s="177"/>
      <c r="B60" s="177"/>
      <c r="C60" s="179"/>
      <c r="D60" s="180">
        <f t="shared" si="24"/>
        <v>1860</v>
      </c>
      <c r="E60" s="170">
        <f t="shared" si="12"/>
        <v>1.2916666666666667</v>
      </c>
      <c r="F60" s="181">
        <f t="shared" si="13"/>
        <v>22.918484957463427</v>
      </c>
      <c r="G60" s="181">
        <f t="shared" si="14"/>
        <v>18.558484957463428</v>
      </c>
      <c r="H60" s="183"/>
      <c r="I60" s="183"/>
      <c r="J60" s="183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32.208484202708782</v>
      </c>
      <c r="AC60" s="58">
        <f t="shared" si="27"/>
        <v>32.208484202708782</v>
      </c>
      <c r="AE60" s="57">
        <f t="shared" si="6"/>
        <v>2340</v>
      </c>
      <c r="AF60" s="58">
        <f t="shared" si="20"/>
        <v>18.558484957463428</v>
      </c>
    </row>
    <row r="61" spans="1:32" s="52" customFormat="1" ht="21.6" customHeight="1">
      <c r="A61" s="177"/>
      <c r="B61" s="177"/>
      <c r="C61" s="179">
        <f>$C$10+D61/1440</f>
        <v>45083.979166666672</v>
      </c>
      <c r="D61" s="180">
        <f t="shared" si="24"/>
        <v>1920</v>
      </c>
      <c r="E61" s="170">
        <f t="shared" si="12"/>
        <v>1.3333333333333333</v>
      </c>
      <c r="F61" s="181">
        <f t="shared" si="13"/>
        <v>22.918484957463427</v>
      </c>
      <c r="G61" s="181">
        <f t="shared" si="14"/>
        <v>18.558484957463428</v>
      </c>
      <c r="H61" s="183"/>
      <c r="I61" s="183"/>
      <c r="J61" s="183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32.208484202708782</v>
      </c>
      <c r="AC61" s="58">
        <f t="shared" si="27"/>
        <v>32.208484202708782</v>
      </c>
      <c r="AE61" s="57">
        <f t="shared" si="6"/>
        <v>2400</v>
      </c>
      <c r="AF61" s="58">
        <f t="shared" si="20"/>
        <v>18.558484957463428</v>
      </c>
    </row>
    <row r="62" spans="1:32" s="52" customFormat="1" ht="21.6" customHeight="1">
      <c r="A62" s="177"/>
      <c r="B62" s="177"/>
      <c r="C62" s="179"/>
      <c r="D62" s="180">
        <f t="shared" si="24"/>
        <v>1980</v>
      </c>
      <c r="E62" s="170">
        <f t="shared" si="12"/>
        <v>1.375</v>
      </c>
      <c r="F62" s="181">
        <f t="shared" si="13"/>
        <v>22.918484957463427</v>
      </c>
      <c r="G62" s="181">
        <f t="shared" si="14"/>
        <v>18.558484957463428</v>
      </c>
      <c r="H62" s="183"/>
      <c r="I62" s="183"/>
      <c r="J62" s="183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32.208484202708782</v>
      </c>
      <c r="AC62" s="58">
        <f t="shared" si="27"/>
        <v>32.208484202708782</v>
      </c>
      <c r="AE62" s="57">
        <f t="shared" si="6"/>
        <v>2460</v>
      </c>
      <c r="AF62" s="58">
        <f t="shared" si="20"/>
        <v>18.558484957463428</v>
      </c>
    </row>
    <row r="63" spans="1:32" s="52" customFormat="1" ht="21.6" customHeight="1">
      <c r="A63" s="177"/>
      <c r="B63" s="177"/>
      <c r="C63" s="179"/>
      <c r="D63" s="180">
        <f t="shared" si="24"/>
        <v>2040</v>
      </c>
      <c r="E63" s="170">
        <f t="shared" si="12"/>
        <v>1.4166666666666667</v>
      </c>
      <c r="F63" s="181">
        <f>F62</f>
        <v>22.918484957463427</v>
      </c>
      <c r="G63" s="181">
        <f t="shared" si="14"/>
        <v>18.558484957463428</v>
      </c>
      <c r="H63" s="183"/>
      <c r="I63" s="183"/>
      <c r="J63" s="183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32.208484202708782</v>
      </c>
      <c r="AC63" s="58">
        <f t="shared" si="27"/>
        <v>32.208484202708782</v>
      </c>
      <c r="AE63" s="57">
        <f t="shared" si="6"/>
        <v>2520</v>
      </c>
      <c r="AF63" s="58">
        <f t="shared" si="20"/>
        <v>18.558484957463428</v>
      </c>
    </row>
    <row r="64" spans="1:32" s="52" customFormat="1" ht="21.6" customHeight="1">
      <c r="A64" s="177"/>
      <c r="B64" s="177"/>
      <c r="C64" s="179"/>
      <c r="D64" s="180">
        <f t="shared" si="24"/>
        <v>2100</v>
      </c>
      <c r="E64" s="170">
        <f t="shared" si="12"/>
        <v>1.4583333333333333</v>
      </c>
      <c r="F64" s="181">
        <f t="shared" ref="F64:F77" si="28">F63</f>
        <v>22.918484957463427</v>
      </c>
      <c r="G64" s="181">
        <f t="shared" si="14"/>
        <v>18.558484957463428</v>
      </c>
      <c r="H64" s="183"/>
      <c r="I64" s="183"/>
      <c r="J64" s="183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32.208484202708782</v>
      </c>
      <c r="AC64" s="58">
        <f t="shared" si="27"/>
        <v>32.208484202708782</v>
      </c>
      <c r="AE64" s="57">
        <f t="shared" si="6"/>
        <v>2580</v>
      </c>
      <c r="AF64" s="58">
        <f t="shared" si="20"/>
        <v>18.558484957463428</v>
      </c>
    </row>
    <row r="65" spans="1:32" s="52" customFormat="1" ht="21.6" customHeight="1">
      <c r="A65" s="177"/>
      <c r="B65" s="177"/>
      <c r="C65" s="179"/>
      <c r="D65" s="180">
        <f t="shared" si="24"/>
        <v>2160</v>
      </c>
      <c r="E65" s="170">
        <f t="shared" si="12"/>
        <v>1.5</v>
      </c>
      <c r="F65" s="181">
        <f t="shared" si="28"/>
        <v>22.918484957463427</v>
      </c>
      <c r="G65" s="181">
        <f t="shared" si="14"/>
        <v>18.558484957463428</v>
      </c>
      <c r="H65" s="183"/>
      <c r="I65" s="183"/>
      <c r="J65" s="183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32.208484202708782</v>
      </c>
      <c r="AC65" s="58">
        <f t="shared" si="27"/>
        <v>32.208484202708782</v>
      </c>
      <c r="AE65" s="57">
        <f t="shared" si="6"/>
        <v>2640</v>
      </c>
      <c r="AF65" s="58">
        <f t="shared" si="20"/>
        <v>18.558484957463428</v>
      </c>
    </row>
    <row r="66" spans="1:32" s="52" customFormat="1" ht="21.6" customHeight="1">
      <c r="A66" s="177"/>
      <c r="B66" s="177"/>
      <c r="C66" s="179">
        <f>$C$10+D66/1440</f>
        <v>45084.1875</v>
      </c>
      <c r="D66" s="180">
        <f t="shared" si="24"/>
        <v>2220</v>
      </c>
      <c r="E66" s="170">
        <f t="shared" si="12"/>
        <v>1.5416666666666667</v>
      </c>
      <c r="F66" s="181">
        <f t="shared" si="28"/>
        <v>22.918484957463427</v>
      </c>
      <c r="G66" s="181">
        <f t="shared" si="14"/>
        <v>18.558484957463428</v>
      </c>
      <c r="H66" s="183"/>
      <c r="I66" s="183"/>
      <c r="J66" s="183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32.208484202708782</v>
      </c>
      <c r="AC66" s="58">
        <f t="shared" si="27"/>
        <v>32.208484202708782</v>
      </c>
      <c r="AE66" s="57">
        <f t="shared" si="6"/>
        <v>2700</v>
      </c>
      <c r="AF66" s="58">
        <f t="shared" si="20"/>
        <v>18.558484957463428</v>
      </c>
    </row>
    <row r="67" spans="1:32" s="52" customFormat="1" ht="21.6" customHeight="1">
      <c r="A67" s="177"/>
      <c r="B67" s="177"/>
      <c r="C67" s="179"/>
      <c r="D67" s="180">
        <f t="shared" si="24"/>
        <v>2280</v>
      </c>
      <c r="E67" s="170">
        <f t="shared" si="12"/>
        <v>1.5833333333333333</v>
      </c>
      <c r="F67" s="181">
        <f t="shared" si="28"/>
        <v>22.918484957463427</v>
      </c>
      <c r="G67" s="181">
        <f t="shared" si="14"/>
        <v>18.558484957463428</v>
      </c>
      <c r="H67" s="183"/>
      <c r="I67" s="183"/>
      <c r="J67" s="183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32.208484202708782</v>
      </c>
      <c r="AC67" s="58">
        <f t="shared" si="27"/>
        <v>32.208484202708782</v>
      </c>
      <c r="AE67" s="57">
        <f>AA67</f>
        <v>2760</v>
      </c>
      <c r="AF67" s="58">
        <f t="shared" si="20"/>
        <v>18.558484957463428</v>
      </c>
    </row>
    <row r="68" spans="1:32" s="52" customFormat="1" ht="21.6" customHeight="1">
      <c r="A68" s="177"/>
      <c r="B68" s="177"/>
      <c r="C68" s="179" t="s">
        <v>4</v>
      </c>
      <c r="D68" s="180">
        <f t="shared" si="24"/>
        <v>2340</v>
      </c>
      <c r="E68" s="170">
        <f t="shared" si="12"/>
        <v>1.625</v>
      </c>
      <c r="F68" s="181">
        <f t="shared" si="28"/>
        <v>22.918484957463427</v>
      </c>
      <c r="G68" s="181">
        <f t="shared" si="14"/>
        <v>18.558484957463428</v>
      </c>
      <c r="H68" s="183"/>
      <c r="I68" s="183"/>
      <c r="J68" s="183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32.208484202708782</v>
      </c>
      <c r="AC68" s="58">
        <f t="shared" si="27"/>
        <v>32.208484202708782</v>
      </c>
      <c r="AE68" s="57">
        <f>AA68</f>
        <v>2820</v>
      </c>
      <c r="AF68" s="58">
        <f t="shared" si="20"/>
        <v>18.558484957463428</v>
      </c>
    </row>
    <row r="69" spans="1:32" s="52" customFormat="1" ht="21.6" customHeight="1">
      <c r="A69" s="177"/>
      <c r="B69" s="177"/>
      <c r="C69" s="179"/>
      <c r="D69" s="180">
        <f t="shared" si="24"/>
        <v>2400</v>
      </c>
      <c r="E69" s="170">
        <f t="shared" si="12"/>
        <v>1.6666666666666667</v>
      </c>
      <c r="F69" s="181">
        <f t="shared" si="28"/>
        <v>22.918484957463427</v>
      </c>
      <c r="G69" s="181">
        <f t="shared" si="14"/>
        <v>18.558484957463428</v>
      </c>
      <c r="H69" s="183"/>
      <c r="I69" s="183"/>
      <c r="J69" s="183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32.208484202708782</v>
      </c>
      <c r="AC69" s="58">
        <f t="shared" si="27"/>
        <v>32.208484202708782</v>
      </c>
      <c r="AE69" s="57">
        <f>AA69</f>
        <v>2880</v>
      </c>
      <c r="AF69" s="58">
        <f t="shared" si="20"/>
        <v>18.558484957463428</v>
      </c>
    </row>
    <row r="70" spans="1:32" s="52" customFormat="1" ht="21.6" customHeight="1">
      <c r="A70" s="177"/>
      <c r="B70" s="177"/>
      <c r="C70" s="179"/>
      <c r="D70" s="180">
        <f t="shared" si="24"/>
        <v>2460</v>
      </c>
      <c r="E70" s="170">
        <f t="shared" si="12"/>
        <v>1.7083333333333333</v>
      </c>
      <c r="F70" s="181">
        <f t="shared" si="28"/>
        <v>22.918484957463427</v>
      </c>
      <c r="G70" s="181">
        <f t="shared" si="14"/>
        <v>18.558484957463428</v>
      </c>
      <c r="H70" s="183"/>
      <c r="I70" s="183"/>
      <c r="J70" s="183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77"/>
      <c r="B71" s="177"/>
      <c r="C71" s="179">
        <f>$C$10+D71/1440</f>
        <v>45084.395833333336</v>
      </c>
      <c r="D71" s="180">
        <f t="shared" si="24"/>
        <v>2520</v>
      </c>
      <c r="E71" s="170">
        <f t="shared" si="12"/>
        <v>1.75</v>
      </c>
      <c r="F71" s="181">
        <f t="shared" si="28"/>
        <v>22.918484957463427</v>
      </c>
      <c r="G71" s="181">
        <f t="shared" si="14"/>
        <v>18.558484957463428</v>
      </c>
      <c r="H71" s="183"/>
      <c r="I71" s="183"/>
      <c r="J71" s="183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77"/>
      <c r="B72" s="177"/>
      <c r="C72" s="179"/>
      <c r="D72" s="180">
        <f t="shared" si="24"/>
        <v>2580</v>
      </c>
      <c r="E72" s="170">
        <f t="shared" si="12"/>
        <v>1.7916666666666667</v>
      </c>
      <c r="F72" s="181">
        <f t="shared" si="28"/>
        <v>22.918484957463427</v>
      </c>
      <c r="G72" s="181">
        <f t="shared" si="14"/>
        <v>18.558484957463428</v>
      </c>
      <c r="H72" s="183"/>
      <c r="I72" s="183"/>
      <c r="J72" s="183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77"/>
      <c r="B73" s="177"/>
      <c r="C73" s="179"/>
      <c r="D73" s="180">
        <f t="shared" si="24"/>
        <v>2640</v>
      </c>
      <c r="E73" s="170">
        <f t="shared" si="12"/>
        <v>1.8333333333333333</v>
      </c>
      <c r="F73" s="181">
        <f t="shared" si="28"/>
        <v>22.918484957463427</v>
      </c>
      <c r="G73" s="181">
        <f t="shared" si="14"/>
        <v>18.558484957463428</v>
      </c>
      <c r="H73" s="183"/>
      <c r="I73" s="183"/>
      <c r="J73" s="183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77"/>
      <c r="B74" s="177"/>
      <c r="C74" s="179"/>
      <c r="D74" s="180">
        <f t="shared" si="24"/>
        <v>2700</v>
      </c>
      <c r="E74" s="170">
        <f t="shared" si="12"/>
        <v>1.875</v>
      </c>
      <c r="F74" s="181">
        <f t="shared" si="28"/>
        <v>22.918484957463427</v>
      </c>
      <c r="G74" s="181">
        <f t="shared" si="14"/>
        <v>18.558484957463428</v>
      </c>
      <c r="H74" s="183"/>
      <c r="I74" s="183"/>
      <c r="J74" s="183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77"/>
      <c r="B75" s="177"/>
      <c r="C75" s="179"/>
      <c r="D75" s="180">
        <f t="shared" si="24"/>
        <v>2760</v>
      </c>
      <c r="E75" s="170">
        <f>D75/1440</f>
        <v>1.9166666666666667</v>
      </c>
      <c r="F75" s="181">
        <f t="shared" si="28"/>
        <v>22.918484957463427</v>
      </c>
      <c r="G75" s="181">
        <f>AF67</f>
        <v>18.558484957463428</v>
      </c>
      <c r="H75" s="183"/>
      <c r="I75" s="183"/>
      <c r="J75" s="183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77"/>
      <c r="B76" s="177"/>
      <c r="C76" s="179"/>
      <c r="D76" s="180">
        <f t="shared" si="24"/>
        <v>2820</v>
      </c>
      <c r="E76" s="170">
        <f>D76/1440</f>
        <v>1.9583333333333333</v>
      </c>
      <c r="F76" s="181">
        <f t="shared" si="28"/>
        <v>22.918484957463427</v>
      </c>
      <c r="G76" s="181">
        <f>AF68</f>
        <v>18.558484957463428</v>
      </c>
      <c r="H76" s="183"/>
      <c r="I76" s="183"/>
      <c r="J76" s="183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77"/>
      <c r="B77" s="177"/>
      <c r="C77" s="179">
        <f>$C$10+D77/1440</f>
        <v>45084.645833333336</v>
      </c>
      <c r="D77" s="180">
        <f>D76+60</f>
        <v>2880</v>
      </c>
      <c r="E77" s="170">
        <f>D77/1440</f>
        <v>2</v>
      </c>
      <c r="F77" s="182">
        <f t="shared" si="28"/>
        <v>22.918484957463427</v>
      </c>
      <c r="G77" s="181">
        <f>AF69</f>
        <v>18.558484957463428</v>
      </c>
      <c r="H77" s="183" t="s">
        <v>180</v>
      </c>
      <c r="I77" s="183"/>
      <c r="J77" s="183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77">
        <v>2</v>
      </c>
      <c r="B78" s="177">
        <v>0</v>
      </c>
      <c r="C78" s="179">
        <f>$C$10+(D78+2880)/1440</f>
        <v>45084.646527777782</v>
      </c>
      <c r="D78" s="180">
        <v>1</v>
      </c>
      <c r="E78" s="170">
        <f t="shared" ref="E78:E101" si="34">D78/1440</f>
        <v>6.9444444444444447E-4</v>
      </c>
      <c r="F78" s="181">
        <f>G78+D$8</f>
        <v>16.68953127362504</v>
      </c>
      <c r="G78" s="181">
        <f>H114</f>
        <v>12.329531273625038</v>
      </c>
      <c r="H78" s="476" t="s">
        <v>191</v>
      </c>
      <c r="I78" s="476"/>
      <c r="J78" s="476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77"/>
      <c r="B79" s="177"/>
      <c r="C79" s="177" t="s">
        <v>21</v>
      </c>
      <c r="D79" s="180">
        <v>2</v>
      </c>
      <c r="E79" s="170">
        <f t="shared" si="34"/>
        <v>1.3888888888888889E-3</v>
      </c>
      <c r="F79" s="181">
        <f t="shared" ref="F79:F101" si="35">G79+D$8</f>
        <v>15.655105479762085</v>
      </c>
      <c r="G79" s="181">
        <f>H115</f>
        <v>11.295105479762084</v>
      </c>
      <c r="H79" s="476"/>
      <c r="I79" s="476"/>
      <c r="J79" s="476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77"/>
      <c r="B80" s="177"/>
      <c r="C80" s="179" t="s">
        <v>21</v>
      </c>
      <c r="D80" s="180">
        <v>3</v>
      </c>
      <c r="E80" s="170">
        <f t="shared" si="34"/>
        <v>2.0833333333333333E-3</v>
      </c>
      <c r="F80" s="181">
        <f t="shared" si="35"/>
        <v>14.707466174311545</v>
      </c>
      <c r="G80" s="181">
        <f>H116</f>
        <v>10.347466174311545</v>
      </c>
      <c r="H80" s="476"/>
      <c r="I80" s="476"/>
      <c r="J80" s="476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77"/>
      <c r="B81" s="177"/>
      <c r="C81" s="179" t="s">
        <v>21</v>
      </c>
      <c r="D81" s="180">
        <v>4</v>
      </c>
      <c r="E81" s="170">
        <f t="shared" si="34"/>
        <v>2.7777777777777779E-3</v>
      </c>
      <c r="F81" s="181">
        <f t="shared" si="35"/>
        <v>13.839332124906981</v>
      </c>
      <c r="G81" s="181">
        <f>H117</f>
        <v>9.4793321249069802</v>
      </c>
      <c r="H81" s="476"/>
      <c r="I81" s="476"/>
      <c r="J81" s="476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77"/>
      <c r="B82" s="177"/>
      <c r="C82" s="179" t="s">
        <v>21</v>
      </c>
      <c r="D82" s="180">
        <v>5</v>
      </c>
      <c r="E82" s="170">
        <f t="shared" si="34"/>
        <v>3.472222222222222E-3</v>
      </c>
      <c r="F82" s="181">
        <f t="shared" si="35"/>
        <v>13.044032981656215</v>
      </c>
      <c r="G82" s="181">
        <f>H118</f>
        <v>8.6840329816562143</v>
      </c>
      <c r="H82" s="476"/>
      <c r="I82" s="476"/>
      <c r="J82" s="476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77"/>
      <c r="B83" s="177"/>
      <c r="C83" s="179" t="s">
        <v>21</v>
      </c>
      <c r="D83" s="180">
        <v>10</v>
      </c>
      <c r="E83" s="170">
        <f t="shared" si="34"/>
        <v>6.9444444444444441E-3</v>
      </c>
      <c r="F83" s="181">
        <f t="shared" si="35"/>
        <v>11.036558174831793</v>
      </c>
      <c r="G83" s="181">
        <f>H121</f>
        <v>6.6765581748317917</v>
      </c>
      <c r="H83" s="476"/>
      <c r="I83" s="476"/>
      <c r="J83" s="476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77"/>
      <c r="B84" s="177"/>
      <c r="C84" s="179" t="s">
        <v>21</v>
      </c>
      <c r="D84" s="180">
        <v>15</v>
      </c>
      <c r="E84" s="170">
        <f t="shared" si="34"/>
        <v>1.0416666666666666E-2</v>
      </c>
      <c r="F84" s="181">
        <f t="shared" si="35"/>
        <v>10.657697368885529</v>
      </c>
      <c r="G84" s="181">
        <f>H124</f>
        <v>6.2976973688855296</v>
      </c>
      <c r="H84" s="476"/>
      <c r="I84" s="476"/>
      <c r="J84" s="476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77"/>
      <c r="B85" s="177"/>
      <c r="C85" s="179" t="s">
        <v>21</v>
      </c>
      <c r="D85" s="180">
        <v>20</v>
      </c>
      <c r="E85" s="170">
        <f t="shared" si="34"/>
        <v>1.3888888888888888E-2</v>
      </c>
      <c r="F85" s="181">
        <f t="shared" si="35"/>
        <v>9.6452950411824077</v>
      </c>
      <c r="G85" s="181">
        <f>H126</f>
        <v>5.2852950411824065</v>
      </c>
      <c r="H85" s="476"/>
      <c r="I85" s="476"/>
      <c r="J85" s="476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77"/>
      <c r="B86" s="177"/>
      <c r="C86" s="179" t="s">
        <v>21</v>
      </c>
      <c r="D86" s="180">
        <v>25</v>
      </c>
      <c r="E86" s="170">
        <f t="shared" si="34"/>
        <v>1.7361111111111112E-2</v>
      </c>
      <c r="F86" s="181">
        <f t="shared" si="35"/>
        <v>9.201868166515208</v>
      </c>
      <c r="G86" s="181">
        <f t="shared" ref="G86:G92" si="36">H127</f>
        <v>4.8418681665152068</v>
      </c>
      <c r="H86" s="476"/>
      <c r="I86" s="476"/>
      <c r="J86" s="476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77"/>
      <c r="B87" s="177"/>
      <c r="C87" s="179" t="s">
        <v>21</v>
      </c>
      <c r="D87" s="180">
        <v>30</v>
      </c>
      <c r="E87" s="170">
        <f t="shared" si="34"/>
        <v>2.0833333333333332E-2</v>
      </c>
      <c r="F87" s="181">
        <f t="shared" si="35"/>
        <v>8.7956440197269643</v>
      </c>
      <c r="G87" s="181">
        <f t="shared" si="36"/>
        <v>4.4356440197269649</v>
      </c>
      <c r="H87" s="476"/>
      <c r="I87" s="476"/>
      <c r="J87" s="476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77"/>
      <c r="B88" s="177"/>
      <c r="C88" s="179"/>
      <c r="D88" s="180">
        <v>35</v>
      </c>
      <c r="E88" s="170">
        <f t="shared" si="34"/>
        <v>2.4305555555555556E-2</v>
      </c>
      <c r="F88" s="181">
        <f t="shared" si="35"/>
        <v>8.6679560069090122</v>
      </c>
      <c r="G88" s="181">
        <f t="shared" si="36"/>
        <v>4.307956006909011</v>
      </c>
      <c r="H88" s="476"/>
      <c r="I88" s="476"/>
      <c r="J88" s="476"/>
      <c r="L88" s="76"/>
      <c r="V88" s="56"/>
      <c r="AA88" s="57"/>
      <c r="AB88" s="95"/>
    </row>
    <row r="89" spans="1:32" s="52" customFormat="1" ht="20.45" customHeight="1">
      <c r="A89" s="177"/>
      <c r="B89" s="177"/>
      <c r="C89" s="179"/>
      <c r="D89" s="180">
        <v>40</v>
      </c>
      <c r="E89" s="170">
        <f t="shared" si="34"/>
        <v>2.7777777777777776E-2</v>
      </c>
      <c r="F89" s="181">
        <f t="shared" si="35"/>
        <v>8.5439437238261036</v>
      </c>
      <c r="G89" s="181">
        <f t="shared" si="36"/>
        <v>4.1839437238261041</v>
      </c>
      <c r="H89" s="476"/>
      <c r="I89" s="476"/>
      <c r="J89" s="476"/>
      <c r="L89" s="76"/>
      <c r="V89" s="56"/>
      <c r="AA89" s="57"/>
      <c r="AB89" s="95"/>
    </row>
    <row r="90" spans="1:32" s="52" customFormat="1" ht="20.45" customHeight="1">
      <c r="A90" s="177"/>
      <c r="B90" s="177"/>
      <c r="C90" s="179" t="s">
        <v>21</v>
      </c>
      <c r="D90" s="180">
        <v>45</v>
      </c>
      <c r="E90" s="170">
        <f t="shared" si="34"/>
        <v>3.125E-2</v>
      </c>
      <c r="F90" s="181">
        <f t="shared" si="35"/>
        <v>8.4235013579686218</v>
      </c>
      <c r="G90" s="181">
        <f t="shared" si="36"/>
        <v>4.0635013579686223</v>
      </c>
      <c r="H90" s="476"/>
      <c r="I90" s="476"/>
      <c r="J90" s="476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77"/>
      <c r="B91" s="177"/>
      <c r="C91" s="179"/>
      <c r="D91" s="180">
        <v>50</v>
      </c>
      <c r="E91" s="170">
        <f t="shared" si="34"/>
        <v>3.4722222222222224E-2</v>
      </c>
      <c r="F91" s="181">
        <f t="shared" si="35"/>
        <v>8.3065261428308652</v>
      </c>
      <c r="G91" s="181">
        <f t="shared" si="36"/>
        <v>3.9465261428308644</v>
      </c>
      <c r="H91" s="476"/>
      <c r="I91" s="476"/>
      <c r="J91" s="476"/>
      <c r="L91" s="76"/>
      <c r="V91" s="56"/>
      <c r="AA91" s="57"/>
      <c r="AB91" s="95"/>
    </row>
    <row r="92" spans="1:32" s="52" customFormat="1" ht="20.45" customHeight="1">
      <c r="A92" s="177"/>
      <c r="B92" s="177"/>
      <c r="C92" s="179"/>
      <c r="D92" s="180">
        <v>55</v>
      </c>
      <c r="E92" s="170">
        <f t="shared" si="34"/>
        <v>3.8194444444444448E-2</v>
      </c>
      <c r="F92" s="181">
        <f t="shared" si="35"/>
        <v>8.1929182702263379</v>
      </c>
      <c r="G92" s="181">
        <f t="shared" si="36"/>
        <v>3.8329182702263371</v>
      </c>
      <c r="H92" s="476"/>
      <c r="I92" s="476"/>
      <c r="J92" s="476"/>
      <c r="L92" s="76"/>
      <c r="V92" s="56"/>
      <c r="AA92" s="57"/>
      <c r="AB92" s="95"/>
    </row>
    <row r="93" spans="1:32" s="52" customFormat="1" ht="20.45" customHeight="1">
      <c r="A93" s="177"/>
      <c r="B93" s="177"/>
      <c r="C93" s="179">
        <f>$C$10+(D93+2880)/1440</f>
        <v>45084.6875</v>
      </c>
      <c r="D93" s="180">
        <v>60</v>
      </c>
      <c r="E93" s="170">
        <f t="shared" si="34"/>
        <v>4.1666666666666664E-2</v>
      </c>
      <c r="F93" s="181">
        <f t="shared" si="35"/>
        <v>8.082580805127197</v>
      </c>
      <c r="G93" s="181">
        <f>H134</f>
        <v>3.7225808051271971</v>
      </c>
      <c r="H93" s="476"/>
      <c r="I93" s="476"/>
      <c r="J93" s="476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77"/>
      <c r="B94" s="177"/>
      <c r="C94" s="179"/>
      <c r="D94" s="180">
        <v>75</v>
      </c>
      <c r="E94" s="170">
        <f t="shared" si="34"/>
        <v>5.2083333333333336E-2</v>
      </c>
      <c r="F94" s="181">
        <f t="shared" si="35"/>
        <v>7.9754196029552045</v>
      </c>
      <c r="G94" s="181">
        <f>H135</f>
        <v>3.6154196029552041</v>
      </c>
      <c r="H94" s="476"/>
      <c r="I94" s="476"/>
      <c r="J94" s="476"/>
      <c r="L94" s="76"/>
      <c r="V94" s="56"/>
      <c r="AA94" s="57"/>
      <c r="AB94" s="95"/>
    </row>
    <row r="95" spans="1:32" s="52" customFormat="1" ht="20.45" customHeight="1">
      <c r="A95" s="177"/>
      <c r="B95" s="177"/>
      <c r="C95" s="179"/>
      <c r="D95" s="180">
        <v>90</v>
      </c>
      <c r="E95" s="170">
        <f t="shared" si="34"/>
        <v>6.25E-2</v>
      </c>
      <c r="F95" s="181">
        <f t="shared" si="35"/>
        <v>7.8713432292535916</v>
      </c>
      <c r="G95" s="181">
        <f>H136</f>
        <v>3.5113432292535913</v>
      </c>
      <c r="H95" s="476"/>
      <c r="I95" s="476"/>
      <c r="J95" s="476"/>
      <c r="L95" s="76"/>
      <c r="V95" s="56"/>
      <c r="AA95" s="57"/>
      <c r="AB95" s="95"/>
    </row>
    <row r="96" spans="1:32" s="52" customFormat="1" ht="20.45" customHeight="1">
      <c r="A96" s="177"/>
      <c r="B96" s="177"/>
      <c r="C96" s="179"/>
      <c r="D96" s="180">
        <v>105</v>
      </c>
      <c r="E96" s="170">
        <f t="shared" si="34"/>
        <v>7.2916666666666671E-2</v>
      </c>
      <c r="F96" s="181">
        <f t="shared" si="35"/>
        <v>7.7702628816713331</v>
      </c>
      <c r="G96" s="181">
        <f>H137</f>
        <v>3.4102628816713327</v>
      </c>
      <c r="H96" s="476"/>
      <c r="I96" s="476"/>
      <c r="J96" s="476"/>
      <c r="L96" s="76"/>
      <c r="V96" s="56"/>
      <c r="AA96" s="57"/>
      <c r="AB96" s="95"/>
    </row>
    <row r="97" spans="1:28" s="52" customFormat="1" ht="20.45" customHeight="1">
      <c r="A97" s="177"/>
      <c r="B97" s="177"/>
      <c r="C97" s="179">
        <f>$C$10+(D97+2880)/1440</f>
        <v>45084.729166666672</v>
      </c>
      <c r="D97" s="180">
        <v>120</v>
      </c>
      <c r="E97" s="170">
        <f t="shared" si="34"/>
        <v>8.3333333333333329E-2</v>
      </c>
      <c r="F97" s="181">
        <f t="shared" si="35"/>
        <v>7.4841478777538271</v>
      </c>
      <c r="G97" s="181">
        <f>H138</f>
        <v>3.1241478777538267</v>
      </c>
      <c r="H97" s="476"/>
      <c r="I97" s="476"/>
      <c r="J97" s="476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77"/>
      <c r="B98" s="177"/>
      <c r="C98" s="179" t="s">
        <v>21</v>
      </c>
      <c r="D98" s="180">
        <v>180</v>
      </c>
      <c r="E98" s="170">
        <f t="shared" si="34"/>
        <v>0.125</v>
      </c>
      <c r="F98" s="181">
        <f t="shared" si="35"/>
        <v>7.3942136466735855</v>
      </c>
      <c r="G98" s="181">
        <f>H140</f>
        <v>3.0342136466735852</v>
      </c>
      <c r="H98" s="476"/>
      <c r="I98" s="476"/>
      <c r="J98" s="476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77"/>
      <c r="B99" s="177"/>
      <c r="C99" s="179">
        <f>$C$10+(D99+2880)/1440</f>
        <v>45084.8125</v>
      </c>
      <c r="D99" s="180">
        <v>240</v>
      </c>
      <c r="E99" s="170">
        <f t="shared" si="34"/>
        <v>0.16666666666666666</v>
      </c>
      <c r="F99" s="181">
        <f t="shared" si="35"/>
        <v>6.9064409293280828</v>
      </c>
      <c r="G99" s="181">
        <f>H142</f>
        <v>2.5464409293280825</v>
      </c>
      <c r="H99" s="476"/>
      <c r="I99" s="476"/>
      <c r="J99" s="476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77"/>
      <c r="B100" s="177"/>
      <c r="C100" s="179" t="s">
        <v>21</v>
      </c>
      <c r="D100" s="180">
        <v>300</v>
      </c>
      <c r="E100" s="170">
        <f t="shared" si="34"/>
        <v>0.20833333333333334</v>
      </c>
      <c r="F100" s="181">
        <f t="shared" si="35"/>
        <v>6.4970813534063723</v>
      </c>
      <c r="G100" s="181">
        <f>H144</f>
        <v>2.137081353406372</v>
      </c>
      <c r="H100" s="476"/>
      <c r="I100" s="476"/>
      <c r="J100" s="476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77"/>
      <c r="B101" s="177"/>
      <c r="C101" s="179">
        <f>$C$10+(D101+2880)/1440</f>
        <v>45084.895833333336</v>
      </c>
      <c r="D101" s="180">
        <v>360</v>
      </c>
      <c r="E101" s="170">
        <f t="shared" si="34"/>
        <v>0.25</v>
      </c>
      <c r="F101" s="182">
        <f t="shared" si="35"/>
        <v>6.1535294153013451</v>
      </c>
      <c r="G101" s="185">
        <f>H146</f>
        <v>1.793529415301345</v>
      </c>
      <c r="H101" s="476"/>
      <c r="I101" s="476"/>
      <c r="J101" s="476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68"/>
      <c r="B109" s="368"/>
      <c r="C109" s="368"/>
      <c r="D109" s="368"/>
      <c r="E109" s="368"/>
      <c r="F109" s="368"/>
      <c r="G109" s="368"/>
      <c r="H109" s="368"/>
      <c r="I109" s="368"/>
      <c r="J109" s="368"/>
      <c r="AA109" s="57"/>
      <c r="AB109" s="95"/>
    </row>
    <row r="110" spans="1:28" s="52" customFormat="1" ht="17.25" customHeight="1">
      <c r="A110" s="368"/>
      <c r="B110" s="368"/>
      <c r="C110" s="369">
        <v>3</v>
      </c>
      <c r="D110" s="370">
        <f>G77</f>
        <v>18.558484957463428</v>
      </c>
      <c r="E110" s="368"/>
      <c r="F110" s="371" t="s">
        <v>192</v>
      </c>
      <c r="G110" s="368"/>
      <c r="H110" s="372" t="s">
        <v>193</v>
      </c>
      <c r="I110" s="373"/>
      <c r="J110" s="368"/>
      <c r="AA110" s="57"/>
      <c r="AB110" s="95"/>
    </row>
    <row r="111" spans="1:28" s="52" customFormat="1" ht="17.25" hidden="1" customHeight="1">
      <c r="A111" s="368"/>
      <c r="B111" s="368">
        <v>1</v>
      </c>
      <c r="C111" s="368">
        <v>95</v>
      </c>
      <c r="D111" s="374">
        <f>D110</f>
        <v>18.558484957463428</v>
      </c>
      <c r="E111" s="375">
        <f>C111/100</f>
        <v>0.95</v>
      </c>
      <c r="F111" s="376" t="s">
        <v>21</v>
      </c>
      <c r="G111" s="368">
        <v>1</v>
      </c>
      <c r="H111" s="377">
        <f t="shared" ref="H111:H146" si="38">D111^E111</f>
        <v>16.036714340651891</v>
      </c>
      <c r="I111" s="378"/>
      <c r="J111" s="368"/>
      <c r="AA111" s="57"/>
      <c r="AB111" s="95"/>
    </row>
    <row r="112" spans="1:28" s="52" customFormat="1" ht="17.25" hidden="1" customHeight="1">
      <c r="A112" s="368"/>
      <c r="B112" s="368">
        <v>2</v>
      </c>
      <c r="C112" s="368">
        <f t="shared" ref="C112:C119" si="39">C111-C$110</f>
        <v>92</v>
      </c>
      <c r="D112" s="373">
        <f>D111</f>
        <v>18.558484957463428</v>
      </c>
      <c r="E112" s="375">
        <f t="shared" ref="E112:E141" si="40">C112/100</f>
        <v>0.92</v>
      </c>
      <c r="F112" s="379"/>
      <c r="G112" s="368">
        <v>2</v>
      </c>
      <c r="H112" s="377">
        <f t="shared" si="38"/>
        <v>14.691262466234855</v>
      </c>
      <c r="I112" s="378"/>
      <c r="J112" s="380">
        <f>H111-H112</f>
        <v>1.3454518744170354</v>
      </c>
      <c r="AA112" s="57"/>
      <c r="AB112" s="95"/>
    </row>
    <row r="113" spans="1:28" s="52" customFormat="1" ht="17.25" hidden="1" customHeight="1">
      <c r="A113" s="368"/>
      <c r="B113" s="368">
        <v>3</v>
      </c>
      <c r="C113" s="368">
        <f t="shared" si="39"/>
        <v>89</v>
      </c>
      <c r="D113" s="373">
        <f t="shared" ref="D113:D146" si="41">D112</f>
        <v>18.558484957463428</v>
      </c>
      <c r="E113" s="375">
        <f t="shared" si="40"/>
        <v>0.89</v>
      </c>
      <c r="F113" s="376" t="s">
        <v>21</v>
      </c>
      <c r="G113" s="368">
        <v>3</v>
      </c>
      <c r="H113" s="377">
        <f t="shared" si="38"/>
        <v>13.458691616441635</v>
      </c>
      <c r="I113" s="378"/>
      <c r="J113" s="380">
        <f t="shared" ref="J113:J146" si="42">H112-H113</f>
        <v>1.2325708497932197</v>
      </c>
      <c r="AA113" s="57"/>
      <c r="AB113" s="95"/>
    </row>
    <row r="114" spans="1:28" s="52" customFormat="1" ht="17.25" customHeight="1">
      <c r="A114" s="368"/>
      <c r="B114" s="368">
        <v>4</v>
      </c>
      <c r="C114" s="368">
        <f t="shared" si="39"/>
        <v>86</v>
      </c>
      <c r="D114" s="373">
        <f t="shared" si="41"/>
        <v>18.558484957463428</v>
      </c>
      <c r="E114" s="375">
        <f t="shared" si="40"/>
        <v>0.86</v>
      </c>
      <c r="F114" s="379">
        <v>1</v>
      </c>
      <c r="G114" s="381">
        <v>4</v>
      </c>
      <c r="H114" s="382">
        <f t="shared" si="38"/>
        <v>12.329531273625038</v>
      </c>
      <c r="I114" s="383"/>
      <c r="J114" s="380">
        <f t="shared" si="42"/>
        <v>1.1291603428165971</v>
      </c>
      <c r="AA114" s="57"/>
      <c r="AB114" s="95"/>
    </row>
    <row r="115" spans="1:28" s="52" customFormat="1" ht="17.25" customHeight="1">
      <c r="A115" s="368"/>
      <c r="B115" s="368">
        <v>5</v>
      </c>
      <c r="C115" s="368">
        <f t="shared" si="39"/>
        <v>83</v>
      </c>
      <c r="D115" s="373">
        <f t="shared" si="41"/>
        <v>18.558484957463428</v>
      </c>
      <c r="E115" s="375">
        <f t="shared" si="40"/>
        <v>0.83</v>
      </c>
      <c r="F115" s="379">
        <v>2</v>
      </c>
      <c r="G115" s="381">
        <v>5</v>
      </c>
      <c r="H115" s="382">
        <f t="shared" si="38"/>
        <v>11.295105479762084</v>
      </c>
      <c r="I115" s="383"/>
      <c r="J115" s="380">
        <f t="shared" si="42"/>
        <v>1.0344257938629546</v>
      </c>
      <c r="AA115" s="57"/>
      <c r="AB115" s="95"/>
    </row>
    <row r="116" spans="1:28" s="52" customFormat="1" ht="17.25" customHeight="1">
      <c r="A116" s="368"/>
      <c r="B116" s="368">
        <v>6</v>
      </c>
      <c r="C116" s="368">
        <f t="shared" si="39"/>
        <v>80</v>
      </c>
      <c r="D116" s="373">
        <f t="shared" si="41"/>
        <v>18.558484957463428</v>
      </c>
      <c r="E116" s="375">
        <f t="shared" si="40"/>
        <v>0.8</v>
      </c>
      <c r="F116" s="379">
        <v>3</v>
      </c>
      <c r="G116" s="381">
        <v>6</v>
      </c>
      <c r="H116" s="382">
        <f t="shared" si="38"/>
        <v>10.347466174311545</v>
      </c>
      <c r="I116" s="383"/>
      <c r="J116" s="380">
        <f t="shared" si="42"/>
        <v>0.94763930545053832</v>
      </c>
      <c r="AA116" s="57"/>
      <c r="AB116" s="95"/>
    </row>
    <row r="117" spans="1:28" s="52" customFormat="1" ht="17.25" customHeight="1">
      <c r="A117" s="368"/>
      <c r="B117" s="368">
        <v>7</v>
      </c>
      <c r="C117" s="368">
        <f t="shared" si="39"/>
        <v>77</v>
      </c>
      <c r="D117" s="373">
        <f t="shared" si="41"/>
        <v>18.558484957463428</v>
      </c>
      <c r="E117" s="375">
        <f t="shared" si="40"/>
        <v>0.77</v>
      </c>
      <c r="F117" s="379">
        <v>4</v>
      </c>
      <c r="G117" s="381">
        <v>7</v>
      </c>
      <c r="H117" s="382">
        <f t="shared" si="38"/>
        <v>9.4793321249069802</v>
      </c>
      <c r="I117" s="383"/>
      <c r="J117" s="380">
        <f t="shared" si="42"/>
        <v>0.86813404940456529</v>
      </c>
      <c r="AA117" s="57"/>
      <c r="AB117" s="95"/>
    </row>
    <row r="118" spans="1:28" s="52" customFormat="1" ht="17.25" customHeight="1">
      <c r="A118" s="368"/>
      <c r="B118" s="368">
        <v>8</v>
      </c>
      <c r="C118" s="368">
        <f t="shared" si="39"/>
        <v>74</v>
      </c>
      <c r="D118" s="373">
        <f t="shared" si="41"/>
        <v>18.558484957463428</v>
      </c>
      <c r="E118" s="375">
        <f t="shared" si="40"/>
        <v>0.74</v>
      </c>
      <c r="F118" s="379">
        <v>5</v>
      </c>
      <c r="G118" s="381">
        <v>8</v>
      </c>
      <c r="H118" s="382">
        <f t="shared" si="38"/>
        <v>8.6840329816562143</v>
      </c>
      <c r="I118" s="383"/>
      <c r="J118" s="380">
        <f t="shared" si="42"/>
        <v>0.79529914325076589</v>
      </c>
      <c r="AA118" s="57"/>
      <c r="AB118" s="95"/>
    </row>
    <row r="119" spans="1:28" s="52" customFormat="1" ht="17.25" hidden="1" customHeight="1">
      <c r="A119" s="368"/>
      <c r="B119" s="368">
        <v>9</v>
      </c>
      <c r="C119" s="368">
        <f t="shared" si="39"/>
        <v>71</v>
      </c>
      <c r="D119" s="373">
        <f t="shared" si="41"/>
        <v>18.558484957463428</v>
      </c>
      <c r="E119" s="375">
        <f t="shared" si="40"/>
        <v>0.71</v>
      </c>
      <c r="F119" s="376"/>
      <c r="G119" s="368">
        <v>9</v>
      </c>
      <c r="H119" s="384">
        <f t="shared" si="38"/>
        <v>7.9554580251858091</v>
      </c>
      <c r="I119" s="385"/>
      <c r="J119" s="380">
        <f t="shared" si="42"/>
        <v>0.72857495647040516</v>
      </c>
      <c r="AA119" s="57"/>
      <c r="AB119" s="95"/>
    </row>
    <row r="120" spans="1:28" s="52" customFormat="1" ht="17.25" hidden="1" customHeight="1">
      <c r="A120" s="368">
        <f>C110</f>
        <v>3</v>
      </c>
      <c r="B120" s="368">
        <v>10</v>
      </c>
      <c r="C120" s="368">
        <f>C119-A$120</f>
        <v>68</v>
      </c>
      <c r="D120" s="373">
        <f t="shared" si="41"/>
        <v>18.558484957463428</v>
      </c>
      <c r="E120" s="375">
        <f t="shared" si="40"/>
        <v>0.68</v>
      </c>
      <c r="F120" s="376" t="s">
        <v>21</v>
      </c>
      <c r="G120" s="368">
        <v>10</v>
      </c>
      <c r="H120" s="377">
        <f t="shared" si="38"/>
        <v>7.2880092146336857</v>
      </c>
      <c r="I120" s="378"/>
      <c r="J120" s="380">
        <f t="shared" si="42"/>
        <v>0.66744881055212346</v>
      </c>
      <c r="AA120" s="57"/>
      <c r="AB120" s="95"/>
    </row>
    <row r="121" spans="1:28" s="52" customFormat="1" ht="17.25" customHeight="1">
      <c r="A121" s="368"/>
      <c r="B121" s="368">
        <v>11</v>
      </c>
      <c r="C121" s="368">
        <f t="shared" ref="C121:C128" si="43">C120-A$120</f>
        <v>65</v>
      </c>
      <c r="D121" s="373">
        <f t="shared" si="41"/>
        <v>18.558484957463428</v>
      </c>
      <c r="E121" s="375">
        <f t="shared" si="40"/>
        <v>0.65</v>
      </c>
      <c r="F121" s="379">
        <v>10</v>
      </c>
      <c r="G121" s="381">
        <v>12</v>
      </c>
      <c r="H121" s="382">
        <f t="shared" si="38"/>
        <v>6.6765581748317917</v>
      </c>
      <c r="I121" s="383"/>
      <c r="J121" s="380">
        <f t="shared" si="42"/>
        <v>0.61145103980189397</v>
      </c>
      <c r="AA121" s="57"/>
      <c r="AB121" s="95"/>
    </row>
    <row r="122" spans="1:28" s="52" customFormat="1" ht="17.25" hidden="1" customHeight="1">
      <c r="A122" s="368"/>
      <c r="B122" s="368">
        <v>12</v>
      </c>
      <c r="C122" s="368">
        <f t="shared" si="43"/>
        <v>62</v>
      </c>
      <c r="D122" s="373">
        <f t="shared" si="41"/>
        <v>18.558484957463428</v>
      </c>
      <c r="E122" s="375">
        <f t="shared" si="40"/>
        <v>0.62</v>
      </c>
      <c r="F122" s="376"/>
      <c r="G122" s="368">
        <v>14</v>
      </c>
      <c r="H122" s="377">
        <f t="shared" si="38"/>
        <v>6.1164067921878651</v>
      </c>
      <c r="I122" s="378"/>
      <c r="J122" s="380">
        <f t="shared" si="42"/>
        <v>0.56015138264392661</v>
      </c>
      <c r="AA122" s="57"/>
      <c r="AB122" s="95"/>
    </row>
    <row r="123" spans="1:28" s="52" customFormat="1" ht="17.25" hidden="1" customHeight="1">
      <c r="A123" s="368"/>
      <c r="B123" s="368"/>
      <c r="C123" s="368">
        <v>37</v>
      </c>
      <c r="D123" s="373">
        <f t="shared" si="41"/>
        <v>18.558484957463428</v>
      </c>
      <c r="E123" s="375">
        <f t="shared" si="40"/>
        <v>0.37</v>
      </c>
      <c r="F123" s="376"/>
      <c r="G123" s="368">
        <v>15</v>
      </c>
      <c r="H123" s="377">
        <f t="shared" si="38"/>
        <v>2.9468683346319047</v>
      </c>
      <c r="I123" s="378"/>
      <c r="J123" s="380">
        <f t="shared" si="42"/>
        <v>3.1695384575559604</v>
      </c>
      <c r="AA123" s="57"/>
      <c r="AB123" s="95"/>
    </row>
    <row r="124" spans="1:28" s="52" customFormat="1" ht="17.25" customHeight="1">
      <c r="A124" s="368"/>
      <c r="B124" s="368">
        <v>13</v>
      </c>
      <c r="C124" s="368">
        <v>63</v>
      </c>
      <c r="D124" s="373">
        <f t="shared" si="41"/>
        <v>18.558484957463428</v>
      </c>
      <c r="E124" s="375">
        <f t="shared" si="40"/>
        <v>0.63</v>
      </c>
      <c r="F124" s="379">
        <v>15</v>
      </c>
      <c r="G124" s="381">
        <v>16</v>
      </c>
      <c r="H124" s="382">
        <f t="shared" si="38"/>
        <v>6.2976973688855296</v>
      </c>
      <c r="I124" s="383"/>
      <c r="J124" s="380">
        <f t="shared" si="42"/>
        <v>-3.3508290342536249</v>
      </c>
      <c r="AA124" s="57"/>
      <c r="AB124" s="95"/>
    </row>
    <row r="125" spans="1:28" s="52" customFormat="1" ht="17.25" hidden="1" customHeight="1">
      <c r="A125" s="368"/>
      <c r="B125" s="368">
        <v>14</v>
      </c>
      <c r="C125" s="368">
        <f t="shared" si="43"/>
        <v>60</v>
      </c>
      <c r="D125" s="373">
        <f t="shared" si="41"/>
        <v>18.558484957463428</v>
      </c>
      <c r="E125" s="375">
        <f t="shared" si="40"/>
        <v>0.6</v>
      </c>
      <c r="F125" s="376"/>
      <c r="G125" s="368">
        <v>18</v>
      </c>
      <c r="H125" s="377">
        <f t="shared" si="38"/>
        <v>5.7693317355338634</v>
      </c>
      <c r="I125" s="378"/>
      <c r="J125" s="380">
        <f t="shared" si="42"/>
        <v>0.5283656333516662</v>
      </c>
      <c r="AA125" s="57"/>
      <c r="AB125" s="95"/>
    </row>
    <row r="126" spans="1:28" s="52" customFormat="1" ht="17.25" customHeight="1">
      <c r="A126" s="368"/>
      <c r="B126" s="368">
        <v>15</v>
      </c>
      <c r="C126" s="368">
        <f t="shared" si="43"/>
        <v>57</v>
      </c>
      <c r="D126" s="373">
        <f t="shared" si="41"/>
        <v>18.558484957463428</v>
      </c>
      <c r="E126" s="375">
        <f t="shared" si="40"/>
        <v>0.56999999999999995</v>
      </c>
      <c r="F126" s="379">
        <v>20</v>
      </c>
      <c r="G126" s="381">
        <v>20</v>
      </c>
      <c r="H126" s="382">
        <f t="shared" si="38"/>
        <v>5.2852950411824065</v>
      </c>
      <c r="I126" s="383"/>
      <c r="J126" s="380">
        <f t="shared" si="42"/>
        <v>0.48403669435145691</v>
      </c>
      <c r="AA126" s="57"/>
      <c r="AB126" s="95"/>
    </row>
    <row r="127" spans="1:28" s="52" customFormat="1" ht="17.25" customHeight="1">
      <c r="A127" s="368"/>
      <c r="B127" s="368">
        <v>16</v>
      </c>
      <c r="C127" s="368">
        <f t="shared" si="43"/>
        <v>54</v>
      </c>
      <c r="D127" s="373">
        <f t="shared" si="41"/>
        <v>18.558484957463428</v>
      </c>
      <c r="E127" s="375">
        <f t="shared" si="40"/>
        <v>0.54</v>
      </c>
      <c r="F127" s="379">
        <v>25</v>
      </c>
      <c r="G127" s="381">
        <v>25</v>
      </c>
      <c r="H127" s="382">
        <f t="shared" si="38"/>
        <v>4.8418681665152068</v>
      </c>
      <c r="I127" s="383"/>
      <c r="J127" s="380">
        <f t="shared" si="42"/>
        <v>0.44342687466719966</v>
      </c>
      <c r="AA127" s="57"/>
      <c r="AB127" s="95"/>
    </row>
    <row r="128" spans="1:28" s="52" customFormat="1" ht="17.25" customHeight="1">
      <c r="A128" s="368"/>
      <c r="B128" s="368">
        <v>17</v>
      </c>
      <c r="C128" s="368">
        <f t="shared" si="43"/>
        <v>51</v>
      </c>
      <c r="D128" s="373">
        <f t="shared" si="41"/>
        <v>18.558484957463428</v>
      </c>
      <c r="E128" s="375">
        <f t="shared" si="40"/>
        <v>0.51</v>
      </c>
      <c r="F128" s="379">
        <v>30</v>
      </c>
      <c r="G128" s="381">
        <v>30</v>
      </c>
      <c r="H128" s="382">
        <f>D128^E128</f>
        <v>4.4356440197269649</v>
      </c>
      <c r="I128" s="383"/>
      <c r="J128" s="380">
        <f t="shared" si="42"/>
        <v>0.40622414678824192</v>
      </c>
      <c r="AA128" s="57"/>
      <c r="AB128" s="95"/>
    </row>
    <row r="129" spans="1:28" s="52" customFormat="1" ht="17.25" customHeight="1">
      <c r="A129" s="368"/>
      <c r="B129" s="368"/>
      <c r="C129" s="368">
        <v>50</v>
      </c>
      <c r="D129" s="373">
        <f t="shared" si="41"/>
        <v>18.558484957463428</v>
      </c>
      <c r="E129" s="375">
        <f t="shared" si="40"/>
        <v>0.5</v>
      </c>
      <c r="F129" s="379">
        <v>35</v>
      </c>
      <c r="G129" s="381">
        <v>35</v>
      </c>
      <c r="H129" s="382">
        <f t="shared" si="38"/>
        <v>4.307956006909011</v>
      </c>
      <c r="I129" s="383"/>
      <c r="J129" s="380">
        <f t="shared" si="42"/>
        <v>0.12768801281795383</v>
      </c>
      <c r="AA129" s="57"/>
      <c r="AB129" s="95"/>
    </row>
    <row r="130" spans="1:28" s="52" customFormat="1" ht="17.25" customHeight="1">
      <c r="A130" s="368"/>
      <c r="B130" s="368"/>
      <c r="C130" s="368">
        <v>49</v>
      </c>
      <c r="D130" s="373">
        <f t="shared" si="41"/>
        <v>18.558484957463428</v>
      </c>
      <c r="E130" s="375">
        <f t="shared" si="40"/>
        <v>0.49</v>
      </c>
      <c r="F130" s="379">
        <v>40</v>
      </c>
      <c r="G130" s="381">
        <v>40</v>
      </c>
      <c r="H130" s="382">
        <f t="shared" si="38"/>
        <v>4.1839437238261041</v>
      </c>
      <c r="I130" s="383"/>
      <c r="J130" s="380">
        <f t="shared" si="42"/>
        <v>0.1240122830829069</v>
      </c>
      <c r="AA130" s="57"/>
      <c r="AB130" s="95"/>
    </row>
    <row r="131" spans="1:28" s="52" customFormat="1" ht="17.25" customHeight="1">
      <c r="A131" s="368">
        <f>A120</f>
        <v>3</v>
      </c>
      <c r="B131" s="368">
        <v>18</v>
      </c>
      <c r="C131" s="368">
        <f>C128-A$131</f>
        <v>48</v>
      </c>
      <c r="D131" s="373">
        <f t="shared" si="41"/>
        <v>18.558484957463428</v>
      </c>
      <c r="E131" s="375">
        <f t="shared" si="40"/>
        <v>0.48</v>
      </c>
      <c r="F131" s="379">
        <v>45</v>
      </c>
      <c r="G131" s="381">
        <v>45</v>
      </c>
      <c r="H131" s="382">
        <f t="shared" si="38"/>
        <v>4.0635013579686223</v>
      </c>
      <c r="I131" s="383"/>
      <c r="J131" s="380">
        <f t="shared" si="42"/>
        <v>0.1204423658574818</v>
      </c>
      <c r="AA131" s="57"/>
      <c r="AB131" s="95"/>
    </row>
    <row r="132" spans="1:28" s="52" customFormat="1" ht="17.25" customHeight="1">
      <c r="A132" s="368"/>
      <c r="B132" s="368"/>
      <c r="C132" s="368">
        <v>47</v>
      </c>
      <c r="D132" s="373">
        <f t="shared" si="41"/>
        <v>18.558484957463428</v>
      </c>
      <c r="E132" s="375">
        <f t="shared" si="40"/>
        <v>0.47</v>
      </c>
      <c r="F132" s="379">
        <v>50</v>
      </c>
      <c r="G132" s="381">
        <v>50</v>
      </c>
      <c r="H132" s="382">
        <f t="shared" si="38"/>
        <v>3.9465261428308644</v>
      </c>
      <c r="I132" s="383"/>
      <c r="J132" s="380">
        <f t="shared" si="42"/>
        <v>0.11697521513775788</v>
      </c>
      <c r="AA132" s="57"/>
      <c r="AB132" s="95"/>
    </row>
    <row r="133" spans="1:28" s="52" customFormat="1" ht="17.25" customHeight="1">
      <c r="A133" s="368"/>
      <c r="B133" s="368"/>
      <c r="C133" s="368">
        <v>46</v>
      </c>
      <c r="D133" s="373">
        <f t="shared" si="41"/>
        <v>18.558484957463428</v>
      </c>
      <c r="E133" s="375">
        <f t="shared" si="40"/>
        <v>0.46</v>
      </c>
      <c r="F133" s="379">
        <v>55</v>
      </c>
      <c r="G133" s="381">
        <v>55</v>
      </c>
      <c r="H133" s="382">
        <f t="shared" si="38"/>
        <v>3.8329182702263371</v>
      </c>
      <c r="I133" s="383"/>
      <c r="J133" s="380">
        <f t="shared" si="42"/>
        <v>0.11360787260452732</v>
      </c>
      <c r="AA133" s="57"/>
      <c r="AB133" s="95"/>
    </row>
    <row r="134" spans="1:28" s="52" customFormat="1" ht="17.25" customHeight="1">
      <c r="A134" s="368"/>
      <c r="B134" s="368">
        <v>19</v>
      </c>
      <c r="C134" s="368">
        <f>C131-A$131</f>
        <v>45</v>
      </c>
      <c r="D134" s="373">
        <f t="shared" si="41"/>
        <v>18.558484957463428</v>
      </c>
      <c r="E134" s="375">
        <f t="shared" si="40"/>
        <v>0.45</v>
      </c>
      <c r="F134" s="379">
        <v>60</v>
      </c>
      <c r="G134" s="381">
        <v>60</v>
      </c>
      <c r="H134" s="382">
        <f t="shared" si="38"/>
        <v>3.7225808051271971</v>
      </c>
      <c r="I134" s="383"/>
      <c r="J134" s="380">
        <f t="shared" si="42"/>
        <v>0.11033746509914</v>
      </c>
      <c r="AA134" s="57"/>
      <c r="AB134" s="95"/>
    </row>
    <row r="135" spans="1:28" s="52" customFormat="1" ht="17.25" customHeight="1">
      <c r="A135" s="368"/>
      <c r="B135" s="368"/>
      <c r="C135" s="368">
        <v>44</v>
      </c>
      <c r="D135" s="373">
        <f t="shared" si="41"/>
        <v>18.558484957463428</v>
      </c>
      <c r="E135" s="375">
        <f t="shared" si="40"/>
        <v>0.44</v>
      </c>
      <c r="F135" s="379">
        <v>75</v>
      </c>
      <c r="G135" s="381">
        <v>75</v>
      </c>
      <c r="H135" s="382">
        <f t="shared" si="38"/>
        <v>3.6154196029552041</v>
      </c>
      <c r="I135" s="383"/>
      <c r="J135" s="380">
        <f t="shared" si="42"/>
        <v>0.10716120217199299</v>
      </c>
      <c r="AA135" s="57"/>
      <c r="AB135" s="95"/>
    </row>
    <row r="136" spans="1:28" s="52" customFormat="1" ht="17.25" customHeight="1">
      <c r="A136" s="368"/>
      <c r="B136" s="368"/>
      <c r="C136" s="368">
        <v>43</v>
      </c>
      <c r="D136" s="373">
        <f t="shared" si="41"/>
        <v>18.558484957463428</v>
      </c>
      <c r="E136" s="375">
        <f t="shared" si="40"/>
        <v>0.43</v>
      </c>
      <c r="F136" s="379">
        <v>90</v>
      </c>
      <c r="G136" s="381">
        <v>90</v>
      </c>
      <c r="H136" s="382">
        <f t="shared" si="38"/>
        <v>3.5113432292535913</v>
      </c>
      <c r="I136" s="383"/>
      <c r="J136" s="380">
        <f t="shared" si="42"/>
        <v>0.10407637370161282</v>
      </c>
      <c r="AA136" s="57"/>
      <c r="AB136" s="95"/>
    </row>
    <row r="137" spans="1:28" s="52" customFormat="1" ht="17.25" customHeight="1">
      <c r="A137" s="368"/>
      <c r="B137" s="368">
        <v>20</v>
      </c>
      <c r="C137" s="368">
        <f>C134-A$131</f>
        <v>42</v>
      </c>
      <c r="D137" s="373">
        <f t="shared" si="41"/>
        <v>18.558484957463428</v>
      </c>
      <c r="E137" s="375">
        <f t="shared" si="40"/>
        <v>0.42</v>
      </c>
      <c r="F137" s="379">
        <v>105</v>
      </c>
      <c r="G137" s="381">
        <v>105</v>
      </c>
      <c r="H137" s="382">
        <f t="shared" si="38"/>
        <v>3.4102628816713327</v>
      </c>
      <c r="I137" s="383"/>
      <c r="J137" s="380">
        <f t="shared" si="42"/>
        <v>0.10108034758225859</v>
      </c>
      <c r="AA137" s="57"/>
      <c r="AB137" s="95"/>
    </row>
    <row r="138" spans="1:28" s="52" customFormat="1" ht="17.25" customHeight="1">
      <c r="A138" s="368">
        <f>A131</f>
        <v>3</v>
      </c>
      <c r="B138" s="368"/>
      <c r="C138" s="368">
        <f>C137-A$138</f>
        <v>39</v>
      </c>
      <c r="D138" s="373">
        <f t="shared" si="41"/>
        <v>18.558484957463428</v>
      </c>
      <c r="E138" s="375">
        <f t="shared" si="40"/>
        <v>0.39</v>
      </c>
      <c r="F138" s="379">
        <v>120</v>
      </c>
      <c r="G138" s="381">
        <v>120</v>
      </c>
      <c r="H138" s="382">
        <f t="shared" si="38"/>
        <v>3.1241478777538267</v>
      </c>
      <c r="I138" s="383"/>
      <c r="J138" s="380">
        <f t="shared" si="42"/>
        <v>0.28611500391750599</v>
      </c>
      <c r="AA138" s="57"/>
      <c r="AB138" s="95"/>
    </row>
    <row r="139" spans="1:28" s="52" customFormat="1" ht="17.25" hidden="1" customHeight="1">
      <c r="A139" s="368"/>
      <c r="B139" s="368"/>
      <c r="C139" s="368">
        <f t="shared" ref="C139:C146" si="44">C138-A$138</f>
        <v>36</v>
      </c>
      <c r="D139" s="373">
        <f t="shared" si="41"/>
        <v>18.558484957463428</v>
      </c>
      <c r="E139" s="375">
        <f t="shared" si="40"/>
        <v>0.36</v>
      </c>
      <c r="F139" s="376"/>
      <c r="G139" s="368">
        <v>150</v>
      </c>
      <c r="H139" s="377">
        <f t="shared" si="38"/>
        <v>2.8620374149251275</v>
      </c>
      <c r="I139" s="378"/>
      <c r="J139" s="380">
        <f t="shared" si="42"/>
        <v>0.26211046282869921</v>
      </c>
      <c r="AA139" s="57"/>
      <c r="AB139" s="95"/>
    </row>
    <row r="140" spans="1:28" s="52" customFormat="1" ht="17.25" customHeight="1">
      <c r="A140" s="368"/>
      <c r="B140" s="368"/>
      <c r="C140" s="368">
        <v>38</v>
      </c>
      <c r="D140" s="373">
        <f t="shared" si="41"/>
        <v>18.558484957463428</v>
      </c>
      <c r="E140" s="375">
        <f t="shared" si="40"/>
        <v>0.38</v>
      </c>
      <c r="F140" s="379">
        <v>180</v>
      </c>
      <c r="G140" s="381">
        <v>180</v>
      </c>
      <c r="H140" s="382">
        <f t="shared" si="38"/>
        <v>3.0342136466735852</v>
      </c>
      <c r="I140" s="383"/>
      <c r="J140" s="380">
        <f t="shared" si="42"/>
        <v>-0.17217623174845764</v>
      </c>
      <c r="AA140" s="57"/>
      <c r="AB140" s="95"/>
    </row>
    <row r="141" spans="1:28" s="52" customFormat="1" ht="17.25" hidden="1" customHeight="1">
      <c r="A141" s="368"/>
      <c r="B141" s="368"/>
      <c r="C141" s="368">
        <f t="shared" si="44"/>
        <v>35</v>
      </c>
      <c r="D141" s="373">
        <f t="shared" si="41"/>
        <v>18.558484957463428</v>
      </c>
      <c r="E141" s="375">
        <f t="shared" si="40"/>
        <v>0.35</v>
      </c>
      <c r="F141" s="376"/>
      <c r="G141" s="368">
        <v>210</v>
      </c>
      <c r="H141" s="377">
        <f t="shared" si="38"/>
        <v>2.7796485062351737</v>
      </c>
      <c r="I141" s="378"/>
      <c r="J141" s="380">
        <f t="shared" si="42"/>
        <v>0.2545651404384115</v>
      </c>
      <c r="AA141" s="57"/>
      <c r="AB141" s="95"/>
    </row>
    <row r="142" spans="1:28" s="52" customFormat="1" ht="17.25" customHeight="1">
      <c r="A142" s="368"/>
      <c r="B142" s="368"/>
      <c r="C142" s="368">
        <f t="shared" si="44"/>
        <v>32</v>
      </c>
      <c r="D142" s="373">
        <f t="shared" si="41"/>
        <v>18.558484957463428</v>
      </c>
      <c r="E142" s="375">
        <f>C142/100</f>
        <v>0.32</v>
      </c>
      <c r="F142" s="379">
        <v>240</v>
      </c>
      <c r="G142" s="381">
        <v>240</v>
      </c>
      <c r="H142" s="382">
        <f t="shared" si="38"/>
        <v>2.5464409293280825</v>
      </c>
      <c r="I142" s="383"/>
      <c r="J142" s="380">
        <f t="shared" si="42"/>
        <v>0.23320757690709115</v>
      </c>
      <c r="AA142" s="57"/>
      <c r="AB142" s="95"/>
    </row>
    <row r="143" spans="1:28" s="52" customFormat="1" ht="17.25" hidden="1" customHeight="1">
      <c r="A143" s="368"/>
      <c r="B143" s="368"/>
      <c r="C143" s="368">
        <f t="shared" si="44"/>
        <v>29</v>
      </c>
      <c r="D143" s="373">
        <f t="shared" si="41"/>
        <v>18.558484957463428</v>
      </c>
      <c r="E143" s="375">
        <f>C143/100</f>
        <v>0.28999999999999998</v>
      </c>
      <c r="F143" s="376"/>
      <c r="G143" s="368">
        <v>270</v>
      </c>
      <c r="H143" s="377">
        <f t="shared" si="38"/>
        <v>2.3327990542731785</v>
      </c>
      <c r="I143" s="378"/>
      <c r="J143" s="380">
        <f t="shared" si="42"/>
        <v>0.21364187505490406</v>
      </c>
      <c r="AA143" s="57"/>
      <c r="AB143" s="95"/>
    </row>
    <row r="144" spans="1:28" s="52" customFormat="1" ht="17.25" customHeight="1">
      <c r="A144" s="368"/>
      <c r="B144" s="368"/>
      <c r="C144" s="368">
        <f t="shared" si="44"/>
        <v>26</v>
      </c>
      <c r="D144" s="373">
        <f t="shared" si="41"/>
        <v>18.558484957463428</v>
      </c>
      <c r="E144" s="375">
        <f>C144/100</f>
        <v>0.26</v>
      </c>
      <c r="F144" s="379">
        <v>300</v>
      </c>
      <c r="G144" s="381">
        <v>300</v>
      </c>
      <c r="H144" s="382">
        <f t="shared" si="38"/>
        <v>2.137081353406372</v>
      </c>
      <c r="I144" s="383"/>
      <c r="J144" s="380">
        <f t="shared" si="42"/>
        <v>0.19571770086680651</v>
      </c>
      <c r="AA144" s="57"/>
      <c r="AB144" s="95"/>
    </row>
    <row r="145" spans="1:28" s="52" customFormat="1" ht="17.25" hidden="1" customHeight="1">
      <c r="A145" s="368"/>
      <c r="B145" s="368"/>
      <c r="C145" s="368">
        <f t="shared" si="44"/>
        <v>23</v>
      </c>
      <c r="D145" s="373">
        <f t="shared" si="41"/>
        <v>18.558484957463428</v>
      </c>
      <c r="E145" s="375">
        <f>C145/100</f>
        <v>0.23</v>
      </c>
      <c r="F145" s="376"/>
      <c r="G145" s="368">
        <v>330</v>
      </c>
      <c r="H145" s="377">
        <f t="shared" si="38"/>
        <v>1.9577840203215311</v>
      </c>
      <c r="I145" s="378"/>
      <c r="J145" s="380">
        <f t="shared" si="42"/>
        <v>0.17929733308484086</v>
      </c>
      <c r="AA145" s="57"/>
      <c r="AB145" s="95"/>
    </row>
    <row r="146" spans="1:28" s="52" customFormat="1" ht="17.25" customHeight="1">
      <c r="A146" s="368"/>
      <c r="B146" s="368"/>
      <c r="C146" s="368">
        <f t="shared" si="44"/>
        <v>20</v>
      </c>
      <c r="D146" s="373">
        <f t="shared" si="41"/>
        <v>18.558484957463428</v>
      </c>
      <c r="E146" s="375">
        <f>C146/100</f>
        <v>0.2</v>
      </c>
      <c r="F146" s="379">
        <v>360</v>
      </c>
      <c r="G146" s="381">
        <v>360</v>
      </c>
      <c r="H146" s="382">
        <f t="shared" si="38"/>
        <v>1.793529415301345</v>
      </c>
      <c r="I146" s="383"/>
      <c r="J146" s="380">
        <f t="shared" si="42"/>
        <v>0.16425460502018607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Input!M46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Input!N45/2/1000</f>
        <v>0.1</v>
      </c>
      <c r="B18" s="150"/>
      <c r="C18" s="151"/>
    </row>
    <row r="19" spans="1:3">
      <c r="A19" s="150">
        <f>Input!M44/2/1000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5</v>
      </c>
      <c r="B23" s="150"/>
      <c r="C23" s="151"/>
    </row>
    <row r="24" spans="1:3">
      <c r="A24" s="152">
        <v>0</v>
      </c>
      <c r="B24" s="152">
        <f>Input!D3</f>
        <v>330</v>
      </c>
      <c r="C24" s="151"/>
    </row>
    <row r="25" spans="1:3">
      <c r="A25" s="152">
        <f>StepTest!D31</f>
        <v>120</v>
      </c>
      <c r="B25" s="152">
        <f>Input!D4</f>
        <v>420</v>
      </c>
      <c r="C25" s="151"/>
    </row>
    <row r="26" spans="1:3">
      <c r="A26" s="152">
        <f>StepTest!D36</f>
        <v>240</v>
      </c>
      <c r="B26" s="152">
        <f>Input!D5</f>
        <v>510</v>
      </c>
      <c r="C26" s="151"/>
    </row>
    <row r="27" spans="1:3">
      <c r="A27" s="152">
        <f>StepTest!D41</f>
        <v>360</v>
      </c>
      <c r="B27" s="152">
        <f>Input!D6</f>
        <v>600</v>
      </c>
      <c r="C27" s="151"/>
    </row>
    <row r="28" spans="1:3">
      <c r="A28" s="152">
        <f>StepTest!D46</f>
        <v>480</v>
      </c>
      <c r="B28" s="152">
        <f>Input!D7</f>
        <v>690</v>
      </c>
      <c r="C28" s="151"/>
    </row>
    <row r="29" spans="1:3">
      <c r="A29" s="150" t="s">
        <v>200</v>
      </c>
      <c r="B29" s="150"/>
      <c r="C29" s="151"/>
    </row>
    <row r="30" spans="1:3">
      <c r="A30" s="150" t="str">
        <f>A15</f>
        <v>W-1</v>
      </c>
      <c r="B30" s="150"/>
      <c r="C30" s="151"/>
    </row>
    <row r="31" spans="1:3">
      <c r="A31" s="153">
        <f>A19</f>
        <v>0.1</v>
      </c>
      <c r="B31" s="150"/>
      <c r="C31" s="151"/>
    </row>
    <row r="32" spans="1:3">
      <c r="A32" s="150">
        <v>0</v>
      </c>
      <c r="B32" s="150"/>
      <c r="C32" s="151"/>
    </row>
    <row r="33" spans="1:3">
      <c r="A33" s="150">
        <v>0</v>
      </c>
      <c r="B33" s="150"/>
      <c r="C33" s="151"/>
    </row>
    <row r="34" spans="1:3">
      <c r="A34" s="152">
        <f>SUM(C35:C134)</f>
        <v>100</v>
      </c>
      <c r="B34" s="150"/>
      <c r="C34" s="151"/>
    </row>
    <row r="35" spans="1:3">
      <c r="A35" s="150">
        <f>Sheet1!A1</f>
        <v>1</v>
      </c>
      <c r="B35" s="151">
        <f>Sheet1!B1</f>
        <v>1</v>
      </c>
      <c r="C35" s="152">
        <v>1</v>
      </c>
    </row>
    <row r="36" spans="1:3">
      <c r="A36" s="150">
        <f>Sheet1!A2</f>
        <v>2</v>
      </c>
      <c r="B36" s="151">
        <f>Sheet1!B2</f>
        <v>1.91</v>
      </c>
      <c r="C36" s="152">
        <v>1</v>
      </c>
    </row>
    <row r="37" spans="1:3">
      <c r="A37" s="150">
        <f>Sheet1!A3</f>
        <v>3</v>
      </c>
      <c r="B37" s="151">
        <f>Sheet1!B3</f>
        <v>2.4500000000000002</v>
      </c>
      <c r="C37" s="152">
        <v>1</v>
      </c>
    </row>
    <row r="38" spans="1:3">
      <c r="A38" s="150">
        <f>Sheet1!A4</f>
        <v>4</v>
      </c>
      <c r="B38" s="151">
        <f>Sheet1!B4</f>
        <v>2.83</v>
      </c>
      <c r="C38" s="152">
        <v>1</v>
      </c>
    </row>
    <row r="39" spans="1:3">
      <c r="A39" s="150">
        <f>Sheet1!A5</f>
        <v>5</v>
      </c>
      <c r="B39" s="151">
        <f>Sheet1!B5</f>
        <v>3.13</v>
      </c>
      <c r="C39" s="152">
        <v>1</v>
      </c>
    </row>
    <row r="40" spans="1:3">
      <c r="A40" s="150">
        <f>Sheet1!A6</f>
        <v>10</v>
      </c>
      <c r="B40" s="151">
        <f>Sheet1!B6</f>
        <v>4.04</v>
      </c>
      <c r="C40" s="152">
        <v>1</v>
      </c>
    </row>
    <row r="41" spans="1:3">
      <c r="A41" s="150">
        <f>Sheet1!A7</f>
        <v>15</v>
      </c>
      <c r="B41" s="151">
        <f>Sheet1!B7</f>
        <v>4.58</v>
      </c>
      <c r="C41" s="152">
        <v>1</v>
      </c>
    </row>
    <row r="42" spans="1:3">
      <c r="A42" s="150">
        <f>Sheet1!A8</f>
        <v>20</v>
      </c>
      <c r="B42" s="151">
        <f>Sheet1!B8</f>
        <v>4.96</v>
      </c>
      <c r="C42" s="152">
        <v>1</v>
      </c>
    </row>
    <row r="43" spans="1:3">
      <c r="A43" s="150">
        <f>Sheet1!A9</f>
        <v>25</v>
      </c>
      <c r="B43" s="151">
        <f>Sheet1!B9</f>
        <v>5.25</v>
      </c>
      <c r="C43" s="152">
        <v>1</v>
      </c>
    </row>
    <row r="44" spans="1:3">
      <c r="A44" s="150">
        <f>Sheet1!A10</f>
        <v>30</v>
      </c>
      <c r="B44" s="151">
        <f>Sheet1!B10</f>
        <v>5.49</v>
      </c>
      <c r="C44" s="152">
        <v>1</v>
      </c>
    </row>
    <row r="45" spans="1:3">
      <c r="A45" s="150">
        <f>Sheet1!A11</f>
        <v>35</v>
      </c>
      <c r="B45" s="151">
        <f>Sheet1!B11</f>
        <v>5.7</v>
      </c>
      <c r="C45" s="152">
        <v>1</v>
      </c>
    </row>
    <row r="46" spans="1:3">
      <c r="A46" s="150">
        <f>Sheet1!A12</f>
        <v>40</v>
      </c>
      <c r="B46" s="151">
        <f>Sheet1!B12</f>
        <v>5.87</v>
      </c>
      <c r="C46" s="152">
        <v>1</v>
      </c>
    </row>
    <row r="47" spans="1:3">
      <c r="A47" s="150">
        <f>Sheet1!A13</f>
        <v>45</v>
      </c>
      <c r="B47" s="151">
        <f>Sheet1!B13</f>
        <v>6.03</v>
      </c>
      <c r="C47" s="152">
        <v>1</v>
      </c>
    </row>
    <row r="48" spans="1:3">
      <c r="A48" s="150">
        <f>Sheet1!A14</f>
        <v>50</v>
      </c>
      <c r="B48" s="151">
        <f>Sheet1!B14</f>
        <v>6.17</v>
      </c>
      <c r="C48" s="152">
        <v>1</v>
      </c>
    </row>
    <row r="49" spans="1:3">
      <c r="A49" s="150">
        <f>Sheet1!A15</f>
        <v>55</v>
      </c>
      <c r="B49" s="151">
        <f>Sheet1!B15</f>
        <v>6.29</v>
      </c>
      <c r="C49" s="152">
        <v>1</v>
      </c>
    </row>
    <row r="50" spans="1:3">
      <c r="A50" s="150">
        <f>Sheet1!A16</f>
        <v>60</v>
      </c>
      <c r="B50" s="151">
        <f>Sheet1!B16</f>
        <v>6.41</v>
      </c>
      <c r="C50" s="152">
        <v>1</v>
      </c>
    </row>
    <row r="51" spans="1:3">
      <c r="A51" s="150">
        <f>Sheet1!A17</f>
        <v>75</v>
      </c>
      <c r="B51" s="151">
        <f>Sheet1!B17</f>
        <v>6.7</v>
      </c>
      <c r="C51" s="152">
        <v>1</v>
      </c>
    </row>
    <row r="52" spans="1:3">
      <c r="A52" s="150">
        <f>Sheet1!A18</f>
        <v>90</v>
      </c>
      <c r="B52" s="151">
        <f>Sheet1!B18</f>
        <v>6.94</v>
      </c>
      <c r="C52" s="152">
        <v>1</v>
      </c>
    </row>
    <row r="53" spans="1:3">
      <c r="A53" s="150">
        <f>Sheet1!A19</f>
        <v>105</v>
      </c>
      <c r="B53" s="151">
        <f>Sheet1!B19</f>
        <v>7.15</v>
      </c>
      <c r="C53" s="152">
        <v>1</v>
      </c>
    </row>
    <row r="54" spans="1:3">
      <c r="A54" s="150">
        <f>Sheet1!A20</f>
        <v>120</v>
      </c>
      <c r="B54" s="151">
        <f>Sheet1!B20</f>
        <v>7.33</v>
      </c>
      <c r="C54" s="152">
        <v>1</v>
      </c>
    </row>
    <row r="55" spans="1:3">
      <c r="A55" s="150">
        <f>Sheet1!A21</f>
        <v>121</v>
      </c>
      <c r="B55" s="151">
        <f>Sheet1!B21</f>
        <v>7.49</v>
      </c>
      <c r="C55" s="152">
        <v>1</v>
      </c>
    </row>
    <row r="56" spans="1:3">
      <c r="A56" s="150">
        <f>Sheet1!A22</f>
        <v>122</v>
      </c>
      <c r="B56" s="151">
        <f>Sheet1!B22</f>
        <v>7.6400000000000006</v>
      </c>
      <c r="C56" s="152">
        <v>1</v>
      </c>
    </row>
    <row r="57" spans="1:3">
      <c r="A57" s="150">
        <f>Sheet1!A23</f>
        <v>123</v>
      </c>
      <c r="B57" s="151">
        <f>Sheet1!B23</f>
        <v>7.78</v>
      </c>
      <c r="C57" s="152">
        <v>1</v>
      </c>
    </row>
    <row r="58" spans="1:3">
      <c r="A58" s="150">
        <f>Sheet1!A24</f>
        <v>124</v>
      </c>
      <c r="B58" s="151">
        <f>Sheet1!B24</f>
        <v>7.91</v>
      </c>
      <c r="C58" s="152">
        <v>1</v>
      </c>
    </row>
    <row r="59" spans="1:3">
      <c r="A59" s="150">
        <f>Sheet1!A25</f>
        <v>125</v>
      </c>
      <c r="B59" s="151">
        <f>Sheet1!B25</f>
        <v>8.0400000000000009</v>
      </c>
      <c r="C59" s="152">
        <v>1</v>
      </c>
    </row>
    <row r="60" spans="1:3">
      <c r="A60" s="150">
        <f>Sheet1!A26</f>
        <v>130</v>
      </c>
      <c r="B60" s="151">
        <f>Sheet1!B26</f>
        <v>8.8000000000000007</v>
      </c>
      <c r="C60" s="152">
        <v>1</v>
      </c>
    </row>
    <row r="61" spans="1:3">
      <c r="A61" s="150">
        <f>Sheet1!A27</f>
        <v>135</v>
      </c>
      <c r="B61" s="151">
        <f>Sheet1!B27</f>
        <v>8.91</v>
      </c>
      <c r="C61" s="152">
        <v>1</v>
      </c>
    </row>
    <row r="62" spans="1:3">
      <c r="A62" s="150">
        <f>Sheet1!A28</f>
        <v>140</v>
      </c>
      <c r="B62" s="151">
        <f>Sheet1!B28</f>
        <v>9.0399999999999991</v>
      </c>
      <c r="C62" s="152">
        <v>1</v>
      </c>
    </row>
    <row r="63" spans="1:3">
      <c r="A63" s="150">
        <f>Sheet1!A29</f>
        <v>145</v>
      </c>
      <c r="B63" s="151">
        <f>Sheet1!B29</f>
        <v>9.1399999999999988</v>
      </c>
      <c r="C63" s="152">
        <v>1</v>
      </c>
    </row>
    <row r="64" spans="1:3">
      <c r="A64" s="150">
        <f>Sheet1!A30</f>
        <v>150</v>
      </c>
      <c r="B64" s="151">
        <f>Sheet1!B30</f>
        <v>9.2899999999999991</v>
      </c>
      <c r="C64" s="152">
        <v>1</v>
      </c>
    </row>
    <row r="65" spans="1:3">
      <c r="A65" s="150">
        <f>Sheet1!A31</f>
        <v>155</v>
      </c>
      <c r="B65" s="151">
        <f>Sheet1!B31</f>
        <v>9.35</v>
      </c>
      <c r="C65" s="152">
        <v>1</v>
      </c>
    </row>
    <row r="66" spans="1:3">
      <c r="A66" s="150">
        <f>Sheet1!A32</f>
        <v>160</v>
      </c>
      <c r="B66" s="151">
        <f>Sheet1!B32</f>
        <v>9.4</v>
      </c>
      <c r="C66" s="152">
        <v>1</v>
      </c>
    </row>
    <row r="67" spans="1:3">
      <c r="A67" s="150">
        <f>Sheet1!A33</f>
        <v>165</v>
      </c>
      <c r="B67" s="151">
        <f>Sheet1!B33</f>
        <v>9.44</v>
      </c>
      <c r="C67" s="152">
        <v>1</v>
      </c>
    </row>
    <row r="68" spans="1:3">
      <c r="A68" s="150">
        <f>Sheet1!A34</f>
        <v>170</v>
      </c>
      <c r="B68" s="151">
        <f>Sheet1!B34</f>
        <v>9.4699999999999989</v>
      </c>
      <c r="C68" s="152">
        <v>1</v>
      </c>
    </row>
    <row r="69" spans="1:3">
      <c r="A69" s="150">
        <f>Sheet1!A35</f>
        <v>175</v>
      </c>
      <c r="B69" s="151">
        <f>Sheet1!B35</f>
        <v>9.4899999999999984</v>
      </c>
      <c r="C69" s="152">
        <v>1</v>
      </c>
    </row>
    <row r="70" spans="1:3">
      <c r="A70" s="150">
        <f>Sheet1!A36</f>
        <v>180</v>
      </c>
      <c r="B70" s="151">
        <f>Sheet1!B36</f>
        <v>9.5299999999999994</v>
      </c>
      <c r="C70" s="152">
        <v>1</v>
      </c>
    </row>
    <row r="71" spans="1:3">
      <c r="A71" s="150">
        <f>Sheet1!A37</f>
        <v>195</v>
      </c>
      <c r="B71" s="151">
        <f>Sheet1!B37</f>
        <v>9.6</v>
      </c>
      <c r="C71" s="152">
        <v>1</v>
      </c>
    </row>
    <row r="72" spans="1:3">
      <c r="A72" s="150">
        <f>Sheet1!A38</f>
        <v>210</v>
      </c>
      <c r="B72" s="151">
        <f>Sheet1!B38</f>
        <v>9.66</v>
      </c>
      <c r="C72" s="152">
        <v>1</v>
      </c>
    </row>
    <row r="73" spans="1:3">
      <c r="A73" s="150">
        <f>Sheet1!A39</f>
        <v>225</v>
      </c>
      <c r="B73" s="151">
        <f>Sheet1!B39</f>
        <v>9.7100000000000009</v>
      </c>
      <c r="C73" s="152">
        <v>1</v>
      </c>
    </row>
    <row r="74" spans="1:3">
      <c r="A74" s="150">
        <f>Sheet1!A40</f>
        <v>240</v>
      </c>
      <c r="B74" s="151">
        <f>Sheet1!B40</f>
        <v>9.7799999999999994</v>
      </c>
      <c r="C74" s="152">
        <v>1</v>
      </c>
    </row>
    <row r="75" spans="1:3">
      <c r="A75" s="150">
        <f>Sheet1!A41</f>
        <v>241</v>
      </c>
      <c r="B75" s="151">
        <f>Sheet1!B41</f>
        <v>9.9599999999999991</v>
      </c>
      <c r="C75" s="152">
        <v>1</v>
      </c>
    </row>
    <row r="76" spans="1:3">
      <c r="A76" s="150">
        <f>Sheet1!A42</f>
        <v>242</v>
      </c>
      <c r="B76" s="151">
        <f>Sheet1!B42</f>
        <v>10.119999999999999</v>
      </c>
      <c r="C76" s="152">
        <v>1</v>
      </c>
    </row>
    <row r="77" spans="1:3">
      <c r="A77" s="150">
        <f>Sheet1!A43</f>
        <v>243</v>
      </c>
      <c r="B77" s="151">
        <f>Sheet1!B43</f>
        <v>10.27</v>
      </c>
      <c r="C77" s="152">
        <v>1</v>
      </c>
    </row>
    <row r="78" spans="1:3">
      <c r="A78" s="150">
        <f>Sheet1!A44</f>
        <v>244</v>
      </c>
      <c r="B78" s="151">
        <f>Sheet1!B44</f>
        <v>10.41</v>
      </c>
      <c r="C78" s="152">
        <v>1</v>
      </c>
    </row>
    <row r="79" spans="1:3">
      <c r="A79" s="150">
        <f>Sheet1!A45</f>
        <v>245</v>
      </c>
      <c r="B79" s="151">
        <f>Sheet1!B45</f>
        <v>10.540000000000001</v>
      </c>
      <c r="C79" s="152">
        <v>1</v>
      </c>
    </row>
    <row r="80" spans="1:3">
      <c r="A80" s="150">
        <f>Sheet1!A46</f>
        <v>250</v>
      </c>
      <c r="B80" s="151">
        <f>Sheet1!B46</f>
        <v>11.43</v>
      </c>
      <c r="C80" s="152">
        <v>1</v>
      </c>
    </row>
    <row r="81" spans="1:3">
      <c r="A81" s="150">
        <f>Sheet1!A47</f>
        <v>255</v>
      </c>
      <c r="B81" s="151">
        <f>Sheet1!B47</f>
        <v>11.54</v>
      </c>
      <c r="C81" s="152">
        <v>1</v>
      </c>
    </row>
    <row r="82" spans="1:3">
      <c r="A82" s="150">
        <f>Sheet1!A48</f>
        <v>260</v>
      </c>
      <c r="B82" s="151">
        <f>Sheet1!B48</f>
        <v>11.7</v>
      </c>
      <c r="C82" s="152">
        <v>1</v>
      </c>
    </row>
    <row r="83" spans="1:3">
      <c r="A83" s="150">
        <f>Sheet1!A49</f>
        <v>265</v>
      </c>
      <c r="B83" s="151">
        <f>Sheet1!B49</f>
        <v>11.809999999999999</v>
      </c>
      <c r="C83" s="152">
        <v>1</v>
      </c>
    </row>
    <row r="84" spans="1:3">
      <c r="A84" s="150">
        <f>Sheet1!A50</f>
        <v>270</v>
      </c>
      <c r="B84" s="151">
        <f>Sheet1!B50</f>
        <v>11.98</v>
      </c>
      <c r="C84" s="152">
        <v>1</v>
      </c>
    </row>
    <row r="85" spans="1:3">
      <c r="A85" s="150">
        <f>Sheet1!A51</f>
        <v>275</v>
      </c>
      <c r="B85" s="151">
        <f>Sheet1!B51</f>
        <v>12.05</v>
      </c>
      <c r="C85" s="152">
        <v>1</v>
      </c>
    </row>
    <row r="86" spans="1:3">
      <c r="A86" s="150">
        <f>Sheet1!A52</f>
        <v>280</v>
      </c>
      <c r="B86" s="151">
        <f>Sheet1!B52</f>
        <v>12.100000000000001</v>
      </c>
      <c r="C86" s="152">
        <v>1</v>
      </c>
    </row>
    <row r="87" spans="1:3">
      <c r="A87" s="150">
        <f>Sheet1!A53</f>
        <v>285</v>
      </c>
      <c r="B87" s="151">
        <f>Sheet1!B53</f>
        <v>12.14</v>
      </c>
      <c r="C87" s="152">
        <v>1</v>
      </c>
    </row>
    <row r="88" spans="1:3">
      <c r="A88" s="150">
        <f>Sheet1!A54</f>
        <v>290</v>
      </c>
      <c r="B88" s="151">
        <f>Sheet1!B54</f>
        <v>12.17</v>
      </c>
      <c r="C88" s="152">
        <v>1</v>
      </c>
    </row>
    <row r="89" spans="1:3">
      <c r="A89" s="150">
        <f>Sheet1!A55</f>
        <v>295</v>
      </c>
      <c r="B89" s="151">
        <f>Sheet1!B55</f>
        <v>12.19</v>
      </c>
      <c r="C89" s="152">
        <v>1</v>
      </c>
    </row>
    <row r="90" spans="1:3">
      <c r="A90" s="150">
        <f>Sheet1!A56</f>
        <v>300</v>
      </c>
      <c r="B90" s="151">
        <f>Sheet1!B56</f>
        <v>12.25</v>
      </c>
      <c r="C90" s="152">
        <v>1</v>
      </c>
    </row>
    <row r="91" spans="1:3">
      <c r="A91" s="150">
        <f>Sheet1!A57</f>
        <v>315</v>
      </c>
      <c r="B91" s="151">
        <f>Sheet1!B57</f>
        <v>12.33</v>
      </c>
      <c r="C91" s="152">
        <v>1</v>
      </c>
    </row>
    <row r="92" spans="1:3">
      <c r="A92" s="150">
        <f>Sheet1!A58</f>
        <v>330</v>
      </c>
      <c r="B92" s="151">
        <f>Sheet1!B58</f>
        <v>12.39</v>
      </c>
      <c r="C92" s="152">
        <v>1</v>
      </c>
    </row>
    <row r="93" spans="1:3">
      <c r="A93" s="150">
        <f>Sheet1!A59</f>
        <v>345</v>
      </c>
      <c r="B93" s="151">
        <f>Sheet1!B59</f>
        <v>12.440000000000001</v>
      </c>
      <c r="C93" s="152">
        <v>1</v>
      </c>
    </row>
    <row r="94" spans="1:3">
      <c r="A94" s="150">
        <f>Sheet1!A60</f>
        <v>360</v>
      </c>
      <c r="B94" s="151">
        <f>Sheet1!B60</f>
        <v>12.53</v>
      </c>
      <c r="C94" s="152">
        <v>1</v>
      </c>
    </row>
    <row r="95" spans="1:3">
      <c r="A95" s="150">
        <f>Sheet1!A61</f>
        <v>361</v>
      </c>
      <c r="B95" s="151">
        <f>Sheet1!B61</f>
        <v>12.719999999999999</v>
      </c>
      <c r="C95" s="152">
        <v>1</v>
      </c>
    </row>
    <row r="96" spans="1:3">
      <c r="A96" s="150">
        <f>Sheet1!A62</f>
        <v>362</v>
      </c>
      <c r="B96" s="151">
        <f>Sheet1!B62</f>
        <v>12.889999999999999</v>
      </c>
      <c r="C96" s="152">
        <v>1</v>
      </c>
    </row>
    <row r="97" spans="1:3">
      <c r="A97" s="150">
        <f>Sheet1!A63</f>
        <v>363</v>
      </c>
      <c r="B97" s="151">
        <f>Sheet1!B63</f>
        <v>13.049999999999999</v>
      </c>
      <c r="C97" s="152">
        <v>1</v>
      </c>
    </row>
    <row r="98" spans="1:3">
      <c r="A98" s="150">
        <f>Sheet1!A64</f>
        <v>364</v>
      </c>
      <c r="B98" s="151">
        <f>Sheet1!B64</f>
        <v>13.2</v>
      </c>
      <c r="C98" s="152">
        <v>1</v>
      </c>
    </row>
    <row r="99" spans="1:3">
      <c r="A99" s="150">
        <f>Sheet1!A65</f>
        <v>365</v>
      </c>
      <c r="B99" s="151">
        <f>Sheet1!B65</f>
        <v>13.34</v>
      </c>
      <c r="C99" s="152">
        <v>1</v>
      </c>
    </row>
    <row r="100" spans="1:3">
      <c r="A100" s="150">
        <f>Sheet1!A66</f>
        <v>370</v>
      </c>
      <c r="B100" s="151">
        <f>Sheet1!B66</f>
        <v>14.37</v>
      </c>
      <c r="C100" s="152">
        <v>1</v>
      </c>
    </row>
    <row r="101" spans="1:3">
      <c r="A101" s="150">
        <f>Sheet1!A67</f>
        <v>375</v>
      </c>
      <c r="B101" s="151">
        <f>Sheet1!B67</f>
        <v>14.489999999999998</v>
      </c>
      <c r="C101" s="152">
        <v>1</v>
      </c>
    </row>
    <row r="102" spans="1:3">
      <c r="A102" s="150">
        <f>Sheet1!A68</f>
        <v>380</v>
      </c>
      <c r="B102" s="151">
        <f>Sheet1!B68</f>
        <v>14.67</v>
      </c>
      <c r="C102" s="152">
        <v>1</v>
      </c>
    </row>
    <row r="103" spans="1:3">
      <c r="A103" s="150">
        <f>Sheet1!A69</f>
        <v>385</v>
      </c>
      <c r="B103" s="151">
        <f>Sheet1!B69</f>
        <v>14.79</v>
      </c>
      <c r="C103" s="152">
        <v>1</v>
      </c>
    </row>
    <row r="104" spans="1:3">
      <c r="A104" s="150">
        <f>Sheet1!A70</f>
        <v>390</v>
      </c>
      <c r="B104" s="151">
        <f>Sheet1!B70</f>
        <v>14.98</v>
      </c>
      <c r="C104" s="152">
        <v>1</v>
      </c>
    </row>
    <row r="105" spans="1:3">
      <c r="A105" s="150">
        <f>Sheet1!A71</f>
        <v>395</v>
      </c>
      <c r="B105" s="151">
        <f>Sheet1!B71</f>
        <v>15.05</v>
      </c>
      <c r="C105" s="152">
        <v>1</v>
      </c>
    </row>
    <row r="106" spans="1:3">
      <c r="A106" s="150">
        <f>Sheet1!A72</f>
        <v>400</v>
      </c>
      <c r="B106" s="151">
        <f>Sheet1!B72</f>
        <v>15.100000000000001</v>
      </c>
      <c r="C106" s="152">
        <v>1</v>
      </c>
    </row>
    <row r="107" spans="1:3">
      <c r="A107" s="150">
        <f>Sheet1!A73</f>
        <v>405</v>
      </c>
      <c r="B107" s="151">
        <f>Sheet1!B73</f>
        <v>15.14</v>
      </c>
      <c r="C107" s="152">
        <v>1</v>
      </c>
    </row>
    <row r="108" spans="1:3">
      <c r="A108" s="150">
        <f>Sheet1!A74</f>
        <v>410</v>
      </c>
      <c r="B108" s="151">
        <f>Sheet1!B74</f>
        <v>15.17</v>
      </c>
      <c r="C108" s="152">
        <v>1</v>
      </c>
    </row>
    <row r="109" spans="1:3">
      <c r="A109" s="150">
        <f>Sheet1!A75</f>
        <v>415</v>
      </c>
      <c r="B109" s="151">
        <f>Sheet1!B75</f>
        <v>15.2</v>
      </c>
      <c r="C109" s="152">
        <v>1</v>
      </c>
    </row>
    <row r="110" spans="1:3">
      <c r="A110" s="150">
        <f>Sheet1!A76</f>
        <v>420</v>
      </c>
      <c r="B110" s="151">
        <f>Sheet1!B76</f>
        <v>15.29</v>
      </c>
      <c r="C110" s="152">
        <v>1</v>
      </c>
    </row>
    <row r="111" spans="1:3">
      <c r="A111" s="150">
        <f>Sheet1!A77</f>
        <v>435</v>
      </c>
      <c r="B111" s="151">
        <f>Sheet1!B77</f>
        <v>15.379999999999999</v>
      </c>
      <c r="C111" s="152">
        <v>1</v>
      </c>
    </row>
    <row r="112" spans="1:3">
      <c r="A112" s="150">
        <f>Sheet1!A78</f>
        <v>450</v>
      </c>
      <c r="B112" s="151">
        <f>Sheet1!B78</f>
        <v>15.45</v>
      </c>
      <c r="C112" s="152">
        <v>1</v>
      </c>
    </row>
    <row r="113" spans="1:3">
      <c r="A113" s="150">
        <f>Sheet1!A79</f>
        <v>465</v>
      </c>
      <c r="B113" s="151">
        <f>Sheet1!B79</f>
        <v>15.5</v>
      </c>
      <c r="C113" s="152">
        <v>1</v>
      </c>
    </row>
    <row r="114" spans="1:3">
      <c r="A114" s="150">
        <f>Sheet1!A80</f>
        <v>480</v>
      </c>
      <c r="B114" s="151">
        <f>Sheet1!B80</f>
        <v>15.6</v>
      </c>
      <c r="C114" s="152">
        <v>1</v>
      </c>
    </row>
    <row r="115" spans="1:3">
      <c r="A115" s="150">
        <f>Sheet1!A81</f>
        <v>481</v>
      </c>
      <c r="B115" s="151">
        <f>Sheet1!B81</f>
        <v>15.81</v>
      </c>
      <c r="C115" s="152">
        <v>1</v>
      </c>
    </row>
    <row r="116" spans="1:3">
      <c r="A116" s="150">
        <f>Sheet1!A82</f>
        <v>482</v>
      </c>
      <c r="B116" s="151">
        <f>Sheet1!B82</f>
        <v>16</v>
      </c>
      <c r="C116" s="152">
        <v>1</v>
      </c>
    </row>
    <row r="117" spans="1:3">
      <c r="A117" s="150">
        <f>Sheet1!A83</f>
        <v>483</v>
      </c>
      <c r="B117" s="151">
        <f>Sheet1!B83</f>
        <v>16.170000000000002</v>
      </c>
      <c r="C117" s="152">
        <v>1</v>
      </c>
    </row>
    <row r="118" spans="1:3">
      <c r="A118" s="150">
        <f>Sheet1!A84</f>
        <v>484</v>
      </c>
      <c r="B118" s="151">
        <f>Sheet1!B84</f>
        <v>16.330000000000002</v>
      </c>
      <c r="C118" s="152">
        <v>1</v>
      </c>
    </row>
    <row r="119" spans="1:3">
      <c r="A119" s="150">
        <f>Sheet1!A85</f>
        <v>485</v>
      </c>
      <c r="B119" s="151">
        <f>Sheet1!B85</f>
        <v>16.470000000000002</v>
      </c>
      <c r="C119" s="152">
        <v>1</v>
      </c>
    </row>
    <row r="120" spans="1:3">
      <c r="A120" s="150">
        <f>Sheet1!A86</f>
        <v>490</v>
      </c>
      <c r="B120" s="151">
        <f>Sheet1!B86</f>
        <v>17.47</v>
      </c>
      <c r="C120" s="152">
        <v>1</v>
      </c>
    </row>
    <row r="121" spans="1:3">
      <c r="A121" s="150">
        <f>Sheet1!A87</f>
        <v>495</v>
      </c>
      <c r="B121" s="151">
        <f>Sheet1!B87</f>
        <v>17.779999999999998</v>
      </c>
      <c r="C121" s="152">
        <v>1</v>
      </c>
    </row>
    <row r="122" spans="1:3">
      <c r="A122" s="150">
        <f>Sheet1!A88</f>
        <v>500</v>
      </c>
      <c r="B122" s="151">
        <f>Sheet1!B88</f>
        <v>18.170000000000002</v>
      </c>
      <c r="C122" s="152">
        <v>1</v>
      </c>
    </row>
    <row r="123" spans="1:3">
      <c r="A123" s="150">
        <f>Sheet1!A89</f>
        <v>505</v>
      </c>
      <c r="B123" s="151">
        <f>Sheet1!B89</f>
        <v>18.470000000000002</v>
      </c>
      <c r="C123" s="152">
        <v>1</v>
      </c>
    </row>
    <row r="124" spans="1:3">
      <c r="A124" s="150">
        <f>Sheet1!A90</f>
        <v>510</v>
      </c>
      <c r="B124" s="151">
        <f>Sheet1!B90</f>
        <v>18.87</v>
      </c>
      <c r="C124" s="152">
        <v>1</v>
      </c>
    </row>
    <row r="125" spans="1:3">
      <c r="A125" s="150">
        <f>Sheet1!A91</f>
        <v>515</v>
      </c>
      <c r="B125" s="151">
        <f>Sheet1!B91</f>
        <v>19.02</v>
      </c>
      <c r="C125" s="152">
        <v>1</v>
      </c>
    </row>
    <row r="126" spans="1:3">
      <c r="A126" s="150">
        <f>Sheet1!A92</f>
        <v>520</v>
      </c>
      <c r="B126" s="151">
        <f>Sheet1!B92</f>
        <v>19.149999999999999</v>
      </c>
      <c r="C126" s="152">
        <v>1</v>
      </c>
    </row>
    <row r="127" spans="1:3">
      <c r="A127" s="150">
        <f>Sheet1!A93</f>
        <v>525</v>
      </c>
      <c r="B127" s="151">
        <f>Sheet1!B93</f>
        <v>19.259999999999998</v>
      </c>
      <c r="C127" s="152">
        <v>1</v>
      </c>
    </row>
    <row r="128" spans="1:3">
      <c r="A128" s="150">
        <f>Sheet1!A94</f>
        <v>530</v>
      </c>
      <c r="B128" s="151">
        <f>Sheet1!B94</f>
        <v>19.339999999999996</v>
      </c>
      <c r="C128" s="152">
        <v>1</v>
      </c>
    </row>
    <row r="129" spans="1:3">
      <c r="A129" s="150">
        <f>Sheet1!A95</f>
        <v>535</v>
      </c>
      <c r="B129" s="151">
        <f>Sheet1!B95</f>
        <v>19.409999999999997</v>
      </c>
      <c r="C129" s="152">
        <v>1</v>
      </c>
    </row>
    <row r="130" spans="1:3">
      <c r="A130" s="150">
        <f>Sheet1!A96</f>
        <v>540</v>
      </c>
      <c r="B130" s="151">
        <f>Sheet1!B96</f>
        <v>19.57</v>
      </c>
      <c r="C130" s="152">
        <v>1</v>
      </c>
    </row>
    <row r="131" spans="1:3">
      <c r="A131" s="150">
        <f>Sheet1!A97</f>
        <v>555</v>
      </c>
      <c r="B131" s="151">
        <f>Sheet1!B97</f>
        <v>19.760000000000002</v>
      </c>
      <c r="C131" s="152">
        <v>1</v>
      </c>
    </row>
    <row r="132" spans="1:3">
      <c r="A132" s="150">
        <f>Sheet1!A98</f>
        <v>570</v>
      </c>
      <c r="B132" s="151">
        <f>Sheet1!B98</f>
        <v>19.920000000000002</v>
      </c>
      <c r="C132" s="152">
        <v>1</v>
      </c>
    </row>
    <row r="133" spans="1:3">
      <c r="A133" s="150">
        <f>Sheet1!A99</f>
        <v>585</v>
      </c>
      <c r="B133" s="151">
        <f>Sheet1!B99</f>
        <v>20.060000000000002</v>
      </c>
      <c r="C133" s="152">
        <v>1</v>
      </c>
    </row>
    <row r="134" spans="1:3">
      <c r="A134" s="150">
        <f>Sheet1!A100</f>
        <v>600</v>
      </c>
      <c r="B134" s="151">
        <f>Sheet1!B100</f>
        <v>20.28</v>
      </c>
      <c r="C134" s="152">
        <v>1</v>
      </c>
    </row>
    <row r="135" spans="1:3">
      <c r="A135" s="150" t="s">
        <v>201</v>
      </c>
      <c r="B135" s="151"/>
      <c r="C135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1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0" t="s">
        <v>200</v>
      </c>
      <c r="B25" s="150"/>
      <c r="C25" s="151"/>
    </row>
    <row r="26" spans="1:3">
      <c r="A26" s="150" t="str">
        <f>A15</f>
        <v>W-1</v>
      </c>
      <c r="B26" s="150"/>
      <c r="C26" s="151"/>
    </row>
    <row r="27" spans="1:3">
      <c r="A27" s="153">
        <f>SkinFactor!C8</f>
        <v>2.41</v>
      </c>
      <c r="B27" s="150"/>
      <c r="C27" s="151"/>
    </row>
    <row r="28" spans="1:3">
      <c r="A28" s="150">
        <v>0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2">
        <f>SUM(C31:C98)</f>
        <v>68</v>
      </c>
      <c r="B30" s="150"/>
      <c r="C30" s="151"/>
    </row>
    <row r="31" spans="1:3">
      <c r="A31" s="150">
        <f>LongTest!D10</f>
        <v>1</v>
      </c>
      <c r="B31" s="154">
        <f>LongTest!G10</f>
        <v>5.4139095456310251</v>
      </c>
      <c r="C31" s="152">
        <v>1</v>
      </c>
    </row>
    <row r="32" spans="1:3">
      <c r="A32" s="150">
        <f>LongTest!D11</f>
        <v>2</v>
      </c>
      <c r="B32" s="154">
        <f>LongTest!G11</f>
        <v>7.0112925851934484</v>
      </c>
      <c r="C32" s="152">
        <v>1</v>
      </c>
    </row>
    <row r="33" spans="1:3">
      <c r="A33" s="150">
        <f>LongTest!D12</f>
        <v>3</v>
      </c>
      <c r="B33" s="154">
        <f>LongTest!G12</f>
        <v>7.9457017626254469</v>
      </c>
      <c r="C33" s="152">
        <v>1</v>
      </c>
    </row>
    <row r="34" spans="1:3">
      <c r="A34" s="150">
        <f>LongTest!D13</f>
        <v>4</v>
      </c>
      <c r="B34" s="154">
        <f>LongTest!G13</f>
        <v>8.6086756247558718</v>
      </c>
      <c r="C34" s="152">
        <v>1</v>
      </c>
    </row>
    <row r="35" spans="1:3">
      <c r="A35" s="150">
        <f>LongTest!D14</f>
        <v>5</v>
      </c>
      <c r="B35" s="154">
        <f>LongTest!G14</f>
        <v>9.1229181034875921</v>
      </c>
      <c r="C35" s="152">
        <v>1</v>
      </c>
    </row>
    <row r="36" spans="1:3">
      <c r="A36" s="150">
        <f>LongTest!D15</f>
        <v>10</v>
      </c>
      <c r="B36" s="154">
        <f>LongTest!G15</f>
        <v>10.720301143050019</v>
      </c>
      <c r="C36" s="152">
        <v>1</v>
      </c>
    </row>
    <row r="37" spans="1:3">
      <c r="A37" s="150">
        <f>LongTest!D16</f>
        <v>15</v>
      </c>
      <c r="B37" s="154">
        <f>LongTest!G16</f>
        <v>11.65471032048201</v>
      </c>
      <c r="C37" s="152">
        <v>1</v>
      </c>
    </row>
    <row r="38" spans="1:3">
      <c r="A38" s="150">
        <f>LongTest!D17</f>
        <v>20</v>
      </c>
      <c r="B38" s="154">
        <f>LongTest!G17</f>
        <v>12.317684182612442</v>
      </c>
      <c r="C38" s="152">
        <v>1</v>
      </c>
    </row>
    <row r="39" spans="1:3">
      <c r="A39" s="150">
        <f>LongTest!D18</f>
        <v>25</v>
      </c>
      <c r="B39" s="154">
        <f>LongTest!G18</f>
        <v>12.831926661344159</v>
      </c>
      <c r="C39" s="152">
        <v>1</v>
      </c>
    </row>
    <row r="40" spans="1:3">
      <c r="A40" s="150">
        <f>LongTest!D19</f>
        <v>30</v>
      </c>
      <c r="B40" s="154">
        <f>LongTest!G19</f>
        <v>13.252093360044437</v>
      </c>
      <c r="C40" s="152">
        <v>1</v>
      </c>
    </row>
    <row r="41" spans="1:3">
      <c r="A41" s="150">
        <f>LongTest!D20</f>
        <v>35</v>
      </c>
      <c r="B41" s="154">
        <f>LongTest!G20</f>
        <v>13.607339242014497</v>
      </c>
      <c r="C41" s="152">
        <v>1</v>
      </c>
    </row>
    <row r="42" spans="1:3">
      <c r="A42" s="150">
        <f>LongTest!D21</f>
        <v>40</v>
      </c>
      <c r="B42" s="154">
        <f>LongTest!G21</f>
        <v>13.915067222174862</v>
      </c>
      <c r="C42" s="152">
        <v>1</v>
      </c>
    </row>
    <row r="43" spans="1:3">
      <c r="A43" s="150">
        <f>LongTest!D22</f>
        <v>45</v>
      </c>
      <c r="B43" s="154">
        <f>LongTest!G22</f>
        <v>14.186502537476436</v>
      </c>
      <c r="C43" s="152">
        <v>1</v>
      </c>
    </row>
    <row r="44" spans="1:3">
      <c r="A44" s="150">
        <f>LongTest!D23</f>
        <v>50</v>
      </c>
      <c r="B44" s="154">
        <f>LongTest!G23</f>
        <v>14.429309700906582</v>
      </c>
      <c r="C44" s="152">
        <v>1</v>
      </c>
    </row>
    <row r="45" spans="1:3">
      <c r="A45" s="150">
        <f>LongTest!D24</f>
        <v>55</v>
      </c>
      <c r="B45" s="154">
        <f>LongTest!G24</f>
        <v>14.648955497624794</v>
      </c>
      <c r="C45" s="152">
        <v>1</v>
      </c>
    </row>
    <row r="46" spans="1:3">
      <c r="A46" s="150">
        <f>LongTest!D25</f>
        <v>60</v>
      </c>
      <c r="B46" s="154">
        <f>LongTest!G25</f>
        <v>14.849476399606861</v>
      </c>
      <c r="C46" s="152">
        <v>1</v>
      </c>
    </row>
    <row r="47" spans="1:3">
      <c r="A47" s="150">
        <f>LongTest!D26</f>
        <v>75</v>
      </c>
      <c r="B47" s="154">
        <f>LongTest!G26</f>
        <v>15.363718878338577</v>
      </c>
      <c r="C47" s="152">
        <v>1</v>
      </c>
    </row>
    <row r="48" spans="1:3">
      <c r="A48" s="150">
        <f>LongTest!D27</f>
        <v>90</v>
      </c>
      <c r="B48" s="154">
        <f>LongTest!G27</f>
        <v>15.783885577038859</v>
      </c>
      <c r="C48" s="152">
        <v>1</v>
      </c>
    </row>
    <row r="49" spans="1:3">
      <c r="A49" s="150">
        <f>LongTest!D28</f>
        <v>105</v>
      </c>
      <c r="B49" s="154">
        <f>LongTest!G28</f>
        <v>16.139131459008922</v>
      </c>
      <c r="C49" s="152">
        <v>1</v>
      </c>
    </row>
    <row r="50" spans="1:3">
      <c r="A50" s="150">
        <f>LongTest!D29</f>
        <v>120</v>
      </c>
      <c r="B50" s="154">
        <f>LongTest!G29</f>
        <v>16.446859439169287</v>
      </c>
      <c r="C50" s="152">
        <v>1</v>
      </c>
    </row>
    <row r="51" spans="1:3">
      <c r="A51" s="150">
        <f>LongTest!D30</f>
        <v>140</v>
      </c>
      <c r="B51" s="154">
        <f>LongTest!G30</f>
        <v>16.802105321139351</v>
      </c>
      <c r="C51" s="152">
        <v>1</v>
      </c>
    </row>
    <row r="52" spans="1:3">
      <c r="A52" s="150">
        <f>LongTest!D31</f>
        <v>160</v>
      </c>
      <c r="B52" s="154">
        <f>LongTest!G31</f>
        <v>17.109833301299716</v>
      </c>
      <c r="C52" s="152">
        <v>1</v>
      </c>
    </row>
    <row r="53" spans="1:3">
      <c r="A53" s="150">
        <f>LongTest!D32</f>
        <v>180</v>
      </c>
      <c r="B53" s="154">
        <f>LongTest!G32</f>
        <v>17.381268616601286</v>
      </c>
      <c r="C53" s="152">
        <v>1</v>
      </c>
    </row>
    <row r="54" spans="1:3">
      <c r="A54" s="150">
        <f>LongTest!D33</f>
        <v>240</v>
      </c>
      <c r="B54" s="154">
        <f>LongTest!G33</f>
        <v>18.044242478731714</v>
      </c>
      <c r="C54" s="152">
        <v>1</v>
      </c>
    </row>
    <row r="55" spans="1:3">
      <c r="A55" s="150">
        <f>LongTest!D34</f>
        <v>300</v>
      </c>
      <c r="B55" s="154">
        <f>LongTest!G34</f>
        <v>18.558484957463428</v>
      </c>
      <c r="C55" s="152">
        <v>1</v>
      </c>
    </row>
    <row r="56" spans="1:3">
      <c r="A56" s="150">
        <f>LongTest!D35</f>
        <v>360</v>
      </c>
      <c r="B56" s="154">
        <f>LongTest!G35</f>
        <v>18.558484957463428</v>
      </c>
      <c r="C56" s="152">
        <v>1</v>
      </c>
    </row>
    <row r="57" spans="1:3">
      <c r="A57" s="150">
        <f>LongTest!D36</f>
        <v>420</v>
      </c>
      <c r="B57" s="154">
        <f>LongTest!G36</f>
        <v>18.558484957463428</v>
      </c>
      <c r="C57" s="152">
        <v>1</v>
      </c>
    </row>
    <row r="58" spans="1:3">
      <c r="A58" s="150">
        <f>LongTest!D37</f>
        <v>480</v>
      </c>
      <c r="B58" s="154">
        <f>LongTest!G37</f>
        <v>18.558484957463428</v>
      </c>
      <c r="C58" s="152">
        <v>1</v>
      </c>
    </row>
    <row r="59" spans="1:3">
      <c r="A59" s="150">
        <f>LongTest!D38</f>
        <v>540</v>
      </c>
      <c r="B59" s="154">
        <f>LongTest!G38</f>
        <v>18.558484957463428</v>
      </c>
      <c r="C59" s="152">
        <v>1</v>
      </c>
    </row>
    <row r="60" spans="1:3">
      <c r="A60" s="150">
        <f>LongTest!D39</f>
        <v>600</v>
      </c>
      <c r="B60" s="154">
        <f>LongTest!G39</f>
        <v>18.558484957463428</v>
      </c>
      <c r="C60" s="152">
        <v>1</v>
      </c>
    </row>
    <row r="61" spans="1:3">
      <c r="A61" s="150">
        <f>LongTest!D40</f>
        <v>660</v>
      </c>
      <c r="B61" s="154">
        <f>LongTest!G40</f>
        <v>18.558484957463428</v>
      </c>
      <c r="C61" s="152">
        <v>1</v>
      </c>
    </row>
    <row r="62" spans="1:3">
      <c r="A62" s="150">
        <f>LongTest!D41</f>
        <v>720</v>
      </c>
      <c r="B62" s="154">
        <f>LongTest!G41</f>
        <v>18.558484957463428</v>
      </c>
      <c r="C62" s="152">
        <v>1</v>
      </c>
    </row>
    <row r="63" spans="1:3">
      <c r="A63" s="150">
        <f>LongTest!D42</f>
        <v>780</v>
      </c>
      <c r="B63" s="154">
        <f>LongTest!G42</f>
        <v>18.558484957463428</v>
      </c>
      <c r="C63" s="152">
        <v>1</v>
      </c>
    </row>
    <row r="64" spans="1:3">
      <c r="A64" s="150">
        <f>LongTest!D43</f>
        <v>840</v>
      </c>
      <c r="B64" s="154">
        <f>LongTest!G43</f>
        <v>18.558484957463428</v>
      </c>
      <c r="C64" s="152">
        <v>1</v>
      </c>
    </row>
    <row r="65" spans="1:3">
      <c r="A65" s="150">
        <f>LongTest!D44</f>
        <v>900</v>
      </c>
      <c r="B65" s="154">
        <f>LongTest!G44</f>
        <v>18.558484957463428</v>
      </c>
      <c r="C65" s="152">
        <v>1</v>
      </c>
    </row>
    <row r="66" spans="1:3">
      <c r="A66" s="150">
        <f>LongTest!D45</f>
        <v>960</v>
      </c>
      <c r="B66" s="154">
        <f>LongTest!G45</f>
        <v>18.558484957463428</v>
      </c>
      <c r="C66" s="152">
        <v>1</v>
      </c>
    </row>
    <row r="67" spans="1:3">
      <c r="A67" s="150">
        <f>LongTest!D46</f>
        <v>1020</v>
      </c>
      <c r="B67" s="154">
        <f>LongTest!G46</f>
        <v>18.558484957463428</v>
      </c>
      <c r="C67" s="152">
        <v>1</v>
      </c>
    </row>
    <row r="68" spans="1:3">
      <c r="A68" s="150">
        <f>LongTest!D47</f>
        <v>1080</v>
      </c>
      <c r="B68" s="154">
        <f>LongTest!G47</f>
        <v>18.558484957463428</v>
      </c>
      <c r="C68" s="152">
        <v>1</v>
      </c>
    </row>
    <row r="69" spans="1:3">
      <c r="A69" s="150">
        <f>LongTest!D48</f>
        <v>1140</v>
      </c>
      <c r="B69" s="154">
        <f>LongTest!G48</f>
        <v>18.558484957463428</v>
      </c>
      <c r="C69" s="152">
        <v>1</v>
      </c>
    </row>
    <row r="70" spans="1:3">
      <c r="A70" s="150">
        <f>LongTest!D49</f>
        <v>1200</v>
      </c>
      <c r="B70" s="154">
        <f>LongTest!G49</f>
        <v>18.558484957463428</v>
      </c>
      <c r="C70" s="152">
        <v>1</v>
      </c>
    </row>
    <row r="71" spans="1:3">
      <c r="A71" s="150">
        <f>LongTest!D50</f>
        <v>1260</v>
      </c>
      <c r="B71" s="154">
        <f>LongTest!G50</f>
        <v>18.558484957463428</v>
      </c>
      <c r="C71" s="152">
        <v>1</v>
      </c>
    </row>
    <row r="72" spans="1:3">
      <c r="A72" s="150">
        <f>LongTest!D51</f>
        <v>1320</v>
      </c>
      <c r="B72" s="154">
        <f>LongTest!G51</f>
        <v>18.558484957463428</v>
      </c>
      <c r="C72" s="152">
        <v>1</v>
      </c>
    </row>
    <row r="73" spans="1:3">
      <c r="A73" s="150">
        <f>LongTest!D52</f>
        <v>1380</v>
      </c>
      <c r="B73" s="154">
        <f>LongTest!G52</f>
        <v>18.558484957463428</v>
      </c>
      <c r="C73" s="152">
        <v>1</v>
      </c>
    </row>
    <row r="74" spans="1:3">
      <c r="A74" s="150">
        <f>LongTest!D53</f>
        <v>1440</v>
      </c>
      <c r="B74" s="154">
        <f>LongTest!G53</f>
        <v>18.558484957463428</v>
      </c>
      <c r="C74" s="152">
        <v>1</v>
      </c>
    </row>
    <row r="75" spans="1:3">
      <c r="A75" s="150">
        <f>LongTest!D54</f>
        <v>1500</v>
      </c>
      <c r="B75" s="154">
        <f>LongTest!G54</f>
        <v>18.558484957463428</v>
      </c>
      <c r="C75" s="152">
        <v>1</v>
      </c>
    </row>
    <row r="76" spans="1:3">
      <c r="A76" s="150">
        <f>LongTest!D55</f>
        <v>1560</v>
      </c>
      <c r="B76" s="154">
        <f>LongTest!G55</f>
        <v>18.558484957463428</v>
      </c>
      <c r="C76" s="152">
        <v>1</v>
      </c>
    </row>
    <row r="77" spans="1:3">
      <c r="A77" s="150">
        <f>LongTest!D56</f>
        <v>1620</v>
      </c>
      <c r="B77" s="154">
        <f>LongTest!G56</f>
        <v>18.558484957463428</v>
      </c>
      <c r="C77" s="152">
        <v>1</v>
      </c>
    </row>
    <row r="78" spans="1:3">
      <c r="A78" s="150">
        <f>LongTest!D57</f>
        <v>1680</v>
      </c>
      <c r="B78" s="154">
        <f>LongTest!G57</f>
        <v>18.558484957463428</v>
      </c>
      <c r="C78" s="152">
        <v>1</v>
      </c>
    </row>
    <row r="79" spans="1:3">
      <c r="A79" s="150">
        <f>LongTest!D58</f>
        <v>1740</v>
      </c>
      <c r="B79" s="154">
        <f>LongTest!G58</f>
        <v>18.558484957463428</v>
      </c>
      <c r="C79" s="152">
        <v>1</v>
      </c>
    </row>
    <row r="80" spans="1:3">
      <c r="A80" s="150">
        <f>LongTest!D59</f>
        <v>1800</v>
      </c>
      <c r="B80" s="154">
        <f>LongTest!G59</f>
        <v>18.558484957463428</v>
      </c>
      <c r="C80" s="152">
        <v>1</v>
      </c>
    </row>
    <row r="81" spans="1:3">
      <c r="A81" s="150">
        <f>LongTest!D60</f>
        <v>1860</v>
      </c>
      <c r="B81" s="154">
        <f>LongTest!G60</f>
        <v>18.558484957463428</v>
      </c>
      <c r="C81" s="152">
        <v>1</v>
      </c>
    </row>
    <row r="82" spans="1:3">
      <c r="A82" s="150">
        <f>LongTest!D61</f>
        <v>1920</v>
      </c>
      <c r="B82" s="154">
        <f>LongTest!G61</f>
        <v>18.558484957463428</v>
      </c>
      <c r="C82" s="152">
        <v>1</v>
      </c>
    </row>
    <row r="83" spans="1:3">
      <c r="A83" s="150">
        <f>LongTest!D62</f>
        <v>1980</v>
      </c>
      <c r="B83" s="154">
        <f>LongTest!G62</f>
        <v>18.558484957463428</v>
      </c>
      <c r="C83" s="152">
        <v>1</v>
      </c>
    </row>
    <row r="84" spans="1:3">
      <c r="A84" s="150">
        <f>LongTest!D63</f>
        <v>2040</v>
      </c>
      <c r="B84" s="154">
        <f>LongTest!G63</f>
        <v>18.558484957463428</v>
      </c>
      <c r="C84" s="152">
        <v>1</v>
      </c>
    </row>
    <row r="85" spans="1:3">
      <c r="A85" s="150">
        <f>LongTest!D64</f>
        <v>2100</v>
      </c>
      <c r="B85" s="154">
        <f>LongTest!G64</f>
        <v>18.558484957463428</v>
      </c>
      <c r="C85" s="152">
        <v>1</v>
      </c>
    </row>
    <row r="86" spans="1:3">
      <c r="A86" s="150">
        <f>LongTest!D65</f>
        <v>2160</v>
      </c>
      <c r="B86" s="154">
        <f>LongTest!G65</f>
        <v>18.558484957463428</v>
      </c>
      <c r="C86" s="152">
        <v>1</v>
      </c>
    </row>
    <row r="87" spans="1:3">
      <c r="A87" s="150">
        <f>LongTest!D66</f>
        <v>2220</v>
      </c>
      <c r="B87" s="154">
        <f>LongTest!G66</f>
        <v>18.558484957463428</v>
      </c>
      <c r="C87" s="152">
        <v>1</v>
      </c>
    </row>
    <row r="88" spans="1:3">
      <c r="A88" s="150">
        <f>LongTest!D67</f>
        <v>2280</v>
      </c>
      <c r="B88" s="154">
        <f>LongTest!G67</f>
        <v>18.558484957463428</v>
      </c>
      <c r="C88" s="152">
        <v>1</v>
      </c>
    </row>
    <row r="89" spans="1:3">
      <c r="A89" s="150">
        <f>LongTest!D68</f>
        <v>2340</v>
      </c>
      <c r="B89" s="154">
        <f>LongTest!G68</f>
        <v>18.558484957463428</v>
      </c>
      <c r="C89" s="152">
        <v>1</v>
      </c>
    </row>
    <row r="90" spans="1:3">
      <c r="A90" s="150">
        <f>LongTest!D69</f>
        <v>2400</v>
      </c>
      <c r="B90" s="154">
        <f>LongTest!G69</f>
        <v>18.558484957463428</v>
      </c>
      <c r="C90" s="152">
        <v>1</v>
      </c>
    </row>
    <row r="91" spans="1:3">
      <c r="A91" s="150">
        <f>LongTest!D70</f>
        <v>2460</v>
      </c>
      <c r="B91" s="154">
        <f>LongTest!G70</f>
        <v>18.558484957463428</v>
      </c>
      <c r="C91" s="152">
        <v>1</v>
      </c>
    </row>
    <row r="92" spans="1:3">
      <c r="A92" s="150">
        <f>LongTest!D71</f>
        <v>2520</v>
      </c>
      <c r="B92" s="154">
        <f>LongTest!G71</f>
        <v>18.558484957463428</v>
      </c>
      <c r="C92" s="152">
        <v>1</v>
      </c>
    </row>
    <row r="93" spans="1:3">
      <c r="A93" s="150">
        <f>LongTest!D72</f>
        <v>2580</v>
      </c>
      <c r="B93" s="154">
        <f>LongTest!G72</f>
        <v>18.558484957463428</v>
      </c>
      <c r="C93" s="152">
        <v>1</v>
      </c>
    </row>
    <row r="94" spans="1:3">
      <c r="A94" s="150">
        <f>LongTest!D73</f>
        <v>2640</v>
      </c>
      <c r="B94" s="154">
        <f>LongTest!G73</f>
        <v>18.558484957463428</v>
      </c>
      <c r="C94" s="152">
        <v>1</v>
      </c>
    </row>
    <row r="95" spans="1:3">
      <c r="A95" s="150">
        <f>LongTest!D74</f>
        <v>2700</v>
      </c>
      <c r="B95" s="154">
        <f>LongTest!G74</f>
        <v>18.558484957463428</v>
      </c>
      <c r="C95" s="152">
        <v>1</v>
      </c>
    </row>
    <row r="96" spans="1:3">
      <c r="A96" s="150">
        <f>LongTest!D75</f>
        <v>2760</v>
      </c>
      <c r="B96" s="154">
        <f>LongTest!G75</f>
        <v>18.558484957463428</v>
      </c>
      <c r="C96" s="152">
        <v>1</v>
      </c>
    </row>
    <row r="97" spans="1:3">
      <c r="A97" s="150">
        <f>LongTest!D76</f>
        <v>2820</v>
      </c>
      <c r="B97" s="154">
        <f>LongTest!G76</f>
        <v>18.558484957463428</v>
      </c>
      <c r="C97" s="152">
        <v>1</v>
      </c>
    </row>
    <row r="98" spans="1:3">
      <c r="A98" s="150">
        <f>LongTest!D77</f>
        <v>2880</v>
      </c>
      <c r="B98" s="154">
        <f>LongTest!G77</f>
        <v>18.558484957463428</v>
      </c>
      <c r="C98" s="152">
        <v>1</v>
      </c>
    </row>
    <row r="99" spans="1:3">
      <c r="A99" s="150" t="s">
        <v>201</v>
      </c>
      <c r="B99" s="151"/>
      <c r="C99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2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2">
        <v>2880</v>
      </c>
      <c r="B25" s="152">
        <v>0</v>
      </c>
      <c r="C25" s="151"/>
    </row>
    <row r="26" spans="1:3">
      <c r="A26" s="150" t="s">
        <v>200</v>
      </c>
      <c r="B26" s="150"/>
      <c r="C26" s="151"/>
    </row>
    <row r="27" spans="1:3">
      <c r="A27" s="150" t="str">
        <f>A15</f>
        <v>W-1</v>
      </c>
      <c r="B27" s="150"/>
      <c r="C27" s="151"/>
    </row>
    <row r="28" spans="1:3">
      <c r="A28" s="153">
        <f>SkinFactor!C8</f>
        <v>2.41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0">
        <v>0</v>
      </c>
      <c r="B30" s="150"/>
      <c r="C30" s="151"/>
    </row>
    <row r="31" spans="1:3">
      <c r="A31" s="152">
        <f>SUM(C32:C56)</f>
        <v>25</v>
      </c>
      <c r="B31" s="150"/>
      <c r="C31" s="151"/>
    </row>
    <row r="32" spans="1:3">
      <c r="A32" s="150">
        <f>LongTest!D77</f>
        <v>2880</v>
      </c>
      <c r="B32" s="151">
        <f>LongTest!G77</f>
        <v>18.558484957463428</v>
      </c>
      <c r="C32" s="152">
        <v>1</v>
      </c>
    </row>
    <row r="33" spans="1:3">
      <c r="A33" s="150">
        <f>$A$32+LongTest!D78</f>
        <v>2881</v>
      </c>
      <c r="B33" s="151">
        <f>LongTest!G78</f>
        <v>12.329531273625038</v>
      </c>
      <c r="C33" s="152">
        <v>1</v>
      </c>
    </row>
    <row r="34" spans="1:3">
      <c r="A34" s="150">
        <f>$A$32+LongTest!D79</f>
        <v>2882</v>
      </c>
      <c r="B34" s="151">
        <f>LongTest!G79</f>
        <v>11.295105479762084</v>
      </c>
      <c r="C34" s="152">
        <v>1</v>
      </c>
    </row>
    <row r="35" spans="1:3">
      <c r="A35" s="150">
        <f>$A$32+LongTest!D80</f>
        <v>2883</v>
      </c>
      <c r="B35" s="151">
        <f>LongTest!G80</f>
        <v>10.347466174311545</v>
      </c>
      <c r="C35" s="152">
        <v>1</v>
      </c>
    </row>
    <row r="36" spans="1:3">
      <c r="A36" s="150">
        <f>$A$32+LongTest!D81</f>
        <v>2884</v>
      </c>
      <c r="B36" s="151">
        <f>LongTest!G81</f>
        <v>9.4793321249069802</v>
      </c>
      <c r="C36" s="152">
        <v>1</v>
      </c>
    </row>
    <row r="37" spans="1:3">
      <c r="A37" s="150">
        <f>$A$32+LongTest!D82</f>
        <v>2885</v>
      </c>
      <c r="B37" s="151">
        <f>LongTest!G82</f>
        <v>8.6840329816562143</v>
      </c>
      <c r="C37" s="152">
        <v>1</v>
      </c>
    </row>
    <row r="38" spans="1:3">
      <c r="A38" s="150">
        <f>$A$32+LongTest!D83</f>
        <v>2890</v>
      </c>
      <c r="B38" s="151">
        <f>LongTest!G83</f>
        <v>6.6765581748317917</v>
      </c>
      <c r="C38" s="152">
        <v>1</v>
      </c>
    </row>
    <row r="39" spans="1:3">
      <c r="A39" s="150">
        <f>$A$32+LongTest!D84</f>
        <v>2895</v>
      </c>
      <c r="B39" s="151">
        <f>LongTest!G84</f>
        <v>6.2976973688855296</v>
      </c>
      <c r="C39" s="152">
        <v>1</v>
      </c>
    </row>
    <row r="40" spans="1:3">
      <c r="A40" s="150">
        <f>$A$32+LongTest!D85</f>
        <v>2900</v>
      </c>
      <c r="B40" s="151">
        <f>LongTest!G85</f>
        <v>5.2852950411824065</v>
      </c>
      <c r="C40" s="152">
        <v>1</v>
      </c>
    </row>
    <row r="41" spans="1:3">
      <c r="A41" s="150">
        <f>$A$32+LongTest!D86</f>
        <v>2905</v>
      </c>
      <c r="B41" s="151">
        <f>LongTest!G86</f>
        <v>4.8418681665152068</v>
      </c>
      <c r="C41" s="152">
        <v>1</v>
      </c>
    </row>
    <row r="42" spans="1:3">
      <c r="A42" s="150">
        <f>$A$32+LongTest!D87</f>
        <v>2910</v>
      </c>
      <c r="B42" s="151">
        <f>LongTest!G87</f>
        <v>4.4356440197269649</v>
      </c>
      <c r="C42" s="152">
        <v>1</v>
      </c>
    </row>
    <row r="43" spans="1:3">
      <c r="A43" s="150">
        <f>$A$32+LongTest!D88</f>
        <v>2915</v>
      </c>
      <c r="B43" s="151">
        <f>LongTest!G88</f>
        <v>4.307956006909011</v>
      </c>
      <c r="C43" s="152">
        <v>1</v>
      </c>
    </row>
    <row r="44" spans="1:3">
      <c r="A44" s="150">
        <f>$A$32+LongTest!D89</f>
        <v>2920</v>
      </c>
      <c r="B44" s="151">
        <f>LongTest!G89</f>
        <v>4.1839437238261041</v>
      </c>
      <c r="C44" s="152">
        <v>1</v>
      </c>
    </row>
    <row r="45" spans="1:3">
      <c r="A45" s="150">
        <f>$A$32+LongTest!D90</f>
        <v>2925</v>
      </c>
      <c r="B45" s="151">
        <f>LongTest!G90</f>
        <v>4.0635013579686223</v>
      </c>
      <c r="C45" s="152">
        <v>1</v>
      </c>
    </row>
    <row r="46" spans="1:3">
      <c r="A46" s="150">
        <f>$A$32+LongTest!D91</f>
        <v>2930</v>
      </c>
      <c r="B46" s="151">
        <f>LongTest!G91</f>
        <v>3.9465261428308644</v>
      </c>
      <c r="C46" s="152">
        <v>1</v>
      </c>
    </row>
    <row r="47" spans="1:3">
      <c r="A47" s="150">
        <f>$A$32+LongTest!D92</f>
        <v>2935</v>
      </c>
      <c r="B47" s="151">
        <f>LongTest!G92</f>
        <v>3.8329182702263371</v>
      </c>
      <c r="C47" s="152">
        <v>1</v>
      </c>
    </row>
    <row r="48" spans="1:3">
      <c r="A48" s="150">
        <f>$A$32+LongTest!D93</f>
        <v>2940</v>
      </c>
      <c r="B48" s="151">
        <f>LongTest!G93</f>
        <v>3.7225808051271971</v>
      </c>
      <c r="C48" s="152">
        <v>1</v>
      </c>
    </row>
    <row r="49" spans="1:3">
      <c r="A49" s="150">
        <f>$A$32+LongTest!D94</f>
        <v>2955</v>
      </c>
      <c r="B49" s="151">
        <f>LongTest!G94</f>
        <v>3.6154196029552041</v>
      </c>
      <c r="C49" s="152">
        <v>1</v>
      </c>
    </row>
    <row r="50" spans="1:3">
      <c r="A50" s="150">
        <f>$A$32+LongTest!D95</f>
        <v>2970</v>
      </c>
      <c r="B50" s="151">
        <f>LongTest!G95</f>
        <v>3.5113432292535913</v>
      </c>
      <c r="C50" s="152">
        <v>1</v>
      </c>
    </row>
    <row r="51" spans="1:3">
      <c r="A51" s="150">
        <f>$A$32+LongTest!D96</f>
        <v>2985</v>
      </c>
      <c r="B51" s="151">
        <f>LongTest!G96</f>
        <v>3.4102628816713327</v>
      </c>
      <c r="C51" s="152">
        <v>1</v>
      </c>
    </row>
    <row r="52" spans="1:3">
      <c r="A52" s="150">
        <f>$A$32+LongTest!D97</f>
        <v>3000</v>
      </c>
      <c r="B52" s="151">
        <f>LongTest!G97</f>
        <v>3.1241478777538267</v>
      </c>
      <c r="C52" s="152">
        <v>1</v>
      </c>
    </row>
    <row r="53" spans="1:3">
      <c r="A53" s="150">
        <f>$A$32+LongTest!D98</f>
        <v>3060</v>
      </c>
      <c r="B53" s="151">
        <f>LongTest!G98</f>
        <v>3.0342136466735852</v>
      </c>
      <c r="C53" s="152">
        <v>1</v>
      </c>
    </row>
    <row r="54" spans="1:3">
      <c r="A54" s="150">
        <f>$A$32+LongTest!D99</f>
        <v>3120</v>
      </c>
      <c r="B54" s="151">
        <f>LongTest!G99</f>
        <v>2.5464409293280825</v>
      </c>
      <c r="C54" s="152">
        <v>1</v>
      </c>
    </row>
    <row r="55" spans="1:3">
      <c r="A55" s="150">
        <f>$A$32+LongTest!D100</f>
        <v>3180</v>
      </c>
      <c r="B55" s="151">
        <f>LongTest!G100</f>
        <v>2.137081353406372</v>
      </c>
      <c r="C55" s="152">
        <v>1</v>
      </c>
    </row>
    <row r="56" spans="1:3">
      <c r="A56" s="150">
        <f>$A$32+LongTest!D101</f>
        <v>3240</v>
      </c>
      <c r="B56" s="151">
        <f>LongTest!G101</f>
        <v>1.793529415301345</v>
      </c>
      <c r="C56" s="152">
        <v>1</v>
      </c>
    </row>
    <row r="57" spans="1:3">
      <c r="A57" s="150" t="s">
        <v>202</v>
      </c>
      <c r="B57" s="151"/>
      <c r="C57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M9" sqref="M9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19" customWidth="1"/>
    <col min="6" max="6" width="13.875" style="119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7" s="100" customFormat="1" ht="18" customHeight="1">
      <c r="E1" s="12"/>
      <c r="F1" s="12"/>
    </row>
    <row r="2" spans="2:17" s="100" customFormat="1" ht="18" customHeight="1">
      <c r="B2" s="149" t="s">
        <v>234</v>
      </c>
      <c r="E2" s="12"/>
      <c r="F2" s="12"/>
    </row>
    <row r="3" spans="2:17" s="100" customFormat="1" ht="18" customHeight="1">
      <c r="E3" s="12"/>
      <c r="F3" s="12"/>
    </row>
    <row r="4" spans="2:17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7" s="100" customFormat="1" ht="18" customHeight="1" thickBot="1">
      <c r="E5" s="12"/>
      <c r="F5" s="12"/>
    </row>
    <row r="6" spans="2:17" s="100" customFormat="1" ht="26.1" customHeight="1">
      <c r="B6" s="140" t="s">
        <v>203</v>
      </c>
      <c r="C6" s="141">
        <f>LongTest!C10</f>
        <v>45082.645833333336</v>
      </c>
      <c r="D6" s="142"/>
      <c r="E6" s="143"/>
      <c r="F6" s="143"/>
    </row>
    <row r="7" spans="2:17" s="100" customFormat="1" ht="26.1" customHeight="1">
      <c r="B7" s="144" t="s">
        <v>204</v>
      </c>
      <c r="C7" s="145">
        <v>15.3</v>
      </c>
      <c r="D7" s="142"/>
      <c r="E7" s="143"/>
      <c r="F7" s="143"/>
    </row>
    <row r="8" spans="2:17" s="100" customFormat="1" ht="26.1" customHeight="1">
      <c r="B8" s="144" t="s">
        <v>205</v>
      </c>
      <c r="C8" s="145">
        <v>182</v>
      </c>
      <c r="D8" s="142"/>
      <c r="E8" s="143"/>
      <c r="F8" s="143"/>
      <c r="H8" s="426"/>
    </row>
    <row r="9" spans="2:17" s="100" customFormat="1" ht="26.1" customHeight="1" thickBot="1">
      <c r="B9" s="146" t="s">
        <v>206</v>
      </c>
      <c r="C9" s="147">
        <v>7.5</v>
      </c>
      <c r="D9" s="142"/>
      <c r="E9" s="143"/>
      <c r="F9" s="143"/>
    </row>
    <row r="10" spans="2:17" s="100" customFormat="1" ht="26.1" customHeight="1">
      <c r="B10" s="143"/>
      <c r="C10" s="148"/>
      <c r="D10" s="142"/>
      <c r="E10" s="143"/>
      <c r="F10" s="143"/>
    </row>
    <row r="11" spans="2:17" s="100" customFormat="1" ht="18" customHeight="1" thickBot="1">
      <c r="E11" s="12"/>
      <c r="F11" s="12"/>
      <c r="L11"/>
      <c r="M11"/>
      <c r="N11"/>
      <c r="O11"/>
      <c r="P11"/>
      <c r="Q11"/>
    </row>
    <row r="12" spans="2:17" s="12" customFormat="1" ht="26.1" customHeight="1">
      <c r="B12" s="483" t="s">
        <v>207</v>
      </c>
      <c r="C12" s="484"/>
      <c r="D12" s="485" t="str">
        <f>C4</f>
        <v>W-1</v>
      </c>
      <c r="E12" s="486"/>
      <c r="F12" s="484"/>
      <c r="H12" s="483" t="str">
        <f>C4</f>
        <v>W-1</v>
      </c>
      <c r="I12" s="486"/>
      <c r="J12" s="484"/>
      <c r="L12"/>
      <c r="M12"/>
      <c r="N12"/>
      <c r="O12"/>
      <c r="P12"/>
      <c r="Q12"/>
    </row>
    <row r="13" spans="2:17" s="12" customFormat="1" ht="26.1" customHeight="1">
      <c r="B13" s="129" t="s">
        <v>203</v>
      </c>
      <c r="C13" s="130" t="s">
        <v>208</v>
      </c>
      <c r="D13" s="131" t="s">
        <v>209</v>
      </c>
      <c r="E13" s="132" t="s">
        <v>210</v>
      </c>
      <c r="F13" s="130" t="s">
        <v>211</v>
      </c>
      <c r="H13" s="129" t="s">
        <v>209</v>
      </c>
      <c r="I13" s="132" t="s">
        <v>210</v>
      </c>
      <c r="J13" s="130" t="s">
        <v>211</v>
      </c>
      <c r="L13"/>
      <c r="M13"/>
      <c r="N13"/>
      <c r="O13"/>
      <c r="P13"/>
      <c r="Q13"/>
    </row>
    <row r="14" spans="2:17" s="12" customFormat="1" ht="26.1" customHeight="1">
      <c r="B14" s="104">
        <f>$C$6+C14/1440</f>
        <v>45082.649305555555</v>
      </c>
      <c r="C14" s="105">
        <v>5</v>
      </c>
      <c r="D14" s="106">
        <f t="shared" ref="D14:D20" si="0">baseTemp+H14</f>
        <v>15</v>
      </c>
      <c r="E14" s="107">
        <f>$C$8+I14</f>
        <v>181</v>
      </c>
      <c r="F14" s="108">
        <f>$C$9+J14</f>
        <v>7.63</v>
      </c>
      <c r="H14" s="109">
        <v>-0.3</v>
      </c>
      <c r="I14" s="110">
        <v>-1</v>
      </c>
      <c r="J14" s="111">
        <v>0.13</v>
      </c>
      <c r="L14"/>
      <c r="M14"/>
      <c r="N14"/>
      <c r="O14"/>
      <c r="P14"/>
      <c r="Q14"/>
    </row>
    <row r="15" spans="2:17" s="12" customFormat="1" ht="26.1" customHeight="1">
      <c r="B15" s="112">
        <f t="shared" ref="B15:B23" si="1">$C$6+C15/1440</f>
        <v>45082.666666666672</v>
      </c>
      <c r="C15" s="111">
        <v>30</v>
      </c>
      <c r="D15" s="113">
        <f t="shared" si="0"/>
        <v>15.4</v>
      </c>
      <c r="E15" s="114">
        <f t="shared" ref="E15:E20" si="2">$C$8+I15</f>
        <v>185</v>
      </c>
      <c r="F15" s="115">
        <f t="shared" ref="F15:F20" si="3">$C$9+J15</f>
        <v>7.43</v>
      </c>
      <c r="H15" s="109">
        <v>0.1</v>
      </c>
      <c r="I15" s="110">
        <v>3</v>
      </c>
      <c r="J15" s="111">
        <v>-7.0000000000000007E-2</v>
      </c>
      <c r="L15"/>
      <c r="M15"/>
      <c r="N15"/>
      <c r="O15"/>
      <c r="P15"/>
      <c r="Q15"/>
    </row>
    <row r="16" spans="2:17" s="12" customFormat="1" ht="26.1" customHeight="1">
      <c r="B16" s="112">
        <f t="shared" si="1"/>
        <v>45082.6875</v>
      </c>
      <c r="C16" s="111">
        <v>60</v>
      </c>
      <c r="D16" s="113">
        <f t="shared" si="0"/>
        <v>15.600000000000001</v>
      </c>
      <c r="E16" s="114">
        <f t="shared" si="2"/>
        <v>183</v>
      </c>
      <c r="F16" s="115">
        <f t="shared" si="3"/>
        <v>7.39</v>
      </c>
      <c r="H16" s="109">
        <v>0.3</v>
      </c>
      <c r="I16" s="110">
        <v>1</v>
      </c>
      <c r="J16" s="111">
        <v>-0.11</v>
      </c>
      <c r="L16"/>
      <c r="M16"/>
      <c r="N16"/>
      <c r="O16"/>
      <c r="P16"/>
      <c r="Q16"/>
    </row>
    <row r="17" spans="2:17" s="12" customFormat="1" ht="26.1" customHeight="1">
      <c r="B17" s="112">
        <f t="shared" si="1"/>
        <v>45082.729166666672</v>
      </c>
      <c r="C17" s="111">
        <v>120</v>
      </c>
      <c r="D17" s="113">
        <f t="shared" si="0"/>
        <v>15.600000000000001</v>
      </c>
      <c r="E17" s="114">
        <f t="shared" si="2"/>
        <v>183</v>
      </c>
      <c r="F17" s="115">
        <f t="shared" si="3"/>
        <v>7.42</v>
      </c>
      <c r="H17" s="109">
        <v>0.3</v>
      </c>
      <c r="I17" s="110">
        <v>1</v>
      </c>
      <c r="J17" s="111">
        <v>-0.08</v>
      </c>
      <c r="L17"/>
      <c r="M17"/>
      <c r="N17"/>
      <c r="O17"/>
      <c r="P17"/>
      <c r="Q17"/>
    </row>
    <row r="18" spans="2:17" s="12" customFormat="1" ht="26.1" customHeight="1">
      <c r="B18" s="112">
        <f t="shared" si="1"/>
        <v>45082.8125</v>
      </c>
      <c r="C18" s="111">
        <v>240</v>
      </c>
      <c r="D18" s="113">
        <f t="shared" si="0"/>
        <v>15.5</v>
      </c>
      <c r="E18" s="114">
        <f t="shared" si="2"/>
        <v>185</v>
      </c>
      <c r="F18" s="115">
        <f t="shared" si="3"/>
        <v>7.58</v>
      </c>
      <c r="H18" s="109">
        <v>0.2</v>
      </c>
      <c r="I18" s="110">
        <v>3</v>
      </c>
      <c r="J18" s="111">
        <v>0.08</v>
      </c>
      <c r="L18"/>
      <c r="M18"/>
      <c r="N18"/>
      <c r="O18"/>
      <c r="P18"/>
      <c r="Q18"/>
    </row>
    <row r="19" spans="2:17" s="12" customFormat="1" ht="26.1" customHeight="1">
      <c r="B19" s="112">
        <f t="shared" si="1"/>
        <v>45082.979166666672</v>
      </c>
      <c r="C19" s="111">
        <v>480</v>
      </c>
      <c r="D19" s="113">
        <f t="shared" si="0"/>
        <v>15.100000000000001</v>
      </c>
      <c r="E19" s="114">
        <f t="shared" si="2"/>
        <v>184</v>
      </c>
      <c r="F19" s="115">
        <f t="shared" si="3"/>
        <v>7.62</v>
      </c>
      <c r="H19" s="109">
        <v>-0.2</v>
      </c>
      <c r="I19" s="110">
        <v>2</v>
      </c>
      <c r="J19" s="111">
        <v>0.12</v>
      </c>
      <c r="L19"/>
      <c r="M19"/>
      <c r="N19"/>
      <c r="O19"/>
      <c r="P19"/>
      <c r="Q19"/>
    </row>
    <row r="20" spans="2:17" s="100" customFormat="1" ht="26.1" customHeight="1">
      <c r="B20" s="112">
        <f t="shared" si="1"/>
        <v>45083.645833333336</v>
      </c>
      <c r="C20" s="111">
        <v>1440</v>
      </c>
      <c r="D20" s="113">
        <f t="shared" si="0"/>
        <v>15.200000000000001</v>
      </c>
      <c r="E20" s="114">
        <f t="shared" si="2"/>
        <v>185</v>
      </c>
      <c r="F20" s="115">
        <f t="shared" si="3"/>
        <v>7.58</v>
      </c>
      <c r="H20" s="109">
        <v>-0.1</v>
      </c>
      <c r="I20" s="110">
        <v>3</v>
      </c>
      <c r="J20" s="111">
        <v>0.08</v>
      </c>
      <c r="L20"/>
      <c r="M20"/>
      <c r="N20"/>
      <c r="O20"/>
      <c r="P20"/>
      <c r="Q20"/>
    </row>
    <row r="21" spans="2:17" s="100" customFormat="1" ht="26.1" customHeight="1">
      <c r="B21" s="112">
        <f t="shared" si="1"/>
        <v>45083.8125</v>
      </c>
      <c r="C21" s="111">
        <v>1680</v>
      </c>
      <c r="D21" s="113">
        <f>$D$20</f>
        <v>15.200000000000001</v>
      </c>
      <c r="E21" s="114">
        <f>$E$20</f>
        <v>185</v>
      </c>
      <c r="F21" s="115">
        <f>$F$20</f>
        <v>7.58</v>
      </c>
      <c r="H21" s="109">
        <v>0.1</v>
      </c>
      <c r="I21" s="110">
        <v>-2</v>
      </c>
      <c r="J21" s="111">
        <v>-0.12</v>
      </c>
      <c r="L21"/>
      <c r="M21"/>
      <c r="N21"/>
      <c r="O21"/>
      <c r="P21"/>
      <c r="Q21"/>
    </row>
    <row r="22" spans="2:17" s="100" customFormat="1" ht="26.1" customHeight="1">
      <c r="B22" s="112">
        <f t="shared" si="1"/>
        <v>45083.979166666672</v>
      </c>
      <c r="C22" s="111">
        <v>1920</v>
      </c>
      <c r="D22" s="113">
        <f t="shared" ref="D22:D23" si="4">$D$20</f>
        <v>15.200000000000001</v>
      </c>
      <c r="E22" s="114">
        <f t="shared" ref="E22:E23" si="5">$E$20</f>
        <v>185</v>
      </c>
      <c r="F22" s="115">
        <f t="shared" ref="F22:F23" si="6">$F$20</f>
        <v>7.58</v>
      </c>
      <c r="H22" s="109">
        <v>0.1</v>
      </c>
      <c r="I22" s="110">
        <v>-3</v>
      </c>
      <c r="J22" s="111">
        <v>-0.12</v>
      </c>
      <c r="L22"/>
      <c r="M22"/>
      <c r="N22"/>
      <c r="O22"/>
      <c r="P22"/>
      <c r="Q22"/>
    </row>
    <row r="23" spans="2:17" s="100" customFormat="1" ht="26.1" customHeight="1" thickBot="1">
      <c r="B23" s="112">
        <f t="shared" si="1"/>
        <v>45084.645833333336</v>
      </c>
      <c r="C23" s="111">
        <v>2880</v>
      </c>
      <c r="D23" s="113">
        <f t="shared" si="4"/>
        <v>15.200000000000001</v>
      </c>
      <c r="E23" s="114">
        <f t="shared" si="5"/>
        <v>185</v>
      </c>
      <c r="F23" s="115">
        <f t="shared" si="6"/>
        <v>7.58</v>
      </c>
      <c r="H23" s="116">
        <v>-0.1</v>
      </c>
      <c r="I23" s="117">
        <v>3</v>
      </c>
      <c r="J23" s="118">
        <v>7.0000000000000007E-2</v>
      </c>
      <c r="L23"/>
      <c r="M23"/>
      <c r="N23"/>
      <c r="O23"/>
      <c r="P23"/>
      <c r="Q23"/>
    </row>
    <row r="24" spans="2:17" s="100" customFormat="1" ht="26.1" customHeight="1">
      <c r="B24" s="487" t="s">
        <v>79</v>
      </c>
      <c r="C24" s="488"/>
      <c r="D24" s="131">
        <f>MAX(D14:D23)</f>
        <v>15.600000000000001</v>
      </c>
      <c r="E24" s="132">
        <f t="shared" ref="E24:F24" si="7">MAX(E14:E23)</f>
        <v>185</v>
      </c>
      <c r="F24" s="130">
        <f t="shared" si="7"/>
        <v>7.63</v>
      </c>
      <c r="H24" s="12"/>
      <c r="I24" s="12"/>
      <c r="J24" s="12"/>
      <c r="L24"/>
      <c r="M24"/>
      <c r="N24"/>
      <c r="O24"/>
      <c r="P24"/>
      <c r="Q24"/>
    </row>
    <row r="25" spans="2:17" s="100" customFormat="1" ht="26.1" customHeight="1">
      <c r="B25" s="487" t="s">
        <v>212</v>
      </c>
      <c r="C25" s="488"/>
      <c r="D25" s="131">
        <f>MIN(D14:D23)</f>
        <v>15</v>
      </c>
      <c r="E25" s="132">
        <f t="shared" ref="E25:F25" si="8">MIN(E14:E23)</f>
        <v>181</v>
      </c>
      <c r="F25" s="130">
        <f t="shared" si="8"/>
        <v>7.39</v>
      </c>
      <c r="H25" s="12"/>
      <c r="I25" s="12"/>
      <c r="J25" s="12"/>
      <c r="L25"/>
      <c r="M25"/>
      <c r="N25"/>
      <c r="O25"/>
      <c r="P25"/>
      <c r="Q25"/>
    </row>
    <row r="26" spans="2:17" s="100" customFormat="1" ht="26.1" customHeight="1" thickBot="1">
      <c r="B26" s="481" t="s">
        <v>213</v>
      </c>
      <c r="C26" s="482"/>
      <c r="D26" s="133">
        <f>D24-D25</f>
        <v>0.60000000000000142</v>
      </c>
      <c r="E26" s="134">
        <f t="shared" ref="E26:F26" si="9">E24-E25</f>
        <v>4</v>
      </c>
      <c r="F26" s="135">
        <f t="shared" si="9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7" s="100" customFormat="1" ht="18" customHeight="1">
      <c r="E27" s="12"/>
      <c r="F27" s="12"/>
      <c r="L27" s="6"/>
      <c r="M27" s="6"/>
      <c r="N27" s="6"/>
      <c r="O27" s="6"/>
      <c r="P27" s="6"/>
    </row>
    <row r="28" spans="2:17" s="100" customFormat="1" ht="18" customHeight="1">
      <c r="E28" s="12"/>
      <c r="F28" s="12"/>
      <c r="L28" s="6"/>
      <c r="M28" s="6"/>
      <c r="N28" s="6"/>
      <c r="O28" s="6"/>
      <c r="P28" s="6"/>
    </row>
    <row r="29" spans="2:17" s="100" customFormat="1" ht="18" customHeight="1">
      <c r="E29" s="12"/>
      <c r="F29" s="12"/>
    </row>
    <row r="30" spans="2:17" s="100" customFormat="1" ht="18" customHeight="1">
      <c r="E30" s="12"/>
      <c r="F30" s="12"/>
    </row>
    <row r="31" spans="2:17" s="100" customFormat="1" ht="18" customHeight="1">
      <c r="E31" s="12"/>
      <c r="F31" s="12"/>
    </row>
    <row r="32" spans="2:17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2024-04-25T06:05:08Z</dcterms:modified>
</cp:coreProperties>
</file>