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40B24BD6-66CE-48BC-B184-F5159E3B2E6D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7" l="1"/>
  <c r="C6" i="1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<sst xmlns="http://schemas.openxmlformats.org/spreadsheetml/2006/main" count="1146" uniqueCount="303">
  <si>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</si>
  <si>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</si>
  <si>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</si>
  <si>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</si>
  <si>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</si>
  <si>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</si>
  <si>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</si>
  <si>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</si>
  <si>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</si>
  <si>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</si>
  <si>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</si>
  <si>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</si>
  <si>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</si>
  <si>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</si>
  <si>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</si>
  <si>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</si>
  <si>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</si>
  <si>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</si>
  <si>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</si>
  <si>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</si>
  <si>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</si>
  <si>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</si>
  <si>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</si>
  <si>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</si>
  <si>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</si>
  <si>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</si>
  <si>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</si>
  <si>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</si>
  <si>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</si>
  <si>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</si>
  <si>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</si>
  <si>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</si>
  <si>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</si>
  <si>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</si>
  <si>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</si>
  <si>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</si>
  <si>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</si>
  <si>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</si>
  <si>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</si>
  <si>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</si>
  <si>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</si>
  <si>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</si>
  <si>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</si>
  <si>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</si>
  <si>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</si>
  <si>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</si>
  <si>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</si>
  <si>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</si>
  <si>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</si>
  <si>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</si>
  <si>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</si>
  <si>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</si>
  <si>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</si>
  <si>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</si>
  <si>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</si>
  <si>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</si>
  <si>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</si>
  <si>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</si>
  <si>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</si>
  <si>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</si>
  <si>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</si>
  <si>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</si>
  <si>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</si>
  <si>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</si>
  <si>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</si>
  <si>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</si>
  <si>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</si>
  <si>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</si>
  <si>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</si>
  <si>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</si>
  <si>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</si>
  <si>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</si>
  <si>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</si>
  <si>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</si>
  <si>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</si>
  <si>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</si>
  <si>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</si>
  <si>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</si>
  <si>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</si>
  <si>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</si>
  <si>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</si>
  <si>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</si>
  <si>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</si>
  <si>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</si>
  <si>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</si>
  <si>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</si>
  <si>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</si>
  <si>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</si>
  <si>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</si>
  <si>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</si>
  <si>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</si>
  <si>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</si>
  <si>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</si>
  <si>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</si>
  <si>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</si>
  <si>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</si>
  <si>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</si>
  <si>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</si>
  <si>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</si>
  <si>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</si>
  <si>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</si>
  <si>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</si>
  <si>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</si>
  <si>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</si>
  <si>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</si>
  <si>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</si>
  <si>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</si>
  <si>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</si>
  <si>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</si>
  <si>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</si>
  <si>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</si>
  <si>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</si>
  <si>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</si>
  <si>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</si>
  <si>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</si>
  <si>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</si>
  <si>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</si>
  <si>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</si>
  <si>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</si>
  <si>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</si>
  <si>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</si>
  <si>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</si>
  <si>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</si>
  <si>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</si>
  <si>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</si>
  <si>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</si>
  <si>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</si>
  <si>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</si>
  <si>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</si>
  <si>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</si>
  <si>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</si>
  <si>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</si>
  <si>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</si>
  <si>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</si>
  <si>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</si>
  <si>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</si>
  <si>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</si>
  <si>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</si>
  <si>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</si>
  <si>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</si>
  <si>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</si>
  <si>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</si>
  <si>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</si>
  <si>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</si>
  <si>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</si>
  <si>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</si>
  <si>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</si>
  <si>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</si>
  <si>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</si>
  <si>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</si>
  <si>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</si>
  <si>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</si>
  <si>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</si>
  <si>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</si>
  <si>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</si>
  <si>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</si>
  <si>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</si>
  <si>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</si>
  <si>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</si>
  <si>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</si>
  <si>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</si>
  <si>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</si>
  <si>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</si>
  <si>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</si>
  <si>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</si>
  <si>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</si>
  <si>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</si>
  <si>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</si>
  <si>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</si>
  <si>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</si>
  <si>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</si>
  <si>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</si>
  <si>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</si>
  <si>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</si>
  <si>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</si>
  <si>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</si>
  <si>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</si>
  <si>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</si>
  <si>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</si>
  <si>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</si>
  <si>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</si>
  <si>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</si>
  <si>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</si>
  <si>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</si>
  <si>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</si>
  <si>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</si>
  <si>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</si>
  <si>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</si>
  <si>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</si>
  <si>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</si>
  <si>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</si>
  <si>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</si>
  <si>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</si>
  <si>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</si>
  <si>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</si>
  <si>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</si>
  <si>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</si>
  <si>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</si>
  <si>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</si>
  <si>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</si>
  <si>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</si>
  <si>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</si>
  <si>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</si>
  <si>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</si>
  <si>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</si>
  <si>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</si>
  <si>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</si>
  <si>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</si>
  <si>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</si>
  <si>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</si>
  <si>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</si>
  <si>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</si>
  <si>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</si>
  <si>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</si>
  <si>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</si>
  <si>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</si>
  <si>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</si>
  <si>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</si>
  <si>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</si>
  <si>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</si>
  <si>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</si>
  <si>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</si>
  <si>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</si>
  <si>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</si>
  <si>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</si>
  <si>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</si>
  <si>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</si>
  <si>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</si>
  <si>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</si>
  <si>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</si>
  <si>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</si>
  <si>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</si>
  <si>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</si>
  <si>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</si>
  <si>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</si>
  <si>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</si>
  <si>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</si>
  <si>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</si>
  <si>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</si>
  <si>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</si>
  <si>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</si>
  <si>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</si>
  <si>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</si>
  <si>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</si>
  <si>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</si>
  <si>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</si>
  <si>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</si>
  <si>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</si>
  <si>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</si>
  <si>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</si>
  <si>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</si>
  <si>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</si>
  <si>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</si>
  <si>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</si>
  <si>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</si>
  <si>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</si>
  <si>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</si>
  <si>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</si>
  <si>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</si>
  <si>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</si>
  <si>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</si>
  <si>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</si>
  <si>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</si>
  <si>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</si>
  <si>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</si>
  <si>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</si>
  <si>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</si>
  <si>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</si>
  <si>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</si>
  <si>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</si>
  <si>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</si>
  <si>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</si>
  <si>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</si>
  <si>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</si>
  <si>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</si>
  <si>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</si>
  <si>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</si>
  <si>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</si>
  <si>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</si>
  <si>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</si>
  <si>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</si>
  <si>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</si>
  <si>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</si>
  <si>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</si>
  <si>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</si>
  <si>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</si>
  <si>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</si>
  <si>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</si>
  <si>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</si>
  <si>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</si>
  <si>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</si>
  <si>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</si>
  <si>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</si>
  <si>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충청남도 부여군 초촌면 산직리 233-1</t>
    <phoneticPr fontId="7" type="noConversion"/>
  </si>
  <si>
    <t>소규모수도시설 수원공 사후관리 연장허가 용역</t>
    <phoneticPr fontId="7" type="noConversion"/>
  </si>
  <si>
    <t>산직지구</t>
    <phoneticPr fontId="7" type="noConversion"/>
  </si>
  <si>
    <t>62
79
97
114
131</t>
  </si>
  <si>
    <t>공  번 : W - 2</t>
  </si>
  <si>
    <t>W-2</t>
    <phoneticPr fontId="7" type="noConversion"/>
  </si>
  <si>
    <t>15.79
19.92
24.56
29.74
37.64</t>
  </si>
  <si>
    <t>12.39
16.52
21.16
26.34
34.24</t>
  </si>
  <si>
    <t>5.004
4.782
4.579
4.328
3.829</t>
  </si>
  <si>
    <t>0.199839
0.209114
0.218369
0.231053
0.261175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</si>
</sst>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 formatCode="\ 0.00\ ">
                  <c:v>12.55</c:v>
                </c:pt>
                <c:pt idx="21" formatCode="\ 0.00\ ">
                  <c:v>12.700000000000001</c:v>
                </c:pt>
                <c:pt idx="22" formatCode="\ 0.00\ ">
                  <c:v>12.840000000000002</c:v>
                </c:pt>
                <c:pt idx="23" formatCode="\ 0.00\ ">
                  <c:v>12.970000000000002</c:v>
                </c:pt>
                <c:pt idx="24" formatCode="\ 0.00\ ">
                  <c:v>13.100000000000003</c:v>
                </c:pt>
                <c:pt idx="25">
                  <c:v>14.86</c:v>
                </c:pt>
                <c:pt idx="26" formatCode="\ 0.00\ ">
                  <c:v>14.969999999999999</c:v>
                </c:pt>
                <c:pt idx="27">
                  <c:v>15.28</c:v>
                </c:pt>
                <c:pt idx="28" formatCode="\ 0.00\ ">
                  <c:v>15.379999999999999</c:v>
                </c:pt>
                <c:pt idx="29">
                  <c:v>15.69</c:v>
                </c:pt>
                <c:pt idx="30" formatCode="\ 0.00\ ">
                  <c:v>15.75</c:v>
                </c:pt>
                <c:pt idx="31" formatCode="\ 0.00\ ">
                  <c:v>15.8</c:v>
                </c:pt>
                <c:pt idx="32" formatCode="\ 0.00\ ">
                  <c:v>15.84</c:v>
                </c:pt>
                <c:pt idx="33" formatCode="\ 0.00\ ">
                  <c:v>15.87</c:v>
                </c:pt>
                <c:pt idx="34" formatCode="\ 0.00\ ">
                  <c:v>15.889999999999999</c:v>
                </c:pt>
                <c:pt idx="35">
                  <c:v>16.100000000000001</c:v>
                </c:pt>
                <c:pt idx="36" formatCode="\ 0.00\ ">
                  <c:v>16.170000000000002</c:v>
                </c:pt>
                <c:pt idx="37" formatCode="\ 0.00\ ">
                  <c:v>16.23</c:v>
                </c:pt>
                <c:pt idx="38" formatCode="\ 0.00\ ">
                  <c:v>16.28</c:v>
                </c:pt>
                <c:pt idx="39">
                  <c:v>16.52</c:v>
                </c:pt>
                <c:pt idx="40" formatCode="\ 0.00\ ">
                  <c:v>16.7</c:v>
                </c:pt>
                <c:pt idx="41" formatCode="\ 0.00\ ">
                  <c:v>16.86</c:v>
                </c:pt>
                <c:pt idx="42" formatCode="\ 0.00\ ">
                  <c:v>17.009999999999998</c:v>
                </c:pt>
                <c:pt idx="43" formatCode="\ 0.00\ ">
                  <c:v>17.149999999999999</c:v>
                </c:pt>
                <c:pt idx="44" formatCode="\ 0.00\ ">
                  <c:v>17.279999999999998</c:v>
                </c:pt>
                <c:pt idx="45">
                  <c:v>19.3</c:v>
                </c:pt>
                <c:pt idx="46" formatCode="\ 0.00\ ">
                  <c:v>19.41</c:v>
                </c:pt>
                <c:pt idx="47">
                  <c:v>19.760000000000002</c:v>
                </c:pt>
                <c:pt idx="48" formatCode="\ 0.00\ ">
                  <c:v>19.87</c:v>
                </c:pt>
                <c:pt idx="49">
                  <c:v>20.23</c:v>
                </c:pt>
                <c:pt idx="50" formatCode="\ 0.00\ ">
                  <c:v>20.3</c:v>
                </c:pt>
                <c:pt idx="51" formatCode="\ 0.00\ ">
                  <c:v>20.350000000000001</c:v>
                </c:pt>
                <c:pt idx="52" formatCode="\ 0.00\ ">
                  <c:v>20.39</c:v>
                </c:pt>
                <c:pt idx="53" formatCode="\ 0.00\ ">
                  <c:v>20.420000000000002</c:v>
                </c:pt>
                <c:pt idx="54" formatCode="\ 0.00\ ">
                  <c:v>20.440000000000001</c:v>
                </c:pt>
                <c:pt idx="55">
                  <c:v>20.69</c:v>
                </c:pt>
                <c:pt idx="56" formatCode="\ 0.00\ ">
                  <c:v>20.77</c:v>
                </c:pt>
                <c:pt idx="57" formatCode="\ 0.00\ ">
                  <c:v>20.83</c:v>
                </c:pt>
                <c:pt idx="58" formatCode="\ 0.00\ ">
                  <c:v>20.88</c:v>
                </c:pt>
                <c:pt idx="59">
                  <c:v>21.16</c:v>
                </c:pt>
                <c:pt idx="60" formatCode="\ 0.00\ ">
                  <c:v>21.35</c:v>
                </c:pt>
                <c:pt idx="61" formatCode="\ 0.00\ ">
                  <c:v>21.520000000000003</c:v>
                </c:pt>
                <c:pt idx="62" formatCode="\ 0.00\ ">
                  <c:v>21.680000000000003</c:v>
                </c:pt>
                <c:pt idx="63" formatCode="\ 0.00\ ">
                  <c:v>21.830000000000002</c:v>
                </c:pt>
                <c:pt idx="64" formatCode="\ 0.00\ ">
                  <c:v>21.970000000000002</c:v>
                </c:pt>
                <c:pt idx="65">
                  <c:v>24.26</c:v>
                </c:pt>
                <c:pt idx="66" formatCode="\ 0.00\ ">
                  <c:v>24.380000000000003</c:v>
                </c:pt>
                <c:pt idx="67" formatCode="\ 0.00\ ">
                  <c:v>24.78</c:v>
                </c:pt>
                <c:pt idx="68" formatCode="\ 0.00\ ">
                  <c:v>24.900000000000002</c:v>
                </c:pt>
                <c:pt idx="69" formatCode="\ 0.00\ ">
                  <c:v>25.3</c:v>
                </c:pt>
                <c:pt idx="70" formatCode="\ 0.00\ ">
                  <c:v>25.37</c:v>
                </c:pt>
                <c:pt idx="71" formatCode="\ 0.00\ ">
                  <c:v>25.42</c:v>
                </c:pt>
                <c:pt idx="72" formatCode="\ 0.00\ ">
                  <c:v>25.46</c:v>
                </c:pt>
                <c:pt idx="73" formatCode="\ 0.00\ ">
                  <c:v>25.490000000000002</c:v>
                </c:pt>
                <c:pt idx="74" formatCode="\ 0.00\ ">
                  <c:v>25.520000000000003</c:v>
                </c:pt>
                <c:pt idx="75" formatCode="\ 0.00\ ">
                  <c:v>25.82</c:v>
                </c:pt>
                <c:pt idx="76" formatCode="\ 0.00\ ">
                  <c:v>25.91</c:v>
                </c:pt>
                <c:pt idx="77" formatCode="\ 0.00\ ">
                  <c:v>25.98</c:v>
                </c:pt>
                <c:pt idx="78" formatCode="\ 0.00\ ">
                  <c:v>26.03</c:v>
                </c:pt>
                <c:pt idx="79" formatCode="\ 0.00\ ">
                  <c:v>26.34</c:v>
                </c:pt>
                <c:pt idx="80" formatCode="\ 0.00\ ">
                  <c:v>26.55</c:v>
                </c:pt>
                <c:pt idx="81" formatCode="\ 0.00\ ">
                  <c:v>26.740000000000002</c:v>
                </c:pt>
                <c:pt idx="82" formatCode="\ 0.00\ ">
                  <c:v>26.910000000000004</c:v>
                </c:pt>
                <c:pt idx="83" formatCode="\ 0.00\ ">
                  <c:v>27.070000000000004</c:v>
                </c:pt>
                <c:pt idx="84" formatCode="\ 0.00\ ">
                  <c:v>27.210000000000004</c:v>
                </c:pt>
                <c:pt idx="85" formatCode="\ 0.00\ ">
                  <c:v>29.5</c:v>
                </c:pt>
                <c:pt idx="86" formatCode="\ 0.00\ ">
                  <c:v>29.81</c:v>
                </c:pt>
                <c:pt idx="87" formatCode="\ 0.00\ ">
                  <c:v>30.68</c:v>
                </c:pt>
                <c:pt idx="88" formatCode="\ 0.00\ ">
                  <c:v>30.98</c:v>
                </c:pt>
                <c:pt idx="89" formatCode="\ 0.00\ ">
                  <c:v>31.87</c:v>
                </c:pt>
                <c:pt idx="90" formatCode="\ 0.00\ ">
                  <c:v>32.020000000000003</c:v>
                </c:pt>
                <c:pt idx="91" formatCode="\ 0.00\ ">
                  <c:v>32.150000000000006</c:v>
                </c:pt>
                <c:pt idx="92" formatCode="\ 0.00\ ">
                  <c:v>32.260000000000005</c:v>
                </c:pt>
                <c:pt idx="93" formatCode="\ 0.00\ ">
                  <c:v>32.340000000000003</c:v>
                </c:pt>
                <c:pt idx="94" formatCode="\ 0.00\ ">
                  <c:v>32.410000000000004</c:v>
                </c:pt>
                <c:pt idx="95" formatCode="\ 0.00\ ">
                  <c:v>33.049999999999997</c:v>
                </c:pt>
                <c:pt idx="96" formatCode="\ 0.00\ ">
                  <c:v>33.239999999999995</c:v>
                </c:pt>
                <c:pt idx="97" formatCode="\ 0.00\ ">
                  <c:v>33.399999999999991</c:v>
                </c:pt>
                <c:pt idx="98" formatCode="\ 0.00\ ">
                  <c:v>33.539999999999992</c:v>
                </c:pt>
                <c:pt idx="99" formatCode="\ 0.00\ ">
                  <c:v>34.24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753229875391786"/>
          <c:y val="7.7586370189525078E-2"/>
          <c:w val="0.73201615574752188"/>
          <c:h val="0.7140818173590369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0.19983870967741937</c:v>
                </c:pt>
                <c:pt idx="1">
                  <c:v>0.20911392405063289</c:v>
                </c:pt>
                <c:pt idx="2">
                  <c:v>0.21836945304437566</c:v>
                </c:pt>
                <c:pt idx="3">
                  <c:v>0.23105263157894737</c:v>
                </c:pt>
                <c:pt idx="4">
                  <c:v>0.26117467581998477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633246693677854"/>
              <c:y val="0.893679971038102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28161999786750658"/>
          <c:min val="0.17939338762989757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5556652559402253E-2"/>
      </c:valAx>
      <c:spPr>
        <a:noFill/>
        <a:ln w="19050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08731452585251"/>
          <c:y val="0.10794365843711767"/>
          <c:w val="0.71548457408339361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81.592511520679494</c:v>
                </c:pt>
                <c:pt idx="2">
                  <c:v>77.672227526014865</c:v>
                </c:pt>
                <c:pt idx="3">
                  <c:v>73.931952697034475</c:v>
                </c:pt>
                <c:pt idx="4">
                  <c:v>70.680478479842535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1.516666666666666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6146360147166686E-2"/>
              <c:y val="0.2341843011811023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06371086254804"/>
          <c:y val="8.6580541068730046E-2"/>
          <c:w val="0.77393963896322249"/>
          <c:h val="0.689757416686550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12.39</c:v>
                </c:pt>
                <c:pt idx="1">
                  <c:v>16.52</c:v>
                </c:pt>
                <c:pt idx="2">
                  <c:v>21.16</c:v>
                </c:pt>
                <c:pt idx="3">
                  <c:v>26.34</c:v>
                </c:pt>
                <c:pt idx="4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82749264343709"/>
              <c:y val="0.884559884559884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4.1440553427154123E-2"/>
              <c:y val="0.23232414130051923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947806202336296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0.19983870967741937</c:v>
                </c:pt>
                <c:pt idx="2">
                  <c:v>0.20911392405063289</c:v>
                </c:pt>
                <c:pt idx="3">
                  <c:v>0.21836945304437566</c:v>
                </c:pt>
                <c:pt idx="4">
                  <c:v>0.23105263157894737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5109349577139"/>
              <c:y val="0.869753190722404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28161999786750658"/>
          <c:min val="0.17939338762989757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581170020356344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555665255940225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>
                  <c:v>14.86</c:v>
                </c:pt>
                <c:pt idx="21">
                  <c:v>15.28</c:v>
                </c:pt>
                <c:pt idx="22">
                  <c:v>15.69</c:v>
                </c:pt>
                <c:pt idx="23">
                  <c:v>16.100000000000001</c:v>
                </c:pt>
                <c:pt idx="24">
                  <c:v>16.52</c:v>
                </c:pt>
                <c:pt idx="25">
                  <c:v>19.3</c:v>
                </c:pt>
                <c:pt idx="26">
                  <c:v>19.760000000000002</c:v>
                </c:pt>
                <c:pt idx="27">
                  <c:v>20.23</c:v>
                </c:pt>
                <c:pt idx="28">
                  <c:v>20.69</c:v>
                </c:pt>
                <c:pt idx="29">
                  <c:v>21.16</c:v>
                </c:pt>
                <c:pt idx="30">
                  <c:v>24.26</c:v>
                </c:pt>
                <c:pt idx="31">
                  <c:v>24.78</c:v>
                </c:pt>
                <c:pt idx="32">
                  <c:v>25.3</c:v>
                </c:pt>
                <c:pt idx="33">
                  <c:v>25.82</c:v>
                </c:pt>
                <c:pt idx="34">
                  <c:v>26.34</c:v>
                </c:pt>
                <c:pt idx="35">
                  <c:v>29.5</c:v>
                </c:pt>
                <c:pt idx="36">
                  <c:v>30.68</c:v>
                </c:pt>
                <c:pt idx="37">
                  <c:v>31.87</c:v>
                </c:pt>
                <c:pt idx="38">
                  <c:v>33.049999999999997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-4.6397738646406594</c:v>
                </c:pt>
                <c:pt idx="1">
                  <c:v>-2.1741529562295163</c:v>
                </c:pt>
                <c:pt idx="2">
                  <c:v>-0.73185718381496301</c:v>
                </c:pt>
                <c:pt idx="3">
                  <c:v>0.29146795218163035</c:v>
                </c:pt>
                <c:pt idx="4">
                  <c:v>1.0852205939408748</c:v>
                </c:pt>
                <c:pt idx="5">
                  <c:v>3.5508415023520215</c:v>
                </c:pt>
                <c:pt idx="6">
                  <c:v>4.9931372747665712</c:v>
                </c:pt>
                <c:pt idx="7">
                  <c:v>6.0164624107631646</c:v>
                </c:pt>
                <c:pt idx="8">
                  <c:v>6.810215052522409</c:v>
                </c:pt>
                <c:pt idx="9">
                  <c:v>7.4587581831777143</c:v>
                </c:pt>
                <c:pt idx="10">
                  <c:v>8.0070935870970388</c:v>
                </c:pt>
                <c:pt idx="11">
                  <c:v>8.4820833191743077</c:v>
                </c:pt>
                <c:pt idx="12">
                  <c:v>8.9010539555922676</c:v>
                </c:pt>
                <c:pt idx="13">
                  <c:v>9.2758359609335557</c:v>
                </c:pt>
                <c:pt idx="14">
                  <c:v>9.6148675240715988</c:v>
                </c:pt>
                <c:pt idx="15">
                  <c:v>9.9243790915888539</c:v>
                </c:pt>
                <c:pt idx="16">
                  <c:v>10.718131733348109</c:v>
                </c:pt>
                <c:pt idx="17">
                  <c:v>11.366674864003407</c:v>
                </c:pt>
                <c:pt idx="18">
                  <c:v>11.915010267922739</c:v>
                </c:pt>
                <c:pt idx="19">
                  <c:v>12.39</c:v>
                </c:pt>
                <c:pt idx="20">
                  <c:v>13.741114008565532</c:v>
                </c:pt>
                <c:pt idx="21">
                  <c:v>14.077007179760429</c:v>
                </c:pt>
                <c:pt idx="22">
                  <c:v>14.389716240879039</c:v>
                </c:pt>
                <c:pt idx="23">
                  <c:v>15.216085713810799</c:v>
                </c:pt>
                <c:pt idx="24">
                  <c:v>16.520000000000003</c:v>
                </c:pt>
                <c:pt idx="25">
                  <c:v>19.132779698048431</c:v>
                </c:pt>
                <c:pt idx="26">
                  <c:v>19.350825845085232</c:v>
                </c:pt>
                <c:pt idx="27">
                  <c:v>19.560641843902104</c:v>
                </c:pt>
                <c:pt idx="28">
                  <c:v>20.14638984902421</c:v>
                </c:pt>
                <c:pt idx="29">
                  <c:v>21.160000000000004</c:v>
                </c:pt>
                <c:pt idx="30">
                  <c:v>24.637606420560786</c:v>
                </c:pt>
                <c:pt idx="31">
                  <c:v>24.812031317568824</c:v>
                </c:pt>
                <c:pt idx="32">
                  <c:v>24.981925181483589</c:v>
                </c:pt>
                <c:pt idx="33">
                  <c:v>25.466631782954707</c:v>
                </c:pt>
                <c:pt idx="34">
                  <c:v>26.340000000000003</c:v>
                </c:pt>
                <c:pt idx="35">
                  <c:v>32.716687842642862</c:v>
                </c:pt>
                <c:pt idx="36">
                  <c:v>32.868645089856308</c:v>
                </c:pt>
                <c:pt idx="37">
                  <c:v>33.017593084015054</c:v>
                </c:pt>
                <c:pt idx="38">
                  <c:v>33.447517404834805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>
                  <c:v>14.86</c:v>
                </c:pt>
                <c:pt idx="21">
                  <c:v>15.28</c:v>
                </c:pt>
                <c:pt idx="22">
                  <c:v>15.69</c:v>
                </c:pt>
                <c:pt idx="23">
                  <c:v>16.100000000000001</c:v>
                </c:pt>
                <c:pt idx="24">
                  <c:v>16.52</c:v>
                </c:pt>
                <c:pt idx="25">
                  <c:v>19.3</c:v>
                </c:pt>
                <c:pt idx="26">
                  <c:v>19.760000000000002</c:v>
                </c:pt>
                <c:pt idx="27">
                  <c:v>20.23</c:v>
                </c:pt>
                <c:pt idx="28">
                  <c:v>20.69</c:v>
                </c:pt>
                <c:pt idx="29">
                  <c:v>21.16</c:v>
                </c:pt>
                <c:pt idx="30">
                  <c:v>24.26</c:v>
                </c:pt>
                <c:pt idx="31">
                  <c:v>24.78</c:v>
                </c:pt>
                <c:pt idx="32">
                  <c:v>25.3</c:v>
                </c:pt>
                <c:pt idx="33">
                  <c:v>25.82</c:v>
                </c:pt>
                <c:pt idx="34">
                  <c:v>26.34</c:v>
                </c:pt>
                <c:pt idx="35">
                  <c:v>29.5</c:v>
                </c:pt>
                <c:pt idx="36">
                  <c:v>30.68</c:v>
                </c:pt>
                <c:pt idx="37">
                  <c:v>31.87</c:v>
                </c:pt>
                <c:pt idx="38">
                  <c:v>33.049999999999997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25.447812272514188</c:v>
                </c:pt>
                <c:pt idx="1">
                  <c:v>22.730873979314961</c:v>
                </c:pt>
                <c:pt idx="2">
                  <c:v>20.304009882278585</c:v>
                </c:pt>
                <c:pt idx="3">
                  <c:v>18.136250180033343</c:v>
                </c:pt>
                <c:pt idx="4">
                  <c:v>16.199931565234571</c:v>
                </c:pt>
                <c:pt idx="5">
                  <c:v>11.545433006979898</c:v>
                </c:pt>
                <c:pt idx="6">
                  <c:v>10.708303710181907</c:v>
                </c:pt>
                <c:pt idx="7">
                  <c:v>8.543819092410061</c:v>
                </c:pt>
                <c:pt idx="8">
                  <c:v>7.6316373687415222</c:v>
                </c:pt>
                <c:pt idx="9">
                  <c:v>6.8168448205687575</c:v>
                </c:pt>
                <c:pt idx="10">
                  <c:v>6.5650590248679412</c:v>
                </c:pt>
                <c:pt idx="11">
                  <c:v>6.3225731455632559</c:v>
                </c:pt>
                <c:pt idx="12">
                  <c:v>6.0890436825587821</c:v>
                </c:pt>
                <c:pt idx="13">
                  <c:v>5.8641398232184461</c:v>
                </c:pt>
                <c:pt idx="14">
                  <c:v>5.6475429737442191</c:v>
                </c:pt>
                <c:pt idx="15">
                  <c:v>5.4389463078632287</c:v>
                </c:pt>
                <c:pt idx="16">
                  <c:v>5.2380543321845012</c:v>
                </c:pt>
                <c:pt idx="17">
                  <c:v>5.0445824676096027</c:v>
                </c:pt>
                <c:pt idx="18">
                  <c:v>4.8582566462042243</c:v>
                </c:pt>
                <c:pt idx="19">
                  <c:v>4.3395643759646116</c:v>
                </c:pt>
                <c:pt idx="20">
                  <c:v>4.1792789802782835</c:v>
                </c:pt>
                <c:pt idx="21">
                  <c:v>3.3345153920371096</c:v>
                </c:pt>
                <c:pt idx="22">
                  <c:v>2.6605050661135872</c:v>
                </c:pt>
                <c:pt idx="23">
                  <c:v>2.1227334033962348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666750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38099</xdr:colOff>
      <xdr:row>28</xdr:row>
      <xdr:rowOff>57149</xdr:rowOff>
    </xdr:from>
    <xdr:to>
      <xdr:col>11</xdr:col>
      <xdr:colOff>671635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495300</xdr:colOff>
      <xdr:row>1</xdr:row>
      <xdr:rowOff>0</xdr:rowOff>
    </xdr:from>
    <xdr:to>
      <xdr:col>17</xdr:col>
      <xdr:colOff>447675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676525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5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5.emf"/><Relationship Id="rId4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7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-3.85</v>
      </c>
      <c r="E1" s="6">
        <v>1</v>
      </c>
      <c r="F1" s="6">
        <f>StepTest!G12</f>
        <v>-3.85</v>
      </c>
    </row>
    <row r="2" spans="1:6">
      <c r="A2" s="100">
        <v>2</v>
      </c>
      <c r="B2" s="6">
        <f t="shared" ref="B2:B20" si="0">F2</f>
        <v>-2.1800000000000002</v>
      </c>
      <c r="E2" s="6">
        <v>2</v>
      </c>
      <c r="F2" s="6">
        <f>StepTest!G13</f>
        <v>-2.1800000000000002</v>
      </c>
    </row>
    <row r="3" spans="1:6">
      <c r="A3" s="100">
        <v>3</v>
      </c>
      <c r="B3" s="6">
        <f t="shared" si="0"/>
        <v>-0.74</v>
      </c>
      <c r="E3" s="6">
        <v>3</v>
      </c>
      <c r="F3" s="6">
        <f>StepTest!G14</f>
        <v>-0.74</v>
      </c>
    </row>
    <row r="4" spans="1:6">
      <c r="A4" s="100">
        <v>4</v>
      </c>
      <c r="B4" s="6">
        <f t="shared" si="0"/>
        <v>0.28999999999999998</v>
      </c>
      <c r="E4" s="6">
        <v>4</v>
      </c>
      <c r="F4" s="6">
        <f>StepTest!G15</f>
        <v>0.28999999999999998</v>
      </c>
    </row>
    <row r="5" spans="1:6">
      <c r="A5" s="100">
        <v>5</v>
      </c>
      <c r="B5" s="6">
        <f t="shared" si="0"/>
        <v>1.08</v>
      </c>
      <c r="E5" s="6">
        <v>5</v>
      </c>
      <c r="F5" s="6">
        <f>StepTest!G16</f>
        <v>1.08</v>
      </c>
    </row>
    <row r="6" spans="1:6">
      <c r="A6" s="100">
        <v>10</v>
      </c>
      <c r="B6" s="6">
        <f t="shared" si="0"/>
        <v>3.55</v>
      </c>
      <c r="E6" s="6">
        <v>10</v>
      </c>
      <c r="F6" s="6">
        <f>StepTest!G17</f>
        <v>3.55</v>
      </c>
    </row>
    <row r="7" spans="1:6">
      <c r="A7" s="100">
        <v>15</v>
      </c>
      <c r="B7" s="6">
        <f t="shared" si="0"/>
        <v>4.99</v>
      </c>
      <c r="E7" s="6">
        <v>15</v>
      </c>
      <c r="F7" s="6">
        <f>StepTest!G18</f>
        <v>4.99</v>
      </c>
    </row>
    <row r="8" spans="1:6">
      <c r="A8" s="100">
        <v>20</v>
      </c>
      <c r="B8" s="6">
        <f t="shared" si="0"/>
        <v>6.01</v>
      </c>
      <c r="E8" s="6">
        <v>20</v>
      </c>
      <c r="F8" s="6">
        <f>StepTest!G19</f>
        <v>6.01</v>
      </c>
    </row>
    <row r="9" spans="1:6">
      <c r="A9" s="100">
        <v>25</v>
      </c>
      <c r="B9" s="6">
        <f t="shared" si="0"/>
        <v>6.81</v>
      </c>
      <c r="E9" s="6">
        <v>25</v>
      </c>
      <c r="F9" s="6">
        <f>StepTest!G20</f>
        <v>6.81</v>
      </c>
    </row>
    <row r="10" spans="1:6">
      <c r="A10" s="100">
        <v>30</v>
      </c>
      <c r="B10" s="6">
        <f t="shared" si="0"/>
        <v>7.45</v>
      </c>
      <c r="E10" s="6">
        <v>30</v>
      </c>
      <c r="F10" s="6">
        <f>StepTest!G21</f>
        <v>7.45</v>
      </c>
    </row>
    <row r="11" spans="1:6">
      <c r="A11" s="100">
        <v>35</v>
      </c>
      <c r="B11" s="6">
        <f t="shared" si="0"/>
        <v>8</v>
      </c>
      <c r="E11" s="6">
        <v>35</v>
      </c>
      <c r="F11" s="6">
        <f>StepTest!G22</f>
        <v>8</v>
      </c>
    </row>
    <row r="12" spans="1:6">
      <c r="A12" s="100">
        <v>40</v>
      </c>
      <c r="B12" s="6">
        <f t="shared" si="0"/>
        <v>8.48</v>
      </c>
      <c r="E12" s="6">
        <v>40</v>
      </c>
      <c r="F12" s="6">
        <f>StepTest!G23</f>
        <v>8.48</v>
      </c>
    </row>
    <row r="13" spans="1:6">
      <c r="A13" s="100">
        <v>45</v>
      </c>
      <c r="B13" s="6">
        <f t="shared" si="0"/>
        <v>8.9</v>
      </c>
      <c r="E13" s="6">
        <v>45</v>
      </c>
      <c r="F13" s="6">
        <f>StepTest!G24</f>
        <v>8.9</v>
      </c>
    </row>
    <row r="14" spans="1:6">
      <c r="A14" s="100">
        <v>50</v>
      </c>
      <c r="B14" s="6">
        <f t="shared" si="0"/>
        <v>9.27</v>
      </c>
      <c r="E14" s="6">
        <v>50</v>
      </c>
      <c r="F14" s="6">
        <f>StepTest!G25</f>
        <v>9.27</v>
      </c>
    </row>
    <row r="15" spans="1:6">
      <c r="A15" s="100">
        <v>55</v>
      </c>
      <c r="B15" s="6">
        <f t="shared" si="0"/>
        <v>9.61</v>
      </c>
      <c r="E15" s="6">
        <v>55</v>
      </c>
      <c r="F15" s="6">
        <f>StepTest!G26</f>
        <v>9.61</v>
      </c>
    </row>
    <row r="16" spans="1:6">
      <c r="A16" s="100">
        <v>60</v>
      </c>
      <c r="B16" s="6">
        <f t="shared" si="0"/>
        <v>9.92</v>
      </c>
      <c r="E16" s="6">
        <v>60</v>
      </c>
      <c r="F16" s="6">
        <f>StepTest!G27</f>
        <v>9.92</v>
      </c>
    </row>
    <row r="17" spans="1:6">
      <c r="A17" s="100">
        <v>75</v>
      </c>
      <c r="B17" s="6">
        <f t="shared" si="0"/>
        <v>10.71</v>
      </c>
      <c r="E17" s="6">
        <v>75</v>
      </c>
      <c r="F17" s="6">
        <f>StepTest!G28</f>
        <v>10.71</v>
      </c>
    </row>
    <row r="18" spans="1:6">
      <c r="A18" s="100">
        <v>90</v>
      </c>
      <c r="B18" s="6">
        <f t="shared" si="0"/>
        <v>11.36</v>
      </c>
      <c r="E18" s="6">
        <v>90</v>
      </c>
      <c r="F18" s="6">
        <f>StepTest!G29</f>
        <v>11.36</v>
      </c>
    </row>
    <row r="19" spans="1:6">
      <c r="A19" s="100">
        <v>105</v>
      </c>
      <c r="B19" s="6">
        <f t="shared" si="0"/>
        <v>11.91</v>
      </c>
      <c r="E19" s="6">
        <v>105</v>
      </c>
      <c r="F19" s="6">
        <f>StepTest!G30</f>
        <v>11.91</v>
      </c>
    </row>
    <row r="20" spans="1:6">
      <c r="A20" s="101">
        <v>120</v>
      </c>
      <c r="B20" s="102">
        <f t="shared" si="0"/>
        <v>12.39</v>
      </c>
      <c r="C20" s="102">
        <f>B26-B20</f>
        <v>2.4699999999999989</v>
      </c>
      <c r="D20" s="103">
        <f>C20/10</f>
        <v>0.24699999999999989</v>
      </c>
      <c r="E20" s="6">
        <v>120</v>
      </c>
      <c r="F20" s="6">
        <f>StepTest!G31</f>
        <v>12.39</v>
      </c>
    </row>
    <row r="21" spans="1:6">
      <c r="A21" s="100">
        <v>121</v>
      </c>
      <c r="B21" s="104">
        <f>B20+D21</f>
        <v>12.55</v>
      </c>
      <c r="D21" s="6">
        <v>0.16</v>
      </c>
      <c r="E21" s="6">
        <v>130</v>
      </c>
      <c r="F21" s="6">
        <f>StepTest!G32</f>
        <v>14.86</v>
      </c>
    </row>
    <row r="22" spans="1:6">
      <c r="A22" s="100">
        <v>122</v>
      </c>
      <c r="B22" s="104">
        <f>B21+D22</f>
        <v>12.700000000000001</v>
      </c>
      <c r="D22" s="6">
        <v>0.15</v>
      </c>
      <c r="E22" s="6">
        <v>140</v>
      </c>
      <c r="F22" s="6">
        <f>StepTest!G33</f>
        <v>15.28</v>
      </c>
    </row>
    <row r="23" spans="1:6">
      <c r="A23" s="100">
        <v>123</v>
      </c>
      <c r="B23" s="104">
        <f>B22+D23</f>
        <v>12.840000000000002</v>
      </c>
      <c r="D23" s="6">
        <v>0.14000000000000001</v>
      </c>
      <c r="E23" s="6">
        <v>150</v>
      </c>
      <c r="F23" s="6">
        <f>StepTest!G34</f>
        <v>15.69</v>
      </c>
    </row>
    <row r="24" spans="1:6">
      <c r="A24" s="100">
        <v>124</v>
      </c>
      <c r="B24" s="104">
        <f>B23+D24</f>
        <v>12.970000000000002</v>
      </c>
      <c r="D24" s="6">
        <v>0.13</v>
      </c>
      <c r="E24" s="6">
        <v>180</v>
      </c>
      <c r="F24" s="6">
        <f>StepTest!G35</f>
        <v>16.100000000000001</v>
      </c>
    </row>
    <row r="25" spans="1:6">
      <c r="A25" s="100">
        <v>125</v>
      </c>
      <c r="B25" s="104">
        <f>B24+D25</f>
        <v>13.100000000000003</v>
      </c>
      <c r="D25" s="6">
        <v>0.13</v>
      </c>
      <c r="E25" s="6">
        <v>240</v>
      </c>
      <c r="F25" s="6">
        <f>StepTest!G36</f>
        <v>16.52</v>
      </c>
    </row>
    <row r="26" spans="1:6">
      <c r="A26" s="100">
        <v>130</v>
      </c>
      <c r="B26" s="102">
        <f>F21</f>
        <v>14.86</v>
      </c>
      <c r="C26" s="102">
        <f>B28-B26</f>
        <v>0.41999999999999993</v>
      </c>
      <c r="D26" s="102">
        <f>C26/2</f>
        <v>0.20999999999999996</v>
      </c>
      <c r="E26" s="6">
        <v>250</v>
      </c>
      <c r="F26" s="6">
        <f>StepTest!G37</f>
        <v>19.3</v>
      </c>
    </row>
    <row r="27" spans="1:6">
      <c r="A27" s="100">
        <v>135</v>
      </c>
      <c r="B27" s="104">
        <f>B26+D27</f>
        <v>14.969999999999999</v>
      </c>
      <c r="D27" s="6">
        <v>0.11</v>
      </c>
      <c r="E27" s="6">
        <v>260</v>
      </c>
      <c r="F27" s="6">
        <f>StepTest!G38</f>
        <v>19.760000000000002</v>
      </c>
    </row>
    <row r="28" spans="1:6">
      <c r="A28" s="100">
        <v>140</v>
      </c>
      <c r="B28" s="102">
        <f>F22</f>
        <v>15.28</v>
      </c>
      <c r="C28" s="102">
        <f>B30-B28</f>
        <v>0.41000000000000014</v>
      </c>
      <c r="D28" s="102">
        <f>C28/2</f>
        <v>0.20500000000000007</v>
      </c>
      <c r="E28" s="6">
        <v>270</v>
      </c>
      <c r="F28" s="6">
        <f>StepTest!G39</f>
        <v>20.23</v>
      </c>
    </row>
    <row r="29" spans="1:6">
      <c r="A29" s="100">
        <v>145</v>
      </c>
      <c r="B29" s="104">
        <f>B28+D29</f>
        <v>15.379999999999999</v>
      </c>
      <c r="D29" s="6">
        <v>0.1</v>
      </c>
      <c r="E29" s="6">
        <v>300</v>
      </c>
      <c r="F29" s="6">
        <f>StepTest!G40</f>
        <v>20.69</v>
      </c>
    </row>
    <row r="30" spans="1:6">
      <c r="A30" s="100">
        <v>150</v>
      </c>
      <c r="B30" s="102">
        <f>F23</f>
        <v>15.69</v>
      </c>
      <c r="C30" s="102">
        <f>B36-B30</f>
        <v>0.41000000000000192</v>
      </c>
      <c r="D30" s="105">
        <f>C30/6</f>
        <v>6.8333333333333648E-2</v>
      </c>
      <c r="E30" s="6">
        <v>360</v>
      </c>
      <c r="F30" s="6">
        <f>StepTest!G41</f>
        <v>21.16</v>
      </c>
    </row>
    <row r="31" spans="1:6">
      <c r="A31" s="100">
        <v>155</v>
      </c>
      <c r="B31" s="104">
        <f>B30+D31</f>
        <v>15.75</v>
      </c>
      <c r="D31" s="6">
        <v>0.06</v>
      </c>
    </row>
    <row r="32" spans="1:6">
      <c r="A32" s="100">
        <v>160</v>
      </c>
      <c r="B32" s="104">
        <f t="shared" ref="B32:B39" si="1">B31+D32</f>
        <v>15.8</v>
      </c>
      <c r="D32" s="6">
        <v>0.05</v>
      </c>
    </row>
    <row r="33" spans="1:4">
      <c r="A33" s="100">
        <v>165</v>
      </c>
      <c r="B33" s="104">
        <f t="shared" si="1"/>
        <v>15.84</v>
      </c>
      <c r="D33" s="6">
        <v>0.04</v>
      </c>
    </row>
    <row r="34" spans="1:4">
      <c r="A34" s="100">
        <v>170</v>
      </c>
      <c r="B34" s="104">
        <f t="shared" si="1"/>
        <v>15.87</v>
      </c>
      <c r="D34" s="6">
        <v>0.03</v>
      </c>
    </row>
    <row r="35" spans="1:4">
      <c r="A35" s="100">
        <v>175</v>
      </c>
      <c r="B35" s="104">
        <f t="shared" si="1"/>
        <v>15.889999999999999</v>
      </c>
      <c r="D35" s="6">
        <v>0.02</v>
      </c>
    </row>
    <row r="36" spans="1:4">
      <c r="A36" s="100">
        <v>180</v>
      </c>
      <c r="B36" s="102">
        <f>F24</f>
        <v>16.100000000000001</v>
      </c>
      <c r="C36" s="102">
        <f>B40-B36</f>
        <v>0.41999999999999815</v>
      </c>
      <c r="D36" s="102">
        <f>C36/4</f>
        <v>0.10499999999999954</v>
      </c>
    </row>
    <row r="37" spans="1:4">
      <c r="A37" s="100">
        <v>195</v>
      </c>
      <c r="B37" s="104">
        <f t="shared" si="1"/>
        <v>16.170000000000002</v>
      </c>
      <c r="D37" s="6">
        <v>7.0000000000000007E-2</v>
      </c>
    </row>
    <row r="38" spans="1:4">
      <c r="A38" s="100">
        <v>210</v>
      </c>
      <c r="B38" s="104">
        <f t="shared" si="1"/>
        <v>16.23</v>
      </c>
      <c r="D38" s="6">
        <v>0.06</v>
      </c>
    </row>
    <row r="39" spans="1:4">
      <c r="A39" s="100">
        <v>225</v>
      </c>
      <c r="B39" s="104">
        <f t="shared" si="1"/>
        <v>16.28</v>
      </c>
      <c r="D39" s="6">
        <v>0.05</v>
      </c>
    </row>
    <row r="40" spans="1:4">
      <c r="A40" s="101">
        <v>240</v>
      </c>
      <c r="B40" s="102">
        <f>F25</f>
        <v>16.52</v>
      </c>
      <c r="C40" s="102">
        <f>B46-B40</f>
        <v>2.7800000000000011</v>
      </c>
      <c r="D40" s="103">
        <f>C40/10</f>
        <v>0.27800000000000014</v>
      </c>
    </row>
    <row r="41" spans="1:4">
      <c r="A41" s="100">
        <v>241</v>
      </c>
      <c r="B41" s="104">
        <f>B40+D41</f>
        <v>16.7</v>
      </c>
      <c r="D41" s="6">
        <v>0.18</v>
      </c>
    </row>
    <row r="42" spans="1:4">
      <c r="A42" s="100">
        <v>242</v>
      </c>
      <c r="B42" s="104">
        <f>B41+D42</f>
        <v>16.86</v>
      </c>
      <c r="D42" s="6">
        <v>0.16</v>
      </c>
    </row>
    <row r="43" spans="1:4">
      <c r="A43" s="100">
        <v>243</v>
      </c>
      <c r="B43" s="104">
        <f>B42+D43</f>
        <v>17.009999999999998</v>
      </c>
      <c r="D43" s="6">
        <v>0.15</v>
      </c>
    </row>
    <row r="44" spans="1:4">
      <c r="A44" s="100">
        <v>244</v>
      </c>
      <c r="B44" s="104">
        <f>B43+D44</f>
        <v>17.149999999999999</v>
      </c>
      <c r="D44" s="6">
        <v>0.14000000000000001</v>
      </c>
    </row>
    <row r="45" spans="1:4">
      <c r="A45" s="100">
        <v>245</v>
      </c>
      <c r="B45" s="104">
        <f>B44+D45</f>
        <v>17.279999999999998</v>
      </c>
      <c r="D45" s="6">
        <v>0.13</v>
      </c>
    </row>
    <row r="46" spans="1:4">
      <c r="A46" s="100">
        <v>250</v>
      </c>
      <c r="B46" s="102">
        <f>F26</f>
        <v>19.3</v>
      </c>
      <c r="C46" s="102">
        <f>B48-B46</f>
        <v>0.46000000000000085</v>
      </c>
      <c r="D46" s="102">
        <f>C46/2</f>
        <v>0.23000000000000043</v>
      </c>
    </row>
    <row r="47" spans="1:4">
      <c r="A47" s="100">
        <v>255</v>
      </c>
      <c r="B47" s="104">
        <f>B46+D47</f>
        <v>19.41</v>
      </c>
      <c r="D47" s="6">
        <v>0.11</v>
      </c>
    </row>
    <row r="48" spans="1:4">
      <c r="A48" s="100">
        <v>260</v>
      </c>
      <c r="B48" s="102">
        <f>F27</f>
        <v>19.760000000000002</v>
      </c>
      <c r="C48" s="102">
        <f>B50-B48</f>
        <v>0.46999999999999886</v>
      </c>
      <c r="D48" s="102">
        <f>C48/2</f>
        <v>0.23499999999999943</v>
      </c>
    </row>
    <row r="49" spans="1:6">
      <c r="A49" s="100">
        <v>265</v>
      </c>
      <c r="B49" s="104">
        <f>B48+D49</f>
        <v>19.87</v>
      </c>
      <c r="D49" s="6">
        <v>0.11</v>
      </c>
    </row>
    <row r="50" spans="1:6">
      <c r="A50" s="100">
        <v>270</v>
      </c>
      <c r="B50" s="102">
        <f>F28</f>
        <v>20.23</v>
      </c>
      <c r="C50" s="102">
        <f>B56-B50</f>
        <v>0.46000000000000085</v>
      </c>
      <c r="D50" s="105">
        <f>C50/6</f>
        <v>7.6666666666666813E-2</v>
      </c>
    </row>
    <row r="51" spans="1:6">
      <c r="A51" s="100">
        <v>275</v>
      </c>
      <c r="B51" s="104">
        <f>B50+D51</f>
        <v>20.3</v>
      </c>
      <c r="D51" s="6">
        <v>7.0000000000000007E-2</v>
      </c>
    </row>
    <row r="52" spans="1:6">
      <c r="A52" s="100">
        <v>280</v>
      </c>
      <c r="B52" s="104">
        <f>B51+D52</f>
        <v>20.350000000000001</v>
      </c>
      <c r="D52" s="6">
        <v>0.05</v>
      </c>
    </row>
    <row r="53" spans="1:6">
      <c r="A53" s="100">
        <v>285</v>
      </c>
      <c r="B53" s="104">
        <f>B52+D53</f>
        <v>20.39</v>
      </c>
      <c r="D53" s="6">
        <v>0.04</v>
      </c>
    </row>
    <row r="54" spans="1:6">
      <c r="A54" s="100">
        <v>290</v>
      </c>
      <c r="B54" s="104">
        <f>B53+D54</f>
        <v>20.420000000000002</v>
      </c>
      <c r="D54" s="6">
        <v>0.03</v>
      </c>
    </row>
    <row r="55" spans="1:6">
      <c r="A55" s="100">
        <v>295</v>
      </c>
      <c r="B55" s="104">
        <f>B54+D55</f>
        <v>20.440000000000001</v>
      </c>
      <c r="D55" s="6">
        <v>0.02</v>
      </c>
    </row>
    <row r="56" spans="1:6">
      <c r="A56" s="100">
        <v>300</v>
      </c>
      <c r="B56" s="102">
        <f>F29</f>
        <v>20.69</v>
      </c>
      <c r="C56" s="102">
        <f>B60-B56</f>
        <v>0.46999999999999886</v>
      </c>
      <c r="D56" s="102">
        <f>C56/4</f>
        <v>0.11749999999999972</v>
      </c>
    </row>
    <row r="57" spans="1:6">
      <c r="A57" s="100">
        <v>315</v>
      </c>
      <c r="B57" s="104">
        <f>B56+D57</f>
        <v>20.77</v>
      </c>
      <c r="D57" s="6">
        <v>0.08</v>
      </c>
    </row>
    <row r="58" spans="1:6">
      <c r="A58" s="100">
        <v>330</v>
      </c>
      <c r="B58" s="104">
        <f>B57+D58</f>
        <v>20.83</v>
      </c>
      <c r="D58" s="6">
        <v>0.06</v>
      </c>
    </row>
    <row r="59" spans="1:6">
      <c r="A59" s="100">
        <v>345</v>
      </c>
      <c r="B59" s="104">
        <f>B58+D59</f>
        <v>20.88</v>
      </c>
      <c r="D59" s="6">
        <v>0.05</v>
      </c>
    </row>
    <row r="60" spans="1:6">
      <c r="A60" s="101">
        <v>360</v>
      </c>
      <c r="B60" s="102">
        <f>F30</f>
        <v>21.16</v>
      </c>
      <c r="C60" s="102">
        <f>B66-B60</f>
        <v>3.1000000000000014</v>
      </c>
      <c r="D60" s="103">
        <f>C60/10</f>
        <v>0.31000000000000016</v>
      </c>
    </row>
    <row r="61" spans="1:6">
      <c r="A61" s="100">
        <v>361</v>
      </c>
      <c r="B61" s="104">
        <f>B60+D61</f>
        <v>21.35</v>
      </c>
      <c r="D61" s="6">
        <v>0.19</v>
      </c>
    </row>
    <row r="62" spans="1:6">
      <c r="A62" s="100">
        <v>362</v>
      </c>
      <c r="B62" s="104">
        <f>B61+D62</f>
        <v>21.520000000000003</v>
      </c>
      <c r="D62" s="6">
        <v>0.17</v>
      </c>
    </row>
    <row r="63" spans="1:6">
      <c r="A63" s="100">
        <v>363</v>
      </c>
      <c r="B63" s="104">
        <f>B62+D63</f>
        <v>21.680000000000003</v>
      </c>
      <c r="D63" s="6">
        <v>0.16</v>
      </c>
      <c r="E63" s="6">
        <v>370</v>
      </c>
      <c r="F63" s="6">
        <f>StepTest!G42</f>
        <v>24.26</v>
      </c>
    </row>
    <row r="64" spans="1:6">
      <c r="A64" s="100">
        <v>364</v>
      </c>
      <c r="B64" s="104">
        <f>B63+D64</f>
        <v>21.830000000000002</v>
      </c>
      <c r="D64" s="6">
        <v>0.15</v>
      </c>
      <c r="E64" s="6">
        <v>380</v>
      </c>
      <c r="F64" s="6">
        <f>StepTest!G43</f>
        <v>24.78</v>
      </c>
    </row>
    <row r="65" spans="1:6">
      <c r="A65" s="100">
        <v>365</v>
      </c>
      <c r="B65" s="104">
        <f>B64+D65</f>
        <v>21.970000000000002</v>
      </c>
      <c r="D65" s="6">
        <v>0.14000000000000001</v>
      </c>
      <c r="E65" s="6">
        <v>390</v>
      </c>
      <c r="F65" s="6">
        <f>StepTest!G44</f>
        <v>25.3</v>
      </c>
    </row>
    <row r="66" spans="1:6">
      <c r="A66" s="100">
        <v>370</v>
      </c>
      <c r="B66" s="102">
        <f>F63</f>
        <v>24.26</v>
      </c>
      <c r="C66" s="106">
        <f>B68-B66</f>
        <v>0.51999999999999957</v>
      </c>
      <c r="D66" s="102">
        <f>C66/2</f>
        <v>0.25999999999999979</v>
      </c>
      <c r="E66" s="6">
        <v>420</v>
      </c>
      <c r="F66" s="6">
        <f>StepTest!G45</f>
        <v>25.82</v>
      </c>
    </row>
    <row r="67" spans="1:6">
      <c r="A67" s="100">
        <v>375</v>
      </c>
      <c r="B67" s="104">
        <f>B66+D67</f>
        <v>24.380000000000003</v>
      </c>
      <c r="D67" s="6">
        <v>0.12</v>
      </c>
      <c r="E67" s="6">
        <v>480</v>
      </c>
      <c r="F67" s="6">
        <f>StepTest!G46</f>
        <v>26.34</v>
      </c>
    </row>
    <row r="68" spans="1:6">
      <c r="A68" s="100">
        <v>380</v>
      </c>
      <c r="B68" s="107">
        <f>F64</f>
        <v>24.78</v>
      </c>
      <c r="C68" s="102">
        <f>B70-B68</f>
        <v>0.51999999999999957</v>
      </c>
      <c r="D68" s="102">
        <f>C68/2</f>
        <v>0.25999999999999979</v>
      </c>
      <c r="E68" s="6">
        <v>490</v>
      </c>
      <c r="F68" s="6">
        <f>StepTest!G47</f>
        <v>29.5</v>
      </c>
    </row>
    <row r="69" spans="1:6">
      <c r="A69" s="100">
        <v>385</v>
      </c>
      <c r="B69" s="104">
        <f>B68+D69</f>
        <v>24.900000000000002</v>
      </c>
      <c r="D69" s="6">
        <v>0.12</v>
      </c>
      <c r="E69" s="6">
        <v>500</v>
      </c>
      <c r="F69" s="6">
        <f>StepTest!G48</f>
        <v>30.68</v>
      </c>
    </row>
    <row r="70" spans="1:6">
      <c r="A70" s="100">
        <v>390</v>
      </c>
      <c r="B70" s="107">
        <f>F65</f>
        <v>25.3</v>
      </c>
      <c r="C70" s="102">
        <f>B76-B70</f>
        <v>0.51999999999999957</v>
      </c>
      <c r="D70" s="105">
        <f>C70/6</f>
        <v>8.66666666666666E-2</v>
      </c>
      <c r="E70" s="6">
        <v>510</v>
      </c>
      <c r="F70" s="6">
        <f>StepTest!G49</f>
        <v>31.87</v>
      </c>
    </row>
    <row r="71" spans="1:6">
      <c r="A71" s="100">
        <v>395</v>
      </c>
      <c r="B71" s="104">
        <f>B70+D71</f>
        <v>25.37</v>
      </c>
      <c r="D71" s="6">
        <v>7.0000000000000007E-2</v>
      </c>
      <c r="E71" s="6">
        <v>540</v>
      </c>
      <c r="F71" s="6">
        <f>StepTest!G50</f>
        <v>33.049999999999997</v>
      </c>
    </row>
    <row r="72" spans="1:6">
      <c r="A72" s="100">
        <v>400</v>
      </c>
      <c r="B72" s="104">
        <f>B71+D72</f>
        <v>25.42</v>
      </c>
      <c r="D72" s="6">
        <v>0.05</v>
      </c>
      <c r="E72" s="6">
        <v>600</v>
      </c>
      <c r="F72" s="6">
        <f>StepTest!G51</f>
        <v>34.24</v>
      </c>
    </row>
    <row r="73" spans="1:6">
      <c r="A73" s="100">
        <v>405</v>
      </c>
      <c r="B73" s="104">
        <f>B72+D73</f>
        <v>25.46</v>
      </c>
      <c r="D73" s="6">
        <v>0.04</v>
      </c>
    </row>
    <row r="74" spans="1:6">
      <c r="A74" s="100">
        <v>410</v>
      </c>
      <c r="B74" s="104">
        <f>B73+D74</f>
        <v>25.490000000000002</v>
      </c>
      <c r="D74" s="6">
        <v>0.03</v>
      </c>
    </row>
    <row r="75" spans="1:6">
      <c r="A75" s="100">
        <v>415</v>
      </c>
      <c r="B75" s="104">
        <f>B74+D75</f>
        <v>25.520000000000003</v>
      </c>
      <c r="D75" s="6">
        <v>0.03</v>
      </c>
    </row>
    <row r="76" spans="1:6">
      <c r="A76" s="100">
        <v>420</v>
      </c>
      <c r="B76" s="107">
        <f>F66</f>
        <v>25.82</v>
      </c>
      <c r="C76" s="102">
        <f>B80-B76</f>
        <v>0.51999999999999957</v>
      </c>
      <c r="D76" s="102">
        <f>C76/4</f>
        <v>0.12999999999999989</v>
      </c>
    </row>
    <row r="77" spans="1:6">
      <c r="A77" s="100">
        <v>435</v>
      </c>
      <c r="B77" s="104">
        <f>B76+D77</f>
        <v>25.91</v>
      </c>
      <c r="D77" s="6">
        <v>0.09</v>
      </c>
    </row>
    <row r="78" spans="1:6">
      <c r="A78" s="100">
        <v>450</v>
      </c>
      <c r="B78" s="104">
        <f>B77+D78</f>
        <v>25.98</v>
      </c>
      <c r="D78" s="6">
        <v>7.0000000000000007E-2</v>
      </c>
    </row>
    <row r="79" spans="1:6">
      <c r="A79" s="100">
        <v>465</v>
      </c>
      <c r="B79" s="104">
        <f>B78+D79</f>
        <v>26.03</v>
      </c>
      <c r="D79" s="6">
        <v>0.05</v>
      </c>
    </row>
    <row r="80" spans="1:6">
      <c r="A80" s="101">
        <v>480</v>
      </c>
      <c r="B80" s="107">
        <f>F67</f>
        <v>26.34</v>
      </c>
      <c r="C80" s="102">
        <f>B86-B80</f>
        <v>3.16</v>
      </c>
      <c r="D80" s="103">
        <f>C80/10</f>
        <v>0.316</v>
      </c>
    </row>
    <row r="81" spans="1:4">
      <c r="A81" s="100">
        <v>481</v>
      </c>
      <c r="B81" s="104">
        <f>B80+D81</f>
        <v>26.55</v>
      </c>
      <c r="D81" s="6">
        <v>0.21</v>
      </c>
    </row>
    <row r="82" spans="1:4">
      <c r="A82" s="100">
        <v>482</v>
      </c>
      <c r="B82" s="104">
        <f>B81+D82</f>
        <v>26.740000000000002</v>
      </c>
      <c r="D82" s="6">
        <v>0.19</v>
      </c>
    </row>
    <row r="83" spans="1:4">
      <c r="A83" s="100">
        <v>483</v>
      </c>
      <c r="B83" s="104">
        <f>B82+D83</f>
        <v>26.910000000000004</v>
      </c>
      <c r="D83" s="6">
        <v>0.17</v>
      </c>
    </row>
    <row r="84" spans="1:4">
      <c r="A84" s="100">
        <v>484</v>
      </c>
      <c r="B84" s="104">
        <f>B83+D84</f>
        <v>27.070000000000004</v>
      </c>
      <c r="D84" s="6">
        <v>0.16</v>
      </c>
    </row>
    <row r="85" spans="1:4">
      <c r="A85" s="100">
        <v>485</v>
      </c>
      <c r="B85" s="104">
        <f>B84+D85</f>
        <v>27.210000000000004</v>
      </c>
      <c r="D85" s="6">
        <v>0.14000000000000001</v>
      </c>
    </row>
    <row r="86" spans="1:4">
      <c r="A86" s="100">
        <v>490</v>
      </c>
      <c r="B86" s="107">
        <f>F68</f>
        <v>29.5</v>
      </c>
      <c r="C86" s="102">
        <f>B88-B86</f>
        <v>1.1799999999999997</v>
      </c>
      <c r="D86" s="102">
        <f>C86/2</f>
        <v>0.58999999999999986</v>
      </c>
    </row>
    <row r="87" spans="1:4">
      <c r="A87" s="100">
        <v>495</v>
      </c>
      <c r="B87" s="104">
        <f>B86+D87</f>
        <v>29.81</v>
      </c>
      <c r="D87" s="6">
        <v>0.31</v>
      </c>
    </row>
    <row r="88" spans="1:4">
      <c r="A88" s="100">
        <v>500</v>
      </c>
      <c r="B88" s="107">
        <f>F69</f>
        <v>30.68</v>
      </c>
      <c r="C88" s="102">
        <f>B90-B88</f>
        <v>1.1900000000000013</v>
      </c>
      <c r="D88" s="102">
        <f>C88/2</f>
        <v>0.59500000000000064</v>
      </c>
    </row>
    <row r="89" spans="1:4">
      <c r="A89" s="100">
        <v>505</v>
      </c>
      <c r="B89" s="104">
        <f>B88+D89</f>
        <v>30.98</v>
      </c>
      <c r="D89" s="6">
        <v>0.3</v>
      </c>
    </row>
    <row r="90" spans="1:4">
      <c r="A90" s="100">
        <v>510</v>
      </c>
      <c r="B90" s="107">
        <f>F70</f>
        <v>31.87</v>
      </c>
      <c r="C90" s="102">
        <f>B96-B90</f>
        <v>1.1799999999999962</v>
      </c>
      <c r="D90" s="105">
        <f>C90/6</f>
        <v>0.19666666666666602</v>
      </c>
    </row>
    <row r="91" spans="1:4">
      <c r="A91" s="100">
        <v>515</v>
      </c>
      <c r="B91" s="104">
        <f>B90+D91</f>
        <v>32.020000000000003</v>
      </c>
      <c r="D91" s="6">
        <v>0.15</v>
      </c>
    </row>
    <row r="92" spans="1:4">
      <c r="A92" s="100">
        <v>520</v>
      </c>
      <c r="B92" s="104">
        <f>B91+D92</f>
        <v>32.150000000000006</v>
      </c>
      <c r="D92" s="6">
        <v>0.13</v>
      </c>
    </row>
    <row r="93" spans="1:4">
      <c r="A93" s="100">
        <v>525</v>
      </c>
      <c r="B93" s="104">
        <f>B92+D93</f>
        <v>32.260000000000005</v>
      </c>
      <c r="D93" s="6">
        <v>0.11</v>
      </c>
    </row>
    <row r="94" spans="1:4">
      <c r="A94" s="100">
        <v>530</v>
      </c>
      <c r="B94" s="104">
        <f>B93+D94</f>
        <v>32.340000000000003</v>
      </c>
      <c r="D94" s="6">
        <v>0.08</v>
      </c>
    </row>
    <row r="95" spans="1:4">
      <c r="A95" s="100">
        <v>535</v>
      </c>
      <c r="B95" s="104">
        <f>B94+D95</f>
        <v>32.410000000000004</v>
      </c>
      <c r="D95" s="6">
        <v>7.0000000000000007E-2</v>
      </c>
    </row>
    <row r="96" spans="1:4">
      <c r="A96" s="100">
        <v>540</v>
      </c>
      <c r="B96" s="107">
        <f>F71</f>
        <v>33.049999999999997</v>
      </c>
      <c r="C96" s="102">
        <f>B100-B96</f>
        <v>1.1900000000000048</v>
      </c>
      <c r="D96" s="102">
        <f>C96/4</f>
        <v>0.29750000000000121</v>
      </c>
    </row>
    <row r="97" spans="1:4">
      <c r="A97" s="100">
        <v>555</v>
      </c>
      <c r="B97" s="104">
        <f>B96+D97</f>
        <v>33.239999999999995</v>
      </c>
      <c r="D97" s="6">
        <v>0.19</v>
      </c>
    </row>
    <row r="98" spans="1:4">
      <c r="A98" s="100">
        <v>570</v>
      </c>
      <c r="B98" s="104">
        <f>B97+D98</f>
        <v>33.399999999999991</v>
      </c>
      <c r="D98" s="6">
        <v>0.16</v>
      </c>
    </row>
    <row r="99" spans="1:4">
      <c r="A99" s="100">
        <v>585</v>
      </c>
      <c r="B99" s="104">
        <f>B98+D99</f>
        <v>33.539999999999992</v>
      </c>
      <c r="D99" s="6">
        <v>0.14000000000000001</v>
      </c>
    </row>
    <row r="100" spans="1:4">
      <c r="A100" s="101">
        <v>600</v>
      </c>
      <c r="B100" s="65">
        <f>F72</f>
        <v>34.24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Q27" sqref="Q2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29.324999999999999</v>
      </c>
      <c r="F1" s="3"/>
      <c r="G1" s="3">
        <f>E1/E2</f>
        <v>0.87974999999999992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55</v>
      </c>
      <c r="E2" s="3">
        <f>M51/3</f>
        <v>33.333333333333336</v>
      </c>
      <c r="F2" s="235" t="s">
        <v>2</v>
      </c>
      <c r="G2" s="3" t="s">
        <v>3</v>
      </c>
    </row>
    <row r="3" spans="1:17" s="167" customFormat="1">
      <c r="A3" s="172">
        <f>B3+$M$48</f>
        <v>15.790000000000001</v>
      </c>
      <c r="B3" s="255">
        <f>B20</f>
        <v>12.39</v>
      </c>
      <c r="C3" s="173"/>
      <c r="D3" s="256">
        <f t="shared" ref="D3:D7" si="0">D20</f>
        <v>62</v>
      </c>
      <c r="E3" s="4">
        <f>D3/12</f>
        <v>5.166666666666667</v>
      </c>
      <c r="F3" s="174">
        <f>B3/D3</f>
        <v>0.19983870967741937</v>
      </c>
      <c r="G3" s="174">
        <f>1/F3</f>
        <v>5.0040355125100886</v>
      </c>
    </row>
    <row r="4" spans="1:17" s="167" customFormat="1">
      <c r="A4" s="172">
        <f>B4+$M$48</f>
        <v>19.919999999999998</v>
      </c>
      <c r="B4" s="173">
        <f>B21</f>
        <v>16.52</v>
      </c>
      <c r="C4" s="173"/>
      <c r="D4" s="171">
        <f t="shared" si="0"/>
        <v>79</v>
      </c>
      <c r="E4" s="4">
        <f>D4/12</f>
        <v>6.583333333333333</v>
      </c>
      <c r="F4" s="174">
        <f t="shared" ref="F4:F7" si="1">B4/D4</f>
        <v>0.20911392405063289</v>
      </c>
      <c r="G4" s="174">
        <f t="shared" ref="G4:G7" si="2">1/F4</f>
        <v>4.7820823244552066</v>
      </c>
    </row>
    <row r="5" spans="1:17" s="167" customFormat="1">
      <c r="A5" s="172">
        <f>B5+$M$48</f>
        <v>24.56</v>
      </c>
      <c r="B5" s="173">
        <f>B22</f>
        <v>21.16</v>
      </c>
      <c r="C5" s="173"/>
      <c r="D5" s="171">
        <f t="shared" si="0"/>
        <v>96.899999999999991</v>
      </c>
      <c r="E5" s="4">
        <f>D5/12</f>
        <v>8.0749999999999993</v>
      </c>
      <c r="F5" s="174">
        <f t="shared" si="1"/>
        <v>0.21836945304437566</v>
      </c>
      <c r="G5" s="174">
        <f t="shared" si="2"/>
        <v>4.579395085066162</v>
      </c>
    </row>
    <row r="6" spans="1:17" s="167" customFormat="1">
      <c r="A6" s="172">
        <f>B6+$M$48</f>
        <v>29.74</v>
      </c>
      <c r="B6" s="255">
        <f>B23</f>
        <v>26.34</v>
      </c>
      <c r="C6" s="173"/>
      <c r="D6" s="171">
        <f>D23</f>
        <v>114</v>
      </c>
      <c r="E6" s="4">
        <f>D6/12</f>
        <v>9.5</v>
      </c>
      <c r="F6" s="174">
        <f t="shared" si="1"/>
        <v>0.23105263157894737</v>
      </c>
      <c r="G6" s="174">
        <f t="shared" si="2"/>
        <v>4.3280182232346238</v>
      </c>
    </row>
    <row r="7" spans="1:17" s="167" customFormat="1">
      <c r="A7" s="172">
        <f>B7+$M$48</f>
        <v>37.64</v>
      </c>
      <c r="B7" s="173">
        <f>B24</f>
        <v>34.24</v>
      </c>
      <c r="C7" s="173"/>
      <c r="D7" s="171">
        <f t="shared" si="0"/>
        <v>131.1</v>
      </c>
      <c r="E7" s="4">
        <f>D7/12</f>
        <v>10.924999999999999</v>
      </c>
      <c r="F7" s="174">
        <f t="shared" si="1"/>
        <v>0.26117467581998477</v>
      </c>
      <c r="G7" s="174">
        <f t="shared" si="2"/>
        <v>3.8288551401869153</v>
      </c>
    </row>
    <row r="8" spans="1:17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7" s="167" customFormat="1">
      <c r="A10" s="176">
        <f>D20/B20</f>
        <v>5.0040355125100886</v>
      </c>
      <c r="B10" s="176">
        <f>B20/D20</f>
        <v>0.19983870967741937</v>
      </c>
      <c r="C10" s="4"/>
      <c r="D10" s="4"/>
      <c r="E10" s="233">
        <v>0.98</v>
      </c>
      <c r="F10" s="455" t="s">
        <v>8</v>
      </c>
      <c r="G10" s="455"/>
    </row>
    <row r="11" spans="1:17" s="167" customFormat="1">
      <c r="A11" s="176">
        <f t="shared" ref="A11:A14" si="3">D21/B21</f>
        <v>4.7820823244552058</v>
      </c>
      <c r="B11" s="176">
        <f t="shared" ref="B11:B14" si="4">B21/D21</f>
        <v>0.20911392405063289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7" s="167" customFormat="1">
      <c r="A12" s="176">
        <f t="shared" si="3"/>
        <v>4.579395085066162</v>
      </c>
      <c r="B12" s="176">
        <f t="shared" si="4"/>
        <v>0.21836945304437566</v>
      </c>
      <c r="C12" s="4"/>
      <c r="D12" s="4"/>
      <c r="E12" s="233">
        <v>1</v>
      </c>
      <c r="F12" s="455" t="s">
        <v>10</v>
      </c>
      <c r="G12" s="455"/>
    </row>
    <row r="13" spans="1:17" s="167" customFormat="1">
      <c r="A13" s="176">
        <f t="shared" si="3"/>
        <v>4.3280182232346238</v>
      </c>
      <c r="B13" s="176">
        <f t="shared" si="4"/>
        <v>0.23105263157894737</v>
      </c>
      <c r="C13" s="4"/>
      <c r="D13" s="4" t="s">
        <v>4</v>
      </c>
      <c r="E13" s="454" t="s">
        <v>11</v>
      </c>
      <c r="F13" s="454"/>
      <c r="G13" s="454"/>
    </row>
    <row r="14" spans="1:17" s="167" customFormat="1">
      <c r="A14" s="176">
        <f t="shared" si="3"/>
        <v>3.8288551401869153</v>
      </c>
      <c r="B14" s="176">
        <f t="shared" si="4"/>
        <v>0.26117467581998477</v>
      </c>
      <c r="C14" s="4"/>
      <c r="D14" s="4"/>
      <c r="E14" s="233">
        <v>1</v>
      </c>
      <c r="F14" s="455" t="s">
        <v>7</v>
      </c>
      <c r="G14" s="455"/>
    </row>
    <row r="15" spans="1:17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Q16" s="223">
        <v>45024</v>
      </c>
    </row>
    <row r="17" spans="1:21" s="167" customFormat="1">
      <c r="A17" s="4"/>
      <c r="B17" s="175">
        <f>M52</f>
        <v>26.34</v>
      </c>
      <c r="C17" s="4"/>
      <c r="D17" s="240">
        <f>M47</f>
        <v>114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55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12.39</v>
      </c>
      <c r="C20" s="4">
        <f>0.48*E9</f>
        <v>0.47039999999999998</v>
      </c>
      <c r="D20" s="198">
        <f>INT(D$17*E20)</f>
        <v>62</v>
      </c>
      <c r="E20" s="241">
        <f>0.55*E14</f>
        <v>0.55000000000000004</v>
      </c>
      <c r="F20" s="174">
        <f>B20/D20</f>
        <v>0.19983870967741937</v>
      </c>
      <c r="G20" s="4">
        <f>F20-F19</f>
        <v>0.19983870967741937</v>
      </c>
    </row>
    <row r="21" spans="1:21" s="167" customFormat="1" ht="16.5">
      <c r="A21" s="173">
        <f>B21-B20</f>
        <v>4.129999999999999</v>
      </c>
      <c r="B21" s="180">
        <f>INT(B$17*C21*100)/100</f>
        <v>16.52</v>
      </c>
      <c r="C21" s="4">
        <f>0.64*E10</f>
        <v>0.62719999999999998</v>
      </c>
      <c r="D21" s="198">
        <f>INT(D$17*E21)</f>
        <v>79</v>
      </c>
      <c r="E21" s="241">
        <f>0.7*E15</f>
        <v>0.7</v>
      </c>
      <c r="F21" s="174">
        <f>B21/D21</f>
        <v>0.20911392405063289</v>
      </c>
      <c r="G21" s="4">
        <f>F21-F20</f>
        <v>9.2752143732135195E-3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4.6400000000000006</v>
      </c>
      <c r="B22" s="180">
        <f>INT(B$17*C22*100)/100</f>
        <v>21.16</v>
      </c>
      <c r="C22" s="4">
        <f>0.82*E11</f>
        <v>0.80359999999999998</v>
      </c>
      <c r="D22" s="199">
        <f>(D$17*E22)</f>
        <v>96.899999999999991</v>
      </c>
      <c r="E22" s="241">
        <f>0.85*E16</f>
        <v>0.85</v>
      </c>
      <c r="F22" s="174">
        <f>B22/D22</f>
        <v>0.21836945304437566</v>
      </c>
      <c r="G22" s="4">
        <f>F22-F21</f>
        <v>9.2555289937427676E-3</v>
      </c>
    </row>
    <row r="23" spans="1:21" s="167" customFormat="1">
      <c r="A23" s="173">
        <f>B23-B22</f>
        <v>5.18</v>
      </c>
      <c r="B23" s="180">
        <f>INT(B$17*C23*100)/100</f>
        <v>26.34</v>
      </c>
      <c r="C23" s="4">
        <v>1</v>
      </c>
      <c r="D23" s="198">
        <f>D$17*E23</f>
        <v>114</v>
      </c>
      <c r="E23" s="239">
        <v>1</v>
      </c>
      <c r="F23" s="174">
        <f>B23/D23</f>
        <v>0.23105263157894737</v>
      </c>
      <c r="G23" s="4">
        <f>F23-F22</f>
        <v>1.268317853457171E-2</v>
      </c>
      <c r="O23" s="182"/>
      <c r="Q23" s="182"/>
      <c r="S23" s="182"/>
      <c r="U23" s="182"/>
    </row>
    <row r="24" spans="1:21" s="167" customFormat="1">
      <c r="A24" s="173">
        <f>B24-B23</f>
        <v>7.9000000000000021</v>
      </c>
      <c r="B24" s="180">
        <f>INT(B$17*C24*100)/100</f>
        <v>34.24</v>
      </c>
      <c r="C24" s="4">
        <f>1.3*E12</f>
        <v>1.3</v>
      </c>
      <c r="D24" s="198">
        <f>D$17*E24</f>
        <v>131.1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0.26117467581998477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100</v>
      </c>
      <c r="D26" s="4"/>
      <c r="E26" s="4"/>
      <c r="F26" s="185">
        <f>M50/M51</f>
        <v>0.29600000000000004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102.50726958333578</v>
      </c>
      <c r="D27" s="173">
        <f>(C27/D6)*100</f>
        <v>89.918657529241912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5.9150000000000001E-4</v>
      </c>
      <c r="B31" s="233">
        <v>0.1625557</v>
      </c>
      <c r="C31" s="4"/>
      <c r="D31" s="171">
        <f t="shared" ref="D31:D36" si="5">D19</f>
        <v>55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5.9150000000000001E-4</v>
      </c>
      <c r="B32" s="4">
        <f t="shared" si="6"/>
        <v>0.1625557</v>
      </c>
      <c r="C32" s="4"/>
      <c r="D32" s="171">
        <f t="shared" si="5"/>
        <v>62</v>
      </c>
      <c r="E32" s="4"/>
      <c r="F32" s="187">
        <f>B32*D32/(B32*D32+A32*D32*D32)*100</f>
        <v>81.592511520679494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5.9150000000000001E-4</v>
      </c>
      <c r="B33" s="4">
        <f t="shared" si="6"/>
        <v>0.1625557</v>
      </c>
      <c r="C33" s="4"/>
      <c r="D33" s="171">
        <f t="shared" si="5"/>
        <v>79</v>
      </c>
      <c r="E33" s="4"/>
      <c r="F33" s="187">
        <f>B33*D33/(B33*D33+A33*D33*D33)*100</f>
        <v>77.672227526014865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5.9150000000000001E-4</v>
      </c>
      <c r="B34" s="4">
        <f t="shared" si="6"/>
        <v>0.1625557</v>
      </c>
      <c r="C34" s="4"/>
      <c r="D34" s="171">
        <f t="shared" si="5"/>
        <v>96.899999999999991</v>
      </c>
      <c r="E34" s="4"/>
      <c r="F34" s="187">
        <f>B34*D34/(B34*D34+A34*D34*D34)*100</f>
        <v>73.931952697034475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5.9150000000000001E-4</v>
      </c>
      <c r="B35" s="4">
        <f>B34</f>
        <v>0.1625557</v>
      </c>
      <c r="C35" s="4"/>
      <c r="D35" s="171">
        <f t="shared" si="5"/>
        <v>114</v>
      </c>
      <c r="E35" s="4"/>
      <c r="F35" s="187">
        <f>B35*D35/(B35*D35+A35*D35*D35)*100</f>
        <v>70.680478479842535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131.1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75.969292555892835</v>
      </c>
      <c r="G37" s="4"/>
      <c r="P37" s="220">
        <v>5.9150000000000001E-4</v>
      </c>
      <c r="Q37" s="220">
        <v>0.21</v>
      </c>
    </row>
    <row r="38" spans="1:21" s="167" customFormat="1" ht="13.5" customHeight="1">
      <c r="A38" s="242">
        <v>73.421000000000006</v>
      </c>
      <c r="B38" s="233">
        <v>0.21</v>
      </c>
      <c r="C38" s="233">
        <v>94.421000000000006</v>
      </c>
      <c r="D38" s="4"/>
      <c r="E38" s="4" t="s">
        <v>21</v>
      </c>
      <c r="F38" s="4"/>
      <c r="G38" s="4"/>
      <c r="P38" s="220">
        <v>0.1625557</v>
      </c>
      <c r="Q38" s="220">
        <v>94.421000000000006</v>
      </c>
    </row>
    <row r="39" spans="1:21" s="167" customFormat="1" ht="13.5" customHeight="1">
      <c r="A39" s="168"/>
      <c r="B39" s="4" t="s">
        <v>22</v>
      </c>
      <c r="C39" s="173">
        <f>(C38-A38)/B38</f>
        <v>100</v>
      </c>
      <c r="D39" s="4">
        <f>C38-B38*M51</f>
        <v>73.421000000000006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100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294</v>
      </c>
      <c r="J44" s="440"/>
      <c r="K44" s="441"/>
      <c r="L44" s="224" t="s">
        <v>30</v>
      </c>
      <c r="M44" s="228">
        <v>250</v>
      </c>
      <c r="N44" s="224" t="s">
        <v>31</v>
      </c>
      <c r="Q44" s="369">
        <v>62</v>
      </c>
      <c r="R44" s="200">
        <v>15.790000000000001</v>
      </c>
      <c r="S44" s="200">
        <v>12.39</v>
      </c>
      <c r="T44" s="201">
        <v>5.0039999999999996</v>
      </c>
      <c r="U44" s="250">
        <v>0.19983870967741937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295</v>
      </c>
      <c r="J45" s="449"/>
      <c r="K45" s="450"/>
      <c r="L45" s="224" t="s">
        <v>34</v>
      </c>
      <c r="M45" s="195">
        <v>150</v>
      </c>
      <c r="N45" s="229">
        <f>M44</f>
        <v>250</v>
      </c>
      <c r="Q45" s="369">
        <v>79</v>
      </c>
      <c r="R45" s="200">
        <v>19.919999999999998</v>
      </c>
      <c r="S45" s="200">
        <v>16.52</v>
      </c>
      <c r="T45" s="201">
        <v>4.782</v>
      </c>
      <c r="U45" s="250">
        <v>0.20911392405063289</v>
      </c>
    </row>
    <row r="46" spans="1:21" s="167" customFormat="1" ht="16.5">
      <c r="A46" s="4">
        <f>B34</f>
        <v>0.1625557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293</v>
      </c>
      <c r="J46" s="440"/>
      <c r="K46" s="441"/>
      <c r="L46" s="224" t="s">
        <v>38</v>
      </c>
      <c r="M46" s="192">
        <f>IF(I52&gt;M48, M45-I52,M45-M48)</f>
        <v>138</v>
      </c>
      <c r="N46" s="11"/>
      <c r="Q46" s="369">
        <v>97</v>
      </c>
      <c r="R46" s="200">
        <v>24.56</v>
      </c>
      <c r="S46" s="200">
        <v>21.16</v>
      </c>
      <c r="T46" s="201">
        <v>4.5789999999999997</v>
      </c>
      <c r="U46" s="250">
        <v>0.21836945304437566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224</v>
      </c>
      <c r="J47" s="452"/>
      <c r="K47" s="453"/>
      <c r="L47" s="224" t="s">
        <v>42</v>
      </c>
      <c r="M47" s="193">
        <f>INT((M51*100)/M53)</f>
        <v>114</v>
      </c>
      <c r="N47" s="11"/>
      <c r="Q47" s="369">
        <v>114</v>
      </c>
      <c r="R47" s="200">
        <v>29.74</v>
      </c>
      <c r="S47" s="200">
        <v>26.34</v>
      </c>
      <c r="T47" s="201">
        <v>4.3280000000000003</v>
      </c>
      <c r="U47" s="250">
        <v>0.23105263157894737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43" t="s">
        <v>297</v>
      </c>
      <c r="K48" s="443"/>
      <c r="L48" s="224" t="s">
        <v>44</v>
      </c>
      <c r="M48" s="195">
        <v>3.4</v>
      </c>
      <c r="N48" s="11"/>
      <c r="Q48" s="370">
        <v>131</v>
      </c>
      <c r="R48" s="251">
        <v>37.64</v>
      </c>
      <c r="S48" s="251">
        <v>34.24</v>
      </c>
      <c r="T48" s="252">
        <v>3.8290000000000002</v>
      </c>
      <c r="U48" s="253">
        <v>0.26117467581998477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산직지구</v>
      </c>
      <c r="J49" s="444"/>
      <c r="K49" s="444"/>
      <c r="L49" s="224" t="s">
        <v>48</v>
      </c>
      <c r="M49" s="195">
        <v>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29.6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100</v>
      </c>
      <c r="N51" s="11"/>
      <c r="O51" s="167">
        <f>M51</f>
        <v>100</v>
      </c>
      <c r="P51" s="165">
        <f>ROUND((O51/O52)*100,1)</f>
        <v>114.9</v>
      </c>
    </row>
    <row r="52" spans="1:24" s="167" customFormat="1" ht="16.5">
      <c r="A52" s="168" t="s">
        <v>53</v>
      </c>
      <c r="B52" s="364">
        <f>INT(10^((INT(5.46*A44*A46*1000))/1000)*1000)/1000</f>
        <v>4.8752849010339606E+35</v>
      </c>
      <c r="C52" s="364">
        <f>INT(B52*B51*1000)/1000</f>
        <v>2.4376424505169803E+32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26.34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298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29.6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0.32913043478260873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296</v>
      </c>
      <c r="R64" s="244" t="s">
        <v>299</v>
      </c>
      <c r="S64" s="244" t="s">
        <v>300</v>
      </c>
      <c r="T64" s="244" t="s">
        <v>301</v>
      </c>
      <c r="U64" s="244" t="s">
        <v>302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산직지구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- 2</v>
      </c>
      <c r="C2" s="17" t="str">
        <f>Input!I46</f>
        <v>충청남도 부여군 초촌면 산직리 233-1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2.9754133123546778</v>
      </c>
      <c r="C4" s="276">
        <f>LongTest!B10</f>
        <v>100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0.1625557</v>
      </c>
      <c r="I4" s="271">
        <f>Input!M48</f>
        <v>3.4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0.88329999999999997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0.16513358163719655</v>
      </c>
      <c r="D6" s="203"/>
      <c r="E6" s="202">
        <f>1.15*LOG((2.25*D5*(1/1440))/(F4*E4^2))</f>
        <v>2.5842089600160199</v>
      </c>
      <c r="F6" s="204" t="s">
        <v>121</v>
      </c>
      <c r="G6" s="384">
        <f>C6-E6</f>
        <v>-2.4190753783788232</v>
      </c>
      <c r="H6" s="35"/>
      <c r="I6" s="271">
        <f>Input!M49</f>
        <v>33</v>
      </c>
      <c r="J6" s="264">
        <f>MAX(C13,C18,C23)</f>
        <v>85.8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2.2150467700093816E-2</v>
      </c>
      <c r="G7" s="205" t="s">
        <v>124</v>
      </c>
      <c r="H7" s="35">
        <f>F4*EXP(4*G4*D4*H4)</f>
        <v>2.2112135222255667E-2</v>
      </c>
      <c r="I7" s="279" t="s">
        <v>125</v>
      </c>
      <c r="J7" s="265">
        <f>ROUND((C13+C18+C23)/3,1)</f>
        <v>76.7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1.4039999999999999</v>
      </c>
      <c r="D8" s="209"/>
      <c r="E8" s="209"/>
      <c r="F8" s="210"/>
      <c r="G8" s="209"/>
      <c r="H8" s="211"/>
      <c r="I8" s="280">
        <f>Input!M45</f>
        <v>150</v>
      </c>
      <c r="J8" s="260" t="s">
        <v>240</v>
      </c>
      <c r="K8" s="266">
        <f>ROUND(SQRT(C7/F7),4)</f>
        <v>3.9626000000000001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3.9660000000000002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5.5227334033962343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27.477266596603766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64.900000000000006</v>
      </c>
      <c r="D13" s="25"/>
      <c r="E13" s="386" t="s">
        <v>251</v>
      </c>
      <c r="F13" s="287">
        <f>D5</f>
        <v>0.88329999999999997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29.6</v>
      </c>
      <c r="C16" s="213">
        <f>I8-IF(I4&gt;I10,I4,I10)</f>
        <v>138</v>
      </c>
      <c r="D16" s="215">
        <f>(F13+H13)/2</f>
        <v>1.7736499999999999</v>
      </c>
      <c r="E16" s="30">
        <f>INT(D16/C16*100000)/100000</f>
        <v>1.285E-2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79.5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29.6</v>
      </c>
      <c r="C21" s="214">
        <f t="shared" si="0"/>
        <v>138</v>
      </c>
      <c r="D21" s="31">
        <f t="shared" si="0"/>
        <v>1.7736499999999999</v>
      </c>
      <c r="E21" s="215">
        <f t="shared" si="0"/>
        <v>1.285E-2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85.8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29.6</v>
      </c>
      <c r="C26" s="31">
        <f t="shared" si="1"/>
        <v>138</v>
      </c>
      <c r="D26" s="31">
        <f t="shared" si="1"/>
        <v>1.7736499999999999</v>
      </c>
      <c r="E26" s="30">
        <f t="shared" si="1"/>
        <v>1.285E-2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1.7736499999999999</v>
      </c>
      <c r="D28" s="382">
        <f>(C28/C16)*(100/86400)</f>
        <v>1.4875620638754696E-5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1.4875620638754698E-5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76.733333333333334</v>
      </c>
      <c r="D30" s="14"/>
      <c r="E30" s="376">
        <f>(C13+C18)/2</f>
        <v>72.2</v>
      </c>
      <c r="F30" s="377">
        <f>MAX(C13,C18)</f>
        <v>79.5</v>
      </c>
      <c r="G30" s="378">
        <f>ROUND(C4/(G4*F30^2*I16),3)</f>
        <v>17.164999999999999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62</v>
      </c>
    </row>
    <row r="3" spans="1:2" ht="20.100000000000001" customHeight="1">
      <c r="A3" s="42" t="s">
        <v>146</v>
      </c>
      <c r="B3" s="156">
        <f>StepTest!G31</f>
        <v>12.39</v>
      </c>
    </row>
    <row r="4" spans="1:2" ht="20.100000000000001" customHeight="1">
      <c r="A4" s="42" t="s">
        <v>147</v>
      </c>
      <c r="B4" s="157">
        <f>StepTest!G46</f>
        <v>26.34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102.50726958333578</v>
      </c>
    </row>
    <row r="8" spans="1:2" ht="20.100000000000001" customHeight="1">
      <c r="A8" s="42" t="s">
        <v>150</v>
      </c>
      <c r="B8" s="157">
        <f>INT(B7)</f>
        <v>102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0.89473684210526316</v>
      </c>
    </row>
    <row r="12" spans="1:2" ht="17.25" thickBot="1"/>
    <row r="13" spans="1:2" ht="24.95" customHeight="1">
      <c r="A13" s="44" t="s">
        <v>151</v>
      </c>
      <c r="B13" s="159">
        <f>Input!$D$6</f>
        <v>114</v>
      </c>
    </row>
    <row r="14" spans="1:2" ht="24.95" customHeight="1">
      <c r="A14" s="45" t="s">
        <v>52</v>
      </c>
      <c r="B14" s="160">
        <f>B8</f>
        <v>102</v>
      </c>
    </row>
    <row r="15" spans="1:2" ht="24.95" customHeight="1" thickBot="1">
      <c r="A15" s="46" t="s">
        <v>152</v>
      </c>
      <c r="B15" s="161">
        <f>Input!$M$51</f>
        <v>100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소규모수도시설 수원공 사후관리 연장허가 용역</v>
      </c>
      <c r="D4" s="303"/>
      <c r="E4" s="303"/>
      <c r="F4" s="303"/>
      <c r="G4" s="303"/>
      <c r="H4" s="304"/>
      <c r="I4" s="305"/>
      <c r="P4" s="51">
        <v>1</v>
      </c>
      <c r="Q4" s="372">
        <v>-0.79</v>
      </c>
      <c r="R4" s="55">
        <f>B12</f>
        <v>62</v>
      </c>
      <c r="S4" s="51">
        <f>$R$4</f>
        <v>62</v>
      </c>
      <c r="T4" s="300">
        <v>1.385457250035494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20.006586505901211</v>
      </c>
      <c r="Z4" s="58">
        <f>Z22</f>
        <v>24.646360370541871</v>
      </c>
      <c r="AA4" s="57">
        <f>$Z$4</f>
        <v>24.646360370541871</v>
      </c>
      <c r="AB4" s="57">
        <f>X4</f>
        <v>1</v>
      </c>
      <c r="AC4" s="57">
        <f>Y4-AA4</f>
        <v>-4.6397738646406594</v>
      </c>
      <c r="AD4" s="59">
        <f>INT((AC4-AE4)*100)/100</f>
        <v>-3.85</v>
      </c>
      <c r="AE4" s="60">
        <f>Q4</f>
        <v>-0.79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산직지구</v>
      </c>
      <c r="D5" s="303"/>
      <c r="E5" s="303"/>
      <c r="F5" s="307"/>
      <c r="G5" s="303"/>
      <c r="H5" s="308" t="str">
        <f>Input!J48</f>
        <v>공  번 : W - 2</v>
      </c>
      <c r="I5" s="309"/>
      <c r="P5" s="51">
        <v>2</v>
      </c>
      <c r="Q5" s="372"/>
      <c r="S5" s="51">
        <f t="shared" ref="S5:S23" si="3">$R$4</f>
        <v>62</v>
      </c>
      <c r="T5" s="51">
        <f>$T4</f>
        <v>1.385457250035494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22.472207414312354</v>
      </c>
      <c r="AA5" s="57">
        <f t="shared" ref="AA5:AA23" si="5">$Z$4</f>
        <v>24.646360370541871</v>
      </c>
      <c r="AB5" s="57">
        <f t="shared" ref="AB5:AB43" si="6">X5</f>
        <v>2</v>
      </c>
      <c r="AC5" s="57">
        <f t="shared" ref="AC5:AC43" si="7">Y5-AA5</f>
        <v>-2.1741529562295163</v>
      </c>
      <c r="AD5" s="59">
        <f t="shared" ref="AD5:AD16" si="8">INT((AC5-AE5)*100)/100</f>
        <v>-2.1800000000000002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초촌면 산직리 233-1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62</v>
      </c>
      <c r="T6" s="51">
        <f t="shared" ref="T6:T51" si="10">$T5</f>
        <v>1.385457250035494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23.914503186726908</v>
      </c>
      <c r="AA6" s="57">
        <f t="shared" si="5"/>
        <v>24.646360370541871</v>
      </c>
      <c r="AB6" s="57">
        <f t="shared" si="6"/>
        <v>3</v>
      </c>
      <c r="AC6" s="57">
        <f t="shared" si="7"/>
        <v>-0.73185718381496301</v>
      </c>
      <c r="AD6" s="59">
        <f t="shared" si="8"/>
        <v>-0.74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산직지구</v>
      </c>
      <c r="H7" s="315"/>
      <c r="I7" s="316"/>
      <c r="P7" s="51">
        <v>4</v>
      </c>
      <c r="Q7" s="372"/>
      <c r="S7" s="51">
        <f t="shared" si="3"/>
        <v>62</v>
      </c>
      <c r="T7" s="51">
        <f t="shared" si="10"/>
        <v>1.385457250035494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24.937828322723501</v>
      </c>
      <c r="AA7" s="57">
        <f t="shared" si="5"/>
        <v>24.646360370541871</v>
      </c>
      <c r="AB7" s="57">
        <f t="shared" si="6"/>
        <v>4</v>
      </c>
      <c r="AC7" s="57">
        <f t="shared" si="7"/>
        <v>0.29146795218163035</v>
      </c>
      <c r="AD7" s="59">
        <f t="shared" si="8"/>
        <v>0.28999999999999998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5</v>
      </c>
      <c r="D8" s="460"/>
      <c r="E8" s="461"/>
      <c r="F8" s="318" t="s">
        <v>165</v>
      </c>
      <c r="G8" s="314" t="str">
        <f>G7</f>
        <v>산직지구</v>
      </c>
      <c r="H8" s="315"/>
      <c r="I8" s="319"/>
      <c r="K8" s="62"/>
      <c r="P8" s="51">
        <v>5</v>
      </c>
      <c r="Q8" s="372"/>
      <c r="S8" s="51">
        <f t="shared" si="3"/>
        <v>62</v>
      </c>
      <c r="T8" s="51">
        <f t="shared" si="10"/>
        <v>1.385457250035494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25.731580964482745</v>
      </c>
      <c r="AA8" s="57">
        <f t="shared" si="5"/>
        <v>24.646360370541871</v>
      </c>
      <c r="AB8" s="57">
        <f t="shared" si="6"/>
        <v>5</v>
      </c>
      <c r="AC8" s="57">
        <f t="shared" si="7"/>
        <v>1.0852205939408748</v>
      </c>
      <c r="AD8" s="59">
        <f t="shared" si="8"/>
        <v>1.08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250</v>
      </c>
      <c r="E9" s="462"/>
      <c r="F9" s="301" t="s">
        <v>168</v>
      </c>
      <c r="G9" s="463">
        <f>Input!M45</f>
        <v>150</v>
      </c>
      <c r="H9" s="463"/>
      <c r="I9" s="301"/>
      <c r="P9" s="51">
        <v>10</v>
      </c>
      <c r="Q9" s="372"/>
      <c r="S9" s="51">
        <f t="shared" si="3"/>
        <v>62</v>
      </c>
      <c r="T9" s="51">
        <f t="shared" si="10"/>
        <v>1.385457250035494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28.197201872893892</v>
      </c>
      <c r="AA9" s="57">
        <f t="shared" si="5"/>
        <v>24.646360370541871</v>
      </c>
      <c r="AB9" s="57">
        <f t="shared" si="6"/>
        <v>10</v>
      </c>
      <c r="AC9" s="57">
        <f t="shared" si="7"/>
        <v>3.5508415023520215</v>
      </c>
      <c r="AD9" s="59">
        <f t="shared" si="8"/>
        <v>3.55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3.4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62</v>
      </c>
      <c r="T10" s="51">
        <f t="shared" si="10"/>
        <v>1.385457250035494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29.639497645308442</v>
      </c>
      <c r="AA10" s="57">
        <f t="shared" si="5"/>
        <v>24.646360370541871</v>
      </c>
      <c r="AB10" s="57">
        <f t="shared" si="6"/>
        <v>15</v>
      </c>
      <c r="AC10" s="57">
        <f t="shared" si="7"/>
        <v>4.9931372747665712</v>
      </c>
      <c r="AD10" s="59">
        <f t="shared" si="8"/>
        <v>4.99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-5.52</v>
      </c>
      <c r="P11" s="51">
        <v>20</v>
      </c>
      <c r="Q11" s="372"/>
      <c r="S11" s="51">
        <f t="shared" si="3"/>
        <v>62</v>
      </c>
      <c r="T11" s="51">
        <f t="shared" si="10"/>
        <v>1.385457250035494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30.662822781305035</v>
      </c>
      <c r="AA11" s="57">
        <f t="shared" si="5"/>
        <v>24.646360370541871</v>
      </c>
      <c r="AB11" s="57">
        <f t="shared" si="6"/>
        <v>20</v>
      </c>
      <c r="AC11" s="57">
        <f t="shared" si="7"/>
        <v>6.0164624107631646</v>
      </c>
      <c r="AD11" s="59">
        <f t="shared" si="8"/>
        <v>6.01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62</v>
      </c>
      <c r="C12" s="325">
        <v>44992.479166666664</v>
      </c>
      <c r="D12" s="456">
        <v>1</v>
      </c>
      <c r="E12" s="456"/>
      <c r="F12" s="326">
        <f>G12+$D$10</f>
        <v>-0.45000000000000018</v>
      </c>
      <c r="G12" s="457">
        <f>AD4</f>
        <v>-3.85</v>
      </c>
      <c r="H12" s="457"/>
      <c r="I12" s="301" t="s">
        <v>177</v>
      </c>
      <c r="J12" s="64"/>
      <c r="P12" s="51">
        <v>25</v>
      </c>
      <c r="Q12" s="372"/>
      <c r="S12" s="51">
        <f t="shared" si="3"/>
        <v>62</v>
      </c>
      <c r="T12" s="51">
        <f t="shared" si="10"/>
        <v>1.385457250035494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31.45657542306428</v>
      </c>
      <c r="AA12" s="57">
        <f t="shared" si="5"/>
        <v>24.646360370541871</v>
      </c>
      <c r="AB12" s="57">
        <f t="shared" si="6"/>
        <v>25</v>
      </c>
      <c r="AC12" s="57">
        <f t="shared" si="7"/>
        <v>6.810215052522409</v>
      </c>
      <c r="AD12" s="59">
        <f t="shared" si="8"/>
        <v>6.81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1.2199999999999998</v>
      </c>
      <c r="G13" s="457">
        <f t="shared" ref="G13:G51" si="14">AD5</f>
        <v>-2.1800000000000002</v>
      </c>
      <c r="H13" s="457"/>
      <c r="I13" s="327"/>
      <c r="J13" s="328">
        <f>G13-G12</f>
        <v>1.67</v>
      </c>
      <c r="P13" s="51">
        <v>30</v>
      </c>
      <c r="Q13" s="372"/>
      <c r="S13" s="51">
        <f t="shared" si="3"/>
        <v>62</v>
      </c>
      <c r="T13" s="51">
        <f t="shared" si="10"/>
        <v>1.385457250035494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32.105118553719585</v>
      </c>
      <c r="AA13" s="57">
        <f t="shared" si="5"/>
        <v>24.646360370541871</v>
      </c>
      <c r="AB13" s="57">
        <f t="shared" si="6"/>
        <v>30</v>
      </c>
      <c r="AC13" s="57">
        <f t="shared" si="7"/>
        <v>7.4587581831777143</v>
      </c>
      <c r="AD13" s="59">
        <f t="shared" si="8"/>
        <v>7.45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2.66</v>
      </c>
      <c r="G14" s="457">
        <f t="shared" si="14"/>
        <v>-0.74</v>
      </c>
      <c r="H14" s="457"/>
      <c r="I14" s="327"/>
      <c r="J14" s="328">
        <f t="shared" ref="J14:J51" si="15">G14-G13</f>
        <v>1.4400000000000002</v>
      </c>
      <c r="Q14" s="372"/>
      <c r="S14" s="51">
        <f t="shared" si="3"/>
        <v>62</v>
      </c>
      <c r="T14" s="51">
        <f t="shared" si="10"/>
        <v>1.385457250035494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32.653453957638909</v>
      </c>
      <c r="AA14" s="57">
        <f t="shared" si="5"/>
        <v>24.646360370541871</v>
      </c>
      <c r="AB14" s="57">
        <f t="shared" si="6"/>
        <v>35</v>
      </c>
      <c r="AC14" s="57">
        <f t="shared" si="7"/>
        <v>8.0070935870970388</v>
      </c>
      <c r="AD14" s="59">
        <f t="shared" si="8"/>
        <v>8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3.69</v>
      </c>
      <c r="G15" s="457">
        <f t="shared" si="14"/>
        <v>0.28999999999999998</v>
      </c>
      <c r="H15" s="457"/>
      <c r="I15" s="327"/>
      <c r="J15" s="328">
        <f t="shared" si="15"/>
        <v>1.03</v>
      </c>
      <c r="Q15" s="372"/>
      <c r="S15" s="51">
        <f t="shared" si="3"/>
        <v>62</v>
      </c>
      <c r="T15" s="51">
        <f t="shared" si="10"/>
        <v>1.385457250035494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33.128443689716178</v>
      </c>
      <c r="AA15" s="57">
        <f t="shared" si="5"/>
        <v>24.646360370541871</v>
      </c>
      <c r="AB15" s="57">
        <f t="shared" si="6"/>
        <v>40</v>
      </c>
      <c r="AC15" s="57">
        <f t="shared" si="7"/>
        <v>8.4820833191743077</v>
      </c>
      <c r="AD15" s="59">
        <f t="shared" si="8"/>
        <v>8.48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4.4800000000000004</v>
      </c>
      <c r="G16" s="457">
        <f t="shared" si="14"/>
        <v>1.08</v>
      </c>
      <c r="H16" s="457"/>
      <c r="I16" s="327"/>
      <c r="J16" s="328">
        <f t="shared" si="15"/>
        <v>0.79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62</v>
      </c>
      <c r="T16" s="51">
        <f t="shared" si="10"/>
        <v>1.385457250035494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33.547414326134138</v>
      </c>
      <c r="AA16" s="57">
        <f t="shared" si="5"/>
        <v>24.646360370541871</v>
      </c>
      <c r="AB16" s="57">
        <f t="shared" si="6"/>
        <v>45</v>
      </c>
      <c r="AC16" s="57">
        <f t="shared" si="7"/>
        <v>8.9010539555922676</v>
      </c>
      <c r="AD16" s="59">
        <f t="shared" si="8"/>
        <v>8.9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6.9499999999999993</v>
      </c>
      <c r="G17" s="457">
        <f t="shared" si="14"/>
        <v>3.55</v>
      </c>
      <c r="H17" s="457"/>
      <c r="I17" s="327"/>
      <c r="J17" s="328">
        <f t="shared" si="15"/>
        <v>2.4699999999999998</v>
      </c>
      <c r="K17" s="373">
        <f>D12</f>
        <v>1</v>
      </c>
      <c r="L17" s="374">
        <f>INT(B12/1440*10000)/10000</f>
        <v>4.2999999999999997E-2</v>
      </c>
      <c r="M17" s="374">
        <f>K17*L17</f>
        <v>4.2999999999999997E-2</v>
      </c>
      <c r="N17" s="374">
        <f>INT((D9/2000)^2*3.14159*100000)/100000</f>
        <v>4.9079999999999999E-2</v>
      </c>
      <c r="O17" s="374">
        <f>INT(M17/N17*100)/100</f>
        <v>0.87</v>
      </c>
      <c r="P17" s="375">
        <f>INT((G12-O17)*100)/100</f>
        <v>-4.72</v>
      </c>
      <c r="S17" s="51">
        <f t="shared" si="3"/>
        <v>62</v>
      </c>
      <c r="T17" s="51">
        <f t="shared" si="10"/>
        <v>1.385457250035494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33.922196331475426</v>
      </c>
      <c r="AA17" s="57">
        <f t="shared" si="5"/>
        <v>24.646360370541871</v>
      </c>
      <c r="AB17" s="57">
        <f t="shared" si="6"/>
        <v>50</v>
      </c>
      <c r="AC17" s="57">
        <f t="shared" si="7"/>
        <v>9.2758359609335557</v>
      </c>
      <c r="AD17" s="59">
        <f t="shared" ref="AD17:AD22" si="16">INT(AC17*100)/100</f>
        <v>9.27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8.39</v>
      </c>
      <c r="G18" s="457">
        <f t="shared" si="14"/>
        <v>4.99</v>
      </c>
      <c r="H18" s="457"/>
      <c r="I18" s="327"/>
      <c r="J18" s="328">
        <f t="shared" si="15"/>
        <v>1.4400000000000004</v>
      </c>
      <c r="K18" s="373">
        <f>D13</f>
        <v>2</v>
      </c>
      <c r="L18" s="374">
        <f>L17</f>
        <v>4.2999999999999997E-2</v>
      </c>
      <c r="M18" s="374">
        <f t="shared" ref="M18:M32" si="17">K18*L18</f>
        <v>8.5999999999999993E-2</v>
      </c>
      <c r="N18" s="374">
        <f>N17</f>
        <v>4.9079999999999999E-2</v>
      </c>
      <c r="O18" s="374">
        <f>INT(M18/N18*100)/100</f>
        <v>1.75</v>
      </c>
      <c r="P18" s="375">
        <f>INT((G13-O18)*100*0.98)/100</f>
        <v>-3.86</v>
      </c>
      <c r="S18" s="51">
        <f t="shared" si="3"/>
        <v>62</v>
      </c>
      <c r="T18" s="51">
        <f t="shared" si="10"/>
        <v>1.385457250035494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34.261227894613469</v>
      </c>
      <c r="AA18" s="57">
        <f t="shared" si="5"/>
        <v>24.646360370541871</v>
      </c>
      <c r="AB18" s="57">
        <f t="shared" si="6"/>
        <v>55</v>
      </c>
      <c r="AC18" s="57">
        <f t="shared" si="7"/>
        <v>9.6148675240715988</v>
      </c>
      <c r="AD18" s="59">
        <f t="shared" si="16"/>
        <v>9.61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9.41</v>
      </c>
      <c r="G19" s="457">
        <f t="shared" si="14"/>
        <v>6.01</v>
      </c>
      <c r="H19" s="457"/>
      <c r="I19" s="327"/>
      <c r="J19" s="328">
        <f t="shared" si="15"/>
        <v>1.0199999999999996</v>
      </c>
      <c r="K19" s="373">
        <f t="shared" ref="K19:K32" si="18">D14</f>
        <v>3</v>
      </c>
      <c r="L19" s="374">
        <f>L18</f>
        <v>4.2999999999999997E-2</v>
      </c>
      <c r="M19" s="374">
        <f t="shared" si="17"/>
        <v>0.129</v>
      </c>
      <c r="N19" s="374">
        <f t="shared" ref="N19:N32" si="19">N18</f>
        <v>4.9079999999999999E-2</v>
      </c>
      <c r="O19" s="374">
        <f>INT(M19/N19*100)/100</f>
        <v>2.62</v>
      </c>
      <c r="P19" s="375">
        <f>INT((G14-O19)*100*0.95)/100</f>
        <v>-3.2</v>
      </c>
      <c r="S19" s="51">
        <f t="shared" si="3"/>
        <v>62</v>
      </c>
      <c r="T19" s="51">
        <f t="shared" si="10"/>
        <v>1.385457250035494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34.570739462130724</v>
      </c>
      <c r="AA19" s="57">
        <f t="shared" si="5"/>
        <v>24.646360370541871</v>
      </c>
      <c r="AB19" s="57">
        <f t="shared" si="6"/>
        <v>60</v>
      </c>
      <c r="AC19" s="57">
        <f t="shared" si="7"/>
        <v>9.9243790915888539</v>
      </c>
      <c r="AD19" s="59">
        <f t="shared" si="16"/>
        <v>9.92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10.209999999999999</v>
      </c>
      <c r="G20" s="457">
        <f t="shared" si="14"/>
        <v>6.81</v>
      </c>
      <c r="H20" s="457"/>
      <c r="I20" s="327"/>
      <c r="J20" s="328">
        <f t="shared" si="15"/>
        <v>0.79999999999999982</v>
      </c>
      <c r="K20" s="373">
        <f t="shared" si="18"/>
        <v>4</v>
      </c>
      <c r="L20" s="374">
        <f>L19</f>
        <v>4.2999999999999997E-2</v>
      </c>
      <c r="M20" s="374">
        <f t="shared" si="17"/>
        <v>0.17199999999999999</v>
      </c>
      <c r="N20" s="374">
        <f t="shared" si="19"/>
        <v>4.9079999999999999E-2</v>
      </c>
      <c r="O20" s="374">
        <f>INT(M20/N20*100)/100</f>
        <v>3.5</v>
      </c>
      <c r="P20" s="375">
        <f>INT((G15-O20)*100*0.91)/100</f>
        <v>-2.93</v>
      </c>
      <c r="S20" s="51">
        <f t="shared" si="3"/>
        <v>62</v>
      </c>
      <c r="T20" s="51">
        <f t="shared" si="10"/>
        <v>1.385457250035494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35.36449210388998</v>
      </c>
      <c r="AA20" s="57">
        <f t="shared" si="5"/>
        <v>24.646360370541871</v>
      </c>
      <c r="AB20" s="57">
        <f t="shared" si="6"/>
        <v>75</v>
      </c>
      <c r="AC20" s="57">
        <f t="shared" si="7"/>
        <v>10.718131733348109</v>
      </c>
      <c r="AD20" s="59">
        <f t="shared" si="16"/>
        <v>10.71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10.85</v>
      </c>
      <c r="G21" s="457">
        <f t="shared" si="14"/>
        <v>7.45</v>
      </c>
      <c r="H21" s="457"/>
      <c r="I21" s="327"/>
      <c r="J21" s="328">
        <f t="shared" si="15"/>
        <v>0.64000000000000057</v>
      </c>
      <c r="K21" s="373">
        <f t="shared" si="18"/>
        <v>5</v>
      </c>
      <c r="L21" s="373">
        <f>L20</f>
        <v>4.2999999999999997E-2</v>
      </c>
      <c r="M21" s="374">
        <f t="shared" si="17"/>
        <v>0.21499999999999997</v>
      </c>
      <c r="N21" s="374">
        <f t="shared" si="19"/>
        <v>4.9079999999999999E-2</v>
      </c>
      <c r="O21" s="373">
        <f>INT(M21/N21*100)/100</f>
        <v>4.38</v>
      </c>
      <c r="P21" s="375">
        <f>INT((G16-O21)*100*0.86)/100</f>
        <v>-2.84</v>
      </c>
      <c r="S21" s="51">
        <f t="shared" si="3"/>
        <v>62</v>
      </c>
      <c r="T21" s="51">
        <f t="shared" si="10"/>
        <v>1.385457250035494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36.013035234545278</v>
      </c>
      <c r="AA21" s="57">
        <f t="shared" si="5"/>
        <v>24.646360370541871</v>
      </c>
      <c r="AB21" s="57">
        <f t="shared" si="6"/>
        <v>90</v>
      </c>
      <c r="AC21" s="57">
        <f t="shared" si="7"/>
        <v>11.366674864003407</v>
      </c>
      <c r="AD21" s="59">
        <f t="shared" si="16"/>
        <v>11.36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11.4</v>
      </c>
      <c r="G22" s="457">
        <f t="shared" si="14"/>
        <v>8</v>
      </c>
      <c r="H22" s="457"/>
      <c r="I22" s="301"/>
      <c r="J22" s="328">
        <f t="shared" si="15"/>
        <v>0.54999999999999982</v>
      </c>
      <c r="K22" s="373">
        <f t="shared" si="18"/>
        <v>10</v>
      </c>
      <c r="L22" s="373">
        <f t="shared" ref="L22:L32" si="20">L21</f>
        <v>4.2999999999999997E-2</v>
      </c>
      <c r="M22" s="374">
        <f t="shared" si="17"/>
        <v>0.42999999999999994</v>
      </c>
      <c r="N22" s="374">
        <f t="shared" si="19"/>
        <v>4.9079999999999999E-2</v>
      </c>
      <c r="O22" s="373">
        <f t="shared" ref="O22:O30" si="21">INT(M22/N22*100)/100</f>
        <v>8.76</v>
      </c>
      <c r="P22" s="375">
        <f>INT((G17-O22)*100*0.8)/100</f>
        <v>-4.17</v>
      </c>
      <c r="S22" s="51">
        <f t="shared" si="3"/>
        <v>62</v>
      </c>
      <c r="T22" s="51">
        <f t="shared" si="10"/>
        <v>1.385457250035494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36.561370638464609</v>
      </c>
      <c r="Z22" s="57">
        <f>Y23-Z23</f>
        <v>24.646360370541871</v>
      </c>
      <c r="AA22" s="57">
        <f t="shared" si="5"/>
        <v>24.646360370541871</v>
      </c>
      <c r="AB22" s="57">
        <f t="shared" si="6"/>
        <v>105</v>
      </c>
      <c r="AC22" s="57">
        <f t="shared" si="7"/>
        <v>11.915010267922739</v>
      </c>
      <c r="AD22" s="59">
        <f t="shared" si="16"/>
        <v>11.91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11.88</v>
      </c>
      <c r="G23" s="457">
        <f t="shared" si="14"/>
        <v>8.48</v>
      </c>
      <c r="H23" s="457"/>
      <c r="I23" s="301"/>
      <c r="J23" s="328">
        <f t="shared" si="15"/>
        <v>0.48000000000000043</v>
      </c>
      <c r="K23" s="373">
        <f t="shared" si="18"/>
        <v>15</v>
      </c>
      <c r="L23" s="373">
        <f t="shared" si="20"/>
        <v>4.2999999999999997E-2</v>
      </c>
      <c r="M23" s="374">
        <f t="shared" si="17"/>
        <v>0.64499999999999991</v>
      </c>
      <c r="N23" s="374">
        <f t="shared" si="19"/>
        <v>4.9079999999999999E-2</v>
      </c>
      <c r="O23" s="373">
        <f t="shared" si="21"/>
        <v>13.14</v>
      </c>
      <c r="P23" s="375">
        <f t="shared" ref="P23:P32" si="22">INT((G18-O23)*100)/100</f>
        <v>-8.15</v>
      </c>
      <c r="S23" s="51">
        <f t="shared" si="3"/>
        <v>62</v>
      </c>
      <c r="T23" s="51">
        <f t="shared" si="10"/>
        <v>1.385457250035494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37.036360370541871</v>
      </c>
      <c r="Z23" s="57">
        <f>Input!B20</f>
        <v>12.39</v>
      </c>
      <c r="AA23" s="57">
        <f t="shared" si="5"/>
        <v>24.646360370541871</v>
      </c>
      <c r="AB23" s="57">
        <f t="shared" si="6"/>
        <v>120</v>
      </c>
      <c r="AC23" s="57">
        <f t="shared" si="7"/>
        <v>12.39</v>
      </c>
      <c r="AD23" s="59">
        <f>INT((AC$3+AE23)*100)/100</f>
        <v>12.39</v>
      </c>
      <c r="AE23" s="57">
        <f>AG$23*AF23</f>
        <v>12.39</v>
      </c>
      <c r="AF23" s="57">
        <v>1</v>
      </c>
      <c r="AG23" s="57">
        <f>AC23-AC3</f>
        <v>12.39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12.3</v>
      </c>
      <c r="G24" s="457">
        <f t="shared" si="14"/>
        <v>8.9</v>
      </c>
      <c r="H24" s="457"/>
      <c r="I24" s="301"/>
      <c r="J24" s="328">
        <f t="shared" si="15"/>
        <v>0.41999999999999993</v>
      </c>
      <c r="K24" s="373">
        <f t="shared" si="18"/>
        <v>20</v>
      </c>
      <c r="L24" s="373">
        <f t="shared" si="20"/>
        <v>4.2999999999999997E-2</v>
      </c>
      <c r="M24" s="374">
        <f t="shared" si="17"/>
        <v>0.85999999999999988</v>
      </c>
      <c r="N24" s="374">
        <f t="shared" si="19"/>
        <v>4.9079999999999999E-2</v>
      </c>
      <c r="O24" s="373">
        <f t="shared" si="21"/>
        <v>17.52</v>
      </c>
      <c r="P24" s="375">
        <f t="shared" si="22"/>
        <v>-11.51</v>
      </c>
      <c r="R24" s="55">
        <f>B32</f>
        <v>79</v>
      </c>
      <c r="S24" s="51">
        <f>$R$24</f>
        <v>79</v>
      </c>
      <c r="T24" s="51">
        <f t="shared" si="10"/>
        <v>1.385457250035494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47.554283702715338</v>
      </c>
      <c r="Z24" s="57">
        <f>Z27</f>
        <v>33.813169694149806</v>
      </c>
      <c r="AA24" s="57">
        <f>$Z$24</f>
        <v>33.813169694149806</v>
      </c>
      <c r="AB24" s="57">
        <f t="shared" si="6"/>
        <v>130</v>
      </c>
      <c r="AC24" s="57">
        <f t="shared" si="7"/>
        <v>13.741114008565532</v>
      </c>
      <c r="AD24" s="59">
        <f>INT((AC$23+AE24)*100)/100</f>
        <v>14.86</v>
      </c>
      <c r="AE24" s="57">
        <f>AF24*AG$28</f>
        <v>2.4780000000000015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12.67</v>
      </c>
      <c r="G25" s="457">
        <f t="shared" si="14"/>
        <v>9.27</v>
      </c>
      <c r="H25" s="457"/>
      <c r="I25" s="301"/>
      <c r="J25" s="328">
        <f t="shared" si="15"/>
        <v>0.36999999999999922</v>
      </c>
      <c r="K25" s="373">
        <f t="shared" si="18"/>
        <v>25</v>
      </c>
      <c r="L25" s="373">
        <f t="shared" si="20"/>
        <v>4.2999999999999997E-2</v>
      </c>
      <c r="M25" s="374">
        <f t="shared" si="17"/>
        <v>1.075</v>
      </c>
      <c r="N25" s="374">
        <f t="shared" si="19"/>
        <v>4.9079999999999999E-2</v>
      </c>
      <c r="O25" s="373">
        <f t="shared" si="21"/>
        <v>21.9</v>
      </c>
      <c r="P25" s="375">
        <f t="shared" si="22"/>
        <v>-15.09</v>
      </c>
      <c r="S25" s="51">
        <f>$R$24</f>
        <v>79</v>
      </c>
      <c r="T25" s="51">
        <f t="shared" si="10"/>
        <v>1.385457250035494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47.890176873910235</v>
      </c>
      <c r="AA25" s="57">
        <f>$Z$24</f>
        <v>33.813169694149806</v>
      </c>
      <c r="AB25" s="57">
        <f t="shared" si="6"/>
        <v>140</v>
      </c>
      <c r="AC25" s="57">
        <f t="shared" si="7"/>
        <v>14.077007179760429</v>
      </c>
      <c r="AD25" s="59">
        <f>INT((AC$23+AE25)*100)/100</f>
        <v>15.28</v>
      </c>
      <c r="AE25" s="57">
        <f>AF25*AG$28</f>
        <v>2.8910000000000018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13.01</v>
      </c>
      <c r="G26" s="457">
        <f t="shared" si="14"/>
        <v>9.61</v>
      </c>
      <c r="H26" s="457"/>
      <c r="I26" s="301"/>
      <c r="J26" s="328">
        <f t="shared" si="15"/>
        <v>0.33999999999999986</v>
      </c>
      <c r="K26" s="373">
        <f t="shared" si="18"/>
        <v>30</v>
      </c>
      <c r="L26" s="373">
        <f t="shared" si="20"/>
        <v>4.2999999999999997E-2</v>
      </c>
      <c r="M26" s="374">
        <f t="shared" si="17"/>
        <v>1.2899999999999998</v>
      </c>
      <c r="N26" s="374">
        <f t="shared" si="19"/>
        <v>4.9079999999999999E-2</v>
      </c>
      <c r="O26" s="374">
        <f t="shared" si="21"/>
        <v>26.28</v>
      </c>
      <c r="P26" s="375">
        <f t="shared" si="22"/>
        <v>-18.829999999999998</v>
      </c>
      <c r="S26" s="51">
        <f>$R$24</f>
        <v>79</v>
      </c>
      <c r="T26" s="51">
        <f t="shared" si="10"/>
        <v>1.385457250035494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48.202885935028846</v>
      </c>
      <c r="AA26" s="57">
        <f>$Z$24</f>
        <v>33.813169694149806</v>
      </c>
      <c r="AB26" s="57">
        <f t="shared" si="6"/>
        <v>150</v>
      </c>
      <c r="AC26" s="57">
        <f t="shared" si="7"/>
        <v>14.389716240879039</v>
      </c>
      <c r="AD26" s="59">
        <f>INT((AC$23+AE26)*100)/100</f>
        <v>15.69</v>
      </c>
      <c r="AE26" s="57">
        <f>AF26*AG$28</f>
        <v>3.304000000000002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13.32</v>
      </c>
      <c r="G27" s="457">
        <f t="shared" si="14"/>
        <v>9.92</v>
      </c>
      <c r="H27" s="457"/>
      <c r="I27" s="301"/>
      <c r="J27" s="328">
        <f t="shared" si="15"/>
        <v>0.3100000000000005</v>
      </c>
      <c r="K27" s="373">
        <f t="shared" si="18"/>
        <v>35</v>
      </c>
      <c r="L27" s="373">
        <f t="shared" si="20"/>
        <v>4.2999999999999997E-2</v>
      </c>
      <c r="M27" s="374">
        <f t="shared" si="17"/>
        <v>1.5049999999999999</v>
      </c>
      <c r="N27" s="374">
        <f t="shared" si="19"/>
        <v>4.9079999999999999E-2</v>
      </c>
      <c r="O27" s="374">
        <f t="shared" si="21"/>
        <v>30.66</v>
      </c>
      <c r="P27" s="375">
        <f t="shared" si="22"/>
        <v>-22.66</v>
      </c>
      <c r="S27" s="51">
        <f>$R$24</f>
        <v>79</v>
      </c>
      <c r="T27" s="51">
        <f t="shared" si="10"/>
        <v>1.385457250035494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49.029255407960605</v>
      </c>
      <c r="Z27" s="57">
        <f>Y28-Z28</f>
        <v>33.813169694149806</v>
      </c>
      <c r="AA27" s="57">
        <f>$Z$24</f>
        <v>33.813169694149806</v>
      </c>
      <c r="AB27" s="57">
        <f t="shared" si="6"/>
        <v>180</v>
      </c>
      <c r="AC27" s="57">
        <f t="shared" si="7"/>
        <v>15.216085713810799</v>
      </c>
      <c r="AD27" s="59">
        <f>INT((AC$23+AE27)*100)/100</f>
        <v>16.100000000000001</v>
      </c>
      <c r="AE27" s="57">
        <f>AF27*AG$28</f>
        <v>3.7170000000000023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14.110000000000001</v>
      </c>
      <c r="G28" s="457">
        <f t="shared" si="14"/>
        <v>10.71</v>
      </c>
      <c r="H28" s="457"/>
      <c r="I28" s="301"/>
      <c r="J28" s="328">
        <f t="shared" si="15"/>
        <v>0.79000000000000092</v>
      </c>
      <c r="K28" s="373">
        <f t="shared" si="18"/>
        <v>40</v>
      </c>
      <c r="L28" s="373">
        <f t="shared" si="20"/>
        <v>4.2999999999999997E-2</v>
      </c>
      <c r="M28" s="374">
        <f t="shared" si="17"/>
        <v>1.7199999999999998</v>
      </c>
      <c r="N28" s="374">
        <f t="shared" si="19"/>
        <v>4.9079999999999999E-2</v>
      </c>
      <c r="O28" s="374">
        <f t="shared" si="21"/>
        <v>35.04</v>
      </c>
      <c r="P28" s="375">
        <f t="shared" si="22"/>
        <v>-26.56</v>
      </c>
      <c r="S28" s="51">
        <f>$R$24</f>
        <v>79</v>
      </c>
      <c r="T28" s="51">
        <f t="shared" si="10"/>
        <v>1.385457250035494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50.333169694149809</v>
      </c>
      <c r="Z28" s="57">
        <f>Input!B21</f>
        <v>16.52</v>
      </c>
      <c r="AA28" s="57">
        <f>$Z$24</f>
        <v>33.813169694149806</v>
      </c>
      <c r="AB28" s="57">
        <f t="shared" si="6"/>
        <v>240</v>
      </c>
      <c r="AC28" s="57">
        <f t="shared" si="7"/>
        <v>16.520000000000003</v>
      </c>
      <c r="AD28" s="59">
        <f>INT((AC$23+AE28)*100)/100</f>
        <v>16.52</v>
      </c>
      <c r="AE28" s="57">
        <f>AF28*AG$28</f>
        <v>4.1300000000000026</v>
      </c>
      <c r="AF28" s="57">
        <v>1</v>
      </c>
      <c r="AG28" s="57">
        <f>AC28-AC23</f>
        <v>4.1300000000000026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14.76</v>
      </c>
      <c r="G29" s="457">
        <f t="shared" si="14"/>
        <v>11.36</v>
      </c>
      <c r="H29" s="457"/>
      <c r="I29" s="301"/>
      <c r="J29" s="328">
        <f t="shared" si="15"/>
        <v>0.64999999999999858</v>
      </c>
      <c r="K29" s="373">
        <f t="shared" si="18"/>
        <v>45</v>
      </c>
      <c r="L29" s="373">
        <f t="shared" si="20"/>
        <v>4.2999999999999997E-2</v>
      </c>
      <c r="M29" s="374">
        <f t="shared" si="17"/>
        <v>1.9349999999999998</v>
      </c>
      <c r="N29" s="374">
        <f t="shared" si="19"/>
        <v>4.9079999999999999E-2</v>
      </c>
      <c r="O29" s="374">
        <f t="shared" si="21"/>
        <v>39.42</v>
      </c>
      <c r="P29" s="375">
        <f t="shared" si="22"/>
        <v>-30.52</v>
      </c>
      <c r="R29" s="55">
        <f>B37</f>
        <v>96.899999999999991</v>
      </c>
      <c r="S29" s="51">
        <f>$R$29</f>
        <v>96.899999999999991</v>
      </c>
      <c r="T29" s="51">
        <f t="shared" si="10"/>
        <v>1.385457250035494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61.964722379943872</v>
      </c>
      <c r="Z29" s="57">
        <f>Z32</f>
        <v>42.831942681895441</v>
      </c>
      <c r="AA29" s="57">
        <f>$Z$29</f>
        <v>42.831942681895441</v>
      </c>
      <c r="AB29" s="57">
        <f t="shared" si="6"/>
        <v>250</v>
      </c>
      <c r="AC29" s="57">
        <f t="shared" si="7"/>
        <v>19.132779698048431</v>
      </c>
      <c r="AD29" s="59">
        <f>INT((AC$28+AE29)*100)/100</f>
        <v>19.3</v>
      </c>
      <c r="AE29" s="57">
        <f>AF29*AG$33</f>
        <v>2.7840000000000003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15.31</v>
      </c>
      <c r="G30" s="457">
        <f t="shared" si="14"/>
        <v>11.91</v>
      </c>
      <c r="H30" s="457"/>
      <c r="I30" s="301"/>
      <c r="J30" s="328">
        <f t="shared" si="15"/>
        <v>0.55000000000000071</v>
      </c>
      <c r="K30" s="373">
        <f t="shared" si="18"/>
        <v>50</v>
      </c>
      <c r="L30" s="373">
        <f t="shared" si="20"/>
        <v>4.2999999999999997E-2</v>
      </c>
      <c r="M30" s="374">
        <f t="shared" si="17"/>
        <v>2.15</v>
      </c>
      <c r="N30" s="374">
        <f t="shared" si="19"/>
        <v>4.9079999999999999E-2</v>
      </c>
      <c r="O30" s="374">
        <f t="shared" si="21"/>
        <v>43.8</v>
      </c>
      <c r="P30" s="375">
        <f t="shared" si="22"/>
        <v>-34.53</v>
      </c>
      <c r="R30" s="51" t="s">
        <v>21</v>
      </c>
      <c r="S30" s="51">
        <f>$R$29</f>
        <v>96.899999999999991</v>
      </c>
      <c r="T30" s="51">
        <f t="shared" si="10"/>
        <v>1.385457250035494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62.182768526980674</v>
      </c>
      <c r="AA30" s="57">
        <f>$Z$29</f>
        <v>42.831942681895441</v>
      </c>
      <c r="AB30" s="57">
        <f t="shared" si="6"/>
        <v>260</v>
      </c>
      <c r="AC30" s="57">
        <f t="shared" si="7"/>
        <v>19.350825845085232</v>
      </c>
      <c r="AD30" s="59">
        <f>INT((AC$28+AE30)*100)/100</f>
        <v>19.760000000000002</v>
      </c>
      <c r="AE30" s="57">
        <f>AF30*AG$33</f>
        <v>3.2480000000000002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15.790000000000001</v>
      </c>
      <c r="G31" s="457">
        <f t="shared" si="14"/>
        <v>12.39</v>
      </c>
      <c r="H31" s="457"/>
      <c r="I31" s="301"/>
      <c r="J31" s="328">
        <f t="shared" si="15"/>
        <v>0.48000000000000043</v>
      </c>
      <c r="K31" s="373">
        <f t="shared" si="18"/>
        <v>55</v>
      </c>
      <c r="L31" s="373">
        <f t="shared" si="20"/>
        <v>4.2999999999999997E-2</v>
      </c>
      <c r="M31" s="374">
        <f t="shared" si="17"/>
        <v>2.3649999999999998</v>
      </c>
      <c r="N31" s="374">
        <f t="shared" si="19"/>
        <v>4.9079999999999999E-2</v>
      </c>
      <c r="O31" s="374">
        <f>INT(M31/N31*100)/100</f>
        <v>48.18</v>
      </c>
      <c r="P31" s="375">
        <f t="shared" si="22"/>
        <v>-38.57</v>
      </c>
      <c r="S31" s="51">
        <f>$R$29</f>
        <v>96.899999999999991</v>
      </c>
      <c r="T31" s="51">
        <f t="shared" si="10"/>
        <v>1.385457250035494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62.392584525797545</v>
      </c>
      <c r="AA31" s="57">
        <f>$Z$29</f>
        <v>42.831942681895441</v>
      </c>
      <c r="AB31" s="57">
        <f t="shared" si="6"/>
        <v>270</v>
      </c>
      <c r="AC31" s="57">
        <f t="shared" si="7"/>
        <v>19.560641843902104</v>
      </c>
      <c r="AD31" s="59">
        <f>INT((AC$28+AE31)*100)/100</f>
        <v>20.23</v>
      </c>
      <c r="AE31" s="57">
        <f>AF31*AG$33</f>
        <v>3.7120000000000006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79</v>
      </c>
      <c r="C32" s="325">
        <f>$C$12+D32/1440</f>
        <v>44992.569444444445</v>
      </c>
      <c r="D32" s="456">
        <v>130</v>
      </c>
      <c r="E32" s="456"/>
      <c r="F32" s="326">
        <f t="shared" si="13"/>
        <v>18.259999999999998</v>
      </c>
      <c r="G32" s="457">
        <f t="shared" si="14"/>
        <v>14.86</v>
      </c>
      <c r="H32" s="457"/>
      <c r="I32" s="301"/>
      <c r="J32" s="328">
        <f t="shared" si="15"/>
        <v>2.4699999999999989</v>
      </c>
      <c r="K32" s="373">
        <f t="shared" si="18"/>
        <v>60</v>
      </c>
      <c r="L32" s="373">
        <f t="shared" si="20"/>
        <v>4.2999999999999997E-2</v>
      </c>
      <c r="M32" s="374">
        <f t="shared" si="17"/>
        <v>2.5799999999999996</v>
      </c>
      <c r="N32" s="374">
        <f t="shared" si="19"/>
        <v>4.9079999999999999E-2</v>
      </c>
      <c r="O32" s="374">
        <f>INT(M32/N32*100)/100</f>
        <v>52.56</v>
      </c>
      <c r="P32" s="375">
        <f t="shared" si="22"/>
        <v>-42.64</v>
      </c>
      <c r="S32" s="51">
        <f>$R$29</f>
        <v>96.899999999999991</v>
      </c>
      <c r="T32" s="51">
        <f t="shared" si="10"/>
        <v>1.385457250035494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62.978332530919651</v>
      </c>
      <c r="Z32" s="57">
        <f>Y33-Z33</f>
        <v>42.831942681895441</v>
      </c>
      <c r="AA32" s="57">
        <f>$Z$29</f>
        <v>42.831942681895441</v>
      </c>
      <c r="AB32" s="57">
        <f t="shared" si="6"/>
        <v>300</v>
      </c>
      <c r="AC32" s="57">
        <f t="shared" si="7"/>
        <v>20.14638984902421</v>
      </c>
      <c r="AD32" s="59">
        <f>INT((AC$28+AE32)*100)/100</f>
        <v>20.69</v>
      </c>
      <c r="AE32" s="57">
        <f>AF32*AG$33</f>
        <v>4.176000000000001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18.68</v>
      </c>
      <c r="G33" s="457">
        <f t="shared" si="14"/>
        <v>15.28</v>
      </c>
      <c r="H33" s="457"/>
      <c r="I33" s="301"/>
      <c r="J33" s="328">
        <f t="shared" si="15"/>
        <v>0.41999999999999993</v>
      </c>
      <c r="L33" s="66" t="s">
        <v>21</v>
      </c>
      <c r="P33" s="58"/>
      <c r="S33" s="51">
        <f>$R$29</f>
        <v>96.899999999999991</v>
      </c>
      <c r="T33" s="51">
        <f t="shared" si="10"/>
        <v>1.385457250035494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63.991942681895445</v>
      </c>
      <c r="Z33" s="57">
        <f>Input!B22</f>
        <v>21.16</v>
      </c>
      <c r="AA33" s="57">
        <f>$Z$29</f>
        <v>42.831942681895441</v>
      </c>
      <c r="AB33" s="57">
        <f t="shared" si="6"/>
        <v>360</v>
      </c>
      <c r="AC33" s="57">
        <f t="shared" si="7"/>
        <v>21.160000000000004</v>
      </c>
      <c r="AD33" s="59">
        <f>INT((AC$28+AE33)*100)/100</f>
        <v>21.16</v>
      </c>
      <c r="AE33" s="57">
        <f>AF33*AG$33</f>
        <v>4.6400000000000006</v>
      </c>
      <c r="AF33" s="57">
        <v>1</v>
      </c>
      <c r="AG33" s="57">
        <f>AC33-AC28</f>
        <v>4.6400000000000006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19.09</v>
      </c>
      <c r="G34" s="457">
        <f t="shared" si="14"/>
        <v>15.69</v>
      </c>
      <c r="H34" s="457"/>
      <c r="I34" s="301"/>
      <c r="J34" s="328">
        <f t="shared" si="15"/>
        <v>0.41000000000000014</v>
      </c>
      <c r="L34" s="66" t="s">
        <v>21</v>
      </c>
      <c r="R34" s="51">
        <f>B42</f>
        <v>114</v>
      </c>
      <c r="S34" s="51">
        <f>$R$34</f>
        <v>114</v>
      </c>
      <c r="T34" s="51">
        <f t="shared" si="10"/>
        <v>1.385457250035494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75.463842700552959</v>
      </c>
      <c r="Z34" s="57">
        <f>Z37</f>
        <v>50.826236279992173</v>
      </c>
      <c r="AA34" s="57">
        <f>$Z$34</f>
        <v>50.826236279992173</v>
      </c>
      <c r="AB34" s="57">
        <f t="shared" si="6"/>
        <v>370</v>
      </c>
      <c r="AC34" s="57">
        <f t="shared" si="7"/>
        <v>24.637606420560786</v>
      </c>
      <c r="AD34" s="59">
        <f>INT((AC$33+AE34)*100)/100</f>
        <v>24.26</v>
      </c>
      <c r="AE34" s="57">
        <f>AG$38*AF34</f>
        <v>3.1079999999999997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19.5</v>
      </c>
      <c r="G35" s="457">
        <f t="shared" si="14"/>
        <v>16.100000000000001</v>
      </c>
      <c r="H35" s="457"/>
      <c r="I35" s="301"/>
      <c r="J35" s="328">
        <f t="shared" si="15"/>
        <v>0.41000000000000192</v>
      </c>
      <c r="L35" s="66" t="s">
        <v>21</v>
      </c>
      <c r="S35" s="51">
        <f>$R$34</f>
        <v>114</v>
      </c>
      <c r="T35" s="51">
        <f t="shared" si="10"/>
        <v>1.385457250035494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75.638267597560997</v>
      </c>
      <c r="AA35" s="57">
        <f>$Z$34</f>
        <v>50.826236279992173</v>
      </c>
      <c r="AB35" s="57">
        <f t="shared" si="6"/>
        <v>380</v>
      </c>
      <c r="AC35" s="57">
        <f t="shared" si="7"/>
        <v>24.812031317568824</v>
      </c>
      <c r="AD35" s="59">
        <f>INT((AC$33+AE35)*100)/100</f>
        <v>24.78</v>
      </c>
      <c r="AE35" s="57">
        <f>AG$38*AF35</f>
        <v>3.6259999999999994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19.919999999999998</v>
      </c>
      <c r="G36" s="457">
        <f t="shared" si="14"/>
        <v>16.52</v>
      </c>
      <c r="H36" s="457"/>
      <c r="I36" s="301"/>
      <c r="J36" s="328">
        <f t="shared" si="15"/>
        <v>0.41999999999999815</v>
      </c>
      <c r="L36" s="66" t="s">
        <v>21</v>
      </c>
      <c r="S36" s="51">
        <f>$R$34</f>
        <v>114</v>
      </c>
      <c r="T36" s="51">
        <f t="shared" si="10"/>
        <v>1.385457250035494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75.808161461475763</v>
      </c>
      <c r="AA36" s="57">
        <f>$Z$34</f>
        <v>50.826236279992173</v>
      </c>
      <c r="AB36" s="57">
        <f t="shared" si="6"/>
        <v>390</v>
      </c>
      <c r="AC36" s="57">
        <f t="shared" si="7"/>
        <v>24.981925181483589</v>
      </c>
      <c r="AD36" s="59">
        <f>INT((AC$33+AE36)*100)/100</f>
        <v>25.3</v>
      </c>
      <c r="AE36" s="57">
        <f>AG$38*AF36</f>
        <v>4.1440000000000001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96.899999999999991</v>
      </c>
      <c r="C37" s="325">
        <f>$C$12+D37/1440</f>
        <v>44992.652777777774</v>
      </c>
      <c r="D37" s="456">
        <v>250</v>
      </c>
      <c r="E37" s="456"/>
      <c r="F37" s="326">
        <f t="shared" si="13"/>
        <v>22.7</v>
      </c>
      <c r="G37" s="457">
        <f t="shared" si="14"/>
        <v>19.3</v>
      </c>
      <c r="H37" s="457"/>
      <c r="I37" s="301"/>
      <c r="J37" s="328">
        <f t="shared" si="15"/>
        <v>2.7800000000000011</v>
      </c>
      <c r="L37" s="66" t="s">
        <v>21</v>
      </c>
      <c r="S37" s="51">
        <f>$R$34</f>
        <v>114</v>
      </c>
      <c r="T37" s="51">
        <f t="shared" si="10"/>
        <v>1.385457250035494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76.29286806294688</v>
      </c>
      <c r="Z37" s="57">
        <f>Y38-Z38</f>
        <v>50.826236279992173</v>
      </c>
      <c r="AA37" s="57">
        <f>$Z$34</f>
        <v>50.826236279992173</v>
      </c>
      <c r="AB37" s="57">
        <f t="shared" si="6"/>
        <v>420</v>
      </c>
      <c r="AC37" s="57">
        <f t="shared" si="7"/>
        <v>25.466631782954707</v>
      </c>
      <c r="AD37" s="59">
        <f>INT((AC$33+AE37)*100)/100</f>
        <v>25.82</v>
      </c>
      <c r="AE37" s="57">
        <f>AG$38*AF37</f>
        <v>4.6619999999999999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23.16</v>
      </c>
      <c r="G38" s="457">
        <f t="shared" si="14"/>
        <v>19.760000000000002</v>
      </c>
      <c r="H38" s="457"/>
      <c r="I38" s="301"/>
      <c r="J38" s="328">
        <f t="shared" si="15"/>
        <v>0.46000000000000085</v>
      </c>
      <c r="L38" s="66" t="s">
        <v>21</v>
      </c>
      <c r="S38" s="51">
        <f>$R$34</f>
        <v>114</v>
      </c>
      <c r="T38" s="51">
        <f t="shared" si="10"/>
        <v>1.385457250035494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77.166236279992177</v>
      </c>
      <c r="Z38" s="57">
        <f>Input!B23</f>
        <v>26.34</v>
      </c>
      <c r="AA38" s="57">
        <f>$Z$34</f>
        <v>50.826236279992173</v>
      </c>
      <c r="AB38" s="57">
        <f t="shared" si="6"/>
        <v>480</v>
      </c>
      <c r="AC38" s="57">
        <f t="shared" si="7"/>
        <v>26.340000000000003</v>
      </c>
      <c r="AD38" s="59">
        <f>INT((AC$33+AE38)*100)/100</f>
        <v>26.34</v>
      </c>
      <c r="AE38" s="57">
        <f>AG$38*AF38</f>
        <v>5.18</v>
      </c>
      <c r="AF38" s="57">
        <v>1</v>
      </c>
      <c r="AG38" s="57">
        <f>AC38-AC33</f>
        <v>5.18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23.63</v>
      </c>
      <c r="G39" s="457">
        <f t="shared" si="14"/>
        <v>20.23</v>
      </c>
      <c r="H39" s="457"/>
      <c r="I39" s="301"/>
      <c r="J39" s="328">
        <f t="shared" si="15"/>
        <v>0.46999999999999886</v>
      </c>
      <c r="K39" s="60" t="s">
        <v>21</v>
      </c>
      <c r="L39" s="66" t="s">
        <v>21</v>
      </c>
      <c r="R39" s="55">
        <f>B47</f>
        <v>131.1</v>
      </c>
      <c r="S39" s="51">
        <f>$R$39</f>
        <v>131.1</v>
      </c>
      <c r="T39" s="51">
        <f t="shared" si="10"/>
        <v>1.385457250035494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88.896262328095744</v>
      </c>
      <c r="Z39" s="57">
        <f>Z42</f>
        <v>56.179574485452882</v>
      </c>
      <c r="AA39" s="57">
        <f>$Z$39</f>
        <v>56.179574485452882</v>
      </c>
      <c r="AB39" s="57">
        <f t="shared" si="6"/>
        <v>490</v>
      </c>
      <c r="AC39" s="57">
        <f t="shared" si="7"/>
        <v>32.716687842642862</v>
      </c>
      <c r="AD39" s="59">
        <f>INT((AC$38+AE39)*100)/100</f>
        <v>29.5</v>
      </c>
      <c r="AE39" s="57">
        <f>AG$43*AF39</f>
        <v>3.1599999999999997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24.09</v>
      </c>
      <c r="G40" s="457">
        <f t="shared" si="14"/>
        <v>20.69</v>
      </c>
      <c r="H40" s="457"/>
      <c r="I40" s="301"/>
      <c r="J40" s="328">
        <f t="shared" si="15"/>
        <v>0.46000000000000085</v>
      </c>
      <c r="K40" s="60" t="s">
        <v>21</v>
      </c>
      <c r="L40" s="66" t="s">
        <v>21</v>
      </c>
      <c r="S40" s="51">
        <f>$R$39</f>
        <v>131.1</v>
      </c>
      <c r="T40" s="51">
        <f t="shared" si="10"/>
        <v>1.385457250035494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89.04821957530919</v>
      </c>
      <c r="AA40" s="57">
        <f>$Z$39</f>
        <v>56.179574485452882</v>
      </c>
      <c r="AB40" s="57">
        <f t="shared" si="6"/>
        <v>500</v>
      </c>
      <c r="AC40" s="57">
        <f t="shared" si="7"/>
        <v>32.868645089856308</v>
      </c>
      <c r="AD40" s="59">
        <f>INT((AC$38+AE40)*100)/100</f>
        <v>30.68</v>
      </c>
      <c r="AE40" s="57">
        <f>AG$43*AF40</f>
        <v>4.3449999999999998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24.56</v>
      </c>
      <c r="G41" s="457">
        <f t="shared" si="14"/>
        <v>21.16</v>
      </c>
      <c r="H41" s="457"/>
      <c r="I41" s="301"/>
      <c r="J41" s="328">
        <f t="shared" si="15"/>
        <v>0.46999999999999886</v>
      </c>
      <c r="K41" s="60" t="s">
        <v>21</v>
      </c>
      <c r="L41" s="66" t="s">
        <v>21</v>
      </c>
      <c r="S41" s="51">
        <f>$R$39</f>
        <v>131.1</v>
      </c>
      <c r="T41" s="51">
        <f t="shared" si="10"/>
        <v>1.385457250035494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89.197167569467936</v>
      </c>
      <c r="AA41" s="57">
        <f>$Z$39</f>
        <v>56.179574485452882</v>
      </c>
      <c r="AB41" s="57">
        <f t="shared" si="6"/>
        <v>510</v>
      </c>
      <c r="AC41" s="57">
        <f t="shared" si="7"/>
        <v>33.017593084015054</v>
      </c>
      <c r="AD41" s="59">
        <f>INT((AC$38+AE41)*100)/100</f>
        <v>31.87</v>
      </c>
      <c r="AE41" s="57">
        <f>AG$43*AF41</f>
        <v>5.5299999999999985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114</v>
      </c>
      <c r="C42" s="325">
        <f>$C$12+D42/1440</f>
        <v>44992.736111111109</v>
      </c>
      <c r="D42" s="456">
        <v>370</v>
      </c>
      <c r="E42" s="456"/>
      <c r="F42" s="326">
        <f t="shared" si="13"/>
        <v>27.66</v>
      </c>
      <c r="G42" s="457">
        <f t="shared" si="14"/>
        <v>24.26</v>
      </c>
      <c r="H42" s="457"/>
      <c r="I42" s="301"/>
      <c r="J42" s="328">
        <f t="shared" si="15"/>
        <v>3.1000000000000014</v>
      </c>
      <c r="K42" s="60" t="s">
        <v>21</v>
      </c>
      <c r="L42" s="66" t="s">
        <v>21</v>
      </c>
      <c r="S42" s="51">
        <f>$R$39</f>
        <v>131.1</v>
      </c>
      <c r="T42" s="51">
        <f t="shared" si="10"/>
        <v>1.385457250035494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89.627091890287687</v>
      </c>
      <c r="Z42" s="57">
        <f>Y43-Z43</f>
        <v>56.179574485452882</v>
      </c>
      <c r="AA42" s="57">
        <f>$Z$39</f>
        <v>56.179574485452882</v>
      </c>
      <c r="AB42" s="57">
        <f t="shared" si="6"/>
        <v>540</v>
      </c>
      <c r="AC42" s="57">
        <f t="shared" si="7"/>
        <v>33.447517404834805</v>
      </c>
      <c r="AD42" s="59">
        <f>INT((AC$38+AE42)*100)/100</f>
        <v>33.049999999999997</v>
      </c>
      <c r="AE42" s="57">
        <f>AG$43*AF42</f>
        <v>6.714999999999999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28.18</v>
      </c>
      <c r="G43" s="457">
        <f t="shared" si="14"/>
        <v>24.78</v>
      </c>
      <c r="H43" s="457"/>
      <c r="I43" s="301"/>
      <c r="J43" s="328">
        <f t="shared" si="15"/>
        <v>0.51999999999999957</v>
      </c>
      <c r="K43" s="60" t="s">
        <v>21</v>
      </c>
      <c r="L43" s="66" t="s">
        <v>21</v>
      </c>
      <c r="S43" s="51">
        <f>$R$39</f>
        <v>131.1</v>
      </c>
      <c r="T43" s="51">
        <f t="shared" si="10"/>
        <v>1.385457250035494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90.419574485452884</v>
      </c>
      <c r="Z43" s="57">
        <f>Input!B24</f>
        <v>34.24</v>
      </c>
      <c r="AA43" s="57">
        <f>$Z$39</f>
        <v>56.179574485452882</v>
      </c>
      <c r="AB43" s="57">
        <f t="shared" si="6"/>
        <v>600</v>
      </c>
      <c r="AC43" s="57">
        <f t="shared" si="7"/>
        <v>34.24</v>
      </c>
      <c r="AD43" s="59">
        <f>INT((AC$38+AE43)*100)/100</f>
        <v>34.24</v>
      </c>
      <c r="AE43" s="57">
        <f>AG$43*AF43</f>
        <v>7.8999999999999986</v>
      </c>
      <c r="AF43" s="57">
        <v>1</v>
      </c>
      <c r="AG43" s="57">
        <f>AC43-AC38</f>
        <v>7.8999999999999986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28.7</v>
      </c>
      <c r="G44" s="457">
        <f t="shared" si="14"/>
        <v>25.3</v>
      </c>
      <c r="H44" s="457"/>
      <c r="I44" s="301"/>
      <c r="J44" s="328">
        <f t="shared" si="15"/>
        <v>0.51999999999999957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29.22</v>
      </c>
      <c r="G45" s="457">
        <f t="shared" si="14"/>
        <v>25.82</v>
      </c>
      <c r="H45" s="457"/>
      <c r="I45" s="301"/>
      <c r="J45" s="328">
        <f t="shared" si="15"/>
        <v>0.51999999999999957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29.74</v>
      </c>
      <c r="G46" s="457">
        <f t="shared" si="14"/>
        <v>26.34</v>
      </c>
      <c r="H46" s="457"/>
      <c r="I46" s="301"/>
      <c r="J46" s="328">
        <f t="shared" si="15"/>
        <v>0.51999999999999957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131.1</v>
      </c>
      <c r="C47" s="325">
        <f>$C$12+D47/1440</f>
        <v>44992.819444444445</v>
      </c>
      <c r="D47" s="456">
        <v>490</v>
      </c>
      <c r="E47" s="456"/>
      <c r="F47" s="326">
        <f t="shared" si="13"/>
        <v>32.9</v>
      </c>
      <c r="G47" s="457">
        <f t="shared" si="14"/>
        <v>29.5</v>
      </c>
      <c r="H47" s="457"/>
      <c r="I47" s="301"/>
      <c r="J47" s="328">
        <f t="shared" si="15"/>
        <v>3.16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34.08</v>
      </c>
      <c r="G48" s="457">
        <f t="shared" si="14"/>
        <v>30.68</v>
      </c>
      <c r="H48" s="457"/>
      <c r="I48" s="301"/>
      <c r="J48" s="328">
        <f t="shared" si="15"/>
        <v>1.1799999999999997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35.270000000000003</v>
      </c>
      <c r="G49" s="457">
        <f t="shared" si="14"/>
        <v>31.87</v>
      </c>
      <c r="H49" s="457"/>
      <c r="I49" s="301"/>
      <c r="J49" s="328">
        <f t="shared" si="15"/>
        <v>1.1900000000000013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36.449999999999996</v>
      </c>
      <c r="G50" s="457">
        <f t="shared" si="14"/>
        <v>33.049999999999997</v>
      </c>
      <c r="H50" s="457"/>
      <c r="I50" s="301"/>
      <c r="J50" s="328">
        <f t="shared" si="15"/>
        <v>1.1799999999999962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37.64</v>
      </c>
      <c r="G51" s="457">
        <f t="shared" si="14"/>
        <v>34.24</v>
      </c>
      <c r="H51" s="457"/>
      <c r="I51" s="301" t="s">
        <v>180</v>
      </c>
      <c r="J51" s="328">
        <f t="shared" si="15"/>
        <v>1.1900000000000048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G13" sqref="G13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-17.099689419255643</v>
      </c>
      <c r="N1" s="470" t="s">
        <v>183</v>
      </c>
      <c r="O1" s="470"/>
      <c r="P1" s="69">
        <f>StepTest!G41</f>
        <v>21.16</v>
      </c>
      <c r="Q1" s="70" t="s">
        <v>184</v>
      </c>
      <c r="R1" s="71">
        <f>G35</f>
        <v>38.259689419255643</v>
      </c>
      <c r="S1" s="72">
        <f>D7/2000</f>
        <v>0.125</v>
      </c>
      <c r="T1" s="73">
        <v>0.8832982426359095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소규모수도시설 수원공 사후관리 연장허가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46.5</v>
      </c>
      <c r="T2" s="51">
        <v>44</v>
      </c>
      <c r="U2" s="55">
        <f>B10</f>
        <v>100</v>
      </c>
      <c r="V2" s="55">
        <f>U2</f>
        <v>100</v>
      </c>
      <c r="W2" s="51">
        <f>T1</f>
        <v>0.8832982426359095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32.391597919163395</v>
      </c>
      <c r="AC2" s="57">
        <f>1.6*V2/(4*PI()*W2)*LOG10((2.25*W2*Z2)/(X2*X2*Y2))</f>
        <v>32.391597919163395</v>
      </c>
      <c r="AD2" s="74">
        <v>0</v>
      </c>
      <c r="AE2" s="56">
        <f>AA2</f>
        <v>1</v>
      </c>
      <c r="AF2" s="57">
        <f t="shared" ref="AF2:AF14" si="1">AC2-$P$3-O3</f>
        <v>2.9754133123546778</v>
      </c>
      <c r="AG2" s="57">
        <f>AC2</f>
        <v>32.391597919163395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산직지구</v>
      </c>
      <c r="D3" s="122"/>
      <c r="E3" s="122"/>
      <c r="F3" s="124"/>
      <c r="G3" s="122"/>
      <c r="H3" s="125" t="str">
        <f>StepTest!H5</f>
        <v>공  번 : W - 2</v>
      </c>
      <c r="I3" s="125"/>
      <c r="J3" s="126"/>
      <c r="L3" s="77" t="s">
        <v>48</v>
      </c>
      <c r="M3" s="58">
        <f t="shared" ref="M3:M10" si="2">Q17</f>
        <v>1.56</v>
      </c>
      <c r="N3" s="78"/>
      <c r="O3" s="290">
        <v>-1.5638152305104593</v>
      </c>
      <c r="P3" s="292">
        <v>30.979999837319177</v>
      </c>
      <c r="V3" s="55">
        <f>V2</f>
        <v>100</v>
      </c>
      <c r="W3" s="51">
        <f>W$2</f>
        <v>0.8832982426359095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36.730826462028531</v>
      </c>
      <c r="AC3" s="57">
        <f t="shared" ref="AC3:AC34" si="5">1.6*V3/(4*PI()*W3)*LOG10((2.25*W3*Z3)/(X3*X3*Y3))</f>
        <v>36.730826462028531</v>
      </c>
      <c r="AD3" s="57">
        <f>AB69</f>
        <v>74.079999837319178</v>
      </c>
      <c r="AE3" s="56">
        <f t="shared" ref="AE3:AE66" si="6">AA3</f>
        <v>2</v>
      </c>
      <c r="AF3" s="57">
        <f t="shared" si="1"/>
        <v>5.7508266247093545</v>
      </c>
      <c r="AG3" s="57">
        <f t="shared" ref="AG3:AG16" si="7">AC3</f>
        <v>36.730826462028531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초촌면 산직리 233-1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2.93</v>
      </c>
      <c r="N4" s="78"/>
      <c r="O4" s="291"/>
      <c r="P4" s="291"/>
      <c r="V4" s="55">
        <f t="shared" ref="V4:V67" si="8">V3</f>
        <v>100</v>
      </c>
      <c r="W4" s="51">
        <f t="shared" ref="W4:W67" si="9">W$2</f>
        <v>0.8832982426359095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39.269112441663545</v>
      </c>
      <c r="AC4" s="57">
        <f>1.6*V4/(4*PI()*W4)*LOG10((2.25*W4*Z4)/(X4*X4*Y4))</f>
        <v>39.269112441663545</v>
      </c>
      <c r="AD4" s="57">
        <f>AC69</f>
        <v>74.079999837319178</v>
      </c>
      <c r="AE4" s="56">
        <f t="shared" si="6"/>
        <v>3</v>
      </c>
      <c r="AF4" s="57">
        <f t="shared" si="1"/>
        <v>8.2891126043443677</v>
      </c>
      <c r="AG4" s="57">
        <f t="shared" si="7"/>
        <v>39.269112441663545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4.04</v>
      </c>
      <c r="N5" s="78"/>
      <c r="O5" s="291"/>
      <c r="P5" s="291"/>
      <c r="V5" s="55">
        <f t="shared" si="8"/>
        <v>100</v>
      </c>
      <c r="W5" s="51">
        <f t="shared" si="9"/>
        <v>0.8832982426359095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41.070055004893668</v>
      </c>
      <c r="AC5" s="57">
        <f t="shared" si="5"/>
        <v>41.070055004893668</v>
      </c>
      <c r="AD5" s="57">
        <f>AF69</f>
        <v>43.1</v>
      </c>
      <c r="AE5" s="56">
        <f t="shared" si="6"/>
        <v>4</v>
      </c>
      <c r="AF5" s="57">
        <f t="shared" si="1"/>
        <v>10.090055167574491</v>
      </c>
      <c r="AG5" s="57">
        <f t="shared" si="7"/>
        <v>41.070055004893668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4.4400000000000004</v>
      </c>
      <c r="N6" s="78"/>
      <c r="O6" s="291"/>
      <c r="P6" s="291"/>
      <c r="V6" s="55">
        <f t="shared" si="8"/>
        <v>100</v>
      </c>
      <c r="W6" s="51">
        <f t="shared" si="9"/>
        <v>0.8832982426359095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42.466974582979105</v>
      </c>
      <c r="AC6" s="57">
        <f t="shared" si="5"/>
        <v>42.466974582979105</v>
      </c>
      <c r="AE6" s="56">
        <f t="shared" si="6"/>
        <v>5</v>
      </c>
      <c r="AF6" s="57">
        <f t="shared" si="1"/>
        <v>11.486974745659928</v>
      </c>
      <c r="AG6" s="57">
        <f t="shared" si="7"/>
        <v>42.466974582979105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150</v>
      </c>
      <c r="H7" s="122"/>
      <c r="I7" s="122"/>
      <c r="J7" s="123"/>
      <c r="M7" s="58">
        <f t="shared" si="2"/>
        <v>4.41</v>
      </c>
      <c r="N7" s="78"/>
      <c r="O7" s="291"/>
      <c r="P7" s="291"/>
      <c r="V7" s="55">
        <f t="shared" si="8"/>
        <v>100</v>
      </c>
      <c r="W7" s="51">
        <f t="shared" si="9"/>
        <v>0.8832982426359095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46.806203125844249</v>
      </c>
      <c r="AC7" s="57">
        <f t="shared" si="5"/>
        <v>46.806203125844249</v>
      </c>
      <c r="AE7" s="56">
        <f t="shared" si="6"/>
        <v>10</v>
      </c>
      <c r="AF7" s="57">
        <f t="shared" si="1"/>
        <v>15.826203288525072</v>
      </c>
      <c r="AG7" s="57">
        <f t="shared" si="7"/>
        <v>46.806203125844249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3.4</v>
      </c>
      <c r="E8" s="133"/>
      <c r="F8" s="134" t="s">
        <v>189</v>
      </c>
      <c r="G8" s="138">
        <f>F77</f>
        <v>46.5</v>
      </c>
      <c r="H8" s="130">
        <f>Input!C40</f>
        <v>100</v>
      </c>
      <c r="I8" s="130"/>
      <c r="J8" s="120"/>
      <c r="K8" s="330">
        <f>Input!M50</f>
        <v>29.6</v>
      </c>
      <c r="L8" s="371">
        <f>G10-K11</f>
        <v>0.20000000000000107</v>
      </c>
      <c r="M8" s="58">
        <f t="shared" si="2"/>
        <v>1.68</v>
      </c>
      <c r="N8" s="78"/>
      <c r="O8" s="291"/>
      <c r="P8" s="291"/>
      <c r="V8" s="55">
        <f t="shared" si="8"/>
        <v>100</v>
      </c>
      <c r="W8" s="51">
        <f t="shared" si="9"/>
        <v>0.8832982426359095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49.344489105479255</v>
      </c>
      <c r="AC8" s="57">
        <f t="shared" si="5"/>
        <v>49.344489105479255</v>
      </c>
      <c r="AE8" s="56">
        <f t="shared" si="6"/>
        <v>15</v>
      </c>
      <c r="AF8" s="57">
        <f t="shared" si="1"/>
        <v>18.364489268160078</v>
      </c>
      <c r="AG8" s="57">
        <f t="shared" si="7"/>
        <v>49.344489105479255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43.1</v>
      </c>
      <c r="M9" s="58">
        <f t="shared" si="2"/>
        <v>-2.85</v>
      </c>
      <c r="N9" s="78"/>
      <c r="O9" s="291"/>
      <c r="P9" s="291"/>
      <c r="V9" s="55">
        <f t="shared" si="8"/>
        <v>100</v>
      </c>
      <c r="W9" s="51">
        <f t="shared" si="9"/>
        <v>0.8832982426359095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51.145431668709385</v>
      </c>
      <c r="AC9" s="57">
        <f t="shared" si="5"/>
        <v>51.145431668709385</v>
      </c>
      <c r="AE9" s="56">
        <f t="shared" si="6"/>
        <v>20</v>
      </c>
      <c r="AF9" s="57">
        <f t="shared" si="1"/>
        <v>20.165431831390208</v>
      </c>
      <c r="AG9" s="57">
        <f t="shared" si="7"/>
        <v>51.145431668709385</v>
      </c>
    </row>
    <row r="10" spans="1:38" s="51" customFormat="1" ht="21" customHeight="1">
      <c r="A10" s="140">
        <v>1</v>
      </c>
      <c r="B10" s="141">
        <f>Input!C26</f>
        <v>100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6.3754133123546772</v>
      </c>
      <c r="G10" s="145">
        <f>AF2</f>
        <v>2.9754133123546778</v>
      </c>
      <c r="H10" s="146"/>
      <c r="I10" s="146"/>
      <c r="J10" s="146"/>
      <c r="K10" s="79">
        <f>K8-K9</f>
        <v>-13.5</v>
      </c>
      <c r="L10" s="75">
        <f>K10+Q17</f>
        <v>-11.94</v>
      </c>
      <c r="M10" s="58">
        <f t="shared" si="2"/>
        <v>-8.1199999999999992</v>
      </c>
      <c r="N10" s="78"/>
      <c r="O10" s="291"/>
      <c r="P10" s="291"/>
      <c r="V10" s="55">
        <f t="shared" si="8"/>
        <v>100</v>
      </c>
      <c r="W10" s="51">
        <f t="shared" si="9"/>
        <v>0.8832982426359095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52.542351246794823</v>
      </c>
      <c r="AC10" s="57">
        <f t="shared" si="5"/>
        <v>52.542351246794823</v>
      </c>
      <c r="AE10" s="56">
        <f t="shared" si="6"/>
        <v>25</v>
      </c>
      <c r="AF10" s="57">
        <f t="shared" si="1"/>
        <v>21.562351409475646</v>
      </c>
      <c r="AG10" s="57">
        <f t="shared" si="7"/>
        <v>52.542351246794823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9.1508266247093548</v>
      </c>
      <c r="G11" s="144">
        <f>AF3</f>
        <v>5.7508266247093545</v>
      </c>
      <c r="H11" s="146"/>
      <c r="I11" s="146"/>
      <c r="J11" s="146"/>
      <c r="K11" s="80">
        <f>G11-G10</f>
        <v>2.7754133123546767</v>
      </c>
      <c r="L11" s="75" t="s">
        <v>21</v>
      </c>
      <c r="N11" s="78"/>
      <c r="O11" s="291"/>
      <c r="V11" s="55">
        <f t="shared" si="8"/>
        <v>100</v>
      </c>
      <c r="W11" s="51">
        <f t="shared" si="9"/>
        <v>0.8832982426359095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53.683717648344398</v>
      </c>
      <c r="AC11" s="57">
        <f t="shared" si="5"/>
        <v>53.683717648344398</v>
      </c>
      <c r="AE11" s="56">
        <f t="shared" si="6"/>
        <v>30</v>
      </c>
      <c r="AF11" s="57">
        <f t="shared" si="1"/>
        <v>22.703717811025221</v>
      </c>
      <c r="AG11" s="57">
        <f t="shared" si="7"/>
        <v>53.683717648344398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11.689112604344368</v>
      </c>
      <c r="G12" s="144">
        <f t="shared" ref="G12:G74" si="14">AF4</f>
        <v>8.2891126043443677</v>
      </c>
      <c r="H12" s="146"/>
      <c r="I12" s="146"/>
      <c r="J12" s="146"/>
      <c r="K12" s="80">
        <f t="shared" ref="K12:K47" si="15">G12-G11</f>
        <v>2.5382859796350132</v>
      </c>
      <c r="L12" s="75" t="s">
        <v>21</v>
      </c>
      <c r="N12" s="78"/>
      <c r="O12" s="291"/>
      <c r="V12" s="55">
        <f t="shared" si="8"/>
        <v>100</v>
      </c>
      <c r="W12" s="51">
        <f t="shared" si="9"/>
        <v>0.8832982426359095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54.648729190724396</v>
      </c>
      <c r="AC12" s="57">
        <f t="shared" si="5"/>
        <v>54.648729190724396</v>
      </c>
      <c r="AE12" s="56">
        <f t="shared" si="6"/>
        <v>35</v>
      </c>
      <c r="AF12" s="57">
        <f t="shared" si="1"/>
        <v>23.668729353405219</v>
      </c>
      <c r="AG12" s="57">
        <f t="shared" si="7"/>
        <v>54.648729190724396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13.490055167574491</v>
      </c>
      <c r="G13" s="144">
        <f t="shared" si="14"/>
        <v>10.090055167574491</v>
      </c>
      <c r="H13" s="146"/>
      <c r="I13" s="146"/>
      <c r="J13" s="146"/>
      <c r="K13" s="80">
        <f t="shared" si="15"/>
        <v>1.800942563230123</v>
      </c>
      <c r="L13" s="75" t="s">
        <v>21</v>
      </c>
      <c r="M13" s="293">
        <v>0</v>
      </c>
      <c r="N13" s="78"/>
      <c r="O13" s="291"/>
      <c r="V13" s="55">
        <f t="shared" si="8"/>
        <v>100</v>
      </c>
      <c r="W13" s="51">
        <f t="shared" si="9"/>
        <v>0.8832982426359095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55.484660211574521</v>
      </c>
      <c r="AC13" s="57">
        <f t="shared" si="5"/>
        <v>55.484660211574521</v>
      </c>
      <c r="AE13" s="56">
        <f t="shared" si="6"/>
        <v>40</v>
      </c>
      <c r="AF13" s="57">
        <f t="shared" si="1"/>
        <v>24.504660374255344</v>
      </c>
      <c r="AG13" s="57">
        <f t="shared" si="7"/>
        <v>55.484660211574521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14.886974745659929</v>
      </c>
      <c r="G14" s="144">
        <f t="shared" si="14"/>
        <v>11.486974745659928</v>
      </c>
      <c r="H14" s="146"/>
      <c r="I14" s="146"/>
      <c r="J14" s="146"/>
      <c r="K14" s="80">
        <f t="shared" si="15"/>
        <v>1.3969195780854378</v>
      </c>
      <c r="L14" s="75" t="s">
        <v>21</v>
      </c>
      <c r="N14" s="78"/>
      <c r="O14" s="291"/>
      <c r="V14" s="55">
        <f t="shared" si="8"/>
        <v>100</v>
      </c>
      <c r="W14" s="51">
        <f t="shared" si="9"/>
        <v>0.8832982426359095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56.222003627979397</v>
      </c>
      <c r="AC14" s="57">
        <f t="shared" si="5"/>
        <v>56.222003627979397</v>
      </c>
      <c r="AE14" s="56">
        <f t="shared" si="6"/>
        <v>45</v>
      </c>
      <c r="AF14" s="57">
        <f t="shared" si="1"/>
        <v>25.24200379066022</v>
      </c>
      <c r="AG14" s="57">
        <f t="shared" si="7"/>
        <v>56.222003627979397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19.22620328852507</v>
      </c>
      <c r="G15" s="144">
        <f t="shared" si="14"/>
        <v>15.826203288525072</v>
      </c>
      <c r="H15" s="146"/>
      <c r="I15" s="146"/>
      <c r="J15" s="146"/>
      <c r="K15" s="80">
        <f t="shared" si="15"/>
        <v>4.3392285428651434</v>
      </c>
      <c r="L15" s="75" t="s">
        <v>21</v>
      </c>
      <c r="N15" s="81"/>
      <c r="O15" s="53"/>
      <c r="V15" s="55">
        <f t="shared" si="8"/>
        <v>100</v>
      </c>
      <c r="W15" s="51">
        <f t="shared" si="9"/>
        <v>0.8832982426359095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56.881579789659959</v>
      </c>
      <c r="AC15" s="57">
        <f t="shared" si="5"/>
        <v>56.881579789659959</v>
      </c>
      <c r="AE15" s="56">
        <f t="shared" si="6"/>
        <v>50</v>
      </c>
      <c r="AF15" s="57">
        <f>AC15-$P$3</f>
        <v>25.901579952340782</v>
      </c>
      <c r="AG15" s="57">
        <f t="shared" si="7"/>
        <v>56.881579789659959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21.764489268160077</v>
      </c>
      <c r="G16" s="144">
        <f t="shared" si="14"/>
        <v>18.364489268160078</v>
      </c>
      <c r="H16" s="146"/>
      <c r="I16" s="146"/>
      <c r="J16" s="146"/>
      <c r="K16" s="80">
        <f t="shared" si="15"/>
        <v>2.5382859796350061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100</v>
      </c>
      <c r="W16" s="51">
        <f t="shared" si="9"/>
        <v>0.8832982426359095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57.47823900466021</v>
      </c>
      <c r="AC16" s="57">
        <f t="shared" si="5"/>
        <v>57.47823900466021</v>
      </c>
      <c r="AE16" s="56">
        <f t="shared" si="6"/>
        <v>55</v>
      </c>
      <c r="AF16" s="57">
        <f>AC16-$P$3</f>
        <v>26.498239167341033</v>
      </c>
      <c r="AG16" s="57">
        <f t="shared" si="7"/>
        <v>57.47823900466021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23.565431831390207</v>
      </c>
      <c r="G17" s="144">
        <f t="shared" si="14"/>
        <v>20.165431831390208</v>
      </c>
      <c r="H17" s="146"/>
      <c r="I17" s="146"/>
      <c r="J17" s="146"/>
      <c r="K17" s="80">
        <f t="shared" si="15"/>
        <v>1.8009425632301301</v>
      </c>
      <c r="L17" s="373">
        <f>D10</f>
        <v>1</v>
      </c>
      <c r="M17" s="374">
        <f>INT(B10/1440*10000)/10000</f>
        <v>6.9400000000000003E-2</v>
      </c>
      <c r="N17" s="374">
        <f>L17*M17</f>
        <v>6.9400000000000003E-2</v>
      </c>
      <c r="O17" s="374">
        <f>INT((D7/2/1000)^2*PI()*100000)/100000</f>
        <v>4.9079999999999999E-2</v>
      </c>
      <c r="P17" s="374">
        <f>INT(N17/O17*100)/100</f>
        <v>1.41</v>
      </c>
      <c r="Q17" s="375">
        <f>INT((G10-P17)*100)/100</f>
        <v>1.56</v>
      </c>
      <c r="V17" s="55">
        <f t="shared" si="8"/>
        <v>100</v>
      </c>
      <c r="W17" s="51">
        <f t="shared" si="9"/>
        <v>0.8832982426359095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58.022946191209527</v>
      </c>
      <c r="AC17" s="57">
        <f t="shared" si="5"/>
        <v>58.022946191209527</v>
      </c>
      <c r="AE17" s="56">
        <f t="shared" si="6"/>
        <v>60</v>
      </c>
      <c r="AF17" s="57">
        <f>AC17-$P$3</f>
        <v>27.042946353890351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24.962351409475644</v>
      </c>
      <c r="G18" s="144">
        <f t="shared" si="14"/>
        <v>21.562351409475646</v>
      </c>
      <c r="H18" s="146"/>
      <c r="I18" s="146"/>
      <c r="J18" s="146"/>
      <c r="K18" s="80">
        <f t="shared" si="15"/>
        <v>1.3969195780854378</v>
      </c>
      <c r="L18" s="373">
        <f t="shared" ref="L18:L31" si="16">D11</f>
        <v>2</v>
      </c>
      <c r="M18" s="374">
        <f>M17</f>
        <v>6.9400000000000003E-2</v>
      </c>
      <c r="N18" s="374">
        <f>L18*M18</f>
        <v>0.13880000000000001</v>
      </c>
      <c r="O18" s="374">
        <f>O17</f>
        <v>4.9079999999999999E-2</v>
      </c>
      <c r="P18" s="374">
        <f>INT(N18/O18*100)/100</f>
        <v>2.82</v>
      </c>
      <c r="Q18" s="375">
        <f t="shared" ref="Q18:Q27" si="17">INT((G11-P18)*100)/100</f>
        <v>2.93</v>
      </c>
      <c r="V18" s="55">
        <f t="shared" si="8"/>
        <v>100</v>
      </c>
      <c r="W18" s="51">
        <f t="shared" si="9"/>
        <v>0.8832982426359095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59.419865769294965</v>
      </c>
      <c r="AC18" s="57">
        <f t="shared" si="5"/>
        <v>59.419865769294965</v>
      </c>
      <c r="AE18" s="56">
        <f t="shared" si="6"/>
        <v>75</v>
      </c>
      <c r="AF18" s="57">
        <f>AC18-$P$3</f>
        <v>28.439865931975788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26.10371781102522</v>
      </c>
      <c r="G19" s="144">
        <f t="shared" si="14"/>
        <v>22.703717811025221</v>
      </c>
      <c r="H19" s="146"/>
      <c r="I19" s="146"/>
      <c r="J19" s="146"/>
      <c r="K19" s="80">
        <f t="shared" si="15"/>
        <v>1.1413664015495755</v>
      </c>
      <c r="L19" s="373">
        <f t="shared" si="16"/>
        <v>3</v>
      </c>
      <c r="M19" s="374">
        <f>M18</f>
        <v>6.9400000000000003E-2</v>
      </c>
      <c r="N19" s="374">
        <f t="shared" ref="N19:N27" si="18">L19*M19</f>
        <v>0.2082</v>
      </c>
      <c r="O19" s="374">
        <f t="shared" ref="O19:O31" si="19">O18</f>
        <v>4.9079999999999999E-2</v>
      </c>
      <c r="P19" s="374">
        <f>INT(N19/O19*100)/100</f>
        <v>4.24</v>
      </c>
      <c r="Q19" s="375">
        <f t="shared" si="17"/>
        <v>4.04</v>
      </c>
      <c r="V19" s="55">
        <f t="shared" si="8"/>
        <v>100</v>
      </c>
      <c r="W19" s="51">
        <f t="shared" si="9"/>
        <v>0.8832982426359095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60.561232170844541</v>
      </c>
      <c r="AC19" s="57">
        <f t="shared" si="5"/>
        <v>60.561232170844541</v>
      </c>
      <c r="AE19" s="56">
        <f t="shared" si="6"/>
        <v>90</v>
      </c>
      <c r="AF19" s="57">
        <f>AC19-$P$3</f>
        <v>29.581232333525364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27.068729353405217</v>
      </c>
      <c r="G20" s="144">
        <f t="shared" si="14"/>
        <v>23.668729353405219</v>
      </c>
      <c r="H20" s="146"/>
      <c r="I20" s="146"/>
      <c r="J20" s="146"/>
      <c r="K20" s="80">
        <f t="shared" si="15"/>
        <v>0.96501154237999742</v>
      </c>
      <c r="L20" s="373">
        <f t="shared" si="16"/>
        <v>4</v>
      </c>
      <c r="M20" s="374">
        <f>M19</f>
        <v>6.9400000000000003E-2</v>
      </c>
      <c r="N20" s="374">
        <f>L20*M20</f>
        <v>0.27760000000000001</v>
      </c>
      <c r="O20" s="374">
        <f>O19</f>
        <v>4.9079999999999999E-2</v>
      </c>
      <c r="P20" s="374">
        <f>INT(N20/O20*100)/100</f>
        <v>5.65</v>
      </c>
      <c r="Q20" s="375">
        <f t="shared" si="17"/>
        <v>4.4400000000000004</v>
      </c>
      <c r="V20" s="55">
        <f t="shared" si="8"/>
        <v>100</v>
      </c>
      <c r="W20" s="51">
        <f t="shared" si="9"/>
        <v>0.8832982426359095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61.526243713224538</v>
      </c>
      <c r="AC20" s="57">
        <f t="shared" si="5"/>
        <v>61.526243713224538</v>
      </c>
      <c r="AE20" s="56">
        <f t="shared" si="6"/>
        <v>105</v>
      </c>
      <c r="AF20" s="57">
        <f t="shared" ref="AF20:AF69" si="20">AC20-$P$3</f>
        <v>30.546243875905361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27.904660374255343</v>
      </c>
      <c r="G21" s="144">
        <f t="shared" si="14"/>
        <v>24.504660374255344</v>
      </c>
      <c r="H21" s="146"/>
      <c r="I21" s="146"/>
      <c r="J21" s="146"/>
      <c r="K21" s="80">
        <f t="shared" si="15"/>
        <v>0.83593102085012561</v>
      </c>
      <c r="L21" s="373">
        <f t="shared" si="16"/>
        <v>5</v>
      </c>
      <c r="M21" s="374">
        <f>M20</f>
        <v>6.9400000000000003E-2</v>
      </c>
      <c r="N21" s="374">
        <f t="shared" si="18"/>
        <v>0.34700000000000003</v>
      </c>
      <c r="O21" s="374">
        <f t="shared" si="19"/>
        <v>4.9079999999999999E-2</v>
      </c>
      <c r="P21" s="374">
        <f>INT(N21/O21*100)/100</f>
        <v>7.07</v>
      </c>
      <c r="Q21" s="375">
        <f t="shared" si="17"/>
        <v>4.41</v>
      </c>
      <c r="V21" s="55">
        <f t="shared" si="8"/>
        <v>100</v>
      </c>
      <c r="W21" s="51">
        <f t="shared" si="9"/>
        <v>0.8832982426359095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62.362174734074664</v>
      </c>
      <c r="AC21" s="57">
        <f t="shared" si="5"/>
        <v>62.362174734074664</v>
      </c>
      <c r="AE21" s="56">
        <f t="shared" si="6"/>
        <v>120</v>
      </c>
      <c r="AF21" s="57">
        <f t="shared" si="20"/>
        <v>31.382174896755487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28.642003790660219</v>
      </c>
      <c r="G22" s="144">
        <f t="shared" si="14"/>
        <v>25.24200379066022</v>
      </c>
      <c r="H22" s="146"/>
      <c r="I22" s="146"/>
      <c r="J22" s="146"/>
      <c r="K22" s="80">
        <f t="shared" si="15"/>
        <v>0.737343416404876</v>
      </c>
      <c r="L22" s="373">
        <f t="shared" si="16"/>
        <v>10</v>
      </c>
      <c r="M22" s="374">
        <f t="shared" ref="M22:M31" si="21">M21</f>
        <v>6.9400000000000003E-2</v>
      </c>
      <c r="N22" s="374">
        <f>L22*M22</f>
        <v>0.69400000000000006</v>
      </c>
      <c r="O22" s="374">
        <f>O21</f>
        <v>4.9079999999999999E-2</v>
      </c>
      <c r="P22" s="374">
        <f t="shared" ref="P22:P27" si="22">INT(N22/O22*100)/100</f>
        <v>14.14</v>
      </c>
      <c r="Q22" s="375">
        <f t="shared" si="17"/>
        <v>1.68</v>
      </c>
      <c r="V22" s="55">
        <f t="shared" si="8"/>
        <v>100</v>
      </c>
      <c r="W22" s="51">
        <f t="shared" si="9"/>
        <v>0.8832982426359095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63.327186276454668</v>
      </c>
      <c r="AC22" s="57">
        <f t="shared" si="5"/>
        <v>63.327186276454668</v>
      </c>
      <c r="AE22" s="56">
        <f t="shared" si="6"/>
        <v>140</v>
      </c>
      <c r="AF22" s="57">
        <f t="shared" si="20"/>
        <v>32.347186439135491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29.301579952340781</v>
      </c>
      <c r="G23" s="144">
        <f t="shared" si="14"/>
        <v>25.901579952340782</v>
      </c>
      <c r="H23" s="146"/>
      <c r="I23" s="146"/>
      <c r="J23" s="146"/>
      <c r="K23" s="80">
        <f t="shared" si="15"/>
        <v>0.65957616168056177</v>
      </c>
      <c r="L23" s="373">
        <f t="shared" si="16"/>
        <v>15</v>
      </c>
      <c r="M23" s="374">
        <f t="shared" si="21"/>
        <v>6.9400000000000003E-2</v>
      </c>
      <c r="N23" s="374">
        <f t="shared" si="18"/>
        <v>1.0410000000000001</v>
      </c>
      <c r="O23" s="374">
        <f t="shared" si="19"/>
        <v>4.9079999999999999E-2</v>
      </c>
      <c r="P23" s="374">
        <f t="shared" si="22"/>
        <v>21.21</v>
      </c>
      <c r="Q23" s="375">
        <f t="shared" si="17"/>
        <v>-2.85</v>
      </c>
      <c r="V23" s="55">
        <f t="shared" si="8"/>
        <v>100</v>
      </c>
      <c r="W23" s="51">
        <f t="shared" si="9"/>
        <v>0.8832982426359095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64.163117297304794</v>
      </c>
      <c r="AC23" s="57">
        <f t="shared" si="5"/>
        <v>64.163117297304794</v>
      </c>
      <c r="AE23" s="56">
        <f t="shared" si="6"/>
        <v>160</v>
      </c>
      <c r="AF23" s="57">
        <f t="shared" si="20"/>
        <v>33.183117459985617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29.898239167341032</v>
      </c>
      <c r="G24" s="144">
        <f t="shared" si="14"/>
        <v>26.498239167341033</v>
      </c>
      <c r="H24" s="146"/>
      <c r="I24" s="146"/>
      <c r="J24" s="146"/>
      <c r="K24" s="80">
        <f t="shared" si="15"/>
        <v>0.59665921500025121</v>
      </c>
      <c r="L24" s="373">
        <f t="shared" si="16"/>
        <v>20</v>
      </c>
      <c r="M24" s="374">
        <f t="shared" si="21"/>
        <v>6.9400000000000003E-2</v>
      </c>
      <c r="N24" s="374">
        <f t="shared" si="18"/>
        <v>1.3880000000000001</v>
      </c>
      <c r="O24" s="374">
        <f t="shared" si="19"/>
        <v>4.9079999999999999E-2</v>
      </c>
      <c r="P24" s="374">
        <f t="shared" si="22"/>
        <v>28.28</v>
      </c>
      <c r="Q24" s="375">
        <f t="shared" si="17"/>
        <v>-8.1199999999999992</v>
      </c>
      <c r="V24" s="55">
        <f t="shared" si="8"/>
        <v>100</v>
      </c>
      <c r="W24" s="51">
        <f t="shared" si="9"/>
        <v>0.8832982426359095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64.900460713709677</v>
      </c>
      <c r="AC24" s="57">
        <f t="shared" si="5"/>
        <v>64.900460713709677</v>
      </c>
      <c r="AE24" s="56">
        <f t="shared" si="6"/>
        <v>180</v>
      </c>
      <c r="AF24" s="57">
        <f t="shared" si="20"/>
        <v>33.9204608763905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30.442946353890349</v>
      </c>
      <c r="G25" s="144">
        <f t="shared" si="14"/>
        <v>27.042946353890351</v>
      </c>
      <c r="H25" s="146"/>
      <c r="I25" s="146"/>
      <c r="J25" s="146"/>
      <c r="K25" s="80">
        <f t="shared" si="15"/>
        <v>0.54470718654931716</v>
      </c>
      <c r="L25" s="373">
        <f t="shared" si="16"/>
        <v>25</v>
      </c>
      <c r="M25" s="374">
        <f t="shared" si="21"/>
        <v>6.9400000000000003E-2</v>
      </c>
      <c r="N25" s="374">
        <f t="shared" si="18"/>
        <v>1.7350000000000001</v>
      </c>
      <c r="O25" s="374">
        <f t="shared" si="19"/>
        <v>4.9079999999999999E-2</v>
      </c>
      <c r="P25" s="374">
        <f t="shared" si="22"/>
        <v>35.35</v>
      </c>
      <c r="Q25" s="375">
        <f t="shared" si="17"/>
        <v>-13.79</v>
      </c>
      <c r="V25" s="55">
        <f t="shared" si="8"/>
        <v>100</v>
      </c>
      <c r="W25" s="51">
        <f t="shared" si="9"/>
        <v>0.8832982426359095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66.7014032769398</v>
      </c>
      <c r="AC25" s="57">
        <f t="shared" si="5"/>
        <v>66.7014032769398</v>
      </c>
      <c r="AE25" s="56">
        <f t="shared" si="6"/>
        <v>240</v>
      </c>
      <c r="AF25" s="57">
        <f t="shared" si="20"/>
        <v>35.721403439620623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31.839865931975787</v>
      </c>
      <c r="G26" s="144">
        <f t="shared" si="14"/>
        <v>28.439865931975788</v>
      </c>
      <c r="H26" s="146"/>
      <c r="I26" s="146"/>
      <c r="J26" s="146"/>
      <c r="K26" s="80">
        <f t="shared" si="15"/>
        <v>1.3969195780854378</v>
      </c>
      <c r="L26" s="373">
        <f t="shared" si="16"/>
        <v>30</v>
      </c>
      <c r="M26" s="374">
        <f t="shared" si="21"/>
        <v>6.9400000000000003E-2</v>
      </c>
      <c r="N26" s="374">
        <f t="shared" si="18"/>
        <v>2.0820000000000003</v>
      </c>
      <c r="O26" s="374">
        <f t="shared" si="19"/>
        <v>4.9079999999999999E-2</v>
      </c>
      <c r="P26" s="374">
        <f t="shared" si="22"/>
        <v>42.42</v>
      </c>
      <c r="Q26" s="375">
        <f t="shared" si="17"/>
        <v>-19.72</v>
      </c>
      <c r="V26" s="55">
        <f t="shared" si="8"/>
        <v>100</v>
      </c>
      <c r="W26" s="51">
        <f t="shared" si="9"/>
        <v>0.8832982426359095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68.098322855025245</v>
      </c>
      <c r="AC26" s="57">
        <f t="shared" si="5"/>
        <v>68.098322855025245</v>
      </c>
      <c r="AE26" s="56">
        <f t="shared" si="6"/>
        <v>300</v>
      </c>
      <c r="AF26" s="57">
        <f t="shared" si="20"/>
        <v>37.118323017706068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32.981232333525362</v>
      </c>
      <c r="G27" s="144">
        <f t="shared" si="14"/>
        <v>29.581232333525364</v>
      </c>
      <c r="H27" s="146"/>
      <c r="I27" s="146"/>
      <c r="J27" s="146"/>
      <c r="K27" s="80">
        <f t="shared" si="15"/>
        <v>1.1413664015495755</v>
      </c>
      <c r="L27" s="373">
        <f t="shared" si="16"/>
        <v>35</v>
      </c>
      <c r="M27" s="374">
        <f t="shared" si="21"/>
        <v>6.9400000000000003E-2</v>
      </c>
      <c r="N27" s="374">
        <f t="shared" si="18"/>
        <v>2.4290000000000003</v>
      </c>
      <c r="O27" s="374">
        <f t="shared" si="19"/>
        <v>4.9079999999999999E-2</v>
      </c>
      <c r="P27" s="374">
        <f t="shared" si="22"/>
        <v>49.49</v>
      </c>
      <c r="Q27" s="375">
        <f t="shared" si="17"/>
        <v>-25.83</v>
      </c>
      <c r="V27" s="55">
        <f t="shared" si="8"/>
        <v>100</v>
      </c>
      <c r="W27" s="51">
        <f t="shared" si="9"/>
        <v>0.8832982426359095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69.23968925657482</v>
      </c>
      <c r="AC27" s="57">
        <f t="shared" si="5"/>
        <v>69.23968925657482</v>
      </c>
      <c r="AE27" s="56">
        <f t="shared" si="6"/>
        <v>360</v>
      </c>
      <c r="AF27" s="57">
        <f t="shared" si="20"/>
        <v>38.259689419255643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33.94624387590536</v>
      </c>
      <c r="G28" s="144">
        <f t="shared" si="14"/>
        <v>30.546243875905361</v>
      </c>
      <c r="H28" s="146"/>
      <c r="I28" s="146"/>
      <c r="J28" s="146"/>
      <c r="K28" s="80">
        <f t="shared" si="15"/>
        <v>0.96501154237999742</v>
      </c>
      <c r="L28" s="373">
        <f t="shared" si="16"/>
        <v>40</v>
      </c>
      <c r="M28" s="374">
        <f t="shared" si="21"/>
        <v>6.9400000000000003E-2</v>
      </c>
      <c r="N28" s="374">
        <f>L28*M28</f>
        <v>2.7760000000000002</v>
      </c>
      <c r="O28" s="374">
        <f t="shared" si="19"/>
        <v>4.9079999999999999E-2</v>
      </c>
      <c r="P28" s="374">
        <f>INT(N28/O28*100)/100</f>
        <v>56.56</v>
      </c>
      <c r="Q28" s="375">
        <f>INT((G21-P28)*100)/100</f>
        <v>-32.06</v>
      </c>
      <c r="S28"/>
      <c r="V28" s="55">
        <f t="shared" si="8"/>
        <v>100</v>
      </c>
      <c r="W28" s="51">
        <f t="shared" si="9"/>
        <v>0.8832982426359095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70.204700798954818</v>
      </c>
      <c r="AC28" s="57">
        <f t="shared" si="5"/>
        <v>70.204700798954818</v>
      </c>
      <c r="AE28" s="56">
        <f t="shared" si="6"/>
        <v>420</v>
      </c>
      <c r="AF28" s="57">
        <f t="shared" si="20"/>
        <v>39.224700961635641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34.782174896755485</v>
      </c>
      <c r="G29" s="144">
        <f t="shared" si="14"/>
        <v>31.382174896755487</v>
      </c>
      <c r="H29" s="146"/>
      <c r="I29" s="146"/>
      <c r="J29" s="146"/>
      <c r="K29" s="80">
        <f t="shared" si="15"/>
        <v>0.83593102085012561</v>
      </c>
      <c r="L29" s="373">
        <f t="shared" si="16"/>
        <v>45</v>
      </c>
      <c r="M29" s="374">
        <f t="shared" si="21"/>
        <v>6.9400000000000003E-2</v>
      </c>
      <c r="N29" s="374">
        <f>L29*M29</f>
        <v>3.1230000000000002</v>
      </c>
      <c r="O29" s="374">
        <f t="shared" si="19"/>
        <v>4.9079999999999999E-2</v>
      </c>
      <c r="P29" s="374">
        <f>INT(N29/O29*100)/100</f>
        <v>63.63</v>
      </c>
      <c r="Q29" s="375">
        <f>INT((G22-P29)*100)/100</f>
        <v>-38.39</v>
      </c>
      <c r="V29" s="55">
        <f t="shared" si="8"/>
        <v>100</v>
      </c>
      <c r="W29" s="51">
        <f t="shared" si="9"/>
        <v>0.8832982426359095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71.040631819804943</v>
      </c>
      <c r="AC29" s="57">
        <f t="shared" si="5"/>
        <v>71.040631819804943</v>
      </c>
      <c r="AE29" s="56">
        <f t="shared" si="6"/>
        <v>480</v>
      </c>
      <c r="AF29" s="57">
        <f t="shared" si="20"/>
        <v>40.060631982485766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35.74718643913549</v>
      </c>
      <c r="G30" s="144">
        <f t="shared" si="14"/>
        <v>32.347186439135491</v>
      </c>
      <c r="H30" s="146"/>
      <c r="I30" s="146"/>
      <c r="J30" s="146"/>
      <c r="K30" s="80">
        <f t="shared" si="15"/>
        <v>0.96501154238000453</v>
      </c>
      <c r="L30" s="373">
        <f t="shared" si="16"/>
        <v>50</v>
      </c>
      <c r="M30" s="374">
        <f t="shared" si="21"/>
        <v>6.9400000000000003E-2</v>
      </c>
      <c r="N30" s="374">
        <f>L30*M30</f>
        <v>3.47</v>
      </c>
      <c r="O30" s="374">
        <f t="shared" si="19"/>
        <v>4.9079999999999999E-2</v>
      </c>
      <c r="P30" s="374">
        <f>INT(N30/O30*100)/100</f>
        <v>70.7</v>
      </c>
      <c r="Q30" s="375">
        <f>INT((G23-P30)*100)/100</f>
        <v>-44.8</v>
      </c>
      <c r="V30" s="55">
        <f t="shared" si="8"/>
        <v>100</v>
      </c>
      <c r="W30" s="51">
        <f t="shared" si="9"/>
        <v>0.8832982426359095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71.777975236209826</v>
      </c>
      <c r="AC30" s="57">
        <f t="shared" si="5"/>
        <v>71.777975236209826</v>
      </c>
      <c r="AE30" s="56">
        <f t="shared" si="6"/>
        <v>540</v>
      </c>
      <c r="AF30" s="57">
        <f t="shared" si="20"/>
        <v>40.79797539889065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36.583117459985615</v>
      </c>
      <c r="G31" s="144">
        <f t="shared" si="14"/>
        <v>33.183117459985617</v>
      </c>
      <c r="H31" s="146"/>
      <c r="I31" s="146"/>
      <c r="J31" s="146"/>
      <c r="K31" s="80">
        <f t="shared" si="15"/>
        <v>0.83593102085012561</v>
      </c>
      <c r="L31" s="373">
        <f t="shared" si="16"/>
        <v>55</v>
      </c>
      <c r="M31" s="374">
        <f t="shared" si="21"/>
        <v>6.9400000000000003E-2</v>
      </c>
      <c r="N31" s="374">
        <f>L31*M31</f>
        <v>3.8170000000000002</v>
      </c>
      <c r="O31" s="374">
        <f t="shared" si="19"/>
        <v>4.9079999999999999E-2</v>
      </c>
      <c r="P31" s="374">
        <f>INT(N31/O31*100)/100</f>
        <v>77.77</v>
      </c>
      <c r="Q31" s="375">
        <f>INT((G24-P31)*100)/100</f>
        <v>-51.28</v>
      </c>
      <c r="V31" s="55">
        <f t="shared" si="8"/>
        <v>100</v>
      </c>
      <c r="W31" s="51">
        <f t="shared" si="9"/>
        <v>0.8832982426359095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72.437551397890374</v>
      </c>
      <c r="AC31" s="57">
        <f t="shared" si="5"/>
        <v>72.437551397890374</v>
      </c>
      <c r="AE31" s="56">
        <f t="shared" si="6"/>
        <v>600</v>
      </c>
      <c r="AF31" s="57">
        <f t="shared" si="20"/>
        <v>41.457551560571197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37.320460876390499</v>
      </c>
      <c r="G32" s="144">
        <f t="shared" si="14"/>
        <v>33.9204608763905</v>
      </c>
      <c r="H32" s="146"/>
      <c r="I32" s="146"/>
      <c r="J32" s="146"/>
      <c r="K32" s="80">
        <f t="shared" si="15"/>
        <v>0.7373434164048831</v>
      </c>
      <c r="L32" s="82" t="s">
        <v>21</v>
      </c>
      <c r="O32" s="84"/>
      <c r="V32" s="55">
        <f t="shared" si="8"/>
        <v>100</v>
      </c>
      <c r="W32" s="51">
        <f t="shared" si="9"/>
        <v>0.8832982426359095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73.034210612890632</v>
      </c>
      <c r="AC32" s="57">
        <f t="shared" si="5"/>
        <v>73.034210612890632</v>
      </c>
      <c r="AE32" s="56">
        <f t="shared" si="6"/>
        <v>660</v>
      </c>
      <c r="AF32" s="57">
        <f t="shared" si="20"/>
        <v>42.054210775571455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39.121403439620622</v>
      </c>
      <c r="G33" s="144">
        <f t="shared" si="14"/>
        <v>35.721403439620623</v>
      </c>
      <c r="H33" s="146"/>
      <c r="I33" s="146"/>
      <c r="J33" s="146"/>
      <c r="K33" s="80">
        <f t="shared" si="15"/>
        <v>1.800942563230123</v>
      </c>
      <c r="L33" s="75" t="s">
        <v>21</v>
      </c>
      <c r="O33" s="84"/>
      <c r="V33" s="55">
        <f t="shared" si="8"/>
        <v>100</v>
      </c>
      <c r="W33" s="51">
        <f t="shared" si="9"/>
        <v>0.8832982426359095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73.578917799439949</v>
      </c>
      <c r="AC33" s="57">
        <f t="shared" si="5"/>
        <v>73.578917799439949</v>
      </c>
      <c r="AE33" s="56">
        <f t="shared" si="6"/>
        <v>720</v>
      </c>
      <c r="AF33" s="57">
        <f t="shared" si="20"/>
        <v>42.598917962120773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40.518323017706066</v>
      </c>
      <c r="G34" s="144">
        <f t="shared" si="14"/>
        <v>37.118323017706068</v>
      </c>
      <c r="H34" s="146"/>
      <c r="I34" s="146"/>
      <c r="J34" s="146"/>
      <c r="K34" s="80">
        <f t="shared" si="15"/>
        <v>1.3969195780854449</v>
      </c>
      <c r="L34" s="75" t="s">
        <v>21</v>
      </c>
      <c r="P34" s="84"/>
      <c r="V34" s="55">
        <f t="shared" si="8"/>
        <v>100</v>
      </c>
      <c r="W34" s="51">
        <f t="shared" si="9"/>
        <v>0.8832982426359095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74.079999837319178</v>
      </c>
      <c r="AC34" s="57">
        <f t="shared" si="5"/>
        <v>74.079999837319178</v>
      </c>
      <c r="AE34" s="56">
        <f t="shared" si="6"/>
        <v>780</v>
      </c>
      <c r="AF34" s="57">
        <f t="shared" si="20"/>
        <v>43.1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41.659689419255642</v>
      </c>
      <c r="G35" s="144">
        <f t="shared" si="14"/>
        <v>38.259689419255643</v>
      </c>
      <c r="H35" s="146"/>
      <c r="I35" s="146"/>
      <c r="J35" s="146"/>
      <c r="K35" s="80">
        <f t="shared" si="15"/>
        <v>1.1413664015495755</v>
      </c>
      <c r="L35" s="75" t="s">
        <v>21</v>
      </c>
      <c r="O35" s="84"/>
      <c r="V35" s="55">
        <f t="shared" si="8"/>
        <v>100</v>
      </c>
      <c r="W35" s="51">
        <f t="shared" si="9"/>
        <v>0.8832982426359095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74.079999837319178</v>
      </c>
      <c r="AC35" s="57">
        <f t="shared" ref="AC35:AC38" si="24">AC34</f>
        <v>74.079999837319178</v>
      </c>
      <c r="AE35" s="56">
        <f t="shared" si="6"/>
        <v>840</v>
      </c>
      <c r="AF35" s="57">
        <f t="shared" si="20"/>
        <v>43.1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42.624700961635639</v>
      </c>
      <c r="G36" s="144">
        <f t="shared" si="14"/>
        <v>39.224700961635641</v>
      </c>
      <c r="H36" s="146"/>
      <c r="I36" s="146"/>
      <c r="J36" s="146"/>
      <c r="K36" s="80">
        <f t="shared" si="15"/>
        <v>0.96501154237999742</v>
      </c>
      <c r="L36" s="75" t="s">
        <v>21</v>
      </c>
      <c r="V36" s="55">
        <f t="shared" si="8"/>
        <v>100</v>
      </c>
      <c r="W36" s="51">
        <f t="shared" si="9"/>
        <v>0.8832982426359095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74.079999837319178</v>
      </c>
      <c r="AC36" s="57">
        <f t="shared" si="24"/>
        <v>74.079999837319178</v>
      </c>
      <c r="AE36" s="56">
        <f t="shared" si="6"/>
        <v>900</v>
      </c>
      <c r="AF36" s="57">
        <f t="shared" si="20"/>
        <v>43.1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43.460631982485765</v>
      </c>
      <c r="G37" s="144">
        <f t="shared" si="14"/>
        <v>40.060631982485766</v>
      </c>
      <c r="H37" s="146"/>
      <c r="I37" s="146"/>
      <c r="J37" s="146"/>
      <c r="K37" s="80">
        <f t="shared" si="15"/>
        <v>0.83593102085012561</v>
      </c>
      <c r="L37" s="75" t="s">
        <v>21</v>
      </c>
      <c r="V37" s="55">
        <f t="shared" si="8"/>
        <v>100</v>
      </c>
      <c r="W37" s="51">
        <f t="shared" si="9"/>
        <v>0.8832982426359095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74.079999837319178</v>
      </c>
      <c r="AC37" s="57">
        <f t="shared" si="24"/>
        <v>74.079999837319178</v>
      </c>
      <c r="AD37" s="51">
        <v>37</v>
      </c>
      <c r="AE37" s="56">
        <f t="shared" si="6"/>
        <v>960</v>
      </c>
      <c r="AF37" s="57">
        <f t="shared" si="20"/>
        <v>43.1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44.197975398890648</v>
      </c>
      <c r="G38" s="144">
        <f t="shared" si="14"/>
        <v>40.79797539889065</v>
      </c>
      <c r="H38" s="146"/>
      <c r="I38" s="146"/>
      <c r="J38" s="146"/>
      <c r="K38" s="80">
        <f t="shared" si="15"/>
        <v>0.7373434164048831</v>
      </c>
      <c r="L38" s="75" t="s">
        <v>21</v>
      </c>
      <c r="V38" s="55">
        <f t="shared" si="8"/>
        <v>100</v>
      </c>
      <c r="W38" s="51">
        <f t="shared" si="9"/>
        <v>0.8832982426359095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74.079999837319178</v>
      </c>
      <c r="AC38" s="57">
        <f t="shared" si="24"/>
        <v>74.079999837319178</v>
      </c>
      <c r="AD38" s="52" t="s">
        <v>40</v>
      </c>
      <c r="AE38" s="56">
        <f t="shared" si="6"/>
        <v>1020</v>
      </c>
      <c r="AF38" s="57">
        <f t="shared" si="20"/>
        <v>43.1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44.857551560571196</v>
      </c>
      <c r="G39" s="144">
        <f t="shared" si="14"/>
        <v>41.457551560571197</v>
      </c>
      <c r="H39" s="146"/>
      <c r="I39" s="146"/>
      <c r="J39" s="146"/>
      <c r="K39" s="80">
        <f t="shared" si="15"/>
        <v>0.65957616168054756</v>
      </c>
      <c r="L39" s="75" t="s">
        <v>21</v>
      </c>
      <c r="V39" s="55">
        <f t="shared" si="8"/>
        <v>100</v>
      </c>
      <c r="W39" s="51">
        <f t="shared" si="9"/>
        <v>0.8832982426359095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74.079999837319178</v>
      </c>
      <c r="AC39" s="57">
        <f t="shared" ref="AC39:AC40" si="25">AC38</f>
        <v>74.079999837319178</v>
      </c>
      <c r="AD39" s="85">
        <v>39</v>
      </c>
      <c r="AE39" s="56">
        <f t="shared" si="6"/>
        <v>1080</v>
      </c>
      <c r="AF39" s="57">
        <f t="shared" si="20"/>
        <v>43.1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45.454210775571454</v>
      </c>
      <c r="G40" s="144">
        <f t="shared" si="14"/>
        <v>42.054210775571455</v>
      </c>
      <c r="H40" s="146"/>
      <c r="I40" s="146"/>
      <c r="J40" s="146"/>
      <c r="K40" s="80">
        <f t="shared" si="15"/>
        <v>0.59665921500025831</v>
      </c>
      <c r="L40" s="75" t="s">
        <v>21</v>
      </c>
      <c r="V40" s="55">
        <f t="shared" si="8"/>
        <v>100</v>
      </c>
      <c r="W40" s="51">
        <f t="shared" si="9"/>
        <v>0.8832982426359095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74.079999837319178</v>
      </c>
      <c r="AC40" s="57">
        <f t="shared" si="25"/>
        <v>74.079999837319178</v>
      </c>
      <c r="AD40" s="85">
        <v>40</v>
      </c>
      <c r="AE40" s="56">
        <f t="shared" si="6"/>
        <v>1140</v>
      </c>
      <c r="AF40" s="57">
        <f t="shared" si="20"/>
        <v>43.1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45.998917962120771</v>
      </c>
      <c r="G41" s="144">
        <f t="shared" si="14"/>
        <v>42.598917962120773</v>
      </c>
      <c r="H41" s="146"/>
      <c r="I41" s="146"/>
      <c r="J41" s="146"/>
      <c r="K41" s="80">
        <f t="shared" si="15"/>
        <v>0.54470718654931716</v>
      </c>
      <c r="L41" s="75" t="s">
        <v>21</v>
      </c>
      <c r="V41" s="86">
        <f t="shared" si="8"/>
        <v>100</v>
      </c>
      <c r="W41" s="87">
        <f t="shared" si="9"/>
        <v>0.8832982426359095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74.079999837319178</v>
      </c>
      <c r="AC41" s="57">
        <f t="shared" ref="AC41:AC46" si="26">AC40</f>
        <v>74.079999837319178</v>
      </c>
      <c r="AD41" s="90">
        <v>41</v>
      </c>
      <c r="AE41" s="56">
        <f t="shared" si="6"/>
        <v>1200</v>
      </c>
      <c r="AF41" s="57">
        <f t="shared" si="20"/>
        <v>43.1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46.5</v>
      </c>
      <c r="G42" s="144">
        <f t="shared" si="14"/>
        <v>43.1</v>
      </c>
      <c r="H42" s="146"/>
      <c r="I42" s="146"/>
      <c r="J42" s="146"/>
      <c r="K42" s="80">
        <f t="shared" si="15"/>
        <v>0.50108203787922889</v>
      </c>
      <c r="L42" s="75" t="s">
        <v>21</v>
      </c>
      <c r="V42" s="55">
        <f t="shared" si="8"/>
        <v>100</v>
      </c>
      <c r="W42" s="51">
        <f t="shared" si="9"/>
        <v>0.8832982426359095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74.079999837319178</v>
      </c>
      <c r="AC42" s="57">
        <f t="shared" si="26"/>
        <v>74.079999837319178</v>
      </c>
      <c r="AD42" s="85">
        <v>42</v>
      </c>
      <c r="AE42" s="56">
        <f t="shared" si="6"/>
        <v>1260</v>
      </c>
      <c r="AF42" s="57">
        <f t="shared" si="20"/>
        <v>43.1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46.5</v>
      </c>
      <c r="G43" s="144">
        <f t="shared" si="14"/>
        <v>43.1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100</v>
      </c>
      <c r="W43" s="87">
        <f t="shared" si="9"/>
        <v>0.8832982426359095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74.079999837319178</v>
      </c>
      <c r="AC43" s="57">
        <f t="shared" si="26"/>
        <v>74.079999837319178</v>
      </c>
      <c r="AD43" s="90">
        <v>43</v>
      </c>
      <c r="AE43" s="56">
        <f t="shared" si="6"/>
        <v>1320</v>
      </c>
      <c r="AF43" s="57">
        <f t="shared" si="20"/>
        <v>43.1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46.5</v>
      </c>
      <c r="G44" s="144">
        <f t="shared" si="14"/>
        <v>43.1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100</v>
      </c>
      <c r="W44" s="51">
        <f t="shared" si="9"/>
        <v>0.8832982426359095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74.079999837319178</v>
      </c>
      <c r="AC44" s="57">
        <f t="shared" si="26"/>
        <v>74.079999837319178</v>
      </c>
      <c r="AD44" s="85">
        <v>44</v>
      </c>
      <c r="AE44" s="56">
        <f t="shared" si="6"/>
        <v>1380</v>
      </c>
      <c r="AF44" s="57">
        <f t="shared" si="20"/>
        <v>43.1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46.5</v>
      </c>
      <c r="G45" s="144">
        <f t="shared" si="14"/>
        <v>43.1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100</v>
      </c>
      <c r="W45" s="87">
        <f t="shared" si="9"/>
        <v>0.8832982426359095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74.079999837319178</v>
      </c>
      <c r="AC45" s="57">
        <f t="shared" si="26"/>
        <v>74.079999837319178</v>
      </c>
      <c r="AD45" s="90">
        <v>45</v>
      </c>
      <c r="AE45" s="56">
        <f t="shared" si="6"/>
        <v>1440</v>
      </c>
      <c r="AF45" s="57">
        <f t="shared" si="20"/>
        <v>43.1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46.5</v>
      </c>
      <c r="G46" s="144">
        <f t="shared" si="14"/>
        <v>43.1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100</v>
      </c>
      <c r="W46" s="51">
        <f t="shared" si="9"/>
        <v>0.8832982426359095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74.079999837319178</v>
      </c>
      <c r="AC46" s="57">
        <f t="shared" si="26"/>
        <v>74.079999837319178</v>
      </c>
      <c r="AD46" s="85">
        <v>46</v>
      </c>
      <c r="AE46" s="91">
        <f t="shared" si="6"/>
        <v>1500</v>
      </c>
      <c r="AF46" s="93">
        <f t="shared" si="20"/>
        <v>43.1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46.5</v>
      </c>
      <c r="G47" s="144">
        <f t="shared" si="14"/>
        <v>43.1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100</v>
      </c>
      <c r="W47" s="51">
        <f t="shared" si="9"/>
        <v>0.8832982426359095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74.079999837319178</v>
      </c>
      <c r="AC47" s="57">
        <f t="shared" ref="AC47:AC69" si="27">AC46</f>
        <v>74.079999837319178</v>
      </c>
      <c r="AE47" s="56">
        <f t="shared" si="6"/>
        <v>1560</v>
      </c>
      <c r="AF47" s="57">
        <f t="shared" si="20"/>
        <v>43.1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46.5</v>
      </c>
      <c r="G48" s="144">
        <f t="shared" si="14"/>
        <v>43.1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100</v>
      </c>
      <c r="W48" s="51">
        <f t="shared" si="9"/>
        <v>0.8832982426359095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74.079999837319178</v>
      </c>
      <c r="AC48" s="57">
        <f t="shared" si="27"/>
        <v>74.079999837319178</v>
      </c>
      <c r="AE48" s="56">
        <f t="shared" si="6"/>
        <v>1620</v>
      </c>
      <c r="AF48" s="57">
        <f t="shared" si="20"/>
        <v>43.1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46.5</v>
      </c>
      <c r="G49" s="144">
        <f t="shared" si="14"/>
        <v>43.1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100</v>
      </c>
      <c r="W49" s="51">
        <f t="shared" si="9"/>
        <v>0.8832982426359095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74.079999837319178</v>
      </c>
      <c r="AC49" s="57">
        <f t="shared" si="27"/>
        <v>74.079999837319178</v>
      </c>
      <c r="AE49" s="56">
        <f t="shared" si="6"/>
        <v>1680</v>
      </c>
      <c r="AF49" s="57">
        <f t="shared" si="20"/>
        <v>43.1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46.5</v>
      </c>
      <c r="G50" s="144">
        <f t="shared" si="14"/>
        <v>43.1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100</v>
      </c>
      <c r="W50" s="51">
        <f t="shared" si="9"/>
        <v>0.8832982426359095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74.079999837319178</v>
      </c>
      <c r="AC50" s="57">
        <f t="shared" si="27"/>
        <v>74.079999837319178</v>
      </c>
      <c r="AE50" s="56">
        <f t="shared" si="6"/>
        <v>1740</v>
      </c>
      <c r="AF50" s="57">
        <f t="shared" si="20"/>
        <v>43.1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46.5</v>
      </c>
      <c r="G51" s="144">
        <f t="shared" si="14"/>
        <v>43.1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100</v>
      </c>
      <c r="W51" s="51">
        <f t="shared" si="9"/>
        <v>0.8832982426359095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74.079999837319178</v>
      </c>
      <c r="AC51" s="57">
        <f t="shared" si="27"/>
        <v>74.079999837319178</v>
      </c>
      <c r="AE51" s="56">
        <f t="shared" si="6"/>
        <v>1800</v>
      </c>
      <c r="AF51" s="57">
        <f t="shared" si="20"/>
        <v>43.1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46.5</v>
      </c>
      <c r="G52" s="144">
        <f t="shared" si="14"/>
        <v>43.1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100</v>
      </c>
      <c r="W52" s="51">
        <f t="shared" si="9"/>
        <v>0.8832982426359095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74.079999837319178</v>
      </c>
      <c r="AC52" s="57">
        <f t="shared" si="27"/>
        <v>74.079999837319178</v>
      </c>
      <c r="AE52" s="56">
        <f t="shared" si="6"/>
        <v>1860</v>
      </c>
      <c r="AF52" s="57">
        <f t="shared" si="20"/>
        <v>43.1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46.5</v>
      </c>
      <c r="G53" s="144">
        <f t="shared" si="14"/>
        <v>43.1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100</v>
      </c>
      <c r="W53" s="51">
        <f t="shared" si="9"/>
        <v>0.8832982426359095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74.079999837319178</v>
      </c>
      <c r="AC53" s="57">
        <f t="shared" si="27"/>
        <v>74.079999837319178</v>
      </c>
      <c r="AE53" s="56">
        <f t="shared" si="6"/>
        <v>1920</v>
      </c>
      <c r="AF53" s="57">
        <f t="shared" si="20"/>
        <v>43.1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46.5</v>
      </c>
      <c r="G54" s="144">
        <f t="shared" si="14"/>
        <v>43.1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100</v>
      </c>
      <c r="W54" s="51">
        <f t="shared" si="9"/>
        <v>0.8832982426359095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74.079999837319178</v>
      </c>
      <c r="AC54" s="57">
        <f t="shared" si="27"/>
        <v>74.079999837319178</v>
      </c>
      <c r="AE54" s="56">
        <f t="shared" si="6"/>
        <v>1980</v>
      </c>
      <c r="AF54" s="57">
        <f t="shared" si="20"/>
        <v>43.1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46.5</v>
      </c>
      <c r="G55" s="144">
        <f t="shared" si="14"/>
        <v>43.1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100</v>
      </c>
      <c r="W55" s="51">
        <f t="shared" si="9"/>
        <v>0.8832982426359095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74.079999837319178</v>
      </c>
      <c r="AC55" s="57">
        <f t="shared" si="27"/>
        <v>74.079999837319178</v>
      </c>
      <c r="AE55" s="56">
        <f t="shared" si="6"/>
        <v>2040</v>
      </c>
      <c r="AF55" s="57">
        <f t="shared" si="20"/>
        <v>43.1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46.5</v>
      </c>
      <c r="G56" s="144">
        <f t="shared" si="14"/>
        <v>43.1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100</v>
      </c>
      <c r="W56" s="51">
        <f t="shared" si="9"/>
        <v>0.8832982426359095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74.079999837319178</v>
      </c>
      <c r="AC56" s="57">
        <f t="shared" si="27"/>
        <v>74.079999837319178</v>
      </c>
      <c r="AE56" s="56">
        <f t="shared" si="6"/>
        <v>2100</v>
      </c>
      <c r="AF56" s="57">
        <f t="shared" si="20"/>
        <v>43.1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46.5</v>
      </c>
      <c r="G57" s="144">
        <f t="shared" si="14"/>
        <v>43.1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100</v>
      </c>
      <c r="W57" s="51">
        <f t="shared" si="9"/>
        <v>0.8832982426359095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74.079999837319178</v>
      </c>
      <c r="AC57" s="57">
        <f t="shared" si="27"/>
        <v>74.079999837319178</v>
      </c>
      <c r="AE57" s="56">
        <f t="shared" si="6"/>
        <v>2160</v>
      </c>
      <c r="AF57" s="57">
        <f t="shared" si="20"/>
        <v>43.1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46.5</v>
      </c>
      <c r="G58" s="144">
        <f t="shared" si="14"/>
        <v>43.1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100</v>
      </c>
      <c r="W58" s="51">
        <f t="shared" si="9"/>
        <v>0.8832982426359095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74.079999837319178</v>
      </c>
      <c r="AC58" s="57">
        <f t="shared" si="27"/>
        <v>74.079999837319178</v>
      </c>
      <c r="AE58" s="56">
        <f t="shared" si="6"/>
        <v>2220</v>
      </c>
      <c r="AF58" s="57">
        <f t="shared" si="20"/>
        <v>43.1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46.5</v>
      </c>
      <c r="G59" s="144">
        <f t="shared" si="14"/>
        <v>43.1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100</v>
      </c>
      <c r="W59" s="51">
        <f t="shared" si="9"/>
        <v>0.8832982426359095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74.079999837319178</v>
      </c>
      <c r="AC59" s="57">
        <f t="shared" si="27"/>
        <v>74.079999837319178</v>
      </c>
      <c r="AE59" s="56">
        <f t="shared" si="6"/>
        <v>2280</v>
      </c>
      <c r="AF59" s="57">
        <f t="shared" si="20"/>
        <v>43.1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46.5</v>
      </c>
      <c r="G60" s="144">
        <f t="shared" si="14"/>
        <v>43.1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100</v>
      </c>
      <c r="W60" s="51">
        <f t="shared" si="9"/>
        <v>0.8832982426359095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74.079999837319178</v>
      </c>
      <c r="AC60" s="57">
        <f t="shared" si="27"/>
        <v>74.079999837319178</v>
      </c>
      <c r="AE60" s="56">
        <f t="shared" si="6"/>
        <v>2340</v>
      </c>
      <c r="AF60" s="57">
        <f t="shared" si="20"/>
        <v>43.1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46.5</v>
      </c>
      <c r="G61" s="144">
        <f t="shared" si="14"/>
        <v>43.1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100</v>
      </c>
      <c r="W61" s="51">
        <f t="shared" si="9"/>
        <v>0.8832982426359095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74.079999837319178</v>
      </c>
      <c r="AC61" s="57">
        <f t="shared" si="27"/>
        <v>74.079999837319178</v>
      </c>
      <c r="AE61" s="56">
        <f t="shared" si="6"/>
        <v>2400</v>
      </c>
      <c r="AF61" s="57">
        <f t="shared" si="20"/>
        <v>43.1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46.5</v>
      </c>
      <c r="G62" s="144">
        <f t="shared" si="14"/>
        <v>43.1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100</v>
      </c>
      <c r="W62" s="51">
        <f t="shared" si="9"/>
        <v>0.8832982426359095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74.079999837319178</v>
      </c>
      <c r="AC62" s="57">
        <f t="shared" si="27"/>
        <v>74.079999837319178</v>
      </c>
      <c r="AE62" s="56">
        <f t="shared" si="6"/>
        <v>2460</v>
      </c>
      <c r="AF62" s="57">
        <f t="shared" si="20"/>
        <v>43.1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46.5</v>
      </c>
      <c r="G63" s="144">
        <f t="shared" si="14"/>
        <v>43.1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100</v>
      </c>
      <c r="W63" s="51">
        <f t="shared" si="9"/>
        <v>0.8832982426359095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74.079999837319178</v>
      </c>
      <c r="AC63" s="57">
        <f t="shared" si="27"/>
        <v>74.079999837319178</v>
      </c>
      <c r="AE63" s="56">
        <f t="shared" si="6"/>
        <v>2520</v>
      </c>
      <c r="AF63" s="57">
        <f t="shared" si="20"/>
        <v>43.1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46.5</v>
      </c>
      <c r="G64" s="144">
        <f t="shared" si="14"/>
        <v>43.1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100</v>
      </c>
      <c r="W64" s="51">
        <f t="shared" si="9"/>
        <v>0.8832982426359095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74.079999837319178</v>
      </c>
      <c r="AC64" s="57">
        <f t="shared" si="27"/>
        <v>74.079999837319178</v>
      </c>
      <c r="AE64" s="56">
        <f t="shared" si="6"/>
        <v>2580</v>
      </c>
      <c r="AF64" s="57">
        <f t="shared" si="20"/>
        <v>43.1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46.5</v>
      </c>
      <c r="G65" s="144">
        <f t="shared" si="14"/>
        <v>43.1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100</v>
      </c>
      <c r="W65" s="51">
        <f t="shared" si="9"/>
        <v>0.8832982426359095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74.079999837319178</v>
      </c>
      <c r="AC65" s="57">
        <f t="shared" si="27"/>
        <v>74.079999837319178</v>
      </c>
      <c r="AE65" s="56">
        <f t="shared" si="6"/>
        <v>2640</v>
      </c>
      <c r="AF65" s="57">
        <f t="shared" si="20"/>
        <v>43.1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46.5</v>
      </c>
      <c r="G66" s="144">
        <f t="shared" si="14"/>
        <v>43.1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100</v>
      </c>
      <c r="W66" s="51">
        <f t="shared" si="9"/>
        <v>0.8832982426359095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74.079999837319178</v>
      </c>
      <c r="AC66" s="57">
        <f t="shared" si="27"/>
        <v>74.079999837319178</v>
      </c>
      <c r="AE66" s="56">
        <f t="shared" si="6"/>
        <v>2700</v>
      </c>
      <c r="AF66" s="57">
        <f t="shared" si="20"/>
        <v>43.1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46.5</v>
      </c>
      <c r="G67" s="144">
        <f t="shared" si="14"/>
        <v>43.1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100</v>
      </c>
      <c r="W67" s="51">
        <f t="shared" si="9"/>
        <v>0.8832982426359095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74.079999837319178</v>
      </c>
      <c r="AC67" s="57">
        <f t="shared" si="27"/>
        <v>74.079999837319178</v>
      </c>
      <c r="AE67" s="56">
        <f>AA67</f>
        <v>2760</v>
      </c>
      <c r="AF67" s="57">
        <f t="shared" si="20"/>
        <v>43.1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46.5</v>
      </c>
      <c r="G68" s="144">
        <f t="shared" si="14"/>
        <v>43.1</v>
      </c>
      <c r="H68" s="146"/>
      <c r="I68" s="146"/>
      <c r="J68" s="146"/>
      <c r="K68" s="51" t="s">
        <v>21</v>
      </c>
      <c r="L68" s="75" t="s">
        <v>21</v>
      </c>
      <c r="V68" s="55">
        <f>V67</f>
        <v>100</v>
      </c>
      <c r="W68" s="51">
        <f t="shared" ref="W68:W83" si="31">W$2</f>
        <v>0.8832982426359095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74.079999837319178</v>
      </c>
      <c r="AC68" s="57">
        <f t="shared" si="27"/>
        <v>74.079999837319178</v>
      </c>
      <c r="AE68" s="56">
        <f>AA68</f>
        <v>2820</v>
      </c>
      <c r="AF68" s="57">
        <f t="shared" si="20"/>
        <v>43.1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46.5</v>
      </c>
      <c r="G69" s="144">
        <f t="shared" si="14"/>
        <v>43.1</v>
      </c>
      <c r="H69" s="146"/>
      <c r="I69" s="146"/>
      <c r="J69" s="146"/>
      <c r="K69" s="51" t="s">
        <v>21</v>
      </c>
      <c r="L69" s="75" t="s">
        <v>21</v>
      </c>
      <c r="V69" s="55">
        <f>V68</f>
        <v>100</v>
      </c>
      <c r="W69" s="51">
        <f t="shared" si="31"/>
        <v>0.8832982426359095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74.079999837319178</v>
      </c>
      <c r="AC69" s="57">
        <f t="shared" si="27"/>
        <v>74.079999837319178</v>
      </c>
      <c r="AE69" s="56">
        <f>AA69</f>
        <v>2880</v>
      </c>
      <c r="AF69" s="57">
        <f t="shared" si="20"/>
        <v>43.1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46.5</v>
      </c>
      <c r="G70" s="144">
        <f t="shared" si="14"/>
        <v>43.1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0.8832982426359095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46.5</v>
      </c>
      <c r="G71" s="144">
        <f t="shared" si="14"/>
        <v>43.1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0.8832982426359095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46.5</v>
      </c>
      <c r="G72" s="144">
        <f t="shared" si="14"/>
        <v>43.1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0.8832982426359095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46.5</v>
      </c>
      <c r="G73" s="144">
        <f t="shared" si="14"/>
        <v>43.1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0.8832982426359095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46.5</v>
      </c>
      <c r="G74" s="144">
        <f t="shared" si="14"/>
        <v>43.1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0.8832982426359095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46.5</v>
      </c>
      <c r="G75" s="144">
        <f>AF67</f>
        <v>43.1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0.8832982426359095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46.5</v>
      </c>
      <c r="G76" s="144">
        <f>AF68</f>
        <v>43.1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0.8832982426359095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46.5</v>
      </c>
      <c r="G77" s="144">
        <f>AF69</f>
        <v>43.1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0.8832982426359095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28.847812272514187</v>
      </c>
      <c r="G78" s="144">
        <f>H114</f>
        <v>25.447812272514188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0.8832982426359095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26.130873979314959</v>
      </c>
      <c r="G79" s="144">
        <f>H115</f>
        <v>22.730873979314961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0.8832982426359095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23.704009882278584</v>
      </c>
      <c r="G80" s="144">
        <f>H116</f>
        <v>20.304009882278585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0.8832982426359095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21.536250180033342</v>
      </c>
      <c r="G81" s="144">
        <f>H117</f>
        <v>18.136250180033343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0.8832982426359095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19.59993156523457</v>
      </c>
      <c r="G82" s="144">
        <f>H118</f>
        <v>16.199931565234571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0.8832982426359095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14.945433006979899</v>
      </c>
      <c r="G83" s="144">
        <f>H121</f>
        <v>11.545433006979898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0.8832982426359095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14.108303710181907</v>
      </c>
      <c r="G84" s="144">
        <f>H124</f>
        <v>10.708303710181907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11.943819092410061</v>
      </c>
      <c r="G85" s="144">
        <f>H126</f>
        <v>8.543819092410061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11.031637368741523</v>
      </c>
      <c r="G86" s="144">
        <f t="shared" ref="G86:G92" si="36">H127</f>
        <v>7.6316373687415222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10.216844820568758</v>
      </c>
      <c r="G87" s="144">
        <f t="shared" si="36"/>
        <v>6.8168448205687575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9.9650590248679407</v>
      </c>
      <c r="G88" s="144">
        <f t="shared" si="36"/>
        <v>6.5650590248679412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9.7225731455632562</v>
      </c>
      <c r="G89" s="144">
        <f t="shared" si="36"/>
        <v>6.3225731455632559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9.4890436825587816</v>
      </c>
      <c r="G90" s="144">
        <f t="shared" si="36"/>
        <v>6.0890436825587821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9.2641398232184464</v>
      </c>
      <c r="G91" s="144">
        <f t="shared" si="36"/>
        <v>5.8641398232184461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9.0475429737442195</v>
      </c>
      <c r="G92" s="144">
        <f t="shared" si="36"/>
        <v>5.6475429737442191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8.8389463078632282</v>
      </c>
      <c r="G93" s="144">
        <f>H134</f>
        <v>5.4389463078632287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8.6380543321845007</v>
      </c>
      <c r="G94" s="144">
        <f>H135</f>
        <v>5.2380543321845012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8.4445824676096031</v>
      </c>
      <c r="G95" s="144">
        <f>H136</f>
        <v>5.0445824676096027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8.2582566462042237</v>
      </c>
      <c r="G96" s="144">
        <f>H137</f>
        <v>4.8582566462042243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7.739564375964612</v>
      </c>
      <c r="G97" s="144">
        <f>H138</f>
        <v>4.3395643759646116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7.5792789802782838</v>
      </c>
      <c r="G98" s="144">
        <f>H140</f>
        <v>4.1792789802782835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6.7345153920371095</v>
      </c>
      <c r="G99" s="144">
        <f>H142</f>
        <v>3.3345153920371096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6.0605050661135866</v>
      </c>
      <c r="G100" s="144">
        <f>H144</f>
        <v>2.6605050661135872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5.5227334033962343</v>
      </c>
      <c r="G101" s="148">
        <f>H146</f>
        <v>2.1227334033962348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43.1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43.1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35.707003544209648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43.1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31.894741640287695</v>
      </c>
      <c r="I112" s="341"/>
      <c r="J112" s="343">
        <f>H111-H112</f>
        <v>3.8122619039219536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43.1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28.489496270421885</v>
      </c>
      <c r="I113" s="341"/>
      <c r="J113" s="343">
        <f t="shared" ref="J113:J146" si="42">H112-H113</f>
        <v>3.4052453698658098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43.1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25.447812272514188</v>
      </c>
      <c r="I114" s="346"/>
      <c r="J114" s="343">
        <f t="shared" si="42"/>
        <v>3.0416839979076968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43.1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22.730873979314961</v>
      </c>
      <c r="I115" s="346"/>
      <c r="J115" s="343">
        <f t="shared" si="42"/>
        <v>2.7169382931992274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43.1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20.304009882278585</v>
      </c>
      <c r="I116" s="346"/>
      <c r="J116" s="343">
        <f t="shared" si="42"/>
        <v>2.4268640970363755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43.1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18.136250180033343</v>
      </c>
      <c r="I117" s="346"/>
      <c r="J117" s="343">
        <f t="shared" si="42"/>
        <v>2.1677597022452417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43.1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16.199931565234571</v>
      </c>
      <c r="I118" s="346"/>
      <c r="J118" s="343">
        <f t="shared" si="42"/>
        <v>1.9363186147987719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43.1</v>
      </c>
      <c r="E119" s="338">
        <f t="shared" si="40"/>
        <v>0.71</v>
      </c>
      <c r="F119" s="339"/>
      <c r="G119" s="331">
        <v>9</v>
      </c>
      <c r="H119" s="347">
        <f t="shared" si="38"/>
        <v>14.470344206389912</v>
      </c>
      <c r="I119" s="348"/>
      <c r="J119" s="343">
        <f t="shared" si="42"/>
        <v>1.7295873588446593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43.1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12.925416419706346</v>
      </c>
      <c r="I120" s="341"/>
      <c r="J120" s="343">
        <f t="shared" si="42"/>
        <v>1.5449277866835658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43.1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11.545433006979898</v>
      </c>
      <c r="I121" s="346"/>
      <c r="J121" s="343">
        <f t="shared" si="42"/>
        <v>1.3799834127264479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43.1</v>
      </c>
      <c r="E122" s="338">
        <f t="shared" si="40"/>
        <v>0.62</v>
      </c>
      <c r="F122" s="339"/>
      <c r="G122" s="331">
        <v>14</v>
      </c>
      <c r="H122" s="340">
        <f t="shared" si="38"/>
        <v>10.312783665169469</v>
      </c>
      <c r="I122" s="341"/>
      <c r="J122" s="343">
        <f t="shared" si="42"/>
        <v>1.2326493418104292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43.1</v>
      </c>
      <c r="E123" s="338">
        <f t="shared" si="40"/>
        <v>0.37</v>
      </c>
      <c r="F123" s="339"/>
      <c r="G123" s="331">
        <v>15</v>
      </c>
      <c r="H123" s="340">
        <f t="shared" si="38"/>
        <v>4.0249138581135586</v>
      </c>
      <c r="I123" s="341"/>
      <c r="J123" s="343">
        <f t="shared" si="42"/>
        <v>6.2878698070559107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43.1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10.708303710181907</v>
      </c>
      <c r="I124" s="346"/>
      <c r="J124" s="343">
        <f t="shared" si="42"/>
        <v>-6.6833898520683483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43.1</v>
      </c>
      <c r="E125" s="338">
        <f t="shared" si="40"/>
        <v>0.6</v>
      </c>
      <c r="F125" s="339"/>
      <c r="G125" s="331">
        <v>18</v>
      </c>
      <c r="H125" s="340">
        <f t="shared" si="38"/>
        <v>9.5650305637973645</v>
      </c>
      <c r="I125" s="341"/>
      <c r="J125" s="343">
        <f t="shared" si="42"/>
        <v>1.1432731463845425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43.1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8.543819092410061</v>
      </c>
      <c r="I126" s="346"/>
      <c r="J126" s="343">
        <f t="shared" si="42"/>
        <v>1.0212114713873035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43.1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7.6316373687415222</v>
      </c>
      <c r="I127" s="346"/>
      <c r="J127" s="343">
        <f t="shared" si="42"/>
        <v>0.91218172366853878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43.1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6.8168448205687575</v>
      </c>
      <c r="I128" s="346"/>
      <c r="J128" s="343">
        <f t="shared" si="42"/>
        <v>0.8147925481727647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43.1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6.5650590248679412</v>
      </c>
      <c r="I129" s="346"/>
      <c r="J129" s="343">
        <f t="shared" si="42"/>
        <v>0.25178579570081627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43.1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6.3225731455632559</v>
      </c>
      <c r="I130" s="346"/>
      <c r="J130" s="343">
        <f t="shared" si="42"/>
        <v>0.24248587930468535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43.1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6.0890436825587821</v>
      </c>
      <c r="I131" s="346"/>
      <c r="J131" s="343">
        <f t="shared" si="42"/>
        <v>0.23352946300447375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43.1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5.8641398232184461</v>
      </c>
      <c r="I132" s="346"/>
      <c r="J132" s="343">
        <f t="shared" si="42"/>
        <v>0.22490385934033608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43.1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5.6475429737442191</v>
      </c>
      <c r="I133" s="346"/>
      <c r="J133" s="343">
        <f t="shared" si="42"/>
        <v>0.21659684947422697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43.1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5.4389463078632287</v>
      </c>
      <c r="I134" s="346"/>
      <c r="J134" s="343">
        <f t="shared" si="42"/>
        <v>0.20859666588099035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43.1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5.2380543321845012</v>
      </c>
      <c r="I135" s="346"/>
      <c r="J135" s="343">
        <f t="shared" si="42"/>
        <v>0.20089197567872752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43.1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5.0445824676096027</v>
      </c>
      <c r="I136" s="346"/>
      <c r="J136" s="343">
        <f t="shared" si="42"/>
        <v>0.19347186457489851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43.1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4.8582566462042243</v>
      </c>
      <c r="I137" s="346"/>
      <c r="J137" s="343">
        <f t="shared" si="42"/>
        <v>0.18632582140537846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43.1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4.3395643759646116</v>
      </c>
      <c r="I138" s="346"/>
      <c r="J138" s="343">
        <f t="shared" si="42"/>
        <v>0.51869227023961262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43.1</v>
      </c>
      <c r="E139" s="338">
        <f t="shared" si="40"/>
        <v>0.36</v>
      </c>
      <c r="F139" s="339"/>
      <c r="G139" s="331">
        <v>150</v>
      </c>
      <c r="H139" s="340">
        <f t="shared" si="38"/>
        <v>3.876250339276436</v>
      </c>
      <c r="I139" s="341"/>
      <c r="J139" s="343">
        <f t="shared" si="42"/>
        <v>0.46331403668817561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43.1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4.1792789802782835</v>
      </c>
      <c r="I140" s="346"/>
      <c r="J140" s="343">
        <f t="shared" si="42"/>
        <v>-0.30302864100184745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43.1</v>
      </c>
      <c r="E141" s="338">
        <f t="shared" si="40"/>
        <v>0.35</v>
      </c>
      <c r="F141" s="339"/>
      <c r="G141" s="331">
        <v>210</v>
      </c>
      <c r="H141" s="340">
        <f t="shared" si="38"/>
        <v>3.7330778303371988</v>
      </c>
      <c r="I141" s="341"/>
      <c r="J141" s="343">
        <f t="shared" si="42"/>
        <v>0.44620114994108473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43.1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3.3345153920371096</v>
      </c>
      <c r="I142" s="346"/>
      <c r="J142" s="343">
        <f t="shared" si="42"/>
        <v>0.39856243830008919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43.1</v>
      </c>
      <c r="E143" s="338">
        <f>C143/100</f>
        <v>0.28999999999999998</v>
      </c>
      <c r="F143" s="339"/>
      <c r="G143" s="331">
        <v>270</v>
      </c>
      <c r="H143" s="340">
        <f t="shared" si="38"/>
        <v>2.9785055134326113</v>
      </c>
      <c r="I143" s="341"/>
      <c r="J143" s="343">
        <f t="shared" si="42"/>
        <v>0.35600987860449829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43.1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2.6605050661135872</v>
      </c>
      <c r="I144" s="346"/>
      <c r="J144" s="343">
        <f t="shared" si="42"/>
        <v>0.3180004473190241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43.1</v>
      </c>
      <c r="E145" s="338">
        <f>C145/100</f>
        <v>0.23</v>
      </c>
      <c r="F145" s="339"/>
      <c r="G145" s="331">
        <v>330</v>
      </c>
      <c r="H145" s="340">
        <f t="shared" si="38"/>
        <v>2.3764559692416394</v>
      </c>
      <c r="I145" s="341"/>
      <c r="J145" s="343">
        <f t="shared" si="42"/>
        <v>0.28404909687194779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43.1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2.1227334033962348</v>
      </c>
      <c r="I146" s="346"/>
      <c r="J146" s="343">
        <f t="shared" si="42"/>
        <v>0.25372256584540454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62</v>
      </c>
      <c r="C24" s="114"/>
    </row>
    <row r="25" spans="1:3">
      <c r="A25" s="115">
        <f>StepTest!D31</f>
        <v>120</v>
      </c>
      <c r="B25" s="115">
        <f>Input!D4</f>
        <v>79</v>
      </c>
      <c r="C25" s="114"/>
    </row>
    <row r="26" spans="1:3">
      <c r="A26" s="115">
        <f>StepTest!D36</f>
        <v>240</v>
      </c>
      <c r="B26" s="115">
        <f>Input!D5</f>
        <v>96.899999999999991</v>
      </c>
      <c r="C26" s="114"/>
    </row>
    <row r="27" spans="1:3">
      <c r="A27" s="115">
        <f>StepTest!D41</f>
        <v>360</v>
      </c>
      <c r="B27" s="115">
        <f>Input!D6</f>
        <v>114</v>
      </c>
      <c r="C27" s="114"/>
    </row>
    <row r="28" spans="1:3">
      <c r="A28" s="115">
        <f>StepTest!D46</f>
        <v>480</v>
      </c>
      <c r="B28" s="115">
        <f>Input!D7</f>
        <v>131.1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W-2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-3.85</v>
      </c>
      <c r="C35" s="115">
        <v>1</v>
      </c>
    </row>
    <row r="36" spans="1:3">
      <c r="A36" s="113">
        <f>Sheet1!A2</f>
        <v>2</v>
      </c>
      <c r="B36" s="114">
        <f>Sheet1!B2</f>
        <v>-2.1800000000000002</v>
      </c>
      <c r="C36" s="115">
        <v>1</v>
      </c>
    </row>
    <row r="37" spans="1:3">
      <c r="A37" s="113">
        <f>Sheet1!A3</f>
        <v>3</v>
      </c>
      <c r="B37" s="114">
        <f>Sheet1!B3</f>
        <v>-0.74</v>
      </c>
      <c r="C37" s="115">
        <v>1</v>
      </c>
    </row>
    <row r="38" spans="1:3">
      <c r="A38" s="113">
        <f>Sheet1!A4</f>
        <v>4</v>
      </c>
      <c r="B38" s="114">
        <f>Sheet1!B4</f>
        <v>0.28999999999999998</v>
      </c>
      <c r="C38" s="115">
        <v>1</v>
      </c>
    </row>
    <row r="39" spans="1:3">
      <c r="A39" s="113">
        <f>Sheet1!A5</f>
        <v>5</v>
      </c>
      <c r="B39" s="114">
        <f>Sheet1!B5</f>
        <v>1.08</v>
      </c>
      <c r="C39" s="115">
        <v>1</v>
      </c>
    </row>
    <row r="40" spans="1:3">
      <c r="A40" s="113">
        <f>Sheet1!A6</f>
        <v>10</v>
      </c>
      <c r="B40" s="114">
        <f>Sheet1!B6</f>
        <v>3.55</v>
      </c>
      <c r="C40" s="115">
        <v>1</v>
      </c>
    </row>
    <row r="41" spans="1:3">
      <c r="A41" s="113">
        <f>Sheet1!A7</f>
        <v>15</v>
      </c>
      <c r="B41" s="114">
        <f>Sheet1!B7</f>
        <v>4.99</v>
      </c>
      <c r="C41" s="115">
        <v>1</v>
      </c>
    </row>
    <row r="42" spans="1:3">
      <c r="A42" s="113">
        <f>Sheet1!A8</f>
        <v>20</v>
      </c>
      <c r="B42" s="114">
        <f>Sheet1!B8</f>
        <v>6.01</v>
      </c>
      <c r="C42" s="115">
        <v>1</v>
      </c>
    </row>
    <row r="43" spans="1:3">
      <c r="A43" s="113">
        <f>Sheet1!A9</f>
        <v>25</v>
      </c>
      <c r="B43" s="114">
        <f>Sheet1!B9</f>
        <v>6.81</v>
      </c>
      <c r="C43" s="115">
        <v>1</v>
      </c>
    </row>
    <row r="44" spans="1:3">
      <c r="A44" s="113">
        <f>Sheet1!A10</f>
        <v>30</v>
      </c>
      <c r="B44" s="114">
        <f>Sheet1!B10</f>
        <v>7.45</v>
      </c>
      <c r="C44" s="115">
        <v>1</v>
      </c>
    </row>
    <row r="45" spans="1:3">
      <c r="A45" s="113">
        <f>Sheet1!A11</f>
        <v>35</v>
      </c>
      <c r="B45" s="114">
        <f>Sheet1!B11</f>
        <v>8</v>
      </c>
      <c r="C45" s="115">
        <v>1</v>
      </c>
    </row>
    <row r="46" spans="1:3">
      <c r="A46" s="113">
        <f>Sheet1!A12</f>
        <v>40</v>
      </c>
      <c r="B46" s="114">
        <f>Sheet1!B12</f>
        <v>8.48</v>
      </c>
      <c r="C46" s="115">
        <v>1</v>
      </c>
    </row>
    <row r="47" spans="1:3">
      <c r="A47" s="113">
        <f>Sheet1!A13</f>
        <v>45</v>
      </c>
      <c r="B47" s="114">
        <f>Sheet1!B13</f>
        <v>8.9</v>
      </c>
      <c r="C47" s="115">
        <v>1</v>
      </c>
    </row>
    <row r="48" spans="1:3">
      <c r="A48" s="113">
        <f>Sheet1!A14</f>
        <v>50</v>
      </c>
      <c r="B48" s="114">
        <f>Sheet1!B14</f>
        <v>9.27</v>
      </c>
      <c r="C48" s="115">
        <v>1</v>
      </c>
    </row>
    <row r="49" spans="1:3">
      <c r="A49" s="113">
        <f>Sheet1!A15</f>
        <v>55</v>
      </c>
      <c r="B49" s="114">
        <f>Sheet1!B15</f>
        <v>9.61</v>
      </c>
      <c r="C49" s="115">
        <v>1</v>
      </c>
    </row>
    <row r="50" spans="1:3">
      <c r="A50" s="113">
        <f>Sheet1!A16</f>
        <v>60</v>
      </c>
      <c r="B50" s="114">
        <f>Sheet1!B16</f>
        <v>9.92</v>
      </c>
      <c r="C50" s="115">
        <v>1</v>
      </c>
    </row>
    <row r="51" spans="1:3">
      <c r="A51" s="113">
        <f>Sheet1!A17</f>
        <v>75</v>
      </c>
      <c r="B51" s="114">
        <f>Sheet1!B17</f>
        <v>10.71</v>
      </c>
      <c r="C51" s="115">
        <v>1</v>
      </c>
    </row>
    <row r="52" spans="1:3">
      <c r="A52" s="113">
        <f>Sheet1!A18</f>
        <v>90</v>
      </c>
      <c r="B52" s="114">
        <f>Sheet1!B18</f>
        <v>11.36</v>
      </c>
      <c r="C52" s="115">
        <v>1</v>
      </c>
    </row>
    <row r="53" spans="1:3">
      <c r="A53" s="113">
        <f>Sheet1!A19</f>
        <v>105</v>
      </c>
      <c r="B53" s="114">
        <f>Sheet1!B19</f>
        <v>11.91</v>
      </c>
      <c r="C53" s="115">
        <v>1</v>
      </c>
    </row>
    <row r="54" spans="1:3">
      <c r="A54" s="113">
        <f>Sheet1!A20</f>
        <v>120</v>
      </c>
      <c r="B54" s="114">
        <f>Sheet1!B20</f>
        <v>12.39</v>
      </c>
      <c r="C54" s="115">
        <v>1</v>
      </c>
    </row>
    <row r="55" spans="1:3">
      <c r="A55" s="113">
        <f>Sheet1!A21</f>
        <v>121</v>
      </c>
      <c r="B55" s="114">
        <f>Sheet1!B21</f>
        <v>12.55</v>
      </c>
      <c r="C55" s="115">
        <v>1</v>
      </c>
    </row>
    <row r="56" spans="1:3">
      <c r="A56" s="113">
        <f>Sheet1!A22</f>
        <v>122</v>
      </c>
      <c r="B56" s="114">
        <f>Sheet1!B22</f>
        <v>12.700000000000001</v>
      </c>
      <c r="C56" s="115">
        <v>1</v>
      </c>
    </row>
    <row r="57" spans="1:3">
      <c r="A57" s="113">
        <f>Sheet1!A23</f>
        <v>123</v>
      </c>
      <c r="B57" s="114">
        <f>Sheet1!B23</f>
        <v>12.840000000000002</v>
      </c>
      <c r="C57" s="115">
        <v>1</v>
      </c>
    </row>
    <row r="58" spans="1:3">
      <c r="A58" s="113">
        <f>Sheet1!A24</f>
        <v>124</v>
      </c>
      <c r="B58" s="114">
        <f>Sheet1!B24</f>
        <v>12.970000000000002</v>
      </c>
      <c r="C58" s="115">
        <v>1</v>
      </c>
    </row>
    <row r="59" spans="1:3">
      <c r="A59" s="113">
        <f>Sheet1!A25</f>
        <v>125</v>
      </c>
      <c r="B59" s="114">
        <f>Sheet1!B25</f>
        <v>13.100000000000003</v>
      </c>
      <c r="C59" s="115">
        <v>1</v>
      </c>
    </row>
    <row r="60" spans="1:3">
      <c r="A60" s="113">
        <f>Sheet1!A26</f>
        <v>130</v>
      </c>
      <c r="B60" s="114">
        <f>Sheet1!B26</f>
        <v>14.86</v>
      </c>
      <c r="C60" s="115">
        <v>1</v>
      </c>
    </row>
    <row r="61" spans="1:3">
      <c r="A61" s="113">
        <f>Sheet1!A27</f>
        <v>135</v>
      </c>
      <c r="B61" s="114">
        <f>Sheet1!B27</f>
        <v>14.969999999999999</v>
      </c>
      <c r="C61" s="115">
        <v>1</v>
      </c>
    </row>
    <row r="62" spans="1:3">
      <c r="A62" s="113">
        <f>Sheet1!A28</f>
        <v>140</v>
      </c>
      <c r="B62" s="114">
        <f>Sheet1!B28</f>
        <v>15.28</v>
      </c>
      <c r="C62" s="115">
        <v>1</v>
      </c>
    </row>
    <row r="63" spans="1:3">
      <c r="A63" s="113">
        <f>Sheet1!A29</f>
        <v>145</v>
      </c>
      <c r="B63" s="114">
        <f>Sheet1!B29</f>
        <v>15.379999999999999</v>
      </c>
      <c r="C63" s="115">
        <v>1</v>
      </c>
    </row>
    <row r="64" spans="1:3">
      <c r="A64" s="113">
        <f>Sheet1!A30</f>
        <v>150</v>
      </c>
      <c r="B64" s="114">
        <f>Sheet1!B30</f>
        <v>15.69</v>
      </c>
      <c r="C64" s="115">
        <v>1</v>
      </c>
    </row>
    <row r="65" spans="1:3">
      <c r="A65" s="113">
        <f>Sheet1!A31</f>
        <v>155</v>
      </c>
      <c r="B65" s="114">
        <f>Sheet1!B31</f>
        <v>15.75</v>
      </c>
      <c r="C65" s="115">
        <v>1</v>
      </c>
    </row>
    <row r="66" spans="1:3">
      <c r="A66" s="113">
        <f>Sheet1!A32</f>
        <v>160</v>
      </c>
      <c r="B66" s="114">
        <f>Sheet1!B32</f>
        <v>15.8</v>
      </c>
      <c r="C66" s="115">
        <v>1</v>
      </c>
    </row>
    <row r="67" spans="1:3">
      <c r="A67" s="113">
        <f>Sheet1!A33</f>
        <v>165</v>
      </c>
      <c r="B67" s="114">
        <f>Sheet1!B33</f>
        <v>15.84</v>
      </c>
      <c r="C67" s="115">
        <v>1</v>
      </c>
    </row>
    <row r="68" spans="1:3">
      <c r="A68" s="113">
        <f>Sheet1!A34</f>
        <v>170</v>
      </c>
      <c r="B68" s="114">
        <f>Sheet1!B34</f>
        <v>15.87</v>
      </c>
      <c r="C68" s="115">
        <v>1</v>
      </c>
    </row>
    <row r="69" spans="1:3">
      <c r="A69" s="113">
        <f>Sheet1!A35</f>
        <v>175</v>
      </c>
      <c r="B69" s="114">
        <f>Sheet1!B35</f>
        <v>15.889999999999999</v>
      </c>
      <c r="C69" s="115">
        <v>1</v>
      </c>
    </row>
    <row r="70" spans="1:3">
      <c r="A70" s="113">
        <f>Sheet1!A36</f>
        <v>180</v>
      </c>
      <c r="B70" s="114">
        <f>Sheet1!B36</f>
        <v>16.100000000000001</v>
      </c>
      <c r="C70" s="115">
        <v>1</v>
      </c>
    </row>
    <row r="71" spans="1:3">
      <c r="A71" s="113">
        <f>Sheet1!A37</f>
        <v>195</v>
      </c>
      <c r="B71" s="114">
        <f>Sheet1!B37</f>
        <v>16.170000000000002</v>
      </c>
      <c r="C71" s="115">
        <v>1</v>
      </c>
    </row>
    <row r="72" spans="1:3">
      <c r="A72" s="113">
        <f>Sheet1!A38</f>
        <v>210</v>
      </c>
      <c r="B72" s="114">
        <f>Sheet1!B38</f>
        <v>16.23</v>
      </c>
      <c r="C72" s="115">
        <v>1</v>
      </c>
    </row>
    <row r="73" spans="1:3">
      <c r="A73" s="113">
        <f>Sheet1!A39</f>
        <v>225</v>
      </c>
      <c r="B73" s="114">
        <f>Sheet1!B39</f>
        <v>16.28</v>
      </c>
      <c r="C73" s="115">
        <v>1</v>
      </c>
    </row>
    <row r="74" spans="1:3">
      <c r="A74" s="113">
        <f>Sheet1!A40</f>
        <v>240</v>
      </c>
      <c r="B74" s="114">
        <f>Sheet1!B40</f>
        <v>16.52</v>
      </c>
      <c r="C74" s="115">
        <v>1</v>
      </c>
    </row>
    <row r="75" spans="1:3">
      <c r="A75" s="113">
        <f>Sheet1!A41</f>
        <v>241</v>
      </c>
      <c r="B75" s="114">
        <f>Sheet1!B41</f>
        <v>16.7</v>
      </c>
      <c r="C75" s="115">
        <v>1</v>
      </c>
    </row>
    <row r="76" spans="1:3">
      <c r="A76" s="113">
        <f>Sheet1!A42</f>
        <v>242</v>
      </c>
      <c r="B76" s="114">
        <f>Sheet1!B42</f>
        <v>16.86</v>
      </c>
      <c r="C76" s="115">
        <v>1</v>
      </c>
    </row>
    <row r="77" spans="1:3">
      <c r="A77" s="113">
        <f>Sheet1!A43</f>
        <v>243</v>
      </c>
      <c r="B77" s="114">
        <f>Sheet1!B43</f>
        <v>17.009999999999998</v>
      </c>
      <c r="C77" s="115">
        <v>1</v>
      </c>
    </row>
    <row r="78" spans="1:3">
      <c r="A78" s="113">
        <f>Sheet1!A44</f>
        <v>244</v>
      </c>
      <c r="B78" s="114">
        <f>Sheet1!B44</f>
        <v>17.149999999999999</v>
      </c>
      <c r="C78" s="115">
        <v>1</v>
      </c>
    </row>
    <row r="79" spans="1:3">
      <c r="A79" s="113">
        <f>Sheet1!A45</f>
        <v>245</v>
      </c>
      <c r="B79" s="114">
        <f>Sheet1!B45</f>
        <v>17.279999999999998</v>
      </c>
      <c r="C79" s="115">
        <v>1</v>
      </c>
    </row>
    <row r="80" spans="1:3">
      <c r="A80" s="113">
        <f>Sheet1!A46</f>
        <v>250</v>
      </c>
      <c r="B80" s="114">
        <f>Sheet1!B46</f>
        <v>19.3</v>
      </c>
      <c r="C80" s="115">
        <v>1</v>
      </c>
    </row>
    <row r="81" spans="1:3">
      <c r="A81" s="113">
        <f>Sheet1!A47</f>
        <v>255</v>
      </c>
      <c r="B81" s="114">
        <f>Sheet1!B47</f>
        <v>19.41</v>
      </c>
      <c r="C81" s="115">
        <v>1</v>
      </c>
    </row>
    <row r="82" spans="1:3">
      <c r="A82" s="113">
        <f>Sheet1!A48</f>
        <v>260</v>
      </c>
      <c r="B82" s="114">
        <f>Sheet1!B48</f>
        <v>19.760000000000002</v>
      </c>
      <c r="C82" s="115">
        <v>1</v>
      </c>
    </row>
    <row r="83" spans="1:3">
      <c r="A83" s="113">
        <f>Sheet1!A49</f>
        <v>265</v>
      </c>
      <c r="B83" s="114">
        <f>Sheet1!B49</f>
        <v>19.87</v>
      </c>
      <c r="C83" s="115">
        <v>1</v>
      </c>
    </row>
    <row r="84" spans="1:3">
      <c r="A84" s="113">
        <f>Sheet1!A50</f>
        <v>270</v>
      </c>
      <c r="B84" s="114">
        <f>Sheet1!B50</f>
        <v>20.23</v>
      </c>
      <c r="C84" s="115">
        <v>1</v>
      </c>
    </row>
    <row r="85" spans="1:3">
      <c r="A85" s="113">
        <f>Sheet1!A51</f>
        <v>275</v>
      </c>
      <c r="B85" s="114">
        <f>Sheet1!B51</f>
        <v>20.3</v>
      </c>
      <c r="C85" s="115">
        <v>1</v>
      </c>
    </row>
    <row r="86" spans="1:3">
      <c r="A86" s="113">
        <f>Sheet1!A52</f>
        <v>280</v>
      </c>
      <c r="B86" s="114">
        <f>Sheet1!B52</f>
        <v>20.350000000000001</v>
      </c>
      <c r="C86" s="115">
        <v>1</v>
      </c>
    </row>
    <row r="87" spans="1:3">
      <c r="A87" s="113">
        <f>Sheet1!A53</f>
        <v>285</v>
      </c>
      <c r="B87" s="114">
        <f>Sheet1!B53</f>
        <v>20.39</v>
      </c>
      <c r="C87" s="115">
        <v>1</v>
      </c>
    </row>
    <row r="88" spans="1:3">
      <c r="A88" s="113">
        <f>Sheet1!A54</f>
        <v>290</v>
      </c>
      <c r="B88" s="114">
        <f>Sheet1!B54</f>
        <v>20.420000000000002</v>
      </c>
      <c r="C88" s="115">
        <v>1</v>
      </c>
    </row>
    <row r="89" spans="1:3">
      <c r="A89" s="113">
        <f>Sheet1!A55</f>
        <v>295</v>
      </c>
      <c r="B89" s="114">
        <f>Sheet1!B55</f>
        <v>20.440000000000001</v>
      </c>
      <c r="C89" s="115">
        <v>1</v>
      </c>
    </row>
    <row r="90" spans="1:3">
      <c r="A90" s="113">
        <f>Sheet1!A56</f>
        <v>300</v>
      </c>
      <c r="B90" s="114">
        <f>Sheet1!B56</f>
        <v>20.69</v>
      </c>
      <c r="C90" s="115">
        <v>1</v>
      </c>
    </row>
    <row r="91" spans="1:3">
      <c r="A91" s="113">
        <f>Sheet1!A57</f>
        <v>315</v>
      </c>
      <c r="B91" s="114">
        <f>Sheet1!B57</f>
        <v>20.77</v>
      </c>
      <c r="C91" s="115">
        <v>1</v>
      </c>
    </row>
    <row r="92" spans="1:3">
      <c r="A92" s="113">
        <f>Sheet1!A58</f>
        <v>330</v>
      </c>
      <c r="B92" s="114">
        <f>Sheet1!B58</f>
        <v>20.83</v>
      </c>
      <c r="C92" s="115">
        <v>1</v>
      </c>
    </row>
    <row r="93" spans="1:3">
      <c r="A93" s="113">
        <f>Sheet1!A59</f>
        <v>345</v>
      </c>
      <c r="B93" s="114">
        <f>Sheet1!B59</f>
        <v>20.88</v>
      </c>
      <c r="C93" s="115">
        <v>1</v>
      </c>
    </row>
    <row r="94" spans="1:3">
      <c r="A94" s="113">
        <f>Sheet1!A60</f>
        <v>360</v>
      </c>
      <c r="B94" s="114">
        <f>Sheet1!B60</f>
        <v>21.16</v>
      </c>
      <c r="C94" s="115">
        <v>1</v>
      </c>
    </row>
    <row r="95" spans="1:3">
      <c r="A95" s="113">
        <f>Sheet1!A61</f>
        <v>361</v>
      </c>
      <c r="B95" s="114">
        <f>Sheet1!B61</f>
        <v>21.35</v>
      </c>
      <c r="C95" s="115">
        <v>1</v>
      </c>
    </row>
    <row r="96" spans="1:3">
      <c r="A96" s="113">
        <f>Sheet1!A62</f>
        <v>362</v>
      </c>
      <c r="B96" s="114">
        <f>Sheet1!B62</f>
        <v>21.520000000000003</v>
      </c>
      <c r="C96" s="115">
        <v>1</v>
      </c>
    </row>
    <row r="97" spans="1:3">
      <c r="A97" s="113">
        <f>Sheet1!A63</f>
        <v>363</v>
      </c>
      <c r="B97" s="114">
        <f>Sheet1!B63</f>
        <v>21.680000000000003</v>
      </c>
      <c r="C97" s="115">
        <v>1</v>
      </c>
    </row>
    <row r="98" spans="1:3">
      <c r="A98" s="113">
        <f>Sheet1!A64</f>
        <v>364</v>
      </c>
      <c r="B98" s="114">
        <f>Sheet1!B64</f>
        <v>21.830000000000002</v>
      </c>
      <c r="C98" s="115">
        <v>1</v>
      </c>
    </row>
    <row r="99" spans="1:3">
      <c r="A99" s="113">
        <f>Sheet1!A65</f>
        <v>365</v>
      </c>
      <c r="B99" s="114">
        <f>Sheet1!B65</f>
        <v>21.970000000000002</v>
      </c>
      <c r="C99" s="115">
        <v>1</v>
      </c>
    </row>
    <row r="100" spans="1:3">
      <c r="A100" s="113">
        <f>Sheet1!A66</f>
        <v>370</v>
      </c>
      <c r="B100" s="114">
        <f>Sheet1!B66</f>
        <v>24.26</v>
      </c>
      <c r="C100" s="115">
        <v>1</v>
      </c>
    </row>
    <row r="101" spans="1:3">
      <c r="A101" s="113">
        <f>Sheet1!A67</f>
        <v>375</v>
      </c>
      <c r="B101" s="114">
        <f>Sheet1!B67</f>
        <v>24.380000000000003</v>
      </c>
      <c r="C101" s="115">
        <v>1</v>
      </c>
    </row>
    <row r="102" spans="1:3">
      <c r="A102" s="113">
        <f>Sheet1!A68</f>
        <v>380</v>
      </c>
      <c r="B102" s="114">
        <f>Sheet1!B68</f>
        <v>24.78</v>
      </c>
      <c r="C102" s="115">
        <v>1</v>
      </c>
    </row>
    <row r="103" spans="1:3">
      <c r="A103" s="113">
        <f>Sheet1!A69</f>
        <v>385</v>
      </c>
      <c r="B103" s="114">
        <f>Sheet1!B69</f>
        <v>24.900000000000002</v>
      </c>
      <c r="C103" s="115">
        <v>1</v>
      </c>
    </row>
    <row r="104" spans="1:3">
      <c r="A104" s="113">
        <f>Sheet1!A70</f>
        <v>390</v>
      </c>
      <c r="B104" s="114">
        <f>Sheet1!B70</f>
        <v>25.3</v>
      </c>
      <c r="C104" s="115">
        <v>1</v>
      </c>
    </row>
    <row r="105" spans="1:3">
      <c r="A105" s="113">
        <f>Sheet1!A71</f>
        <v>395</v>
      </c>
      <c r="B105" s="114">
        <f>Sheet1!B71</f>
        <v>25.37</v>
      </c>
      <c r="C105" s="115">
        <v>1</v>
      </c>
    </row>
    <row r="106" spans="1:3">
      <c r="A106" s="113">
        <f>Sheet1!A72</f>
        <v>400</v>
      </c>
      <c r="B106" s="114">
        <f>Sheet1!B72</f>
        <v>25.42</v>
      </c>
      <c r="C106" s="115">
        <v>1</v>
      </c>
    </row>
    <row r="107" spans="1:3">
      <c r="A107" s="113">
        <f>Sheet1!A73</f>
        <v>405</v>
      </c>
      <c r="B107" s="114">
        <f>Sheet1!B73</f>
        <v>25.46</v>
      </c>
      <c r="C107" s="115">
        <v>1</v>
      </c>
    </row>
    <row r="108" spans="1:3">
      <c r="A108" s="113">
        <f>Sheet1!A74</f>
        <v>410</v>
      </c>
      <c r="B108" s="114">
        <f>Sheet1!B74</f>
        <v>25.490000000000002</v>
      </c>
      <c r="C108" s="115">
        <v>1</v>
      </c>
    </row>
    <row r="109" spans="1:3">
      <c r="A109" s="113">
        <f>Sheet1!A75</f>
        <v>415</v>
      </c>
      <c r="B109" s="114">
        <f>Sheet1!B75</f>
        <v>25.520000000000003</v>
      </c>
      <c r="C109" s="115">
        <v>1</v>
      </c>
    </row>
    <row r="110" spans="1:3">
      <c r="A110" s="113">
        <f>Sheet1!A76</f>
        <v>420</v>
      </c>
      <c r="B110" s="114">
        <f>Sheet1!B76</f>
        <v>25.82</v>
      </c>
      <c r="C110" s="115">
        <v>1</v>
      </c>
    </row>
    <row r="111" spans="1:3">
      <c r="A111" s="113">
        <f>Sheet1!A77</f>
        <v>435</v>
      </c>
      <c r="B111" s="114">
        <f>Sheet1!B77</f>
        <v>25.91</v>
      </c>
      <c r="C111" s="115">
        <v>1</v>
      </c>
    </row>
    <row r="112" spans="1:3">
      <c r="A112" s="113">
        <f>Sheet1!A78</f>
        <v>450</v>
      </c>
      <c r="B112" s="114">
        <f>Sheet1!B78</f>
        <v>25.98</v>
      </c>
      <c r="C112" s="115">
        <v>1</v>
      </c>
    </row>
    <row r="113" spans="1:3">
      <c r="A113" s="113">
        <f>Sheet1!A79</f>
        <v>465</v>
      </c>
      <c r="B113" s="114">
        <f>Sheet1!B79</f>
        <v>26.03</v>
      </c>
      <c r="C113" s="115">
        <v>1</v>
      </c>
    </row>
    <row r="114" spans="1:3">
      <c r="A114" s="113">
        <f>Sheet1!A80</f>
        <v>480</v>
      </c>
      <c r="B114" s="114">
        <f>Sheet1!B80</f>
        <v>26.34</v>
      </c>
      <c r="C114" s="115">
        <v>1</v>
      </c>
    </row>
    <row r="115" spans="1:3">
      <c r="A115" s="113">
        <f>Sheet1!A81</f>
        <v>481</v>
      </c>
      <c r="B115" s="114">
        <f>Sheet1!B81</f>
        <v>26.55</v>
      </c>
      <c r="C115" s="115">
        <v>1</v>
      </c>
    </row>
    <row r="116" spans="1:3">
      <c r="A116" s="113">
        <f>Sheet1!A82</f>
        <v>482</v>
      </c>
      <c r="B116" s="114">
        <f>Sheet1!B82</f>
        <v>26.740000000000002</v>
      </c>
      <c r="C116" s="115">
        <v>1</v>
      </c>
    </row>
    <row r="117" spans="1:3">
      <c r="A117" s="113">
        <f>Sheet1!A83</f>
        <v>483</v>
      </c>
      <c r="B117" s="114">
        <f>Sheet1!B83</f>
        <v>26.910000000000004</v>
      </c>
      <c r="C117" s="115">
        <v>1</v>
      </c>
    </row>
    <row r="118" spans="1:3">
      <c r="A118" s="113">
        <f>Sheet1!A84</f>
        <v>484</v>
      </c>
      <c r="B118" s="114">
        <f>Sheet1!B84</f>
        <v>27.070000000000004</v>
      </c>
      <c r="C118" s="115">
        <v>1</v>
      </c>
    </row>
    <row r="119" spans="1:3">
      <c r="A119" s="113">
        <f>Sheet1!A85</f>
        <v>485</v>
      </c>
      <c r="B119" s="114">
        <f>Sheet1!B85</f>
        <v>27.210000000000004</v>
      </c>
      <c r="C119" s="115">
        <v>1</v>
      </c>
    </row>
    <row r="120" spans="1:3">
      <c r="A120" s="113">
        <f>Sheet1!A86</f>
        <v>490</v>
      </c>
      <c r="B120" s="114">
        <f>Sheet1!B86</f>
        <v>29.5</v>
      </c>
      <c r="C120" s="115">
        <v>1</v>
      </c>
    </row>
    <row r="121" spans="1:3">
      <c r="A121" s="113">
        <f>Sheet1!A87</f>
        <v>495</v>
      </c>
      <c r="B121" s="114">
        <f>Sheet1!B87</f>
        <v>29.81</v>
      </c>
      <c r="C121" s="115">
        <v>1</v>
      </c>
    </row>
    <row r="122" spans="1:3">
      <c r="A122" s="113">
        <f>Sheet1!A88</f>
        <v>500</v>
      </c>
      <c r="B122" s="114">
        <f>Sheet1!B88</f>
        <v>30.68</v>
      </c>
      <c r="C122" s="115">
        <v>1</v>
      </c>
    </row>
    <row r="123" spans="1:3">
      <c r="A123" s="113">
        <f>Sheet1!A89</f>
        <v>505</v>
      </c>
      <c r="B123" s="114">
        <f>Sheet1!B89</f>
        <v>30.98</v>
      </c>
      <c r="C123" s="115">
        <v>1</v>
      </c>
    </row>
    <row r="124" spans="1:3">
      <c r="A124" s="113">
        <f>Sheet1!A90</f>
        <v>510</v>
      </c>
      <c r="B124" s="114">
        <f>Sheet1!B90</f>
        <v>31.87</v>
      </c>
      <c r="C124" s="115">
        <v>1</v>
      </c>
    </row>
    <row r="125" spans="1:3">
      <c r="A125" s="113">
        <f>Sheet1!A91</f>
        <v>515</v>
      </c>
      <c r="B125" s="114">
        <f>Sheet1!B91</f>
        <v>32.020000000000003</v>
      </c>
      <c r="C125" s="115">
        <v>1</v>
      </c>
    </row>
    <row r="126" spans="1:3">
      <c r="A126" s="113">
        <f>Sheet1!A92</f>
        <v>520</v>
      </c>
      <c r="B126" s="114">
        <f>Sheet1!B92</f>
        <v>32.150000000000006</v>
      </c>
      <c r="C126" s="115">
        <v>1</v>
      </c>
    </row>
    <row r="127" spans="1:3">
      <c r="A127" s="113">
        <f>Sheet1!A93</f>
        <v>525</v>
      </c>
      <c r="B127" s="114">
        <f>Sheet1!B93</f>
        <v>32.260000000000005</v>
      </c>
      <c r="C127" s="115">
        <v>1</v>
      </c>
    </row>
    <row r="128" spans="1:3">
      <c r="A128" s="113">
        <f>Sheet1!A94</f>
        <v>530</v>
      </c>
      <c r="B128" s="114">
        <f>Sheet1!B94</f>
        <v>32.340000000000003</v>
      </c>
      <c r="C128" s="115">
        <v>1</v>
      </c>
    </row>
    <row r="129" spans="1:3">
      <c r="A129" s="113">
        <f>Sheet1!A95</f>
        <v>535</v>
      </c>
      <c r="B129" s="114">
        <f>Sheet1!B95</f>
        <v>32.410000000000004</v>
      </c>
      <c r="C129" s="115">
        <v>1</v>
      </c>
    </row>
    <row r="130" spans="1:3">
      <c r="A130" s="113">
        <f>Sheet1!A96</f>
        <v>540</v>
      </c>
      <c r="B130" s="114">
        <f>Sheet1!B96</f>
        <v>33.049999999999997</v>
      </c>
      <c r="C130" s="115">
        <v>1</v>
      </c>
    </row>
    <row r="131" spans="1:3">
      <c r="A131" s="113">
        <f>Sheet1!A97</f>
        <v>555</v>
      </c>
      <c r="B131" s="114">
        <f>Sheet1!B97</f>
        <v>33.239999999999995</v>
      </c>
      <c r="C131" s="115">
        <v>1</v>
      </c>
    </row>
    <row r="132" spans="1:3">
      <c r="A132" s="113">
        <f>Sheet1!A98</f>
        <v>570</v>
      </c>
      <c r="B132" s="114">
        <f>Sheet1!B98</f>
        <v>33.399999999999991</v>
      </c>
      <c r="C132" s="115">
        <v>1</v>
      </c>
    </row>
    <row r="133" spans="1:3">
      <c r="A133" s="113">
        <f>Sheet1!A99</f>
        <v>585</v>
      </c>
      <c r="B133" s="114">
        <f>Sheet1!B99</f>
        <v>33.539999999999992</v>
      </c>
      <c r="C133" s="115">
        <v>1</v>
      </c>
    </row>
    <row r="134" spans="1:3">
      <c r="A134" s="113">
        <f>Sheet1!A100</f>
        <v>600</v>
      </c>
      <c r="B134" s="114">
        <f>Sheet1!B100</f>
        <v>34.24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W-2</v>
      </c>
      <c r="B26" s="113"/>
      <c r="C26" s="114"/>
    </row>
    <row r="27" spans="1:3">
      <c r="A27" s="116">
        <f>SkinFactor!C8</f>
        <v>1.4039999999999999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2.9754133123546778</v>
      </c>
      <c r="C31" s="115">
        <v>1</v>
      </c>
    </row>
    <row r="32" spans="1:3">
      <c r="A32" s="113">
        <f>LongTest!D11</f>
        <v>2</v>
      </c>
      <c r="B32" s="117">
        <f>LongTest!G11</f>
        <v>5.7508266247093545</v>
      </c>
      <c r="C32" s="115">
        <v>1</v>
      </c>
    </row>
    <row r="33" spans="1:3">
      <c r="A33" s="113">
        <f>LongTest!D12</f>
        <v>3</v>
      </c>
      <c r="B33" s="117">
        <f>LongTest!G12</f>
        <v>8.2891126043443677</v>
      </c>
      <c r="C33" s="115">
        <v>1</v>
      </c>
    </row>
    <row r="34" spans="1:3">
      <c r="A34" s="113">
        <f>LongTest!D13</f>
        <v>4</v>
      </c>
      <c r="B34" s="117">
        <f>LongTest!G13</f>
        <v>10.090055167574491</v>
      </c>
      <c r="C34" s="115">
        <v>1</v>
      </c>
    </row>
    <row r="35" spans="1:3">
      <c r="A35" s="113">
        <f>LongTest!D14</f>
        <v>5</v>
      </c>
      <c r="B35" s="117">
        <f>LongTest!G14</f>
        <v>11.486974745659928</v>
      </c>
      <c r="C35" s="115">
        <v>1</v>
      </c>
    </row>
    <row r="36" spans="1:3">
      <c r="A36" s="113">
        <f>LongTest!D15</f>
        <v>10</v>
      </c>
      <c r="B36" s="117">
        <f>LongTest!G15</f>
        <v>15.826203288525072</v>
      </c>
      <c r="C36" s="115">
        <v>1</v>
      </c>
    </row>
    <row r="37" spans="1:3">
      <c r="A37" s="113">
        <f>LongTest!D16</f>
        <v>15</v>
      </c>
      <c r="B37" s="117">
        <f>LongTest!G16</f>
        <v>18.364489268160078</v>
      </c>
      <c r="C37" s="115">
        <v>1</v>
      </c>
    </row>
    <row r="38" spans="1:3">
      <c r="A38" s="113">
        <f>LongTest!D17</f>
        <v>20</v>
      </c>
      <c r="B38" s="117">
        <f>LongTest!G17</f>
        <v>20.165431831390208</v>
      </c>
      <c r="C38" s="115">
        <v>1</v>
      </c>
    </row>
    <row r="39" spans="1:3">
      <c r="A39" s="113">
        <f>LongTest!D18</f>
        <v>25</v>
      </c>
      <c r="B39" s="117">
        <f>LongTest!G18</f>
        <v>21.562351409475646</v>
      </c>
      <c r="C39" s="115">
        <v>1</v>
      </c>
    </row>
    <row r="40" spans="1:3">
      <c r="A40" s="113">
        <f>LongTest!D19</f>
        <v>30</v>
      </c>
      <c r="B40" s="117">
        <f>LongTest!G19</f>
        <v>22.703717811025221</v>
      </c>
      <c r="C40" s="115">
        <v>1</v>
      </c>
    </row>
    <row r="41" spans="1:3">
      <c r="A41" s="113">
        <f>LongTest!D20</f>
        <v>35</v>
      </c>
      <c r="B41" s="117">
        <f>LongTest!G20</f>
        <v>23.668729353405219</v>
      </c>
      <c r="C41" s="115">
        <v>1</v>
      </c>
    </row>
    <row r="42" spans="1:3">
      <c r="A42" s="113">
        <f>LongTest!D21</f>
        <v>40</v>
      </c>
      <c r="B42" s="117">
        <f>LongTest!G21</f>
        <v>24.504660374255344</v>
      </c>
      <c r="C42" s="115">
        <v>1</v>
      </c>
    </row>
    <row r="43" spans="1:3">
      <c r="A43" s="113">
        <f>LongTest!D22</f>
        <v>45</v>
      </c>
      <c r="B43" s="117">
        <f>LongTest!G22</f>
        <v>25.24200379066022</v>
      </c>
      <c r="C43" s="115">
        <v>1</v>
      </c>
    </row>
    <row r="44" spans="1:3">
      <c r="A44" s="113">
        <f>LongTest!D23</f>
        <v>50</v>
      </c>
      <c r="B44" s="117">
        <f>LongTest!G23</f>
        <v>25.901579952340782</v>
      </c>
      <c r="C44" s="115">
        <v>1</v>
      </c>
    </row>
    <row r="45" spans="1:3">
      <c r="A45" s="113">
        <f>LongTest!D24</f>
        <v>55</v>
      </c>
      <c r="B45" s="117">
        <f>LongTest!G24</f>
        <v>26.498239167341033</v>
      </c>
      <c r="C45" s="115">
        <v>1</v>
      </c>
    </row>
    <row r="46" spans="1:3">
      <c r="A46" s="113">
        <f>LongTest!D25</f>
        <v>60</v>
      </c>
      <c r="B46" s="117">
        <f>LongTest!G25</f>
        <v>27.042946353890351</v>
      </c>
      <c r="C46" s="115">
        <v>1</v>
      </c>
    </row>
    <row r="47" spans="1:3">
      <c r="A47" s="113">
        <f>LongTest!D26</f>
        <v>75</v>
      </c>
      <c r="B47" s="117">
        <f>LongTest!G26</f>
        <v>28.439865931975788</v>
      </c>
      <c r="C47" s="115">
        <v>1</v>
      </c>
    </row>
    <row r="48" spans="1:3">
      <c r="A48" s="113">
        <f>LongTest!D27</f>
        <v>90</v>
      </c>
      <c r="B48" s="117">
        <f>LongTest!G27</f>
        <v>29.581232333525364</v>
      </c>
      <c r="C48" s="115">
        <v>1</v>
      </c>
    </row>
    <row r="49" spans="1:3">
      <c r="A49" s="113">
        <f>LongTest!D28</f>
        <v>105</v>
      </c>
      <c r="B49" s="117">
        <f>LongTest!G28</f>
        <v>30.546243875905361</v>
      </c>
      <c r="C49" s="115">
        <v>1</v>
      </c>
    </row>
    <row r="50" spans="1:3">
      <c r="A50" s="113">
        <f>LongTest!D29</f>
        <v>120</v>
      </c>
      <c r="B50" s="117">
        <f>LongTest!G29</f>
        <v>31.382174896755487</v>
      </c>
      <c r="C50" s="115">
        <v>1</v>
      </c>
    </row>
    <row r="51" spans="1:3">
      <c r="A51" s="113">
        <f>LongTest!D30</f>
        <v>140</v>
      </c>
      <c r="B51" s="117">
        <f>LongTest!G30</f>
        <v>32.347186439135491</v>
      </c>
      <c r="C51" s="115">
        <v>1</v>
      </c>
    </row>
    <row r="52" spans="1:3">
      <c r="A52" s="113">
        <f>LongTest!D31</f>
        <v>160</v>
      </c>
      <c r="B52" s="117">
        <f>LongTest!G31</f>
        <v>33.183117459985617</v>
      </c>
      <c r="C52" s="115">
        <v>1</v>
      </c>
    </row>
    <row r="53" spans="1:3">
      <c r="A53" s="113">
        <f>LongTest!D32</f>
        <v>180</v>
      </c>
      <c r="B53" s="117">
        <f>LongTest!G32</f>
        <v>33.9204608763905</v>
      </c>
      <c r="C53" s="115">
        <v>1</v>
      </c>
    </row>
    <row r="54" spans="1:3">
      <c r="A54" s="113">
        <f>LongTest!D33</f>
        <v>240</v>
      </c>
      <c r="B54" s="117">
        <f>LongTest!G33</f>
        <v>35.721403439620623</v>
      </c>
      <c r="C54" s="115">
        <v>1</v>
      </c>
    </row>
    <row r="55" spans="1:3">
      <c r="A55" s="113">
        <f>LongTest!D34</f>
        <v>300</v>
      </c>
      <c r="B55" s="117">
        <f>LongTest!G34</f>
        <v>37.118323017706068</v>
      </c>
      <c r="C55" s="115">
        <v>1</v>
      </c>
    </row>
    <row r="56" spans="1:3">
      <c r="A56" s="113">
        <f>LongTest!D35</f>
        <v>360</v>
      </c>
      <c r="B56" s="117">
        <f>LongTest!G35</f>
        <v>38.259689419255643</v>
      </c>
      <c r="C56" s="115">
        <v>1</v>
      </c>
    </row>
    <row r="57" spans="1:3">
      <c r="A57" s="113">
        <f>LongTest!D36</f>
        <v>420</v>
      </c>
      <c r="B57" s="117">
        <f>LongTest!G36</f>
        <v>39.224700961635641</v>
      </c>
      <c r="C57" s="115">
        <v>1</v>
      </c>
    </row>
    <row r="58" spans="1:3">
      <c r="A58" s="113">
        <f>LongTest!D37</f>
        <v>480</v>
      </c>
      <c r="B58" s="117">
        <f>LongTest!G37</f>
        <v>40.060631982485766</v>
      </c>
      <c r="C58" s="115">
        <v>1</v>
      </c>
    </row>
    <row r="59" spans="1:3">
      <c r="A59" s="113">
        <f>LongTest!D38</f>
        <v>540</v>
      </c>
      <c r="B59" s="117">
        <f>LongTest!G38</f>
        <v>40.79797539889065</v>
      </c>
      <c r="C59" s="115">
        <v>1</v>
      </c>
    </row>
    <row r="60" spans="1:3">
      <c r="A60" s="113">
        <f>LongTest!D39</f>
        <v>600</v>
      </c>
      <c r="B60" s="117">
        <f>LongTest!G39</f>
        <v>41.457551560571197</v>
      </c>
      <c r="C60" s="115">
        <v>1</v>
      </c>
    </row>
    <row r="61" spans="1:3">
      <c r="A61" s="113">
        <f>LongTest!D40</f>
        <v>660</v>
      </c>
      <c r="B61" s="117">
        <f>LongTest!G40</f>
        <v>42.054210775571455</v>
      </c>
      <c r="C61" s="115">
        <v>1</v>
      </c>
    </row>
    <row r="62" spans="1:3">
      <c r="A62" s="113">
        <f>LongTest!D41</f>
        <v>720</v>
      </c>
      <c r="B62" s="117">
        <f>LongTest!G41</f>
        <v>42.598917962120773</v>
      </c>
      <c r="C62" s="115">
        <v>1</v>
      </c>
    </row>
    <row r="63" spans="1:3">
      <c r="A63" s="113">
        <f>LongTest!D42</f>
        <v>780</v>
      </c>
      <c r="B63" s="117">
        <f>LongTest!G42</f>
        <v>43.1</v>
      </c>
      <c r="C63" s="115">
        <v>1</v>
      </c>
    </row>
    <row r="64" spans="1:3">
      <c r="A64" s="113">
        <f>LongTest!D43</f>
        <v>840</v>
      </c>
      <c r="B64" s="117">
        <f>LongTest!G43</f>
        <v>43.1</v>
      </c>
      <c r="C64" s="115">
        <v>1</v>
      </c>
    </row>
    <row r="65" spans="1:3">
      <c r="A65" s="113">
        <f>LongTest!D44</f>
        <v>900</v>
      </c>
      <c r="B65" s="117">
        <f>LongTest!G44</f>
        <v>43.1</v>
      </c>
      <c r="C65" s="115">
        <v>1</v>
      </c>
    </row>
    <row r="66" spans="1:3">
      <c r="A66" s="113">
        <f>LongTest!D45</f>
        <v>960</v>
      </c>
      <c r="B66" s="117">
        <f>LongTest!G45</f>
        <v>43.1</v>
      </c>
      <c r="C66" s="115">
        <v>1</v>
      </c>
    </row>
    <row r="67" spans="1:3">
      <c r="A67" s="113">
        <f>LongTest!D46</f>
        <v>1020</v>
      </c>
      <c r="B67" s="117">
        <f>LongTest!G46</f>
        <v>43.1</v>
      </c>
      <c r="C67" s="115">
        <v>1</v>
      </c>
    </row>
    <row r="68" spans="1:3">
      <c r="A68" s="113">
        <f>LongTest!D47</f>
        <v>1080</v>
      </c>
      <c r="B68" s="117">
        <f>LongTest!G47</f>
        <v>43.1</v>
      </c>
      <c r="C68" s="115">
        <v>1</v>
      </c>
    </row>
    <row r="69" spans="1:3">
      <c r="A69" s="113">
        <f>LongTest!D48</f>
        <v>1140</v>
      </c>
      <c r="B69" s="117">
        <f>LongTest!G48</f>
        <v>43.1</v>
      </c>
      <c r="C69" s="115">
        <v>1</v>
      </c>
    </row>
    <row r="70" spans="1:3">
      <c r="A70" s="113">
        <f>LongTest!D49</f>
        <v>1200</v>
      </c>
      <c r="B70" s="117">
        <f>LongTest!G49</f>
        <v>43.1</v>
      </c>
      <c r="C70" s="115">
        <v>1</v>
      </c>
    </row>
    <row r="71" spans="1:3">
      <c r="A71" s="113">
        <f>LongTest!D50</f>
        <v>1260</v>
      </c>
      <c r="B71" s="117">
        <f>LongTest!G50</f>
        <v>43.1</v>
      </c>
      <c r="C71" s="115">
        <v>1</v>
      </c>
    </row>
    <row r="72" spans="1:3">
      <c r="A72" s="113">
        <f>LongTest!D51</f>
        <v>1320</v>
      </c>
      <c r="B72" s="117">
        <f>LongTest!G51</f>
        <v>43.1</v>
      </c>
      <c r="C72" s="115">
        <v>1</v>
      </c>
    </row>
    <row r="73" spans="1:3">
      <c r="A73" s="113">
        <f>LongTest!D52</f>
        <v>1380</v>
      </c>
      <c r="B73" s="117">
        <f>LongTest!G52</f>
        <v>43.1</v>
      </c>
      <c r="C73" s="115">
        <v>1</v>
      </c>
    </row>
    <row r="74" spans="1:3">
      <c r="A74" s="113">
        <f>LongTest!D53</f>
        <v>1440</v>
      </c>
      <c r="B74" s="117">
        <f>LongTest!G53</f>
        <v>43.1</v>
      </c>
      <c r="C74" s="115">
        <v>1</v>
      </c>
    </row>
    <row r="75" spans="1:3">
      <c r="A75" s="113">
        <f>LongTest!D54</f>
        <v>1500</v>
      </c>
      <c r="B75" s="117">
        <f>LongTest!G54</f>
        <v>43.1</v>
      </c>
      <c r="C75" s="115">
        <v>1</v>
      </c>
    </row>
    <row r="76" spans="1:3">
      <c r="A76" s="113">
        <f>LongTest!D55</f>
        <v>1560</v>
      </c>
      <c r="B76" s="117">
        <f>LongTest!G55</f>
        <v>43.1</v>
      </c>
      <c r="C76" s="115">
        <v>1</v>
      </c>
    </row>
    <row r="77" spans="1:3">
      <c r="A77" s="113">
        <f>LongTest!D56</f>
        <v>1620</v>
      </c>
      <c r="B77" s="117">
        <f>LongTest!G56</f>
        <v>43.1</v>
      </c>
      <c r="C77" s="115">
        <v>1</v>
      </c>
    </row>
    <row r="78" spans="1:3">
      <c r="A78" s="113">
        <f>LongTest!D57</f>
        <v>1680</v>
      </c>
      <c r="B78" s="117">
        <f>LongTest!G57</f>
        <v>43.1</v>
      </c>
      <c r="C78" s="115">
        <v>1</v>
      </c>
    </row>
    <row r="79" spans="1:3">
      <c r="A79" s="113">
        <f>LongTest!D58</f>
        <v>1740</v>
      </c>
      <c r="B79" s="117">
        <f>LongTest!G58</f>
        <v>43.1</v>
      </c>
      <c r="C79" s="115">
        <v>1</v>
      </c>
    </row>
    <row r="80" spans="1:3">
      <c r="A80" s="113">
        <f>LongTest!D59</f>
        <v>1800</v>
      </c>
      <c r="B80" s="117">
        <f>LongTest!G59</f>
        <v>43.1</v>
      </c>
      <c r="C80" s="115">
        <v>1</v>
      </c>
    </row>
    <row r="81" spans="1:3">
      <c r="A81" s="113">
        <f>LongTest!D60</f>
        <v>1860</v>
      </c>
      <c r="B81" s="117">
        <f>LongTest!G60</f>
        <v>43.1</v>
      </c>
      <c r="C81" s="115">
        <v>1</v>
      </c>
    </row>
    <row r="82" spans="1:3">
      <c r="A82" s="113">
        <f>LongTest!D61</f>
        <v>1920</v>
      </c>
      <c r="B82" s="117">
        <f>LongTest!G61</f>
        <v>43.1</v>
      </c>
      <c r="C82" s="115">
        <v>1</v>
      </c>
    </row>
    <row r="83" spans="1:3">
      <c r="A83" s="113">
        <f>LongTest!D62</f>
        <v>1980</v>
      </c>
      <c r="B83" s="117">
        <f>LongTest!G62</f>
        <v>43.1</v>
      </c>
      <c r="C83" s="115">
        <v>1</v>
      </c>
    </row>
    <row r="84" spans="1:3">
      <c r="A84" s="113">
        <f>LongTest!D63</f>
        <v>2040</v>
      </c>
      <c r="B84" s="117">
        <f>LongTest!G63</f>
        <v>43.1</v>
      </c>
      <c r="C84" s="115">
        <v>1</v>
      </c>
    </row>
    <row r="85" spans="1:3">
      <c r="A85" s="113">
        <f>LongTest!D64</f>
        <v>2100</v>
      </c>
      <c r="B85" s="117">
        <f>LongTest!G64</f>
        <v>43.1</v>
      </c>
      <c r="C85" s="115">
        <v>1</v>
      </c>
    </row>
    <row r="86" spans="1:3">
      <c r="A86" s="113">
        <f>LongTest!D65</f>
        <v>2160</v>
      </c>
      <c r="B86" s="117">
        <f>LongTest!G65</f>
        <v>43.1</v>
      </c>
      <c r="C86" s="115">
        <v>1</v>
      </c>
    </row>
    <row r="87" spans="1:3">
      <c r="A87" s="113">
        <f>LongTest!D66</f>
        <v>2220</v>
      </c>
      <c r="B87" s="117">
        <f>LongTest!G66</f>
        <v>43.1</v>
      </c>
      <c r="C87" s="115">
        <v>1</v>
      </c>
    </row>
    <row r="88" spans="1:3">
      <c r="A88" s="113">
        <f>LongTest!D67</f>
        <v>2280</v>
      </c>
      <c r="B88" s="117">
        <f>LongTest!G67</f>
        <v>43.1</v>
      </c>
      <c r="C88" s="115">
        <v>1</v>
      </c>
    </row>
    <row r="89" spans="1:3">
      <c r="A89" s="113">
        <f>LongTest!D68</f>
        <v>2340</v>
      </c>
      <c r="B89" s="117">
        <f>LongTest!G68</f>
        <v>43.1</v>
      </c>
      <c r="C89" s="115">
        <v>1</v>
      </c>
    </row>
    <row r="90" spans="1:3">
      <c r="A90" s="113">
        <f>LongTest!D69</f>
        <v>2400</v>
      </c>
      <c r="B90" s="117">
        <f>LongTest!G69</f>
        <v>43.1</v>
      </c>
      <c r="C90" s="115">
        <v>1</v>
      </c>
    </row>
    <row r="91" spans="1:3">
      <c r="A91" s="113">
        <f>LongTest!D70</f>
        <v>2460</v>
      </c>
      <c r="B91" s="117">
        <f>LongTest!G70</f>
        <v>43.1</v>
      </c>
      <c r="C91" s="115">
        <v>1</v>
      </c>
    </row>
    <row r="92" spans="1:3">
      <c r="A92" s="113">
        <f>LongTest!D71</f>
        <v>2520</v>
      </c>
      <c r="B92" s="117">
        <f>LongTest!G71</f>
        <v>43.1</v>
      </c>
      <c r="C92" s="115">
        <v>1</v>
      </c>
    </row>
    <row r="93" spans="1:3">
      <c r="A93" s="113">
        <f>LongTest!D72</f>
        <v>2580</v>
      </c>
      <c r="B93" s="117">
        <f>LongTest!G72</f>
        <v>43.1</v>
      </c>
      <c r="C93" s="115">
        <v>1</v>
      </c>
    </row>
    <row r="94" spans="1:3">
      <c r="A94" s="113">
        <f>LongTest!D73</f>
        <v>2640</v>
      </c>
      <c r="B94" s="117">
        <f>LongTest!G73</f>
        <v>43.1</v>
      </c>
      <c r="C94" s="115">
        <v>1</v>
      </c>
    </row>
    <row r="95" spans="1:3">
      <c r="A95" s="113">
        <f>LongTest!D74</f>
        <v>2700</v>
      </c>
      <c r="B95" s="117">
        <f>LongTest!G74</f>
        <v>43.1</v>
      </c>
      <c r="C95" s="115">
        <v>1</v>
      </c>
    </row>
    <row r="96" spans="1:3">
      <c r="A96" s="113">
        <f>LongTest!D75</f>
        <v>2760</v>
      </c>
      <c r="B96" s="117">
        <f>LongTest!G75</f>
        <v>43.1</v>
      </c>
      <c r="C96" s="115">
        <v>1</v>
      </c>
    </row>
    <row r="97" spans="1:3">
      <c r="A97" s="113">
        <f>LongTest!D76</f>
        <v>2820</v>
      </c>
      <c r="B97" s="117">
        <f>LongTest!G76</f>
        <v>43.1</v>
      </c>
      <c r="C97" s="115">
        <v>1</v>
      </c>
    </row>
    <row r="98" spans="1:3">
      <c r="A98" s="113">
        <f>LongTest!D77</f>
        <v>2880</v>
      </c>
      <c r="B98" s="117">
        <f>LongTest!G77</f>
        <v>43.1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W-2</v>
      </c>
      <c r="B27" s="113"/>
      <c r="C27" s="114"/>
    </row>
    <row r="28" spans="1:3">
      <c r="A28" s="116">
        <f>SkinFactor!C8</f>
        <v>1.4039999999999999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43.1</v>
      </c>
      <c r="C32" s="115">
        <v>1</v>
      </c>
    </row>
    <row r="33" spans="1:3">
      <c r="A33" s="113">
        <f>$A$32+LongTest!D78</f>
        <v>2881</v>
      </c>
      <c r="B33" s="114">
        <f>LongTest!G78</f>
        <v>25.447812272514188</v>
      </c>
      <c r="C33" s="115">
        <v>1</v>
      </c>
    </row>
    <row r="34" spans="1:3">
      <c r="A34" s="113">
        <f>$A$32+LongTest!D79</f>
        <v>2882</v>
      </c>
      <c r="B34" s="114">
        <f>LongTest!G79</f>
        <v>22.730873979314961</v>
      </c>
      <c r="C34" s="115">
        <v>1</v>
      </c>
    </row>
    <row r="35" spans="1:3">
      <c r="A35" s="113">
        <f>$A$32+LongTest!D80</f>
        <v>2883</v>
      </c>
      <c r="B35" s="114">
        <f>LongTest!G80</f>
        <v>20.304009882278585</v>
      </c>
      <c r="C35" s="115">
        <v>1</v>
      </c>
    </row>
    <row r="36" spans="1:3">
      <c r="A36" s="113">
        <f>$A$32+LongTest!D81</f>
        <v>2884</v>
      </c>
      <c r="B36" s="114">
        <f>LongTest!G81</f>
        <v>18.136250180033343</v>
      </c>
      <c r="C36" s="115">
        <v>1</v>
      </c>
    </row>
    <row r="37" spans="1:3">
      <c r="A37" s="113">
        <f>$A$32+LongTest!D82</f>
        <v>2885</v>
      </c>
      <c r="B37" s="114">
        <f>LongTest!G82</f>
        <v>16.199931565234571</v>
      </c>
      <c r="C37" s="115">
        <v>1</v>
      </c>
    </row>
    <row r="38" spans="1:3">
      <c r="A38" s="113">
        <f>$A$32+LongTest!D83</f>
        <v>2890</v>
      </c>
      <c r="B38" s="114">
        <f>LongTest!G83</f>
        <v>11.545433006979898</v>
      </c>
      <c r="C38" s="115">
        <v>1</v>
      </c>
    </row>
    <row r="39" spans="1:3">
      <c r="A39" s="113">
        <f>$A$32+LongTest!D84</f>
        <v>2895</v>
      </c>
      <c r="B39" s="114">
        <f>LongTest!G84</f>
        <v>10.708303710181907</v>
      </c>
      <c r="C39" s="115">
        <v>1</v>
      </c>
    </row>
    <row r="40" spans="1:3">
      <c r="A40" s="113">
        <f>$A$32+LongTest!D85</f>
        <v>2900</v>
      </c>
      <c r="B40" s="114">
        <f>LongTest!G85</f>
        <v>8.543819092410061</v>
      </c>
      <c r="C40" s="115">
        <v>1</v>
      </c>
    </row>
    <row r="41" spans="1:3">
      <c r="A41" s="113">
        <f>$A$32+LongTest!D86</f>
        <v>2905</v>
      </c>
      <c r="B41" s="114">
        <f>LongTest!G86</f>
        <v>7.6316373687415222</v>
      </c>
      <c r="C41" s="115">
        <v>1</v>
      </c>
    </row>
    <row r="42" spans="1:3">
      <c r="A42" s="113">
        <f>$A$32+LongTest!D87</f>
        <v>2910</v>
      </c>
      <c r="B42" s="114">
        <f>LongTest!G87</f>
        <v>6.8168448205687575</v>
      </c>
      <c r="C42" s="115">
        <v>1</v>
      </c>
    </row>
    <row r="43" spans="1:3">
      <c r="A43" s="113">
        <f>$A$32+LongTest!D88</f>
        <v>2915</v>
      </c>
      <c r="B43" s="114">
        <f>LongTest!G88</f>
        <v>6.5650590248679412</v>
      </c>
      <c r="C43" s="115">
        <v>1</v>
      </c>
    </row>
    <row r="44" spans="1:3">
      <c r="A44" s="113">
        <f>$A$32+LongTest!D89</f>
        <v>2920</v>
      </c>
      <c r="B44" s="114">
        <f>LongTest!G89</f>
        <v>6.3225731455632559</v>
      </c>
      <c r="C44" s="115">
        <v>1</v>
      </c>
    </row>
    <row r="45" spans="1:3">
      <c r="A45" s="113">
        <f>$A$32+LongTest!D90</f>
        <v>2925</v>
      </c>
      <c r="B45" s="114">
        <f>LongTest!G90</f>
        <v>6.0890436825587821</v>
      </c>
      <c r="C45" s="115">
        <v>1</v>
      </c>
    </row>
    <row r="46" spans="1:3">
      <c r="A46" s="113">
        <f>$A$32+LongTest!D91</f>
        <v>2930</v>
      </c>
      <c r="B46" s="114">
        <f>LongTest!G91</f>
        <v>5.8641398232184461</v>
      </c>
      <c r="C46" s="115">
        <v>1</v>
      </c>
    </row>
    <row r="47" spans="1:3">
      <c r="A47" s="113">
        <f>$A$32+LongTest!D92</f>
        <v>2935</v>
      </c>
      <c r="B47" s="114">
        <f>LongTest!G92</f>
        <v>5.6475429737442191</v>
      </c>
      <c r="C47" s="115">
        <v>1</v>
      </c>
    </row>
    <row r="48" spans="1:3">
      <c r="A48" s="113">
        <f>$A$32+LongTest!D93</f>
        <v>2940</v>
      </c>
      <c r="B48" s="114">
        <f>LongTest!G93</f>
        <v>5.4389463078632287</v>
      </c>
      <c r="C48" s="115">
        <v>1</v>
      </c>
    </row>
    <row r="49" spans="1:3">
      <c r="A49" s="113">
        <f>$A$32+LongTest!D94</f>
        <v>2955</v>
      </c>
      <c r="B49" s="114">
        <f>LongTest!G94</f>
        <v>5.2380543321845012</v>
      </c>
      <c r="C49" s="115">
        <v>1</v>
      </c>
    </row>
    <row r="50" spans="1:3">
      <c r="A50" s="113">
        <f>$A$32+LongTest!D95</f>
        <v>2970</v>
      </c>
      <c r="B50" s="114">
        <f>LongTest!G95</f>
        <v>5.0445824676096027</v>
      </c>
      <c r="C50" s="115">
        <v>1</v>
      </c>
    </row>
    <row r="51" spans="1:3">
      <c r="A51" s="113">
        <f>$A$32+LongTest!D96</f>
        <v>2985</v>
      </c>
      <c r="B51" s="114">
        <f>LongTest!G96</f>
        <v>4.8582566462042243</v>
      </c>
      <c r="C51" s="115">
        <v>1</v>
      </c>
    </row>
    <row r="52" spans="1:3">
      <c r="A52" s="113">
        <f>$A$32+LongTest!D97</f>
        <v>3000</v>
      </c>
      <c r="B52" s="114">
        <f>LongTest!G97</f>
        <v>4.3395643759646116</v>
      </c>
      <c r="C52" s="115">
        <v>1</v>
      </c>
    </row>
    <row r="53" spans="1:3">
      <c r="A53" s="113">
        <f>$A$32+LongTest!D98</f>
        <v>3060</v>
      </c>
      <c r="B53" s="114">
        <f>LongTest!G98</f>
        <v>4.1792789802782835</v>
      </c>
      <c r="C53" s="115">
        <v>1</v>
      </c>
    </row>
    <row r="54" spans="1:3">
      <c r="A54" s="113">
        <f>$A$32+LongTest!D99</f>
        <v>3120</v>
      </c>
      <c r="B54" s="114">
        <f>LongTest!G99</f>
        <v>3.3345153920371096</v>
      </c>
      <c r="C54" s="115">
        <v>1</v>
      </c>
    </row>
    <row r="55" spans="1:3">
      <c r="A55" s="113">
        <f>$A$32+LongTest!D100</f>
        <v>3180</v>
      </c>
      <c r="B55" s="114">
        <f>LongTest!G100</f>
        <v>2.6605050661135872</v>
      </c>
      <c r="C55" s="115">
        <v>1</v>
      </c>
    </row>
    <row r="56" spans="1:3">
      <c r="A56" s="113">
        <f>$A$32+LongTest!D101</f>
        <v>3240</v>
      </c>
      <c r="B56" s="114">
        <f>LongTest!G101</f>
        <v>2.1227334033962348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W-2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W-2</v>
      </c>
      <c r="E12" s="478"/>
      <c r="F12" s="477"/>
      <c r="H12" s="476" t="str">
        <f>C4</f>
        <v>W-2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2024-06-27T11:57:03Z</dcterms:modified>
</cp:coreProperties>
</file>