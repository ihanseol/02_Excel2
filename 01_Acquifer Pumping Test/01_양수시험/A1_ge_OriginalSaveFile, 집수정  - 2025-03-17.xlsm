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E2B65AE9-C7F2-481A-B466-51FEF2F3F937}" xr6:coauthVersionLast="47" xr6:coauthVersionMax="47" xr10:uidLastSave="{00000000-0000-0000-0000-000000000000}"/>
  <bookViews>
    <workbookView xWindow="5460" yWindow="960" windowWidth="29205" windowHeight="19605" tabRatio="716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<sst xmlns="http://schemas.openxmlformats.org/spreadsheetml/2006/main" count="1419" uniqueCount="348">
  <si>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</si>
  <si>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</si>
  <si>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</si>
  <si>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</si>
  <si>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</si>
  <si>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</si>
  <si>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</si>
  <si>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</si>
  <si>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</si>
  <si>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</si>
  <si>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</si>
  <si>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</si>
  <si>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</si>
  <si>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</si>
  <si>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</si>
  <si>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</si>
  <si>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</si>
  <si>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</si>
  <si>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</si>
  <si>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</si>
  <si>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</si>
  <si>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</si>
  <si>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</si>
  <si>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</si>
  <si>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</si>
  <si>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</si>
  <si>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</si>
  <si>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</si>
  <si>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</si>
  <si>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</si>
  <si>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</si>
  <si>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</si>
  <si>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</si>
  <si>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</si>
  <si>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</si>
  <si>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</si>
  <si>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</si>
  <si>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</si>
  <si>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</si>
  <si>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</si>
  <si>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</si>
  <si>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</si>
  <si>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</si>
  <si>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</si>
  <si>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</si>
  <si>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</si>
  <si>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</si>
  <si>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</si>
  <si>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</si>
  <si>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</si>
  <si>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</si>
  <si>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</si>
  <si>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</si>
  <si>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</si>
  <si>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</si>
  <si>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</si>
  <si>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</si>
  <si>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</si>
  <si>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</si>
  <si>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</si>
  <si>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</si>
  <si>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</si>
  <si>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</si>
  <si>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</si>
  <si>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</si>
  <si>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</si>
  <si>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</si>
  <si>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</si>
  <si>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</si>
  <si>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</si>
  <si>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</si>
  <si>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</si>
  <si>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</si>
  <si>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</si>
  <si>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</si>
  <si>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</si>
  <si>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</si>
  <si>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</si>
  <si>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</si>
  <si>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</si>
  <si>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</si>
  <si>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</si>
  <si>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</si>
  <si>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</si>
  <si>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</si>
  <si>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</si>
  <si>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</si>
  <si>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</si>
  <si>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</si>
  <si>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</si>
  <si>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</si>
  <si>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</si>
  <si>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</si>
  <si>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</si>
  <si>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</si>
  <si>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</si>
  <si>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</si>
  <si>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</si>
  <si>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</si>
  <si>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</si>
  <si>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</si>
  <si>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</si>
  <si>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</si>
  <si>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</si>
  <si>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</si>
  <si>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</si>
  <si>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</si>
  <si>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</si>
  <si>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</si>
  <si>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</si>
  <si>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</si>
  <si>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</si>
  <si>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</si>
  <si>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</si>
  <si>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</si>
  <si>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</si>
  <si>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</si>
  <si>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</si>
  <si>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</si>
  <si>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</si>
  <si>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</si>
  <si>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</si>
  <si>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</si>
  <si>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</si>
  <si>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</si>
  <si>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</si>
  <si>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</si>
  <si>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</si>
  <si>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</si>
  <si>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</si>
  <si>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</si>
  <si>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</si>
  <si>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</si>
  <si>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</si>
  <si>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</si>
  <si>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</si>
  <si>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</si>
  <si>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</si>
  <si>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</si>
  <si>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</si>
  <si>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</si>
  <si>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</si>
  <si>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</si>
  <si>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</si>
  <si>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</si>
  <si>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</si>
  <si>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</si>
  <si>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</si>
  <si>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</si>
  <si>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</si>
  <si>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</si>
  <si>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</si>
  <si>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</si>
  <si>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</si>
  <si>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</si>
  <si>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</si>
  <si>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</si>
  <si>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</si>
  <si>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</si>
  <si>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</si>
  <si>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</si>
  <si>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</si>
  <si>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</si>
  <si>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</si>
  <si>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</si>
  <si>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</si>
  <si>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</si>
  <si>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</si>
  <si>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</si>
  <si>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</si>
  <si>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</si>
  <si>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</si>
  <si>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</si>
  <si>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</si>
  <si>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</si>
  <si>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</si>
  <si>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</si>
  <si>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</si>
  <si>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</si>
  <si>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</si>
  <si>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</si>
  <si>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</si>
  <si>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</si>
  <si>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</si>
  <si>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</si>
  <si>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</si>
  <si>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</si>
  <si>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</si>
  <si>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</si>
  <si>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</si>
  <si>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</si>
  <si>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</si>
  <si>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</si>
  <si>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</si>
  <si>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</si>
  <si>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</si>
  <si>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</si>
  <si>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</si>
  <si>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</si>
  <si>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</si>
  <si>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</si>
  <si>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</si>
  <si>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</si>
  <si>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</si>
  <si>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</si>
  <si>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</si>
  <si>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</si>
  <si>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</si>
  <si>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</si>
  <si>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</si>
  <si>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</si>
  <si>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</si>
  <si>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</si>
  <si>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</si>
  <si>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</si>
  <si>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</si>
  <si>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</si>
  <si>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</si>
  <si>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</si>
  <si>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</si>
  <si>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</si>
  <si>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</si>
  <si>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</si>
  <si>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</si>
  <si>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</si>
  <si>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</si>
  <si>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</si>
  <si>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</si>
  <si>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</si>
  <si>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</si>
  <si>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</si>
  <si>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</si>
  <si>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</si>
  <si>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</si>
  <si>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</si>
  <si>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</si>
  <si>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</si>
  <si>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</si>
  <si>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</si>
  <si>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</si>
  <si>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</si>
  <si>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</si>
  <si>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</si>
  <si>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</si>
  <si>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</si>
  <si>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</si>
  <si>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</si>
  <si>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</si>
  <si>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</si>
  <si>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</si>
  <si>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</si>
  <si>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</si>
  <si>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</si>
  <si>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</si>
  <si>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</si>
  <si>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</si>
  <si>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</si>
  <si>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</si>
  <si>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</si>
  <si>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</si>
  <si>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</si>
  <si>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</si>
  <si>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</si>
  <si>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</si>
  <si>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</si>
  <si>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</si>
  <si>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</si>
  <si>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</si>
  <si>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</si>
  <si>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</si>
  <si>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</si>
  <si>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</si>
  <si>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</si>
  <si>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</si>
  <si>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</si>
  <si>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</si>
  <si>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</si>
  <si>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</si>
  <si>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</si>
  <si>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</si>
  <si>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</si>
  <si>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</si>
  <si>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</si>
  <si>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</si>
  <si>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</si>
  <si>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</si>
  <si>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</si>
  <si>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</si>
  <si>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</si>
  <si>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</si>
  <si>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</si>
  <si>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</si>
  <si>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</si>
  <si>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</si>
  <si>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</si>
  <si>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</si>
  <si>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</si>
  <si>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</si>
  <si>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</si>
  <si>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</si>
  <si>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</si>
  <si>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</si>
  <si>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</si>
  <si>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</si>
  <si>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</si>
  <si>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</si>
  <si>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</si>
  <si>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</si>
  <si>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</si>
  <si>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</si>
  <si>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</si>
  <si>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</si>
  <si>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</si>
  <si>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</si>
  <si>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</si>
  <si>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</si>
  <si>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</si>
  <si>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</si>
  <si>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</si>
  <si>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</si>
  <si>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</si>
  <si>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</si>
  <si>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</si>
  <si>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</si>
  <si>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</si>
  <si>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</si>
  <si>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</si>
  <si>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</si>
  <si>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</si>
  <si>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</si>
  <si>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</si>
  <si>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</si>
  <si>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</si>
  <si>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</si>
  <si>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</si>
  <si>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</si>
  <si>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한일지하수</t>
    <phoneticPr fontId="4" type="noConversion"/>
  </si>
  <si>
    <t>주식회사 보성건설</t>
  </si>
  <si>
    <t>t*</t>
    <phoneticPr fontId="4" type="noConversion"/>
  </si>
  <si>
    <t>2024,12,25</t>
    <phoneticPr fontId="4" type="noConversion"/>
  </si>
  <si>
    <t>광주광역시 북구 매곡동 430번지</t>
    <phoneticPr fontId="4" type="noConversion"/>
  </si>
  <si>
    <t>국립광주박물관 도자문화관 건립 지열공사</t>
    <phoneticPr fontId="4" type="noConversion"/>
  </si>
  <si>
    <t>국립광주박물관</t>
    <phoneticPr fontId="4" type="noConversion"/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</si>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</sst>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 formatCode="\ 0.00\ ">
                  <c:v>5.71</c:v>
                </c:pt>
                <c:pt idx="21" formatCode="\ 0.00\ ">
                  <c:v>5.86</c:v>
                </c:pt>
                <c:pt idx="22" formatCode="\ 0.00\ ">
                  <c:v>6</c:v>
                </c:pt>
                <c:pt idx="23" formatCode="\ 0.00\ ">
                  <c:v>6.13</c:v>
                </c:pt>
                <c:pt idx="24" formatCode="\ 0.00\ ">
                  <c:v>6.26</c:v>
                </c:pt>
                <c:pt idx="25">
                  <c:v>6.66</c:v>
                </c:pt>
                <c:pt idx="26" formatCode="\ 0.00\ ">
                  <c:v>6.7700000000000005</c:v>
                </c:pt>
                <c:pt idx="27">
                  <c:v>6.84</c:v>
                </c:pt>
                <c:pt idx="28" formatCode="\ 0.00\ ">
                  <c:v>6.9399999999999995</c:v>
                </c:pt>
                <c:pt idx="29">
                  <c:v>7.03</c:v>
                </c:pt>
                <c:pt idx="30" formatCode="\ 0.00\ ">
                  <c:v>7.09</c:v>
                </c:pt>
                <c:pt idx="31" formatCode="\ 0.00\ ">
                  <c:v>7.14</c:v>
                </c:pt>
                <c:pt idx="32" formatCode="\ 0.00\ ">
                  <c:v>7.18</c:v>
                </c:pt>
                <c:pt idx="33" formatCode="\ 0.00\ ">
                  <c:v>7.21</c:v>
                </c:pt>
                <c:pt idx="34" formatCode="\ 0.00\ ">
                  <c:v>7.2299999999999995</c:v>
                </c:pt>
                <c:pt idx="35">
                  <c:v>7.21</c:v>
                </c:pt>
                <c:pt idx="36" formatCode="\ 0.00\ ">
                  <c:v>7.28</c:v>
                </c:pt>
                <c:pt idx="37" formatCode="\ 0.00\ ">
                  <c:v>7.34</c:v>
                </c:pt>
                <c:pt idx="38" formatCode="\ 0.00\ ">
                  <c:v>7.39</c:v>
                </c:pt>
                <c:pt idx="39">
                  <c:v>7.4</c:v>
                </c:pt>
                <c:pt idx="40" formatCode="\ 0.00\ ">
                  <c:v>7.58</c:v>
                </c:pt>
                <c:pt idx="41" formatCode="\ 0.00\ ">
                  <c:v>7.74</c:v>
                </c:pt>
                <c:pt idx="42" formatCode="\ 0.00\ ">
                  <c:v>7.8900000000000006</c:v>
                </c:pt>
                <c:pt idx="43" formatCode="\ 0.00\ ">
                  <c:v>8.0300000000000011</c:v>
                </c:pt>
                <c:pt idx="44" formatCode="\ 0.00\ ">
                  <c:v>8.1600000000000019</c:v>
                </c:pt>
                <c:pt idx="45">
                  <c:v>8.64</c:v>
                </c:pt>
                <c:pt idx="46" formatCode="\ 0.00\ ">
                  <c:v>8.75</c:v>
                </c:pt>
                <c:pt idx="47">
                  <c:v>8.85</c:v>
                </c:pt>
                <c:pt idx="48" formatCode="\ 0.00\ ">
                  <c:v>8.9599999999999991</c:v>
                </c:pt>
                <c:pt idx="49">
                  <c:v>9.06</c:v>
                </c:pt>
                <c:pt idx="50" formatCode="\ 0.00\ ">
                  <c:v>9.1300000000000008</c:v>
                </c:pt>
                <c:pt idx="51" formatCode="\ 0.00\ ">
                  <c:v>9.1800000000000015</c:v>
                </c:pt>
                <c:pt idx="52" formatCode="\ 0.00\ ">
                  <c:v>9.2200000000000006</c:v>
                </c:pt>
                <c:pt idx="53" formatCode="\ 0.00\ ">
                  <c:v>9.25</c:v>
                </c:pt>
                <c:pt idx="54" formatCode="\ 0.00\ ">
                  <c:v>9.27</c:v>
                </c:pt>
                <c:pt idx="55">
                  <c:v>9.27</c:v>
                </c:pt>
                <c:pt idx="56" formatCode="\ 0.00\ ">
                  <c:v>9.35</c:v>
                </c:pt>
                <c:pt idx="57" formatCode="\ 0.00\ ">
                  <c:v>9.41</c:v>
                </c:pt>
                <c:pt idx="58" formatCode="\ 0.00\ ">
                  <c:v>9.4600000000000009</c:v>
                </c:pt>
                <c:pt idx="59">
                  <c:v>9.48</c:v>
                </c:pt>
                <c:pt idx="60" formatCode="\ 0.00\ ">
                  <c:v>9.67</c:v>
                </c:pt>
                <c:pt idx="61" formatCode="\ 0.00\ ">
                  <c:v>9.84</c:v>
                </c:pt>
                <c:pt idx="62" formatCode="\ 0.00\ ">
                  <c:v>10</c:v>
                </c:pt>
                <c:pt idx="63" formatCode="\ 0.00\ ">
                  <c:v>10.15</c:v>
                </c:pt>
                <c:pt idx="64" formatCode="\ 0.00\ ">
                  <c:v>10.290000000000001</c:v>
                </c:pt>
                <c:pt idx="65">
                  <c:v>10.87</c:v>
                </c:pt>
                <c:pt idx="66" formatCode="\ 0.00\ ">
                  <c:v>10.989999999999998</c:v>
                </c:pt>
                <c:pt idx="67" formatCode="\ 0.00\ ">
                  <c:v>11.1</c:v>
                </c:pt>
                <c:pt idx="68" formatCode="\ 0.00\ ">
                  <c:v>11.219999999999999</c:v>
                </c:pt>
                <c:pt idx="69" formatCode="\ 0.00\ ">
                  <c:v>11.33</c:v>
                </c:pt>
                <c:pt idx="70" formatCode="\ 0.00\ ">
                  <c:v>11.4</c:v>
                </c:pt>
                <c:pt idx="71" formatCode="\ 0.00\ ">
                  <c:v>11.450000000000001</c:v>
                </c:pt>
                <c:pt idx="72" formatCode="\ 0.00\ ">
                  <c:v>11.49</c:v>
                </c:pt>
                <c:pt idx="73" formatCode="\ 0.00\ ">
                  <c:v>11.52</c:v>
                </c:pt>
                <c:pt idx="74" formatCode="\ 0.00\ ">
                  <c:v>11.549999999999999</c:v>
                </c:pt>
                <c:pt idx="75" formatCode="\ 0.00\ ">
                  <c:v>11.56</c:v>
                </c:pt>
                <c:pt idx="76" formatCode="\ 0.00\ ">
                  <c:v>11.65</c:v>
                </c:pt>
                <c:pt idx="77" formatCode="\ 0.00\ ">
                  <c:v>11.72</c:v>
                </c:pt>
                <c:pt idx="78" formatCode="\ 0.00\ ">
                  <c:v>11.770000000000001</c:v>
                </c:pt>
                <c:pt idx="79" formatCode="\ 0.00\ ">
                  <c:v>11.8</c:v>
                </c:pt>
                <c:pt idx="80" formatCode="\ 0.00\ ">
                  <c:v>12.010000000000002</c:v>
                </c:pt>
                <c:pt idx="81" formatCode="\ 0.00\ ">
                  <c:v>12.200000000000001</c:v>
                </c:pt>
                <c:pt idx="82" formatCode="\ 0.00\ ">
                  <c:v>12.370000000000001</c:v>
                </c:pt>
                <c:pt idx="83" formatCode="\ 0.00\ ">
                  <c:v>12.530000000000001</c:v>
                </c:pt>
                <c:pt idx="84" formatCode="\ 0.00\ ">
                  <c:v>12.670000000000002</c:v>
                </c:pt>
                <c:pt idx="85" formatCode="\ 0.00\ ">
                  <c:v>13.21</c:v>
                </c:pt>
                <c:pt idx="86" formatCode="\ 0.00\ ">
                  <c:v>13.520000000000001</c:v>
                </c:pt>
                <c:pt idx="87" formatCode="\ 0.00\ ">
                  <c:v>13.74</c:v>
                </c:pt>
                <c:pt idx="88" formatCode="\ 0.00\ ">
                  <c:v>14.040000000000001</c:v>
                </c:pt>
                <c:pt idx="89" formatCode="\ 0.00\ ">
                  <c:v>14.27</c:v>
                </c:pt>
                <c:pt idx="90" formatCode="\ 0.00\ ">
                  <c:v>14.42</c:v>
                </c:pt>
                <c:pt idx="91" formatCode="\ 0.00\ ">
                  <c:v>14.55</c:v>
                </c:pt>
                <c:pt idx="92" formatCode="\ 0.00\ ">
                  <c:v>14.66</c:v>
                </c:pt>
                <c:pt idx="93" formatCode="\ 0.00\ ">
                  <c:v>14.74</c:v>
                </c:pt>
                <c:pt idx="94" formatCode="\ 0.00\ ">
                  <c:v>14.81</c:v>
                </c:pt>
                <c:pt idx="95" formatCode="\ 0.00\ ">
                  <c:v>14.8</c:v>
                </c:pt>
                <c:pt idx="96" formatCode="\ 0.00\ ">
                  <c:v>14.99</c:v>
                </c:pt>
                <c:pt idx="97" formatCode="\ 0.00\ ">
                  <c:v>15.15</c:v>
                </c:pt>
                <c:pt idx="98" formatCode="\ 0.00\ ">
                  <c:v>15.290000000000001</c:v>
                </c:pt>
                <c:pt idx="99" formatCode="\ 0.00\ ">
                  <c:v>15.34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7.7894736842105267E-2</c:v>
                </c:pt>
                <c:pt idx="2">
                  <c:v>8.1408329755259773E-2</c:v>
                </c:pt>
                <c:pt idx="3">
                  <c:v>8.6131386861313872E-2</c:v>
                </c:pt>
                <c:pt idx="4">
                  <c:v>9.7365915582354814E-2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73579815931450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80.489834016476607</c:v>
                </c:pt>
                <c:pt idx="2">
                  <c:v>76.509277475600825</c:v>
                </c:pt>
                <c:pt idx="3">
                  <c:v>72.655652284448507</c:v>
                </c:pt>
                <c:pt idx="4">
                  <c:v>69.311065447734066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27014485784696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5.55</c:v>
                </c:pt>
                <c:pt idx="1">
                  <c:v>7.4</c:v>
                </c:pt>
                <c:pt idx="2">
                  <c:v>9.48</c:v>
                </c:pt>
                <c:pt idx="3">
                  <c:v>11.8</c:v>
                </c:pt>
                <c:pt idx="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7.3999999999999996E-2</c:v>
                </c:pt>
                <c:pt idx="2">
                  <c:v>7.7894736842105267E-2</c:v>
                </c:pt>
                <c:pt idx="3">
                  <c:v>8.1408329755259773E-2</c:v>
                </c:pt>
                <c:pt idx="4">
                  <c:v>8.6131386861313872E-2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73579815931450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1.0011388479937802</c:v>
                </c:pt>
                <c:pt idx="1">
                  <c:v>1.6597363875144495</c:v>
                </c:pt>
                <c:pt idx="2">
                  <c:v>2.0449912512012611</c:v>
                </c:pt>
                <c:pt idx="3">
                  <c:v>2.3183339270351189</c:v>
                </c:pt>
                <c:pt idx="4">
                  <c:v>2.5303549782305117</c:v>
                </c:pt>
                <c:pt idx="5">
                  <c:v>3.1889525177511802</c:v>
                </c:pt>
                <c:pt idx="6">
                  <c:v>3.5742073814379927</c:v>
                </c:pt>
                <c:pt idx="7">
                  <c:v>3.8475500572718504</c:v>
                </c:pt>
                <c:pt idx="8">
                  <c:v>4.059571108467245</c:v>
                </c:pt>
                <c:pt idx="9">
                  <c:v>4.2328049209586611</c:v>
                </c:pt>
                <c:pt idx="10">
                  <c:v>4.3792720224588892</c:v>
                </c:pt>
                <c:pt idx="11">
                  <c:v>4.5061475967925189</c:v>
                </c:pt>
                <c:pt idx="12">
                  <c:v>4.6180597846454736</c:v>
                </c:pt>
                <c:pt idx="13">
                  <c:v>4.7181686479879135</c:v>
                </c:pt>
                <c:pt idx="14">
                  <c:v>4.8087281304050427</c:v>
                </c:pt>
                <c:pt idx="15">
                  <c:v>4.8914024604793314</c:v>
                </c:pt>
                <c:pt idx="16">
                  <c:v>5.1034235116747242</c:v>
                </c:pt>
                <c:pt idx="17">
                  <c:v>5.2766573241661421</c:v>
                </c:pt>
                <c:pt idx="18">
                  <c:v>5.4231244256663702</c:v>
                </c:pt>
                <c:pt idx="19">
                  <c:v>5.55</c:v>
                </c:pt>
                <c:pt idx="20">
                  <c:v>6.6621102642075378</c:v>
                </c:pt>
                <c:pt idx="21">
                  <c:v>6.7513014451741089</c:v>
                </c:pt>
                <c:pt idx="22">
                  <c:v>6.8343364481213165</c:v>
                </c:pt>
                <c:pt idx="23">
                  <c:v>7.0537659439437803</c:v>
                </c:pt>
                <c:pt idx="24">
                  <c:v>7.4</c:v>
                </c:pt>
                <c:pt idx="25">
                  <c:v>8.9420512676099833</c:v>
                </c:pt>
                <c:pt idx="26">
                  <c:v>8.9999125904706787</c:v>
                </c:pt>
                <c:pt idx="27">
                  <c:v>9.0555899386552952</c:v>
                </c:pt>
                <c:pt idx="28">
                  <c:v>9.2110256338049901</c:v>
                </c:pt>
                <c:pt idx="29">
                  <c:v>9.48</c:v>
                </c:pt>
                <c:pt idx="30">
                  <c:v>11.348248176477615</c:v>
                </c:pt>
                <c:pt idx="31">
                  <c:v>11.394534044941146</c:v>
                </c:pt>
                <c:pt idx="32">
                  <c:v>11.439617546051412</c:v>
                </c:pt>
                <c:pt idx="33">
                  <c:v>11.568240617550572</c:v>
                </c:pt>
                <c:pt idx="34">
                  <c:v>11.8</c:v>
                </c:pt>
                <c:pt idx="35">
                  <c:v>14.935769713190179</c:v>
                </c:pt>
                <c:pt idx="36">
                  <c:v>14.976093504559699</c:v>
                </c:pt>
                <c:pt idx="37">
                  <c:v>15.015618752295527</c:v>
                </c:pt>
                <c:pt idx="38">
                  <c:v>15.129704647738649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9.2339481309840306</c:v>
                </c:pt>
                <c:pt idx="1">
                  <c:v>8.5449814640467441</c:v>
                </c:pt>
                <c:pt idx="2">
                  <c:v>7.9074202264466589</c:v>
                </c:pt>
                <c:pt idx="3">
                  <c:v>7.3174289377575734</c:v>
                </c:pt>
                <c:pt idx="4">
                  <c:v>6.7714582918016006</c:v>
                </c:pt>
                <c:pt idx="5">
                  <c:v>5.3660324004838404</c:v>
                </c:pt>
                <c:pt idx="6">
                  <c:v>5.0956832023691545</c:v>
                </c:pt>
                <c:pt idx="7">
                  <c:v>4.3636489885377312</c:v>
                </c:pt>
                <c:pt idx="8">
                  <c:v>4.0380668370386061</c:v>
                </c:pt>
                <c:pt idx="9">
                  <c:v>3.736777138404789</c:v>
                </c:pt>
                <c:pt idx="10">
                  <c:v>3.6414282912066249</c:v>
                </c:pt>
                <c:pt idx="11">
                  <c:v>3.548512396878083</c:v>
                </c:pt>
                <c:pt idx="12">
                  <c:v>3.4579673753852687</c:v>
                </c:pt>
                <c:pt idx="13">
                  <c:v>3.3697327307490625</c:v>
                </c:pt>
                <c:pt idx="14">
                  <c:v>3.2837495106258512</c:v>
                </c:pt>
                <c:pt idx="15">
                  <c:v>3.1999602669196099</c:v>
                </c:pt>
                <c:pt idx="16">
                  <c:v>3.1183090173990231</c:v>
                </c:pt>
                <c:pt idx="17">
                  <c:v>3.0387412082939922</c:v>
                </c:pt>
                <c:pt idx="18">
                  <c:v>2.9612036778465445</c:v>
                </c:pt>
                <c:pt idx="19">
                  <c:v>2.7402612814730278</c:v>
                </c:pt>
                <c:pt idx="20">
                  <c:v>2.6703398640235099</c:v>
                </c:pt>
                <c:pt idx="21">
                  <c:v>2.2867249363697812</c:v>
                </c:pt>
                <c:pt idx="22">
                  <c:v>1.9582192533112495</c:v>
                </c:pt>
                <c:pt idx="23">
                  <c:v>1.6769059466008196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Relationship Id="rId6" Type="http://schemas.openxmlformats.org/officeDocument/2006/relationships/image" Target="../media/image45.emf"/><Relationship Id="rId5" Type="http://schemas.openxmlformats.org/officeDocument/2006/relationships/image" Target="../media/image44.emf"/><Relationship Id="rId4" Type="http://schemas.openxmlformats.org/officeDocument/2006/relationships/image" Target="../media/image43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12</xdr:row>
      <xdr:rowOff>43912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39</xdr:row>
      <xdr:rowOff>55244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13</xdr:row>
      <xdr:rowOff>1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142875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0.emf"/><Relationship Id="rId1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44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4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2.emf"/><Relationship Id="rId14" Type="http://schemas.openxmlformats.org/officeDocument/2006/relationships/control" Target="../activeX/activeX3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6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337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1.65</v>
      </c>
      <c r="E2" s="1">
        <v>2</v>
      </c>
      <c r="F2" s="1">
        <f>StepTest!G13</f>
        <v>1.65</v>
      </c>
    </row>
    <row r="3" spans="1:6">
      <c r="A3" s="66">
        <v>3</v>
      </c>
      <c r="B3" s="1">
        <f t="shared" si="0"/>
        <v>2.04</v>
      </c>
      <c r="E3" s="1">
        <v>3</v>
      </c>
      <c r="F3" s="1">
        <f>StepTest!G14</f>
        <v>2.04</v>
      </c>
    </row>
    <row r="4" spans="1:6">
      <c r="A4" s="66">
        <v>4</v>
      </c>
      <c r="B4" s="1">
        <f t="shared" si="0"/>
        <v>2.31</v>
      </c>
      <c r="E4" s="1">
        <v>4</v>
      </c>
      <c r="F4" s="1">
        <f>StepTest!G15</f>
        <v>2.31</v>
      </c>
    </row>
    <row r="5" spans="1:6">
      <c r="A5" s="66">
        <v>5</v>
      </c>
      <c r="B5" s="1">
        <f t="shared" si="0"/>
        <v>2.5299999999999998</v>
      </c>
      <c r="E5" s="1">
        <v>5</v>
      </c>
      <c r="F5" s="1">
        <f>StepTest!G16</f>
        <v>2.5299999999999998</v>
      </c>
    </row>
    <row r="6" spans="1:6">
      <c r="A6" s="66">
        <v>10</v>
      </c>
      <c r="B6" s="1">
        <f t="shared" si="0"/>
        <v>3.18</v>
      </c>
      <c r="E6" s="1">
        <v>10</v>
      </c>
      <c r="F6" s="1">
        <f>StepTest!G17</f>
        <v>3.18</v>
      </c>
    </row>
    <row r="7" spans="1:6">
      <c r="A7" s="66">
        <v>15</v>
      </c>
      <c r="B7" s="1">
        <f t="shared" si="0"/>
        <v>3.57</v>
      </c>
      <c r="E7" s="1">
        <v>15</v>
      </c>
      <c r="F7" s="1">
        <f>StepTest!G18</f>
        <v>3.57</v>
      </c>
    </row>
    <row r="8" spans="1:6">
      <c r="A8" s="66">
        <v>20</v>
      </c>
      <c r="B8" s="1">
        <f t="shared" si="0"/>
        <v>3.84</v>
      </c>
      <c r="E8" s="1">
        <v>20</v>
      </c>
      <c r="F8" s="1">
        <f>StepTest!G19</f>
        <v>3.84</v>
      </c>
    </row>
    <row r="9" spans="1:6">
      <c r="A9" s="66">
        <v>25</v>
      </c>
      <c r="B9" s="1">
        <f t="shared" si="0"/>
        <v>4.05</v>
      </c>
      <c r="E9" s="1">
        <v>25</v>
      </c>
      <c r="F9" s="1">
        <f>StepTest!G20</f>
        <v>4.05</v>
      </c>
    </row>
    <row r="10" spans="1:6">
      <c r="A10" s="66">
        <v>30</v>
      </c>
      <c r="B10" s="1">
        <f t="shared" si="0"/>
        <v>4.2300000000000004</v>
      </c>
      <c r="E10" s="1">
        <v>30</v>
      </c>
      <c r="F10" s="1">
        <f>StepTest!G21</f>
        <v>4.2300000000000004</v>
      </c>
    </row>
    <row r="11" spans="1:6">
      <c r="A11" s="66">
        <v>35</v>
      </c>
      <c r="B11" s="1">
        <f t="shared" si="0"/>
        <v>4.37</v>
      </c>
      <c r="E11" s="1">
        <v>35</v>
      </c>
      <c r="F11" s="1">
        <f>StepTest!G22</f>
        <v>4.37</v>
      </c>
    </row>
    <row r="12" spans="1:6">
      <c r="A12" s="66">
        <v>40</v>
      </c>
      <c r="B12" s="1">
        <f t="shared" si="0"/>
        <v>4.5</v>
      </c>
      <c r="E12" s="1">
        <v>40</v>
      </c>
      <c r="F12" s="1">
        <f>StepTest!G23</f>
        <v>4.5</v>
      </c>
    </row>
    <row r="13" spans="1:6">
      <c r="A13" s="66">
        <v>45</v>
      </c>
      <c r="B13" s="1">
        <f t="shared" si="0"/>
        <v>4.6100000000000003</v>
      </c>
      <c r="E13" s="1">
        <v>45</v>
      </c>
      <c r="F13" s="1">
        <f>StepTest!G24</f>
        <v>4.6100000000000003</v>
      </c>
    </row>
    <row r="14" spans="1:6">
      <c r="A14" s="66">
        <v>50</v>
      </c>
      <c r="B14" s="1">
        <f t="shared" si="0"/>
        <v>4.71</v>
      </c>
      <c r="E14" s="1">
        <v>50</v>
      </c>
      <c r="F14" s="1">
        <f>StepTest!G25</f>
        <v>4.71</v>
      </c>
    </row>
    <row r="15" spans="1:6">
      <c r="A15" s="66">
        <v>55</v>
      </c>
      <c r="B15" s="1">
        <f t="shared" si="0"/>
        <v>4.8</v>
      </c>
      <c r="E15" s="1">
        <v>55</v>
      </c>
      <c r="F15" s="1">
        <f>StepTest!G26</f>
        <v>4.8</v>
      </c>
    </row>
    <row r="16" spans="1:6">
      <c r="A16" s="66">
        <v>60</v>
      </c>
      <c r="B16" s="1">
        <f t="shared" si="0"/>
        <v>4.8899999999999997</v>
      </c>
      <c r="E16" s="1">
        <v>60</v>
      </c>
      <c r="F16" s="1">
        <f>StepTest!G27</f>
        <v>4.8899999999999997</v>
      </c>
    </row>
    <row r="17" spans="1:6">
      <c r="A17" s="66">
        <v>75</v>
      </c>
      <c r="B17" s="1">
        <f t="shared" si="0"/>
        <v>5.0999999999999996</v>
      </c>
      <c r="E17" s="1">
        <v>75</v>
      </c>
      <c r="F17" s="1">
        <f>StepTest!G28</f>
        <v>5.0999999999999996</v>
      </c>
    </row>
    <row r="18" spans="1:6">
      <c r="A18" s="66">
        <v>90</v>
      </c>
      <c r="B18" s="1">
        <f t="shared" si="0"/>
        <v>5.27</v>
      </c>
      <c r="E18" s="1">
        <v>90</v>
      </c>
      <c r="F18" s="1">
        <f>StepTest!G29</f>
        <v>5.27</v>
      </c>
    </row>
    <row r="19" spans="1:6">
      <c r="A19" s="66">
        <v>105</v>
      </c>
      <c r="B19" s="1">
        <f t="shared" si="0"/>
        <v>5.42</v>
      </c>
      <c r="E19" s="1">
        <v>105</v>
      </c>
      <c r="F19" s="1">
        <f>StepTest!G30</f>
        <v>5.42</v>
      </c>
    </row>
    <row r="20" spans="1:6">
      <c r="A20" s="67">
        <v>120</v>
      </c>
      <c r="B20" s="68">
        <f t="shared" si="0"/>
        <v>5.55</v>
      </c>
      <c r="C20" s="68">
        <f>B26-B20</f>
        <v>1.1100000000000003</v>
      </c>
      <c r="D20" s="69">
        <f>C20/10</f>
        <v>0.11100000000000003</v>
      </c>
      <c r="E20" s="1">
        <v>120</v>
      </c>
      <c r="F20" s="1">
        <f>StepTest!G31</f>
        <v>5.55</v>
      </c>
    </row>
    <row r="21" spans="1:6">
      <c r="A21" s="66">
        <v>121</v>
      </c>
      <c r="B21" s="70">
        <f>B20+D21</f>
        <v>5.71</v>
      </c>
      <c r="D21" s="1">
        <v>0.16</v>
      </c>
      <c r="E21" s="1">
        <v>130</v>
      </c>
      <c r="F21" s="1">
        <f>StepTest!G32</f>
        <v>6.66</v>
      </c>
    </row>
    <row r="22" spans="1:6">
      <c r="A22" s="66">
        <v>122</v>
      </c>
      <c r="B22" s="70">
        <f>B21+D22</f>
        <v>5.86</v>
      </c>
      <c r="D22" s="1">
        <v>0.15</v>
      </c>
      <c r="E22" s="1">
        <v>140</v>
      </c>
      <c r="F22" s="1">
        <f>StepTest!G33</f>
        <v>6.84</v>
      </c>
    </row>
    <row r="23" spans="1:6">
      <c r="A23" s="66">
        <v>123</v>
      </c>
      <c r="B23" s="70">
        <f>B22+D23</f>
        <v>6</v>
      </c>
      <c r="D23" s="1">
        <v>0.14000000000000001</v>
      </c>
      <c r="E23" s="1">
        <v>150</v>
      </c>
      <c r="F23" s="1">
        <f>StepTest!G34</f>
        <v>7.03</v>
      </c>
    </row>
    <row r="24" spans="1:6">
      <c r="A24" s="66">
        <v>124</v>
      </c>
      <c r="B24" s="70">
        <f>B23+D24</f>
        <v>6.13</v>
      </c>
      <c r="D24" s="1">
        <v>0.13</v>
      </c>
      <c r="E24" s="1">
        <v>180</v>
      </c>
      <c r="F24" s="1">
        <f>StepTest!G35</f>
        <v>7.21</v>
      </c>
    </row>
    <row r="25" spans="1:6">
      <c r="A25" s="66">
        <v>125</v>
      </c>
      <c r="B25" s="70">
        <f>B24+D25</f>
        <v>6.26</v>
      </c>
      <c r="D25" s="1">
        <v>0.13</v>
      </c>
      <c r="E25" s="1">
        <v>240</v>
      </c>
      <c r="F25" s="1">
        <f>StepTest!G36</f>
        <v>7.4</v>
      </c>
    </row>
    <row r="26" spans="1:6">
      <c r="A26" s="66">
        <v>130</v>
      </c>
      <c r="B26" s="68">
        <f>F21</f>
        <v>6.66</v>
      </c>
      <c r="C26" s="68">
        <f>B28-B26</f>
        <v>0.17999999999999972</v>
      </c>
      <c r="D26" s="68">
        <f>C26/2</f>
        <v>8.9999999999999858E-2</v>
      </c>
      <c r="E26" s="1">
        <v>250</v>
      </c>
      <c r="F26" s="1">
        <f>StepTest!G37</f>
        <v>8.64</v>
      </c>
    </row>
    <row r="27" spans="1:6">
      <c r="A27" s="66">
        <v>135</v>
      </c>
      <c r="B27" s="70">
        <f>B26+D27</f>
        <v>6.7700000000000005</v>
      </c>
      <c r="D27" s="1">
        <v>0.11</v>
      </c>
      <c r="E27" s="1">
        <v>260</v>
      </c>
      <c r="F27" s="1">
        <f>StepTest!G38</f>
        <v>8.85</v>
      </c>
    </row>
    <row r="28" spans="1:6">
      <c r="A28" s="66">
        <v>140</v>
      </c>
      <c r="B28" s="68">
        <f>F22</f>
        <v>6.84</v>
      </c>
      <c r="C28" s="68">
        <f>B30-B28</f>
        <v>0.19000000000000039</v>
      </c>
      <c r="D28" s="68">
        <f>C28/2</f>
        <v>9.5000000000000195E-2</v>
      </c>
      <c r="E28" s="1">
        <v>270</v>
      </c>
      <c r="F28" s="1">
        <f>StepTest!G39</f>
        <v>9.06</v>
      </c>
    </row>
    <row r="29" spans="1:6">
      <c r="A29" s="66">
        <v>145</v>
      </c>
      <c r="B29" s="70">
        <f>B28+D29</f>
        <v>6.9399999999999995</v>
      </c>
      <c r="D29" s="1">
        <v>0.1</v>
      </c>
      <c r="E29" s="1">
        <v>300</v>
      </c>
      <c r="F29" s="1">
        <f>StepTest!G40</f>
        <v>9.27</v>
      </c>
    </row>
    <row r="30" spans="1:6">
      <c r="A30" s="66">
        <v>150</v>
      </c>
      <c r="B30" s="68">
        <f>F23</f>
        <v>7.03</v>
      </c>
      <c r="C30" s="68">
        <f>B36-B30</f>
        <v>0.17999999999999972</v>
      </c>
      <c r="D30" s="71">
        <f>C30/6</f>
        <v>2.9999999999999954E-2</v>
      </c>
      <c r="E30" s="1">
        <v>360</v>
      </c>
      <c r="F30" s="1">
        <f>StepTest!G41</f>
        <v>9.48</v>
      </c>
    </row>
    <row r="31" spans="1:6">
      <c r="A31" s="66">
        <v>155</v>
      </c>
      <c r="B31" s="70">
        <f>B30+D31</f>
        <v>7.09</v>
      </c>
      <c r="D31" s="1">
        <v>0.06</v>
      </c>
    </row>
    <row r="32" spans="1:6">
      <c r="A32" s="66">
        <v>160</v>
      </c>
      <c r="B32" s="70">
        <f t="shared" ref="B32:B39" si="1">B31+D32</f>
        <v>7.14</v>
      </c>
      <c r="D32" s="1">
        <v>0.05</v>
      </c>
    </row>
    <row r="33" spans="1:4">
      <c r="A33" s="66">
        <v>165</v>
      </c>
      <c r="B33" s="70">
        <f t="shared" si="1"/>
        <v>7.18</v>
      </c>
      <c r="D33" s="1">
        <v>0.04</v>
      </c>
    </row>
    <row r="34" spans="1:4">
      <c r="A34" s="66">
        <v>170</v>
      </c>
      <c r="B34" s="70">
        <f t="shared" si="1"/>
        <v>7.21</v>
      </c>
      <c r="D34" s="1">
        <v>0.03</v>
      </c>
    </row>
    <row r="35" spans="1:4">
      <c r="A35" s="66">
        <v>175</v>
      </c>
      <c r="B35" s="70">
        <f t="shared" si="1"/>
        <v>7.2299999999999995</v>
      </c>
      <c r="D35" s="1">
        <v>0.02</v>
      </c>
    </row>
    <row r="36" spans="1:4">
      <c r="A36" s="66">
        <v>180</v>
      </c>
      <c r="B36" s="68">
        <f>F24</f>
        <v>7.21</v>
      </c>
      <c r="C36" s="68">
        <f>B40-B36</f>
        <v>0.19000000000000039</v>
      </c>
      <c r="D36" s="68">
        <f>C36/4</f>
        <v>4.7500000000000098E-2</v>
      </c>
    </row>
    <row r="37" spans="1:4">
      <c r="A37" s="66">
        <v>195</v>
      </c>
      <c r="B37" s="70">
        <f t="shared" si="1"/>
        <v>7.28</v>
      </c>
      <c r="D37" s="1">
        <v>7.0000000000000007E-2</v>
      </c>
    </row>
    <row r="38" spans="1:4">
      <c r="A38" s="66">
        <v>210</v>
      </c>
      <c r="B38" s="70">
        <f t="shared" si="1"/>
        <v>7.34</v>
      </c>
      <c r="D38" s="1">
        <v>0.06</v>
      </c>
    </row>
    <row r="39" spans="1:4">
      <c r="A39" s="66">
        <v>225</v>
      </c>
      <c r="B39" s="70">
        <f t="shared" si="1"/>
        <v>7.39</v>
      </c>
      <c r="D39" s="1">
        <v>0.05</v>
      </c>
    </row>
    <row r="40" spans="1:4">
      <c r="A40" s="67">
        <v>240</v>
      </c>
      <c r="B40" s="68">
        <f>F25</f>
        <v>7.4</v>
      </c>
      <c r="C40" s="68">
        <f>B46-B40</f>
        <v>1.2400000000000002</v>
      </c>
      <c r="D40" s="69">
        <f>C40/10</f>
        <v>0.12400000000000003</v>
      </c>
    </row>
    <row r="41" spans="1:4">
      <c r="A41" s="66">
        <v>241</v>
      </c>
      <c r="B41" s="70">
        <f>B40+D41</f>
        <v>7.58</v>
      </c>
      <c r="D41" s="1">
        <v>0.18</v>
      </c>
    </row>
    <row r="42" spans="1:4">
      <c r="A42" s="66">
        <v>242</v>
      </c>
      <c r="B42" s="70">
        <f>B41+D42</f>
        <v>7.74</v>
      </c>
      <c r="D42" s="1">
        <v>0.16</v>
      </c>
    </row>
    <row r="43" spans="1:4">
      <c r="A43" s="66">
        <v>243</v>
      </c>
      <c r="B43" s="70">
        <f>B42+D43</f>
        <v>7.8900000000000006</v>
      </c>
      <c r="D43" s="1">
        <v>0.15</v>
      </c>
    </row>
    <row r="44" spans="1:4">
      <c r="A44" s="66">
        <v>244</v>
      </c>
      <c r="B44" s="70">
        <f>B43+D44</f>
        <v>8.0300000000000011</v>
      </c>
      <c r="D44" s="1">
        <v>0.14000000000000001</v>
      </c>
    </row>
    <row r="45" spans="1:4">
      <c r="A45" s="66">
        <v>245</v>
      </c>
      <c r="B45" s="70">
        <f>B44+D45</f>
        <v>8.1600000000000019</v>
      </c>
      <c r="D45" s="1">
        <v>0.13</v>
      </c>
    </row>
    <row r="46" spans="1:4">
      <c r="A46" s="66">
        <v>250</v>
      </c>
      <c r="B46" s="68">
        <f>F26</f>
        <v>8.64</v>
      </c>
      <c r="C46" s="68">
        <f>B48-B46</f>
        <v>0.20999999999999908</v>
      </c>
      <c r="D46" s="68">
        <f>C46/2</f>
        <v>0.10499999999999954</v>
      </c>
    </row>
    <row r="47" spans="1:4">
      <c r="A47" s="66">
        <v>255</v>
      </c>
      <c r="B47" s="70">
        <f>B46+D47</f>
        <v>8.75</v>
      </c>
      <c r="D47" s="1">
        <v>0.11</v>
      </c>
    </row>
    <row r="48" spans="1:4">
      <c r="A48" s="66">
        <v>260</v>
      </c>
      <c r="B48" s="68">
        <f>F27</f>
        <v>8.85</v>
      </c>
      <c r="C48" s="68">
        <f>B50-B48</f>
        <v>0.21000000000000085</v>
      </c>
      <c r="D48" s="68">
        <f>C48/2</f>
        <v>0.10500000000000043</v>
      </c>
    </row>
    <row r="49" spans="1:6">
      <c r="A49" s="66">
        <v>265</v>
      </c>
      <c r="B49" s="70">
        <f>B48+D49</f>
        <v>8.9599999999999991</v>
      </c>
      <c r="D49" s="1">
        <v>0.11</v>
      </c>
    </row>
    <row r="50" spans="1:6">
      <c r="A50" s="66">
        <v>270</v>
      </c>
      <c r="B50" s="68">
        <f>F28</f>
        <v>9.06</v>
      </c>
      <c r="C50" s="68">
        <f>B56-B50</f>
        <v>0.20999999999999908</v>
      </c>
      <c r="D50" s="71">
        <f>C50/6</f>
        <v>3.4999999999999844E-2</v>
      </c>
    </row>
    <row r="51" spans="1:6">
      <c r="A51" s="66">
        <v>275</v>
      </c>
      <c r="B51" s="70">
        <f>B50+D51</f>
        <v>9.1300000000000008</v>
      </c>
      <c r="D51" s="1">
        <v>7.0000000000000007E-2</v>
      </c>
    </row>
    <row r="52" spans="1:6">
      <c r="A52" s="66">
        <v>280</v>
      </c>
      <c r="B52" s="70">
        <f>B51+D52</f>
        <v>9.1800000000000015</v>
      </c>
      <c r="D52" s="1">
        <v>0.05</v>
      </c>
    </row>
    <row r="53" spans="1:6">
      <c r="A53" s="66">
        <v>285</v>
      </c>
      <c r="B53" s="70">
        <f>B52+D53</f>
        <v>9.2200000000000006</v>
      </c>
      <c r="D53" s="1">
        <v>0.04</v>
      </c>
    </row>
    <row r="54" spans="1:6">
      <c r="A54" s="66">
        <v>290</v>
      </c>
      <c r="B54" s="70">
        <f>B53+D54</f>
        <v>9.25</v>
      </c>
      <c r="D54" s="1">
        <v>0.03</v>
      </c>
    </row>
    <row r="55" spans="1:6">
      <c r="A55" s="66">
        <v>295</v>
      </c>
      <c r="B55" s="70">
        <f>B54+D55</f>
        <v>9.27</v>
      </c>
      <c r="D55" s="1">
        <v>0.02</v>
      </c>
    </row>
    <row r="56" spans="1:6">
      <c r="A56" s="66">
        <v>300</v>
      </c>
      <c r="B56" s="68">
        <f>F29</f>
        <v>9.27</v>
      </c>
      <c r="C56" s="68">
        <f>B60-B56</f>
        <v>0.21000000000000085</v>
      </c>
      <c r="D56" s="68">
        <f>C56/4</f>
        <v>5.2500000000000213E-2</v>
      </c>
    </row>
    <row r="57" spans="1:6">
      <c r="A57" s="66">
        <v>315</v>
      </c>
      <c r="B57" s="70">
        <f>B56+D57</f>
        <v>9.35</v>
      </c>
      <c r="D57" s="1">
        <v>0.08</v>
      </c>
    </row>
    <row r="58" spans="1:6">
      <c r="A58" s="66">
        <v>330</v>
      </c>
      <c r="B58" s="70">
        <f>B57+D58</f>
        <v>9.41</v>
      </c>
      <c r="D58" s="1">
        <v>0.06</v>
      </c>
    </row>
    <row r="59" spans="1:6">
      <c r="A59" s="66">
        <v>345</v>
      </c>
      <c r="B59" s="70">
        <f>B58+D59</f>
        <v>9.4600000000000009</v>
      </c>
      <c r="D59" s="1">
        <v>0.05</v>
      </c>
    </row>
    <row r="60" spans="1:6">
      <c r="A60" s="67">
        <v>360</v>
      </c>
      <c r="B60" s="68">
        <f>F30</f>
        <v>9.48</v>
      </c>
      <c r="C60" s="68">
        <f>B66-B60</f>
        <v>1.3899999999999988</v>
      </c>
      <c r="D60" s="69">
        <f>C60/10</f>
        <v>0.13899999999999987</v>
      </c>
    </row>
    <row r="61" spans="1:6">
      <c r="A61" s="66">
        <v>361</v>
      </c>
      <c r="B61" s="70">
        <f>B60+D61</f>
        <v>9.67</v>
      </c>
      <c r="D61" s="1">
        <v>0.19</v>
      </c>
    </row>
    <row r="62" spans="1:6">
      <c r="A62" s="66">
        <v>362</v>
      </c>
      <c r="B62" s="70">
        <f>B61+D62</f>
        <v>9.84</v>
      </c>
      <c r="D62" s="1">
        <v>0.17</v>
      </c>
    </row>
    <row r="63" spans="1:6">
      <c r="A63" s="66">
        <v>363</v>
      </c>
      <c r="B63" s="70">
        <f>B62+D63</f>
        <v>10</v>
      </c>
      <c r="D63" s="1">
        <v>0.16</v>
      </c>
      <c r="E63" s="1">
        <v>370</v>
      </c>
      <c r="F63" s="1">
        <f>StepTest!G42</f>
        <v>10.87</v>
      </c>
    </row>
    <row r="64" spans="1:6">
      <c r="A64" s="66">
        <v>364</v>
      </c>
      <c r="B64" s="70">
        <f>B63+D64</f>
        <v>10.15</v>
      </c>
      <c r="D64" s="1">
        <v>0.15</v>
      </c>
      <c r="E64" s="1">
        <v>380</v>
      </c>
      <c r="F64" s="1">
        <f>StepTest!G43</f>
        <v>11.1</v>
      </c>
    </row>
    <row r="65" spans="1:6">
      <c r="A65" s="66">
        <v>365</v>
      </c>
      <c r="B65" s="70">
        <f>B64+D65</f>
        <v>10.290000000000001</v>
      </c>
      <c r="D65" s="1">
        <v>0.14000000000000001</v>
      </c>
      <c r="E65" s="1">
        <v>390</v>
      </c>
      <c r="F65" s="1">
        <f>StepTest!G44</f>
        <v>11.33</v>
      </c>
    </row>
    <row r="66" spans="1:6">
      <c r="A66" s="66">
        <v>370</v>
      </c>
      <c r="B66" s="68">
        <f>F63</f>
        <v>10.87</v>
      </c>
      <c r="C66" s="72">
        <f>B68-B66</f>
        <v>0.23000000000000043</v>
      </c>
      <c r="D66" s="68">
        <f>C66/2</f>
        <v>0.11500000000000021</v>
      </c>
      <c r="E66" s="1">
        <v>420</v>
      </c>
      <c r="F66" s="1">
        <f>StepTest!G45</f>
        <v>11.56</v>
      </c>
    </row>
    <row r="67" spans="1:6">
      <c r="A67" s="66">
        <v>375</v>
      </c>
      <c r="B67" s="70">
        <f>B66+D67</f>
        <v>10.989999999999998</v>
      </c>
      <c r="D67" s="1">
        <v>0.12</v>
      </c>
      <c r="E67" s="1">
        <v>480</v>
      </c>
      <c r="F67" s="1">
        <f>StepTest!G46</f>
        <v>11.8</v>
      </c>
    </row>
    <row r="68" spans="1:6">
      <c r="A68" s="66">
        <v>380</v>
      </c>
      <c r="B68" s="73">
        <f>F64</f>
        <v>11.1</v>
      </c>
      <c r="C68" s="68">
        <f>B70-B68</f>
        <v>0.23000000000000043</v>
      </c>
      <c r="D68" s="68">
        <f>C68/2</f>
        <v>0.11500000000000021</v>
      </c>
      <c r="E68" s="1">
        <v>490</v>
      </c>
      <c r="F68" s="1">
        <f>StepTest!G47</f>
        <v>13.21</v>
      </c>
    </row>
    <row r="69" spans="1:6">
      <c r="A69" s="66">
        <v>385</v>
      </c>
      <c r="B69" s="70">
        <f>B68+D69</f>
        <v>11.219999999999999</v>
      </c>
      <c r="D69" s="1">
        <v>0.12</v>
      </c>
      <c r="E69" s="1">
        <v>500</v>
      </c>
      <c r="F69" s="1">
        <f>StepTest!G48</f>
        <v>13.74</v>
      </c>
    </row>
    <row r="70" spans="1:6">
      <c r="A70" s="66">
        <v>390</v>
      </c>
      <c r="B70" s="73">
        <f>F65</f>
        <v>11.33</v>
      </c>
      <c r="C70" s="68">
        <f>B76-B70</f>
        <v>0.23000000000000043</v>
      </c>
      <c r="D70" s="71">
        <f>C70/6</f>
        <v>3.8333333333333407E-2</v>
      </c>
      <c r="E70" s="1">
        <v>510</v>
      </c>
      <c r="F70" s="1">
        <f>StepTest!G49</f>
        <v>14.27</v>
      </c>
    </row>
    <row r="71" spans="1:6">
      <c r="A71" s="66">
        <v>395</v>
      </c>
      <c r="B71" s="70">
        <f>B70+D71</f>
        <v>11.4</v>
      </c>
      <c r="D71" s="1">
        <v>7.0000000000000007E-2</v>
      </c>
      <c r="E71" s="1">
        <v>540</v>
      </c>
      <c r="F71" s="1">
        <f>StepTest!G50</f>
        <v>14.8</v>
      </c>
    </row>
    <row r="72" spans="1:6">
      <c r="A72" s="66">
        <v>400</v>
      </c>
      <c r="B72" s="70">
        <f>B71+D72</f>
        <v>11.450000000000001</v>
      </c>
      <c r="D72" s="1">
        <v>0.05</v>
      </c>
      <c r="E72" s="1">
        <v>600</v>
      </c>
      <c r="F72" s="1">
        <f>StepTest!G51</f>
        <v>15.34</v>
      </c>
    </row>
    <row r="73" spans="1:6">
      <c r="A73" s="66">
        <v>405</v>
      </c>
      <c r="B73" s="70">
        <f>B72+D73</f>
        <v>11.49</v>
      </c>
      <c r="D73" s="1">
        <v>0.04</v>
      </c>
    </row>
    <row r="74" spans="1:6">
      <c r="A74" s="66">
        <v>410</v>
      </c>
      <c r="B74" s="70">
        <f>B73+D74</f>
        <v>11.52</v>
      </c>
      <c r="D74" s="1">
        <v>0.03</v>
      </c>
    </row>
    <row r="75" spans="1:6">
      <c r="A75" s="66">
        <v>415</v>
      </c>
      <c r="B75" s="70">
        <f>B74+D75</f>
        <v>11.549999999999999</v>
      </c>
      <c r="D75" s="1">
        <v>0.03</v>
      </c>
    </row>
    <row r="76" spans="1:6">
      <c r="A76" s="66">
        <v>420</v>
      </c>
      <c r="B76" s="73">
        <f>F66</f>
        <v>11.56</v>
      </c>
      <c r="C76" s="68">
        <f>B80-B76</f>
        <v>0.24000000000000021</v>
      </c>
      <c r="D76" s="68">
        <f>C76/4</f>
        <v>6.0000000000000053E-2</v>
      </c>
    </row>
    <row r="77" spans="1:6">
      <c r="A77" s="66">
        <v>435</v>
      </c>
      <c r="B77" s="70">
        <f>B76+D77</f>
        <v>11.65</v>
      </c>
      <c r="D77" s="1">
        <v>0.09</v>
      </c>
    </row>
    <row r="78" spans="1:6">
      <c r="A78" s="66">
        <v>450</v>
      </c>
      <c r="B78" s="70">
        <f>B77+D78</f>
        <v>11.72</v>
      </c>
      <c r="D78" s="1">
        <v>7.0000000000000007E-2</v>
      </c>
    </row>
    <row r="79" spans="1:6">
      <c r="A79" s="66">
        <v>465</v>
      </c>
      <c r="B79" s="70">
        <f>B78+D79</f>
        <v>11.770000000000001</v>
      </c>
      <c r="D79" s="1">
        <v>0.05</v>
      </c>
    </row>
    <row r="80" spans="1:6">
      <c r="A80" s="67">
        <v>480</v>
      </c>
      <c r="B80" s="73">
        <f>F67</f>
        <v>11.8</v>
      </c>
      <c r="C80" s="68">
        <f>B86-B80</f>
        <v>1.4100000000000001</v>
      </c>
      <c r="D80" s="69">
        <f>C80/10</f>
        <v>0.14100000000000001</v>
      </c>
    </row>
    <row r="81" spans="1:4">
      <c r="A81" s="66">
        <v>481</v>
      </c>
      <c r="B81" s="70">
        <f>B80+D81</f>
        <v>12.010000000000002</v>
      </c>
      <c r="D81" s="1">
        <v>0.21</v>
      </c>
    </row>
    <row r="82" spans="1:4">
      <c r="A82" s="66">
        <v>482</v>
      </c>
      <c r="B82" s="70">
        <f>B81+D82</f>
        <v>12.200000000000001</v>
      </c>
      <c r="D82" s="1">
        <v>0.19</v>
      </c>
    </row>
    <row r="83" spans="1:4">
      <c r="A83" s="66">
        <v>483</v>
      </c>
      <c r="B83" s="70">
        <f>B82+D83</f>
        <v>12.370000000000001</v>
      </c>
      <c r="D83" s="1">
        <v>0.17</v>
      </c>
    </row>
    <row r="84" spans="1:4">
      <c r="A84" s="66">
        <v>484</v>
      </c>
      <c r="B84" s="70">
        <f>B83+D84</f>
        <v>12.530000000000001</v>
      </c>
      <c r="D84" s="1">
        <v>0.16</v>
      </c>
    </row>
    <row r="85" spans="1:4">
      <c r="A85" s="66">
        <v>485</v>
      </c>
      <c r="B85" s="70">
        <f>B84+D85</f>
        <v>12.670000000000002</v>
      </c>
      <c r="D85" s="1">
        <v>0.14000000000000001</v>
      </c>
    </row>
    <row r="86" spans="1:4">
      <c r="A86" s="66">
        <v>490</v>
      </c>
      <c r="B86" s="73">
        <f>F68</f>
        <v>13.21</v>
      </c>
      <c r="C86" s="68">
        <f>B88-B86</f>
        <v>0.52999999999999936</v>
      </c>
      <c r="D86" s="68">
        <f>C86/2</f>
        <v>0.26499999999999968</v>
      </c>
    </row>
    <row r="87" spans="1:4">
      <c r="A87" s="66">
        <v>495</v>
      </c>
      <c r="B87" s="70">
        <f>B86+D87</f>
        <v>13.520000000000001</v>
      </c>
      <c r="D87" s="1">
        <v>0.31</v>
      </c>
    </row>
    <row r="88" spans="1:4">
      <c r="A88" s="66">
        <v>500</v>
      </c>
      <c r="B88" s="73">
        <f>F69</f>
        <v>13.74</v>
      </c>
      <c r="C88" s="68">
        <f>B90-B88</f>
        <v>0.52999999999999936</v>
      </c>
      <c r="D88" s="68">
        <f>C88/2</f>
        <v>0.26499999999999968</v>
      </c>
    </row>
    <row r="89" spans="1:4">
      <c r="A89" s="66">
        <v>505</v>
      </c>
      <c r="B89" s="70">
        <f>B88+D89</f>
        <v>14.040000000000001</v>
      </c>
      <c r="D89" s="1">
        <v>0.3</v>
      </c>
    </row>
    <row r="90" spans="1:4">
      <c r="A90" s="66">
        <v>510</v>
      </c>
      <c r="B90" s="73">
        <f>F70</f>
        <v>14.27</v>
      </c>
      <c r="C90" s="68">
        <f>B96-B90</f>
        <v>0.53000000000000114</v>
      </c>
      <c r="D90" s="71">
        <f>C90/6</f>
        <v>8.8333333333333527E-2</v>
      </c>
    </row>
    <row r="91" spans="1:4">
      <c r="A91" s="66">
        <v>515</v>
      </c>
      <c r="B91" s="70">
        <f>B90+D91</f>
        <v>14.42</v>
      </c>
      <c r="D91" s="1">
        <v>0.15</v>
      </c>
    </row>
    <row r="92" spans="1:4">
      <c r="A92" s="66">
        <v>520</v>
      </c>
      <c r="B92" s="70">
        <f>B91+D92</f>
        <v>14.55</v>
      </c>
      <c r="D92" s="1">
        <v>0.13</v>
      </c>
    </row>
    <row r="93" spans="1:4">
      <c r="A93" s="66">
        <v>525</v>
      </c>
      <c r="B93" s="70">
        <f>B92+D93</f>
        <v>14.66</v>
      </c>
      <c r="D93" s="1">
        <v>0.11</v>
      </c>
    </row>
    <row r="94" spans="1:4">
      <c r="A94" s="66">
        <v>530</v>
      </c>
      <c r="B94" s="70">
        <f>B93+D94</f>
        <v>14.74</v>
      </c>
      <c r="D94" s="1">
        <v>0.08</v>
      </c>
    </row>
    <row r="95" spans="1:4">
      <c r="A95" s="66">
        <v>535</v>
      </c>
      <c r="B95" s="70">
        <f>B94+D95</f>
        <v>14.81</v>
      </c>
      <c r="D95" s="1">
        <v>7.0000000000000007E-2</v>
      </c>
    </row>
    <row r="96" spans="1:4">
      <c r="A96" s="66">
        <v>540</v>
      </c>
      <c r="B96" s="73">
        <f>F71</f>
        <v>14.8</v>
      </c>
      <c r="C96" s="68">
        <f>B100-B96</f>
        <v>0.53999999999999915</v>
      </c>
      <c r="D96" s="68">
        <f>C96/4</f>
        <v>0.13499999999999979</v>
      </c>
    </row>
    <row r="97" spans="1:4">
      <c r="A97" s="66">
        <v>555</v>
      </c>
      <c r="B97" s="70">
        <f>B96+D97</f>
        <v>14.99</v>
      </c>
      <c r="D97" s="1">
        <v>0.19</v>
      </c>
    </row>
    <row r="98" spans="1:4">
      <c r="A98" s="66">
        <v>570</v>
      </c>
      <c r="B98" s="70">
        <f>B97+D98</f>
        <v>15.15</v>
      </c>
      <c r="D98" s="1">
        <v>0.16</v>
      </c>
    </row>
    <row r="99" spans="1:4">
      <c r="A99" s="66">
        <v>585</v>
      </c>
      <c r="B99" s="70">
        <f>B98+D99</f>
        <v>15.290000000000001</v>
      </c>
      <c r="D99" s="1">
        <v>0.14000000000000001</v>
      </c>
    </row>
    <row r="100" spans="1:4">
      <c r="A100" s="67">
        <v>600</v>
      </c>
      <c r="B100" s="49">
        <f>F72</f>
        <v>15.34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19" zoomScaleNormal="100" workbookViewId="0">
      <selection activeCell="F43" sqref="F43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35.287500000000001</v>
      </c>
      <c r="F1" s="341"/>
      <c r="G1" s="341">
        <f>E1/E2</f>
        <v>0.88218750000000001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67</v>
      </c>
      <c r="E2" s="341">
        <f>M51/3</f>
        <v>40</v>
      </c>
      <c r="F2" s="343" t="s">
        <v>2</v>
      </c>
      <c r="G2" s="341" t="s">
        <v>3</v>
      </c>
    </row>
    <row r="3" spans="1:19" s="6" customFormat="1">
      <c r="A3" s="344">
        <f>B3+$M$48</f>
        <v>15.79</v>
      </c>
      <c r="B3" s="345">
        <f>B20</f>
        <v>5.55</v>
      </c>
      <c r="C3" s="336"/>
      <c r="D3" s="346">
        <f t="shared" ref="D3:D7" si="0">D20</f>
        <v>75</v>
      </c>
      <c r="E3" s="330">
        <f>D3/12</f>
        <v>6.25</v>
      </c>
      <c r="F3" s="347">
        <f>B3/D3</f>
        <v>7.3999999999999996E-2</v>
      </c>
      <c r="G3" s="347">
        <f>1/F3</f>
        <v>13.513513513513514</v>
      </c>
    </row>
    <row r="4" spans="1:19" s="6" customFormat="1">
      <c r="A4" s="344">
        <f>B4+$M$48</f>
        <v>17.64</v>
      </c>
      <c r="B4" s="336">
        <f>B21</f>
        <v>7.4</v>
      </c>
      <c r="C4" s="336"/>
      <c r="D4" s="333">
        <f t="shared" si="0"/>
        <v>95</v>
      </c>
      <c r="E4" s="330">
        <f>D4/12</f>
        <v>7.916666666666667</v>
      </c>
      <c r="F4" s="347">
        <f t="shared" ref="F4:F7" si="1">B4/D4</f>
        <v>7.7894736842105267E-2</v>
      </c>
      <c r="G4" s="347">
        <f t="shared" ref="G4:G7" si="2">1/F4</f>
        <v>12.837837837837837</v>
      </c>
    </row>
    <row r="5" spans="1:19" s="6" customFormat="1">
      <c r="A5" s="344">
        <f>B5+$M$48</f>
        <v>19.72</v>
      </c>
      <c r="B5" s="336">
        <f>B22</f>
        <v>9.48</v>
      </c>
      <c r="C5" s="336"/>
      <c r="D5" s="333">
        <f t="shared" si="0"/>
        <v>116.45</v>
      </c>
      <c r="E5" s="330">
        <f>D5/12</f>
        <v>9.7041666666666675</v>
      </c>
      <c r="F5" s="347">
        <f t="shared" si="1"/>
        <v>8.1408329755259773E-2</v>
      </c>
      <c r="G5" s="347">
        <f t="shared" si="2"/>
        <v>12.283755274261603</v>
      </c>
    </row>
    <row r="6" spans="1:19" s="6" customFormat="1">
      <c r="A6" s="344">
        <f>B6+$M$48</f>
        <v>22.04</v>
      </c>
      <c r="B6" s="345">
        <f>B23</f>
        <v>11.8</v>
      </c>
      <c r="C6" s="336"/>
      <c r="D6" s="333">
        <f>D23</f>
        <v>137</v>
      </c>
      <c r="E6" s="330">
        <f>D6/12</f>
        <v>11.416666666666666</v>
      </c>
      <c r="F6" s="347">
        <f t="shared" si="1"/>
        <v>8.6131386861313872E-2</v>
      </c>
      <c r="G6" s="347">
        <f t="shared" si="2"/>
        <v>11.610169491525424</v>
      </c>
    </row>
    <row r="7" spans="1:19" s="6" customFormat="1">
      <c r="A7" s="344">
        <f>B7+$M$48</f>
        <v>25.58</v>
      </c>
      <c r="B7" s="336">
        <f>B24</f>
        <v>15.34</v>
      </c>
      <c r="C7" s="336"/>
      <c r="D7" s="333">
        <f t="shared" si="0"/>
        <v>157.54999999999998</v>
      </c>
      <c r="E7" s="330">
        <f>D7/12</f>
        <v>13.129166666666665</v>
      </c>
      <c r="F7" s="347">
        <f t="shared" si="1"/>
        <v>9.7365915582354814E-2</v>
      </c>
      <c r="G7" s="347">
        <f t="shared" si="2"/>
        <v>10.270534550195567</v>
      </c>
    </row>
    <row r="8" spans="1:19" s="6" customFormat="1">
      <c r="A8" s="330"/>
      <c r="B8" s="330" t="s">
        <v>4</v>
      </c>
      <c r="C8" s="330"/>
      <c r="D8" s="330"/>
      <c r="E8" s="528" t="s">
        <v>5</v>
      </c>
      <c r="F8" s="528"/>
      <c r="G8" s="52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529" t="s">
        <v>7</v>
      </c>
      <c r="G9" s="529"/>
    </row>
    <row r="10" spans="1:19" s="6" customFormat="1">
      <c r="A10" s="349">
        <f>D20/B20</f>
        <v>13.513513513513514</v>
      </c>
      <c r="B10" s="349">
        <f>B20/D20</f>
        <v>7.3999999999999996E-2</v>
      </c>
      <c r="C10" s="330"/>
      <c r="D10" s="330"/>
      <c r="E10" s="332">
        <v>0.98</v>
      </c>
      <c r="F10" s="529" t="s">
        <v>8</v>
      </c>
      <c r="G10" s="529"/>
    </row>
    <row r="11" spans="1:19" s="6" customFormat="1">
      <c r="A11" s="349">
        <f t="shared" ref="A11:A14" si="3">D21/B21</f>
        <v>12.837837837837837</v>
      </c>
      <c r="B11" s="349">
        <f t="shared" ref="B11:B14" si="4">B21/D21</f>
        <v>7.7894736842105267E-2</v>
      </c>
      <c r="C11" s="330"/>
      <c r="D11" s="330" t="s">
        <v>4</v>
      </c>
      <c r="E11" s="332">
        <v>0.98</v>
      </c>
      <c r="F11" s="529" t="s">
        <v>9</v>
      </c>
      <c r="G11" s="529"/>
    </row>
    <row r="12" spans="1:19" s="6" customFormat="1">
      <c r="A12" s="349">
        <f t="shared" si="3"/>
        <v>12.283755274261603</v>
      </c>
      <c r="B12" s="349">
        <f t="shared" si="4"/>
        <v>8.1408329755259773E-2</v>
      </c>
      <c r="C12" s="330"/>
      <c r="D12" s="330"/>
      <c r="E12" s="332">
        <v>1</v>
      </c>
      <c r="F12" s="529" t="s">
        <v>10</v>
      </c>
      <c r="G12" s="529"/>
    </row>
    <row r="13" spans="1:19" s="6" customFormat="1">
      <c r="A13" s="349">
        <f t="shared" si="3"/>
        <v>11.610169491525424</v>
      </c>
      <c r="B13" s="349">
        <f t="shared" si="4"/>
        <v>8.6131386861313872E-2</v>
      </c>
      <c r="C13" s="330"/>
      <c r="D13" s="330" t="s">
        <v>4</v>
      </c>
      <c r="E13" s="528" t="s">
        <v>11</v>
      </c>
      <c r="F13" s="528"/>
      <c r="G13" s="528"/>
    </row>
    <row r="14" spans="1:19" s="6" customFormat="1">
      <c r="A14" s="349">
        <f t="shared" si="3"/>
        <v>10.270534550195567</v>
      </c>
      <c r="B14" s="349">
        <f t="shared" si="4"/>
        <v>9.7365915582354814E-2</v>
      </c>
      <c r="C14" s="330"/>
      <c r="D14" s="330"/>
      <c r="E14" s="332">
        <v>1</v>
      </c>
      <c r="F14" s="529" t="s">
        <v>7</v>
      </c>
      <c r="G14" s="529"/>
    </row>
    <row r="15" spans="1:19" s="6" customFormat="1">
      <c r="A15" s="330"/>
      <c r="B15" s="330"/>
      <c r="C15" s="330"/>
      <c r="D15" s="330"/>
      <c r="E15" s="332">
        <v>1</v>
      </c>
      <c r="F15" s="529" t="s">
        <v>8</v>
      </c>
      <c r="G15" s="529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529" t="s">
        <v>9</v>
      </c>
      <c r="G16" s="529"/>
      <c r="Q16" s="487" t="s">
        <v>339</v>
      </c>
      <c r="R16" s="488"/>
      <c r="S16" s="489"/>
    </row>
    <row r="17" spans="1:21" s="6" customFormat="1">
      <c r="A17" s="330"/>
      <c r="B17" s="348">
        <f>M52</f>
        <v>11.8</v>
      </c>
      <c r="C17" s="330"/>
      <c r="D17" s="350">
        <f>M47</f>
        <v>137</v>
      </c>
      <c r="E17" s="332">
        <v>1</v>
      </c>
      <c r="F17" s="529" t="s">
        <v>10</v>
      </c>
      <c r="G17" s="529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67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5.55</v>
      </c>
      <c r="C20" s="330">
        <f>0.48*E9</f>
        <v>0.47039999999999998</v>
      </c>
      <c r="D20" s="353">
        <f>INT(D$17*E20)</f>
        <v>75</v>
      </c>
      <c r="E20" s="354">
        <f>0.55*E14</f>
        <v>0.55000000000000004</v>
      </c>
      <c r="F20" s="347">
        <f>B20/D20</f>
        <v>7.3999999999999996E-2</v>
      </c>
      <c r="G20" s="330">
        <f>F20-F19</f>
        <v>7.3999999999999996E-2</v>
      </c>
    </row>
    <row r="21" spans="1:21" s="6" customFormat="1">
      <c r="A21" s="336">
        <f>B21-B20</f>
        <v>1.8500000000000005</v>
      </c>
      <c r="B21" s="352">
        <f>INT(B$17*C21*100)/100</f>
        <v>7.4</v>
      </c>
      <c r="C21" s="330">
        <f>0.64*E10</f>
        <v>0.62719999999999998</v>
      </c>
      <c r="D21" s="353">
        <f>INT(D$17*E21)</f>
        <v>95</v>
      </c>
      <c r="E21" s="354">
        <f>0.7*E15</f>
        <v>0.7</v>
      </c>
      <c r="F21" s="347">
        <f>B21/D21</f>
        <v>7.7894736842105267E-2</v>
      </c>
      <c r="G21" s="330">
        <f>F21-F20</f>
        <v>3.8947368421052703E-3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2.08</v>
      </c>
      <c r="B22" s="352">
        <f>INT(B$17*C22*100)/100</f>
        <v>9.48</v>
      </c>
      <c r="C22" s="330">
        <f>0.82*E11</f>
        <v>0.80359999999999998</v>
      </c>
      <c r="D22" s="355">
        <f>(D$17*E22)</f>
        <v>116.45</v>
      </c>
      <c r="E22" s="354">
        <f>0.85*E16</f>
        <v>0.85</v>
      </c>
      <c r="F22" s="347">
        <f>B22/D22</f>
        <v>8.1408329755259773E-2</v>
      </c>
      <c r="G22" s="330">
        <f>F22-F21</f>
        <v>3.5135929131545063E-3</v>
      </c>
    </row>
    <row r="23" spans="1:21" s="6" customFormat="1">
      <c r="A23" s="336">
        <f>B23-B22</f>
        <v>2.3200000000000003</v>
      </c>
      <c r="B23" s="352">
        <f>INT(B$17*C23*100)/100</f>
        <v>11.8</v>
      </c>
      <c r="C23" s="330">
        <v>1</v>
      </c>
      <c r="D23" s="353">
        <f>D$17*E23</f>
        <v>137</v>
      </c>
      <c r="E23" s="356">
        <v>1</v>
      </c>
      <c r="F23" s="347">
        <f>B23/D23</f>
        <v>8.6131386861313872E-2</v>
      </c>
      <c r="G23" s="330">
        <f>F23-F22</f>
        <v>4.7230571060540988E-3</v>
      </c>
      <c r="O23" s="364"/>
      <c r="Q23" s="364"/>
      <c r="S23" s="364"/>
      <c r="U23" s="364"/>
    </row>
    <row r="24" spans="1:21" s="6" customFormat="1">
      <c r="A24" s="336">
        <f>B24-B23</f>
        <v>3.5399999999999991</v>
      </c>
      <c r="B24" s="352">
        <f>INT(B$17*C24*100)/100</f>
        <v>15.34</v>
      </c>
      <c r="C24" s="330">
        <f>1.3*E12</f>
        <v>1.3</v>
      </c>
      <c r="D24" s="353">
        <f>D$17*E24</f>
        <v>157.54999999999998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9.7365915582354814E-2</v>
      </c>
      <c r="G25" s="336"/>
      <c r="O25" s="364"/>
      <c r="Q25" s="364"/>
      <c r="S25" s="364"/>
      <c r="U25" s="364"/>
    </row>
    <row r="26" spans="1:21" s="6" customFormat="1">
      <c r="A26" s="517" t="s">
        <v>14</v>
      </c>
      <c r="B26" s="517"/>
      <c r="C26" s="358">
        <f>INT(M51*1)</f>
        <v>120</v>
      </c>
      <c r="D26" s="330"/>
      <c r="E26" s="330"/>
      <c r="F26" s="359">
        <f>M50/M51</f>
        <v>0.1105</v>
      </c>
      <c r="G26" s="330"/>
      <c r="O26" s="364"/>
      <c r="Q26" s="364"/>
      <c r="S26" s="364"/>
      <c r="U26" s="364"/>
    </row>
    <row r="27" spans="1:21" s="6" customFormat="1">
      <c r="A27" s="517" t="s">
        <v>15</v>
      </c>
      <c r="B27" s="517"/>
      <c r="C27" s="360">
        <f>SafeYield!B7</f>
        <v>124.00921152590445</v>
      </c>
      <c r="D27" s="336">
        <f>(C27/D6)*100</f>
        <v>90.517672646645593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1.9230000000000001E-4</v>
      </c>
      <c r="B31" s="332">
        <v>5.9500499999999998E-2</v>
      </c>
      <c r="C31" s="330"/>
      <c r="D31" s="333">
        <f t="shared" ref="D31:D36" si="5">D19</f>
        <v>67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1.9230000000000001E-4</v>
      </c>
      <c r="B32" s="330">
        <f t="shared" si="6"/>
        <v>5.9500499999999998E-2</v>
      </c>
      <c r="C32" s="330"/>
      <c r="D32" s="333">
        <f t="shared" si="5"/>
        <v>75</v>
      </c>
      <c r="E32" s="330"/>
      <c r="F32" s="331">
        <f>B32*D32/(B32*D32+A32*D32*D32)*100</f>
        <v>80.489834016476607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1.9230000000000001E-4</v>
      </c>
      <c r="B33" s="330">
        <f t="shared" si="6"/>
        <v>5.9500499999999998E-2</v>
      </c>
      <c r="C33" s="330"/>
      <c r="D33" s="333">
        <f t="shared" si="5"/>
        <v>95</v>
      </c>
      <c r="E33" s="330"/>
      <c r="F33" s="331">
        <f>B33*D33/(B33*D33+A33*D33*D33)*100</f>
        <v>76.509277475600825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1.9230000000000001E-4</v>
      </c>
      <c r="B34" s="330">
        <f t="shared" si="6"/>
        <v>5.9500499999999998E-2</v>
      </c>
      <c r="C34" s="330"/>
      <c r="D34" s="333">
        <f t="shared" si="5"/>
        <v>116.45</v>
      </c>
      <c r="E34" s="330"/>
      <c r="F34" s="331">
        <f>B34*D34/(B34*D34+A34*D34*D34)*100</f>
        <v>72.655652284448507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1.9230000000000001E-4</v>
      </c>
      <c r="B35" s="330">
        <f>B34</f>
        <v>5.9500499999999998E-2</v>
      </c>
      <c r="C35" s="330"/>
      <c r="D35" s="333">
        <f t="shared" si="5"/>
        <v>137</v>
      </c>
      <c r="E35" s="330"/>
      <c r="F35" s="331">
        <f>B35*D35/(B35*D35+A35*D35*D35)*100</f>
        <v>69.311065447734066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157.54999999999998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74.741457306065001</v>
      </c>
      <c r="G37" s="330"/>
      <c r="P37" s="146">
        <v>1.9230000000000001E-4</v>
      </c>
      <c r="Q37" s="146">
        <v>0.18</v>
      </c>
    </row>
    <row r="38" spans="1:21" s="6" customFormat="1" ht="13.5" customHeight="1">
      <c r="A38" s="334">
        <v>72.216000000000008</v>
      </c>
      <c r="B38" s="332">
        <v>0.18</v>
      </c>
      <c r="C38" s="332">
        <v>93.816000000000003</v>
      </c>
      <c r="D38" s="330"/>
      <c r="E38" s="330" t="s">
        <v>21</v>
      </c>
      <c r="F38" s="330"/>
      <c r="G38" s="330"/>
      <c r="P38" s="146">
        <v>5.9500499999999998E-2</v>
      </c>
      <c r="Q38" s="146">
        <v>93.816000000000003</v>
      </c>
    </row>
    <row r="39" spans="1:21" s="6" customFormat="1" ht="13.5" customHeight="1">
      <c r="A39" s="335"/>
      <c r="B39" s="330" t="s">
        <v>22</v>
      </c>
      <c r="C39" s="336">
        <f>(C38-A38)/B38</f>
        <v>119.99999999999997</v>
      </c>
      <c r="D39" s="330">
        <f>C38-B38*M51</f>
        <v>72.216000000000008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120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4.5350000000000001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518" t="s">
        <v>341</v>
      </c>
      <c r="J44" s="519"/>
      <c r="K44" s="520"/>
      <c r="L44" s="371" t="s">
        <v>30</v>
      </c>
      <c r="M44" s="372">
        <v>200</v>
      </c>
      <c r="N44" s="371" t="s">
        <v>31</v>
      </c>
      <c r="Q44" s="373">
        <v>75</v>
      </c>
      <c r="R44" s="374">
        <v>15.79</v>
      </c>
      <c r="S44" s="374">
        <v>5.55</v>
      </c>
      <c r="T44" s="375">
        <v>13.513999999999999</v>
      </c>
      <c r="U44" s="376">
        <v>7.3999999999999996E-2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522" t="s">
        <v>342</v>
      </c>
      <c r="J45" s="523"/>
      <c r="K45" s="524"/>
      <c r="L45" s="371" t="s">
        <v>34</v>
      </c>
      <c r="M45" s="377">
        <v>500</v>
      </c>
      <c r="N45" s="378">
        <f>M44</f>
        <v>200</v>
      </c>
      <c r="Q45" s="373">
        <v>95</v>
      </c>
      <c r="R45" s="374">
        <v>17.64</v>
      </c>
      <c r="S45" s="374">
        <v>7.4</v>
      </c>
      <c r="T45" s="375">
        <v>12.837999999999999</v>
      </c>
      <c r="U45" s="376">
        <v>7.7894736842105267E-2</v>
      </c>
    </row>
    <row r="46" spans="1:21" s="6" customFormat="1">
      <c r="A46" s="330">
        <f>B34</f>
        <v>5.9500499999999998E-2</v>
      </c>
      <c r="B46" s="146" t="s">
        <v>35</v>
      </c>
      <c r="C46" s="521" t="s">
        <v>36</v>
      </c>
      <c r="D46" s="521"/>
      <c r="E46" s="330"/>
      <c r="F46" s="330"/>
      <c r="G46" s="330"/>
      <c r="H46" s="371" t="s">
        <v>37</v>
      </c>
      <c r="I46" s="518" t="s">
        <v>340</v>
      </c>
      <c r="J46" s="519"/>
      <c r="K46" s="520"/>
      <c r="L46" s="371" t="s">
        <v>38</v>
      </c>
      <c r="M46" s="379">
        <f>IF(I52&gt;M48, M45-I52,M45-M48)</f>
        <v>464</v>
      </c>
      <c r="Q46" s="373">
        <v>116</v>
      </c>
      <c r="R46" s="374">
        <v>19.72</v>
      </c>
      <c r="S46" s="374">
        <v>9.48</v>
      </c>
      <c r="T46" s="375">
        <v>12.284000000000001</v>
      </c>
      <c r="U46" s="376">
        <v>8.1408329755259773E-2</v>
      </c>
    </row>
    <row r="47" spans="1:21" s="6" customFormat="1">
      <c r="A47" s="330">
        <f>120/1440</f>
        <v>8.3333333333333329E-2</v>
      </c>
      <c r="B47" s="146" t="s">
        <v>338</v>
      </c>
      <c r="C47" s="521" t="s">
        <v>40</v>
      </c>
      <c r="D47" s="521"/>
      <c r="E47" s="330"/>
      <c r="F47" s="330"/>
      <c r="G47" s="330"/>
      <c r="H47" s="371" t="s">
        <v>41</v>
      </c>
      <c r="I47" s="525" t="s">
        <v>336</v>
      </c>
      <c r="J47" s="526"/>
      <c r="K47" s="527"/>
      <c r="L47" s="371" t="s">
        <v>42</v>
      </c>
      <c r="M47" s="380">
        <f>INT((M51*100)/M53)</f>
        <v>137</v>
      </c>
      <c r="Q47" s="373">
        <v>137</v>
      </c>
      <c r="R47" s="374">
        <v>22.04</v>
      </c>
      <c r="S47" s="374">
        <v>11.8</v>
      </c>
      <c r="T47" s="375">
        <v>11.61</v>
      </c>
      <c r="U47" s="376">
        <v>8.6131386861313872E-2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01" t="s">
        <v>291</v>
      </c>
      <c r="K48" s="501"/>
      <c r="L48" s="371" t="s">
        <v>44</v>
      </c>
      <c r="M48" s="377">
        <v>10.24</v>
      </c>
      <c r="Q48" s="382">
        <v>158</v>
      </c>
      <c r="R48" s="383">
        <v>25.58</v>
      </c>
      <c r="S48" s="383">
        <v>15.34</v>
      </c>
      <c r="T48" s="384">
        <v>10.271000000000001</v>
      </c>
      <c r="U48" s="385">
        <v>9.7365915582354814E-2</v>
      </c>
    </row>
    <row r="49" spans="1:24" s="6" customFormat="1">
      <c r="A49" s="330" t="s">
        <v>45</v>
      </c>
      <c r="B49" s="386">
        <f>INT(SQRT(B54)*1000)/1000</f>
        <v>4.5350000000000001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02">
        <f>LongTest!C10</f>
        <v>45722.444444444445</v>
      </c>
      <c r="J49" s="502"/>
      <c r="K49" s="502"/>
      <c r="L49" s="371" t="s">
        <v>48</v>
      </c>
      <c r="M49" s="377">
        <v>23.5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06"/>
      <c r="K50" s="507"/>
      <c r="L50" s="371" t="s">
        <v>50</v>
      </c>
      <c r="M50" s="388">
        <f>M49-M48</f>
        <v>13.26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03"/>
      <c r="J51" s="504"/>
      <c r="K51" s="505"/>
      <c r="L51" s="389" t="s">
        <v>52</v>
      </c>
      <c r="M51" s="377">
        <v>120</v>
      </c>
      <c r="P51" s="390"/>
    </row>
    <row r="52" spans="1:24" s="6" customFormat="1">
      <c r="A52" s="335" t="s">
        <v>53</v>
      </c>
      <c r="B52" s="146">
        <f>10^(5.46*A44*A46)</f>
        <v>115.77177470335221</v>
      </c>
      <c r="C52" s="391">
        <f>B52*B51</f>
        <v>5.7885887351676102E-2</v>
      </c>
      <c r="D52" s="330"/>
      <c r="E52" s="330"/>
      <c r="F52" s="330"/>
      <c r="G52" s="330"/>
      <c r="H52" s="147" t="s">
        <v>54</v>
      </c>
      <c r="I52" s="381">
        <v>36</v>
      </c>
      <c r="J52" s="392" t="s">
        <v>55</v>
      </c>
      <c r="K52" s="393">
        <v>0</v>
      </c>
      <c r="L52" s="394" t="s">
        <v>56</v>
      </c>
      <c r="M52" s="379">
        <f>INT(M50*0.89*100)/100</f>
        <v>11.8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16" t="s">
        <v>241</v>
      </c>
      <c r="J53" s="516"/>
      <c r="K53" s="516"/>
      <c r="L53" s="516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20.574999999999999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4.5359673720166906</v>
      </c>
      <c r="P55" s="400">
        <f>INT((M51*100)/M53)*1.15</f>
        <v>157.54999999999998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496" t="s">
        <v>62</v>
      </c>
      <c r="E57" s="497"/>
      <c r="F57" s="496" t="s">
        <v>61</v>
      </c>
      <c r="G57" s="497"/>
      <c r="H57" s="401" t="s">
        <v>63</v>
      </c>
      <c r="I57" s="402">
        <f>M50</f>
        <v>13.26</v>
      </c>
      <c r="J57" s="401" t="s">
        <v>64</v>
      </c>
      <c r="K57" s="401" t="s">
        <v>65</v>
      </c>
      <c r="L57" s="496" t="s">
        <v>66</v>
      </c>
      <c r="M57" s="498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499">
        <f>SkinFactor!E10</f>
        <v>5.1830000000000001E-2</v>
      </c>
      <c r="E58" s="500"/>
      <c r="F58" s="490"/>
      <c r="G58" s="491"/>
      <c r="H58" s="392" t="s">
        <v>68</v>
      </c>
      <c r="I58" s="404">
        <f>C62/M46</f>
        <v>1.1247844827586208E-2</v>
      </c>
      <c r="J58" s="392" t="s">
        <v>69</v>
      </c>
      <c r="K58" s="405">
        <f>SQRT(6*I57*I58*I60/I59)</f>
        <v>43.407594511370114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7.4550000000000001</v>
      </c>
      <c r="C59" s="508">
        <f>B59</f>
        <v>7.4550000000000001</v>
      </c>
      <c r="D59" s="510">
        <f>SkinFactor!I16</f>
        <v>1.7809999999999999E-4</v>
      </c>
      <c r="E59" s="511"/>
      <c r="F59" s="512">
        <f>INT((D59+D60)/1*10000000)/10000000</f>
        <v>1.7809999999999999E-4</v>
      </c>
      <c r="G59" s="513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53.16322875724623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9"/>
      <c r="D60" s="510"/>
      <c r="E60" s="511"/>
      <c r="F60" s="514"/>
      <c r="G60" s="515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157.24200815845114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490"/>
      <c r="E61" s="491"/>
      <c r="F61" s="490"/>
      <c r="G61" s="491"/>
      <c r="H61" s="392" t="s">
        <v>28</v>
      </c>
      <c r="I61" s="392">
        <f>C62</f>
        <v>5.2190000000000003</v>
      </c>
      <c r="J61" s="392" t="s">
        <v>77</v>
      </c>
      <c r="K61" s="405">
        <f>((K58+K59+K60)/3)</f>
        <v>84.604277142355826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5.2190000000000003</v>
      </c>
      <c r="D62" s="492"/>
      <c r="E62" s="493"/>
      <c r="F62" s="494">
        <f>F59</f>
        <v>1.7809999999999999E-4</v>
      </c>
      <c r="G62" s="495"/>
      <c r="H62" s="410" t="s">
        <v>78</v>
      </c>
      <c r="I62" s="411">
        <v>70.33</v>
      </c>
      <c r="J62" s="410" t="s">
        <v>79</v>
      </c>
      <c r="K62" s="412">
        <f>MAX(K58:K60)</f>
        <v>157.24200815845114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343</v>
      </c>
      <c r="R64" s="418" t="s">
        <v>344</v>
      </c>
      <c r="S64" s="418" t="s">
        <v>345</v>
      </c>
      <c r="T64" s="418" t="s">
        <v>346</v>
      </c>
      <c r="U64" s="418" t="s">
        <v>347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28" r:id="rId10" name="CommandButton_STEP">
          <controlPr defaultSize="0" autoLine="0" r:id="rId11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0" name="CommandButton_STEP"/>
      </mc:Fallback>
    </mc:AlternateContent>
    <mc:AlternateContent xmlns:mc="http://schemas.openxmlformats.org/markup-compatibility/2006">
      <mc:Choice Requires="x14">
        <control shapeId="1029" r:id="rId12" name="CommandButton_2880">
          <controlPr defaultSize="0" autoLine="0" r:id="rId13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2" name="CommandButton_2880"/>
      </mc:Fallback>
    </mc:AlternateContent>
    <mc:AlternateContent xmlns:mc="http://schemas.openxmlformats.org/markup-compatibility/2006">
      <mc:Choice Requires="x14">
        <control shapeId="1030" r:id="rId14" name="CommandButton_Chart">
          <controlPr defaultSize="0" autoLine="0" r:id="rId1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4" name="CommandButton_Chart"/>
      </mc:Fallback>
    </mc:AlternateContent>
    <mc:AlternateContent xmlns:mc="http://schemas.openxmlformats.org/markup-compatibility/2006">
      <mc:Choice Requires="x14">
        <control shapeId="1031" r:id="rId16" name="CommandButton_1440">
          <controlPr defaultSize="0" autoLine="0" r:id="rId1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6" name="CommandButton_1440"/>
      </mc:Fallback>
    </mc:AlternateContent>
    <mc:AlternateContent xmlns:mc="http://schemas.openxmlformats.org/markup-compatibility/2006">
      <mc:Choice Requires="x14">
        <control shapeId="1056" r:id="rId18" name="CommandButton_ClearReport">
          <controlPr defaultSize="0" autoLine="0" r:id="rId1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8" name="CommandButton_ClearRe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국립광주박물관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광주광역시 북구 매곡동 430번지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2.6534370510113732</v>
      </c>
      <c r="C4" s="166">
        <f>LongTest!B10</f>
        <v>120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5.9500499999999998E-2</v>
      </c>
      <c r="I4" s="162">
        <f>Input!M48</f>
        <v>10.24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7.4550000000000001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1.0357502795178715</v>
      </c>
      <c r="D6" s="130"/>
      <c r="E6" s="129">
        <f>1.15*LOG((2.25*D5*(1/1440))/(F4*E4^2))</f>
        <v>3.8723923198894732</v>
      </c>
      <c r="F6" s="131" t="s">
        <v>121</v>
      </c>
      <c r="G6" s="241">
        <f>C6-E6</f>
        <v>-2.8366420403716015</v>
      </c>
      <c r="H6" s="27"/>
      <c r="I6" s="162">
        <f>Input!M49</f>
        <v>23.5</v>
      </c>
      <c r="J6" s="155">
        <f>MAX(C13,C18,C23)</f>
        <v>157.19999999999999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5.7885887351676102E-2</v>
      </c>
      <c r="G7" s="132" t="s">
        <v>124</v>
      </c>
      <c r="H7" s="27">
        <f>F4*EXP(4*G4*D4*H4)</f>
        <v>5.7760357001195119E-2</v>
      </c>
      <c r="I7" s="169" t="s">
        <v>125</v>
      </c>
      <c r="J7" s="156">
        <f>ROUND((C13+C18+C23)/3,1)</f>
        <v>84.6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1.706</v>
      </c>
      <c r="D8" s="136"/>
      <c r="E8" s="136"/>
      <c r="F8" s="137"/>
      <c r="G8" s="136"/>
      <c r="H8" s="138"/>
      <c r="I8" s="170">
        <f>Input!M45</f>
        <v>500</v>
      </c>
      <c r="J8" s="151" t="s">
        <v>238</v>
      </c>
      <c r="K8" s="157">
        <f>ROUND(SQRT(C7/F7),4)</f>
        <v>4.5359999999999996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4.5408999999999997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11.916905946600821</v>
      </c>
      <c r="D10" s="16" t="s">
        <v>235</v>
      </c>
      <c r="E10" s="423">
        <v>5.1830000000000001E-2</v>
      </c>
      <c r="H10" s="328" t="s">
        <v>84</v>
      </c>
      <c r="I10" s="144">
        <f>Input!I52</f>
        <v>36</v>
      </c>
      <c r="J10" s="152" t="s">
        <v>240</v>
      </c>
      <c r="K10" s="159">
        <f>ROUND(E4*SQRT(E10/F4),4)</f>
        <v>1.0181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11.583094053399179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43.4</v>
      </c>
      <c r="D13" s="17"/>
      <c r="E13" s="243" t="s">
        <v>249</v>
      </c>
      <c r="F13" s="176">
        <f>D5</f>
        <v>7.4550000000000001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13.26</v>
      </c>
      <c r="C16" s="139">
        <f>I8-IF(I4&gt;I10,I4,I10)</f>
        <v>464</v>
      </c>
      <c r="D16" s="141">
        <f>(F13+H13)/2</f>
        <v>5.2190000000000003</v>
      </c>
      <c r="E16" s="22">
        <f>INT(D16/C16*100000)/100000</f>
        <v>1.124E-2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53.1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13.26</v>
      </c>
      <c r="C21" s="140">
        <f t="shared" si="0"/>
        <v>464</v>
      </c>
      <c r="D21" s="23">
        <f t="shared" si="0"/>
        <v>5.2190000000000003</v>
      </c>
      <c r="E21" s="141">
        <f t="shared" si="0"/>
        <v>1.124E-2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157.19999999999999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13.26</v>
      </c>
      <c r="C26" s="23">
        <f t="shared" si="1"/>
        <v>464</v>
      </c>
      <c r="D26" s="23">
        <f t="shared" si="1"/>
        <v>5.2190000000000003</v>
      </c>
      <c r="E26" s="22">
        <f t="shared" si="1"/>
        <v>1.124E-2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5.2190000000000003</v>
      </c>
      <c r="D28" s="239">
        <f>(C28/C16)*(1/86400)</f>
        <v>1.301833892081737E-7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1.301833892081737E-7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84.566666666666663</v>
      </c>
      <c r="D30" s="7"/>
      <c r="E30" s="233">
        <f>(C13+C18)/2</f>
        <v>48.25</v>
      </c>
      <c r="F30" s="234">
        <f>MAX(C13,C18)</f>
        <v>53.1</v>
      </c>
      <c r="G30" s="235">
        <f>ROUND(C4/(G4*F30^2*I16),3)</f>
        <v>76.063999999999993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75</v>
      </c>
    </row>
    <row r="3" spans="1:2" ht="20.100000000000001" customHeight="1">
      <c r="A3" s="34" t="s">
        <v>146</v>
      </c>
      <c r="B3" s="120">
        <f>StepTest!G31</f>
        <v>5.55</v>
      </c>
    </row>
    <row r="4" spans="1:2" ht="20.100000000000001" customHeight="1">
      <c r="A4" s="34" t="s">
        <v>147</v>
      </c>
      <c r="B4" s="121">
        <f>StepTest!G46</f>
        <v>11.8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124.00921152590445</v>
      </c>
    </row>
    <row r="8" spans="1:2" ht="20.100000000000001" customHeight="1">
      <c r="A8" s="34" t="s">
        <v>150</v>
      </c>
      <c r="B8" s="121">
        <f>INT(B7)</f>
        <v>124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0.9051094890510949</v>
      </c>
    </row>
    <row r="12" spans="1:2" ht="17.25" thickBot="1"/>
    <row r="13" spans="1:2" ht="24.95" customHeight="1">
      <c r="A13" s="36" t="s">
        <v>151</v>
      </c>
      <c r="B13" s="123">
        <f>Input!$D$6</f>
        <v>137</v>
      </c>
    </row>
    <row r="14" spans="1:2" ht="24.95" customHeight="1">
      <c r="A14" s="37" t="s">
        <v>52</v>
      </c>
      <c r="B14" s="124">
        <f>B8</f>
        <v>124</v>
      </c>
    </row>
    <row r="15" spans="1:2" ht="24.95" customHeight="1" thickBot="1">
      <c r="A15" s="38" t="s">
        <v>152</v>
      </c>
      <c r="B15" s="125">
        <f>Input!$M$51</f>
        <v>120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국립광주박물관 도자문화관 건립 지열공사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75</v>
      </c>
      <c r="S4" s="213">
        <f>$R$4</f>
        <v>75</v>
      </c>
      <c r="T4" s="475">
        <v>6.2743523506725882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7.203199131845011</v>
      </c>
      <c r="Z4" s="225">
        <f>Z22</f>
        <v>6.2020602838512309</v>
      </c>
      <c r="AA4" s="223">
        <f>$Z$4</f>
        <v>6.2020602838512309</v>
      </c>
      <c r="AB4" s="223">
        <f>X4</f>
        <v>1</v>
      </c>
      <c r="AC4" s="223">
        <f>Y4-AA4</f>
        <v>1.0011388479937802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국립광주박물관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75</v>
      </c>
      <c r="T5" s="213">
        <f>$T4</f>
        <v>6.2743523506725882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7.8617966713656804</v>
      </c>
      <c r="Z5" s="213"/>
      <c r="AA5" s="223">
        <f t="shared" ref="AA5:AA23" si="5">$Z$4</f>
        <v>6.2020602838512309</v>
      </c>
      <c r="AB5" s="223">
        <f t="shared" ref="AB5:AB43" si="6">X5</f>
        <v>2</v>
      </c>
      <c r="AC5" s="223">
        <f t="shared" ref="AC5:AC43" si="7">Y5-AA5</f>
        <v>1.6597363875144495</v>
      </c>
      <c r="AD5" s="459">
        <f t="shared" ref="AD5:AD16" si="8">INT((AC5-AE5)*100)/100</f>
        <v>1.65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광주광역시 북구 매곡동 430번지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75</v>
      </c>
      <c r="T6" s="213">
        <f t="shared" ref="T6:T51" si="10">$T5</f>
        <v>6.2743523506725882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8.247051535052492</v>
      </c>
      <c r="Z6" s="213"/>
      <c r="AA6" s="223">
        <f t="shared" si="5"/>
        <v>6.2020602838512309</v>
      </c>
      <c r="AB6" s="223">
        <f t="shared" si="6"/>
        <v>3</v>
      </c>
      <c r="AC6" s="223">
        <f t="shared" si="7"/>
        <v>2.0449912512012611</v>
      </c>
      <c r="AD6" s="459">
        <f t="shared" si="8"/>
        <v>2.04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45722.444444444445</v>
      </c>
      <c r="H7" s="199"/>
      <c r="I7" s="200"/>
      <c r="J7" s="43"/>
      <c r="P7" s="53">
        <v>4</v>
      </c>
      <c r="Q7" s="232"/>
      <c r="R7" s="213"/>
      <c r="S7" s="213">
        <f t="shared" si="3"/>
        <v>75</v>
      </c>
      <c r="T7" s="213">
        <f t="shared" si="10"/>
        <v>6.2743523506725882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8.5203942108863497</v>
      </c>
      <c r="Z7" s="213"/>
      <c r="AA7" s="223">
        <f t="shared" si="5"/>
        <v>6.2020602838512309</v>
      </c>
      <c r="AB7" s="223">
        <f t="shared" si="6"/>
        <v>4</v>
      </c>
      <c r="AC7" s="223">
        <f t="shared" si="7"/>
        <v>2.3183339270351189</v>
      </c>
      <c r="AD7" s="459">
        <f t="shared" si="8"/>
        <v>2.31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45722.444444444445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75</v>
      </c>
      <c r="T8" s="213">
        <f t="shared" si="10"/>
        <v>6.2743523506725882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8.7324152620817426</v>
      </c>
      <c r="Z8" s="213"/>
      <c r="AA8" s="223">
        <f t="shared" si="5"/>
        <v>6.2020602838512309</v>
      </c>
      <c r="AB8" s="223">
        <f t="shared" si="6"/>
        <v>5</v>
      </c>
      <c r="AC8" s="223">
        <f t="shared" si="7"/>
        <v>2.5303549782305117</v>
      </c>
      <c r="AD8" s="459">
        <f t="shared" si="8"/>
        <v>2.5299999999999998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500</v>
      </c>
      <c r="H9" s="537"/>
      <c r="I9" s="185"/>
      <c r="J9" s="43"/>
      <c r="P9" s="53">
        <v>10</v>
      </c>
      <c r="Q9" s="232"/>
      <c r="R9" s="213"/>
      <c r="S9" s="213">
        <f t="shared" si="3"/>
        <v>75</v>
      </c>
      <c r="T9" s="213">
        <f t="shared" si="10"/>
        <v>6.2743523506725882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9.391012801602411</v>
      </c>
      <c r="Z9" s="213"/>
      <c r="AA9" s="223">
        <f t="shared" si="5"/>
        <v>6.2020602838512309</v>
      </c>
      <c r="AB9" s="223">
        <f t="shared" si="6"/>
        <v>10</v>
      </c>
      <c r="AC9" s="223">
        <f t="shared" si="7"/>
        <v>3.1889525177511802</v>
      </c>
      <c r="AD9" s="459">
        <f t="shared" si="8"/>
        <v>3.18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10.24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75</v>
      </c>
      <c r="T10" s="213">
        <f t="shared" si="10"/>
        <v>6.2743523506725882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9.7762676652892235</v>
      </c>
      <c r="Z10" s="213"/>
      <c r="AA10" s="223">
        <f t="shared" si="5"/>
        <v>6.2020602838512309</v>
      </c>
      <c r="AB10" s="223">
        <f t="shared" si="6"/>
        <v>15</v>
      </c>
      <c r="AC10" s="223">
        <f t="shared" si="7"/>
        <v>3.5742073814379927</v>
      </c>
      <c r="AD10" s="459">
        <f t="shared" si="8"/>
        <v>3.57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0.35000000000000009</v>
      </c>
      <c r="P11" s="53">
        <v>20</v>
      </c>
      <c r="Q11" s="232"/>
      <c r="R11" s="213"/>
      <c r="S11" s="213">
        <f t="shared" si="3"/>
        <v>75</v>
      </c>
      <c r="T11" s="213">
        <f t="shared" si="10"/>
        <v>6.2743523506725882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10.049610341123081</v>
      </c>
      <c r="Z11" s="213"/>
      <c r="AA11" s="223">
        <f t="shared" si="5"/>
        <v>6.2020602838512309</v>
      </c>
      <c r="AB11" s="223">
        <f t="shared" si="6"/>
        <v>20</v>
      </c>
      <c r="AC11" s="223">
        <f t="shared" si="7"/>
        <v>3.8475500572718504</v>
      </c>
      <c r="AD11" s="459">
        <f t="shared" si="8"/>
        <v>3.84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75</v>
      </c>
      <c r="C12" s="209">
        <v>45491.468055555553</v>
      </c>
      <c r="D12" s="530">
        <v>1</v>
      </c>
      <c r="E12" s="530"/>
      <c r="F12" s="210">
        <f>G12+$D$10</f>
        <v>11.24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75</v>
      </c>
      <c r="T12" s="213">
        <f t="shared" si="10"/>
        <v>6.2743523506725882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10.261631392318476</v>
      </c>
      <c r="Z12" s="213"/>
      <c r="AA12" s="223">
        <f t="shared" si="5"/>
        <v>6.2020602838512309</v>
      </c>
      <c r="AB12" s="223">
        <f t="shared" si="6"/>
        <v>25</v>
      </c>
      <c r="AC12" s="223">
        <f t="shared" si="7"/>
        <v>4.059571108467245</v>
      </c>
      <c r="AD12" s="459">
        <f t="shared" si="8"/>
        <v>4.05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11.89</v>
      </c>
      <c r="G13" s="531">
        <f t="shared" ref="G13:G51" si="14">AD5</f>
        <v>1.65</v>
      </c>
      <c r="H13" s="531"/>
      <c r="I13" s="211"/>
      <c r="J13" s="474">
        <f>G13-G12</f>
        <v>0.64999999999999991</v>
      </c>
      <c r="P13" s="53">
        <v>30</v>
      </c>
      <c r="Q13" s="232"/>
      <c r="R13" s="213"/>
      <c r="S13" s="213">
        <f t="shared" si="3"/>
        <v>75</v>
      </c>
      <c r="T13" s="213">
        <f t="shared" si="10"/>
        <v>6.2743523506725882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10.434865204809892</v>
      </c>
      <c r="Z13" s="213"/>
      <c r="AA13" s="223">
        <f t="shared" si="5"/>
        <v>6.2020602838512309</v>
      </c>
      <c r="AB13" s="223">
        <f t="shared" si="6"/>
        <v>30</v>
      </c>
      <c r="AC13" s="223">
        <f t="shared" si="7"/>
        <v>4.2328049209586611</v>
      </c>
      <c r="AD13" s="459">
        <f t="shared" si="8"/>
        <v>4.2300000000000004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12.280000000000001</v>
      </c>
      <c r="G14" s="531">
        <f t="shared" si="14"/>
        <v>2.04</v>
      </c>
      <c r="H14" s="531"/>
      <c r="I14" s="211"/>
      <c r="J14" s="474">
        <f t="shared" ref="J14:J51" si="15">G14-G13</f>
        <v>0.39000000000000012</v>
      </c>
      <c r="P14" s="53"/>
      <c r="Q14" s="232"/>
      <c r="R14" s="213"/>
      <c r="S14" s="213">
        <f t="shared" si="3"/>
        <v>75</v>
      </c>
      <c r="T14" s="213">
        <f t="shared" si="10"/>
        <v>6.2743523506725882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10.58133230631012</v>
      </c>
      <c r="Z14" s="213"/>
      <c r="AA14" s="223">
        <f t="shared" si="5"/>
        <v>6.2020602838512309</v>
      </c>
      <c r="AB14" s="223">
        <f t="shared" si="6"/>
        <v>35</v>
      </c>
      <c r="AC14" s="223">
        <f t="shared" si="7"/>
        <v>4.3792720224588892</v>
      </c>
      <c r="AD14" s="459">
        <f t="shared" si="8"/>
        <v>4.37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12.55</v>
      </c>
      <c r="G15" s="531">
        <f t="shared" si="14"/>
        <v>2.31</v>
      </c>
      <c r="H15" s="531"/>
      <c r="I15" s="211"/>
      <c r="J15" s="474">
        <f t="shared" si="15"/>
        <v>0.27</v>
      </c>
      <c r="P15" s="53"/>
      <c r="Q15" s="232"/>
      <c r="R15" s="213"/>
      <c r="S15" s="213">
        <f t="shared" si="3"/>
        <v>75</v>
      </c>
      <c r="T15" s="213">
        <f t="shared" si="10"/>
        <v>6.2743523506725882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10.70820788064375</v>
      </c>
      <c r="Z15" s="213"/>
      <c r="AA15" s="223">
        <f t="shared" si="5"/>
        <v>6.2020602838512309</v>
      </c>
      <c r="AB15" s="223">
        <f t="shared" si="6"/>
        <v>40</v>
      </c>
      <c r="AC15" s="223">
        <f t="shared" si="7"/>
        <v>4.5061475967925189</v>
      </c>
      <c r="AD15" s="459">
        <f t="shared" si="8"/>
        <v>4.5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12.77</v>
      </c>
      <c r="G16" s="531">
        <f t="shared" si="14"/>
        <v>2.5299999999999998</v>
      </c>
      <c r="H16" s="531"/>
      <c r="I16" s="211"/>
      <c r="J16" s="474">
        <f t="shared" si="15"/>
        <v>0.21999999999999975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75</v>
      </c>
      <c r="T16" s="213">
        <f t="shared" si="10"/>
        <v>6.2743523506725882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10.820120068496704</v>
      </c>
      <c r="Z16" s="213"/>
      <c r="AA16" s="223">
        <f t="shared" si="5"/>
        <v>6.2020602838512309</v>
      </c>
      <c r="AB16" s="223">
        <f t="shared" si="6"/>
        <v>45</v>
      </c>
      <c r="AC16" s="223">
        <f t="shared" si="7"/>
        <v>4.6180597846454736</v>
      </c>
      <c r="AD16" s="459">
        <f t="shared" si="8"/>
        <v>4.6100000000000003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13.42</v>
      </c>
      <c r="G17" s="531">
        <f t="shared" si="14"/>
        <v>3.18</v>
      </c>
      <c r="H17" s="531"/>
      <c r="I17" s="211"/>
      <c r="J17" s="474">
        <f t="shared" si="15"/>
        <v>0.65000000000000036</v>
      </c>
      <c r="K17" s="462">
        <f>D12</f>
        <v>1</v>
      </c>
      <c r="L17" s="216">
        <f>INT(B12/1440*10000)/10000</f>
        <v>5.1999999999999998E-2</v>
      </c>
      <c r="M17" s="216">
        <f>K17*L17</f>
        <v>5.1999999999999998E-2</v>
      </c>
      <c r="N17" s="216">
        <f>INT((D9/2000)^2*3.14159*100000)/100000</f>
        <v>3.141E-2</v>
      </c>
      <c r="O17" s="216">
        <f>INT(M17/N17*100)/100</f>
        <v>1.65</v>
      </c>
      <c r="P17" s="463">
        <f>INT((G12-O17)*100)/100</f>
        <v>-0.65</v>
      </c>
      <c r="R17" s="213"/>
      <c r="S17" s="213">
        <f t="shared" si="3"/>
        <v>75</v>
      </c>
      <c r="T17" s="213">
        <f t="shared" si="10"/>
        <v>6.2743523506725882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10.920228931839144</v>
      </c>
      <c r="Z17" s="213"/>
      <c r="AA17" s="223">
        <f t="shared" si="5"/>
        <v>6.2020602838512309</v>
      </c>
      <c r="AB17" s="223">
        <f t="shared" si="6"/>
        <v>50</v>
      </c>
      <c r="AC17" s="223">
        <f t="shared" si="7"/>
        <v>4.7181686479879135</v>
      </c>
      <c r="AD17" s="459">
        <f t="shared" ref="AD17:AD22" si="16">INT(AC17*100)/100</f>
        <v>4.71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13.81</v>
      </c>
      <c r="G18" s="531">
        <f t="shared" si="14"/>
        <v>3.57</v>
      </c>
      <c r="H18" s="531"/>
      <c r="I18" s="211"/>
      <c r="J18" s="474">
        <f t="shared" si="15"/>
        <v>0.38999999999999968</v>
      </c>
      <c r="K18" s="462">
        <f>D13</f>
        <v>2</v>
      </c>
      <c r="L18" s="216">
        <f>L17</f>
        <v>5.1999999999999998E-2</v>
      </c>
      <c r="M18" s="216">
        <f t="shared" ref="M18:M32" si="17">K18*L18</f>
        <v>0.104</v>
      </c>
      <c r="N18" s="216">
        <f>N17</f>
        <v>3.141E-2</v>
      </c>
      <c r="O18" s="216">
        <f>INT(M18/N18*100)/100</f>
        <v>3.31</v>
      </c>
      <c r="P18" s="463">
        <f>INT((G13-O18)*100*0.98)/100</f>
        <v>-1.63</v>
      </c>
      <c r="R18" s="213"/>
      <c r="S18" s="213">
        <f t="shared" si="3"/>
        <v>75</v>
      </c>
      <c r="T18" s="213">
        <f t="shared" si="10"/>
        <v>6.2743523506725882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11.010788414256274</v>
      </c>
      <c r="Z18" s="213"/>
      <c r="AA18" s="223">
        <f t="shared" si="5"/>
        <v>6.2020602838512309</v>
      </c>
      <c r="AB18" s="223">
        <f t="shared" si="6"/>
        <v>55</v>
      </c>
      <c r="AC18" s="223">
        <f t="shared" si="7"/>
        <v>4.8087281304050427</v>
      </c>
      <c r="AD18" s="459">
        <f t="shared" si="16"/>
        <v>4.8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14.08</v>
      </c>
      <c r="G19" s="531">
        <f t="shared" si="14"/>
        <v>3.84</v>
      </c>
      <c r="H19" s="531"/>
      <c r="I19" s="211"/>
      <c r="J19" s="474">
        <f t="shared" si="15"/>
        <v>0.27</v>
      </c>
      <c r="K19" s="462">
        <f t="shared" ref="K19:K32" si="18">D14</f>
        <v>3</v>
      </c>
      <c r="L19" s="216">
        <f>L18</f>
        <v>5.1999999999999998E-2</v>
      </c>
      <c r="M19" s="216">
        <f t="shared" si="17"/>
        <v>0.156</v>
      </c>
      <c r="N19" s="216">
        <f t="shared" ref="N19:N32" si="19">N18</f>
        <v>3.141E-2</v>
      </c>
      <c r="O19" s="216">
        <f>INT(M19/N19*100)/100</f>
        <v>4.96</v>
      </c>
      <c r="P19" s="463">
        <f>INT((G14-O19)*100*0.95)/100</f>
        <v>-2.78</v>
      </c>
      <c r="R19" s="213"/>
      <c r="S19" s="213">
        <f t="shared" si="3"/>
        <v>75</v>
      </c>
      <c r="T19" s="213">
        <f t="shared" si="10"/>
        <v>6.2743523506725882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11.093462744330562</v>
      </c>
      <c r="Z19" s="213"/>
      <c r="AA19" s="223">
        <f t="shared" si="5"/>
        <v>6.2020602838512309</v>
      </c>
      <c r="AB19" s="223">
        <f t="shared" si="6"/>
        <v>60</v>
      </c>
      <c r="AC19" s="223">
        <f t="shared" si="7"/>
        <v>4.8914024604793314</v>
      </c>
      <c r="AD19" s="459">
        <f t="shared" si="16"/>
        <v>4.8899999999999997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14.29</v>
      </c>
      <c r="G20" s="531">
        <f t="shared" si="14"/>
        <v>4.05</v>
      </c>
      <c r="H20" s="531"/>
      <c r="I20" s="211"/>
      <c r="J20" s="474">
        <f t="shared" si="15"/>
        <v>0.20999999999999996</v>
      </c>
      <c r="K20" s="462">
        <f t="shared" si="18"/>
        <v>4</v>
      </c>
      <c r="L20" s="216">
        <f>L19</f>
        <v>5.1999999999999998E-2</v>
      </c>
      <c r="M20" s="216">
        <f t="shared" si="17"/>
        <v>0.20799999999999999</v>
      </c>
      <c r="N20" s="216">
        <f t="shared" si="19"/>
        <v>3.141E-2</v>
      </c>
      <c r="O20" s="216">
        <f>INT(M20/N20*100)/100</f>
        <v>6.62</v>
      </c>
      <c r="P20" s="463">
        <f>INT((G15-O20)*100*0.91)/100</f>
        <v>-3.93</v>
      </c>
      <c r="R20" s="213"/>
      <c r="S20" s="213">
        <f t="shared" si="3"/>
        <v>75</v>
      </c>
      <c r="T20" s="213">
        <f t="shared" si="10"/>
        <v>6.2743523506725882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11.305483795525955</v>
      </c>
      <c r="Z20" s="213"/>
      <c r="AA20" s="223">
        <f t="shared" si="5"/>
        <v>6.2020602838512309</v>
      </c>
      <c r="AB20" s="223">
        <f t="shared" si="6"/>
        <v>75</v>
      </c>
      <c r="AC20" s="223">
        <f t="shared" si="7"/>
        <v>5.1034235116747242</v>
      </c>
      <c r="AD20" s="459">
        <f t="shared" si="16"/>
        <v>5.0999999999999996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14.47</v>
      </c>
      <c r="G21" s="531">
        <f t="shared" si="14"/>
        <v>4.2300000000000004</v>
      </c>
      <c r="H21" s="531"/>
      <c r="I21" s="211"/>
      <c r="J21" s="474">
        <f t="shared" si="15"/>
        <v>0.1800000000000006</v>
      </c>
      <c r="K21" s="462">
        <f t="shared" si="18"/>
        <v>5</v>
      </c>
      <c r="L21" s="482">
        <f>L20</f>
        <v>5.1999999999999998E-2</v>
      </c>
      <c r="M21" s="216">
        <f t="shared" si="17"/>
        <v>0.26</v>
      </c>
      <c r="N21" s="216">
        <f t="shared" si="19"/>
        <v>3.141E-2</v>
      </c>
      <c r="O21" s="482">
        <f>INT(M21/N21*100)/100</f>
        <v>8.27</v>
      </c>
      <c r="P21" s="463">
        <f>INT((G16-O21)*100*0.86)/100</f>
        <v>-4.9400000000000004</v>
      </c>
      <c r="R21" s="213"/>
      <c r="S21" s="213">
        <f t="shared" si="3"/>
        <v>75</v>
      </c>
      <c r="T21" s="213">
        <f t="shared" si="10"/>
        <v>6.2743523506725882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11.478717608017373</v>
      </c>
      <c r="Z21" s="213"/>
      <c r="AA21" s="223">
        <f t="shared" si="5"/>
        <v>6.2020602838512309</v>
      </c>
      <c r="AB21" s="223">
        <f t="shared" si="6"/>
        <v>90</v>
      </c>
      <c r="AC21" s="223">
        <f t="shared" si="7"/>
        <v>5.2766573241661421</v>
      </c>
      <c r="AD21" s="459">
        <f t="shared" si="16"/>
        <v>5.27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14.61</v>
      </c>
      <c r="G22" s="531">
        <f t="shared" si="14"/>
        <v>4.37</v>
      </c>
      <c r="H22" s="531"/>
      <c r="I22" s="185"/>
      <c r="J22" s="474">
        <f t="shared" si="15"/>
        <v>0.13999999999999968</v>
      </c>
      <c r="K22" s="462">
        <f t="shared" si="18"/>
        <v>10</v>
      </c>
      <c r="L22" s="482">
        <f t="shared" ref="L22:L32" si="20">L21</f>
        <v>5.1999999999999998E-2</v>
      </c>
      <c r="M22" s="216">
        <f t="shared" si="17"/>
        <v>0.52</v>
      </c>
      <c r="N22" s="216">
        <f t="shared" si="19"/>
        <v>3.141E-2</v>
      </c>
      <c r="O22" s="482">
        <f t="shared" ref="O22:O30" si="21">INT(M22/N22*100)/100</f>
        <v>16.55</v>
      </c>
      <c r="P22" s="463">
        <f>INT((G17-O22)*100*0.8)/100</f>
        <v>-10.7</v>
      </c>
      <c r="R22" s="213"/>
      <c r="S22" s="213">
        <f t="shared" si="3"/>
        <v>75</v>
      </c>
      <c r="T22" s="213">
        <f t="shared" si="10"/>
        <v>6.2743523506725882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11.625184709517601</v>
      </c>
      <c r="Z22" s="223">
        <f>Y23-Z23</f>
        <v>6.2020602838512309</v>
      </c>
      <c r="AA22" s="223">
        <f t="shared" si="5"/>
        <v>6.2020602838512309</v>
      </c>
      <c r="AB22" s="223">
        <f t="shared" si="6"/>
        <v>105</v>
      </c>
      <c r="AC22" s="223">
        <f t="shared" si="7"/>
        <v>5.4231244256663702</v>
      </c>
      <c r="AD22" s="459">
        <f t="shared" si="16"/>
        <v>5.42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14.74</v>
      </c>
      <c r="G23" s="531">
        <f t="shared" si="14"/>
        <v>4.5</v>
      </c>
      <c r="H23" s="531"/>
      <c r="I23" s="185"/>
      <c r="J23" s="474">
        <f t="shared" si="15"/>
        <v>0.12999999999999989</v>
      </c>
      <c r="K23" s="462">
        <f t="shared" si="18"/>
        <v>15</v>
      </c>
      <c r="L23" s="482">
        <f t="shared" si="20"/>
        <v>5.1999999999999998E-2</v>
      </c>
      <c r="M23" s="216">
        <f t="shared" si="17"/>
        <v>0.77999999999999992</v>
      </c>
      <c r="N23" s="216">
        <f t="shared" si="19"/>
        <v>3.141E-2</v>
      </c>
      <c r="O23" s="482">
        <f t="shared" si="21"/>
        <v>24.83</v>
      </c>
      <c r="P23" s="463">
        <f t="shared" ref="P23:P32" si="22">INT((G18-O23)*100)/100</f>
        <v>-21.26</v>
      </c>
      <c r="R23" s="213"/>
      <c r="S23" s="213">
        <f t="shared" si="3"/>
        <v>75</v>
      </c>
      <c r="T23" s="213">
        <f t="shared" si="10"/>
        <v>6.2743523506725882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11.752060283851231</v>
      </c>
      <c r="Z23" s="223">
        <f>Input!B20</f>
        <v>5.55</v>
      </c>
      <c r="AA23" s="223">
        <f t="shared" si="5"/>
        <v>6.2020602838512309</v>
      </c>
      <c r="AB23" s="223">
        <f t="shared" si="6"/>
        <v>120</v>
      </c>
      <c r="AC23" s="223">
        <f t="shared" si="7"/>
        <v>5.55</v>
      </c>
      <c r="AD23" s="459">
        <f>INT((AC$3+AE23)*100)/100</f>
        <v>5.55</v>
      </c>
      <c r="AE23" s="223">
        <f>AG$23*AF23</f>
        <v>5.55</v>
      </c>
      <c r="AF23" s="223">
        <v>1</v>
      </c>
      <c r="AG23" s="223">
        <f>AC23-AC3</f>
        <v>5.55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14.850000000000001</v>
      </c>
      <c r="G24" s="531">
        <f t="shared" si="14"/>
        <v>4.6100000000000003</v>
      </c>
      <c r="H24" s="531"/>
      <c r="I24" s="185"/>
      <c r="J24" s="474">
        <f t="shared" si="15"/>
        <v>0.11000000000000032</v>
      </c>
      <c r="K24" s="462">
        <f t="shared" si="18"/>
        <v>20</v>
      </c>
      <c r="L24" s="482">
        <f t="shared" si="20"/>
        <v>5.1999999999999998E-2</v>
      </c>
      <c r="M24" s="216">
        <f t="shared" si="17"/>
        <v>1.04</v>
      </c>
      <c r="N24" s="216">
        <f t="shared" si="19"/>
        <v>3.141E-2</v>
      </c>
      <c r="O24" s="482">
        <f t="shared" si="21"/>
        <v>33.11</v>
      </c>
      <c r="P24" s="463">
        <f t="shared" si="22"/>
        <v>-29.27</v>
      </c>
      <c r="R24" s="427">
        <f>B32</f>
        <v>95</v>
      </c>
      <c r="S24" s="213">
        <f>$R$24</f>
        <v>95</v>
      </c>
      <c r="T24" s="213">
        <f t="shared" si="10"/>
        <v>6.2743523506725882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14.98227684047861</v>
      </c>
      <c r="Z24" s="223">
        <f>Z27</f>
        <v>8.3201665762710721</v>
      </c>
      <c r="AA24" s="223">
        <f>$Z$24</f>
        <v>8.3201665762710721</v>
      </c>
      <c r="AB24" s="223">
        <f t="shared" si="6"/>
        <v>130</v>
      </c>
      <c r="AC24" s="223">
        <f t="shared" si="7"/>
        <v>6.6621102642075378</v>
      </c>
      <c r="AD24" s="459">
        <f>INT((AC$23+AE24)*100)/100</f>
        <v>6.66</v>
      </c>
      <c r="AE24" s="223">
        <f>AF24*AG$28</f>
        <v>1.1100000000000003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14.95</v>
      </c>
      <c r="G25" s="531">
        <f t="shared" si="14"/>
        <v>4.71</v>
      </c>
      <c r="H25" s="531"/>
      <c r="I25" s="185"/>
      <c r="J25" s="474">
        <f t="shared" si="15"/>
        <v>9.9999999999999645E-2</v>
      </c>
      <c r="K25" s="462">
        <f t="shared" si="18"/>
        <v>25</v>
      </c>
      <c r="L25" s="482">
        <f t="shared" si="20"/>
        <v>5.1999999999999998E-2</v>
      </c>
      <c r="M25" s="216">
        <f t="shared" si="17"/>
        <v>1.3</v>
      </c>
      <c r="N25" s="216">
        <f t="shared" si="19"/>
        <v>3.141E-2</v>
      </c>
      <c r="O25" s="482">
        <f t="shared" si="21"/>
        <v>41.38</v>
      </c>
      <c r="P25" s="463">
        <f t="shared" si="22"/>
        <v>-37.33</v>
      </c>
      <c r="R25" s="213"/>
      <c r="S25" s="213">
        <f>$R$24</f>
        <v>95</v>
      </c>
      <c r="T25" s="213">
        <f t="shared" si="10"/>
        <v>6.2743523506725882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15.071468021445181</v>
      </c>
      <c r="Z25" s="213"/>
      <c r="AA25" s="223">
        <f>$Z$24</f>
        <v>8.3201665762710721</v>
      </c>
      <c r="AB25" s="223">
        <f t="shared" si="6"/>
        <v>140</v>
      </c>
      <c r="AC25" s="223">
        <f t="shared" si="7"/>
        <v>6.7513014451741089</v>
      </c>
      <c r="AD25" s="459">
        <f>INT((AC$23+AE25)*100)/100</f>
        <v>6.84</v>
      </c>
      <c r="AE25" s="223">
        <f>AF25*AG$28</f>
        <v>1.2950000000000004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15.04</v>
      </c>
      <c r="G26" s="531">
        <f t="shared" si="14"/>
        <v>4.8</v>
      </c>
      <c r="H26" s="531"/>
      <c r="I26" s="185"/>
      <c r="J26" s="474">
        <f t="shared" si="15"/>
        <v>8.9999999999999858E-2</v>
      </c>
      <c r="K26" s="462">
        <f t="shared" si="18"/>
        <v>30</v>
      </c>
      <c r="L26" s="482">
        <f t="shared" si="20"/>
        <v>5.1999999999999998E-2</v>
      </c>
      <c r="M26" s="216">
        <f t="shared" si="17"/>
        <v>1.5599999999999998</v>
      </c>
      <c r="N26" s="216">
        <f t="shared" si="19"/>
        <v>3.141E-2</v>
      </c>
      <c r="O26" s="216">
        <f t="shared" si="21"/>
        <v>49.66</v>
      </c>
      <c r="P26" s="463">
        <f t="shared" si="22"/>
        <v>-45.43</v>
      </c>
      <c r="R26" s="213"/>
      <c r="S26" s="213">
        <f>$R$24</f>
        <v>95</v>
      </c>
      <c r="T26" s="213">
        <f t="shared" si="10"/>
        <v>6.2743523506725882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15.154503024392389</v>
      </c>
      <c r="Z26" s="213"/>
      <c r="AA26" s="223">
        <f>$Z$24</f>
        <v>8.3201665762710721</v>
      </c>
      <c r="AB26" s="223">
        <f t="shared" si="6"/>
        <v>150</v>
      </c>
      <c r="AC26" s="223">
        <f t="shared" si="7"/>
        <v>6.8343364481213165</v>
      </c>
      <c r="AD26" s="459">
        <f>INT((AC$23+AE26)*100)/100</f>
        <v>7.03</v>
      </c>
      <c r="AE26" s="223">
        <f>AF26*AG$28</f>
        <v>1.4800000000000004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15.129999999999999</v>
      </c>
      <c r="G27" s="531">
        <f t="shared" si="14"/>
        <v>4.8899999999999997</v>
      </c>
      <c r="H27" s="531"/>
      <c r="I27" s="185"/>
      <c r="J27" s="474">
        <f t="shared" si="15"/>
        <v>8.9999999999999858E-2</v>
      </c>
      <c r="K27" s="462">
        <f t="shared" si="18"/>
        <v>35</v>
      </c>
      <c r="L27" s="482">
        <f t="shared" si="20"/>
        <v>5.1999999999999998E-2</v>
      </c>
      <c r="M27" s="216">
        <f t="shared" si="17"/>
        <v>1.8199999999999998</v>
      </c>
      <c r="N27" s="216">
        <f t="shared" si="19"/>
        <v>3.141E-2</v>
      </c>
      <c r="O27" s="216">
        <f t="shared" si="21"/>
        <v>57.94</v>
      </c>
      <c r="P27" s="463">
        <f t="shared" si="22"/>
        <v>-53.57</v>
      </c>
      <c r="R27" s="213"/>
      <c r="S27" s="213">
        <f>$R$24</f>
        <v>95</v>
      </c>
      <c r="T27" s="213">
        <f t="shared" si="10"/>
        <v>6.2743523506725882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15.373932520214852</v>
      </c>
      <c r="Z27" s="223">
        <f>Y28-Z28</f>
        <v>8.3201665762710721</v>
      </c>
      <c r="AA27" s="223">
        <f>$Z$24</f>
        <v>8.3201665762710721</v>
      </c>
      <c r="AB27" s="223">
        <f t="shared" si="6"/>
        <v>180</v>
      </c>
      <c r="AC27" s="223">
        <f t="shared" si="7"/>
        <v>7.0537659439437803</v>
      </c>
      <c r="AD27" s="459">
        <f>INT((AC$23+AE27)*100)/100</f>
        <v>7.21</v>
      </c>
      <c r="AE27" s="223">
        <f>AF27*AG$28</f>
        <v>1.6650000000000005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15.34</v>
      </c>
      <c r="G28" s="531">
        <f t="shared" si="14"/>
        <v>5.0999999999999996</v>
      </c>
      <c r="H28" s="531"/>
      <c r="I28" s="185"/>
      <c r="J28" s="474">
        <f t="shared" si="15"/>
        <v>0.20999999999999996</v>
      </c>
      <c r="K28" s="462">
        <f t="shared" si="18"/>
        <v>40</v>
      </c>
      <c r="L28" s="482">
        <f t="shared" si="20"/>
        <v>5.1999999999999998E-2</v>
      </c>
      <c r="M28" s="216">
        <f t="shared" si="17"/>
        <v>2.08</v>
      </c>
      <c r="N28" s="216">
        <f t="shared" si="19"/>
        <v>3.141E-2</v>
      </c>
      <c r="O28" s="216">
        <f t="shared" si="21"/>
        <v>66.22</v>
      </c>
      <c r="P28" s="463">
        <f t="shared" si="22"/>
        <v>-61.72</v>
      </c>
      <c r="R28" s="213"/>
      <c r="S28" s="213">
        <f>$R$24</f>
        <v>95</v>
      </c>
      <c r="T28" s="213">
        <f t="shared" si="10"/>
        <v>6.2743523506725882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15.720166576271073</v>
      </c>
      <c r="Z28" s="223">
        <f>Input!B21</f>
        <v>7.4</v>
      </c>
      <c r="AA28" s="223">
        <f>$Z$24</f>
        <v>8.3201665762710721</v>
      </c>
      <c r="AB28" s="223">
        <f t="shared" si="6"/>
        <v>240</v>
      </c>
      <c r="AC28" s="223">
        <f t="shared" si="7"/>
        <v>7.4</v>
      </c>
      <c r="AD28" s="459">
        <f>INT((AC$23+AE28)*100)/100</f>
        <v>7.4</v>
      </c>
      <c r="AE28" s="223">
        <f>AF28*AG$28</f>
        <v>1.8500000000000005</v>
      </c>
      <c r="AF28" s="223">
        <v>1</v>
      </c>
      <c r="AG28" s="223">
        <f>AC28-AC23</f>
        <v>1.8500000000000005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15.51</v>
      </c>
      <c r="G29" s="531">
        <f t="shared" si="14"/>
        <v>5.27</v>
      </c>
      <c r="H29" s="531"/>
      <c r="I29" s="185"/>
      <c r="J29" s="474">
        <f t="shared" si="15"/>
        <v>0.16999999999999993</v>
      </c>
      <c r="K29" s="462">
        <f t="shared" si="18"/>
        <v>45</v>
      </c>
      <c r="L29" s="482">
        <f t="shared" si="20"/>
        <v>5.1999999999999998E-2</v>
      </c>
      <c r="M29" s="216">
        <f t="shared" si="17"/>
        <v>2.34</v>
      </c>
      <c r="N29" s="216">
        <f t="shared" si="19"/>
        <v>3.141E-2</v>
      </c>
      <c r="O29" s="216">
        <f t="shared" si="21"/>
        <v>74.489999999999995</v>
      </c>
      <c r="P29" s="463">
        <f t="shared" si="22"/>
        <v>-69.88</v>
      </c>
      <c r="R29" s="427">
        <f>B37</f>
        <v>116.45</v>
      </c>
      <c r="S29" s="213">
        <f>$R$29</f>
        <v>116.45</v>
      </c>
      <c r="T29" s="213">
        <f t="shared" si="10"/>
        <v>6.2743523506725882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19.329838366383143</v>
      </c>
      <c r="Z29" s="223">
        <f>Z32</f>
        <v>10.38778709877316</v>
      </c>
      <c r="AA29" s="223">
        <f>$Z$29</f>
        <v>10.38778709877316</v>
      </c>
      <c r="AB29" s="223">
        <f t="shared" si="6"/>
        <v>250</v>
      </c>
      <c r="AC29" s="223">
        <f t="shared" si="7"/>
        <v>8.9420512676099833</v>
      </c>
      <c r="AD29" s="459">
        <f>INT((AC$28+AE29)*100)/100</f>
        <v>8.64</v>
      </c>
      <c r="AE29" s="223">
        <f>AF29*AG$33</f>
        <v>1.248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15.66</v>
      </c>
      <c r="G30" s="531">
        <f t="shared" si="14"/>
        <v>5.42</v>
      </c>
      <c r="H30" s="531"/>
      <c r="I30" s="185"/>
      <c r="J30" s="474">
        <f t="shared" si="15"/>
        <v>0.15000000000000036</v>
      </c>
      <c r="K30" s="462">
        <f t="shared" si="18"/>
        <v>50</v>
      </c>
      <c r="L30" s="482">
        <f t="shared" si="20"/>
        <v>5.1999999999999998E-2</v>
      </c>
      <c r="M30" s="216">
        <f t="shared" si="17"/>
        <v>2.6</v>
      </c>
      <c r="N30" s="216">
        <f t="shared" si="19"/>
        <v>3.141E-2</v>
      </c>
      <c r="O30" s="216">
        <f t="shared" si="21"/>
        <v>82.77</v>
      </c>
      <c r="P30" s="463">
        <f t="shared" si="22"/>
        <v>-78.06</v>
      </c>
      <c r="R30" s="213" t="s">
        <v>21</v>
      </c>
      <c r="S30" s="213">
        <f>$R$29</f>
        <v>116.45</v>
      </c>
      <c r="T30" s="213">
        <f t="shared" si="10"/>
        <v>6.2743523506725882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19.387699689243838</v>
      </c>
      <c r="Z30" s="213"/>
      <c r="AA30" s="223">
        <f>$Z$29</f>
        <v>10.38778709877316</v>
      </c>
      <c r="AB30" s="223">
        <f t="shared" si="6"/>
        <v>260</v>
      </c>
      <c r="AC30" s="223">
        <f t="shared" si="7"/>
        <v>8.9999125904706787</v>
      </c>
      <c r="AD30" s="459">
        <f>INT((AC$28+AE30)*100)/100</f>
        <v>8.85</v>
      </c>
      <c r="AE30" s="223">
        <f>AF30*AG$33</f>
        <v>1.456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15.79</v>
      </c>
      <c r="G31" s="531">
        <f t="shared" si="14"/>
        <v>5.55</v>
      </c>
      <c r="H31" s="531"/>
      <c r="I31" s="185"/>
      <c r="J31" s="474">
        <f t="shared" si="15"/>
        <v>0.12999999999999989</v>
      </c>
      <c r="K31" s="462">
        <f t="shared" si="18"/>
        <v>55</v>
      </c>
      <c r="L31" s="482">
        <f t="shared" si="20"/>
        <v>5.1999999999999998E-2</v>
      </c>
      <c r="M31" s="216">
        <f t="shared" si="17"/>
        <v>2.86</v>
      </c>
      <c r="N31" s="216">
        <f t="shared" si="19"/>
        <v>3.141E-2</v>
      </c>
      <c r="O31" s="216">
        <f>INT(M31/N31*100)/100</f>
        <v>91.05</v>
      </c>
      <c r="P31" s="463">
        <f t="shared" si="22"/>
        <v>-86.25</v>
      </c>
      <c r="R31" s="213"/>
      <c r="S31" s="213">
        <f>$R$29</f>
        <v>116.45</v>
      </c>
      <c r="T31" s="213">
        <f t="shared" si="10"/>
        <v>6.2743523506725882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19.443377037428455</v>
      </c>
      <c r="Z31" s="213"/>
      <c r="AA31" s="223">
        <f>$Z$29</f>
        <v>10.38778709877316</v>
      </c>
      <c r="AB31" s="223">
        <f t="shared" si="6"/>
        <v>270</v>
      </c>
      <c r="AC31" s="223">
        <f t="shared" si="7"/>
        <v>9.0555899386552952</v>
      </c>
      <c r="AD31" s="459">
        <f>INT((AC$28+AE31)*100)/100</f>
        <v>9.06</v>
      </c>
      <c r="AE31" s="223">
        <f>AF31*AG$33</f>
        <v>1.6640000000000001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95</v>
      </c>
      <c r="C32" s="209">
        <f>$C$12+D32/1440</f>
        <v>45491.558333333334</v>
      </c>
      <c r="D32" s="530">
        <v>130</v>
      </c>
      <c r="E32" s="530"/>
      <c r="F32" s="210">
        <f t="shared" si="13"/>
        <v>16.899999999999999</v>
      </c>
      <c r="G32" s="531">
        <f t="shared" si="14"/>
        <v>6.66</v>
      </c>
      <c r="H32" s="531"/>
      <c r="I32" s="185"/>
      <c r="J32" s="474">
        <f t="shared" si="15"/>
        <v>1.1100000000000003</v>
      </c>
      <c r="K32" s="464">
        <f t="shared" si="18"/>
        <v>60</v>
      </c>
      <c r="L32" s="483">
        <f t="shared" si="20"/>
        <v>5.1999999999999998E-2</v>
      </c>
      <c r="M32" s="465">
        <f t="shared" si="17"/>
        <v>3.1199999999999997</v>
      </c>
      <c r="N32" s="465">
        <f t="shared" si="19"/>
        <v>3.141E-2</v>
      </c>
      <c r="O32" s="465">
        <f>INT(M32/N32*100)/100</f>
        <v>99.33</v>
      </c>
      <c r="P32" s="466">
        <f t="shared" si="22"/>
        <v>-94.44</v>
      </c>
      <c r="R32" s="213"/>
      <c r="S32" s="213">
        <f>$R$29</f>
        <v>116.45</v>
      </c>
      <c r="T32" s="213">
        <f t="shared" si="10"/>
        <v>6.2743523506725882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19.59881273257815</v>
      </c>
      <c r="Z32" s="223">
        <f>Y33-Z33</f>
        <v>10.38778709877316</v>
      </c>
      <c r="AA32" s="223">
        <f>$Z$29</f>
        <v>10.38778709877316</v>
      </c>
      <c r="AB32" s="223">
        <f t="shared" si="6"/>
        <v>300</v>
      </c>
      <c r="AC32" s="223">
        <f t="shared" si="7"/>
        <v>9.2110256338049901</v>
      </c>
      <c r="AD32" s="459">
        <f>INT((AC$28+AE32)*100)/100</f>
        <v>9.27</v>
      </c>
      <c r="AE32" s="223">
        <f>AF32*AG$33</f>
        <v>1.8720000000000001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17.079999999999998</v>
      </c>
      <c r="G33" s="531">
        <f t="shared" si="14"/>
        <v>6.84</v>
      </c>
      <c r="H33" s="531"/>
      <c r="I33" s="185"/>
      <c r="J33" s="474">
        <f t="shared" si="15"/>
        <v>0.17999999999999972</v>
      </c>
      <c r="L33" s="50" t="s">
        <v>21</v>
      </c>
      <c r="P33" s="45"/>
      <c r="R33" s="213"/>
      <c r="S33" s="213">
        <f>$R$29</f>
        <v>116.45</v>
      </c>
      <c r="T33" s="213">
        <f t="shared" si="10"/>
        <v>6.2743523506725882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19.86778709877316</v>
      </c>
      <c r="Z33" s="223">
        <f>Input!B22</f>
        <v>9.48</v>
      </c>
      <c r="AA33" s="223">
        <f>$Z$29</f>
        <v>10.38778709877316</v>
      </c>
      <c r="AB33" s="223">
        <f t="shared" si="6"/>
        <v>360</v>
      </c>
      <c r="AC33" s="223">
        <f t="shared" si="7"/>
        <v>9.48</v>
      </c>
      <c r="AD33" s="459">
        <f>INT((AC$28+AE33)*100)/100</f>
        <v>9.48</v>
      </c>
      <c r="AE33" s="223">
        <f>AF33*AG$33</f>
        <v>2.08</v>
      </c>
      <c r="AF33" s="223">
        <v>1</v>
      </c>
      <c r="AG33" s="223">
        <f>AC33-AC28</f>
        <v>2.08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17.27</v>
      </c>
      <c r="G34" s="531">
        <f t="shared" si="14"/>
        <v>7.03</v>
      </c>
      <c r="H34" s="531"/>
      <c r="I34" s="185"/>
      <c r="J34" s="474">
        <f t="shared" si="15"/>
        <v>0.19000000000000039</v>
      </c>
      <c r="L34" s="50" t="s">
        <v>21</v>
      </c>
      <c r="R34" s="213">
        <f>B42</f>
        <v>137</v>
      </c>
      <c r="S34" s="213">
        <f>$R$34</f>
        <v>137</v>
      </c>
      <c r="T34" s="213">
        <f t="shared" si="10"/>
        <v>6.2743523506725882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23.421421306028041</v>
      </c>
      <c r="Z34" s="223">
        <f>Z37</f>
        <v>12.073173129550426</v>
      </c>
      <c r="AA34" s="223">
        <f>$Z$34</f>
        <v>12.073173129550426</v>
      </c>
      <c r="AB34" s="223">
        <f t="shared" si="6"/>
        <v>370</v>
      </c>
      <c r="AC34" s="223">
        <f t="shared" si="7"/>
        <v>11.348248176477615</v>
      </c>
      <c r="AD34" s="459">
        <f>INT((AC$33+AE34)*100)/100</f>
        <v>10.87</v>
      </c>
      <c r="AE34" s="223">
        <f>AG$38*AF34</f>
        <v>1.3920000000000001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17.45</v>
      </c>
      <c r="G35" s="531">
        <f t="shared" si="14"/>
        <v>7.21</v>
      </c>
      <c r="H35" s="531"/>
      <c r="I35" s="185"/>
      <c r="J35" s="474">
        <f t="shared" si="15"/>
        <v>0.17999999999999972</v>
      </c>
      <c r="L35" s="50" t="s">
        <v>21</v>
      </c>
      <c r="R35" s="213"/>
      <c r="S35" s="213">
        <f>$R$34</f>
        <v>137</v>
      </c>
      <c r="T35" s="213">
        <f t="shared" si="10"/>
        <v>6.2743523506725882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23.467707174491572</v>
      </c>
      <c r="Z35" s="213"/>
      <c r="AA35" s="223">
        <f>$Z$34</f>
        <v>12.073173129550426</v>
      </c>
      <c r="AB35" s="223">
        <f t="shared" si="6"/>
        <v>380</v>
      </c>
      <c r="AC35" s="223">
        <f t="shared" si="7"/>
        <v>11.394534044941146</v>
      </c>
      <c r="AD35" s="459">
        <f>INT((AC$33+AE35)*100)/100</f>
        <v>11.1</v>
      </c>
      <c r="AE35" s="223">
        <f>AG$38*AF35</f>
        <v>1.6240000000000001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17.64</v>
      </c>
      <c r="G36" s="531">
        <f t="shared" si="14"/>
        <v>7.4</v>
      </c>
      <c r="H36" s="531"/>
      <c r="I36" s="185"/>
      <c r="J36" s="474">
        <f t="shared" si="15"/>
        <v>0.19000000000000039</v>
      </c>
      <c r="L36" s="50" t="s">
        <v>21</v>
      </c>
      <c r="R36" s="213"/>
      <c r="S36" s="213">
        <f>$R$34</f>
        <v>137</v>
      </c>
      <c r="T36" s="213">
        <f t="shared" si="10"/>
        <v>6.2743523506725882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23.512790675601838</v>
      </c>
      <c r="Z36" s="213"/>
      <c r="AA36" s="223">
        <f>$Z$34</f>
        <v>12.073173129550426</v>
      </c>
      <c r="AB36" s="223">
        <f t="shared" si="6"/>
        <v>390</v>
      </c>
      <c r="AC36" s="223">
        <f t="shared" si="7"/>
        <v>11.439617546051412</v>
      </c>
      <c r="AD36" s="459">
        <f>INT((AC$33+AE36)*100)/100</f>
        <v>11.33</v>
      </c>
      <c r="AE36" s="223">
        <f>AG$38*AF36</f>
        <v>1.8560000000000003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116.45</v>
      </c>
      <c r="C37" s="209">
        <f>$C$12+D37/1440</f>
        <v>45491.641666666663</v>
      </c>
      <c r="D37" s="530">
        <v>250</v>
      </c>
      <c r="E37" s="530"/>
      <c r="F37" s="210">
        <f t="shared" si="13"/>
        <v>18.880000000000003</v>
      </c>
      <c r="G37" s="531">
        <f t="shared" si="14"/>
        <v>8.64</v>
      </c>
      <c r="H37" s="531"/>
      <c r="I37" s="185"/>
      <c r="J37" s="474">
        <f t="shared" si="15"/>
        <v>1.2400000000000002</v>
      </c>
      <c r="L37" s="50" t="s">
        <v>21</v>
      </c>
      <c r="R37" s="213"/>
      <c r="S37" s="213">
        <f>$R$34</f>
        <v>137</v>
      </c>
      <c r="T37" s="213">
        <f t="shared" si="10"/>
        <v>6.2743523506725882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23.641413747100998</v>
      </c>
      <c r="Z37" s="223">
        <f>Y38-Z38</f>
        <v>12.073173129550426</v>
      </c>
      <c r="AA37" s="223">
        <f>$Z$34</f>
        <v>12.073173129550426</v>
      </c>
      <c r="AB37" s="223">
        <f t="shared" si="6"/>
        <v>420</v>
      </c>
      <c r="AC37" s="223">
        <f t="shared" si="7"/>
        <v>11.568240617550572</v>
      </c>
      <c r="AD37" s="459">
        <f>INT((AC$33+AE37)*100)/100</f>
        <v>11.56</v>
      </c>
      <c r="AE37" s="223">
        <f>AG$38*AF37</f>
        <v>2.0880000000000005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19.09</v>
      </c>
      <c r="G38" s="531">
        <f t="shared" si="14"/>
        <v>8.85</v>
      </c>
      <c r="H38" s="531"/>
      <c r="I38" s="185"/>
      <c r="J38" s="474">
        <f t="shared" si="15"/>
        <v>0.20999999999999908</v>
      </c>
      <c r="L38" s="50" t="s">
        <v>21</v>
      </c>
      <c r="R38" s="213"/>
      <c r="S38" s="213">
        <f>$R$34</f>
        <v>137</v>
      </c>
      <c r="T38" s="213">
        <f t="shared" si="10"/>
        <v>6.2743523506725882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23.873173129550427</v>
      </c>
      <c r="Z38" s="223">
        <f>Input!B23</f>
        <v>11.8</v>
      </c>
      <c r="AA38" s="223">
        <f>$Z$34</f>
        <v>12.073173129550426</v>
      </c>
      <c r="AB38" s="223">
        <f t="shared" si="6"/>
        <v>480</v>
      </c>
      <c r="AC38" s="223">
        <f t="shared" si="7"/>
        <v>11.8</v>
      </c>
      <c r="AD38" s="459">
        <f>INT((AC$33+AE38)*100)/100</f>
        <v>11.8</v>
      </c>
      <c r="AE38" s="223">
        <f>AG$38*AF38</f>
        <v>2.3200000000000003</v>
      </c>
      <c r="AF38" s="223">
        <v>1</v>
      </c>
      <c r="AG38" s="223">
        <f>AC38-AC33</f>
        <v>2.3200000000000003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19.3</v>
      </c>
      <c r="G39" s="531">
        <f t="shared" si="14"/>
        <v>9.06</v>
      </c>
      <c r="H39" s="531"/>
      <c r="I39" s="185"/>
      <c r="J39" s="474">
        <f t="shared" si="15"/>
        <v>0.21000000000000085</v>
      </c>
      <c r="K39" s="46" t="s">
        <v>21</v>
      </c>
      <c r="L39" s="50" t="s">
        <v>21</v>
      </c>
      <c r="R39" s="427">
        <f>B47</f>
        <v>157.54999999999998</v>
      </c>
      <c r="S39" s="213">
        <f>$R$39</f>
        <v>157.54999999999998</v>
      </c>
      <c r="T39" s="213">
        <f t="shared" si="10"/>
        <v>6.2743523506725882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27.495304367050956</v>
      </c>
      <c r="Z39" s="223">
        <f>Z42</f>
        <v>12.559534653860776</v>
      </c>
      <c r="AA39" s="223">
        <f>$Z$39</f>
        <v>12.559534653860776</v>
      </c>
      <c r="AB39" s="223">
        <f t="shared" si="6"/>
        <v>490</v>
      </c>
      <c r="AC39" s="223">
        <f t="shared" si="7"/>
        <v>14.935769713190179</v>
      </c>
      <c r="AD39" s="459">
        <f>INT((AC$38+AE39)*100)/100</f>
        <v>13.21</v>
      </c>
      <c r="AE39" s="223">
        <f>AG$43*AF39</f>
        <v>1.4159999999999997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19.509999999999998</v>
      </c>
      <c r="G40" s="531">
        <f t="shared" si="14"/>
        <v>9.27</v>
      </c>
      <c r="H40" s="531"/>
      <c r="I40" s="185"/>
      <c r="J40" s="474">
        <f t="shared" si="15"/>
        <v>0.20999999999999908</v>
      </c>
      <c r="K40" s="46" t="s">
        <v>21</v>
      </c>
      <c r="L40" s="50" t="s">
        <v>21</v>
      </c>
      <c r="R40" s="213"/>
      <c r="S40" s="213">
        <f>$R$39</f>
        <v>157.54999999999998</v>
      </c>
      <c r="T40" s="213">
        <f t="shared" si="10"/>
        <v>6.2743523506725882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27.535628158420476</v>
      </c>
      <c r="Z40" s="213"/>
      <c r="AA40" s="223">
        <f>$Z$39</f>
        <v>12.559534653860776</v>
      </c>
      <c r="AB40" s="223">
        <f t="shared" si="6"/>
        <v>500</v>
      </c>
      <c r="AC40" s="223">
        <f t="shared" si="7"/>
        <v>14.976093504559699</v>
      </c>
      <c r="AD40" s="459">
        <f>INT((AC$38+AE40)*100)/100</f>
        <v>13.74</v>
      </c>
      <c r="AE40" s="223">
        <f>AG$43*AF40</f>
        <v>1.9469999999999996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19.72</v>
      </c>
      <c r="G41" s="531">
        <f t="shared" si="14"/>
        <v>9.48</v>
      </c>
      <c r="H41" s="531"/>
      <c r="I41" s="185"/>
      <c r="J41" s="474">
        <f t="shared" si="15"/>
        <v>0.21000000000000085</v>
      </c>
      <c r="K41" s="46" t="s">
        <v>21</v>
      </c>
      <c r="L41" s="50" t="s">
        <v>21</v>
      </c>
      <c r="R41" s="213"/>
      <c r="S41" s="213">
        <f>$R$39</f>
        <v>157.54999999999998</v>
      </c>
      <c r="T41" s="213">
        <f t="shared" si="10"/>
        <v>6.2743523506725882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27.575153406156304</v>
      </c>
      <c r="Z41" s="213"/>
      <c r="AA41" s="223">
        <f>$Z$39</f>
        <v>12.559534653860776</v>
      </c>
      <c r="AB41" s="223">
        <f t="shared" si="6"/>
        <v>510</v>
      </c>
      <c r="AC41" s="223">
        <f t="shared" si="7"/>
        <v>15.015618752295527</v>
      </c>
      <c r="AD41" s="459">
        <f>INT((AC$38+AE41)*100)/100</f>
        <v>14.27</v>
      </c>
      <c r="AE41" s="223">
        <f>AG$43*AF41</f>
        <v>2.4779999999999993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137</v>
      </c>
      <c r="C42" s="209">
        <f>$C$12+D42/1440</f>
        <v>45491.724999999999</v>
      </c>
      <c r="D42" s="530">
        <v>370</v>
      </c>
      <c r="E42" s="530"/>
      <c r="F42" s="210">
        <f t="shared" si="13"/>
        <v>21.11</v>
      </c>
      <c r="G42" s="531">
        <f t="shared" si="14"/>
        <v>10.87</v>
      </c>
      <c r="H42" s="531"/>
      <c r="I42" s="185"/>
      <c r="J42" s="474">
        <f t="shared" si="15"/>
        <v>1.3899999999999988</v>
      </c>
      <c r="K42" s="46" t="s">
        <v>21</v>
      </c>
      <c r="L42" s="50" t="s">
        <v>21</v>
      </c>
      <c r="R42" s="213"/>
      <c r="S42" s="213">
        <f>$R$39</f>
        <v>157.54999999999998</v>
      </c>
      <c r="T42" s="213">
        <f t="shared" si="10"/>
        <v>6.2743523506725882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27.689239301599425</v>
      </c>
      <c r="Z42" s="223">
        <f>Y43-Z43</f>
        <v>12.559534653860776</v>
      </c>
      <c r="AA42" s="223">
        <f>$Z$39</f>
        <v>12.559534653860776</v>
      </c>
      <c r="AB42" s="223">
        <f t="shared" si="6"/>
        <v>540</v>
      </c>
      <c r="AC42" s="223">
        <f t="shared" si="7"/>
        <v>15.129704647738649</v>
      </c>
      <c r="AD42" s="459">
        <f>INT((AC$38+AE42)*100)/100</f>
        <v>14.8</v>
      </c>
      <c r="AE42" s="223">
        <f>AG$43*AF42</f>
        <v>3.008999999999999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21.34</v>
      </c>
      <c r="G43" s="531">
        <f t="shared" si="14"/>
        <v>11.1</v>
      </c>
      <c r="H43" s="531"/>
      <c r="I43" s="185"/>
      <c r="J43" s="474">
        <f t="shared" si="15"/>
        <v>0.23000000000000043</v>
      </c>
      <c r="K43" s="46" t="s">
        <v>21</v>
      </c>
      <c r="L43" s="50" t="s">
        <v>21</v>
      </c>
      <c r="R43" s="213"/>
      <c r="S43" s="213">
        <f>$R$39</f>
        <v>157.54999999999998</v>
      </c>
      <c r="T43" s="213">
        <f t="shared" si="10"/>
        <v>6.2743523506725882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27.899534653860776</v>
      </c>
      <c r="Z43" s="223">
        <f>Input!B24</f>
        <v>15.34</v>
      </c>
      <c r="AA43" s="223">
        <f>$Z$39</f>
        <v>12.559534653860776</v>
      </c>
      <c r="AB43" s="223">
        <f t="shared" si="6"/>
        <v>600</v>
      </c>
      <c r="AC43" s="223">
        <f t="shared" si="7"/>
        <v>15.34</v>
      </c>
      <c r="AD43" s="459">
        <f>INT((AC$38+AE43)*100)/100</f>
        <v>15.34</v>
      </c>
      <c r="AE43" s="223">
        <f>AG$43*AF43</f>
        <v>3.5399999999999991</v>
      </c>
      <c r="AF43" s="223">
        <v>1</v>
      </c>
      <c r="AG43" s="223">
        <f>AC43-AC38</f>
        <v>3.5399999999999991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21.57</v>
      </c>
      <c r="G44" s="531">
        <f t="shared" si="14"/>
        <v>11.33</v>
      </c>
      <c r="H44" s="531"/>
      <c r="I44" s="185"/>
      <c r="J44" s="474">
        <f t="shared" si="15"/>
        <v>0.23000000000000043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21.8</v>
      </c>
      <c r="G45" s="531">
        <f t="shared" si="14"/>
        <v>11.56</v>
      </c>
      <c r="H45" s="531"/>
      <c r="I45" s="185"/>
      <c r="J45" s="474">
        <f t="shared" si="15"/>
        <v>0.23000000000000043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22.04</v>
      </c>
      <c r="G46" s="531">
        <f t="shared" si="14"/>
        <v>11.8</v>
      </c>
      <c r="H46" s="531"/>
      <c r="I46" s="185"/>
      <c r="J46" s="474">
        <f t="shared" si="15"/>
        <v>0.24000000000000021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157.54999999999998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23.450000000000003</v>
      </c>
      <c r="G47" s="531">
        <f t="shared" si="14"/>
        <v>13.21</v>
      </c>
      <c r="H47" s="531"/>
      <c r="I47" s="185"/>
      <c r="J47" s="474">
        <f t="shared" si="15"/>
        <v>1.4100000000000001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23.98</v>
      </c>
      <c r="G48" s="531">
        <f t="shared" si="14"/>
        <v>13.74</v>
      </c>
      <c r="H48" s="531"/>
      <c r="I48" s="185"/>
      <c r="J48" s="474">
        <f t="shared" si="15"/>
        <v>0.52999999999999936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24.509999999999998</v>
      </c>
      <c r="G49" s="531">
        <f t="shared" si="14"/>
        <v>14.27</v>
      </c>
      <c r="H49" s="531"/>
      <c r="I49" s="185"/>
      <c r="J49" s="474">
        <f t="shared" si="15"/>
        <v>0.52999999999999936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25.04</v>
      </c>
      <c r="G50" s="531">
        <f t="shared" si="14"/>
        <v>14.8</v>
      </c>
      <c r="H50" s="531"/>
      <c r="I50" s="185"/>
      <c r="J50" s="474">
        <f t="shared" si="15"/>
        <v>0.53000000000000114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25.58</v>
      </c>
      <c r="G51" s="531">
        <f t="shared" si="14"/>
        <v>15.34</v>
      </c>
      <c r="H51" s="531"/>
      <c r="I51" s="185" t="s">
        <v>180</v>
      </c>
      <c r="J51" s="474">
        <f t="shared" si="15"/>
        <v>0.53999999999999915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-3.096451731297412</v>
      </c>
      <c r="N1" s="544" t="s">
        <v>183</v>
      </c>
      <c r="O1" s="544"/>
      <c r="P1" s="441">
        <f>StepTest!G41</f>
        <v>9.48</v>
      </c>
      <c r="Q1" s="442" t="s">
        <v>184</v>
      </c>
      <c r="R1" s="443">
        <f>G35</f>
        <v>12.576451731297412</v>
      </c>
      <c r="S1" s="444">
        <f>D7/2000</f>
        <v>0.1</v>
      </c>
      <c r="T1" s="445">
        <v>3.9360442814805681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국립광주박물관 도자문화관 건립 지열공사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23.5</v>
      </c>
      <c r="Q2" s="213"/>
      <c r="R2" s="213"/>
      <c r="S2" s="213"/>
      <c r="T2" s="213">
        <v>44</v>
      </c>
      <c r="U2" s="427">
        <f>B10</f>
        <v>120</v>
      </c>
      <c r="V2" s="427">
        <f>U2</f>
        <v>120</v>
      </c>
      <c r="W2" s="475">
        <f>T1</f>
        <v>3.9360442814805681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11.994363834343771</v>
      </c>
      <c r="AC2" s="223">
        <f>1.6*V2/(4*PI()*W2)*LOG10((2.25*W2*Z2)/(X2*X2*Y2))</f>
        <v>11.994363834343771</v>
      </c>
      <c r="AD2" s="220">
        <v>0</v>
      </c>
      <c r="AE2" s="428">
        <f>AA2</f>
        <v>1</v>
      </c>
      <c r="AF2" s="223">
        <f t="shared" ref="AF2:AF14" si="1">AC2-$P$3-O3</f>
        <v>2.6534370510113732</v>
      </c>
      <c r="AG2" s="223">
        <f>AC2</f>
        <v>11.994363834343771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국립광주박물관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9.3409267833323977</v>
      </c>
      <c r="V3" s="427">
        <f>V2</f>
        <v>120</v>
      </c>
      <c r="W3" s="213">
        <f>W$2</f>
        <v>3.9360442814805681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13.162897317874585</v>
      </c>
      <c r="AC3" s="223">
        <f t="shared" ref="AC3:AC30" si="5">1.6*V3/(4*PI()*W3)*LOG10((2.25*W3*Z3)/(X3*X3*Y3))</f>
        <v>13.162897317874585</v>
      </c>
      <c r="AD3" s="223">
        <f>AB69</f>
        <v>22.600926783332397</v>
      </c>
      <c r="AE3" s="428">
        <f t="shared" ref="AE3:AE66" si="6">AA3</f>
        <v>2</v>
      </c>
      <c r="AF3" s="223">
        <f t="shared" si="1"/>
        <v>3.8219705345421868</v>
      </c>
      <c r="AG3" s="223">
        <f t="shared" ref="AG3:AG16" si="7">AC3</f>
        <v>13.162897317874585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광주광역시 북구 매곡동 430번지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-1.48</v>
      </c>
      <c r="N4" s="56"/>
      <c r="O4" s="179"/>
      <c r="P4" s="179"/>
      <c r="V4" s="427">
        <f t="shared" ref="V4:V67" si="8">V3</f>
        <v>120</v>
      </c>
      <c r="W4" s="213">
        <f t="shared" ref="W4:W67" si="9">W$2</f>
        <v>3.9360442814805681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13.846445586577174</v>
      </c>
      <c r="AC4" s="223">
        <f>1.6*V4/(4*PI()*W4)*LOG10((2.25*W4*Z4)/(X4*X4*Y4))</f>
        <v>13.846445586577174</v>
      </c>
      <c r="AD4" s="223">
        <f>AC69</f>
        <v>22.600926783332397</v>
      </c>
      <c r="AE4" s="428">
        <f t="shared" si="6"/>
        <v>3</v>
      </c>
      <c r="AF4" s="223">
        <f t="shared" si="1"/>
        <v>4.5055188032447759</v>
      </c>
      <c r="AG4" s="223">
        <f t="shared" si="7"/>
        <v>13.846445586577174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-3.45</v>
      </c>
      <c r="N5" s="56"/>
      <c r="O5" s="179"/>
      <c r="P5" s="179"/>
      <c r="V5" s="427">
        <f t="shared" si="8"/>
        <v>120</v>
      </c>
      <c r="W5" s="213">
        <f t="shared" si="9"/>
        <v>3.9360442814805681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14.331430801405398</v>
      </c>
      <c r="AC5" s="223">
        <f t="shared" si="5"/>
        <v>14.331430801405398</v>
      </c>
      <c r="AD5" s="223">
        <f>AF69</f>
        <v>13.26</v>
      </c>
      <c r="AE5" s="428">
        <f t="shared" si="6"/>
        <v>4</v>
      </c>
      <c r="AF5" s="223">
        <f t="shared" si="1"/>
        <v>4.9905040180730005</v>
      </c>
      <c r="AG5" s="223">
        <f t="shared" si="7"/>
        <v>14.331430801405398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-5.61</v>
      </c>
      <c r="N6" s="56"/>
      <c r="O6" s="179"/>
      <c r="P6" s="179"/>
      <c r="V6" s="427">
        <f t="shared" si="8"/>
        <v>120</v>
      </c>
      <c r="W6" s="213">
        <f t="shared" si="9"/>
        <v>3.9360442814805681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14.707614559570567</v>
      </c>
      <c r="AC6" s="223">
        <f t="shared" si="5"/>
        <v>14.707614559570567</v>
      </c>
      <c r="AD6" s="213"/>
      <c r="AE6" s="428">
        <f t="shared" si="6"/>
        <v>5</v>
      </c>
      <c r="AF6" s="223">
        <f t="shared" si="1"/>
        <v>5.3666877762381695</v>
      </c>
      <c r="AG6" s="223">
        <f t="shared" si="7"/>
        <v>14.707614559570567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500</v>
      </c>
      <c r="H7" s="86"/>
      <c r="I7" s="86"/>
      <c r="J7" s="87"/>
      <c r="K7" s="182"/>
      <c r="M7" s="45">
        <f t="shared" si="2"/>
        <v>-7.9</v>
      </c>
      <c r="N7" s="56"/>
      <c r="O7" s="179"/>
      <c r="P7" s="179"/>
      <c r="V7" s="427">
        <f t="shared" si="8"/>
        <v>120</v>
      </c>
      <c r="W7" s="213">
        <f t="shared" si="9"/>
        <v>3.9360442814805681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15.876148043101379</v>
      </c>
      <c r="AC7" s="223">
        <f t="shared" si="5"/>
        <v>15.876148043101379</v>
      </c>
      <c r="AD7" s="213"/>
      <c r="AE7" s="428">
        <f t="shared" si="6"/>
        <v>10</v>
      </c>
      <c r="AF7" s="223">
        <f t="shared" si="1"/>
        <v>6.5352212597689814</v>
      </c>
      <c r="AG7" s="223">
        <f t="shared" si="7"/>
        <v>15.876148043101379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10.24</v>
      </c>
      <c r="E8" s="97"/>
      <c r="F8" s="98" t="s">
        <v>189</v>
      </c>
      <c r="G8" s="102">
        <f>F77</f>
        <v>23.5</v>
      </c>
      <c r="H8" s="94">
        <f>Input!C40</f>
        <v>120</v>
      </c>
      <c r="I8" s="94"/>
      <c r="J8" s="84"/>
      <c r="K8" s="448">
        <f>Input!M50</f>
        <v>13.26</v>
      </c>
      <c r="L8" s="231">
        <f>G10-K11</f>
        <v>1.4849035674805595</v>
      </c>
      <c r="M8" s="45">
        <f t="shared" si="2"/>
        <v>-19.989999999999998</v>
      </c>
      <c r="N8" s="56"/>
      <c r="O8" s="179"/>
      <c r="P8" s="179"/>
      <c r="V8" s="427">
        <f t="shared" si="8"/>
        <v>120</v>
      </c>
      <c r="W8" s="213">
        <f t="shared" si="9"/>
        <v>3.9360442814805681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16.559696311803968</v>
      </c>
      <c r="AC8" s="223">
        <f t="shared" si="5"/>
        <v>16.559696311803968</v>
      </c>
      <c r="AD8" s="213"/>
      <c r="AE8" s="428">
        <f t="shared" si="6"/>
        <v>15</v>
      </c>
      <c r="AF8" s="223">
        <f t="shared" si="1"/>
        <v>7.2187695284715705</v>
      </c>
      <c r="AG8" s="223">
        <f t="shared" si="7"/>
        <v>16.559696311803968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13.26</v>
      </c>
      <c r="M9" s="45">
        <f t="shared" si="2"/>
        <v>-32.57</v>
      </c>
      <c r="N9" s="56"/>
      <c r="O9" s="179"/>
      <c r="P9" s="179"/>
      <c r="V9" s="427">
        <f t="shared" si="8"/>
        <v>120</v>
      </c>
      <c r="W9" s="213">
        <f t="shared" si="9"/>
        <v>3.9360442814805681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17.044681526632193</v>
      </c>
      <c r="AC9" s="223">
        <f t="shared" si="5"/>
        <v>17.044681526632193</v>
      </c>
      <c r="AD9" s="213"/>
      <c r="AE9" s="428">
        <f t="shared" si="6"/>
        <v>20</v>
      </c>
      <c r="AF9" s="223">
        <f t="shared" si="1"/>
        <v>7.703754743299795</v>
      </c>
      <c r="AG9" s="223">
        <f t="shared" si="7"/>
        <v>17.044681526632193</v>
      </c>
    </row>
    <row r="10" spans="1:38" s="42" customFormat="1" ht="21" customHeight="1">
      <c r="A10" s="104">
        <v>1</v>
      </c>
      <c r="B10" s="105">
        <f>Input!C26</f>
        <v>120</v>
      </c>
      <c r="C10" s="106">
        <v>45722.444444444445</v>
      </c>
      <c r="D10" s="107">
        <v>1</v>
      </c>
      <c r="E10" s="97">
        <f>D10/1440</f>
        <v>6.9444444444444447E-4</v>
      </c>
      <c r="F10" s="108">
        <f>G10+D$8</f>
        <v>12.893437051011373</v>
      </c>
      <c r="G10" s="109">
        <f>AF2</f>
        <v>2.6534370510113732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-45.34</v>
      </c>
      <c r="N10" s="56"/>
      <c r="O10" s="179"/>
      <c r="P10" s="179"/>
      <c r="V10" s="427">
        <f t="shared" si="8"/>
        <v>120</v>
      </c>
      <c r="W10" s="213">
        <f t="shared" si="9"/>
        <v>3.9360442814805681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17.420865284797358</v>
      </c>
      <c r="AC10" s="223">
        <f t="shared" si="5"/>
        <v>17.420865284797358</v>
      </c>
      <c r="AD10" s="213"/>
      <c r="AE10" s="428">
        <f t="shared" si="6"/>
        <v>25</v>
      </c>
      <c r="AF10" s="223">
        <f t="shared" si="1"/>
        <v>8.0799385014649605</v>
      </c>
      <c r="AG10" s="223">
        <f t="shared" si="7"/>
        <v>17.420865284797358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14.061970534542187</v>
      </c>
      <c r="G11" s="108">
        <f>AF3</f>
        <v>3.8219705345421868</v>
      </c>
      <c r="H11" s="110"/>
      <c r="I11" s="110"/>
      <c r="J11" s="110"/>
      <c r="K11" s="219">
        <f>G11-G10</f>
        <v>1.1685334835308137</v>
      </c>
      <c r="L11" s="54" t="s">
        <v>21</v>
      </c>
      <c r="N11" s="56"/>
      <c r="O11" s="179"/>
      <c r="V11" s="427">
        <f t="shared" si="8"/>
        <v>120</v>
      </c>
      <c r="W11" s="213">
        <f t="shared" si="9"/>
        <v>3.9360442814805681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17.72822979533478</v>
      </c>
      <c r="AC11" s="223">
        <f t="shared" si="5"/>
        <v>17.72822979533478</v>
      </c>
      <c r="AD11" s="213"/>
      <c r="AE11" s="428">
        <f t="shared" si="6"/>
        <v>30</v>
      </c>
      <c r="AF11" s="223">
        <f t="shared" si="1"/>
        <v>8.3873030120023824</v>
      </c>
      <c r="AG11" s="223">
        <f t="shared" si="7"/>
        <v>17.72822979533478</v>
      </c>
    </row>
    <row r="12" spans="1:38" s="42" customFormat="1" ht="21" customHeight="1">
      <c r="A12" s="104"/>
      <c r="B12" s="104"/>
      <c r="C12" s="106">
        <f>$C$10+D12/1440</f>
        <v>45722.446527777778</v>
      </c>
      <c r="D12" s="107">
        <v>3</v>
      </c>
      <c r="E12" s="97">
        <f t="shared" si="12"/>
        <v>2.0833333333333333E-3</v>
      </c>
      <c r="F12" s="108">
        <f t="shared" si="13"/>
        <v>14.745518803244776</v>
      </c>
      <c r="G12" s="108">
        <f t="shared" ref="G12:G74" si="14">AF4</f>
        <v>4.5055188032447759</v>
      </c>
      <c r="H12" s="110"/>
      <c r="I12" s="110"/>
      <c r="J12" s="110"/>
      <c r="K12" s="219">
        <f t="shared" ref="K12:K47" si="15">G12-G11</f>
        <v>0.68354826870258911</v>
      </c>
      <c r="L12" s="54" t="s">
        <v>21</v>
      </c>
      <c r="N12" s="56"/>
      <c r="O12" s="179"/>
      <c r="V12" s="427">
        <f t="shared" si="8"/>
        <v>120</v>
      </c>
      <c r="W12" s="213">
        <f t="shared" si="9"/>
        <v>3.9360442814805681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17.988102786149913</v>
      </c>
      <c r="AC12" s="223">
        <f t="shared" si="5"/>
        <v>17.988102786149913</v>
      </c>
      <c r="AD12" s="213"/>
      <c r="AE12" s="428">
        <f t="shared" si="6"/>
        <v>35</v>
      </c>
      <c r="AF12" s="223">
        <f t="shared" si="1"/>
        <v>8.6471760028175151</v>
      </c>
      <c r="AG12" s="223">
        <f t="shared" si="7"/>
        <v>17.988102786149913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15.230504018073001</v>
      </c>
      <c r="G13" s="108">
        <f t="shared" si="14"/>
        <v>4.9905040180730005</v>
      </c>
      <c r="H13" s="110"/>
      <c r="I13" s="110"/>
      <c r="J13" s="110"/>
      <c r="K13" s="219">
        <f t="shared" si="15"/>
        <v>0.48498521482822454</v>
      </c>
      <c r="L13" s="54" t="s">
        <v>21</v>
      </c>
      <c r="M13" s="181">
        <v>0</v>
      </c>
      <c r="N13" s="56"/>
      <c r="O13" s="179"/>
      <c r="V13" s="427">
        <f t="shared" si="8"/>
        <v>120</v>
      </c>
      <c r="W13" s="213">
        <f t="shared" si="9"/>
        <v>3.9360442814805681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18.213215010163005</v>
      </c>
      <c r="AC13" s="223">
        <f t="shared" si="5"/>
        <v>18.213215010163005</v>
      </c>
      <c r="AD13" s="213"/>
      <c r="AE13" s="428">
        <f t="shared" si="6"/>
        <v>40</v>
      </c>
      <c r="AF13" s="223">
        <f t="shared" si="1"/>
        <v>8.8722882268306069</v>
      </c>
      <c r="AG13" s="223">
        <f t="shared" si="7"/>
        <v>18.213215010163005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15.60668777623817</v>
      </c>
      <c r="G14" s="108">
        <f t="shared" si="14"/>
        <v>5.3666877762381695</v>
      </c>
      <c r="H14" s="110"/>
      <c r="I14" s="110"/>
      <c r="J14" s="110"/>
      <c r="K14" s="219">
        <f t="shared" si="15"/>
        <v>0.37618375816516902</v>
      </c>
      <c r="L14" s="54" t="s">
        <v>21</v>
      </c>
      <c r="N14" s="56"/>
      <c r="O14" s="179"/>
      <c r="V14" s="427">
        <f t="shared" si="8"/>
        <v>120</v>
      </c>
      <c r="W14" s="213">
        <f t="shared" si="9"/>
        <v>3.9360442814805681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18.411778064037371</v>
      </c>
      <c r="AC14" s="223">
        <f t="shared" si="5"/>
        <v>18.411778064037371</v>
      </c>
      <c r="AD14" s="213"/>
      <c r="AE14" s="428">
        <f t="shared" si="6"/>
        <v>45</v>
      </c>
      <c r="AF14" s="223">
        <f t="shared" si="1"/>
        <v>9.0708512807049733</v>
      </c>
      <c r="AG14" s="223">
        <f t="shared" si="7"/>
        <v>18.411778064037371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16.775221259768983</v>
      </c>
      <c r="G15" s="108">
        <f t="shared" si="14"/>
        <v>6.5352212597689814</v>
      </c>
      <c r="H15" s="110"/>
      <c r="I15" s="110"/>
      <c r="J15" s="110"/>
      <c r="K15" s="219">
        <f t="shared" si="15"/>
        <v>1.1685334835308119</v>
      </c>
      <c r="L15" s="54" t="s">
        <v>21</v>
      </c>
      <c r="N15" s="57"/>
      <c r="O15" s="43"/>
      <c r="V15" s="427">
        <f t="shared" si="8"/>
        <v>120</v>
      </c>
      <c r="W15" s="213">
        <f t="shared" si="9"/>
        <v>3.9360442814805681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18.589398768328174</v>
      </c>
      <c r="AC15" s="223">
        <f t="shared" si="5"/>
        <v>18.589398768328174</v>
      </c>
      <c r="AD15" s="213"/>
      <c r="AE15" s="428">
        <f t="shared" si="6"/>
        <v>50</v>
      </c>
      <c r="AF15" s="223">
        <f>AC15-$P$3</f>
        <v>9.2484719849957759</v>
      </c>
      <c r="AG15" s="223">
        <f t="shared" si="7"/>
        <v>18.589398768328174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17.458769528471571</v>
      </c>
      <c r="G16" s="108">
        <f t="shared" si="14"/>
        <v>7.2187695284715705</v>
      </c>
      <c r="H16" s="110"/>
      <c r="I16" s="110"/>
      <c r="J16" s="110"/>
      <c r="K16" s="219">
        <f t="shared" si="15"/>
        <v>0.68354826870258911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120</v>
      </c>
      <c r="W16" s="213">
        <f t="shared" si="9"/>
        <v>3.9360442814805681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18.750076239933446</v>
      </c>
      <c r="AC16" s="223">
        <f t="shared" si="5"/>
        <v>18.750076239933446</v>
      </c>
      <c r="AD16" s="213"/>
      <c r="AE16" s="428">
        <f t="shared" si="6"/>
        <v>55</v>
      </c>
      <c r="AF16" s="223">
        <f>AC16-$P$3</f>
        <v>9.4091494566010478</v>
      </c>
      <c r="AG16" s="223">
        <f t="shared" si="7"/>
        <v>18.750076239933446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17.943754743299795</v>
      </c>
      <c r="G17" s="108">
        <f t="shared" si="14"/>
        <v>7.703754743299795</v>
      </c>
      <c r="H17" s="110"/>
      <c r="I17" s="110"/>
      <c r="J17" s="110"/>
      <c r="K17" s="219">
        <f t="shared" si="15"/>
        <v>0.48498521482822454</v>
      </c>
      <c r="L17" s="467">
        <f>D10</f>
        <v>1</v>
      </c>
      <c r="M17" s="300">
        <f>INT(B10/1440*10000)/10000</f>
        <v>8.3299999999999999E-2</v>
      </c>
      <c r="N17" s="300">
        <f>L17*M17</f>
        <v>8.3299999999999999E-2</v>
      </c>
      <c r="O17" s="300">
        <f>INT((D7/2/1000)^2*PI()*100000)/100000</f>
        <v>3.141E-2</v>
      </c>
      <c r="P17" s="300">
        <f>INT(N17/O17*100)/100</f>
        <v>2.65</v>
      </c>
      <c r="Q17" s="468">
        <f>INT((G10-P17)*100)/100</f>
        <v>0</v>
      </c>
      <c r="V17" s="427">
        <f t="shared" si="8"/>
        <v>120</v>
      </c>
      <c r="W17" s="213">
        <f t="shared" si="9"/>
        <v>3.9360442814805681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18.896763278865595</v>
      </c>
      <c r="AC17" s="223">
        <f t="shared" si="5"/>
        <v>18.896763278865595</v>
      </c>
      <c r="AD17" s="213"/>
      <c r="AE17" s="428">
        <f t="shared" si="6"/>
        <v>60</v>
      </c>
      <c r="AF17" s="223">
        <f>AC17-$P$3</f>
        <v>9.5558364955331978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18.319938501464961</v>
      </c>
      <c r="G18" s="108">
        <f t="shared" si="14"/>
        <v>8.0799385014649605</v>
      </c>
      <c r="H18" s="110"/>
      <c r="I18" s="110"/>
      <c r="J18" s="110"/>
      <c r="K18" s="219">
        <f t="shared" si="15"/>
        <v>0.37618375816516547</v>
      </c>
      <c r="L18" s="467">
        <f t="shared" ref="L18:L31" si="16">D11</f>
        <v>2</v>
      </c>
      <c r="M18" s="300">
        <f>M17</f>
        <v>8.3299999999999999E-2</v>
      </c>
      <c r="N18" s="300">
        <f>L18*M18</f>
        <v>0.1666</v>
      </c>
      <c r="O18" s="300">
        <f>O17</f>
        <v>3.141E-2</v>
      </c>
      <c r="P18" s="300">
        <f>INT(N18/O18*100)/100</f>
        <v>5.3</v>
      </c>
      <c r="Q18" s="468">
        <f t="shared" ref="Q18:Q27" si="17">INT((G11-P18)*100)/100</f>
        <v>-1.48</v>
      </c>
      <c r="V18" s="427">
        <f t="shared" si="8"/>
        <v>120</v>
      </c>
      <c r="W18" s="213">
        <f t="shared" si="9"/>
        <v>3.9360442814805681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19.272947037030761</v>
      </c>
      <c r="AC18" s="223">
        <f t="shared" si="5"/>
        <v>19.272947037030761</v>
      </c>
      <c r="AD18" s="213"/>
      <c r="AE18" s="428">
        <f t="shared" si="6"/>
        <v>75</v>
      </c>
      <c r="AF18" s="223">
        <f>AC18-$P$3</f>
        <v>9.9320202536983633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18.627303012002383</v>
      </c>
      <c r="G19" s="108">
        <f t="shared" si="14"/>
        <v>8.3873030120023824</v>
      </c>
      <c r="H19" s="110"/>
      <c r="I19" s="110"/>
      <c r="J19" s="110"/>
      <c r="K19" s="219">
        <f t="shared" si="15"/>
        <v>0.30736451053742186</v>
      </c>
      <c r="L19" s="467">
        <f t="shared" si="16"/>
        <v>3</v>
      </c>
      <c r="M19" s="300">
        <f>M18</f>
        <v>8.3299999999999999E-2</v>
      </c>
      <c r="N19" s="300">
        <f t="shared" ref="N19:N27" si="18">L19*M19</f>
        <v>0.24990000000000001</v>
      </c>
      <c r="O19" s="300">
        <f t="shared" ref="O19:O31" si="19">O18</f>
        <v>3.141E-2</v>
      </c>
      <c r="P19" s="300">
        <f>INT(N19/O19*100)/100</f>
        <v>7.95</v>
      </c>
      <c r="Q19" s="468">
        <f t="shared" si="17"/>
        <v>-3.45</v>
      </c>
      <c r="V19" s="427">
        <f t="shared" si="8"/>
        <v>120</v>
      </c>
      <c r="W19" s="213">
        <f t="shared" si="9"/>
        <v>3.9360442814805681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19.580311547568183</v>
      </c>
      <c r="AC19" s="223">
        <f t="shared" si="5"/>
        <v>19.580311547568183</v>
      </c>
      <c r="AD19" s="213"/>
      <c r="AE19" s="428">
        <f t="shared" si="6"/>
        <v>90</v>
      </c>
      <c r="AF19" s="223">
        <f>AC19-$P$3</f>
        <v>10.239384764235785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18.887176002817515</v>
      </c>
      <c r="G20" s="108">
        <f t="shared" si="14"/>
        <v>8.6471760028175151</v>
      </c>
      <c r="H20" s="110"/>
      <c r="I20" s="110"/>
      <c r="J20" s="110"/>
      <c r="K20" s="219">
        <f t="shared" si="15"/>
        <v>0.25987299081513271</v>
      </c>
      <c r="L20" s="467">
        <f t="shared" si="16"/>
        <v>4</v>
      </c>
      <c r="M20" s="300">
        <f>M19</f>
        <v>8.3299999999999999E-2</v>
      </c>
      <c r="N20" s="300">
        <f>L20*M20</f>
        <v>0.3332</v>
      </c>
      <c r="O20" s="300">
        <f>O19</f>
        <v>3.141E-2</v>
      </c>
      <c r="P20" s="300">
        <f>INT(N20/O20*100)/100</f>
        <v>10.6</v>
      </c>
      <c r="Q20" s="468">
        <f t="shared" si="17"/>
        <v>-5.61</v>
      </c>
      <c r="V20" s="427">
        <f t="shared" si="8"/>
        <v>120</v>
      </c>
      <c r="W20" s="213">
        <f t="shared" si="9"/>
        <v>3.9360442814805681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19.840184538383316</v>
      </c>
      <c r="AC20" s="223">
        <f t="shared" si="5"/>
        <v>19.840184538383316</v>
      </c>
      <c r="AD20" s="213"/>
      <c r="AE20" s="428">
        <f t="shared" si="6"/>
        <v>105</v>
      </c>
      <c r="AF20" s="223">
        <f t="shared" ref="AF20:AF69" si="20">AC20-$P$3</f>
        <v>10.499257755050918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19.112288226830607</v>
      </c>
      <c r="G21" s="108">
        <f t="shared" si="14"/>
        <v>8.8722882268306069</v>
      </c>
      <c r="H21" s="110"/>
      <c r="I21" s="110"/>
      <c r="J21" s="110"/>
      <c r="K21" s="219">
        <f t="shared" si="15"/>
        <v>0.22511222401309183</v>
      </c>
      <c r="L21" s="467">
        <f t="shared" si="16"/>
        <v>5</v>
      </c>
      <c r="M21" s="300">
        <f>M20</f>
        <v>8.3299999999999999E-2</v>
      </c>
      <c r="N21" s="300">
        <f t="shared" si="18"/>
        <v>0.41649999999999998</v>
      </c>
      <c r="O21" s="300">
        <f t="shared" si="19"/>
        <v>3.141E-2</v>
      </c>
      <c r="P21" s="300">
        <f>INT(N21/O21*100)/100</f>
        <v>13.26</v>
      </c>
      <c r="Q21" s="468">
        <f t="shared" si="17"/>
        <v>-7.9</v>
      </c>
      <c r="V21" s="427">
        <f t="shared" si="8"/>
        <v>120</v>
      </c>
      <c r="W21" s="213">
        <f t="shared" si="9"/>
        <v>3.9360442814805681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20.065296762396407</v>
      </c>
      <c r="AC21" s="223">
        <f t="shared" si="5"/>
        <v>20.065296762396407</v>
      </c>
      <c r="AD21" s="213"/>
      <c r="AE21" s="428">
        <f t="shared" si="6"/>
        <v>120</v>
      </c>
      <c r="AF21" s="223">
        <f t="shared" si="20"/>
        <v>10.72436997906401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19.310851280704973</v>
      </c>
      <c r="G22" s="108">
        <f t="shared" si="14"/>
        <v>9.0708512807049733</v>
      </c>
      <c r="H22" s="110"/>
      <c r="I22" s="110"/>
      <c r="J22" s="110"/>
      <c r="K22" s="219">
        <f t="shared" si="15"/>
        <v>0.19856305387436635</v>
      </c>
      <c r="L22" s="467">
        <f t="shared" si="16"/>
        <v>10</v>
      </c>
      <c r="M22" s="300">
        <f t="shared" ref="M22:M31" si="21">M21</f>
        <v>8.3299999999999999E-2</v>
      </c>
      <c r="N22" s="300">
        <f>L22*M22</f>
        <v>0.83299999999999996</v>
      </c>
      <c r="O22" s="300">
        <f>O21</f>
        <v>3.141E-2</v>
      </c>
      <c r="P22" s="300">
        <f t="shared" ref="P22:P27" si="22">INT(N22/O22*100)/100</f>
        <v>26.52</v>
      </c>
      <c r="Q22" s="468">
        <f t="shared" si="17"/>
        <v>-19.989999999999998</v>
      </c>
      <c r="V22" s="427">
        <f t="shared" si="8"/>
        <v>120</v>
      </c>
      <c r="W22" s="213">
        <f t="shared" si="9"/>
        <v>3.9360442814805681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20.32516975321154</v>
      </c>
      <c r="AC22" s="223">
        <f t="shared" si="5"/>
        <v>20.32516975321154</v>
      </c>
      <c r="AD22" s="213"/>
      <c r="AE22" s="428">
        <f t="shared" si="6"/>
        <v>140</v>
      </c>
      <c r="AF22" s="223">
        <f t="shared" si="20"/>
        <v>10.984242969879142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19.488471984995776</v>
      </c>
      <c r="G23" s="108">
        <f t="shared" si="14"/>
        <v>9.2484719849957759</v>
      </c>
      <c r="H23" s="110"/>
      <c r="I23" s="110"/>
      <c r="J23" s="110"/>
      <c r="K23" s="219">
        <f t="shared" si="15"/>
        <v>0.17762070429080268</v>
      </c>
      <c r="L23" s="467">
        <f t="shared" si="16"/>
        <v>15</v>
      </c>
      <c r="M23" s="300">
        <f t="shared" si="21"/>
        <v>8.3299999999999999E-2</v>
      </c>
      <c r="N23" s="300">
        <f t="shared" si="18"/>
        <v>1.2495000000000001</v>
      </c>
      <c r="O23" s="300">
        <f t="shared" si="19"/>
        <v>3.141E-2</v>
      </c>
      <c r="P23" s="300">
        <f t="shared" si="22"/>
        <v>39.78</v>
      </c>
      <c r="Q23" s="468">
        <f t="shared" si="17"/>
        <v>-32.57</v>
      </c>
      <c r="V23" s="427">
        <f t="shared" si="8"/>
        <v>120</v>
      </c>
      <c r="W23" s="213">
        <f t="shared" si="9"/>
        <v>3.9360442814805681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20.550281977224632</v>
      </c>
      <c r="AC23" s="223">
        <f t="shared" si="5"/>
        <v>20.550281977224632</v>
      </c>
      <c r="AD23" s="213"/>
      <c r="AE23" s="428">
        <f t="shared" si="6"/>
        <v>160</v>
      </c>
      <c r="AF23" s="223">
        <f t="shared" si="20"/>
        <v>11.209355193892234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19.649149456601048</v>
      </c>
      <c r="G24" s="108">
        <f t="shared" si="14"/>
        <v>9.4091494566010478</v>
      </c>
      <c r="H24" s="110"/>
      <c r="I24" s="110"/>
      <c r="J24" s="110"/>
      <c r="K24" s="219">
        <f t="shared" si="15"/>
        <v>0.1606774716052719</v>
      </c>
      <c r="L24" s="467">
        <f t="shared" si="16"/>
        <v>20</v>
      </c>
      <c r="M24" s="300">
        <f t="shared" si="21"/>
        <v>8.3299999999999999E-2</v>
      </c>
      <c r="N24" s="300">
        <f t="shared" si="18"/>
        <v>1.6659999999999999</v>
      </c>
      <c r="O24" s="300">
        <f t="shared" si="19"/>
        <v>3.141E-2</v>
      </c>
      <c r="P24" s="300">
        <f t="shared" si="22"/>
        <v>53.04</v>
      </c>
      <c r="Q24" s="468">
        <f t="shared" si="17"/>
        <v>-45.34</v>
      </c>
      <c r="V24" s="427">
        <f t="shared" si="8"/>
        <v>120</v>
      </c>
      <c r="W24" s="213">
        <f t="shared" si="9"/>
        <v>3.9360442814805681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20.748845031098998</v>
      </c>
      <c r="AC24" s="223">
        <f t="shared" si="5"/>
        <v>20.748845031098998</v>
      </c>
      <c r="AD24" s="213"/>
      <c r="AE24" s="428">
        <f t="shared" si="6"/>
        <v>180</v>
      </c>
      <c r="AF24" s="223">
        <f t="shared" si="20"/>
        <v>11.407918247766601</v>
      </c>
      <c r="AG24" s="213"/>
    </row>
    <row r="25" spans="1:33" s="42" customFormat="1" ht="21" customHeight="1">
      <c r="A25" s="104"/>
      <c r="B25" s="104"/>
      <c r="C25" s="106">
        <f>$C$10+D25/1440</f>
        <v>45722.486111111109</v>
      </c>
      <c r="D25" s="107">
        <v>60</v>
      </c>
      <c r="E25" s="97">
        <f t="shared" si="12"/>
        <v>4.1666666666666664E-2</v>
      </c>
      <c r="F25" s="108">
        <f t="shared" si="13"/>
        <v>19.795836495533198</v>
      </c>
      <c r="G25" s="108">
        <f t="shared" si="14"/>
        <v>9.5558364955331978</v>
      </c>
      <c r="H25" s="110"/>
      <c r="I25" s="110"/>
      <c r="J25" s="110"/>
      <c r="K25" s="219">
        <f t="shared" si="15"/>
        <v>0.14668703893214996</v>
      </c>
      <c r="L25" s="467">
        <f t="shared" si="16"/>
        <v>25</v>
      </c>
      <c r="M25" s="300">
        <f t="shared" si="21"/>
        <v>8.3299999999999999E-2</v>
      </c>
      <c r="N25" s="300">
        <f t="shared" si="18"/>
        <v>2.0825</v>
      </c>
      <c r="O25" s="300">
        <f t="shared" si="19"/>
        <v>3.141E-2</v>
      </c>
      <c r="P25" s="300">
        <f t="shared" si="22"/>
        <v>66.3</v>
      </c>
      <c r="Q25" s="468">
        <f t="shared" si="17"/>
        <v>-58.23</v>
      </c>
      <c r="V25" s="427">
        <f t="shared" si="8"/>
        <v>120</v>
      </c>
      <c r="W25" s="213">
        <f t="shared" si="9"/>
        <v>3.9360442814805681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21.233830245927223</v>
      </c>
      <c r="AC25" s="223">
        <f t="shared" si="5"/>
        <v>21.233830245927223</v>
      </c>
      <c r="AD25" s="213"/>
      <c r="AE25" s="428">
        <f t="shared" si="6"/>
        <v>240</v>
      </c>
      <c r="AF25" s="223">
        <f t="shared" si="20"/>
        <v>11.892903462594825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20.172020253698363</v>
      </c>
      <c r="G26" s="108">
        <f t="shared" si="14"/>
        <v>9.9320202536983633</v>
      </c>
      <c r="H26" s="110"/>
      <c r="I26" s="110"/>
      <c r="J26" s="110"/>
      <c r="K26" s="219">
        <f t="shared" si="15"/>
        <v>0.37618375816516547</v>
      </c>
      <c r="L26" s="467">
        <f t="shared" si="16"/>
        <v>30</v>
      </c>
      <c r="M26" s="300">
        <f t="shared" si="21"/>
        <v>8.3299999999999999E-2</v>
      </c>
      <c r="N26" s="300">
        <f t="shared" si="18"/>
        <v>2.4990000000000001</v>
      </c>
      <c r="O26" s="300">
        <f t="shared" si="19"/>
        <v>3.141E-2</v>
      </c>
      <c r="P26" s="300">
        <f t="shared" si="22"/>
        <v>79.56</v>
      </c>
      <c r="Q26" s="468">
        <f t="shared" si="17"/>
        <v>-71.180000000000007</v>
      </c>
      <c r="V26" s="427">
        <f t="shared" si="8"/>
        <v>120</v>
      </c>
      <c r="W26" s="213">
        <f t="shared" si="9"/>
        <v>3.9360442814805681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21.610014004092388</v>
      </c>
      <c r="AC26" s="223">
        <f t="shared" si="5"/>
        <v>21.610014004092388</v>
      </c>
      <c r="AD26" s="213"/>
      <c r="AE26" s="428">
        <f t="shared" si="6"/>
        <v>300</v>
      </c>
      <c r="AF26" s="223">
        <f t="shared" si="20"/>
        <v>12.269087220759991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20.479384764235785</v>
      </c>
      <c r="G27" s="108">
        <f t="shared" si="14"/>
        <v>10.239384764235785</v>
      </c>
      <c r="H27" s="110"/>
      <c r="I27" s="110"/>
      <c r="J27" s="110"/>
      <c r="K27" s="219">
        <f t="shared" si="15"/>
        <v>0.30736451053742186</v>
      </c>
      <c r="L27" s="467">
        <f t="shared" si="16"/>
        <v>35</v>
      </c>
      <c r="M27" s="300">
        <f t="shared" si="21"/>
        <v>8.3299999999999999E-2</v>
      </c>
      <c r="N27" s="300">
        <f t="shared" si="18"/>
        <v>2.9154999999999998</v>
      </c>
      <c r="O27" s="300">
        <f t="shared" si="19"/>
        <v>3.141E-2</v>
      </c>
      <c r="P27" s="300">
        <f t="shared" si="22"/>
        <v>92.82</v>
      </c>
      <c r="Q27" s="468">
        <f t="shared" si="17"/>
        <v>-84.18</v>
      </c>
      <c r="V27" s="427">
        <f t="shared" si="8"/>
        <v>120</v>
      </c>
      <c r="W27" s="213">
        <f t="shared" si="9"/>
        <v>3.9360442814805681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21.91737851462981</v>
      </c>
      <c r="AC27" s="223">
        <f t="shared" si="5"/>
        <v>21.91737851462981</v>
      </c>
      <c r="AD27" s="213"/>
      <c r="AE27" s="428">
        <f t="shared" si="6"/>
        <v>360</v>
      </c>
      <c r="AF27" s="223">
        <f t="shared" si="20"/>
        <v>12.576451731297412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20.739257755050918</v>
      </c>
      <c r="G28" s="108">
        <f t="shared" si="14"/>
        <v>10.499257755050918</v>
      </c>
      <c r="H28" s="110"/>
      <c r="I28" s="110"/>
      <c r="J28" s="110"/>
      <c r="K28" s="219">
        <f t="shared" si="15"/>
        <v>0.25987299081513271</v>
      </c>
      <c r="L28" s="467">
        <f t="shared" si="16"/>
        <v>40</v>
      </c>
      <c r="M28" s="300">
        <f t="shared" si="21"/>
        <v>8.3299999999999999E-2</v>
      </c>
      <c r="N28" s="300">
        <f>L28*M28</f>
        <v>3.3319999999999999</v>
      </c>
      <c r="O28" s="300">
        <f t="shared" si="19"/>
        <v>3.141E-2</v>
      </c>
      <c r="P28" s="300">
        <f>INT(N28/O28*100)/100</f>
        <v>106.08</v>
      </c>
      <c r="Q28" s="468">
        <f>INT((G21-P28)*100)/100</f>
        <v>-97.21</v>
      </c>
      <c r="S28"/>
      <c r="V28" s="427">
        <f t="shared" si="8"/>
        <v>120</v>
      </c>
      <c r="W28" s="213">
        <f t="shared" si="9"/>
        <v>3.9360442814805681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22.177251505444943</v>
      </c>
      <c r="AC28" s="223">
        <f t="shared" si="5"/>
        <v>22.177251505444943</v>
      </c>
      <c r="AD28" s="213"/>
      <c r="AE28" s="428">
        <f t="shared" si="6"/>
        <v>420</v>
      </c>
      <c r="AF28" s="223">
        <f t="shared" si="20"/>
        <v>12.836324722112545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20.96436997906401</v>
      </c>
      <c r="G29" s="108">
        <f t="shared" si="14"/>
        <v>10.72436997906401</v>
      </c>
      <c r="H29" s="110"/>
      <c r="I29" s="110"/>
      <c r="J29" s="110"/>
      <c r="K29" s="219">
        <f t="shared" si="15"/>
        <v>0.22511222401309183</v>
      </c>
      <c r="L29" s="467">
        <f t="shared" si="16"/>
        <v>45</v>
      </c>
      <c r="M29" s="300">
        <f t="shared" si="21"/>
        <v>8.3299999999999999E-2</v>
      </c>
      <c r="N29" s="300">
        <f>L29*M29</f>
        <v>3.7484999999999999</v>
      </c>
      <c r="O29" s="300">
        <f t="shared" si="19"/>
        <v>3.141E-2</v>
      </c>
      <c r="P29" s="300">
        <f>INT(N29/O29*100)/100</f>
        <v>119.34</v>
      </c>
      <c r="Q29" s="468">
        <f>INT((G22-P29)*100)/100</f>
        <v>-110.27</v>
      </c>
      <c r="V29" s="427">
        <f t="shared" si="8"/>
        <v>120</v>
      </c>
      <c r="W29" s="213">
        <f t="shared" si="9"/>
        <v>3.9360442814805681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22.402363729458035</v>
      </c>
      <c r="AC29" s="223">
        <f t="shared" si="5"/>
        <v>22.402363729458035</v>
      </c>
      <c r="AD29" s="213"/>
      <c r="AE29" s="428">
        <f t="shared" si="6"/>
        <v>480</v>
      </c>
      <c r="AF29" s="223">
        <f t="shared" si="20"/>
        <v>13.061436946125637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21.224242969879143</v>
      </c>
      <c r="G30" s="108">
        <f t="shared" si="14"/>
        <v>10.984242969879142</v>
      </c>
      <c r="H30" s="110"/>
      <c r="I30" s="110"/>
      <c r="J30" s="110"/>
      <c r="K30" s="219">
        <f t="shared" si="15"/>
        <v>0.25987299081513271</v>
      </c>
      <c r="L30" s="467">
        <f t="shared" si="16"/>
        <v>50</v>
      </c>
      <c r="M30" s="300">
        <f t="shared" si="21"/>
        <v>8.3299999999999999E-2</v>
      </c>
      <c r="N30" s="300">
        <f>L30*M30</f>
        <v>4.165</v>
      </c>
      <c r="O30" s="300">
        <f t="shared" si="19"/>
        <v>3.141E-2</v>
      </c>
      <c r="P30" s="300">
        <f>INT(N30/O30*100)/100</f>
        <v>132.6</v>
      </c>
      <c r="Q30" s="468">
        <f>INT((G23-P30)*100)/100</f>
        <v>-123.36</v>
      </c>
      <c r="V30" s="427">
        <f t="shared" si="8"/>
        <v>120</v>
      </c>
      <c r="W30" s="213">
        <f t="shared" si="9"/>
        <v>3.9360442814805681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22.600926783332397</v>
      </c>
      <c r="AC30" s="223">
        <f t="shared" si="5"/>
        <v>22.600926783332397</v>
      </c>
      <c r="AD30" s="213"/>
      <c r="AE30" s="428">
        <f t="shared" si="6"/>
        <v>540</v>
      </c>
      <c r="AF30" s="223">
        <f t="shared" si="20"/>
        <v>13.26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21.449355193892234</v>
      </c>
      <c r="G31" s="108">
        <f t="shared" si="14"/>
        <v>11.209355193892234</v>
      </c>
      <c r="H31" s="110"/>
      <c r="I31" s="110"/>
      <c r="J31" s="110"/>
      <c r="K31" s="219">
        <f t="shared" si="15"/>
        <v>0.22511222401309183</v>
      </c>
      <c r="L31" s="469">
        <f t="shared" si="16"/>
        <v>55</v>
      </c>
      <c r="M31" s="470">
        <f t="shared" si="21"/>
        <v>8.3299999999999999E-2</v>
      </c>
      <c r="N31" s="470">
        <f>L31*M31</f>
        <v>4.5815000000000001</v>
      </c>
      <c r="O31" s="470">
        <f t="shared" si="19"/>
        <v>3.141E-2</v>
      </c>
      <c r="P31" s="470">
        <f>INT(N31/O31*100)/100</f>
        <v>145.86000000000001</v>
      </c>
      <c r="Q31" s="471">
        <f>INT((G24-P31)*100)/100</f>
        <v>-136.46</v>
      </c>
      <c r="V31" s="427">
        <f t="shared" si="8"/>
        <v>120</v>
      </c>
      <c r="W31" s="213">
        <f t="shared" si="9"/>
        <v>3.9360442814805681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22.600926783332397</v>
      </c>
      <c r="AC31" s="223">
        <f t="shared" ref="AC31:AC34" si="23">AC30</f>
        <v>22.600926783332397</v>
      </c>
      <c r="AD31" s="213"/>
      <c r="AE31" s="428">
        <f t="shared" si="6"/>
        <v>600</v>
      </c>
      <c r="AF31" s="223">
        <f t="shared" si="20"/>
        <v>13.26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21.647918247766601</v>
      </c>
      <c r="G32" s="108">
        <f t="shared" si="14"/>
        <v>11.407918247766601</v>
      </c>
      <c r="H32" s="110"/>
      <c r="I32" s="110"/>
      <c r="J32" s="110"/>
      <c r="K32" s="219">
        <f t="shared" si="15"/>
        <v>0.19856305387436635</v>
      </c>
      <c r="L32" s="58" t="s">
        <v>21</v>
      </c>
      <c r="O32" s="59"/>
      <c r="V32" s="427">
        <f t="shared" si="8"/>
        <v>120</v>
      </c>
      <c r="W32" s="213">
        <f t="shared" si="9"/>
        <v>3.9360442814805681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22.600926783332397</v>
      </c>
      <c r="AC32" s="223">
        <f t="shared" si="23"/>
        <v>22.600926783332397</v>
      </c>
      <c r="AD32" s="213"/>
      <c r="AE32" s="428">
        <f t="shared" si="6"/>
        <v>660</v>
      </c>
      <c r="AF32" s="223">
        <f t="shared" si="20"/>
        <v>13.26</v>
      </c>
      <c r="AG32" s="213"/>
    </row>
    <row r="33" spans="1:33" s="42" customFormat="1" ht="21" customHeight="1">
      <c r="A33" s="104"/>
      <c r="B33" s="104"/>
      <c r="C33" s="106">
        <f>$C$10+D33/1440</f>
        <v>45722.611111111109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22.132903462594825</v>
      </c>
      <c r="G33" s="108">
        <f t="shared" si="14"/>
        <v>11.892903462594825</v>
      </c>
      <c r="H33" s="110"/>
      <c r="I33" s="110"/>
      <c r="J33" s="110"/>
      <c r="K33" s="219">
        <f t="shared" si="15"/>
        <v>0.48498521482822454</v>
      </c>
      <c r="L33" s="54" t="s">
        <v>21</v>
      </c>
      <c r="O33" s="59"/>
      <c r="V33" s="427">
        <f t="shared" si="8"/>
        <v>120</v>
      </c>
      <c r="W33" s="213">
        <f t="shared" si="9"/>
        <v>3.9360442814805681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22.600926783332397</v>
      </c>
      <c r="AC33" s="223">
        <f t="shared" si="23"/>
        <v>22.600926783332397</v>
      </c>
      <c r="AD33" s="213"/>
      <c r="AE33" s="428">
        <f t="shared" si="6"/>
        <v>720</v>
      </c>
      <c r="AF33" s="223">
        <f t="shared" si="20"/>
        <v>13.26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22.509087220759991</v>
      </c>
      <c r="G34" s="108">
        <f t="shared" si="14"/>
        <v>12.269087220759991</v>
      </c>
      <c r="H34" s="110"/>
      <c r="I34" s="110"/>
      <c r="J34" s="110"/>
      <c r="K34" s="219">
        <f t="shared" si="15"/>
        <v>0.37618375816516547</v>
      </c>
      <c r="L34" s="54" t="s">
        <v>21</v>
      </c>
      <c r="P34" s="59"/>
      <c r="V34" s="427">
        <f t="shared" si="8"/>
        <v>120</v>
      </c>
      <c r="W34" s="213">
        <f t="shared" si="9"/>
        <v>3.9360442814805681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22.600926783332397</v>
      </c>
      <c r="AC34" s="223">
        <f t="shared" si="23"/>
        <v>22.600926783332397</v>
      </c>
      <c r="AD34" s="213"/>
      <c r="AE34" s="428">
        <f t="shared" si="6"/>
        <v>780</v>
      </c>
      <c r="AF34" s="223">
        <f t="shared" si="20"/>
        <v>13.26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22.816451731297413</v>
      </c>
      <c r="G35" s="108">
        <f t="shared" si="14"/>
        <v>12.576451731297412</v>
      </c>
      <c r="H35" s="110"/>
      <c r="I35" s="110"/>
      <c r="J35" s="110"/>
      <c r="K35" s="219">
        <f t="shared" si="15"/>
        <v>0.30736451053742186</v>
      </c>
      <c r="L35" s="54" t="s">
        <v>21</v>
      </c>
      <c r="O35" s="59"/>
      <c r="V35" s="427">
        <f t="shared" si="8"/>
        <v>120</v>
      </c>
      <c r="W35" s="213">
        <f t="shared" si="9"/>
        <v>3.9360442814805681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22.600926783332397</v>
      </c>
      <c r="AC35" s="223">
        <f t="shared" ref="AC35:AC38" si="25">AC34</f>
        <v>22.600926783332397</v>
      </c>
      <c r="AD35" s="213"/>
      <c r="AE35" s="428">
        <f t="shared" si="6"/>
        <v>840</v>
      </c>
      <c r="AF35" s="223">
        <f t="shared" si="20"/>
        <v>13.26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23.076324722112545</v>
      </c>
      <c r="G36" s="108">
        <f t="shared" si="14"/>
        <v>12.836324722112545</v>
      </c>
      <c r="H36" s="110"/>
      <c r="I36" s="110"/>
      <c r="J36" s="110"/>
      <c r="K36" s="219">
        <f t="shared" si="15"/>
        <v>0.25987299081513271</v>
      </c>
      <c r="L36" s="54" t="s">
        <v>21</v>
      </c>
      <c r="V36" s="427">
        <f t="shared" si="8"/>
        <v>120</v>
      </c>
      <c r="W36" s="213">
        <f t="shared" si="9"/>
        <v>3.9360442814805681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22.600926783332397</v>
      </c>
      <c r="AC36" s="223">
        <f t="shared" si="25"/>
        <v>22.600926783332397</v>
      </c>
      <c r="AD36" s="213"/>
      <c r="AE36" s="428">
        <f t="shared" si="6"/>
        <v>900</v>
      </c>
      <c r="AF36" s="223">
        <f t="shared" si="20"/>
        <v>13.26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23.301436946125637</v>
      </c>
      <c r="G37" s="108">
        <f t="shared" si="14"/>
        <v>13.061436946125637</v>
      </c>
      <c r="H37" s="110"/>
      <c r="I37" s="110"/>
      <c r="J37" s="110"/>
      <c r="K37" s="219">
        <f t="shared" si="15"/>
        <v>0.22511222401309183</v>
      </c>
      <c r="L37" s="54" t="s">
        <v>21</v>
      </c>
      <c r="V37" s="427">
        <f t="shared" si="8"/>
        <v>120</v>
      </c>
      <c r="W37" s="213">
        <f t="shared" si="9"/>
        <v>3.9360442814805681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22.600926783332397</v>
      </c>
      <c r="AC37" s="223">
        <f t="shared" si="25"/>
        <v>22.600926783332397</v>
      </c>
      <c r="AD37" s="213">
        <v>37</v>
      </c>
      <c r="AE37" s="428">
        <f t="shared" si="6"/>
        <v>960</v>
      </c>
      <c r="AF37" s="223">
        <f t="shared" si="20"/>
        <v>13.26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23.5</v>
      </c>
      <c r="G38" s="108">
        <f t="shared" si="14"/>
        <v>13.26</v>
      </c>
      <c r="H38" s="110"/>
      <c r="I38" s="110"/>
      <c r="J38" s="110"/>
      <c r="K38" s="219">
        <f t="shared" si="15"/>
        <v>0.19856305387436279</v>
      </c>
      <c r="L38" s="54" t="s">
        <v>21</v>
      </c>
      <c r="V38" s="427">
        <f t="shared" si="8"/>
        <v>120</v>
      </c>
      <c r="W38" s="213">
        <f t="shared" si="9"/>
        <v>3.9360442814805681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22.600926783332397</v>
      </c>
      <c r="AC38" s="223">
        <f t="shared" si="25"/>
        <v>22.600926783332397</v>
      </c>
      <c r="AD38" s="214" t="s">
        <v>40</v>
      </c>
      <c r="AE38" s="428">
        <f t="shared" si="6"/>
        <v>1020</v>
      </c>
      <c r="AF38" s="223">
        <f t="shared" si="20"/>
        <v>13.26</v>
      </c>
      <c r="AG38" s="213"/>
    </row>
    <row r="39" spans="1:33" s="42" customFormat="1" ht="21" customHeight="1">
      <c r="A39" s="104"/>
      <c r="B39" s="104"/>
      <c r="C39" s="106">
        <f>$C$10+D39/1440</f>
        <v>45722.861111111109</v>
      </c>
      <c r="D39" s="107">
        <f t="shared" si="24"/>
        <v>600</v>
      </c>
      <c r="E39" s="97">
        <f t="shared" si="12"/>
        <v>0.41666666666666669</v>
      </c>
      <c r="F39" s="108">
        <f t="shared" si="13"/>
        <v>23.5</v>
      </c>
      <c r="G39" s="108">
        <f t="shared" si="14"/>
        <v>13.26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120</v>
      </c>
      <c r="W39" s="213">
        <f t="shared" si="9"/>
        <v>3.9360442814805681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22.600926783332397</v>
      </c>
      <c r="AC39" s="223">
        <f t="shared" ref="AC39:AC40" si="26">AC38</f>
        <v>22.600926783332397</v>
      </c>
      <c r="AD39" s="60">
        <v>39</v>
      </c>
      <c r="AE39" s="428">
        <f t="shared" si="6"/>
        <v>1080</v>
      </c>
      <c r="AF39" s="223">
        <f t="shared" si="20"/>
        <v>13.26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23.5</v>
      </c>
      <c r="G40" s="108">
        <f t="shared" si="14"/>
        <v>13.26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120</v>
      </c>
      <c r="W40" s="213">
        <f t="shared" si="9"/>
        <v>3.9360442814805681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22.600926783332397</v>
      </c>
      <c r="AC40" s="223">
        <f t="shared" si="26"/>
        <v>22.600926783332397</v>
      </c>
      <c r="AD40" s="60">
        <v>40</v>
      </c>
      <c r="AE40" s="428">
        <f t="shared" si="6"/>
        <v>1140</v>
      </c>
      <c r="AF40" s="223">
        <f t="shared" si="20"/>
        <v>13.26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23.5</v>
      </c>
      <c r="G41" s="108">
        <f t="shared" si="14"/>
        <v>13.26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120</v>
      </c>
      <c r="W41" s="432">
        <f t="shared" si="9"/>
        <v>3.9360442814805681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22.600926783332397</v>
      </c>
      <c r="AC41" s="223">
        <f t="shared" ref="AC41:AC46" si="27">AC40</f>
        <v>22.600926783332397</v>
      </c>
      <c r="AD41" s="61">
        <v>41</v>
      </c>
      <c r="AE41" s="428">
        <f t="shared" si="6"/>
        <v>1200</v>
      </c>
      <c r="AF41" s="223">
        <f t="shared" si="20"/>
        <v>13.26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23.5</v>
      </c>
      <c r="G42" s="108">
        <f t="shared" si="14"/>
        <v>13.26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120</v>
      </c>
      <c r="W42" s="213">
        <f t="shared" si="9"/>
        <v>3.9360442814805681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22.600926783332397</v>
      </c>
      <c r="AC42" s="223">
        <f t="shared" si="27"/>
        <v>22.600926783332397</v>
      </c>
      <c r="AD42" s="60">
        <v>42</v>
      </c>
      <c r="AE42" s="428">
        <f t="shared" si="6"/>
        <v>1260</v>
      </c>
      <c r="AF42" s="223">
        <f t="shared" si="20"/>
        <v>13.26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23.5</v>
      </c>
      <c r="G43" s="108">
        <f t="shared" si="14"/>
        <v>13.26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120</v>
      </c>
      <c r="W43" s="432">
        <f t="shared" si="9"/>
        <v>3.9360442814805681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22.600926783332397</v>
      </c>
      <c r="AC43" s="223">
        <f t="shared" si="27"/>
        <v>22.600926783332397</v>
      </c>
      <c r="AD43" s="61">
        <v>43</v>
      </c>
      <c r="AE43" s="428">
        <f t="shared" si="6"/>
        <v>1320</v>
      </c>
      <c r="AF43" s="223">
        <f t="shared" si="20"/>
        <v>13.26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23.5</v>
      </c>
      <c r="G44" s="108">
        <f t="shared" si="14"/>
        <v>13.26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120</v>
      </c>
      <c r="W44" s="213">
        <f t="shared" si="9"/>
        <v>3.9360442814805681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22.600926783332397</v>
      </c>
      <c r="AC44" s="223">
        <f t="shared" si="27"/>
        <v>22.600926783332397</v>
      </c>
      <c r="AD44" s="60">
        <v>44</v>
      </c>
      <c r="AE44" s="428">
        <f t="shared" si="6"/>
        <v>1380</v>
      </c>
      <c r="AF44" s="223">
        <f t="shared" si="20"/>
        <v>13.26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45723.111111111109</v>
      </c>
      <c r="D45" s="107">
        <f t="shared" si="24"/>
        <v>960</v>
      </c>
      <c r="E45" s="97">
        <f t="shared" si="12"/>
        <v>0.66666666666666663</v>
      </c>
      <c r="F45" s="108">
        <f t="shared" si="13"/>
        <v>23.5</v>
      </c>
      <c r="G45" s="108">
        <f t="shared" si="14"/>
        <v>13.26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120</v>
      </c>
      <c r="W45" s="432">
        <f t="shared" si="9"/>
        <v>3.9360442814805681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22.600926783332397</v>
      </c>
      <c r="AC45" s="223">
        <f t="shared" si="27"/>
        <v>22.600926783332397</v>
      </c>
      <c r="AD45" s="61">
        <v>45</v>
      </c>
      <c r="AE45" s="428">
        <f t="shared" si="6"/>
        <v>1440</v>
      </c>
      <c r="AF45" s="223">
        <f t="shared" si="20"/>
        <v>13.26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23.5</v>
      </c>
      <c r="G46" s="108">
        <f t="shared" si="14"/>
        <v>13.26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120</v>
      </c>
      <c r="W46" s="213">
        <f t="shared" si="9"/>
        <v>3.9360442814805681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22.600926783332397</v>
      </c>
      <c r="AC46" s="223">
        <f t="shared" si="27"/>
        <v>22.600926783332397</v>
      </c>
      <c r="AD46" s="60">
        <v>46</v>
      </c>
      <c r="AE46" s="435">
        <f t="shared" si="6"/>
        <v>1500</v>
      </c>
      <c r="AF46" s="437">
        <f t="shared" si="20"/>
        <v>13.26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23.5</v>
      </c>
      <c r="G47" s="108">
        <f t="shared" si="14"/>
        <v>13.26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120</v>
      </c>
      <c r="W47" s="213">
        <f t="shared" si="9"/>
        <v>3.9360442814805681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22.600926783332397</v>
      </c>
      <c r="AC47" s="223">
        <f t="shared" ref="AC47:AC69" si="28">AC46</f>
        <v>22.600926783332397</v>
      </c>
      <c r="AD47" s="213"/>
      <c r="AE47" s="428">
        <f t="shared" si="6"/>
        <v>1560</v>
      </c>
      <c r="AF47" s="223">
        <f t="shared" si="20"/>
        <v>13.26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23.5</v>
      </c>
      <c r="G48" s="108">
        <f t="shared" si="14"/>
        <v>13.26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120</v>
      </c>
      <c r="W48" s="213">
        <f t="shared" si="9"/>
        <v>3.9360442814805681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22.600926783332397</v>
      </c>
      <c r="AC48" s="223">
        <f t="shared" si="28"/>
        <v>22.600926783332397</v>
      </c>
      <c r="AD48" s="213"/>
      <c r="AE48" s="428">
        <f t="shared" si="6"/>
        <v>1620</v>
      </c>
      <c r="AF48" s="223">
        <f t="shared" si="20"/>
        <v>13.26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23.5</v>
      </c>
      <c r="G49" s="108">
        <f t="shared" si="14"/>
        <v>13.26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120</v>
      </c>
      <c r="W49" s="213">
        <f t="shared" si="9"/>
        <v>3.9360442814805681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22.600926783332397</v>
      </c>
      <c r="AC49" s="223">
        <f t="shared" si="28"/>
        <v>22.600926783332397</v>
      </c>
      <c r="AD49" s="213"/>
      <c r="AE49" s="428">
        <f t="shared" si="6"/>
        <v>1680</v>
      </c>
      <c r="AF49" s="223">
        <f t="shared" si="20"/>
        <v>13.26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23.5</v>
      </c>
      <c r="G50" s="108">
        <f t="shared" si="14"/>
        <v>13.26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120</v>
      </c>
      <c r="W50" s="213">
        <f t="shared" si="9"/>
        <v>3.9360442814805681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22.600926783332397</v>
      </c>
      <c r="AC50" s="223">
        <f t="shared" si="28"/>
        <v>22.600926783332397</v>
      </c>
      <c r="AD50" s="213"/>
      <c r="AE50" s="428">
        <f t="shared" si="6"/>
        <v>1740</v>
      </c>
      <c r="AF50" s="223">
        <f t="shared" si="20"/>
        <v>13.26</v>
      </c>
      <c r="AG50" s="213"/>
    </row>
    <row r="51" spans="1:33" s="42" customFormat="1" ht="21" customHeight="1">
      <c r="A51" s="104"/>
      <c r="B51" s="104"/>
      <c r="C51" s="106">
        <f>$C$10+D51/1440</f>
        <v>45723.361111111109</v>
      </c>
      <c r="D51" s="107">
        <f t="shared" si="24"/>
        <v>1320</v>
      </c>
      <c r="E51" s="97">
        <f t="shared" si="12"/>
        <v>0.91666666666666663</v>
      </c>
      <c r="F51" s="108">
        <f t="shared" si="13"/>
        <v>23.5</v>
      </c>
      <c r="G51" s="108">
        <f t="shared" si="14"/>
        <v>13.26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120</v>
      </c>
      <c r="W51" s="213">
        <f t="shared" si="9"/>
        <v>3.9360442814805681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22.600926783332397</v>
      </c>
      <c r="AC51" s="223">
        <f t="shared" si="28"/>
        <v>22.600926783332397</v>
      </c>
      <c r="AD51" s="213"/>
      <c r="AE51" s="428">
        <f t="shared" si="6"/>
        <v>1800</v>
      </c>
      <c r="AF51" s="223">
        <f t="shared" si="20"/>
        <v>13.26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23.5</v>
      </c>
      <c r="G52" s="108">
        <f t="shared" si="14"/>
        <v>13.26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120</v>
      </c>
      <c r="W52" s="213">
        <f t="shared" si="9"/>
        <v>3.9360442814805681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22.600926783332397</v>
      </c>
      <c r="AC52" s="223">
        <f t="shared" si="28"/>
        <v>22.600926783332397</v>
      </c>
      <c r="AD52" s="213"/>
      <c r="AE52" s="428">
        <f t="shared" si="6"/>
        <v>1860</v>
      </c>
      <c r="AF52" s="223">
        <f t="shared" si="20"/>
        <v>13.26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23.5</v>
      </c>
      <c r="G53" s="108">
        <f t="shared" si="14"/>
        <v>13.26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120</v>
      </c>
      <c r="W53" s="213">
        <f t="shared" si="9"/>
        <v>3.9360442814805681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22.600926783332397</v>
      </c>
      <c r="AC53" s="223">
        <f t="shared" si="28"/>
        <v>22.600926783332397</v>
      </c>
      <c r="AD53" s="213"/>
      <c r="AE53" s="428">
        <f t="shared" si="6"/>
        <v>1920</v>
      </c>
      <c r="AF53" s="223">
        <f t="shared" si="20"/>
        <v>13.26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23.5</v>
      </c>
      <c r="G54" s="108">
        <f t="shared" si="14"/>
        <v>13.26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120</v>
      </c>
      <c r="W54" s="213">
        <f t="shared" si="9"/>
        <v>3.9360442814805681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22.600926783332397</v>
      </c>
      <c r="AC54" s="223">
        <f t="shared" si="28"/>
        <v>22.600926783332397</v>
      </c>
      <c r="AD54" s="213"/>
      <c r="AE54" s="428">
        <f t="shared" si="6"/>
        <v>1980</v>
      </c>
      <c r="AF54" s="223">
        <f t="shared" si="20"/>
        <v>13.26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23.5</v>
      </c>
      <c r="G55" s="108">
        <f t="shared" si="14"/>
        <v>13.26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120</v>
      </c>
      <c r="W55" s="213">
        <f t="shared" si="9"/>
        <v>3.9360442814805681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22.600926783332397</v>
      </c>
      <c r="AC55" s="223">
        <f t="shared" si="28"/>
        <v>22.600926783332397</v>
      </c>
      <c r="AD55" s="213"/>
      <c r="AE55" s="428">
        <f t="shared" si="6"/>
        <v>2040</v>
      </c>
      <c r="AF55" s="223">
        <f t="shared" si="20"/>
        <v>13.26</v>
      </c>
      <c r="AG55" s="213"/>
    </row>
    <row r="56" spans="1:33" s="42" customFormat="1" ht="21.6" customHeight="1">
      <c r="A56" s="104"/>
      <c r="B56" s="104"/>
      <c r="C56" s="106">
        <f>$C$10+D56/1440</f>
        <v>45723.569444444445</v>
      </c>
      <c r="D56" s="107">
        <f t="shared" si="24"/>
        <v>1620</v>
      </c>
      <c r="E56" s="97">
        <f t="shared" si="12"/>
        <v>1.125</v>
      </c>
      <c r="F56" s="108">
        <f t="shared" si="13"/>
        <v>23.5</v>
      </c>
      <c r="G56" s="108">
        <f t="shared" si="14"/>
        <v>13.26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120</v>
      </c>
      <c r="W56" s="213">
        <f t="shared" si="9"/>
        <v>3.9360442814805681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22.600926783332397</v>
      </c>
      <c r="AC56" s="223">
        <f t="shared" si="28"/>
        <v>22.600926783332397</v>
      </c>
      <c r="AD56" s="213"/>
      <c r="AE56" s="428">
        <f t="shared" si="6"/>
        <v>2100</v>
      </c>
      <c r="AF56" s="223">
        <f t="shared" si="20"/>
        <v>13.26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23.5</v>
      </c>
      <c r="G57" s="108">
        <f t="shared" si="14"/>
        <v>13.26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120</v>
      </c>
      <c r="W57" s="213">
        <f t="shared" si="9"/>
        <v>3.9360442814805681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22.600926783332397</v>
      </c>
      <c r="AC57" s="223">
        <f t="shared" si="28"/>
        <v>22.600926783332397</v>
      </c>
      <c r="AD57" s="213"/>
      <c r="AE57" s="428">
        <f t="shared" si="6"/>
        <v>2160</v>
      </c>
      <c r="AF57" s="223">
        <f t="shared" si="20"/>
        <v>13.26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23.5</v>
      </c>
      <c r="G58" s="108">
        <f t="shared" si="14"/>
        <v>13.26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120</v>
      </c>
      <c r="W58" s="213">
        <f t="shared" si="9"/>
        <v>3.9360442814805681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22.600926783332397</v>
      </c>
      <c r="AC58" s="223">
        <f t="shared" si="28"/>
        <v>22.600926783332397</v>
      </c>
      <c r="AD58" s="213"/>
      <c r="AE58" s="428">
        <f t="shared" si="6"/>
        <v>2220</v>
      </c>
      <c r="AF58" s="223">
        <f t="shared" si="20"/>
        <v>13.26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23.5</v>
      </c>
      <c r="G59" s="108">
        <f t="shared" si="14"/>
        <v>13.26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120</v>
      </c>
      <c r="W59" s="213">
        <f t="shared" si="9"/>
        <v>3.9360442814805681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22.600926783332397</v>
      </c>
      <c r="AC59" s="223">
        <f t="shared" si="28"/>
        <v>22.600926783332397</v>
      </c>
      <c r="AD59" s="213"/>
      <c r="AE59" s="428">
        <f t="shared" si="6"/>
        <v>2280</v>
      </c>
      <c r="AF59" s="223">
        <f t="shared" si="20"/>
        <v>13.26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23.5</v>
      </c>
      <c r="G60" s="108">
        <f t="shared" si="14"/>
        <v>13.26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120</v>
      </c>
      <c r="W60" s="213">
        <f t="shared" si="9"/>
        <v>3.9360442814805681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22.600926783332397</v>
      </c>
      <c r="AC60" s="223">
        <f t="shared" si="28"/>
        <v>22.600926783332397</v>
      </c>
      <c r="AD60" s="213"/>
      <c r="AE60" s="428">
        <f t="shared" si="6"/>
        <v>2340</v>
      </c>
      <c r="AF60" s="223">
        <f t="shared" si="20"/>
        <v>13.26</v>
      </c>
      <c r="AG60" s="213"/>
    </row>
    <row r="61" spans="1:33" s="42" customFormat="1" ht="21.6" customHeight="1">
      <c r="A61" s="104"/>
      <c r="B61" s="104"/>
      <c r="C61" s="106">
        <f>$C$10+D61/1440</f>
        <v>45723.777777777781</v>
      </c>
      <c r="D61" s="107">
        <f t="shared" si="24"/>
        <v>1920</v>
      </c>
      <c r="E61" s="97">
        <f t="shared" si="12"/>
        <v>1.3333333333333333</v>
      </c>
      <c r="F61" s="108">
        <f t="shared" si="13"/>
        <v>23.5</v>
      </c>
      <c r="G61" s="108">
        <f t="shared" si="14"/>
        <v>13.26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120</v>
      </c>
      <c r="W61" s="213">
        <f t="shared" si="9"/>
        <v>3.9360442814805681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22.600926783332397</v>
      </c>
      <c r="AC61" s="223">
        <f t="shared" si="28"/>
        <v>22.600926783332397</v>
      </c>
      <c r="AD61" s="213"/>
      <c r="AE61" s="428">
        <f t="shared" si="6"/>
        <v>2400</v>
      </c>
      <c r="AF61" s="223">
        <f t="shared" si="20"/>
        <v>13.26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23.5</v>
      </c>
      <c r="G62" s="108">
        <f t="shared" si="14"/>
        <v>13.26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120</v>
      </c>
      <c r="W62" s="213">
        <f t="shared" si="9"/>
        <v>3.9360442814805681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22.600926783332397</v>
      </c>
      <c r="AC62" s="223">
        <f t="shared" si="28"/>
        <v>22.600926783332397</v>
      </c>
      <c r="AD62" s="213"/>
      <c r="AE62" s="428">
        <f t="shared" si="6"/>
        <v>2460</v>
      </c>
      <c r="AF62" s="223">
        <f t="shared" si="20"/>
        <v>13.26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23.5</v>
      </c>
      <c r="G63" s="108">
        <f t="shared" si="14"/>
        <v>13.26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120</v>
      </c>
      <c r="W63" s="213">
        <f t="shared" si="9"/>
        <v>3.9360442814805681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22.600926783332397</v>
      </c>
      <c r="AC63" s="223">
        <f t="shared" si="28"/>
        <v>22.600926783332397</v>
      </c>
      <c r="AD63" s="213"/>
      <c r="AE63" s="428">
        <f t="shared" si="6"/>
        <v>2520</v>
      </c>
      <c r="AF63" s="223">
        <f t="shared" si="20"/>
        <v>13.26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23.5</v>
      </c>
      <c r="G64" s="108">
        <f t="shared" si="14"/>
        <v>13.26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120</v>
      </c>
      <c r="W64" s="213">
        <f t="shared" si="9"/>
        <v>3.9360442814805681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22.600926783332397</v>
      </c>
      <c r="AC64" s="223">
        <f t="shared" si="28"/>
        <v>22.600926783332397</v>
      </c>
      <c r="AD64" s="213"/>
      <c r="AE64" s="428">
        <f t="shared" si="6"/>
        <v>2580</v>
      </c>
      <c r="AF64" s="223">
        <f t="shared" si="20"/>
        <v>13.26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23.5</v>
      </c>
      <c r="G65" s="108">
        <f t="shared" si="14"/>
        <v>13.26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120</v>
      </c>
      <c r="W65" s="213">
        <f t="shared" si="9"/>
        <v>3.9360442814805681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22.600926783332397</v>
      </c>
      <c r="AC65" s="223">
        <f t="shared" si="28"/>
        <v>22.600926783332397</v>
      </c>
      <c r="AD65" s="213"/>
      <c r="AE65" s="428">
        <f t="shared" si="6"/>
        <v>2640</v>
      </c>
      <c r="AF65" s="223">
        <f t="shared" si="20"/>
        <v>13.26</v>
      </c>
      <c r="AG65" s="213"/>
    </row>
    <row r="66" spans="1:33" s="42" customFormat="1" ht="21.6" customHeight="1">
      <c r="A66" s="104"/>
      <c r="B66" s="104"/>
      <c r="C66" s="106">
        <f>$C$10+D66/1440</f>
        <v>45723.986111111109</v>
      </c>
      <c r="D66" s="107">
        <f t="shared" si="24"/>
        <v>2220</v>
      </c>
      <c r="E66" s="97">
        <f t="shared" si="12"/>
        <v>1.5416666666666667</v>
      </c>
      <c r="F66" s="108">
        <f t="shared" si="29"/>
        <v>23.5</v>
      </c>
      <c r="G66" s="108">
        <f t="shared" si="14"/>
        <v>13.26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120</v>
      </c>
      <c r="W66" s="213">
        <f t="shared" si="9"/>
        <v>3.9360442814805681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22.600926783332397</v>
      </c>
      <c r="AC66" s="223">
        <f t="shared" si="28"/>
        <v>22.600926783332397</v>
      </c>
      <c r="AD66" s="213"/>
      <c r="AE66" s="428">
        <f t="shared" si="6"/>
        <v>2700</v>
      </c>
      <c r="AF66" s="223">
        <f t="shared" si="20"/>
        <v>13.26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23.5</v>
      </c>
      <c r="G67" s="108">
        <f t="shared" si="14"/>
        <v>13.26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120</v>
      </c>
      <c r="W67" s="213">
        <f t="shared" si="9"/>
        <v>3.9360442814805681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22.600926783332397</v>
      </c>
      <c r="AC67" s="223">
        <f t="shared" si="28"/>
        <v>22.600926783332397</v>
      </c>
      <c r="AD67" s="213"/>
      <c r="AE67" s="428">
        <f>AA67</f>
        <v>2760</v>
      </c>
      <c r="AF67" s="223">
        <f t="shared" si="20"/>
        <v>13.26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23.5</v>
      </c>
      <c r="G68" s="108">
        <f t="shared" si="14"/>
        <v>13.26</v>
      </c>
      <c r="H68" s="110"/>
      <c r="I68" s="110"/>
      <c r="J68" s="110"/>
      <c r="K68" s="182" t="s">
        <v>21</v>
      </c>
      <c r="L68" s="54" t="s">
        <v>21</v>
      </c>
      <c r="V68" s="427">
        <f>V67</f>
        <v>120</v>
      </c>
      <c r="W68" s="213">
        <f t="shared" ref="W68:W83" si="32">W$2</f>
        <v>3.9360442814805681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22.600926783332397</v>
      </c>
      <c r="AC68" s="223">
        <f t="shared" si="28"/>
        <v>22.600926783332397</v>
      </c>
      <c r="AD68" s="213"/>
      <c r="AE68" s="428">
        <f>AA68</f>
        <v>2820</v>
      </c>
      <c r="AF68" s="223">
        <f t="shared" si="20"/>
        <v>13.26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23.5</v>
      </c>
      <c r="G69" s="108">
        <f t="shared" si="14"/>
        <v>13.26</v>
      </c>
      <c r="H69" s="110"/>
      <c r="I69" s="110"/>
      <c r="J69" s="110"/>
      <c r="K69" s="182" t="s">
        <v>21</v>
      </c>
      <c r="L69" s="54" t="s">
        <v>21</v>
      </c>
      <c r="V69" s="427">
        <f>V68</f>
        <v>120</v>
      </c>
      <c r="W69" s="213">
        <f t="shared" si="32"/>
        <v>3.9360442814805681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22.600926783332397</v>
      </c>
      <c r="AC69" s="223">
        <f t="shared" si="28"/>
        <v>22.600926783332397</v>
      </c>
      <c r="AD69" s="213"/>
      <c r="AE69" s="428">
        <f>AA69</f>
        <v>2880</v>
      </c>
      <c r="AF69" s="223">
        <f t="shared" si="20"/>
        <v>13.26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23.5</v>
      </c>
      <c r="G70" s="108">
        <f t="shared" si="14"/>
        <v>13.26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3.9360442814805681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45724.194444444445</v>
      </c>
      <c r="D71" s="107">
        <f t="shared" si="24"/>
        <v>2520</v>
      </c>
      <c r="E71" s="97">
        <f t="shared" si="12"/>
        <v>1.75</v>
      </c>
      <c r="F71" s="108">
        <f t="shared" si="29"/>
        <v>23.5</v>
      </c>
      <c r="G71" s="108">
        <f t="shared" si="14"/>
        <v>13.26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3.9360442814805681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23.5</v>
      </c>
      <c r="G72" s="108">
        <f t="shared" si="14"/>
        <v>13.26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3.9360442814805681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23.5</v>
      </c>
      <c r="G73" s="108">
        <f t="shared" si="14"/>
        <v>13.26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3.9360442814805681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23.5</v>
      </c>
      <c r="G74" s="108">
        <f t="shared" si="14"/>
        <v>13.26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3.9360442814805681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23.5</v>
      </c>
      <c r="G75" s="108">
        <f>AF67</f>
        <v>13.26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3.9360442814805681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23.5</v>
      </c>
      <c r="G76" s="108">
        <f>AF68</f>
        <v>13.26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3.9360442814805681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45724.444444444445</v>
      </c>
      <c r="D77" s="107">
        <f>D76+60</f>
        <v>2880</v>
      </c>
      <c r="E77" s="97">
        <f>D77/1440</f>
        <v>2</v>
      </c>
      <c r="F77" s="109">
        <f t="shared" si="29"/>
        <v>23.5</v>
      </c>
      <c r="G77" s="108">
        <f>AF69</f>
        <v>13.26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3.9360442814805681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45724.445138888892</v>
      </c>
      <c r="D78" s="107">
        <v>1</v>
      </c>
      <c r="E78" s="97">
        <f t="shared" ref="E78:E101" si="35">D78/1440</f>
        <v>6.9444444444444447E-4</v>
      </c>
      <c r="F78" s="108">
        <f>G78+D$8</f>
        <v>19.473948130984031</v>
      </c>
      <c r="G78" s="108">
        <f>H114</f>
        <v>9.2339481309840306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3.9360442814805681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18.784981464046744</v>
      </c>
      <c r="G79" s="108">
        <f>H115</f>
        <v>8.5449814640467441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3.9360442814805681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18.147420226446659</v>
      </c>
      <c r="G80" s="108">
        <f>H116</f>
        <v>7.9074202264466589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3.9360442814805681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17.557428937757575</v>
      </c>
      <c r="G81" s="108">
        <f>H117</f>
        <v>7.3174289377575734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3.9360442814805681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17.011458291801603</v>
      </c>
      <c r="G82" s="108">
        <f>H118</f>
        <v>6.7714582918016006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3.9360442814805681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15.606032400483841</v>
      </c>
      <c r="G83" s="108">
        <f>H121</f>
        <v>5.3660324004838404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3.9360442814805681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15.335683202369154</v>
      </c>
      <c r="G84" s="108">
        <f>H124</f>
        <v>5.0956832023691545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14.603648988537731</v>
      </c>
      <c r="G85" s="108">
        <f>H126</f>
        <v>4.3636489885377312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14.278066837038606</v>
      </c>
      <c r="G86" s="108">
        <f t="shared" ref="G86:G92" si="37">H127</f>
        <v>4.0380668370386061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13.976777138404788</v>
      </c>
      <c r="G87" s="108">
        <f t="shared" si="37"/>
        <v>3.736777138404789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13.881428291206625</v>
      </c>
      <c r="G88" s="108">
        <f t="shared" si="37"/>
        <v>3.6414282912066249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13.788512396878083</v>
      </c>
      <c r="G89" s="108">
        <f t="shared" si="37"/>
        <v>3.548512396878083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13.697967375385268</v>
      </c>
      <c r="G90" s="108">
        <f t="shared" si="37"/>
        <v>3.4579673753852687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13.609732730749062</v>
      </c>
      <c r="G91" s="108">
        <f t="shared" si="37"/>
        <v>3.3697327307490625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13.523749510625851</v>
      </c>
      <c r="G92" s="108">
        <f t="shared" si="37"/>
        <v>3.2837495106258512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45724.486111111109</v>
      </c>
      <c r="D93" s="107">
        <v>60</v>
      </c>
      <c r="E93" s="97">
        <f t="shared" si="35"/>
        <v>4.1666666666666664E-2</v>
      </c>
      <c r="F93" s="108">
        <f t="shared" si="36"/>
        <v>13.439960266919609</v>
      </c>
      <c r="G93" s="108">
        <f>H134</f>
        <v>3.1999602669196099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13.358309017399023</v>
      </c>
      <c r="G94" s="108">
        <f>H135</f>
        <v>3.1183090173990231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13.278741208293992</v>
      </c>
      <c r="G95" s="108">
        <f>H136</f>
        <v>3.0387412082939922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13.201203677846545</v>
      </c>
      <c r="G96" s="108">
        <f>H137</f>
        <v>2.9612036778465445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45724.527777777781</v>
      </c>
      <c r="D97" s="107">
        <v>120</v>
      </c>
      <c r="E97" s="97">
        <f t="shared" si="35"/>
        <v>8.3333333333333329E-2</v>
      </c>
      <c r="F97" s="108">
        <f t="shared" si="36"/>
        <v>12.980261281473028</v>
      </c>
      <c r="G97" s="108">
        <f>H138</f>
        <v>2.7402612814730278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12.910339864023509</v>
      </c>
      <c r="G98" s="108">
        <f>H140</f>
        <v>2.6703398640235099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45724.611111111109</v>
      </c>
      <c r="D99" s="107">
        <v>240</v>
      </c>
      <c r="E99" s="97">
        <f t="shared" si="35"/>
        <v>0.16666666666666666</v>
      </c>
      <c r="F99" s="108">
        <f t="shared" si="36"/>
        <v>12.526724936369781</v>
      </c>
      <c r="G99" s="108">
        <f>H142</f>
        <v>2.2867249363697812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12.198219253311249</v>
      </c>
      <c r="G100" s="108">
        <f>H144</f>
        <v>1.9582192533112495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45724.694444444445</v>
      </c>
      <c r="D101" s="107">
        <v>360</v>
      </c>
      <c r="E101" s="97">
        <f t="shared" si="35"/>
        <v>0.25</v>
      </c>
      <c r="F101" s="109">
        <f t="shared" si="36"/>
        <v>11.916905946600821</v>
      </c>
      <c r="G101" s="112">
        <f>H146</f>
        <v>1.6769059466008196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13.26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13.26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11.65242584669817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13.26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10.783010848535517</v>
      </c>
      <c r="I112" s="223"/>
      <c r="J112" s="225">
        <f>H111-H112</f>
        <v>0.86941499816265377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13.26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9.9784649556540046</v>
      </c>
      <c r="I113" s="223"/>
      <c r="J113" s="225">
        <f t="shared" ref="J113:J146" si="43">H112-H113</f>
        <v>0.8045458928815119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13.26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9.2339481309840306</v>
      </c>
      <c r="I114" s="228"/>
      <c r="J114" s="225">
        <f t="shared" si="43"/>
        <v>0.74451682466997404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13.26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8.5449814640467441</v>
      </c>
      <c r="I115" s="228"/>
      <c r="J115" s="225">
        <f t="shared" si="43"/>
        <v>0.68896666693728648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13.26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7.9074202264466589</v>
      </c>
      <c r="I116" s="228"/>
      <c r="J116" s="225">
        <f t="shared" si="43"/>
        <v>0.63756123760008521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13.26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7.3174289377575734</v>
      </c>
      <c r="I117" s="228"/>
      <c r="J117" s="225">
        <f t="shared" si="43"/>
        <v>0.58999128868908546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13.26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6.7714582918016006</v>
      </c>
      <c r="I118" s="228"/>
      <c r="J118" s="225">
        <f t="shared" si="43"/>
        <v>0.54597064595597278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13.26</v>
      </c>
      <c r="E119" s="220">
        <f t="shared" si="41"/>
        <v>0.71</v>
      </c>
      <c r="F119" s="221"/>
      <c r="G119" s="213">
        <v>9</v>
      </c>
      <c r="H119" s="229">
        <f t="shared" si="39"/>
        <v>6.2662238045129834</v>
      </c>
      <c r="I119" s="230"/>
      <c r="J119" s="225">
        <f t="shared" si="43"/>
        <v>0.5052344872886172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13.26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5.7986860549351862</v>
      </c>
      <c r="I120" s="223"/>
      <c r="J120" s="225">
        <f t="shared" si="43"/>
        <v>0.46753774957779726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13.26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5.3660324004838404</v>
      </c>
      <c r="I121" s="228"/>
      <c r="J121" s="225">
        <f t="shared" si="43"/>
        <v>0.43265365445134574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13.26</v>
      </c>
      <c r="E122" s="220">
        <f t="shared" si="41"/>
        <v>0.62</v>
      </c>
      <c r="F122" s="221"/>
      <c r="G122" s="213">
        <v>14</v>
      </c>
      <c r="H122" s="222">
        <f t="shared" si="39"/>
        <v>4.9656600564770876</v>
      </c>
      <c r="I122" s="223"/>
      <c r="J122" s="225">
        <f t="shared" si="43"/>
        <v>0.40037234400675281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13.26</v>
      </c>
      <c r="E123" s="220">
        <f t="shared" si="41"/>
        <v>0.37</v>
      </c>
      <c r="F123" s="221"/>
      <c r="G123" s="213">
        <v>15</v>
      </c>
      <c r="H123" s="222">
        <f t="shared" si="39"/>
        <v>2.6022025846965877</v>
      </c>
      <c r="I123" s="223"/>
      <c r="J123" s="225">
        <f t="shared" si="43"/>
        <v>2.3634574717804999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13.26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5.0956832023691545</v>
      </c>
      <c r="I124" s="228"/>
      <c r="J124" s="225">
        <f t="shared" si="43"/>
        <v>-2.4934806176725668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13.26</v>
      </c>
      <c r="E125" s="220">
        <f t="shared" si="41"/>
        <v>0.6</v>
      </c>
      <c r="F125" s="221"/>
      <c r="G125" s="213">
        <v>18</v>
      </c>
      <c r="H125" s="222">
        <f t="shared" si="39"/>
        <v>4.7154822501974145</v>
      </c>
      <c r="I125" s="223"/>
      <c r="J125" s="225">
        <f t="shared" si="43"/>
        <v>0.38020095217173999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13.26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4.3636489885377312</v>
      </c>
      <c r="I126" s="228"/>
      <c r="J126" s="225">
        <f t="shared" si="43"/>
        <v>0.35183326165968332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13.26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4.0380668370386061</v>
      </c>
      <c r="I127" s="228"/>
      <c r="J127" s="225">
        <f t="shared" si="43"/>
        <v>0.32558215149912506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13.26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3.736777138404789</v>
      </c>
      <c r="I128" s="228"/>
      <c r="J128" s="225">
        <f t="shared" si="43"/>
        <v>0.30128969863381716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13.26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3.6414282912066249</v>
      </c>
      <c r="I129" s="228"/>
      <c r="J129" s="225">
        <f t="shared" si="43"/>
        <v>9.5348847198164055E-2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13.26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3.548512396878083</v>
      </c>
      <c r="I130" s="228"/>
      <c r="J130" s="225">
        <f t="shared" si="43"/>
        <v>9.291589432854197E-2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13.26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3.4579673753852687</v>
      </c>
      <c r="I131" s="228"/>
      <c r="J131" s="225">
        <f t="shared" si="43"/>
        <v>9.0545021492814293E-2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13.26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3.3697327307490625</v>
      </c>
      <c r="I132" s="228"/>
      <c r="J132" s="225">
        <f t="shared" si="43"/>
        <v>8.8234644636206117E-2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13.26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3.2837495106258512</v>
      </c>
      <c r="I133" s="228"/>
      <c r="J133" s="225">
        <f t="shared" si="43"/>
        <v>8.5983220123211357E-2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13.26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3.1999602669196099</v>
      </c>
      <c r="I134" s="228"/>
      <c r="J134" s="225">
        <f t="shared" si="43"/>
        <v>8.3789243706241301E-2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13.26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3.1183090173990231</v>
      </c>
      <c r="I135" s="228"/>
      <c r="J135" s="225">
        <f t="shared" si="43"/>
        <v>8.1651249520586777E-2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13.26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3.0387412082939922</v>
      </c>
      <c r="I136" s="228"/>
      <c r="J136" s="225">
        <f t="shared" si="43"/>
        <v>7.9567809105030918E-2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13.26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2.9612036778465445</v>
      </c>
      <c r="I137" s="228"/>
      <c r="J137" s="225">
        <f t="shared" si="43"/>
        <v>7.7537530447447711E-2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13.26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2.7402612814730278</v>
      </c>
      <c r="I138" s="228"/>
      <c r="J138" s="225">
        <f t="shared" si="43"/>
        <v>0.22094239637351665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13.26</v>
      </c>
      <c r="E139" s="220">
        <f t="shared" si="41"/>
        <v>0.36</v>
      </c>
      <c r="F139" s="221"/>
      <c r="G139" s="213">
        <v>150</v>
      </c>
      <c r="H139" s="222">
        <f t="shared" si="39"/>
        <v>2.5358039188310548</v>
      </c>
      <c r="I139" s="223"/>
      <c r="J139" s="225">
        <f t="shared" si="43"/>
        <v>0.20445736264197301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13.26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2.6703398640235099</v>
      </c>
      <c r="I140" s="228"/>
      <c r="J140" s="225">
        <f t="shared" si="43"/>
        <v>-0.13453594519245504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13.26</v>
      </c>
      <c r="E141" s="220">
        <f t="shared" si="41"/>
        <v>0.35</v>
      </c>
      <c r="F141" s="221"/>
      <c r="G141" s="213">
        <v>210</v>
      </c>
      <c r="H141" s="222">
        <f t="shared" si="39"/>
        <v>2.4710995033880869</v>
      </c>
      <c r="I141" s="223"/>
      <c r="J141" s="225">
        <f t="shared" si="43"/>
        <v>0.19924036063542294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13.26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2.2867249363697812</v>
      </c>
      <c r="I142" s="228"/>
      <c r="J142" s="225">
        <f t="shared" si="43"/>
        <v>0.18437456701830568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13.26</v>
      </c>
      <c r="E143" s="220">
        <f>C143/100</f>
        <v>0.28999999999999998</v>
      </c>
      <c r="F143" s="221"/>
      <c r="G143" s="213">
        <v>270</v>
      </c>
      <c r="H143" s="222">
        <f t="shared" si="39"/>
        <v>2.1161069910158719</v>
      </c>
      <c r="I143" s="223"/>
      <c r="J143" s="225">
        <f t="shared" si="43"/>
        <v>0.17061794535390939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13.26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1.9582192533112495</v>
      </c>
      <c r="I144" s="228"/>
      <c r="J144" s="225">
        <f t="shared" si="43"/>
        <v>0.15788773770462239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13.26</v>
      </c>
      <c r="E145" s="220">
        <f>C145/100</f>
        <v>0.23</v>
      </c>
      <c r="F145" s="221"/>
      <c r="G145" s="213">
        <v>330</v>
      </c>
      <c r="H145" s="222">
        <f t="shared" si="39"/>
        <v>1.8121118924133386</v>
      </c>
      <c r="I145" s="223"/>
      <c r="J145" s="225">
        <f t="shared" si="43"/>
        <v>0.14610736089791088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13.26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1.6769059466008196</v>
      </c>
      <c r="I146" s="228"/>
      <c r="J146" s="225">
        <f t="shared" si="43"/>
        <v>0.13520594581251899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75</v>
      </c>
      <c r="C24" s="78"/>
    </row>
    <row r="25" spans="1:3">
      <c r="A25" s="79">
        <f>StepTest!D31</f>
        <v>120</v>
      </c>
      <c r="B25" s="79">
        <f>Input!D4</f>
        <v>95</v>
      </c>
      <c r="C25" s="78"/>
    </row>
    <row r="26" spans="1:3">
      <c r="A26" s="79">
        <f>StepTest!D36</f>
        <v>240</v>
      </c>
      <c r="B26" s="79">
        <f>Input!D5</f>
        <v>116.45</v>
      </c>
      <c r="C26" s="78"/>
    </row>
    <row r="27" spans="1:3">
      <c r="A27" s="79">
        <f>StepTest!D41</f>
        <v>360</v>
      </c>
      <c r="B27" s="79">
        <f>Input!D6</f>
        <v>137</v>
      </c>
      <c r="C27" s="78"/>
    </row>
    <row r="28" spans="1:3">
      <c r="A28" s="79">
        <f>StepTest!D46</f>
        <v>480</v>
      </c>
      <c r="B28" s="79">
        <f>Input!D7</f>
        <v>157.54999999999998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1.65</v>
      </c>
      <c r="C36" s="79">
        <v>1</v>
      </c>
    </row>
    <row r="37" spans="1:3">
      <c r="A37" s="77">
        <f>Sheet1!A3</f>
        <v>3</v>
      </c>
      <c r="B37" s="78">
        <f>Sheet1!B3</f>
        <v>2.04</v>
      </c>
      <c r="C37" s="79">
        <v>1</v>
      </c>
    </row>
    <row r="38" spans="1:3">
      <c r="A38" s="77">
        <f>Sheet1!A4</f>
        <v>4</v>
      </c>
      <c r="B38" s="78">
        <f>Sheet1!B4</f>
        <v>2.31</v>
      </c>
      <c r="C38" s="79">
        <v>1</v>
      </c>
    </row>
    <row r="39" spans="1:3">
      <c r="A39" s="77">
        <f>Sheet1!A5</f>
        <v>5</v>
      </c>
      <c r="B39" s="78">
        <f>Sheet1!B5</f>
        <v>2.5299999999999998</v>
      </c>
      <c r="C39" s="79">
        <v>1</v>
      </c>
    </row>
    <row r="40" spans="1:3">
      <c r="A40" s="77">
        <f>Sheet1!A6</f>
        <v>10</v>
      </c>
      <c r="B40" s="78">
        <f>Sheet1!B6</f>
        <v>3.18</v>
      </c>
      <c r="C40" s="79">
        <v>1</v>
      </c>
    </row>
    <row r="41" spans="1:3">
      <c r="A41" s="77">
        <f>Sheet1!A7</f>
        <v>15</v>
      </c>
      <c r="B41" s="78">
        <f>Sheet1!B7</f>
        <v>3.57</v>
      </c>
      <c r="C41" s="79">
        <v>1</v>
      </c>
    </row>
    <row r="42" spans="1:3">
      <c r="A42" s="77">
        <f>Sheet1!A8</f>
        <v>20</v>
      </c>
      <c r="B42" s="78">
        <f>Sheet1!B8</f>
        <v>3.84</v>
      </c>
      <c r="C42" s="79">
        <v>1</v>
      </c>
    </row>
    <row r="43" spans="1:3">
      <c r="A43" s="77">
        <f>Sheet1!A9</f>
        <v>25</v>
      </c>
      <c r="B43" s="78">
        <f>Sheet1!B9</f>
        <v>4.05</v>
      </c>
      <c r="C43" s="79">
        <v>1</v>
      </c>
    </row>
    <row r="44" spans="1:3">
      <c r="A44" s="77">
        <f>Sheet1!A10</f>
        <v>30</v>
      </c>
      <c r="B44" s="78">
        <f>Sheet1!B10</f>
        <v>4.2300000000000004</v>
      </c>
      <c r="C44" s="79">
        <v>1</v>
      </c>
    </row>
    <row r="45" spans="1:3">
      <c r="A45" s="77">
        <f>Sheet1!A11</f>
        <v>35</v>
      </c>
      <c r="B45" s="78">
        <f>Sheet1!B11</f>
        <v>4.37</v>
      </c>
      <c r="C45" s="79">
        <v>1</v>
      </c>
    </row>
    <row r="46" spans="1:3">
      <c r="A46" s="77">
        <f>Sheet1!A12</f>
        <v>40</v>
      </c>
      <c r="B46" s="78">
        <f>Sheet1!B12</f>
        <v>4.5</v>
      </c>
      <c r="C46" s="79">
        <v>1</v>
      </c>
    </row>
    <row r="47" spans="1:3">
      <c r="A47" s="77">
        <f>Sheet1!A13</f>
        <v>45</v>
      </c>
      <c r="B47" s="78">
        <f>Sheet1!B13</f>
        <v>4.6100000000000003</v>
      </c>
      <c r="C47" s="79">
        <v>1</v>
      </c>
    </row>
    <row r="48" spans="1:3">
      <c r="A48" s="77">
        <f>Sheet1!A14</f>
        <v>50</v>
      </c>
      <c r="B48" s="78">
        <f>Sheet1!B14</f>
        <v>4.71</v>
      </c>
      <c r="C48" s="79">
        <v>1</v>
      </c>
    </row>
    <row r="49" spans="1:3">
      <c r="A49" s="77">
        <f>Sheet1!A15</f>
        <v>55</v>
      </c>
      <c r="B49" s="78">
        <f>Sheet1!B15</f>
        <v>4.8</v>
      </c>
      <c r="C49" s="79">
        <v>1</v>
      </c>
    </row>
    <row r="50" spans="1:3">
      <c r="A50" s="77">
        <f>Sheet1!A16</f>
        <v>60</v>
      </c>
      <c r="B50" s="78">
        <f>Sheet1!B16</f>
        <v>4.8899999999999997</v>
      </c>
      <c r="C50" s="79">
        <v>1</v>
      </c>
    </row>
    <row r="51" spans="1:3">
      <c r="A51" s="77">
        <f>Sheet1!A17</f>
        <v>75</v>
      </c>
      <c r="B51" s="78">
        <f>Sheet1!B17</f>
        <v>5.0999999999999996</v>
      </c>
      <c r="C51" s="79">
        <v>1</v>
      </c>
    </row>
    <row r="52" spans="1:3">
      <c r="A52" s="77">
        <f>Sheet1!A18</f>
        <v>90</v>
      </c>
      <c r="B52" s="78">
        <f>Sheet1!B18</f>
        <v>5.27</v>
      </c>
      <c r="C52" s="79">
        <v>1</v>
      </c>
    </row>
    <row r="53" spans="1:3">
      <c r="A53" s="77">
        <f>Sheet1!A19</f>
        <v>105</v>
      </c>
      <c r="B53" s="78">
        <f>Sheet1!B19</f>
        <v>5.42</v>
      </c>
      <c r="C53" s="79">
        <v>1</v>
      </c>
    </row>
    <row r="54" spans="1:3">
      <c r="A54" s="77">
        <f>Sheet1!A20</f>
        <v>120</v>
      </c>
      <c r="B54" s="78">
        <f>Sheet1!B20</f>
        <v>5.55</v>
      </c>
      <c r="C54" s="79">
        <v>1</v>
      </c>
    </row>
    <row r="55" spans="1:3">
      <c r="A55" s="77">
        <f>Sheet1!A21</f>
        <v>121</v>
      </c>
      <c r="B55" s="78">
        <f>Sheet1!B21</f>
        <v>5.71</v>
      </c>
      <c r="C55" s="79">
        <v>1</v>
      </c>
    </row>
    <row r="56" spans="1:3">
      <c r="A56" s="77">
        <f>Sheet1!A22</f>
        <v>122</v>
      </c>
      <c r="B56" s="78">
        <f>Sheet1!B22</f>
        <v>5.86</v>
      </c>
      <c r="C56" s="79">
        <v>1</v>
      </c>
    </row>
    <row r="57" spans="1:3">
      <c r="A57" s="77">
        <f>Sheet1!A23</f>
        <v>123</v>
      </c>
      <c r="B57" s="78">
        <f>Sheet1!B23</f>
        <v>6</v>
      </c>
      <c r="C57" s="79">
        <v>1</v>
      </c>
    </row>
    <row r="58" spans="1:3">
      <c r="A58" s="77">
        <f>Sheet1!A24</f>
        <v>124</v>
      </c>
      <c r="B58" s="78">
        <f>Sheet1!B24</f>
        <v>6.13</v>
      </c>
      <c r="C58" s="79">
        <v>1</v>
      </c>
    </row>
    <row r="59" spans="1:3">
      <c r="A59" s="77">
        <f>Sheet1!A25</f>
        <v>125</v>
      </c>
      <c r="B59" s="78">
        <f>Sheet1!B25</f>
        <v>6.26</v>
      </c>
      <c r="C59" s="79">
        <v>1</v>
      </c>
    </row>
    <row r="60" spans="1:3">
      <c r="A60" s="77">
        <f>Sheet1!A26</f>
        <v>130</v>
      </c>
      <c r="B60" s="78">
        <f>Sheet1!B26</f>
        <v>6.66</v>
      </c>
      <c r="C60" s="79">
        <v>1</v>
      </c>
    </row>
    <row r="61" spans="1:3">
      <c r="A61" s="77">
        <f>Sheet1!A27</f>
        <v>135</v>
      </c>
      <c r="B61" s="78">
        <f>Sheet1!B27</f>
        <v>6.7700000000000005</v>
      </c>
      <c r="C61" s="79">
        <v>1</v>
      </c>
    </row>
    <row r="62" spans="1:3">
      <c r="A62" s="77">
        <f>Sheet1!A28</f>
        <v>140</v>
      </c>
      <c r="B62" s="78">
        <f>Sheet1!B28</f>
        <v>6.84</v>
      </c>
      <c r="C62" s="79">
        <v>1</v>
      </c>
    </row>
    <row r="63" spans="1:3">
      <c r="A63" s="77">
        <f>Sheet1!A29</f>
        <v>145</v>
      </c>
      <c r="B63" s="78">
        <f>Sheet1!B29</f>
        <v>6.9399999999999995</v>
      </c>
      <c r="C63" s="79">
        <v>1</v>
      </c>
    </row>
    <row r="64" spans="1:3">
      <c r="A64" s="77">
        <f>Sheet1!A30</f>
        <v>150</v>
      </c>
      <c r="B64" s="78">
        <f>Sheet1!B30</f>
        <v>7.03</v>
      </c>
      <c r="C64" s="79">
        <v>1</v>
      </c>
    </row>
    <row r="65" spans="1:3">
      <c r="A65" s="77">
        <f>Sheet1!A31</f>
        <v>155</v>
      </c>
      <c r="B65" s="78">
        <f>Sheet1!B31</f>
        <v>7.09</v>
      </c>
      <c r="C65" s="79">
        <v>1</v>
      </c>
    </row>
    <row r="66" spans="1:3">
      <c r="A66" s="77">
        <f>Sheet1!A32</f>
        <v>160</v>
      </c>
      <c r="B66" s="78">
        <f>Sheet1!B32</f>
        <v>7.14</v>
      </c>
      <c r="C66" s="79">
        <v>1</v>
      </c>
    </row>
    <row r="67" spans="1:3">
      <c r="A67" s="77">
        <f>Sheet1!A33</f>
        <v>165</v>
      </c>
      <c r="B67" s="78">
        <f>Sheet1!B33</f>
        <v>7.18</v>
      </c>
      <c r="C67" s="79">
        <v>1</v>
      </c>
    </row>
    <row r="68" spans="1:3">
      <c r="A68" s="77">
        <f>Sheet1!A34</f>
        <v>170</v>
      </c>
      <c r="B68" s="78">
        <f>Sheet1!B34</f>
        <v>7.21</v>
      </c>
      <c r="C68" s="79">
        <v>1</v>
      </c>
    </row>
    <row r="69" spans="1:3">
      <c r="A69" s="77">
        <f>Sheet1!A35</f>
        <v>175</v>
      </c>
      <c r="B69" s="78">
        <f>Sheet1!B35</f>
        <v>7.2299999999999995</v>
      </c>
      <c r="C69" s="79">
        <v>1</v>
      </c>
    </row>
    <row r="70" spans="1:3">
      <c r="A70" s="77">
        <f>Sheet1!A36</f>
        <v>180</v>
      </c>
      <c r="B70" s="78">
        <f>Sheet1!B36</f>
        <v>7.21</v>
      </c>
      <c r="C70" s="79">
        <v>1</v>
      </c>
    </row>
    <row r="71" spans="1:3">
      <c r="A71" s="77">
        <f>Sheet1!A37</f>
        <v>195</v>
      </c>
      <c r="B71" s="78">
        <f>Sheet1!B37</f>
        <v>7.28</v>
      </c>
      <c r="C71" s="79">
        <v>1</v>
      </c>
    </row>
    <row r="72" spans="1:3">
      <c r="A72" s="77">
        <f>Sheet1!A38</f>
        <v>210</v>
      </c>
      <c r="B72" s="78">
        <f>Sheet1!B38</f>
        <v>7.34</v>
      </c>
      <c r="C72" s="79">
        <v>1</v>
      </c>
    </row>
    <row r="73" spans="1:3">
      <c r="A73" s="77">
        <f>Sheet1!A39</f>
        <v>225</v>
      </c>
      <c r="B73" s="78">
        <f>Sheet1!B39</f>
        <v>7.39</v>
      </c>
      <c r="C73" s="79">
        <v>1</v>
      </c>
    </row>
    <row r="74" spans="1:3">
      <c r="A74" s="77">
        <f>Sheet1!A40</f>
        <v>240</v>
      </c>
      <c r="B74" s="78">
        <f>Sheet1!B40</f>
        <v>7.4</v>
      </c>
      <c r="C74" s="79">
        <v>1</v>
      </c>
    </row>
    <row r="75" spans="1:3">
      <c r="A75" s="77">
        <f>Sheet1!A41</f>
        <v>241</v>
      </c>
      <c r="B75" s="78">
        <f>Sheet1!B41</f>
        <v>7.58</v>
      </c>
      <c r="C75" s="79">
        <v>1</v>
      </c>
    </row>
    <row r="76" spans="1:3">
      <c r="A76" s="77">
        <f>Sheet1!A42</f>
        <v>242</v>
      </c>
      <c r="B76" s="78">
        <f>Sheet1!B42</f>
        <v>7.74</v>
      </c>
      <c r="C76" s="79">
        <v>1</v>
      </c>
    </row>
    <row r="77" spans="1:3">
      <c r="A77" s="77">
        <f>Sheet1!A43</f>
        <v>243</v>
      </c>
      <c r="B77" s="78">
        <f>Sheet1!B43</f>
        <v>7.8900000000000006</v>
      </c>
      <c r="C77" s="79">
        <v>1</v>
      </c>
    </row>
    <row r="78" spans="1:3">
      <c r="A78" s="77">
        <f>Sheet1!A44</f>
        <v>244</v>
      </c>
      <c r="B78" s="78">
        <f>Sheet1!B44</f>
        <v>8.0300000000000011</v>
      </c>
      <c r="C78" s="79">
        <v>1</v>
      </c>
    </row>
    <row r="79" spans="1:3">
      <c r="A79" s="77">
        <f>Sheet1!A45</f>
        <v>245</v>
      </c>
      <c r="B79" s="78">
        <f>Sheet1!B45</f>
        <v>8.1600000000000019</v>
      </c>
      <c r="C79" s="79">
        <v>1</v>
      </c>
    </row>
    <row r="80" spans="1:3">
      <c r="A80" s="77">
        <f>Sheet1!A46</f>
        <v>250</v>
      </c>
      <c r="B80" s="78">
        <f>Sheet1!B46</f>
        <v>8.64</v>
      </c>
      <c r="C80" s="79">
        <v>1</v>
      </c>
    </row>
    <row r="81" spans="1:3">
      <c r="A81" s="77">
        <f>Sheet1!A47</f>
        <v>255</v>
      </c>
      <c r="B81" s="78">
        <f>Sheet1!B47</f>
        <v>8.75</v>
      </c>
      <c r="C81" s="79">
        <v>1</v>
      </c>
    </row>
    <row r="82" spans="1:3">
      <c r="A82" s="77">
        <f>Sheet1!A48</f>
        <v>260</v>
      </c>
      <c r="B82" s="78">
        <f>Sheet1!B48</f>
        <v>8.85</v>
      </c>
      <c r="C82" s="79">
        <v>1</v>
      </c>
    </row>
    <row r="83" spans="1:3">
      <c r="A83" s="77">
        <f>Sheet1!A49</f>
        <v>265</v>
      </c>
      <c r="B83" s="78">
        <f>Sheet1!B49</f>
        <v>8.9599999999999991</v>
      </c>
      <c r="C83" s="79">
        <v>1</v>
      </c>
    </row>
    <row r="84" spans="1:3">
      <c r="A84" s="77">
        <f>Sheet1!A50</f>
        <v>270</v>
      </c>
      <c r="B84" s="78">
        <f>Sheet1!B50</f>
        <v>9.06</v>
      </c>
      <c r="C84" s="79">
        <v>1</v>
      </c>
    </row>
    <row r="85" spans="1:3">
      <c r="A85" s="77">
        <f>Sheet1!A51</f>
        <v>275</v>
      </c>
      <c r="B85" s="78">
        <f>Sheet1!B51</f>
        <v>9.1300000000000008</v>
      </c>
      <c r="C85" s="79">
        <v>1</v>
      </c>
    </row>
    <row r="86" spans="1:3">
      <c r="A86" s="77">
        <f>Sheet1!A52</f>
        <v>280</v>
      </c>
      <c r="B86" s="78">
        <f>Sheet1!B52</f>
        <v>9.1800000000000015</v>
      </c>
      <c r="C86" s="79">
        <v>1</v>
      </c>
    </row>
    <row r="87" spans="1:3">
      <c r="A87" s="77">
        <f>Sheet1!A53</f>
        <v>285</v>
      </c>
      <c r="B87" s="78">
        <f>Sheet1!B53</f>
        <v>9.2200000000000006</v>
      </c>
      <c r="C87" s="79">
        <v>1</v>
      </c>
    </row>
    <row r="88" spans="1:3">
      <c r="A88" s="77">
        <f>Sheet1!A54</f>
        <v>290</v>
      </c>
      <c r="B88" s="78">
        <f>Sheet1!B54</f>
        <v>9.25</v>
      </c>
      <c r="C88" s="79">
        <v>1</v>
      </c>
    </row>
    <row r="89" spans="1:3">
      <c r="A89" s="77">
        <f>Sheet1!A55</f>
        <v>295</v>
      </c>
      <c r="B89" s="78">
        <f>Sheet1!B55</f>
        <v>9.27</v>
      </c>
      <c r="C89" s="79">
        <v>1</v>
      </c>
    </row>
    <row r="90" spans="1:3">
      <c r="A90" s="77">
        <f>Sheet1!A56</f>
        <v>300</v>
      </c>
      <c r="B90" s="78">
        <f>Sheet1!B56</f>
        <v>9.27</v>
      </c>
      <c r="C90" s="79">
        <v>1</v>
      </c>
    </row>
    <row r="91" spans="1:3">
      <c r="A91" s="77">
        <f>Sheet1!A57</f>
        <v>315</v>
      </c>
      <c r="B91" s="78">
        <f>Sheet1!B57</f>
        <v>9.35</v>
      </c>
      <c r="C91" s="79">
        <v>1</v>
      </c>
    </row>
    <row r="92" spans="1:3">
      <c r="A92" s="77">
        <f>Sheet1!A58</f>
        <v>330</v>
      </c>
      <c r="B92" s="78">
        <f>Sheet1!B58</f>
        <v>9.41</v>
      </c>
      <c r="C92" s="79">
        <v>1</v>
      </c>
    </row>
    <row r="93" spans="1:3">
      <c r="A93" s="77">
        <f>Sheet1!A59</f>
        <v>345</v>
      </c>
      <c r="B93" s="78">
        <f>Sheet1!B59</f>
        <v>9.4600000000000009</v>
      </c>
      <c r="C93" s="79">
        <v>1</v>
      </c>
    </row>
    <row r="94" spans="1:3">
      <c r="A94" s="77">
        <f>Sheet1!A60</f>
        <v>360</v>
      </c>
      <c r="B94" s="78">
        <f>Sheet1!B60</f>
        <v>9.48</v>
      </c>
      <c r="C94" s="79">
        <v>1</v>
      </c>
    </row>
    <row r="95" spans="1:3">
      <c r="A95" s="77">
        <f>Sheet1!A61</f>
        <v>361</v>
      </c>
      <c r="B95" s="78">
        <f>Sheet1!B61</f>
        <v>9.67</v>
      </c>
      <c r="C95" s="79">
        <v>1</v>
      </c>
    </row>
    <row r="96" spans="1:3">
      <c r="A96" s="77">
        <f>Sheet1!A62</f>
        <v>362</v>
      </c>
      <c r="B96" s="78">
        <f>Sheet1!B62</f>
        <v>9.84</v>
      </c>
      <c r="C96" s="79">
        <v>1</v>
      </c>
    </row>
    <row r="97" spans="1:3">
      <c r="A97" s="77">
        <f>Sheet1!A63</f>
        <v>363</v>
      </c>
      <c r="B97" s="78">
        <f>Sheet1!B63</f>
        <v>10</v>
      </c>
      <c r="C97" s="79">
        <v>1</v>
      </c>
    </row>
    <row r="98" spans="1:3">
      <c r="A98" s="77">
        <f>Sheet1!A64</f>
        <v>364</v>
      </c>
      <c r="B98" s="78">
        <f>Sheet1!B64</f>
        <v>10.15</v>
      </c>
      <c r="C98" s="79">
        <v>1</v>
      </c>
    </row>
    <row r="99" spans="1:3">
      <c r="A99" s="77">
        <f>Sheet1!A65</f>
        <v>365</v>
      </c>
      <c r="B99" s="78">
        <f>Sheet1!B65</f>
        <v>10.290000000000001</v>
      </c>
      <c r="C99" s="79">
        <v>1</v>
      </c>
    </row>
    <row r="100" spans="1:3">
      <c r="A100" s="77">
        <f>Sheet1!A66</f>
        <v>370</v>
      </c>
      <c r="B100" s="78">
        <f>Sheet1!B66</f>
        <v>10.87</v>
      </c>
      <c r="C100" s="79">
        <v>1</v>
      </c>
    </row>
    <row r="101" spans="1:3">
      <c r="A101" s="77">
        <f>Sheet1!A67</f>
        <v>375</v>
      </c>
      <c r="B101" s="78">
        <f>Sheet1!B67</f>
        <v>10.989999999999998</v>
      </c>
      <c r="C101" s="79">
        <v>1</v>
      </c>
    </row>
    <row r="102" spans="1:3">
      <c r="A102" s="77">
        <f>Sheet1!A68</f>
        <v>380</v>
      </c>
      <c r="B102" s="78">
        <f>Sheet1!B68</f>
        <v>11.1</v>
      </c>
      <c r="C102" s="79">
        <v>1</v>
      </c>
    </row>
    <row r="103" spans="1:3">
      <c r="A103" s="77">
        <f>Sheet1!A69</f>
        <v>385</v>
      </c>
      <c r="B103" s="78">
        <f>Sheet1!B69</f>
        <v>11.219999999999999</v>
      </c>
      <c r="C103" s="79">
        <v>1</v>
      </c>
    </row>
    <row r="104" spans="1:3">
      <c r="A104" s="77">
        <f>Sheet1!A70</f>
        <v>390</v>
      </c>
      <c r="B104" s="78">
        <f>Sheet1!B70</f>
        <v>11.33</v>
      </c>
      <c r="C104" s="79">
        <v>1</v>
      </c>
    </row>
    <row r="105" spans="1:3">
      <c r="A105" s="77">
        <f>Sheet1!A71</f>
        <v>395</v>
      </c>
      <c r="B105" s="78">
        <f>Sheet1!B71</f>
        <v>11.4</v>
      </c>
      <c r="C105" s="79">
        <v>1</v>
      </c>
    </row>
    <row r="106" spans="1:3">
      <c r="A106" s="77">
        <f>Sheet1!A72</f>
        <v>400</v>
      </c>
      <c r="B106" s="78">
        <f>Sheet1!B72</f>
        <v>11.450000000000001</v>
      </c>
      <c r="C106" s="79">
        <v>1</v>
      </c>
    </row>
    <row r="107" spans="1:3">
      <c r="A107" s="77">
        <f>Sheet1!A73</f>
        <v>405</v>
      </c>
      <c r="B107" s="78">
        <f>Sheet1!B73</f>
        <v>11.49</v>
      </c>
      <c r="C107" s="79">
        <v>1</v>
      </c>
    </row>
    <row r="108" spans="1:3">
      <c r="A108" s="77">
        <f>Sheet1!A74</f>
        <v>410</v>
      </c>
      <c r="B108" s="78">
        <f>Sheet1!B74</f>
        <v>11.52</v>
      </c>
      <c r="C108" s="79">
        <v>1</v>
      </c>
    </row>
    <row r="109" spans="1:3">
      <c r="A109" s="77">
        <f>Sheet1!A75</f>
        <v>415</v>
      </c>
      <c r="B109" s="78">
        <f>Sheet1!B75</f>
        <v>11.549999999999999</v>
      </c>
      <c r="C109" s="79">
        <v>1</v>
      </c>
    </row>
    <row r="110" spans="1:3">
      <c r="A110" s="77">
        <f>Sheet1!A76</f>
        <v>420</v>
      </c>
      <c r="B110" s="78">
        <f>Sheet1!B76</f>
        <v>11.56</v>
      </c>
      <c r="C110" s="79">
        <v>1</v>
      </c>
    </row>
    <row r="111" spans="1:3">
      <c r="A111" s="77">
        <f>Sheet1!A77</f>
        <v>435</v>
      </c>
      <c r="B111" s="78">
        <f>Sheet1!B77</f>
        <v>11.65</v>
      </c>
      <c r="C111" s="79">
        <v>1</v>
      </c>
    </row>
    <row r="112" spans="1:3">
      <c r="A112" s="77">
        <f>Sheet1!A78</f>
        <v>450</v>
      </c>
      <c r="B112" s="78">
        <f>Sheet1!B78</f>
        <v>11.72</v>
      </c>
      <c r="C112" s="79">
        <v>1</v>
      </c>
    </row>
    <row r="113" spans="1:3">
      <c r="A113" s="77">
        <f>Sheet1!A79</f>
        <v>465</v>
      </c>
      <c r="B113" s="78">
        <f>Sheet1!B79</f>
        <v>11.770000000000001</v>
      </c>
      <c r="C113" s="79">
        <v>1</v>
      </c>
    </row>
    <row r="114" spans="1:3">
      <c r="A114" s="77">
        <f>Sheet1!A80</f>
        <v>480</v>
      </c>
      <c r="B114" s="78">
        <f>Sheet1!B80</f>
        <v>11.8</v>
      </c>
      <c r="C114" s="79">
        <v>1</v>
      </c>
    </row>
    <row r="115" spans="1:3">
      <c r="A115" s="77">
        <f>Sheet1!A81</f>
        <v>481</v>
      </c>
      <c r="B115" s="78">
        <f>Sheet1!B81</f>
        <v>12.010000000000002</v>
      </c>
      <c r="C115" s="79">
        <v>1</v>
      </c>
    </row>
    <row r="116" spans="1:3">
      <c r="A116" s="77">
        <f>Sheet1!A82</f>
        <v>482</v>
      </c>
      <c r="B116" s="78">
        <f>Sheet1!B82</f>
        <v>12.200000000000001</v>
      </c>
      <c r="C116" s="79">
        <v>1</v>
      </c>
    </row>
    <row r="117" spans="1:3">
      <c r="A117" s="77">
        <f>Sheet1!A83</f>
        <v>483</v>
      </c>
      <c r="B117" s="78">
        <f>Sheet1!B83</f>
        <v>12.370000000000001</v>
      </c>
      <c r="C117" s="79">
        <v>1</v>
      </c>
    </row>
    <row r="118" spans="1:3">
      <c r="A118" s="77">
        <f>Sheet1!A84</f>
        <v>484</v>
      </c>
      <c r="B118" s="78">
        <f>Sheet1!B84</f>
        <v>12.530000000000001</v>
      </c>
      <c r="C118" s="79">
        <v>1</v>
      </c>
    </row>
    <row r="119" spans="1:3">
      <c r="A119" s="77">
        <f>Sheet1!A85</f>
        <v>485</v>
      </c>
      <c r="B119" s="78">
        <f>Sheet1!B85</f>
        <v>12.670000000000002</v>
      </c>
      <c r="C119" s="79">
        <v>1</v>
      </c>
    </row>
    <row r="120" spans="1:3">
      <c r="A120" s="77">
        <f>Sheet1!A86</f>
        <v>490</v>
      </c>
      <c r="B120" s="78">
        <f>Sheet1!B86</f>
        <v>13.21</v>
      </c>
      <c r="C120" s="79">
        <v>1</v>
      </c>
    </row>
    <row r="121" spans="1:3">
      <c r="A121" s="77">
        <f>Sheet1!A87</f>
        <v>495</v>
      </c>
      <c r="B121" s="78">
        <f>Sheet1!B87</f>
        <v>13.520000000000001</v>
      </c>
      <c r="C121" s="79">
        <v>1</v>
      </c>
    </row>
    <row r="122" spans="1:3">
      <c r="A122" s="77">
        <f>Sheet1!A88</f>
        <v>500</v>
      </c>
      <c r="B122" s="78">
        <f>Sheet1!B88</f>
        <v>13.74</v>
      </c>
      <c r="C122" s="79">
        <v>1</v>
      </c>
    </row>
    <row r="123" spans="1:3">
      <c r="A123" s="77">
        <f>Sheet1!A89</f>
        <v>505</v>
      </c>
      <c r="B123" s="78">
        <f>Sheet1!B89</f>
        <v>14.040000000000001</v>
      </c>
      <c r="C123" s="79">
        <v>1</v>
      </c>
    </row>
    <row r="124" spans="1:3">
      <c r="A124" s="77">
        <f>Sheet1!A90</f>
        <v>510</v>
      </c>
      <c r="B124" s="78">
        <f>Sheet1!B90</f>
        <v>14.27</v>
      </c>
      <c r="C124" s="79">
        <v>1</v>
      </c>
    </row>
    <row r="125" spans="1:3">
      <c r="A125" s="77">
        <f>Sheet1!A91</f>
        <v>515</v>
      </c>
      <c r="B125" s="78">
        <f>Sheet1!B91</f>
        <v>14.42</v>
      </c>
      <c r="C125" s="79">
        <v>1</v>
      </c>
    </row>
    <row r="126" spans="1:3">
      <c r="A126" s="77">
        <f>Sheet1!A92</f>
        <v>520</v>
      </c>
      <c r="B126" s="78">
        <f>Sheet1!B92</f>
        <v>14.55</v>
      </c>
      <c r="C126" s="79">
        <v>1</v>
      </c>
    </row>
    <row r="127" spans="1:3">
      <c r="A127" s="77">
        <f>Sheet1!A93</f>
        <v>525</v>
      </c>
      <c r="B127" s="78">
        <f>Sheet1!B93</f>
        <v>14.66</v>
      </c>
      <c r="C127" s="79">
        <v>1</v>
      </c>
    </row>
    <row r="128" spans="1:3">
      <c r="A128" s="77">
        <f>Sheet1!A94</f>
        <v>530</v>
      </c>
      <c r="B128" s="78">
        <f>Sheet1!B94</f>
        <v>14.74</v>
      </c>
      <c r="C128" s="79">
        <v>1</v>
      </c>
    </row>
    <row r="129" spans="1:3">
      <c r="A129" s="77">
        <f>Sheet1!A95</f>
        <v>535</v>
      </c>
      <c r="B129" s="78">
        <f>Sheet1!B95</f>
        <v>14.81</v>
      </c>
      <c r="C129" s="79">
        <v>1</v>
      </c>
    </row>
    <row r="130" spans="1:3">
      <c r="A130" s="77">
        <f>Sheet1!A96</f>
        <v>540</v>
      </c>
      <c r="B130" s="78">
        <f>Sheet1!B96</f>
        <v>14.8</v>
      </c>
      <c r="C130" s="79">
        <v>1</v>
      </c>
    </row>
    <row r="131" spans="1:3">
      <c r="A131" s="77">
        <f>Sheet1!A97</f>
        <v>555</v>
      </c>
      <c r="B131" s="78">
        <f>Sheet1!B97</f>
        <v>14.99</v>
      </c>
      <c r="C131" s="79">
        <v>1</v>
      </c>
    </row>
    <row r="132" spans="1:3">
      <c r="A132" s="77">
        <f>Sheet1!A98</f>
        <v>570</v>
      </c>
      <c r="B132" s="78">
        <f>Sheet1!B98</f>
        <v>15.15</v>
      </c>
      <c r="C132" s="79">
        <v>1</v>
      </c>
    </row>
    <row r="133" spans="1:3">
      <c r="A133" s="77">
        <f>Sheet1!A99</f>
        <v>585</v>
      </c>
      <c r="B133" s="78">
        <f>Sheet1!B99</f>
        <v>15.290000000000001</v>
      </c>
      <c r="C133" s="79">
        <v>1</v>
      </c>
    </row>
    <row r="134" spans="1:3">
      <c r="A134" s="77">
        <f>Sheet1!A100</f>
        <v>600</v>
      </c>
      <c r="B134" s="78">
        <f>Sheet1!B100</f>
        <v>15.34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1.706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2.6534370510113732</v>
      </c>
      <c r="C31" s="79">
        <v>1</v>
      </c>
    </row>
    <row r="32" spans="1:3">
      <c r="A32" s="77">
        <f>LongTest!D11</f>
        <v>2</v>
      </c>
      <c r="B32" s="81">
        <f>LongTest!G11</f>
        <v>3.8219705345421868</v>
      </c>
      <c r="C32" s="79">
        <v>1</v>
      </c>
    </row>
    <row r="33" spans="1:3">
      <c r="A33" s="77">
        <f>LongTest!D12</f>
        <v>3</v>
      </c>
      <c r="B33" s="81">
        <f>LongTest!G12</f>
        <v>4.5055188032447759</v>
      </c>
      <c r="C33" s="79">
        <v>1</v>
      </c>
    </row>
    <row r="34" spans="1:3">
      <c r="A34" s="77">
        <f>LongTest!D13</f>
        <v>4</v>
      </c>
      <c r="B34" s="81">
        <f>LongTest!G13</f>
        <v>4.9905040180730005</v>
      </c>
      <c r="C34" s="79">
        <v>1</v>
      </c>
    </row>
    <row r="35" spans="1:3">
      <c r="A35" s="77">
        <f>LongTest!D14</f>
        <v>5</v>
      </c>
      <c r="B35" s="81">
        <f>LongTest!G14</f>
        <v>5.3666877762381695</v>
      </c>
      <c r="C35" s="79">
        <v>1</v>
      </c>
    </row>
    <row r="36" spans="1:3">
      <c r="A36" s="77">
        <f>LongTest!D15</f>
        <v>10</v>
      </c>
      <c r="B36" s="81">
        <f>LongTest!G15</f>
        <v>6.5352212597689814</v>
      </c>
      <c r="C36" s="79">
        <v>1</v>
      </c>
    </row>
    <row r="37" spans="1:3">
      <c r="A37" s="77">
        <f>LongTest!D16</f>
        <v>15</v>
      </c>
      <c r="B37" s="81">
        <f>LongTest!G16</f>
        <v>7.2187695284715705</v>
      </c>
      <c r="C37" s="79">
        <v>1</v>
      </c>
    </row>
    <row r="38" spans="1:3">
      <c r="A38" s="77">
        <f>LongTest!D17</f>
        <v>20</v>
      </c>
      <c r="B38" s="81">
        <f>LongTest!G17</f>
        <v>7.703754743299795</v>
      </c>
      <c r="C38" s="79">
        <v>1</v>
      </c>
    </row>
    <row r="39" spans="1:3">
      <c r="A39" s="77">
        <f>LongTest!D18</f>
        <v>25</v>
      </c>
      <c r="B39" s="81">
        <f>LongTest!G18</f>
        <v>8.0799385014649605</v>
      </c>
      <c r="C39" s="79">
        <v>1</v>
      </c>
    </row>
    <row r="40" spans="1:3">
      <c r="A40" s="77">
        <f>LongTest!D19</f>
        <v>30</v>
      </c>
      <c r="B40" s="81">
        <f>LongTest!G19</f>
        <v>8.3873030120023824</v>
      </c>
      <c r="C40" s="79">
        <v>1</v>
      </c>
    </row>
    <row r="41" spans="1:3">
      <c r="A41" s="77">
        <f>LongTest!D20</f>
        <v>35</v>
      </c>
      <c r="B41" s="81">
        <f>LongTest!G20</f>
        <v>8.6471760028175151</v>
      </c>
      <c r="C41" s="79">
        <v>1</v>
      </c>
    </row>
    <row r="42" spans="1:3">
      <c r="A42" s="77">
        <f>LongTest!D21</f>
        <v>40</v>
      </c>
      <c r="B42" s="81">
        <f>LongTest!G21</f>
        <v>8.8722882268306069</v>
      </c>
      <c r="C42" s="79">
        <v>1</v>
      </c>
    </row>
    <row r="43" spans="1:3">
      <c r="A43" s="77">
        <f>LongTest!D22</f>
        <v>45</v>
      </c>
      <c r="B43" s="81">
        <f>LongTest!G22</f>
        <v>9.0708512807049733</v>
      </c>
      <c r="C43" s="79">
        <v>1</v>
      </c>
    </row>
    <row r="44" spans="1:3">
      <c r="A44" s="77">
        <f>LongTest!D23</f>
        <v>50</v>
      </c>
      <c r="B44" s="81">
        <f>LongTest!G23</f>
        <v>9.2484719849957759</v>
      </c>
      <c r="C44" s="79">
        <v>1</v>
      </c>
    </row>
    <row r="45" spans="1:3">
      <c r="A45" s="77">
        <f>LongTest!D24</f>
        <v>55</v>
      </c>
      <c r="B45" s="81">
        <f>LongTest!G24</f>
        <v>9.4091494566010478</v>
      </c>
      <c r="C45" s="79">
        <v>1</v>
      </c>
    </row>
    <row r="46" spans="1:3">
      <c r="A46" s="77">
        <f>LongTest!D25</f>
        <v>60</v>
      </c>
      <c r="B46" s="81">
        <f>LongTest!G25</f>
        <v>9.5558364955331978</v>
      </c>
      <c r="C46" s="79">
        <v>1</v>
      </c>
    </row>
    <row r="47" spans="1:3">
      <c r="A47" s="77">
        <f>LongTest!D26</f>
        <v>75</v>
      </c>
      <c r="B47" s="81">
        <f>LongTest!G26</f>
        <v>9.9320202536983633</v>
      </c>
      <c r="C47" s="79">
        <v>1</v>
      </c>
    </row>
    <row r="48" spans="1:3">
      <c r="A48" s="77">
        <f>LongTest!D27</f>
        <v>90</v>
      </c>
      <c r="B48" s="81">
        <f>LongTest!G27</f>
        <v>10.239384764235785</v>
      </c>
      <c r="C48" s="79">
        <v>1</v>
      </c>
    </row>
    <row r="49" spans="1:3">
      <c r="A49" s="77">
        <f>LongTest!D28</f>
        <v>105</v>
      </c>
      <c r="B49" s="81">
        <f>LongTest!G28</f>
        <v>10.499257755050918</v>
      </c>
      <c r="C49" s="79">
        <v>1</v>
      </c>
    </row>
    <row r="50" spans="1:3">
      <c r="A50" s="77">
        <f>LongTest!D29</f>
        <v>120</v>
      </c>
      <c r="B50" s="81">
        <f>LongTest!G29</f>
        <v>10.72436997906401</v>
      </c>
      <c r="C50" s="79">
        <v>1</v>
      </c>
    </row>
    <row r="51" spans="1:3">
      <c r="A51" s="77">
        <f>LongTest!D30</f>
        <v>140</v>
      </c>
      <c r="B51" s="81">
        <f>LongTest!G30</f>
        <v>10.984242969879142</v>
      </c>
      <c r="C51" s="79">
        <v>1</v>
      </c>
    </row>
    <row r="52" spans="1:3">
      <c r="A52" s="77">
        <f>LongTest!D31</f>
        <v>160</v>
      </c>
      <c r="B52" s="81">
        <f>LongTest!G31</f>
        <v>11.209355193892234</v>
      </c>
      <c r="C52" s="79">
        <v>1</v>
      </c>
    </row>
    <row r="53" spans="1:3">
      <c r="A53" s="77">
        <f>LongTest!D32</f>
        <v>180</v>
      </c>
      <c r="B53" s="81">
        <f>LongTest!G32</f>
        <v>11.407918247766601</v>
      </c>
      <c r="C53" s="79">
        <v>1</v>
      </c>
    </row>
    <row r="54" spans="1:3">
      <c r="A54" s="77">
        <f>LongTest!D33</f>
        <v>240</v>
      </c>
      <c r="B54" s="81">
        <f>LongTest!G33</f>
        <v>11.892903462594825</v>
      </c>
      <c r="C54" s="79">
        <v>1</v>
      </c>
    </row>
    <row r="55" spans="1:3">
      <c r="A55" s="77">
        <f>LongTest!D34</f>
        <v>300</v>
      </c>
      <c r="B55" s="81">
        <f>LongTest!G34</f>
        <v>12.269087220759991</v>
      </c>
      <c r="C55" s="79">
        <v>1</v>
      </c>
    </row>
    <row r="56" spans="1:3">
      <c r="A56" s="77">
        <f>LongTest!D35</f>
        <v>360</v>
      </c>
      <c r="B56" s="81">
        <f>LongTest!G35</f>
        <v>12.576451731297412</v>
      </c>
      <c r="C56" s="79">
        <v>1</v>
      </c>
    </row>
    <row r="57" spans="1:3">
      <c r="A57" s="77">
        <f>LongTest!D36</f>
        <v>420</v>
      </c>
      <c r="B57" s="81">
        <f>LongTest!G36</f>
        <v>12.836324722112545</v>
      </c>
      <c r="C57" s="79">
        <v>1</v>
      </c>
    </row>
    <row r="58" spans="1:3">
      <c r="A58" s="77">
        <f>LongTest!D37</f>
        <v>480</v>
      </c>
      <c r="B58" s="81">
        <f>LongTest!G37</f>
        <v>13.061436946125637</v>
      </c>
      <c r="C58" s="79">
        <v>1</v>
      </c>
    </row>
    <row r="59" spans="1:3">
      <c r="A59" s="77">
        <f>LongTest!D38</f>
        <v>540</v>
      </c>
      <c r="B59" s="81">
        <f>LongTest!G38</f>
        <v>13.26</v>
      </c>
      <c r="C59" s="79">
        <v>1</v>
      </c>
    </row>
    <row r="60" spans="1:3">
      <c r="A60" s="77">
        <f>LongTest!D39</f>
        <v>600</v>
      </c>
      <c r="B60" s="81">
        <f>LongTest!G39</f>
        <v>13.26</v>
      </c>
      <c r="C60" s="79">
        <v>1</v>
      </c>
    </row>
    <row r="61" spans="1:3">
      <c r="A61" s="77">
        <f>LongTest!D40</f>
        <v>660</v>
      </c>
      <c r="B61" s="81">
        <f>LongTest!G40</f>
        <v>13.26</v>
      </c>
      <c r="C61" s="79">
        <v>1</v>
      </c>
    </row>
    <row r="62" spans="1:3">
      <c r="A62" s="77">
        <f>LongTest!D41</f>
        <v>720</v>
      </c>
      <c r="B62" s="81">
        <f>LongTest!G41</f>
        <v>13.26</v>
      </c>
      <c r="C62" s="79">
        <v>1</v>
      </c>
    </row>
    <row r="63" spans="1:3">
      <c r="A63" s="77">
        <f>LongTest!D42</f>
        <v>780</v>
      </c>
      <c r="B63" s="81">
        <f>LongTest!G42</f>
        <v>13.26</v>
      </c>
      <c r="C63" s="79">
        <v>1</v>
      </c>
    </row>
    <row r="64" spans="1:3">
      <c r="A64" s="77">
        <f>LongTest!D43</f>
        <v>840</v>
      </c>
      <c r="B64" s="81">
        <f>LongTest!G43</f>
        <v>13.26</v>
      </c>
      <c r="C64" s="79">
        <v>1</v>
      </c>
    </row>
    <row r="65" spans="1:3">
      <c r="A65" s="77">
        <f>LongTest!D44</f>
        <v>900</v>
      </c>
      <c r="B65" s="81">
        <f>LongTest!G44</f>
        <v>13.26</v>
      </c>
      <c r="C65" s="79">
        <v>1</v>
      </c>
    </row>
    <row r="66" spans="1:3">
      <c r="A66" s="77">
        <f>LongTest!D45</f>
        <v>960</v>
      </c>
      <c r="B66" s="81">
        <f>LongTest!G45</f>
        <v>13.26</v>
      </c>
      <c r="C66" s="79">
        <v>1</v>
      </c>
    </row>
    <row r="67" spans="1:3">
      <c r="A67" s="77">
        <f>LongTest!D46</f>
        <v>1020</v>
      </c>
      <c r="B67" s="81">
        <f>LongTest!G46</f>
        <v>13.26</v>
      </c>
      <c r="C67" s="79">
        <v>1</v>
      </c>
    </row>
    <row r="68" spans="1:3">
      <c r="A68" s="77">
        <f>LongTest!D47</f>
        <v>1080</v>
      </c>
      <c r="B68" s="81">
        <f>LongTest!G47</f>
        <v>13.26</v>
      </c>
      <c r="C68" s="79">
        <v>1</v>
      </c>
    </row>
    <row r="69" spans="1:3">
      <c r="A69" s="77">
        <f>LongTest!D48</f>
        <v>1140</v>
      </c>
      <c r="B69" s="81">
        <f>LongTest!G48</f>
        <v>13.26</v>
      </c>
      <c r="C69" s="79">
        <v>1</v>
      </c>
    </row>
    <row r="70" spans="1:3">
      <c r="A70" s="77">
        <f>LongTest!D49</f>
        <v>1200</v>
      </c>
      <c r="B70" s="81">
        <f>LongTest!G49</f>
        <v>13.26</v>
      </c>
      <c r="C70" s="79">
        <v>1</v>
      </c>
    </row>
    <row r="71" spans="1:3">
      <c r="A71" s="77">
        <f>LongTest!D50</f>
        <v>1260</v>
      </c>
      <c r="B71" s="81">
        <f>LongTest!G50</f>
        <v>13.26</v>
      </c>
      <c r="C71" s="79">
        <v>1</v>
      </c>
    </row>
    <row r="72" spans="1:3">
      <c r="A72" s="77">
        <f>LongTest!D51</f>
        <v>1320</v>
      </c>
      <c r="B72" s="81">
        <f>LongTest!G51</f>
        <v>13.26</v>
      </c>
      <c r="C72" s="79">
        <v>1</v>
      </c>
    </row>
    <row r="73" spans="1:3">
      <c r="A73" s="77">
        <f>LongTest!D52</f>
        <v>1380</v>
      </c>
      <c r="B73" s="81">
        <f>LongTest!G52</f>
        <v>13.26</v>
      </c>
      <c r="C73" s="79">
        <v>1</v>
      </c>
    </row>
    <row r="74" spans="1:3">
      <c r="A74" s="77">
        <f>LongTest!D53</f>
        <v>1440</v>
      </c>
      <c r="B74" s="81">
        <f>LongTest!G53</f>
        <v>13.26</v>
      </c>
      <c r="C74" s="79">
        <v>1</v>
      </c>
    </row>
    <row r="75" spans="1:3">
      <c r="A75" s="77">
        <f>LongTest!D54</f>
        <v>1500</v>
      </c>
      <c r="B75" s="81">
        <f>LongTest!G54</f>
        <v>13.26</v>
      </c>
      <c r="C75" s="79">
        <v>1</v>
      </c>
    </row>
    <row r="76" spans="1:3">
      <c r="A76" s="77">
        <f>LongTest!D55</f>
        <v>1560</v>
      </c>
      <c r="B76" s="81">
        <f>LongTest!G55</f>
        <v>13.26</v>
      </c>
      <c r="C76" s="79">
        <v>1</v>
      </c>
    </row>
    <row r="77" spans="1:3">
      <c r="A77" s="77">
        <f>LongTest!D56</f>
        <v>1620</v>
      </c>
      <c r="B77" s="81">
        <f>LongTest!G56</f>
        <v>13.26</v>
      </c>
      <c r="C77" s="79">
        <v>1</v>
      </c>
    </row>
    <row r="78" spans="1:3">
      <c r="A78" s="77">
        <f>LongTest!D57</f>
        <v>1680</v>
      </c>
      <c r="B78" s="81">
        <f>LongTest!G57</f>
        <v>13.26</v>
      </c>
      <c r="C78" s="79">
        <v>1</v>
      </c>
    </row>
    <row r="79" spans="1:3">
      <c r="A79" s="77">
        <f>LongTest!D58</f>
        <v>1740</v>
      </c>
      <c r="B79" s="81">
        <f>LongTest!G58</f>
        <v>13.26</v>
      </c>
      <c r="C79" s="79">
        <v>1</v>
      </c>
    </row>
    <row r="80" spans="1:3">
      <c r="A80" s="77">
        <f>LongTest!D59</f>
        <v>1800</v>
      </c>
      <c r="B80" s="81">
        <f>LongTest!G59</f>
        <v>13.26</v>
      </c>
      <c r="C80" s="79">
        <v>1</v>
      </c>
    </row>
    <row r="81" spans="1:3">
      <c r="A81" s="77">
        <f>LongTest!D60</f>
        <v>1860</v>
      </c>
      <c r="B81" s="81">
        <f>LongTest!G60</f>
        <v>13.26</v>
      </c>
      <c r="C81" s="79">
        <v>1</v>
      </c>
    </row>
    <row r="82" spans="1:3">
      <c r="A82" s="77">
        <f>LongTest!D61</f>
        <v>1920</v>
      </c>
      <c r="B82" s="81">
        <f>LongTest!G61</f>
        <v>13.26</v>
      </c>
      <c r="C82" s="79">
        <v>1</v>
      </c>
    </row>
    <row r="83" spans="1:3">
      <c r="A83" s="77">
        <f>LongTest!D62</f>
        <v>1980</v>
      </c>
      <c r="B83" s="81">
        <f>LongTest!G62</f>
        <v>13.26</v>
      </c>
      <c r="C83" s="79">
        <v>1</v>
      </c>
    </row>
    <row r="84" spans="1:3">
      <c r="A84" s="77">
        <f>LongTest!D63</f>
        <v>2040</v>
      </c>
      <c r="B84" s="81">
        <f>LongTest!G63</f>
        <v>13.26</v>
      </c>
      <c r="C84" s="79">
        <v>1</v>
      </c>
    </row>
    <row r="85" spans="1:3">
      <c r="A85" s="77">
        <f>LongTest!D64</f>
        <v>2100</v>
      </c>
      <c r="B85" s="81">
        <f>LongTest!G64</f>
        <v>13.26</v>
      </c>
      <c r="C85" s="79">
        <v>1</v>
      </c>
    </row>
    <row r="86" spans="1:3">
      <c r="A86" s="77">
        <f>LongTest!D65</f>
        <v>2160</v>
      </c>
      <c r="B86" s="81">
        <f>LongTest!G65</f>
        <v>13.26</v>
      </c>
      <c r="C86" s="79">
        <v>1</v>
      </c>
    </row>
    <row r="87" spans="1:3">
      <c r="A87" s="77">
        <f>LongTest!D66</f>
        <v>2220</v>
      </c>
      <c r="B87" s="81">
        <f>LongTest!G66</f>
        <v>13.26</v>
      </c>
      <c r="C87" s="79">
        <v>1</v>
      </c>
    </row>
    <row r="88" spans="1:3">
      <c r="A88" s="77">
        <f>LongTest!D67</f>
        <v>2280</v>
      </c>
      <c r="B88" s="81">
        <f>LongTest!G67</f>
        <v>13.26</v>
      </c>
      <c r="C88" s="79">
        <v>1</v>
      </c>
    </row>
    <row r="89" spans="1:3">
      <c r="A89" s="77">
        <f>LongTest!D68</f>
        <v>2340</v>
      </c>
      <c r="B89" s="81">
        <f>LongTest!G68</f>
        <v>13.26</v>
      </c>
      <c r="C89" s="79">
        <v>1</v>
      </c>
    </row>
    <row r="90" spans="1:3">
      <c r="A90" s="77">
        <f>LongTest!D69</f>
        <v>2400</v>
      </c>
      <c r="B90" s="81">
        <f>LongTest!G69</f>
        <v>13.26</v>
      </c>
      <c r="C90" s="79">
        <v>1</v>
      </c>
    </row>
    <row r="91" spans="1:3">
      <c r="A91" s="77">
        <f>LongTest!D70</f>
        <v>2460</v>
      </c>
      <c r="B91" s="81">
        <f>LongTest!G70</f>
        <v>13.26</v>
      </c>
      <c r="C91" s="79">
        <v>1</v>
      </c>
    </row>
    <row r="92" spans="1:3">
      <c r="A92" s="77">
        <f>LongTest!D71</f>
        <v>2520</v>
      </c>
      <c r="B92" s="81">
        <f>LongTest!G71</f>
        <v>13.26</v>
      </c>
      <c r="C92" s="79">
        <v>1</v>
      </c>
    </row>
    <row r="93" spans="1:3">
      <c r="A93" s="77">
        <f>LongTest!D72</f>
        <v>2580</v>
      </c>
      <c r="B93" s="81">
        <f>LongTest!G72</f>
        <v>13.26</v>
      </c>
      <c r="C93" s="79">
        <v>1</v>
      </c>
    </row>
    <row r="94" spans="1:3">
      <c r="A94" s="77">
        <f>LongTest!D73</f>
        <v>2640</v>
      </c>
      <c r="B94" s="81">
        <f>LongTest!G73</f>
        <v>13.26</v>
      </c>
      <c r="C94" s="79">
        <v>1</v>
      </c>
    </row>
    <row r="95" spans="1:3">
      <c r="A95" s="77">
        <f>LongTest!D74</f>
        <v>2700</v>
      </c>
      <c r="B95" s="81">
        <f>LongTest!G74</f>
        <v>13.26</v>
      </c>
      <c r="C95" s="79">
        <v>1</v>
      </c>
    </row>
    <row r="96" spans="1:3">
      <c r="A96" s="77">
        <f>LongTest!D75</f>
        <v>2760</v>
      </c>
      <c r="B96" s="81">
        <f>LongTest!G75</f>
        <v>13.26</v>
      </c>
      <c r="C96" s="79">
        <v>1</v>
      </c>
    </row>
    <row r="97" spans="1:3">
      <c r="A97" s="77">
        <f>LongTest!D76</f>
        <v>2820</v>
      </c>
      <c r="B97" s="81">
        <f>LongTest!G76</f>
        <v>13.26</v>
      </c>
      <c r="C97" s="79">
        <v>1</v>
      </c>
    </row>
    <row r="98" spans="1:3">
      <c r="A98" s="77">
        <f>LongTest!D77</f>
        <v>2880</v>
      </c>
      <c r="B98" s="81">
        <f>LongTest!G77</f>
        <v>13.26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zoomScaleNormal="100" workbookViewId="0">
      <selection activeCell="M10" sqref="M10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464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1.706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13.26</v>
      </c>
      <c r="C32" s="79">
        <v>1</v>
      </c>
    </row>
    <row r="33" spans="1:3">
      <c r="A33" s="77">
        <f>$A$32+LongTest!D78</f>
        <v>2881</v>
      </c>
      <c r="B33" s="78">
        <f>LongTest!G78</f>
        <v>9.2339481309840306</v>
      </c>
      <c r="C33" s="79">
        <v>1</v>
      </c>
    </row>
    <row r="34" spans="1:3">
      <c r="A34" s="77">
        <f>$A$32+LongTest!D79</f>
        <v>2882</v>
      </c>
      <c r="B34" s="78">
        <f>LongTest!G79</f>
        <v>8.5449814640467441</v>
      </c>
      <c r="C34" s="79">
        <v>1</v>
      </c>
    </row>
    <row r="35" spans="1:3">
      <c r="A35" s="77">
        <f>$A$32+LongTest!D80</f>
        <v>2883</v>
      </c>
      <c r="B35" s="78">
        <f>LongTest!G80</f>
        <v>7.9074202264466589</v>
      </c>
      <c r="C35" s="79">
        <v>1</v>
      </c>
    </row>
    <row r="36" spans="1:3">
      <c r="A36" s="77">
        <f>$A$32+LongTest!D81</f>
        <v>2884</v>
      </c>
      <c r="B36" s="78">
        <f>LongTest!G81</f>
        <v>7.3174289377575734</v>
      </c>
      <c r="C36" s="79">
        <v>1</v>
      </c>
    </row>
    <row r="37" spans="1:3">
      <c r="A37" s="77">
        <f>$A$32+LongTest!D82</f>
        <v>2885</v>
      </c>
      <c r="B37" s="78">
        <f>LongTest!G82</f>
        <v>6.7714582918016006</v>
      </c>
      <c r="C37" s="79">
        <v>1</v>
      </c>
    </row>
    <row r="38" spans="1:3">
      <c r="A38" s="77">
        <f>$A$32+LongTest!D83</f>
        <v>2890</v>
      </c>
      <c r="B38" s="78">
        <f>LongTest!G83</f>
        <v>5.3660324004838404</v>
      </c>
      <c r="C38" s="79">
        <v>1</v>
      </c>
    </row>
    <row r="39" spans="1:3">
      <c r="A39" s="77">
        <f>$A$32+LongTest!D84</f>
        <v>2895</v>
      </c>
      <c r="B39" s="78">
        <f>LongTest!G84</f>
        <v>5.0956832023691545</v>
      </c>
      <c r="C39" s="79">
        <v>1</v>
      </c>
    </row>
    <row r="40" spans="1:3">
      <c r="A40" s="77">
        <f>$A$32+LongTest!D85</f>
        <v>2900</v>
      </c>
      <c r="B40" s="78">
        <f>LongTest!G85</f>
        <v>4.3636489885377312</v>
      </c>
      <c r="C40" s="79">
        <v>1</v>
      </c>
    </row>
    <row r="41" spans="1:3">
      <c r="A41" s="77">
        <f>$A$32+LongTest!D86</f>
        <v>2905</v>
      </c>
      <c r="B41" s="78">
        <f>LongTest!G86</f>
        <v>4.0380668370386061</v>
      </c>
      <c r="C41" s="79">
        <v>1</v>
      </c>
    </row>
    <row r="42" spans="1:3">
      <c r="A42" s="77">
        <f>$A$32+LongTest!D87</f>
        <v>2910</v>
      </c>
      <c r="B42" s="78">
        <f>LongTest!G87</f>
        <v>3.736777138404789</v>
      </c>
      <c r="C42" s="79">
        <v>1</v>
      </c>
    </row>
    <row r="43" spans="1:3">
      <c r="A43" s="77">
        <f>$A$32+LongTest!D88</f>
        <v>2915</v>
      </c>
      <c r="B43" s="78">
        <f>LongTest!G88</f>
        <v>3.6414282912066249</v>
      </c>
      <c r="C43" s="79">
        <v>1</v>
      </c>
    </row>
    <row r="44" spans="1:3">
      <c r="A44" s="77">
        <f>$A$32+LongTest!D89</f>
        <v>2920</v>
      </c>
      <c r="B44" s="78">
        <f>LongTest!G89</f>
        <v>3.548512396878083</v>
      </c>
      <c r="C44" s="79">
        <v>1</v>
      </c>
    </row>
    <row r="45" spans="1:3">
      <c r="A45" s="77">
        <f>$A$32+LongTest!D90</f>
        <v>2925</v>
      </c>
      <c r="B45" s="78">
        <f>LongTest!G90</f>
        <v>3.4579673753852687</v>
      </c>
      <c r="C45" s="79">
        <v>1</v>
      </c>
    </row>
    <row r="46" spans="1:3">
      <c r="A46" s="77">
        <f>$A$32+LongTest!D91</f>
        <v>2930</v>
      </c>
      <c r="B46" s="78">
        <f>LongTest!G91</f>
        <v>3.3697327307490625</v>
      </c>
      <c r="C46" s="79">
        <v>1</v>
      </c>
    </row>
    <row r="47" spans="1:3">
      <c r="A47" s="77">
        <f>$A$32+LongTest!D92</f>
        <v>2935</v>
      </c>
      <c r="B47" s="78">
        <f>LongTest!G92</f>
        <v>3.2837495106258512</v>
      </c>
      <c r="C47" s="79">
        <v>1</v>
      </c>
    </row>
    <row r="48" spans="1:3">
      <c r="A48" s="77">
        <f>$A$32+LongTest!D93</f>
        <v>2940</v>
      </c>
      <c r="B48" s="78">
        <f>LongTest!G93</f>
        <v>3.1999602669196099</v>
      </c>
      <c r="C48" s="79">
        <v>1</v>
      </c>
    </row>
    <row r="49" spans="1:3">
      <c r="A49" s="77">
        <f>$A$32+LongTest!D94</f>
        <v>2955</v>
      </c>
      <c r="B49" s="78">
        <f>LongTest!G94</f>
        <v>3.1183090173990231</v>
      </c>
      <c r="C49" s="79">
        <v>1</v>
      </c>
    </row>
    <row r="50" spans="1:3">
      <c r="A50" s="77">
        <f>$A$32+LongTest!D95</f>
        <v>2970</v>
      </c>
      <c r="B50" s="78">
        <f>LongTest!G95</f>
        <v>3.0387412082939922</v>
      </c>
      <c r="C50" s="79">
        <v>1</v>
      </c>
    </row>
    <row r="51" spans="1:3">
      <c r="A51" s="77">
        <f>$A$32+LongTest!D96</f>
        <v>2985</v>
      </c>
      <c r="B51" s="78">
        <f>LongTest!G96</f>
        <v>2.9612036778465445</v>
      </c>
      <c r="C51" s="79">
        <v>1</v>
      </c>
    </row>
    <row r="52" spans="1:3">
      <c r="A52" s="77">
        <f>$A$32+LongTest!D97</f>
        <v>3000</v>
      </c>
      <c r="B52" s="78">
        <f>LongTest!G97</f>
        <v>2.7402612814730278</v>
      </c>
      <c r="C52" s="79">
        <v>1</v>
      </c>
    </row>
    <row r="53" spans="1:3">
      <c r="A53" s="77">
        <f>$A$32+LongTest!D98</f>
        <v>3060</v>
      </c>
      <c r="B53" s="78">
        <f>LongTest!G98</f>
        <v>2.6703398640235099</v>
      </c>
      <c r="C53" s="79">
        <v>1</v>
      </c>
    </row>
    <row r="54" spans="1:3">
      <c r="A54" s="77">
        <f>$A$32+LongTest!D99</f>
        <v>3120</v>
      </c>
      <c r="B54" s="78">
        <f>LongTest!G99</f>
        <v>2.2867249363697812</v>
      </c>
      <c r="C54" s="79">
        <v>1</v>
      </c>
    </row>
    <row r="55" spans="1:3">
      <c r="A55" s="77">
        <f>$A$32+LongTest!D100</f>
        <v>3180</v>
      </c>
      <c r="B55" s="78">
        <f>LongTest!G100</f>
        <v>1.9582192533112495</v>
      </c>
      <c r="C55" s="79">
        <v>1</v>
      </c>
    </row>
    <row r="56" spans="1:3">
      <c r="A56" s="77">
        <f>$A$32+LongTest!D101</f>
        <v>3240</v>
      </c>
      <c r="B56" s="78">
        <f>LongTest!G101</f>
        <v>1.6769059466008196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5" t="s">
        <v>314</v>
      </c>
      <c r="B1" s="555"/>
      <c r="C1" s="555"/>
      <c r="D1" s="555"/>
      <c r="E1" s="555"/>
      <c r="F1" s="555"/>
      <c r="G1" s="555"/>
      <c r="H1" s="555"/>
      <c r="I1" s="555"/>
      <c r="J1" s="555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C103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45724.444444444445</v>
      </c>
      <c r="D79" s="549">
        <v>2880</v>
      </c>
      <c r="E79" s="576"/>
      <c r="F79" s="281">
        <f>LongTest!F77</f>
        <v>23.5</v>
      </c>
      <c r="G79" s="281">
        <f>LongTest!G77</f>
        <v>13.26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45724.445138888892</v>
      </c>
      <c r="D80" s="549">
        <v>1</v>
      </c>
      <c r="E80" s="576"/>
      <c r="F80" s="286">
        <f>LongTest!F78</f>
        <v>19.473948130984031</v>
      </c>
      <c r="G80" s="286">
        <f>LongTest!G78</f>
        <v>9.2339481309840306</v>
      </c>
      <c r="H80" s="569" t="s">
        <v>191</v>
      </c>
      <c r="I80" s="578"/>
      <c r="J80" s="579"/>
    </row>
    <row r="81" spans="1:10" ht="24.95" customHeight="1">
      <c r="A81" s="308"/>
      <c r="B81" s="285"/>
      <c r="C81" s="285">
        <f t="shared" ref="C81:C103" si="6">$C$4+(D81+2880)/1440</f>
        <v>45724.445833333331</v>
      </c>
      <c r="D81" s="549">
        <v>2</v>
      </c>
      <c r="E81" s="576"/>
      <c r="F81" s="286">
        <f>LongTest!F79</f>
        <v>18.784981464046744</v>
      </c>
      <c r="G81" s="286">
        <f>LongTest!G79</f>
        <v>8.5449814640467441</v>
      </c>
      <c r="H81" s="549"/>
      <c r="I81" s="550"/>
      <c r="J81" s="551"/>
    </row>
    <row r="82" spans="1:10" ht="24.95" customHeight="1">
      <c r="A82" s="308"/>
      <c r="B82" s="285"/>
      <c r="C82" s="285">
        <f t="shared" si="6"/>
        <v>45724.446527777778</v>
      </c>
      <c r="D82" s="549">
        <v>3</v>
      </c>
      <c r="E82" s="576"/>
      <c r="F82" s="286">
        <f>LongTest!F80</f>
        <v>18.147420226446659</v>
      </c>
      <c r="G82" s="286">
        <f>LongTest!G80</f>
        <v>7.9074202264466589</v>
      </c>
      <c r="H82" s="549"/>
      <c r="I82" s="550"/>
      <c r="J82" s="551"/>
    </row>
    <row r="83" spans="1:10" ht="24.95" customHeight="1">
      <c r="A83" s="308"/>
      <c r="B83" s="285"/>
      <c r="C83" s="285">
        <f t="shared" si="6"/>
        <v>45724.447222222225</v>
      </c>
      <c r="D83" s="549">
        <v>4</v>
      </c>
      <c r="E83" s="576"/>
      <c r="F83" s="286">
        <f>LongTest!F81</f>
        <v>17.557428937757575</v>
      </c>
      <c r="G83" s="286">
        <f>LongTest!G81</f>
        <v>7.3174289377575734</v>
      </c>
      <c r="H83" s="549"/>
      <c r="I83" s="550"/>
      <c r="J83" s="551"/>
    </row>
    <row r="84" spans="1:10" ht="24.95" customHeight="1">
      <c r="A84" s="308"/>
      <c r="B84" s="285"/>
      <c r="C84" s="285">
        <f t="shared" si="6"/>
        <v>45724.447916666664</v>
      </c>
      <c r="D84" s="549">
        <v>5</v>
      </c>
      <c r="E84" s="576"/>
      <c r="F84" s="286">
        <f>LongTest!F82</f>
        <v>17.011458291801603</v>
      </c>
      <c r="G84" s="286">
        <f>LongTest!G82</f>
        <v>6.7714582918016006</v>
      </c>
      <c r="H84" s="549"/>
      <c r="I84" s="550"/>
      <c r="J84" s="551"/>
    </row>
    <row r="85" spans="1:10" ht="24.95" customHeight="1">
      <c r="A85" s="308"/>
      <c r="B85" s="285"/>
      <c r="C85" s="285">
        <f t="shared" si="6"/>
        <v>45724.451388888891</v>
      </c>
      <c r="D85" s="549">
        <v>10</v>
      </c>
      <c r="E85" s="576"/>
      <c r="F85" s="286">
        <f>LongTest!F83</f>
        <v>15.606032400483841</v>
      </c>
      <c r="G85" s="286">
        <f>LongTest!G83</f>
        <v>5.3660324004838404</v>
      </c>
      <c r="H85" s="549"/>
      <c r="I85" s="550"/>
      <c r="J85" s="551"/>
    </row>
    <row r="86" spans="1:10" ht="24.95" customHeight="1">
      <c r="A86" s="308"/>
      <c r="B86" s="285"/>
      <c r="C86" s="285">
        <f t="shared" si="6"/>
        <v>45724.454861111109</v>
      </c>
      <c r="D86" s="549">
        <v>15</v>
      </c>
      <c r="E86" s="576"/>
      <c r="F86" s="286">
        <f>LongTest!F84</f>
        <v>15.335683202369154</v>
      </c>
      <c r="G86" s="286">
        <f>LongTest!G84</f>
        <v>5.0956832023691545</v>
      </c>
      <c r="H86" s="549"/>
      <c r="I86" s="550"/>
      <c r="J86" s="551"/>
    </row>
    <row r="87" spans="1:10" ht="24.95" customHeight="1">
      <c r="A87" s="308"/>
      <c r="B87" s="285"/>
      <c r="C87" s="285">
        <f t="shared" si="6"/>
        <v>45724.458333333336</v>
      </c>
      <c r="D87" s="549">
        <v>20</v>
      </c>
      <c r="E87" s="576"/>
      <c r="F87" s="286">
        <f>LongTest!F85</f>
        <v>14.603648988537731</v>
      </c>
      <c r="G87" s="286">
        <f>LongTest!G85</f>
        <v>4.3636489885377312</v>
      </c>
      <c r="H87" s="549"/>
      <c r="I87" s="550"/>
      <c r="J87" s="551"/>
    </row>
    <row r="88" spans="1:10" ht="24.95" customHeight="1">
      <c r="A88" s="308"/>
      <c r="B88" s="285"/>
      <c r="C88" s="285">
        <f t="shared" si="6"/>
        <v>45724.461805555555</v>
      </c>
      <c r="D88" s="549">
        <v>25</v>
      </c>
      <c r="E88" s="576"/>
      <c r="F88" s="286">
        <f>LongTest!F86</f>
        <v>14.278066837038606</v>
      </c>
      <c r="G88" s="286">
        <f>LongTest!G86</f>
        <v>4.0380668370386061</v>
      </c>
      <c r="H88" s="549"/>
      <c r="I88" s="550"/>
      <c r="J88" s="551"/>
    </row>
    <row r="89" spans="1:10" ht="24.95" customHeight="1">
      <c r="A89" s="308"/>
      <c r="B89" s="285"/>
      <c r="C89" s="285">
        <f t="shared" si="6"/>
        <v>45724.465277777781</v>
      </c>
      <c r="D89" s="549">
        <v>30</v>
      </c>
      <c r="E89" s="576"/>
      <c r="F89" s="286">
        <f>LongTest!F87</f>
        <v>13.976777138404788</v>
      </c>
      <c r="G89" s="286">
        <f>LongTest!G87</f>
        <v>3.736777138404789</v>
      </c>
      <c r="H89" s="549"/>
      <c r="I89" s="550"/>
      <c r="J89" s="551"/>
    </row>
    <row r="90" spans="1:10" ht="24.95" customHeight="1">
      <c r="A90" s="308"/>
      <c r="B90" s="285"/>
      <c r="C90" s="285">
        <f t="shared" si="6"/>
        <v>45724.46875</v>
      </c>
      <c r="D90" s="549">
        <v>35</v>
      </c>
      <c r="E90" s="576"/>
      <c r="F90" s="286">
        <f>LongTest!F88</f>
        <v>13.881428291206625</v>
      </c>
      <c r="G90" s="286">
        <f>LongTest!G88</f>
        <v>3.6414282912066249</v>
      </c>
      <c r="H90" s="549"/>
      <c r="I90" s="550"/>
      <c r="J90" s="551"/>
    </row>
    <row r="91" spans="1:10" ht="24.95" customHeight="1">
      <c r="A91" s="308"/>
      <c r="B91" s="285"/>
      <c r="C91" s="285">
        <f t="shared" si="6"/>
        <v>45724.472222222226</v>
      </c>
      <c r="D91" s="549">
        <v>40</v>
      </c>
      <c r="E91" s="576"/>
      <c r="F91" s="286">
        <f>LongTest!F89</f>
        <v>13.788512396878083</v>
      </c>
      <c r="G91" s="286">
        <f>LongTest!G89</f>
        <v>3.548512396878083</v>
      </c>
      <c r="H91" s="549"/>
      <c r="I91" s="550"/>
      <c r="J91" s="551"/>
    </row>
    <row r="92" spans="1:10" ht="24.95" customHeight="1">
      <c r="A92" s="308"/>
      <c r="B92" s="285"/>
      <c r="C92" s="285">
        <f t="shared" si="6"/>
        <v>45724.475694444445</v>
      </c>
      <c r="D92" s="549">
        <v>45</v>
      </c>
      <c r="E92" s="576"/>
      <c r="F92" s="286">
        <f>LongTest!F90</f>
        <v>13.697967375385268</v>
      </c>
      <c r="G92" s="286">
        <f>LongTest!G90</f>
        <v>3.4579673753852687</v>
      </c>
      <c r="H92" s="549"/>
      <c r="I92" s="550"/>
      <c r="J92" s="551"/>
    </row>
    <row r="93" spans="1:10" ht="24.95" customHeight="1">
      <c r="A93" s="308"/>
      <c r="B93" s="285"/>
      <c r="C93" s="285">
        <f t="shared" si="6"/>
        <v>45724.479166666664</v>
      </c>
      <c r="D93" s="549">
        <v>50</v>
      </c>
      <c r="E93" s="576"/>
      <c r="F93" s="286">
        <f>LongTest!F91</f>
        <v>13.609732730749062</v>
      </c>
      <c r="G93" s="286">
        <f>LongTest!G91</f>
        <v>3.3697327307490625</v>
      </c>
      <c r="H93" s="549"/>
      <c r="I93" s="550"/>
      <c r="J93" s="551"/>
    </row>
    <row r="94" spans="1:10" ht="24.95" customHeight="1">
      <c r="A94" s="308"/>
      <c r="B94" s="285"/>
      <c r="C94" s="285">
        <f t="shared" si="6"/>
        <v>45724.482638888891</v>
      </c>
      <c r="D94" s="549">
        <v>55</v>
      </c>
      <c r="E94" s="576"/>
      <c r="F94" s="286">
        <f>LongTest!F92</f>
        <v>13.523749510625851</v>
      </c>
      <c r="G94" s="286">
        <f>LongTest!G92</f>
        <v>3.2837495106258512</v>
      </c>
      <c r="H94" s="549"/>
      <c r="I94" s="550"/>
      <c r="J94" s="551"/>
    </row>
    <row r="95" spans="1:10" ht="24.95" customHeight="1">
      <c r="A95" s="308"/>
      <c r="B95" s="285"/>
      <c r="C95" s="285">
        <f t="shared" si="6"/>
        <v>45724.486111111109</v>
      </c>
      <c r="D95" s="549">
        <v>60</v>
      </c>
      <c r="E95" s="576"/>
      <c r="F95" s="286">
        <f>LongTest!F93</f>
        <v>13.439960266919609</v>
      </c>
      <c r="G95" s="286">
        <f>LongTest!G93</f>
        <v>3.1999602669196099</v>
      </c>
      <c r="H95" s="549"/>
      <c r="I95" s="550"/>
      <c r="J95" s="551"/>
    </row>
    <row r="96" spans="1:10" ht="24.95" customHeight="1">
      <c r="A96" s="308"/>
      <c r="B96" s="285"/>
      <c r="C96" s="285">
        <f t="shared" si="6"/>
        <v>45724.496527777781</v>
      </c>
      <c r="D96" s="549">
        <v>75</v>
      </c>
      <c r="E96" s="576"/>
      <c r="F96" s="286">
        <f>LongTest!F94</f>
        <v>13.358309017399023</v>
      </c>
      <c r="G96" s="286">
        <f>LongTest!G94</f>
        <v>3.1183090173990231</v>
      </c>
      <c r="H96" s="549"/>
      <c r="I96" s="550"/>
      <c r="J96" s="551"/>
    </row>
    <row r="97" spans="1:10" ht="24.95" customHeight="1">
      <c r="A97" s="308"/>
      <c r="B97" s="285"/>
      <c r="C97" s="285">
        <f t="shared" si="6"/>
        <v>45724.506944444445</v>
      </c>
      <c r="D97" s="549">
        <v>90</v>
      </c>
      <c r="E97" s="576"/>
      <c r="F97" s="286">
        <f>LongTest!F95</f>
        <v>13.278741208293992</v>
      </c>
      <c r="G97" s="286">
        <f>LongTest!G95</f>
        <v>3.0387412082939922</v>
      </c>
      <c r="H97" s="549"/>
      <c r="I97" s="550"/>
      <c r="J97" s="551"/>
    </row>
    <row r="98" spans="1:10" ht="24.95" customHeight="1">
      <c r="A98" s="308"/>
      <c r="B98" s="285"/>
      <c r="C98" s="285">
        <f t="shared" si="6"/>
        <v>45724.517361111109</v>
      </c>
      <c r="D98" s="549">
        <v>105</v>
      </c>
      <c r="E98" s="576"/>
      <c r="F98" s="286">
        <f>LongTest!F96</f>
        <v>13.201203677846545</v>
      </c>
      <c r="G98" s="286">
        <f>LongTest!G96</f>
        <v>2.9612036778465445</v>
      </c>
      <c r="H98" s="549"/>
      <c r="I98" s="550"/>
      <c r="J98" s="551"/>
    </row>
    <row r="99" spans="1:10" ht="24.95" customHeight="1">
      <c r="A99" s="308"/>
      <c r="B99" s="285"/>
      <c r="C99" s="285">
        <f t="shared" si="6"/>
        <v>45724.527777777781</v>
      </c>
      <c r="D99" s="549">
        <v>120</v>
      </c>
      <c r="E99" s="576"/>
      <c r="F99" s="286">
        <f>LongTest!F97</f>
        <v>12.980261281473028</v>
      </c>
      <c r="G99" s="286">
        <f>LongTest!G97</f>
        <v>2.7402612814730278</v>
      </c>
      <c r="H99" s="549"/>
      <c r="I99" s="550"/>
      <c r="J99" s="551"/>
    </row>
    <row r="100" spans="1:10" ht="24.95" customHeight="1">
      <c r="A100" s="308"/>
      <c r="B100" s="285"/>
      <c r="C100" s="285">
        <f t="shared" si="6"/>
        <v>45724.569444444445</v>
      </c>
      <c r="D100" s="549">
        <v>180</v>
      </c>
      <c r="E100" s="576"/>
      <c r="F100" s="286">
        <f>LongTest!F98</f>
        <v>12.910339864023509</v>
      </c>
      <c r="G100" s="286">
        <f>LongTest!G98</f>
        <v>2.6703398640235099</v>
      </c>
      <c r="H100" s="549"/>
      <c r="I100" s="550"/>
      <c r="J100" s="551"/>
    </row>
    <row r="101" spans="1:10" ht="24.95" customHeight="1">
      <c r="A101" s="308"/>
      <c r="B101" s="285"/>
      <c r="C101" s="285">
        <f t="shared" si="6"/>
        <v>45724.611111111109</v>
      </c>
      <c r="D101" s="549">
        <v>240</v>
      </c>
      <c r="E101" s="576"/>
      <c r="F101" s="286">
        <f>LongTest!F99</f>
        <v>12.526724936369781</v>
      </c>
      <c r="G101" s="286">
        <f>LongTest!G99</f>
        <v>2.2867249363697812</v>
      </c>
      <c r="H101" s="549"/>
      <c r="I101" s="550"/>
      <c r="J101" s="551"/>
    </row>
    <row r="102" spans="1:10" ht="24.95" customHeight="1">
      <c r="A102" s="308"/>
      <c r="B102" s="285"/>
      <c r="C102" s="285">
        <f t="shared" si="6"/>
        <v>45724.652777777781</v>
      </c>
      <c r="D102" s="549">
        <v>300</v>
      </c>
      <c r="E102" s="576"/>
      <c r="F102" s="286">
        <f>LongTest!F100</f>
        <v>12.198219253311249</v>
      </c>
      <c r="G102" s="286">
        <f>LongTest!G100</f>
        <v>1.9582192533112495</v>
      </c>
      <c r="H102" s="549"/>
      <c r="I102" s="550"/>
      <c r="J102" s="551"/>
    </row>
    <row r="103" spans="1:10" ht="24.95" customHeight="1" thickBot="1">
      <c r="A103" s="312"/>
      <c r="B103" s="313"/>
      <c r="C103" s="313">
        <f t="shared" si="6"/>
        <v>45724.694444444445</v>
      </c>
      <c r="D103" s="552">
        <v>360</v>
      </c>
      <c r="E103" s="577"/>
      <c r="F103" s="314">
        <f>LongTest!F101</f>
        <v>11.916905946600821</v>
      </c>
      <c r="G103" s="314">
        <f>LongTest!G101</f>
        <v>1.6769059466008196</v>
      </c>
      <c r="H103" s="552" t="s">
        <v>321</v>
      </c>
      <c r="I103" s="553"/>
      <c r="J103" s="55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C77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55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76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76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45723.445138888892</v>
      </c>
      <c r="D58" s="549">
        <v>1</v>
      </c>
      <c r="E58" s="576"/>
      <c r="F58" s="286">
        <f>LongTest!F78</f>
        <v>19.473948130984031</v>
      </c>
      <c r="G58" s="286">
        <f>LongTest!G78</f>
        <v>9.2339481309840306</v>
      </c>
      <c r="H58" s="569" t="s">
        <v>191</v>
      </c>
      <c r="I58" s="578"/>
      <c r="J58" s="579"/>
    </row>
    <row r="59" spans="1:10" ht="24.95" customHeight="1">
      <c r="A59" s="308"/>
      <c r="B59" s="285"/>
      <c r="C59" s="285">
        <f t="shared" ref="C59:C77" si="1">$C$4+(D59+1440)/1440</f>
        <v>45723.445833333331</v>
      </c>
      <c r="D59" s="549">
        <v>2</v>
      </c>
      <c r="E59" s="576"/>
      <c r="F59" s="286">
        <f>LongTest!F79</f>
        <v>18.784981464046744</v>
      </c>
      <c r="G59" s="286">
        <f>LongTest!G79</f>
        <v>8.5449814640467441</v>
      </c>
      <c r="H59" s="549"/>
      <c r="I59" s="550"/>
      <c r="J59" s="551"/>
    </row>
    <row r="60" spans="1:10" ht="24.95" customHeight="1">
      <c r="A60" s="308"/>
      <c r="B60" s="285"/>
      <c r="C60" s="285">
        <f t="shared" si="1"/>
        <v>45723.446527777778</v>
      </c>
      <c r="D60" s="549">
        <v>3</v>
      </c>
      <c r="E60" s="576"/>
      <c r="F60" s="286">
        <f>LongTest!F80</f>
        <v>18.147420226446659</v>
      </c>
      <c r="G60" s="286">
        <f>LongTest!G80</f>
        <v>7.9074202264466589</v>
      </c>
      <c r="H60" s="549"/>
      <c r="I60" s="550"/>
      <c r="J60" s="551"/>
    </row>
    <row r="61" spans="1:10" ht="24.95" customHeight="1">
      <c r="A61" s="308"/>
      <c r="B61" s="285"/>
      <c r="C61" s="285">
        <f t="shared" si="1"/>
        <v>45723.447222222225</v>
      </c>
      <c r="D61" s="549">
        <v>4</v>
      </c>
      <c r="E61" s="576"/>
      <c r="F61" s="286">
        <f>LongTest!F81</f>
        <v>17.557428937757575</v>
      </c>
      <c r="G61" s="286">
        <f>LongTest!G81</f>
        <v>7.3174289377575734</v>
      </c>
      <c r="H61" s="549"/>
      <c r="I61" s="550"/>
      <c r="J61" s="551"/>
    </row>
    <row r="62" spans="1:10" ht="24.95" customHeight="1">
      <c r="A62" s="308"/>
      <c r="B62" s="285"/>
      <c r="C62" s="285">
        <f t="shared" si="1"/>
        <v>45723.447916666664</v>
      </c>
      <c r="D62" s="549">
        <v>5</v>
      </c>
      <c r="E62" s="576"/>
      <c r="F62" s="286">
        <f>LongTest!F82</f>
        <v>17.011458291801603</v>
      </c>
      <c r="G62" s="286">
        <f>LongTest!G82</f>
        <v>6.7714582918016006</v>
      </c>
      <c r="H62" s="549"/>
      <c r="I62" s="550"/>
      <c r="J62" s="551"/>
    </row>
    <row r="63" spans="1:10" ht="24.95" customHeight="1">
      <c r="A63" s="308"/>
      <c r="B63" s="285"/>
      <c r="C63" s="285">
        <f t="shared" si="1"/>
        <v>45723.451388888891</v>
      </c>
      <c r="D63" s="549">
        <v>10</v>
      </c>
      <c r="E63" s="576"/>
      <c r="F63" s="286">
        <f>LongTest!F83</f>
        <v>15.606032400483841</v>
      </c>
      <c r="G63" s="286">
        <f>LongTest!G83</f>
        <v>5.3660324004838404</v>
      </c>
      <c r="H63" s="549"/>
      <c r="I63" s="550"/>
      <c r="J63" s="551"/>
    </row>
    <row r="64" spans="1:10" ht="24.95" customHeight="1">
      <c r="A64" s="308"/>
      <c r="B64" s="285"/>
      <c r="C64" s="285">
        <f t="shared" si="1"/>
        <v>45723.454861111109</v>
      </c>
      <c r="D64" s="549">
        <v>15</v>
      </c>
      <c r="E64" s="576"/>
      <c r="F64" s="286">
        <f>LongTest!F84</f>
        <v>15.335683202369154</v>
      </c>
      <c r="G64" s="286">
        <f>LongTest!G84</f>
        <v>5.0956832023691545</v>
      </c>
      <c r="H64" s="549"/>
      <c r="I64" s="550"/>
      <c r="J64" s="551"/>
    </row>
    <row r="65" spans="1:10" ht="24.95" customHeight="1">
      <c r="A65" s="308"/>
      <c r="B65" s="285"/>
      <c r="C65" s="285">
        <f t="shared" si="1"/>
        <v>45723.458333333336</v>
      </c>
      <c r="D65" s="549">
        <v>20</v>
      </c>
      <c r="E65" s="576"/>
      <c r="F65" s="286">
        <f>LongTest!F85</f>
        <v>14.603648988537731</v>
      </c>
      <c r="G65" s="286">
        <f>LongTest!G85</f>
        <v>4.3636489885377312</v>
      </c>
      <c r="H65" s="549"/>
      <c r="I65" s="550"/>
      <c r="J65" s="551"/>
    </row>
    <row r="66" spans="1:10" ht="24.95" customHeight="1">
      <c r="A66" s="308"/>
      <c r="B66" s="285"/>
      <c r="C66" s="285">
        <f t="shared" si="1"/>
        <v>45723.461805555555</v>
      </c>
      <c r="D66" s="549">
        <v>25</v>
      </c>
      <c r="E66" s="576"/>
      <c r="F66" s="286">
        <f>LongTest!F86</f>
        <v>14.278066837038606</v>
      </c>
      <c r="G66" s="286">
        <f>LongTest!G86</f>
        <v>4.0380668370386061</v>
      </c>
      <c r="H66" s="549"/>
      <c r="I66" s="550"/>
      <c r="J66" s="551"/>
    </row>
    <row r="67" spans="1:10" ht="24.95" customHeight="1">
      <c r="A67" s="308"/>
      <c r="B67" s="285"/>
      <c r="C67" s="285">
        <f t="shared" si="1"/>
        <v>45723.465277777781</v>
      </c>
      <c r="D67" s="549">
        <v>30</v>
      </c>
      <c r="E67" s="576"/>
      <c r="F67" s="286">
        <f>LongTest!F87</f>
        <v>13.976777138404788</v>
      </c>
      <c r="G67" s="286">
        <f>LongTest!G87</f>
        <v>3.736777138404789</v>
      </c>
      <c r="H67" s="549"/>
      <c r="I67" s="550"/>
      <c r="J67" s="551"/>
    </row>
    <row r="68" spans="1:10" ht="24.95" customHeight="1">
      <c r="A68" s="308"/>
      <c r="B68" s="285"/>
      <c r="C68" s="285">
        <f t="shared" si="1"/>
        <v>45723.46875</v>
      </c>
      <c r="D68" s="549">
        <v>35</v>
      </c>
      <c r="E68" s="576"/>
      <c r="F68" s="286">
        <f>LongTest!F88</f>
        <v>13.881428291206625</v>
      </c>
      <c r="G68" s="286">
        <f>LongTest!G88</f>
        <v>3.6414282912066249</v>
      </c>
      <c r="H68" s="549"/>
      <c r="I68" s="550"/>
      <c r="J68" s="551"/>
    </row>
    <row r="69" spans="1:10" ht="24.95" customHeight="1">
      <c r="A69" s="308"/>
      <c r="B69" s="285"/>
      <c r="C69" s="285">
        <f t="shared" si="1"/>
        <v>45723.472222222226</v>
      </c>
      <c r="D69" s="549">
        <v>40</v>
      </c>
      <c r="E69" s="576"/>
      <c r="F69" s="286">
        <f>LongTest!F89</f>
        <v>13.788512396878083</v>
      </c>
      <c r="G69" s="286">
        <f>LongTest!G89</f>
        <v>3.548512396878083</v>
      </c>
      <c r="H69" s="549"/>
      <c r="I69" s="550"/>
      <c r="J69" s="551"/>
    </row>
    <row r="70" spans="1:10" ht="24.95" customHeight="1">
      <c r="A70" s="308"/>
      <c r="B70" s="285"/>
      <c r="C70" s="285">
        <f t="shared" si="1"/>
        <v>45723.475694444445</v>
      </c>
      <c r="D70" s="549">
        <v>45</v>
      </c>
      <c r="E70" s="576"/>
      <c r="F70" s="286">
        <f>LongTest!F90</f>
        <v>13.697967375385268</v>
      </c>
      <c r="G70" s="286">
        <f>LongTest!G90</f>
        <v>3.4579673753852687</v>
      </c>
      <c r="H70" s="549"/>
      <c r="I70" s="550"/>
      <c r="J70" s="551"/>
    </row>
    <row r="71" spans="1:10" ht="24.95" customHeight="1">
      <c r="A71" s="308"/>
      <c r="B71" s="285"/>
      <c r="C71" s="285">
        <f t="shared" si="1"/>
        <v>45723.479166666664</v>
      </c>
      <c r="D71" s="549">
        <v>50</v>
      </c>
      <c r="E71" s="576"/>
      <c r="F71" s="286">
        <f>LongTest!F91</f>
        <v>13.609732730749062</v>
      </c>
      <c r="G71" s="286">
        <f>LongTest!G91</f>
        <v>3.3697327307490625</v>
      </c>
      <c r="H71" s="549"/>
      <c r="I71" s="550"/>
      <c r="J71" s="551"/>
    </row>
    <row r="72" spans="1:10" ht="24.95" customHeight="1">
      <c r="A72" s="308"/>
      <c r="B72" s="285"/>
      <c r="C72" s="285">
        <f t="shared" si="1"/>
        <v>45723.482638888891</v>
      </c>
      <c r="D72" s="549">
        <v>55</v>
      </c>
      <c r="E72" s="576"/>
      <c r="F72" s="286">
        <f>LongTest!F92</f>
        <v>13.523749510625851</v>
      </c>
      <c r="G72" s="286">
        <f>LongTest!G92</f>
        <v>3.2837495106258512</v>
      </c>
      <c r="H72" s="549"/>
      <c r="I72" s="550"/>
      <c r="J72" s="551"/>
    </row>
    <row r="73" spans="1:10" ht="24.95" customHeight="1">
      <c r="A73" s="308"/>
      <c r="B73" s="285"/>
      <c r="C73" s="285">
        <f t="shared" si="1"/>
        <v>45723.486111111109</v>
      </c>
      <c r="D73" s="549">
        <v>60</v>
      </c>
      <c r="E73" s="576"/>
      <c r="F73" s="286">
        <f>LongTest!F93</f>
        <v>13.439960266919609</v>
      </c>
      <c r="G73" s="286">
        <f>LongTest!G93</f>
        <v>3.1999602669196099</v>
      </c>
      <c r="H73" s="549"/>
      <c r="I73" s="550"/>
      <c r="J73" s="551"/>
    </row>
    <row r="74" spans="1:10" ht="24.95" customHeight="1">
      <c r="A74" s="308"/>
      <c r="B74" s="285"/>
      <c r="C74" s="285">
        <f t="shared" si="1"/>
        <v>45723.496527777781</v>
      </c>
      <c r="D74" s="549">
        <v>75</v>
      </c>
      <c r="E74" s="576"/>
      <c r="F74" s="286">
        <f>LongTest!F94</f>
        <v>13.358309017399023</v>
      </c>
      <c r="G74" s="286">
        <f>LongTest!G94</f>
        <v>3.1183090173990231</v>
      </c>
      <c r="H74" s="549"/>
      <c r="I74" s="550"/>
      <c r="J74" s="551"/>
    </row>
    <row r="75" spans="1:10" ht="24.95" customHeight="1">
      <c r="A75" s="308"/>
      <c r="B75" s="285"/>
      <c r="C75" s="285">
        <f t="shared" si="1"/>
        <v>45723.506944444445</v>
      </c>
      <c r="D75" s="549">
        <v>90</v>
      </c>
      <c r="E75" s="576"/>
      <c r="F75" s="286">
        <f>LongTest!F95</f>
        <v>13.278741208293992</v>
      </c>
      <c r="G75" s="286">
        <f>LongTest!G95</f>
        <v>3.0387412082939922</v>
      </c>
      <c r="H75" s="549"/>
      <c r="I75" s="550"/>
      <c r="J75" s="551"/>
    </row>
    <row r="76" spans="1:10" ht="24.95" customHeight="1">
      <c r="A76" s="308"/>
      <c r="B76" s="285"/>
      <c r="C76" s="285">
        <f t="shared" si="1"/>
        <v>45723.517361111109</v>
      </c>
      <c r="D76" s="549">
        <v>105</v>
      </c>
      <c r="E76" s="576"/>
      <c r="F76" s="286">
        <f>LongTest!F96</f>
        <v>13.201203677846545</v>
      </c>
      <c r="G76" s="286">
        <f>LongTest!G96</f>
        <v>2.9612036778465445</v>
      </c>
      <c r="H76" s="549"/>
      <c r="I76" s="550"/>
      <c r="J76" s="551"/>
    </row>
    <row r="77" spans="1:10" ht="24.95" customHeight="1">
      <c r="A77" s="308"/>
      <c r="B77" s="285"/>
      <c r="C77" s="285">
        <f t="shared" si="1"/>
        <v>45723.527777777781</v>
      </c>
      <c r="D77" s="549">
        <v>120</v>
      </c>
      <c r="E77" s="576"/>
      <c r="F77" s="286">
        <f>LongTest!F97</f>
        <v>12.980261281473028</v>
      </c>
      <c r="G77" s="286">
        <f>LongTest!G97</f>
        <v>2.7402612814730278</v>
      </c>
      <c r="H77" s="549" t="s">
        <v>327</v>
      </c>
      <c r="I77" s="550"/>
      <c r="J77" s="551"/>
    </row>
    <row r="78" spans="1:10" ht="24.95" customHeight="1">
      <c r="A78" s="308"/>
      <c r="B78" s="285"/>
      <c r="C78" s="285"/>
      <c r="D78" s="549"/>
      <c r="E78" s="576"/>
      <c r="F78" s="286"/>
      <c r="G78" s="286"/>
      <c r="H78" s="549"/>
      <c r="I78" s="550"/>
      <c r="J78" s="551"/>
    </row>
    <row r="79" spans="1:10" ht="24.95" customHeight="1">
      <c r="A79" s="308"/>
      <c r="B79" s="285"/>
      <c r="C79" s="285"/>
      <c r="D79" s="549"/>
      <c r="E79" s="576"/>
      <c r="F79" s="286"/>
      <c r="G79" s="286"/>
      <c r="H79" s="549"/>
      <c r="I79" s="550"/>
      <c r="J79" s="551"/>
    </row>
    <row r="80" spans="1:10" ht="24.95" customHeight="1">
      <c r="A80" s="308"/>
      <c r="B80" s="285"/>
      <c r="C80" s="285"/>
      <c r="D80" s="549"/>
      <c r="E80" s="576"/>
      <c r="F80" s="286"/>
      <c r="G80" s="286"/>
      <c r="H80" s="549"/>
      <c r="I80" s="550"/>
      <c r="J80" s="551"/>
    </row>
    <row r="81" spans="1:10" ht="24.95" customHeight="1" thickBot="1">
      <c r="A81" s="312"/>
      <c r="B81" s="313"/>
      <c r="C81" s="313"/>
      <c r="D81" s="552"/>
      <c r="E81" s="577"/>
      <c r="F81" s="314"/>
      <c r="G81" s="314"/>
      <c r="H81" s="552"/>
      <c r="I81" s="553"/>
      <c r="J81" s="55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1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1" ht="24.95" customHeight="1">
      <c r="A4" s="561" t="s">
        <v>295</v>
      </c>
      <c r="B4" s="562"/>
      <c r="C4" s="563">
        <f>StepTest!C12</f>
        <v>45491.468055555553</v>
      </c>
      <c r="D4" s="564"/>
      <c r="E4" s="564"/>
      <c r="F4" s="564"/>
      <c r="G4" s="564"/>
      <c r="H4" s="564"/>
      <c r="I4" s="564"/>
      <c r="J4" s="565"/>
    </row>
    <row r="5" spans="1:11" ht="24.95" customHeight="1">
      <c r="A5" s="561" t="s">
        <v>296</v>
      </c>
      <c r="B5" s="562"/>
      <c r="C5" s="563">
        <f>StepTest!C51</f>
        <v>45491.884722222218</v>
      </c>
      <c r="D5" s="564"/>
      <c r="E5" s="564"/>
      <c r="F5" s="564"/>
      <c r="G5" s="564"/>
      <c r="H5" s="564"/>
      <c r="I5" s="564"/>
      <c r="J5" s="565"/>
    </row>
    <row r="6" spans="1:11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1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549"/>
      <c r="H7" s="550"/>
      <c r="I7" s="550"/>
      <c r="J7" s="551"/>
    </row>
    <row r="8" spans="1:11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326</v>
      </c>
      <c r="H8" s="569">
        <f>LongTest!G7</f>
        <v>500</v>
      </c>
      <c r="I8" s="562"/>
      <c r="J8" s="282" t="s">
        <v>299</v>
      </c>
    </row>
    <row r="9" spans="1:11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319</v>
      </c>
      <c r="H9" s="569">
        <f>Input!M51</f>
        <v>120</v>
      </c>
      <c r="I9" s="562"/>
      <c r="J9" s="282" t="s">
        <v>307</v>
      </c>
    </row>
    <row r="10" spans="1:11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75</v>
      </c>
      <c r="C12" s="285">
        <f t="shared" ref="C12:C51" si="0">$C$4+D12/1440</f>
        <v>45491.46875</v>
      </c>
      <c r="D12" s="573">
        <v>1</v>
      </c>
      <c r="E12" s="573"/>
      <c r="F12" s="286">
        <f>StepTest!F12</f>
        <v>11.24</v>
      </c>
      <c r="G12" s="286">
        <f>StepTest!G12</f>
        <v>1</v>
      </c>
      <c r="H12" s="594"/>
      <c r="I12" s="595"/>
      <c r="J12" s="596"/>
    </row>
    <row r="13" spans="1:11" ht="24.95" customHeight="1">
      <c r="A13" s="283"/>
      <c r="B13" s="281"/>
      <c r="C13" s="285">
        <f t="shared" si="0"/>
        <v>45491.469444444439</v>
      </c>
      <c r="D13" s="573">
        <v>2</v>
      </c>
      <c r="E13" s="573"/>
      <c r="F13" s="286">
        <f>StepTest!F13</f>
        <v>11.89</v>
      </c>
      <c r="G13" s="286">
        <f>StepTest!G13</f>
        <v>1.65</v>
      </c>
      <c r="H13" s="594"/>
      <c r="I13" s="595"/>
      <c r="J13" s="596"/>
    </row>
    <row r="14" spans="1:11" ht="24.95" customHeight="1">
      <c r="A14" s="283"/>
      <c r="B14" s="281"/>
      <c r="C14" s="285">
        <f t="shared" si="0"/>
        <v>45491.470138888886</v>
      </c>
      <c r="D14" s="573">
        <v>3</v>
      </c>
      <c r="E14" s="573"/>
      <c r="F14" s="286">
        <f>StepTest!F14</f>
        <v>12.280000000000001</v>
      </c>
      <c r="G14" s="286">
        <f>StepTest!G14</f>
        <v>2.04</v>
      </c>
      <c r="H14" s="594"/>
      <c r="I14" s="595"/>
      <c r="J14" s="596"/>
    </row>
    <row r="15" spans="1:11" ht="24.95" customHeight="1">
      <c r="A15" s="283"/>
      <c r="B15" s="281"/>
      <c r="C15" s="285">
        <f t="shared" si="0"/>
        <v>45491.470833333333</v>
      </c>
      <c r="D15" s="573">
        <v>4</v>
      </c>
      <c r="E15" s="573"/>
      <c r="F15" s="286">
        <f>StepTest!F15</f>
        <v>12.55</v>
      </c>
      <c r="G15" s="286">
        <f>StepTest!G15</f>
        <v>2.31</v>
      </c>
      <c r="H15" s="594"/>
      <c r="I15" s="595"/>
      <c r="J15" s="596"/>
    </row>
    <row r="16" spans="1:11" ht="24.95" customHeight="1">
      <c r="A16" s="283"/>
      <c r="B16" s="281"/>
      <c r="C16" s="285">
        <f t="shared" si="0"/>
        <v>45491.471527777772</v>
      </c>
      <c r="D16" s="573">
        <v>5</v>
      </c>
      <c r="E16" s="573"/>
      <c r="F16" s="286">
        <f>StepTest!F16</f>
        <v>12.77</v>
      </c>
      <c r="G16" s="286">
        <f>StepTest!G16</f>
        <v>2.5299999999999998</v>
      </c>
      <c r="H16" s="549"/>
      <c r="I16" s="550"/>
      <c r="J16" s="551"/>
    </row>
    <row r="17" spans="1:10" ht="24.95" customHeight="1">
      <c r="A17" s="283"/>
      <c r="B17" s="281"/>
      <c r="C17" s="285">
        <f t="shared" si="0"/>
        <v>45491.474999999999</v>
      </c>
      <c r="D17" s="573">
        <v>10</v>
      </c>
      <c r="E17" s="573"/>
      <c r="F17" s="286">
        <f>StepTest!F17</f>
        <v>13.42</v>
      </c>
      <c r="G17" s="286">
        <f>StepTest!G17</f>
        <v>3.18</v>
      </c>
      <c r="H17" s="549"/>
      <c r="I17" s="550"/>
      <c r="J17" s="551"/>
    </row>
    <row r="18" spans="1:10" ht="24.95" customHeight="1">
      <c r="A18" s="283"/>
      <c r="B18" s="281"/>
      <c r="C18" s="285">
        <f t="shared" si="0"/>
        <v>45491.478472222218</v>
      </c>
      <c r="D18" s="573">
        <v>15</v>
      </c>
      <c r="E18" s="573"/>
      <c r="F18" s="286">
        <f>StepTest!F18</f>
        <v>13.81</v>
      </c>
      <c r="G18" s="286">
        <f>StepTest!G18</f>
        <v>3.57</v>
      </c>
      <c r="H18" s="549"/>
      <c r="I18" s="550"/>
      <c r="J18" s="551"/>
    </row>
    <row r="19" spans="1:10" ht="24.95" customHeight="1">
      <c r="A19" s="283"/>
      <c r="B19" s="281"/>
      <c r="C19" s="285">
        <f t="shared" si="0"/>
        <v>45491.481944444444</v>
      </c>
      <c r="D19" s="573">
        <v>20</v>
      </c>
      <c r="E19" s="573"/>
      <c r="F19" s="286">
        <f>StepTest!F19</f>
        <v>14.08</v>
      </c>
      <c r="G19" s="286">
        <f>StepTest!G19</f>
        <v>3.84</v>
      </c>
      <c r="H19" s="549"/>
      <c r="I19" s="550"/>
      <c r="J19" s="551"/>
    </row>
    <row r="20" spans="1:10" ht="24.95" customHeight="1">
      <c r="A20" s="283"/>
      <c r="B20" s="281"/>
      <c r="C20" s="285">
        <f t="shared" si="0"/>
        <v>45491.485416666663</v>
      </c>
      <c r="D20" s="573">
        <v>25</v>
      </c>
      <c r="E20" s="573"/>
      <c r="F20" s="286">
        <f>StepTest!F20</f>
        <v>14.29</v>
      </c>
      <c r="G20" s="286">
        <f>StepTest!G20</f>
        <v>4.05</v>
      </c>
      <c r="H20" s="549"/>
      <c r="I20" s="550"/>
      <c r="J20" s="551"/>
    </row>
    <row r="21" spans="1:10" ht="24.95" customHeight="1">
      <c r="A21" s="283"/>
      <c r="B21" s="281"/>
      <c r="C21" s="285">
        <f t="shared" si="0"/>
        <v>45491.488888888889</v>
      </c>
      <c r="D21" s="573">
        <v>30</v>
      </c>
      <c r="E21" s="573"/>
      <c r="F21" s="286">
        <f>StepTest!F21</f>
        <v>14.47</v>
      </c>
      <c r="G21" s="286">
        <f>StepTest!G21</f>
        <v>4.2300000000000004</v>
      </c>
      <c r="H21" s="549"/>
      <c r="I21" s="550"/>
      <c r="J21" s="551"/>
    </row>
    <row r="22" spans="1:10" ht="24.95" customHeight="1">
      <c r="A22" s="283"/>
      <c r="B22" s="281"/>
      <c r="C22" s="285">
        <f t="shared" si="0"/>
        <v>45491.492361111108</v>
      </c>
      <c r="D22" s="573">
        <v>35</v>
      </c>
      <c r="E22" s="573"/>
      <c r="F22" s="286">
        <f>StepTest!F22</f>
        <v>14.61</v>
      </c>
      <c r="G22" s="286">
        <f>StepTest!G22</f>
        <v>4.37</v>
      </c>
      <c r="H22" s="549"/>
      <c r="I22" s="550"/>
      <c r="J22" s="551"/>
    </row>
    <row r="23" spans="1:10" ht="24.95" customHeight="1">
      <c r="A23" s="283"/>
      <c r="B23" s="281"/>
      <c r="C23" s="285">
        <f t="shared" si="0"/>
        <v>45491.495833333334</v>
      </c>
      <c r="D23" s="573">
        <v>40</v>
      </c>
      <c r="E23" s="573"/>
      <c r="F23" s="286">
        <f>StepTest!F23</f>
        <v>14.74</v>
      </c>
      <c r="G23" s="286">
        <f>StepTest!G23</f>
        <v>4.5</v>
      </c>
      <c r="H23" s="549"/>
      <c r="I23" s="550"/>
      <c r="J23" s="551"/>
    </row>
    <row r="24" spans="1:10" ht="24.95" customHeight="1">
      <c r="A24" s="283"/>
      <c r="B24" s="281"/>
      <c r="C24" s="285">
        <f t="shared" si="0"/>
        <v>45491.499305555553</v>
      </c>
      <c r="D24" s="573">
        <v>45</v>
      </c>
      <c r="E24" s="573"/>
      <c r="F24" s="286">
        <f>StepTest!F24</f>
        <v>14.850000000000001</v>
      </c>
      <c r="G24" s="286">
        <f>StepTest!G24</f>
        <v>4.6100000000000003</v>
      </c>
      <c r="H24" s="549"/>
      <c r="I24" s="550"/>
      <c r="J24" s="551"/>
    </row>
    <row r="25" spans="1:10" ht="24.95" customHeight="1">
      <c r="A25" s="283"/>
      <c r="B25" s="281"/>
      <c r="C25" s="285">
        <f t="shared" si="0"/>
        <v>45491.502777777772</v>
      </c>
      <c r="D25" s="573">
        <v>50</v>
      </c>
      <c r="E25" s="573"/>
      <c r="F25" s="286">
        <f>StepTest!F25</f>
        <v>14.95</v>
      </c>
      <c r="G25" s="286">
        <f>StepTest!G25</f>
        <v>4.71</v>
      </c>
      <c r="H25" s="549"/>
      <c r="I25" s="550"/>
      <c r="J25" s="551"/>
    </row>
    <row r="26" spans="1:10" ht="24.95" customHeight="1">
      <c r="A26" s="283"/>
      <c r="B26" s="281"/>
      <c r="C26" s="285">
        <f t="shared" si="0"/>
        <v>45491.506249999999</v>
      </c>
      <c r="D26" s="573">
        <v>55</v>
      </c>
      <c r="E26" s="573"/>
      <c r="F26" s="286">
        <f>StepTest!F26</f>
        <v>15.04</v>
      </c>
      <c r="G26" s="286">
        <f>StepTest!G26</f>
        <v>4.8</v>
      </c>
      <c r="H26" s="549"/>
      <c r="I26" s="550"/>
      <c r="J26" s="551"/>
    </row>
    <row r="27" spans="1:10" ht="24.95" customHeight="1">
      <c r="A27" s="283"/>
      <c r="B27" s="281"/>
      <c r="C27" s="285">
        <f t="shared" si="0"/>
        <v>45491.509722222218</v>
      </c>
      <c r="D27" s="573">
        <v>60</v>
      </c>
      <c r="E27" s="573"/>
      <c r="F27" s="286">
        <f>StepTest!F27</f>
        <v>15.129999999999999</v>
      </c>
      <c r="G27" s="286">
        <f>StepTest!G27</f>
        <v>4.8899999999999997</v>
      </c>
      <c r="H27" s="549"/>
      <c r="I27" s="550"/>
      <c r="J27" s="551"/>
    </row>
    <row r="28" spans="1:10" ht="24.95" customHeight="1">
      <c r="A28" s="283"/>
      <c r="B28" s="281"/>
      <c r="C28" s="285">
        <f t="shared" si="0"/>
        <v>45491.520138888889</v>
      </c>
      <c r="D28" s="573">
        <v>75</v>
      </c>
      <c r="E28" s="573"/>
      <c r="F28" s="286">
        <f>StepTest!F28</f>
        <v>15.34</v>
      </c>
      <c r="G28" s="286">
        <f>StepTest!G28</f>
        <v>5.0999999999999996</v>
      </c>
      <c r="H28" s="549"/>
      <c r="I28" s="550"/>
      <c r="J28" s="551"/>
    </row>
    <row r="29" spans="1:10" ht="24.95" customHeight="1">
      <c r="A29" s="283"/>
      <c r="B29" s="281"/>
      <c r="C29" s="285">
        <f t="shared" si="0"/>
        <v>45491.530555555553</v>
      </c>
      <c r="D29" s="573">
        <v>90</v>
      </c>
      <c r="E29" s="573"/>
      <c r="F29" s="286">
        <f>StepTest!F29</f>
        <v>15.51</v>
      </c>
      <c r="G29" s="286">
        <f>StepTest!G29</f>
        <v>5.27</v>
      </c>
      <c r="H29" s="549"/>
      <c r="I29" s="550"/>
      <c r="J29" s="551"/>
    </row>
    <row r="30" spans="1:10" ht="24.95" customHeight="1">
      <c r="A30" s="283"/>
      <c r="B30" s="281"/>
      <c r="C30" s="285">
        <f t="shared" si="0"/>
        <v>45491.540972222218</v>
      </c>
      <c r="D30" s="573">
        <v>105</v>
      </c>
      <c r="E30" s="573"/>
      <c r="F30" s="286">
        <f>StepTest!F30</f>
        <v>15.66</v>
      </c>
      <c r="G30" s="286">
        <f>StepTest!G30</f>
        <v>5.42</v>
      </c>
      <c r="H30" s="549"/>
      <c r="I30" s="550"/>
      <c r="J30" s="551"/>
    </row>
    <row r="31" spans="1:10" ht="24.95" customHeight="1">
      <c r="A31" s="283"/>
      <c r="B31" s="281"/>
      <c r="C31" s="285">
        <f t="shared" si="0"/>
        <v>45491.551388888889</v>
      </c>
      <c r="D31" s="573">
        <v>120</v>
      </c>
      <c r="E31" s="573"/>
      <c r="F31" s="286">
        <f>StepTest!F31</f>
        <v>15.79</v>
      </c>
      <c r="G31" s="286">
        <f>StepTest!G31</f>
        <v>5.55</v>
      </c>
      <c r="H31" s="549"/>
      <c r="I31" s="550"/>
      <c r="J31" s="551"/>
    </row>
    <row r="32" spans="1:10" ht="24.95" customHeight="1">
      <c r="A32" s="287">
        <v>2</v>
      </c>
      <c r="B32" s="284">
        <f>Input!D21</f>
        <v>95</v>
      </c>
      <c r="C32" s="285">
        <f t="shared" si="0"/>
        <v>45491.558333333334</v>
      </c>
      <c r="D32" s="573">
        <v>130</v>
      </c>
      <c r="E32" s="573"/>
      <c r="F32" s="286">
        <f>StepTest!F32</f>
        <v>16.899999999999999</v>
      </c>
      <c r="G32" s="286">
        <f>StepTest!G32</f>
        <v>6.66</v>
      </c>
      <c r="H32" s="549"/>
      <c r="I32" s="550"/>
      <c r="J32" s="551"/>
    </row>
    <row r="33" spans="1:10" ht="24.95" customHeight="1">
      <c r="A33" s="287"/>
      <c r="B33" s="284"/>
      <c r="C33" s="285">
        <f t="shared" si="0"/>
        <v>45491.565277777772</v>
      </c>
      <c r="D33" s="573">
        <v>140</v>
      </c>
      <c r="E33" s="573"/>
      <c r="F33" s="286">
        <f>StepTest!F33</f>
        <v>17.079999999999998</v>
      </c>
      <c r="G33" s="286">
        <f>StepTest!G33</f>
        <v>6.84</v>
      </c>
      <c r="H33" s="549"/>
      <c r="I33" s="550"/>
      <c r="J33" s="551"/>
    </row>
    <row r="34" spans="1:10" ht="24.95" customHeight="1">
      <c r="A34" s="287"/>
      <c r="B34" s="284"/>
      <c r="C34" s="285">
        <f t="shared" si="0"/>
        <v>45491.572222222218</v>
      </c>
      <c r="D34" s="573">
        <v>150</v>
      </c>
      <c r="E34" s="573"/>
      <c r="F34" s="286">
        <f>StepTest!F34</f>
        <v>17.27</v>
      </c>
      <c r="G34" s="286">
        <f>StepTest!G34</f>
        <v>7.03</v>
      </c>
      <c r="H34" s="549"/>
      <c r="I34" s="550"/>
      <c r="J34" s="551"/>
    </row>
    <row r="35" spans="1:10" ht="24.95" customHeight="1">
      <c r="A35" s="287"/>
      <c r="B35" s="284"/>
      <c r="C35" s="285">
        <f t="shared" si="0"/>
        <v>45491.593055555553</v>
      </c>
      <c r="D35" s="573">
        <v>180</v>
      </c>
      <c r="E35" s="573"/>
      <c r="F35" s="286">
        <f>StepTest!F35</f>
        <v>17.45</v>
      </c>
      <c r="G35" s="286">
        <f>StepTest!G35</f>
        <v>7.21</v>
      </c>
      <c r="H35" s="549"/>
      <c r="I35" s="550"/>
      <c r="J35" s="551"/>
    </row>
    <row r="36" spans="1:10" ht="24.95" customHeight="1">
      <c r="A36" s="287"/>
      <c r="B36" s="284"/>
      <c r="C36" s="285">
        <f t="shared" si="0"/>
        <v>45491.634722222218</v>
      </c>
      <c r="D36" s="573">
        <v>240</v>
      </c>
      <c r="E36" s="573"/>
      <c r="F36" s="286">
        <f>StepTest!F36</f>
        <v>17.64</v>
      </c>
      <c r="G36" s="286">
        <f>StepTest!G36</f>
        <v>7.4</v>
      </c>
      <c r="H36" s="549"/>
      <c r="I36" s="550"/>
      <c r="J36" s="551"/>
    </row>
    <row r="37" spans="1:10" ht="24.95" customHeight="1">
      <c r="A37" s="287">
        <v>3</v>
      </c>
      <c r="B37" s="284">
        <f>Input!D22</f>
        <v>116.45</v>
      </c>
      <c r="C37" s="285">
        <f t="shared" si="0"/>
        <v>45491.641666666663</v>
      </c>
      <c r="D37" s="573">
        <v>250</v>
      </c>
      <c r="E37" s="573"/>
      <c r="F37" s="286">
        <f>StepTest!F37</f>
        <v>18.880000000000003</v>
      </c>
      <c r="G37" s="286">
        <f>StepTest!G37</f>
        <v>8.64</v>
      </c>
      <c r="H37" s="549"/>
      <c r="I37" s="550"/>
      <c r="J37" s="551"/>
    </row>
    <row r="38" spans="1:10" ht="24.95" customHeight="1">
      <c r="A38" s="287"/>
      <c r="B38" s="284"/>
      <c r="C38" s="285">
        <f t="shared" si="0"/>
        <v>45491.648611111108</v>
      </c>
      <c r="D38" s="573">
        <v>260</v>
      </c>
      <c r="E38" s="573"/>
      <c r="F38" s="286">
        <f>StepTest!F38</f>
        <v>19.09</v>
      </c>
      <c r="G38" s="286">
        <f>StepTest!G38</f>
        <v>8.85</v>
      </c>
      <c r="H38" s="549"/>
      <c r="I38" s="550"/>
      <c r="J38" s="551"/>
    </row>
    <row r="39" spans="1:10" ht="24.95" customHeight="1">
      <c r="A39" s="287"/>
      <c r="B39" s="284"/>
      <c r="C39" s="285">
        <f t="shared" si="0"/>
        <v>45491.655555555553</v>
      </c>
      <c r="D39" s="573">
        <v>270</v>
      </c>
      <c r="E39" s="573"/>
      <c r="F39" s="286">
        <f>StepTest!F39</f>
        <v>19.3</v>
      </c>
      <c r="G39" s="286">
        <f>StepTest!G39</f>
        <v>9.06</v>
      </c>
      <c r="H39" s="549"/>
      <c r="I39" s="550"/>
      <c r="J39" s="551"/>
    </row>
    <row r="40" spans="1:10" ht="24.95" customHeight="1">
      <c r="A40" s="287"/>
      <c r="B40" s="284"/>
      <c r="C40" s="285">
        <f t="shared" si="0"/>
        <v>45491.676388888889</v>
      </c>
      <c r="D40" s="573">
        <v>300</v>
      </c>
      <c r="E40" s="573"/>
      <c r="F40" s="286">
        <f>StepTest!F40</f>
        <v>19.509999999999998</v>
      </c>
      <c r="G40" s="286">
        <f>StepTest!G40</f>
        <v>9.27</v>
      </c>
      <c r="H40" s="549"/>
      <c r="I40" s="550"/>
      <c r="J40" s="551"/>
    </row>
    <row r="41" spans="1:10" ht="24.95" customHeight="1">
      <c r="A41" s="287"/>
      <c r="B41" s="284"/>
      <c r="C41" s="285">
        <f t="shared" si="0"/>
        <v>45491.718055555553</v>
      </c>
      <c r="D41" s="573">
        <v>360</v>
      </c>
      <c r="E41" s="573"/>
      <c r="F41" s="286">
        <f>StepTest!F41</f>
        <v>19.72</v>
      </c>
      <c r="G41" s="286">
        <f>StepTest!G41</f>
        <v>9.48</v>
      </c>
      <c r="H41" s="549"/>
      <c r="I41" s="550"/>
      <c r="J41" s="551"/>
    </row>
    <row r="42" spans="1:10" ht="24.95" customHeight="1">
      <c r="A42" s="287">
        <v>4</v>
      </c>
      <c r="B42" s="284">
        <f>Input!D23</f>
        <v>137</v>
      </c>
      <c r="C42" s="285">
        <f t="shared" si="0"/>
        <v>45491.724999999999</v>
      </c>
      <c r="D42" s="569">
        <v>370</v>
      </c>
      <c r="E42" s="562"/>
      <c r="F42" s="286">
        <f>StepTest!F42</f>
        <v>21.11</v>
      </c>
      <c r="G42" s="286">
        <f>StepTest!G42</f>
        <v>10.87</v>
      </c>
      <c r="H42" s="549"/>
      <c r="I42" s="550"/>
      <c r="J42" s="551"/>
    </row>
    <row r="43" spans="1:10" ht="24.95" customHeight="1">
      <c r="A43" s="287"/>
      <c r="B43" s="284"/>
      <c r="C43" s="285">
        <f t="shared" si="0"/>
        <v>45491.731944444444</v>
      </c>
      <c r="D43" s="569">
        <v>380</v>
      </c>
      <c r="E43" s="562"/>
      <c r="F43" s="286">
        <f>StepTest!F43</f>
        <v>21.34</v>
      </c>
      <c r="G43" s="286">
        <f>StepTest!G43</f>
        <v>11.1</v>
      </c>
      <c r="H43" s="549"/>
      <c r="I43" s="550"/>
      <c r="J43" s="551"/>
    </row>
    <row r="44" spans="1:10" ht="24.95" customHeight="1">
      <c r="A44" s="287"/>
      <c r="B44" s="284"/>
      <c r="C44" s="285">
        <f t="shared" si="0"/>
        <v>45491.738888888889</v>
      </c>
      <c r="D44" s="569">
        <v>390</v>
      </c>
      <c r="E44" s="562"/>
      <c r="F44" s="286">
        <f>StepTest!F44</f>
        <v>21.57</v>
      </c>
      <c r="G44" s="286">
        <f>StepTest!G44</f>
        <v>11.33</v>
      </c>
      <c r="H44" s="549"/>
      <c r="I44" s="550"/>
      <c r="J44" s="551"/>
    </row>
    <row r="45" spans="1:10" ht="24.95" customHeight="1">
      <c r="A45" s="287"/>
      <c r="B45" s="284"/>
      <c r="C45" s="285">
        <f t="shared" si="0"/>
        <v>45491.759722222218</v>
      </c>
      <c r="D45" s="569">
        <v>420</v>
      </c>
      <c r="E45" s="562"/>
      <c r="F45" s="286">
        <f>StepTest!F45</f>
        <v>21.8</v>
      </c>
      <c r="G45" s="286">
        <f>StepTest!G45</f>
        <v>11.56</v>
      </c>
      <c r="H45" s="549"/>
      <c r="I45" s="550"/>
      <c r="J45" s="551"/>
    </row>
    <row r="46" spans="1:10" ht="24.95" customHeight="1">
      <c r="A46" s="287"/>
      <c r="B46" s="284"/>
      <c r="C46" s="285">
        <f t="shared" si="0"/>
        <v>45491.801388888889</v>
      </c>
      <c r="D46" s="569">
        <v>480</v>
      </c>
      <c r="E46" s="562"/>
      <c r="F46" s="286">
        <f>StepTest!F46</f>
        <v>22.04</v>
      </c>
      <c r="G46" s="286">
        <f>StepTest!G46</f>
        <v>11.8</v>
      </c>
      <c r="H46" s="549"/>
      <c r="I46" s="550"/>
      <c r="J46" s="551"/>
    </row>
    <row r="47" spans="1:10" ht="24.95" customHeight="1">
      <c r="A47" s="287">
        <v>5</v>
      </c>
      <c r="B47" s="284">
        <f>Input!D24</f>
        <v>157.54999999999998</v>
      </c>
      <c r="C47" s="285">
        <f t="shared" si="0"/>
        <v>45491.808333333334</v>
      </c>
      <c r="D47" s="569">
        <v>490</v>
      </c>
      <c r="E47" s="562"/>
      <c r="F47" s="286">
        <f>StepTest!F47</f>
        <v>23.450000000000003</v>
      </c>
      <c r="G47" s="286">
        <f>StepTest!G47</f>
        <v>13.21</v>
      </c>
      <c r="H47" s="549"/>
      <c r="I47" s="550"/>
      <c r="J47" s="551"/>
    </row>
    <row r="48" spans="1:10" ht="24.95" customHeight="1">
      <c r="A48" s="287"/>
      <c r="B48" s="284"/>
      <c r="C48" s="285">
        <f t="shared" si="0"/>
        <v>45491.815277777772</v>
      </c>
      <c r="D48" s="569">
        <v>500</v>
      </c>
      <c r="E48" s="562"/>
      <c r="F48" s="286">
        <f>StepTest!F48</f>
        <v>23.98</v>
      </c>
      <c r="G48" s="286">
        <f>StepTest!G48</f>
        <v>13.74</v>
      </c>
      <c r="H48" s="549"/>
      <c r="I48" s="550"/>
      <c r="J48" s="551"/>
    </row>
    <row r="49" spans="1:10" ht="24.95" customHeight="1">
      <c r="A49" s="287"/>
      <c r="B49" s="284"/>
      <c r="C49" s="285">
        <f t="shared" si="0"/>
        <v>45491.822222222218</v>
      </c>
      <c r="D49" s="569">
        <v>510</v>
      </c>
      <c r="E49" s="562"/>
      <c r="F49" s="286">
        <f>StepTest!F49</f>
        <v>24.509999999999998</v>
      </c>
      <c r="G49" s="286">
        <f>StepTest!G49</f>
        <v>14.27</v>
      </c>
      <c r="H49" s="549"/>
      <c r="I49" s="550"/>
      <c r="J49" s="551"/>
    </row>
    <row r="50" spans="1:10" ht="24.95" customHeight="1">
      <c r="A50" s="287"/>
      <c r="B50" s="284"/>
      <c r="C50" s="285">
        <f t="shared" si="0"/>
        <v>45491.843055555553</v>
      </c>
      <c r="D50" s="569">
        <v>540</v>
      </c>
      <c r="E50" s="562"/>
      <c r="F50" s="286">
        <f>StepTest!F50</f>
        <v>25.04</v>
      </c>
      <c r="G50" s="286">
        <f>StepTest!G50</f>
        <v>14.8</v>
      </c>
      <c r="H50" s="549"/>
      <c r="I50" s="550"/>
      <c r="J50" s="551"/>
    </row>
    <row r="51" spans="1:10" ht="24.95" customHeight="1">
      <c r="A51" s="288"/>
      <c r="B51" s="289"/>
      <c r="C51" s="290">
        <f t="shared" si="0"/>
        <v>45491.884722222218</v>
      </c>
      <c r="D51" s="597">
        <v>600</v>
      </c>
      <c r="E51" s="598"/>
      <c r="F51" s="291">
        <f>StepTest!F51</f>
        <v>25.58</v>
      </c>
      <c r="G51" s="291">
        <f>StepTest!G51</f>
        <v>15.34</v>
      </c>
      <c r="H51" s="591"/>
      <c r="I51" s="592"/>
      <c r="J51" s="593"/>
    </row>
    <row r="52" spans="1:10" ht="24.95" customHeight="1">
      <c r="A52" s="308"/>
      <c r="B52" s="316"/>
      <c r="C52" s="316"/>
      <c r="D52" s="583"/>
      <c r="E52" s="589"/>
      <c r="F52" s="316"/>
      <c r="G52" s="316"/>
      <c r="H52" s="583"/>
      <c r="I52" s="584"/>
      <c r="J52" s="585"/>
    </row>
    <row r="53" spans="1:10" ht="24.95" customHeight="1">
      <c r="A53" s="308"/>
      <c r="B53" s="316"/>
      <c r="C53" s="316"/>
      <c r="D53" s="583"/>
      <c r="E53" s="589"/>
      <c r="F53" s="316"/>
      <c r="G53" s="316"/>
      <c r="H53" s="583"/>
      <c r="I53" s="584"/>
      <c r="J53" s="585"/>
    </row>
    <row r="54" spans="1:10" ht="24.95" customHeight="1">
      <c r="A54" s="308"/>
      <c r="B54" s="316"/>
      <c r="C54" s="316"/>
      <c r="D54" s="583"/>
      <c r="E54" s="589"/>
      <c r="F54" s="316"/>
      <c r="G54" s="316"/>
      <c r="H54" s="583"/>
      <c r="I54" s="584"/>
      <c r="J54" s="585"/>
    </row>
    <row r="55" spans="1:10" ht="24.95" customHeight="1">
      <c r="A55" s="308"/>
      <c r="B55" s="316"/>
      <c r="C55" s="316"/>
      <c r="D55" s="583"/>
      <c r="E55" s="589"/>
      <c r="F55" s="316"/>
      <c r="G55" s="316"/>
      <c r="H55" s="583"/>
      <c r="I55" s="584"/>
      <c r="J55" s="585"/>
    </row>
    <row r="56" spans="1:10" ht="24.95" customHeight="1">
      <c r="A56" s="308"/>
      <c r="B56" s="316"/>
      <c r="C56" s="316"/>
      <c r="D56" s="583"/>
      <c r="E56" s="589"/>
      <c r="F56" s="316"/>
      <c r="G56" s="316"/>
      <c r="H56" s="583"/>
      <c r="I56" s="584"/>
      <c r="J56" s="585"/>
    </row>
    <row r="57" spans="1:10" ht="24.95" customHeight="1" thickBot="1">
      <c r="A57" s="312"/>
      <c r="B57" s="317"/>
      <c r="C57" s="317"/>
      <c r="D57" s="586"/>
      <c r="E57" s="590"/>
      <c r="F57" s="317"/>
      <c r="G57" s="317"/>
      <c r="H57" s="586"/>
      <c r="I57" s="587"/>
      <c r="J57" s="588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LongTest!C77</f>
        <v>45724.444444444445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45724.444444444445</v>
      </c>
      <c r="D79" s="591">
        <v>2880</v>
      </c>
      <c r="E79" s="602"/>
      <c r="F79" s="310">
        <f>LongTest!F77</f>
        <v>23.5</v>
      </c>
      <c r="G79" s="310">
        <f>LongTest!G77</f>
        <v>13.26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9" t="s">
        <v>322</v>
      </c>
      <c r="B80" s="600"/>
      <c r="C80" s="600"/>
      <c r="D80" s="600"/>
      <c r="E80" s="600"/>
      <c r="F80" s="600"/>
      <c r="G80" s="600"/>
      <c r="H80" s="600"/>
      <c r="I80" s="600"/>
      <c r="J80" s="60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장기28!C5</f>
        <v>45724.444444444445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LongTest!C101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45724.445138888892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45724.445833333331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45724.446527777778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45724.447222222225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45724.447916666664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45724.451388888891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45724.454861111109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45724.458333333336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45724.461805555555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45724.465277777781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45724.46875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45724.472222222226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45724.475694444445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45724.479166666664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45724.482638888891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45724.486111111109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45724.496527777781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45724.506944444445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45724.517361111109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45724.527777777781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/>
      <c r="I31" s="550"/>
      <c r="J31" s="551"/>
    </row>
    <row r="32" spans="1:10" ht="24.95" customHeight="1">
      <c r="A32" s="308"/>
      <c r="B32" s="285"/>
      <c r="C32" s="285">
        <f t="shared" si="0"/>
        <v>45724.569444444445</v>
      </c>
      <c r="D32" s="549">
        <v>180</v>
      </c>
      <c r="E32" s="576"/>
      <c r="F32" s="286">
        <f>LongTest!F98</f>
        <v>12.910339864023509</v>
      </c>
      <c r="G32" s="286">
        <f>LongTest!G98</f>
        <v>2.6703398640235099</v>
      </c>
      <c r="H32" s="549"/>
      <c r="I32" s="550"/>
      <c r="J32" s="551"/>
    </row>
    <row r="33" spans="1:10" ht="24.95" customHeight="1">
      <c r="A33" s="308"/>
      <c r="B33" s="285"/>
      <c r="C33" s="285">
        <f t="shared" si="0"/>
        <v>45724.611111111109</v>
      </c>
      <c r="D33" s="549">
        <v>240</v>
      </c>
      <c r="E33" s="576"/>
      <c r="F33" s="286">
        <f>LongTest!F99</f>
        <v>12.526724936369781</v>
      </c>
      <c r="G33" s="286">
        <f>LongTest!G99</f>
        <v>2.2867249363697812</v>
      </c>
      <c r="H33" s="549"/>
      <c r="I33" s="550"/>
      <c r="J33" s="551"/>
    </row>
    <row r="34" spans="1:10" ht="24.95" customHeight="1">
      <c r="A34" s="308"/>
      <c r="B34" s="285"/>
      <c r="C34" s="285">
        <f t="shared" si="0"/>
        <v>45724.652777777781</v>
      </c>
      <c r="D34" s="549">
        <v>300</v>
      </c>
      <c r="E34" s="576"/>
      <c r="F34" s="286">
        <f>LongTest!F100</f>
        <v>12.198219253311249</v>
      </c>
      <c r="G34" s="286">
        <f>LongTest!G100</f>
        <v>1.9582192533112495</v>
      </c>
      <c r="H34" s="549"/>
      <c r="I34" s="550"/>
      <c r="J34" s="551"/>
    </row>
    <row r="35" spans="1:10" ht="24.95" customHeight="1" thickBot="1">
      <c r="A35" s="312"/>
      <c r="B35" s="313"/>
      <c r="C35" s="313">
        <f t="shared" si="0"/>
        <v>45724.694444444445</v>
      </c>
      <c r="D35" s="552">
        <v>360</v>
      </c>
      <c r="E35" s="577"/>
      <c r="F35" s="314">
        <f>LongTest!F101</f>
        <v>11.916905946600821</v>
      </c>
      <c r="G35" s="314">
        <f>LongTest!G101</f>
        <v>1.6769059466008196</v>
      </c>
      <c r="H35" s="552" t="s">
        <v>321</v>
      </c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17" t="s">
        <v>317</v>
      </c>
      <c r="B1" s="618"/>
      <c r="C1" s="618"/>
      <c r="D1" s="618"/>
      <c r="E1" s="618"/>
      <c r="F1" s="618"/>
      <c r="G1" s="618"/>
      <c r="H1" s="618"/>
      <c r="I1" s="618"/>
      <c r="J1" s="619"/>
    </row>
    <row r="2" spans="1:10" ht="24.95" customHeight="1">
      <c r="A2" s="620" t="s">
        <v>293</v>
      </c>
      <c r="B2" s="621"/>
      <c r="C2" s="622" t="str">
        <f>LongTest!C2</f>
        <v>국립광주박물관 도자문화관 건립 지열공사</v>
      </c>
      <c r="D2" s="623"/>
      <c r="E2" s="623"/>
      <c r="F2" s="623"/>
      <c r="G2" s="623"/>
      <c r="H2" s="623"/>
      <c r="I2" s="623"/>
      <c r="J2" s="624"/>
    </row>
    <row r="3" spans="1:10" ht="24.95" customHeight="1">
      <c r="A3" s="608" t="s">
        <v>294</v>
      </c>
      <c r="B3" s="609"/>
      <c r="C3" s="625" t="str">
        <f>LongTest!C4</f>
        <v>광주광역시 북구 매곡동 430번지</v>
      </c>
      <c r="D3" s="626"/>
      <c r="E3" s="626"/>
      <c r="F3" s="626"/>
      <c r="G3" s="626"/>
      <c r="H3" s="627"/>
      <c r="I3" s="293" t="str">
        <f>Input!I54</f>
        <v>W-1</v>
      </c>
      <c r="J3" s="294" t="s">
        <v>320</v>
      </c>
    </row>
    <row r="4" spans="1:10" ht="24.95" customHeight="1">
      <c r="A4" s="608" t="s">
        <v>295</v>
      </c>
      <c r="B4" s="609"/>
      <c r="C4" s="611">
        <f>LongTest!C10</f>
        <v>45722.444444444445</v>
      </c>
      <c r="D4" s="612"/>
      <c r="E4" s="612"/>
      <c r="F4" s="612"/>
      <c r="G4" s="612"/>
      <c r="H4" s="612"/>
      <c r="I4" s="612"/>
      <c r="J4" s="613"/>
    </row>
    <row r="5" spans="1:10" ht="24.95" customHeight="1">
      <c r="A5" s="608" t="s">
        <v>296</v>
      </c>
      <c r="B5" s="609"/>
      <c r="C5" s="611">
        <f>C55</f>
        <v>45723.444444444445</v>
      </c>
      <c r="D5" s="612"/>
      <c r="E5" s="612"/>
      <c r="F5" s="612"/>
      <c r="G5" s="612"/>
      <c r="H5" s="612"/>
      <c r="I5" s="612"/>
      <c r="J5" s="613"/>
    </row>
    <row r="6" spans="1:10" ht="24.95" customHeight="1">
      <c r="A6" s="608" t="s">
        <v>292</v>
      </c>
      <c r="B6" s="609"/>
      <c r="C6" s="614" t="str">
        <f>LongTest!C5</f>
        <v>주식회사 한일지하수</v>
      </c>
      <c r="D6" s="615"/>
      <c r="E6" s="615"/>
      <c r="F6" s="615"/>
      <c r="G6" s="615"/>
      <c r="H6" s="615"/>
      <c r="I6" s="615"/>
      <c r="J6" s="616"/>
    </row>
    <row r="7" spans="1:10" ht="24.95" customHeight="1">
      <c r="A7" s="608" t="s">
        <v>297</v>
      </c>
      <c r="B7" s="609"/>
      <c r="C7" s="610" t="s">
        <v>324</v>
      </c>
      <c r="D7" s="609"/>
      <c r="E7" s="295">
        <f>LongTest!C6</f>
        <v>5</v>
      </c>
      <c r="F7" s="295" t="s">
        <v>298</v>
      </c>
      <c r="G7" s="295" t="s">
        <v>326</v>
      </c>
      <c r="H7" s="610">
        <f>Input!I50</f>
        <v>50</v>
      </c>
      <c r="I7" s="609"/>
      <c r="J7" s="296" t="s">
        <v>299</v>
      </c>
    </row>
    <row r="8" spans="1:10" ht="24.95" customHeight="1">
      <c r="A8" s="608" t="s">
        <v>300</v>
      </c>
      <c r="B8" s="609"/>
      <c r="C8" s="610" t="s">
        <v>325</v>
      </c>
      <c r="D8" s="609"/>
      <c r="E8" s="295">
        <f>LongTest!D7</f>
        <v>200</v>
      </c>
      <c r="F8" s="295" t="s">
        <v>301</v>
      </c>
      <c r="G8" s="295" t="s">
        <v>302</v>
      </c>
      <c r="H8" s="610">
        <f>LongTest!G7</f>
        <v>500</v>
      </c>
      <c r="I8" s="609"/>
      <c r="J8" s="296" t="s">
        <v>299</v>
      </c>
    </row>
    <row r="9" spans="1:10" ht="24.95" customHeight="1">
      <c r="A9" s="608" t="s">
        <v>303</v>
      </c>
      <c r="B9" s="609"/>
      <c r="C9" s="610" t="s">
        <v>323</v>
      </c>
      <c r="D9" s="609"/>
      <c r="E9" s="295">
        <f>LongTest!D8</f>
        <v>10.24</v>
      </c>
      <c r="F9" s="295" t="s">
        <v>299</v>
      </c>
      <c r="G9" s="295" t="s">
        <v>304</v>
      </c>
      <c r="H9" s="610">
        <f>LongTest!G8</f>
        <v>23.5</v>
      </c>
      <c r="I9" s="609"/>
      <c r="J9" s="296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120</v>
      </c>
      <c r="C12" s="298">
        <f t="shared" ref="C12:C55" si="0">$C$4+D12/1440</f>
        <v>45722.445138888892</v>
      </c>
      <c r="D12" s="575">
        <v>1</v>
      </c>
      <c r="E12" s="575"/>
      <c r="F12" s="299">
        <f>LongTest!F10</f>
        <v>12.893437051011373</v>
      </c>
      <c r="G12" s="299">
        <f>LongTest!G10</f>
        <v>2.6534370510113732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45722.445833333331</v>
      </c>
      <c r="D13" s="575">
        <v>2</v>
      </c>
      <c r="E13" s="575"/>
      <c r="F13" s="299">
        <f>LongTest!F11</f>
        <v>14.061970534542187</v>
      </c>
      <c r="G13" s="299">
        <f>LongTest!G11</f>
        <v>3.8219705345421868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45722.446527777778</v>
      </c>
      <c r="D14" s="575">
        <v>3</v>
      </c>
      <c r="E14" s="575"/>
      <c r="F14" s="299">
        <f>LongTest!F12</f>
        <v>14.745518803244776</v>
      </c>
      <c r="G14" s="299">
        <f>LongTest!G12</f>
        <v>4.5055188032447759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45722.447222222225</v>
      </c>
      <c r="D15" s="575">
        <v>4</v>
      </c>
      <c r="E15" s="575"/>
      <c r="F15" s="299">
        <f>LongTest!F13</f>
        <v>15.230504018073001</v>
      </c>
      <c r="G15" s="299">
        <f>LongTest!G13</f>
        <v>4.9905040180730005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45722.447916666664</v>
      </c>
      <c r="D16" s="575">
        <v>5</v>
      </c>
      <c r="E16" s="575"/>
      <c r="F16" s="299">
        <f>LongTest!F14</f>
        <v>15.60668777623817</v>
      </c>
      <c r="G16" s="299">
        <f>LongTest!G14</f>
        <v>5.3666877762381695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45722.451388888891</v>
      </c>
      <c r="D17" s="575">
        <v>10</v>
      </c>
      <c r="E17" s="575"/>
      <c r="F17" s="299">
        <f>LongTest!F15</f>
        <v>16.775221259768983</v>
      </c>
      <c r="G17" s="299">
        <f>LongTest!G15</f>
        <v>6.5352212597689814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45722.454861111109</v>
      </c>
      <c r="D18" s="575">
        <v>15</v>
      </c>
      <c r="E18" s="575"/>
      <c r="F18" s="299">
        <f>LongTest!F16</f>
        <v>17.458769528471571</v>
      </c>
      <c r="G18" s="299">
        <f>LongTest!G16</f>
        <v>7.2187695284715705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45722.458333333336</v>
      </c>
      <c r="D19" s="575">
        <v>20</v>
      </c>
      <c r="E19" s="575"/>
      <c r="F19" s="299">
        <f>LongTest!F17</f>
        <v>17.943754743299795</v>
      </c>
      <c r="G19" s="299">
        <f>LongTest!G17</f>
        <v>7.703754743299795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45722.461805555555</v>
      </c>
      <c r="D20" s="575">
        <v>25</v>
      </c>
      <c r="E20" s="575"/>
      <c r="F20" s="299">
        <f>LongTest!F18</f>
        <v>18.319938501464961</v>
      </c>
      <c r="G20" s="299">
        <f>LongTest!G18</f>
        <v>8.0799385014649605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45722.465277777781</v>
      </c>
      <c r="D21" s="575">
        <v>30</v>
      </c>
      <c r="E21" s="575"/>
      <c r="F21" s="299">
        <f>LongTest!F19</f>
        <v>18.627303012002383</v>
      </c>
      <c r="G21" s="299">
        <f>LongTest!G19</f>
        <v>8.3873030120023824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45722.46875</v>
      </c>
      <c r="D22" s="575">
        <v>35</v>
      </c>
      <c r="E22" s="575"/>
      <c r="F22" s="299">
        <f>LongTest!F20</f>
        <v>18.887176002817515</v>
      </c>
      <c r="G22" s="299">
        <f>LongTest!G20</f>
        <v>8.6471760028175151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45722.472222222226</v>
      </c>
      <c r="D23" s="575">
        <v>40</v>
      </c>
      <c r="E23" s="575"/>
      <c r="F23" s="299">
        <f>LongTest!F21</f>
        <v>19.112288226830607</v>
      </c>
      <c r="G23" s="299">
        <f>LongTest!G21</f>
        <v>8.8722882268306069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45722.475694444445</v>
      </c>
      <c r="D24" s="575">
        <v>45</v>
      </c>
      <c r="E24" s="575"/>
      <c r="F24" s="299">
        <f>LongTest!F22</f>
        <v>19.310851280704973</v>
      </c>
      <c r="G24" s="299">
        <f>LongTest!G22</f>
        <v>9.0708512807049733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45722.479166666664</v>
      </c>
      <c r="D25" s="575">
        <v>50</v>
      </c>
      <c r="E25" s="575"/>
      <c r="F25" s="299">
        <f>LongTest!F23</f>
        <v>19.488471984995776</v>
      </c>
      <c r="G25" s="299">
        <f>LongTest!G23</f>
        <v>9.2484719849957759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45722.482638888891</v>
      </c>
      <c r="D26" s="575">
        <v>55</v>
      </c>
      <c r="E26" s="575"/>
      <c r="F26" s="299">
        <f>LongTest!F24</f>
        <v>19.649149456601048</v>
      </c>
      <c r="G26" s="299">
        <f>LongTest!G24</f>
        <v>9.4091494566010478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45722.486111111109</v>
      </c>
      <c r="D27" s="575">
        <v>60</v>
      </c>
      <c r="E27" s="575"/>
      <c r="F27" s="299">
        <f>LongTest!F25</f>
        <v>19.795836495533198</v>
      </c>
      <c r="G27" s="299">
        <f>LongTest!G25</f>
        <v>9.5558364955331978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45722.496527777781</v>
      </c>
      <c r="D28" s="575">
        <v>75</v>
      </c>
      <c r="E28" s="575"/>
      <c r="F28" s="299">
        <f>LongTest!F26</f>
        <v>20.172020253698363</v>
      </c>
      <c r="G28" s="299">
        <f>LongTest!G26</f>
        <v>9.9320202536983633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45722.506944444445</v>
      </c>
      <c r="D29" s="575">
        <v>90</v>
      </c>
      <c r="E29" s="575"/>
      <c r="F29" s="299">
        <f>LongTest!F27</f>
        <v>20.479384764235785</v>
      </c>
      <c r="G29" s="299">
        <f>LongTest!G27</f>
        <v>10.239384764235785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45722.517361111109</v>
      </c>
      <c r="D30" s="575">
        <v>105</v>
      </c>
      <c r="E30" s="575"/>
      <c r="F30" s="299">
        <f>LongTest!F28</f>
        <v>20.739257755050918</v>
      </c>
      <c r="G30" s="299">
        <f>LongTest!G28</f>
        <v>10.499257755050918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45722.527777777781</v>
      </c>
      <c r="D31" s="575">
        <v>120</v>
      </c>
      <c r="E31" s="575"/>
      <c r="F31" s="299">
        <f>LongTest!F29</f>
        <v>20.96436997906401</v>
      </c>
      <c r="G31" s="299">
        <f>LongTest!G29</f>
        <v>10.72436997906401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45722.541666666664</v>
      </c>
      <c r="D32" s="575">
        <v>140</v>
      </c>
      <c r="E32" s="575"/>
      <c r="F32" s="299">
        <f>LongTest!F30</f>
        <v>21.224242969879143</v>
      </c>
      <c r="G32" s="299">
        <f>LongTest!G30</f>
        <v>10.984242969879142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45722.555555555555</v>
      </c>
      <c r="D33" s="575">
        <v>160</v>
      </c>
      <c r="E33" s="575"/>
      <c r="F33" s="299">
        <f>LongTest!F31</f>
        <v>21.449355193892234</v>
      </c>
      <c r="G33" s="299">
        <f>LongTest!G31</f>
        <v>11.209355193892234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45722.569444444445</v>
      </c>
      <c r="D34" s="575">
        <v>180</v>
      </c>
      <c r="E34" s="575"/>
      <c r="F34" s="299">
        <f>LongTest!F32</f>
        <v>21.647918247766601</v>
      </c>
      <c r="G34" s="299">
        <f>LongTest!G32</f>
        <v>11.407918247766601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45722.611111111109</v>
      </c>
      <c r="D35" s="575">
        <v>240</v>
      </c>
      <c r="E35" s="575"/>
      <c r="F35" s="299">
        <f>LongTest!F33</f>
        <v>22.132903462594825</v>
      </c>
      <c r="G35" s="299">
        <f>LongTest!G33</f>
        <v>11.892903462594825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45722.652777777781</v>
      </c>
      <c r="D36" s="575">
        <v>300</v>
      </c>
      <c r="E36" s="575"/>
      <c r="F36" s="299">
        <f>LongTest!F34</f>
        <v>22.509087220759991</v>
      </c>
      <c r="G36" s="299">
        <f>LongTest!G34</f>
        <v>12.269087220759991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45722.694444444445</v>
      </c>
      <c r="D37" s="575">
        <v>360</v>
      </c>
      <c r="E37" s="575"/>
      <c r="F37" s="299">
        <f>LongTest!F35</f>
        <v>22.816451731297413</v>
      </c>
      <c r="G37" s="299">
        <f>LongTest!G35</f>
        <v>12.576451731297412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45722.736111111109</v>
      </c>
      <c r="D38" s="575">
        <v>420</v>
      </c>
      <c r="E38" s="575"/>
      <c r="F38" s="299">
        <f>LongTest!F36</f>
        <v>23.076324722112545</v>
      </c>
      <c r="G38" s="299">
        <f>LongTest!G36</f>
        <v>12.836324722112545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45722.777777777781</v>
      </c>
      <c r="D39" s="575">
        <v>480</v>
      </c>
      <c r="E39" s="575"/>
      <c r="F39" s="299">
        <f>LongTest!F37</f>
        <v>23.301436946125637</v>
      </c>
      <c r="G39" s="299">
        <f>LongTest!G37</f>
        <v>13.061436946125637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45722.819444444445</v>
      </c>
      <c r="D40" s="575">
        <v>540</v>
      </c>
      <c r="E40" s="575"/>
      <c r="F40" s="299">
        <f>LongTest!F38</f>
        <v>23.5</v>
      </c>
      <c r="G40" s="299">
        <f>LongTest!G38</f>
        <v>13.26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45722.861111111109</v>
      </c>
      <c r="D41" s="575">
        <v>600</v>
      </c>
      <c r="E41" s="575"/>
      <c r="F41" s="299">
        <f>LongTest!F39</f>
        <v>23.5</v>
      </c>
      <c r="G41" s="299">
        <f>LongTest!G39</f>
        <v>13.26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45722.902777777781</v>
      </c>
      <c r="D42" s="575">
        <v>660</v>
      </c>
      <c r="E42" s="575"/>
      <c r="F42" s="299">
        <f>LongTest!F40</f>
        <v>23.5</v>
      </c>
      <c r="G42" s="299">
        <f>LongTest!G40</f>
        <v>13.26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45722.944444444445</v>
      </c>
      <c r="D43" s="575">
        <v>720</v>
      </c>
      <c r="E43" s="575"/>
      <c r="F43" s="299">
        <f>LongTest!F41</f>
        <v>23.5</v>
      </c>
      <c r="G43" s="299">
        <f>LongTest!G41</f>
        <v>13.26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45722.986111111109</v>
      </c>
      <c r="D44" s="575">
        <v>780</v>
      </c>
      <c r="E44" s="575"/>
      <c r="F44" s="295">
        <f>LongTest!F42</f>
        <v>23.5</v>
      </c>
      <c r="G44" s="295">
        <f>LongTest!G42</f>
        <v>13.26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45723.027777777781</v>
      </c>
      <c r="D45" s="575">
        <v>840</v>
      </c>
      <c r="E45" s="575"/>
      <c r="F45" s="295">
        <f>LongTest!F43</f>
        <v>23.5</v>
      </c>
      <c r="G45" s="295">
        <f>LongTest!G43</f>
        <v>13.26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45723.069444444445</v>
      </c>
      <c r="D46" s="575">
        <v>900</v>
      </c>
      <c r="E46" s="575"/>
      <c r="F46" s="295">
        <f>LongTest!F44</f>
        <v>23.5</v>
      </c>
      <c r="G46" s="295">
        <f>LongTest!G44</f>
        <v>13.26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45723.111111111109</v>
      </c>
      <c r="D47" s="575">
        <v>960</v>
      </c>
      <c r="E47" s="575"/>
      <c r="F47" s="295">
        <f>LongTest!F45</f>
        <v>23.5</v>
      </c>
      <c r="G47" s="295">
        <f>LongTest!G45</f>
        <v>13.26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45723.152777777781</v>
      </c>
      <c r="D48" s="575">
        <v>1020</v>
      </c>
      <c r="E48" s="575"/>
      <c r="F48" s="295">
        <f>LongTest!F46</f>
        <v>23.5</v>
      </c>
      <c r="G48" s="295">
        <f>LongTest!G46</f>
        <v>13.26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45723.194444444445</v>
      </c>
      <c r="D49" s="575">
        <v>1080</v>
      </c>
      <c r="E49" s="575"/>
      <c r="F49" s="295">
        <f>LongTest!F47</f>
        <v>23.5</v>
      </c>
      <c r="G49" s="295">
        <f>LongTest!G47</f>
        <v>13.26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45723.236111111109</v>
      </c>
      <c r="D50" s="575">
        <v>1140</v>
      </c>
      <c r="E50" s="575"/>
      <c r="F50" s="295">
        <f>LongTest!F48</f>
        <v>23.5</v>
      </c>
      <c r="G50" s="295">
        <f>LongTest!G48</f>
        <v>13.26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45723.277777777781</v>
      </c>
      <c r="D51" s="575">
        <v>1200</v>
      </c>
      <c r="E51" s="575"/>
      <c r="F51" s="295">
        <f>LongTest!F49</f>
        <v>23.5</v>
      </c>
      <c r="G51" s="295">
        <f>LongTest!G49</f>
        <v>13.26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45723.319444444445</v>
      </c>
      <c r="D52" s="575">
        <v>1260</v>
      </c>
      <c r="E52" s="575"/>
      <c r="F52" s="295">
        <f>LongTest!F50</f>
        <v>23.5</v>
      </c>
      <c r="G52" s="295">
        <f>LongTest!G50</f>
        <v>13.26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45723.361111111109</v>
      </c>
      <c r="D53" s="575">
        <v>1320</v>
      </c>
      <c r="E53" s="575"/>
      <c r="F53" s="295">
        <f>LongTest!F51</f>
        <v>23.5</v>
      </c>
      <c r="G53" s="295">
        <f>LongTest!G51</f>
        <v>13.26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45723.402777777781</v>
      </c>
      <c r="D54" s="575">
        <v>1380</v>
      </c>
      <c r="E54" s="575"/>
      <c r="F54" s="295">
        <f>LongTest!F52</f>
        <v>23.5</v>
      </c>
      <c r="G54" s="295">
        <f>LongTest!G52</f>
        <v>13.26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45723.444444444445</v>
      </c>
      <c r="D55" s="575">
        <v>1440</v>
      </c>
      <c r="E55" s="575"/>
      <c r="F55" s="295">
        <f>LongTest!F53</f>
        <v>23.5</v>
      </c>
      <c r="G55" s="295">
        <f>LongTest!G53</f>
        <v>13.26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06"/>
      <c r="E56" s="607"/>
      <c r="F56" s="295"/>
      <c r="G56" s="295"/>
      <c r="H56" s="295"/>
      <c r="I56" s="295"/>
      <c r="J56" s="296"/>
    </row>
    <row r="57" spans="1:10" ht="24.95" customHeight="1" thickBot="1">
      <c r="A57" s="603" t="s">
        <v>322</v>
      </c>
      <c r="B57" s="604"/>
      <c r="C57" s="604"/>
      <c r="D57" s="604"/>
      <c r="E57" s="604"/>
      <c r="F57" s="604"/>
      <c r="G57" s="604"/>
      <c r="H57" s="604"/>
      <c r="I57" s="604"/>
      <c r="J57" s="60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장기14!C55</f>
        <v>45723.444444444445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C31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45723.445138888892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45723.445833333331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45723.446527777778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45723.447222222225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45723.447916666664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45723.451388888891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45723.454861111109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45723.458333333336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45723.461805555555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45723.465277777781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45723.46875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45723.472222222226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45723.475694444445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45723.479166666664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45723.482638888891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45723.486111111109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45723.496527777781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45723.506944444445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45723.517361111109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45723.527777777781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 t="s">
        <v>327</v>
      </c>
      <c r="I31" s="550"/>
      <c r="J31" s="551"/>
    </row>
    <row r="32" spans="1:10" ht="24.95" customHeight="1">
      <c r="A32" s="308"/>
      <c r="B32" s="285"/>
      <c r="C32" s="285"/>
      <c r="D32" s="549"/>
      <c r="E32" s="576"/>
      <c r="F32" s="286"/>
      <c r="G32" s="286"/>
      <c r="H32" s="549"/>
      <c r="I32" s="550"/>
      <c r="J32" s="551"/>
    </row>
    <row r="33" spans="1:10" ht="24.95" customHeight="1">
      <c r="A33" s="308"/>
      <c r="B33" s="285"/>
      <c r="C33" s="285"/>
      <c r="D33" s="549"/>
      <c r="E33" s="576"/>
      <c r="F33" s="286"/>
      <c r="G33" s="286"/>
      <c r="H33" s="549"/>
      <c r="I33" s="550"/>
      <c r="J33" s="551"/>
    </row>
    <row r="34" spans="1:10" ht="24.95" customHeight="1">
      <c r="A34" s="308"/>
      <c r="B34" s="285"/>
      <c r="C34" s="285"/>
      <c r="D34" s="549"/>
      <c r="E34" s="576"/>
      <c r="F34" s="286"/>
      <c r="G34" s="286"/>
      <c r="H34" s="549"/>
      <c r="I34" s="550"/>
      <c r="J34" s="551"/>
    </row>
    <row r="35" spans="1:10" ht="24.95" customHeight="1" thickBot="1">
      <c r="A35" s="312"/>
      <c r="B35" s="313"/>
      <c r="C35" s="313"/>
      <c r="D35" s="552"/>
      <c r="E35" s="577"/>
      <c r="F35" s="314"/>
      <c r="G35" s="314"/>
      <c r="H35" s="552"/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Q19" sqref="Q1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45722.444444444445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45722.447916666664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45722.465277777781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45722.486111111109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45722.527777777781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45722.611111111109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45722.777777777781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45723.444444444445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45723.611111111109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45723.777777777781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45724.444444444445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2025-03-18T07:22:22Z</cp:lastPrinted>
  <dcterms:created xsi:type="dcterms:W3CDTF">2022-01-08T04:40:11Z</dcterms:created>
  <dcterms:modified xsi:type="dcterms:W3CDTF">2025-03-18T07:23:36Z</dcterms:modified>
</cp:coreProperties>
</file>