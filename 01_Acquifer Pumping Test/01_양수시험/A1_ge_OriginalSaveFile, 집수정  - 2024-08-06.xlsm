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7AD12483-003B-49A5-BEDA-B5BA77FB56B0}" xr6:coauthVersionLast="47" xr6:coauthVersionMax="47" xr10:uidLastSave="{00000000-0000-0000-0000-000000000000}"/>
  <bookViews>
    <workbookView xWindow="28680" yWindow="-120" windowWidth="29040" windowHeight="175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회복" sheetId="13" state="hidden" r:id="rId15"/>
    <sheet name="장기14" sheetId="18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21" i="13"/>
  <c r="G21" i="13"/>
  <c r="F22" i="13"/>
  <c r="G22" i="13"/>
  <c r="F23" i="13"/>
  <c r="G23" i="13"/>
  <c r="F24" i="13"/>
  <c r="G24" i="13"/>
  <c r="F25" i="13"/>
  <c r="G25" i="13"/>
  <c r="F26" i="13"/>
  <c r="G26" i="13"/>
  <c r="F27" i="13"/>
  <c r="G27" i="13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F35" i="13"/>
  <c r="G35" i="13"/>
  <c r="G12" i="13"/>
  <c r="F12" i="13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G12" i="19"/>
  <c r="F12" i="19"/>
  <c r="A27" i="9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5" i="15" s="1"/>
  <c r="C80" i="15"/>
  <c r="C5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58" i="20"/>
  <c r="C4" i="19"/>
  <c r="C4" i="13"/>
  <c r="C5" i="13"/>
  <c r="C5" i="18"/>
  <c r="C55" i="20" l="1"/>
  <c r="C50" i="20"/>
  <c r="C45" i="20"/>
  <c r="C40" i="20"/>
  <c r="C27" i="20"/>
  <c r="C22" i="20"/>
  <c r="C18" i="20"/>
  <c r="C14" i="20"/>
  <c r="C13" i="20"/>
  <c r="E9" i="20"/>
  <c r="H8" i="20"/>
  <c r="E8" i="20"/>
  <c r="H7" i="20"/>
  <c r="E7" i="20"/>
  <c r="C4" i="20"/>
  <c r="I3" i="20"/>
  <c r="C3" i="20"/>
  <c r="C2" i="20"/>
  <c r="C31" i="19"/>
  <c r="C5" i="19" s="1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25" i="19"/>
  <c r="I3" i="19"/>
  <c r="C3" i="19"/>
  <c r="C2" i="19"/>
  <c r="C54" i="18"/>
  <c r="C53" i="18"/>
  <c r="C52" i="18"/>
  <c r="C49" i="18"/>
  <c r="C48" i="18"/>
  <c r="C47" i="18"/>
  <c r="C45" i="18"/>
  <c r="C43" i="18"/>
  <c r="C42" i="18"/>
  <c r="C41" i="18"/>
  <c r="C40" i="18"/>
  <c r="C38" i="18"/>
  <c r="C37" i="18"/>
  <c r="C33" i="18"/>
  <c r="C31" i="18"/>
  <c r="C28" i="18"/>
  <c r="C27" i="18"/>
  <c r="C26" i="18"/>
  <c r="C24" i="18"/>
  <c r="C22" i="18"/>
  <c r="C21" i="18"/>
  <c r="C18" i="18"/>
  <c r="C17" i="18"/>
  <c r="C16" i="18"/>
  <c r="C14" i="18"/>
  <c r="C13" i="18"/>
  <c r="C12" i="18"/>
  <c r="E9" i="18"/>
  <c r="H8" i="18"/>
  <c r="E8" i="18"/>
  <c r="H7" i="18"/>
  <c r="E7" i="18"/>
  <c r="C4" i="18"/>
  <c r="C35" i="18" s="1"/>
  <c r="I3" i="18"/>
  <c r="C3" i="18"/>
  <c r="C2" i="18"/>
  <c r="I3" i="13"/>
  <c r="C3" i="13"/>
  <c r="I3" i="15"/>
  <c r="C3" i="15"/>
  <c r="I3" i="17"/>
  <c r="C3" i="17"/>
  <c r="I3" i="16"/>
  <c r="C17" i="20" l="1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4" i="17"/>
  <c r="E9" i="17"/>
  <c r="H8" i="17"/>
  <c r="E8" i="17"/>
  <c r="E7" i="17"/>
  <c r="C2" i="17"/>
  <c r="C34" i="13"/>
  <c r="E9" i="13"/>
  <c r="H8" i="13"/>
  <c r="E8" i="13"/>
  <c r="H7" i="13"/>
  <c r="E7" i="13"/>
  <c r="C23" i="13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I21" i="18" l="1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<sst xmlns="http://schemas.openxmlformats.org/spreadsheetml/2006/main" count="1412" uniqueCount="344">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</sst>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18" sqref="R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468" t="s">
        <v>5</v>
      </c>
      <c r="F8" s="468"/>
      <c r="G8" s="46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67" t="s">
        <v>7</v>
      </c>
      <c r="G9" s="467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467" t="s">
        <v>8</v>
      </c>
      <c r="G10" s="467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467" t="s">
        <v>9</v>
      </c>
      <c r="G11" s="467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467" t="s">
        <v>10</v>
      </c>
      <c r="G12" s="467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468" t="s">
        <v>11</v>
      </c>
      <c r="F13" s="468"/>
      <c r="G13" s="468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467" t="s">
        <v>7</v>
      </c>
      <c r="G14" s="467"/>
    </row>
    <row r="15" spans="1:17" s="167" customFormat="1">
      <c r="A15" s="4"/>
      <c r="B15" s="4"/>
      <c r="C15" s="4"/>
      <c r="D15" s="4"/>
      <c r="E15" s="233">
        <v>1</v>
      </c>
      <c r="F15" s="467" t="s">
        <v>8</v>
      </c>
      <c r="G15" s="467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67" t="s">
        <v>9</v>
      </c>
      <c r="G16" s="467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467" t="s">
        <v>10</v>
      </c>
      <c r="G17" s="467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70" t="s">
        <v>14</v>
      </c>
      <c r="B26" s="470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70" t="s">
        <v>15</v>
      </c>
      <c r="B27" s="470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1" t="s">
        <v>295</v>
      </c>
      <c r="J44" s="472"/>
      <c r="K44" s="473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0" t="s">
        <v>296</v>
      </c>
      <c r="J45" s="481"/>
      <c r="K45" s="482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74" t="s">
        <v>36</v>
      </c>
      <c r="D46" s="474"/>
      <c r="E46" s="4"/>
      <c r="F46" s="4"/>
      <c r="G46" s="4"/>
      <c r="H46" s="224" t="s">
        <v>37</v>
      </c>
      <c r="I46" s="471" t="s">
        <v>294</v>
      </c>
      <c r="J46" s="472"/>
      <c r="K46" s="473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74" t="s">
        <v>40</v>
      </c>
      <c r="D47" s="474"/>
      <c r="E47" s="4"/>
      <c r="F47" s="4"/>
      <c r="G47" s="4"/>
      <c r="H47" s="224" t="s">
        <v>41</v>
      </c>
      <c r="I47" s="483" t="s">
        <v>333</v>
      </c>
      <c r="J47" s="484"/>
      <c r="K47" s="485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75" t="s">
        <v>293</v>
      </c>
      <c r="K48" s="475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76" t="str">
        <f>I45</f>
        <v>규암지구</v>
      </c>
      <c r="J49" s="476"/>
      <c r="K49" s="476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320</v>
      </c>
      <c r="I50" s="246">
        <v>50</v>
      </c>
      <c r="J50" s="486"/>
      <c r="K50" s="487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77"/>
      <c r="J51" s="478"/>
      <c r="K51" s="479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69" t="s">
        <v>243</v>
      </c>
      <c r="J53" s="469"/>
      <c r="K53" s="469"/>
      <c r="L53" s="46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88" t="s">
        <v>62</v>
      </c>
      <c r="E57" s="504"/>
      <c r="F57" s="488" t="s">
        <v>61</v>
      </c>
      <c r="G57" s="504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88" t="s">
        <v>66</v>
      </c>
      <c r="M57" s="489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0">
        <v>0.22439999999999999</v>
      </c>
      <c r="E58" s="491"/>
      <c r="F58" s="490"/>
      <c r="G58" s="491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2">
        <f>B59</f>
        <v>59.61</v>
      </c>
      <c r="D59" s="494">
        <v>0.15190000000000001</v>
      </c>
      <c r="E59" s="495"/>
      <c r="F59" s="496">
        <f>INT((D59+D60)/1*10000000)/10000000</f>
        <v>0.15190000000000001</v>
      </c>
      <c r="G59" s="49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93"/>
      <c r="D60" s="494"/>
      <c r="E60" s="495"/>
      <c r="F60" s="498"/>
      <c r="G60" s="49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0"/>
      <c r="E61" s="491"/>
      <c r="F61" s="490"/>
      <c r="G61" s="491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0"/>
      <c r="E62" s="501"/>
      <c r="F62" s="502">
        <f>F59</f>
        <v>0.15190000000000001</v>
      </c>
      <c r="G62" s="503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334</v>
      </c>
      <c r="R64" s="244" t="s">
        <v>335</v>
      </c>
      <c r="S64" s="244" t="s">
        <v>336</v>
      </c>
      <c r="T64" s="244" t="s">
        <v>337</v>
      </c>
      <c r="U64" s="244" t="s">
        <v>338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08">
        <f>Input!I48</f>
        <v>1</v>
      </c>
      <c r="D8" s="509"/>
      <c r="E8" s="510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1">
        <f>Input!M44</f>
        <v>150</v>
      </c>
      <c r="E9" s="511"/>
      <c r="F9" s="301" t="s">
        <v>168</v>
      </c>
      <c r="G9" s="512">
        <f>Input!M45</f>
        <v>100</v>
      </c>
      <c r="H9" s="512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3">
        <f>Input!M48</f>
        <v>3.23</v>
      </c>
      <c r="E10" s="514"/>
      <c r="F10" s="321" t="s">
        <v>4</v>
      </c>
      <c r="G10" s="515" t="s">
        <v>4</v>
      </c>
      <c r="H10" s="515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16" t="s">
        <v>173</v>
      </c>
      <c r="E11" s="516"/>
      <c r="F11" s="322" t="s">
        <v>174</v>
      </c>
      <c r="G11" s="517" t="s">
        <v>175</v>
      </c>
      <c r="H11" s="517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45489.458333333336</v>
      </c>
      <c r="D12" s="505">
        <v>1</v>
      </c>
      <c r="E12" s="505"/>
      <c r="F12" s="326">
        <f>G12+$D$10</f>
        <v>4.2300000000000004</v>
      </c>
      <c r="G12" s="506">
        <f>AD4</f>
        <v>1</v>
      </c>
      <c r="H12" s="506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5">
        <v>2</v>
      </c>
      <c r="E13" s="505"/>
      <c r="F13" s="326">
        <f t="shared" ref="F13:F51" si="13">G13+$D$10</f>
        <v>4.92</v>
      </c>
      <c r="G13" s="506">
        <f t="shared" ref="G13:G51" si="14">AD5</f>
        <v>1.69</v>
      </c>
      <c r="H13" s="506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5">
        <v>3</v>
      </c>
      <c r="E14" s="505"/>
      <c r="F14" s="326">
        <f t="shared" si="13"/>
        <v>5.32</v>
      </c>
      <c r="G14" s="506">
        <f t="shared" si="14"/>
        <v>2.09</v>
      </c>
      <c r="H14" s="506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5">
        <v>4</v>
      </c>
      <c r="E15" s="505"/>
      <c r="F15" s="326">
        <f t="shared" si="13"/>
        <v>5.6</v>
      </c>
      <c r="G15" s="506">
        <f t="shared" si="14"/>
        <v>2.37</v>
      </c>
      <c r="H15" s="506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5">
        <v>5</v>
      </c>
      <c r="E16" s="505"/>
      <c r="F16" s="326">
        <f t="shared" si="13"/>
        <v>5.83</v>
      </c>
      <c r="G16" s="506">
        <f t="shared" si="14"/>
        <v>2.6</v>
      </c>
      <c r="H16" s="506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5">
        <v>10</v>
      </c>
      <c r="E17" s="505"/>
      <c r="F17" s="326">
        <f t="shared" si="13"/>
        <v>6.51</v>
      </c>
      <c r="G17" s="506">
        <f t="shared" si="14"/>
        <v>3.28</v>
      </c>
      <c r="H17" s="506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5">
        <v>15</v>
      </c>
      <c r="E18" s="505"/>
      <c r="F18" s="326">
        <f t="shared" si="13"/>
        <v>6.91</v>
      </c>
      <c r="G18" s="506">
        <f t="shared" si="14"/>
        <v>3.68</v>
      </c>
      <c r="H18" s="506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5">
        <v>20</v>
      </c>
      <c r="E19" s="505"/>
      <c r="F19" s="326">
        <f t="shared" si="13"/>
        <v>7.2</v>
      </c>
      <c r="G19" s="506">
        <f t="shared" si="14"/>
        <v>3.97</v>
      </c>
      <c r="H19" s="506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5">
        <v>25</v>
      </c>
      <c r="E20" s="505"/>
      <c r="F20" s="326">
        <f t="shared" si="13"/>
        <v>7.42</v>
      </c>
      <c r="G20" s="506">
        <f t="shared" si="14"/>
        <v>4.1900000000000004</v>
      </c>
      <c r="H20" s="506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5">
        <v>30</v>
      </c>
      <c r="E21" s="505"/>
      <c r="F21" s="326">
        <f t="shared" si="13"/>
        <v>7.6</v>
      </c>
      <c r="G21" s="506">
        <f t="shared" si="14"/>
        <v>4.37</v>
      </c>
      <c r="H21" s="506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5">
        <v>35</v>
      </c>
      <c r="E22" s="505"/>
      <c r="F22" s="326">
        <f t="shared" si="13"/>
        <v>7.75</v>
      </c>
      <c r="G22" s="506">
        <f t="shared" si="14"/>
        <v>4.5199999999999996</v>
      </c>
      <c r="H22" s="506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5">
        <v>40</v>
      </c>
      <c r="E23" s="505"/>
      <c r="F23" s="326">
        <f t="shared" si="13"/>
        <v>7.8900000000000006</v>
      </c>
      <c r="G23" s="506">
        <f t="shared" si="14"/>
        <v>4.66</v>
      </c>
      <c r="H23" s="506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5">
        <v>45</v>
      </c>
      <c r="E24" s="505"/>
      <c r="F24" s="326">
        <f t="shared" si="13"/>
        <v>8</v>
      </c>
      <c r="G24" s="506">
        <f t="shared" si="14"/>
        <v>4.7699999999999996</v>
      </c>
      <c r="H24" s="506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5">
        <v>50</v>
      </c>
      <c r="E25" s="505"/>
      <c r="F25" s="326">
        <f t="shared" si="13"/>
        <v>8.11</v>
      </c>
      <c r="G25" s="506">
        <f t="shared" si="14"/>
        <v>4.88</v>
      </c>
      <c r="H25" s="506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5">
        <v>55</v>
      </c>
      <c r="E26" s="505"/>
      <c r="F26" s="326">
        <f t="shared" si="13"/>
        <v>8.1999999999999993</v>
      </c>
      <c r="G26" s="506">
        <f t="shared" si="14"/>
        <v>4.97</v>
      </c>
      <c r="H26" s="506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5">
        <v>60</v>
      </c>
      <c r="E27" s="505"/>
      <c r="F27" s="326">
        <f t="shared" si="13"/>
        <v>8.2899999999999991</v>
      </c>
      <c r="G27" s="506">
        <f t="shared" si="14"/>
        <v>5.0599999999999996</v>
      </c>
      <c r="H27" s="506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5">
        <v>75</v>
      </c>
      <c r="E28" s="505"/>
      <c r="F28" s="326">
        <f t="shared" si="13"/>
        <v>8.51</v>
      </c>
      <c r="G28" s="506">
        <f t="shared" si="14"/>
        <v>5.28</v>
      </c>
      <c r="H28" s="506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5">
        <v>90</v>
      </c>
      <c r="E29" s="505"/>
      <c r="F29" s="326">
        <f t="shared" si="13"/>
        <v>8.69</v>
      </c>
      <c r="G29" s="506">
        <f t="shared" si="14"/>
        <v>5.46</v>
      </c>
      <c r="H29" s="506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5">
        <v>105</v>
      </c>
      <c r="E30" s="505"/>
      <c r="F30" s="326">
        <f t="shared" si="13"/>
        <v>8.84</v>
      </c>
      <c r="G30" s="506">
        <f t="shared" si="14"/>
        <v>5.61</v>
      </c>
      <c r="H30" s="506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5">
        <v>120</v>
      </c>
      <c r="E31" s="505"/>
      <c r="F31" s="326">
        <f t="shared" si="13"/>
        <v>8.98</v>
      </c>
      <c r="G31" s="506">
        <f t="shared" si="14"/>
        <v>5.75</v>
      </c>
      <c r="H31" s="506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45489.548611111117</v>
      </c>
      <c r="D32" s="505">
        <v>130</v>
      </c>
      <c r="E32" s="505"/>
      <c r="F32" s="326">
        <f t="shared" si="13"/>
        <v>10.130000000000001</v>
      </c>
      <c r="G32" s="506">
        <f t="shared" si="14"/>
        <v>6.9</v>
      </c>
      <c r="H32" s="506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5">
        <v>140</v>
      </c>
      <c r="E33" s="505"/>
      <c r="F33" s="326">
        <f t="shared" si="13"/>
        <v>10.32</v>
      </c>
      <c r="G33" s="506">
        <f t="shared" si="14"/>
        <v>7.09</v>
      </c>
      <c r="H33" s="506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5">
        <v>150</v>
      </c>
      <c r="E34" s="505"/>
      <c r="F34" s="326">
        <f t="shared" si="13"/>
        <v>10.51</v>
      </c>
      <c r="G34" s="506">
        <f t="shared" si="14"/>
        <v>7.28</v>
      </c>
      <c r="H34" s="506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5">
        <v>180</v>
      </c>
      <c r="E35" s="505"/>
      <c r="F35" s="326">
        <f t="shared" si="13"/>
        <v>10.7</v>
      </c>
      <c r="G35" s="506">
        <f t="shared" si="14"/>
        <v>7.47</v>
      </c>
      <c r="H35" s="506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5">
        <v>240</v>
      </c>
      <c r="E36" s="505"/>
      <c r="F36" s="326">
        <f t="shared" si="13"/>
        <v>10.9</v>
      </c>
      <c r="G36" s="506">
        <f t="shared" si="14"/>
        <v>7.67</v>
      </c>
      <c r="H36" s="506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45489.631944444445</v>
      </c>
      <c r="D37" s="505">
        <v>250</v>
      </c>
      <c r="E37" s="505"/>
      <c r="F37" s="326">
        <f t="shared" si="13"/>
        <v>12.190000000000001</v>
      </c>
      <c r="G37" s="506">
        <f t="shared" si="14"/>
        <v>8.9600000000000009</v>
      </c>
      <c r="H37" s="506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5">
        <v>260</v>
      </c>
      <c r="E38" s="505"/>
      <c r="F38" s="326">
        <f t="shared" si="13"/>
        <v>12.41</v>
      </c>
      <c r="G38" s="506">
        <f t="shared" si="14"/>
        <v>9.18</v>
      </c>
      <c r="H38" s="506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5">
        <v>270</v>
      </c>
      <c r="E39" s="505"/>
      <c r="F39" s="326">
        <f t="shared" si="13"/>
        <v>12.620000000000001</v>
      </c>
      <c r="G39" s="506">
        <f t="shared" si="14"/>
        <v>9.39</v>
      </c>
      <c r="H39" s="506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5">
        <v>300</v>
      </c>
      <c r="E40" s="505"/>
      <c r="F40" s="326">
        <f t="shared" si="13"/>
        <v>12.84</v>
      </c>
      <c r="G40" s="506">
        <f t="shared" si="14"/>
        <v>9.61</v>
      </c>
      <c r="H40" s="506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5">
        <v>360</v>
      </c>
      <c r="E41" s="505"/>
      <c r="F41" s="326">
        <f t="shared" si="13"/>
        <v>13.06</v>
      </c>
      <c r="G41" s="506">
        <f t="shared" si="14"/>
        <v>9.83</v>
      </c>
      <c r="H41" s="506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45489.715277777781</v>
      </c>
      <c r="D42" s="505">
        <v>370</v>
      </c>
      <c r="E42" s="505"/>
      <c r="F42" s="326">
        <f t="shared" si="13"/>
        <v>14.5</v>
      </c>
      <c r="G42" s="506">
        <f t="shared" si="14"/>
        <v>11.27</v>
      </c>
      <c r="H42" s="506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5">
        <v>380</v>
      </c>
      <c r="E43" s="505"/>
      <c r="F43" s="326">
        <f t="shared" si="13"/>
        <v>14.74</v>
      </c>
      <c r="G43" s="506">
        <f t="shared" si="14"/>
        <v>11.51</v>
      </c>
      <c r="H43" s="506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5">
        <v>390</v>
      </c>
      <c r="E44" s="505"/>
      <c r="F44" s="326">
        <f t="shared" si="13"/>
        <v>14.98</v>
      </c>
      <c r="G44" s="506">
        <f t="shared" si="14"/>
        <v>11.75</v>
      </c>
      <c r="H44" s="506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5">
        <v>420</v>
      </c>
      <c r="E45" s="505"/>
      <c r="F45" s="326">
        <f t="shared" si="13"/>
        <v>15.22</v>
      </c>
      <c r="G45" s="506">
        <f t="shared" si="14"/>
        <v>11.99</v>
      </c>
      <c r="H45" s="506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5">
        <v>480</v>
      </c>
      <c r="E46" s="505"/>
      <c r="F46" s="326">
        <f t="shared" si="13"/>
        <v>15.47</v>
      </c>
      <c r="G46" s="506">
        <f t="shared" si="14"/>
        <v>12.24</v>
      </c>
      <c r="H46" s="506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45489.798611111117</v>
      </c>
      <c r="D47" s="505">
        <v>490</v>
      </c>
      <c r="E47" s="505"/>
      <c r="F47" s="326">
        <f t="shared" si="13"/>
        <v>16.93</v>
      </c>
      <c r="G47" s="506">
        <f t="shared" si="14"/>
        <v>13.7</v>
      </c>
      <c r="H47" s="506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5">
        <v>500</v>
      </c>
      <c r="E48" s="505"/>
      <c r="F48" s="326">
        <f t="shared" si="13"/>
        <v>17.48</v>
      </c>
      <c r="G48" s="506">
        <f t="shared" si="14"/>
        <v>14.25</v>
      </c>
      <c r="H48" s="506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5">
        <v>510</v>
      </c>
      <c r="E49" s="505"/>
      <c r="F49" s="326">
        <f t="shared" si="13"/>
        <v>18.03</v>
      </c>
      <c r="G49" s="506">
        <f t="shared" si="14"/>
        <v>14.8</v>
      </c>
      <c r="H49" s="506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5">
        <v>540</v>
      </c>
      <c r="E50" s="505"/>
      <c r="F50" s="326">
        <f t="shared" si="13"/>
        <v>18.579999999999998</v>
      </c>
      <c r="G50" s="506">
        <f t="shared" si="14"/>
        <v>15.35</v>
      </c>
      <c r="H50" s="506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5">
        <v>600</v>
      </c>
      <c r="E51" s="505"/>
      <c r="F51" s="326">
        <f t="shared" si="13"/>
        <v>19.14</v>
      </c>
      <c r="G51" s="506">
        <f t="shared" si="14"/>
        <v>15.91</v>
      </c>
      <c r="H51" s="506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67" zoomScale="115" zoomScaleNormal="115" zoomScaleSheetLayoutView="85" workbookViewId="0">
      <selection activeCell="C78" sqref="C7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19" t="s">
        <v>183</v>
      </c>
      <c r="O1" s="519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1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H27" sqref="H2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91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C103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45492.458333333336</v>
      </c>
      <c r="D79" s="524">
        <v>2880</v>
      </c>
      <c r="E79" s="525"/>
      <c r="F79" s="426">
        <f>LongTest!F77</f>
        <v>16.989999999999998</v>
      </c>
      <c r="G79" s="426">
        <f>LongTest!G77</f>
        <v>13.759999999999998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45492.459027777782</v>
      </c>
      <c r="D80" s="524">
        <v>1</v>
      </c>
      <c r="E80" s="525"/>
      <c r="F80" s="431">
        <f>LongTest!F78</f>
        <v>12.762610608192302</v>
      </c>
      <c r="G80" s="431">
        <f>LongTest!G78</f>
        <v>9.5326106081923019</v>
      </c>
      <c r="H80" s="526" t="s">
        <v>191</v>
      </c>
      <c r="I80" s="527"/>
      <c r="J80" s="528"/>
    </row>
    <row r="81" spans="1:10" ht="24.95" customHeight="1">
      <c r="A81" s="453"/>
      <c r="B81" s="430"/>
      <c r="C81" s="430">
        <f t="shared" ref="C81:C103" si="6">$C$4+(D81+2880)/1440</f>
        <v>45492.459722222222</v>
      </c>
      <c r="D81" s="524">
        <v>2</v>
      </c>
      <c r="E81" s="525"/>
      <c r="F81" s="431">
        <f>LongTest!F79</f>
        <v>12.04157009097686</v>
      </c>
      <c r="G81" s="431">
        <f>LongTest!G79</f>
        <v>8.8115700909768595</v>
      </c>
      <c r="H81" s="524"/>
      <c r="I81" s="529"/>
      <c r="J81" s="530"/>
    </row>
    <row r="82" spans="1:10" ht="24.95" customHeight="1">
      <c r="A82" s="453"/>
      <c r="B82" s="430"/>
      <c r="C82" s="430">
        <f t="shared" si="6"/>
        <v>45492.460416666669</v>
      </c>
      <c r="D82" s="524">
        <v>3</v>
      </c>
      <c r="E82" s="525"/>
      <c r="F82" s="431">
        <f>LongTest!F80</f>
        <v>11.375068613362968</v>
      </c>
      <c r="G82" s="431">
        <f>LongTest!G80</f>
        <v>8.1450686133629677</v>
      </c>
      <c r="H82" s="524"/>
      <c r="I82" s="529"/>
      <c r="J82" s="530"/>
    </row>
    <row r="83" spans="1:10" ht="24.95" customHeight="1">
      <c r="A83" s="453"/>
      <c r="B83" s="430"/>
      <c r="C83" s="430">
        <f t="shared" si="6"/>
        <v>45492.461111111115</v>
      </c>
      <c r="D83" s="524">
        <v>4</v>
      </c>
      <c r="E83" s="525"/>
      <c r="F83" s="431">
        <f>LongTest!F81</f>
        <v>10.758980877576581</v>
      </c>
      <c r="G83" s="431">
        <f>LongTest!G81</f>
        <v>7.528980877576581</v>
      </c>
      <c r="H83" s="524"/>
      <c r="I83" s="529"/>
      <c r="J83" s="530"/>
    </row>
    <row r="84" spans="1:10" ht="24.95" customHeight="1">
      <c r="A84" s="453"/>
      <c r="B84" s="430"/>
      <c r="C84" s="430">
        <f t="shared" si="6"/>
        <v>45492.461805555555</v>
      </c>
      <c r="D84" s="524">
        <v>5</v>
      </c>
      <c r="E84" s="525"/>
      <c r="F84" s="431">
        <f>LongTest!F82</f>
        <v>10.189493620706195</v>
      </c>
      <c r="G84" s="431">
        <f>LongTest!G82</f>
        <v>6.9594936207061942</v>
      </c>
      <c r="H84" s="524"/>
      <c r="I84" s="529"/>
      <c r="J84" s="530"/>
    </row>
    <row r="85" spans="1:10" ht="24.95" customHeight="1">
      <c r="A85" s="453"/>
      <c r="B85" s="430"/>
      <c r="C85" s="430">
        <f t="shared" si="6"/>
        <v>45492.465277777781</v>
      </c>
      <c r="D85" s="524">
        <v>10</v>
      </c>
      <c r="E85" s="525"/>
      <c r="F85" s="431">
        <f>LongTest!F83</f>
        <v>8.7266993346903874</v>
      </c>
      <c r="G85" s="431">
        <f>LongTest!G83</f>
        <v>5.496699334690387</v>
      </c>
      <c r="H85" s="524"/>
      <c r="I85" s="529"/>
      <c r="J85" s="530"/>
    </row>
    <row r="86" spans="1:10" ht="24.95" customHeight="1">
      <c r="A86" s="453"/>
      <c r="B86" s="430"/>
      <c r="C86" s="430">
        <f t="shared" si="6"/>
        <v>45492.46875</v>
      </c>
      <c r="D86" s="524">
        <v>15</v>
      </c>
      <c r="E86" s="525"/>
      <c r="F86" s="431">
        <f>LongTest!F84</f>
        <v>8.4459042865162424</v>
      </c>
      <c r="G86" s="431">
        <f>LongTest!G84</f>
        <v>5.2159042865162419</v>
      </c>
      <c r="H86" s="524"/>
      <c r="I86" s="529"/>
      <c r="J86" s="530"/>
    </row>
    <row r="87" spans="1:10" ht="24.95" customHeight="1">
      <c r="A87" s="453"/>
      <c r="B87" s="430"/>
      <c r="C87" s="430">
        <f t="shared" si="6"/>
        <v>45492.472222222226</v>
      </c>
      <c r="D87" s="524">
        <v>20</v>
      </c>
      <c r="E87" s="525"/>
      <c r="F87" s="431">
        <f>LongTest!F85</f>
        <v>7.686690831145274</v>
      </c>
      <c r="G87" s="431">
        <f>LongTest!G85</f>
        <v>4.4566908311452735</v>
      </c>
      <c r="H87" s="524"/>
      <c r="I87" s="529"/>
      <c r="J87" s="530"/>
    </row>
    <row r="88" spans="1:10" ht="24.95" customHeight="1">
      <c r="A88" s="453"/>
      <c r="B88" s="430"/>
      <c r="C88" s="430">
        <f t="shared" si="6"/>
        <v>45492.475694444445</v>
      </c>
      <c r="D88" s="524">
        <v>25</v>
      </c>
      <c r="E88" s="525"/>
      <c r="F88" s="431">
        <f>LongTest!F86</f>
        <v>7.3495896115489696</v>
      </c>
      <c r="G88" s="431">
        <f>LongTest!G86</f>
        <v>4.1195896115489692</v>
      </c>
      <c r="H88" s="524"/>
      <c r="I88" s="529"/>
      <c r="J88" s="530"/>
    </row>
    <row r="89" spans="1:10" ht="24.95" customHeight="1">
      <c r="A89" s="453"/>
      <c r="B89" s="430"/>
      <c r="C89" s="430">
        <f t="shared" si="6"/>
        <v>45492.479166666672</v>
      </c>
      <c r="D89" s="524">
        <v>30</v>
      </c>
      <c r="E89" s="525"/>
      <c r="F89" s="431">
        <f>LongTest!F87</f>
        <v>7.0379865107495014</v>
      </c>
      <c r="G89" s="431">
        <f>LongTest!G87</f>
        <v>3.807986510749501</v>
      </c>
      <c r="H89" s="524"/>
      <c r="I89" s="529"/>
      <c r="J89" s="530"/>
    </row>
    <row r="90" spans="1:10" ht="24.95" customHeight="1">
      <c r="A90" s="453"/>
      <c r="B90" s="430"/>
      <c r="C90" s="430">
        <f t="shared" si="6"/>
        <v>45492.482638888891</v>
      </c>
      <c r="D90" s="524">
        <v>35</v>
      </c>
      <c r="E90" s="525"/>
      <c r="F90" s="431">
        <f>LongTest!F88</f>
        <v>6.9394473981982809</v>
      </c>
      <c r="G90" s="431">
        <f>LongTest!G88</f>
        <v>3.7094473981982814</v>
      </c>
      <c r="H90" s="524"/>
      <c r="I90" s="529"/>
      <c r="J90" s="530"/>
    </row>
    <row r="91" spans="1:10" ht="24.95" customHeight="1">
      <c r="A91" s="453"/>
      <c r="B91" s="430"/>
      <c r="C91" s="430">
        <f t="shared" si="6"/>
        <v>45492.486111111117</v>
      </c>
      <c r="D91" s="524">
        <v>40</v>
      </c>
      <c r="E91" s="525"/>
      <c r="F91" s="431">
        <f>LongTest!F89</f>
        <v>6.8434581782674719</v>
      </c>
      <c r="G91" s="431">
        <f>LongTest!G89</f>
        <v>3.613458178267472</v>
      </c>
      <c r="H91" s="524"/>
      <c r="I91" s="529"/>
      <c r="J91" s="530"/>
    </row>
    <row r="92" spans="1:10" ht="24.95" customHeight="1">
      <c r="A92" s="453"/>
      <c r="B92" s="430"/>
      <c r="C92" s="430">
        <f t="shared" si="6"/>
        <v>45492.489583333336</v>
      </c>
      <c r="D92" s="524">
        <v>45</v>
      </c>
      <c r="E92" s="525"/>
      <c r="F92" s="431">
        <f>LongTest!F90</f>
        <v>6.7499528674891147</v>
      </c>
      <c r="G92" s="431">
        <f>LongTest!G90</f>
        <v>3.5199528674891147</v>
      </c>
      <c r="H92" s="524"/>
      <c r="I92" s="529"/>
      <c r="J92" s="530"/>
    </row>
    <row r="93" spans="1:10" ht="24.95" customHeight="1">
      <c r="A93" s="453"/>
      <c r="B93" s="430"/>
      <c r="C93" s="430">
        <f t="shared" si="6"/>
        <v>45492.493055555555</v>
      </c>
      <c r="D93" s="524">
        <v>50</v>
      </c>
      <c r="E93" s="525"/>
      <c r="F93" s="431">
        <f>LongTest!F91</f>
        <v>6.6588671898467773</v>
      </c>
      <c r="G93" s="431">
        <f>LongTest!G91</f>
        <v>3.4288671898467773</v>
      </c>
      <c r="H93" s="524"/>
      <c r="I93" s="529"/>
      <c r="J93" s="530"/>
    </row>
    <row r="94" spans="1:10" ht="24.95" customHeight="1">
      <c r="A94" s="453"/>
      <c r="B94" s="430"/>
      <c r="C94" s="430">
        <f t="shared" si="6"/>
        <v>45492.496527777781</v>
      </c>
      <c r="D94" s="524">
        <v>55</v>
      </c>
      <c r="E94" s="525"/>
      <c r="F94" s="431">
        <f>LongTest!F92</f>
        <v>6.5701385325918977</v>
      </c>
      <c r="G94" s="431">
        <f>LongTest!G92</f>
        <v>3.3401385325918982</v>
      </c>
      <c r="H94" s="524"/>
      <c r="I94" s="529"/>
      <c r="J94" s="530"/>
    </row>
    <row r="95" spans="1:10" ht="24.95" customHeight="1">
      <c r="A95" s="453"/>
      <c r="B95" s="430"/>
      <c r="C95" s="430">
        <f t="shared" si="6"/>
        <v>45492.5</v>
      </c>
      <c r="D95" s="524">
        <v>60</v>
      </c>
      <c r="E95" s="525"/>
      <c r="F95" s="431">
        <f>LongTest!F93</f>
        <v>6.4837059032034716</v>
      </c>
      <c r="G95" s="431">
        <f>LongTest!G93</f>
        <v>3.2537059032034716</v>
      </c>
      <c r="H95" s="524"/>
      <c r="I95" s="529"/>
      <c r="J95" s="530"/>
    </row>
    <row r="96" spans="1:10" ht="24.95" customHeight="1">
      <c r="A96" s="453"/>
      <c r="B96" s="430"/>
      <c r="C96" s="430">
        <f t="shared" si="6"/>
        <v>45492.510416666672</v>
      </c>
      <c r="D96" s="524">
        <v>75</v>
      </c>
      <c r="E96" s="525"/>
      <c r="F96" s="431">
        <f>LongTest!F94</f>
        <v>6.3995098874614857</v>
      </c>
      <c r="G96" s="431">
        <f>LongTest!G94</f>
        <v>3.1695098874614858</v>
      </c>
      <c r="H96" s="524"/>
      <c r="I96" s="529"/>
      <c r="J96" s="530"/>
    </row>
    <row r="97" spans="1:10" ht="24.95" customHeight="1">
      <c r="A97" s="453"/>
      <c r="B97" s="430"/>
      <c r="C97" s="430">
        <f t="shared" si="6"/>
        <v>45492.520833333336</v>
      </c>
      <c r="D97" s="524">
        <v>90</v>
      </c>
      <c r="E97" s="525"/>
      <c r="F97" s="431">
        <f>LongTest!F95</f>
        <v>6.3174926086052903</v>
      </c>
      <c r="G97" s="431">
        <f>LongTest!G95</f>
        <v>3.0874926086052907</v>
      </c>
      <c r="H97" s="524"/>
      <c r="I97" s="529"/>
      <c r="J97" s="530"/>
    </row>
    <row r="98" spans="1:10" ht="24.95" customHeight="1">
      <c r="A98" s="453"/>
      <c r="B98" s="430"/>
      <c r="C98" s="430">
        <f t="shared" si="6"/>
        <v>45492.53125</v>
      </c>
      <c r="D98" s="524">
        <v>105</v>
      </c>
      <c r="E98" s="525"/>
      <c r="F98" s="431">
        <f>LongTest!F96</f>
        <v>6.2375976875488242</v>
      </c>
      <c r="G98" s="431">
        <f>LongTest!G96</f>
        <v>3.0075976875488246</v>
      </c>
      <c r="H98" s="524"/>
      <c r="I98" s="529"/>
      <c r="J98" s="530"/>
    </row>
    <row r="99" spans="1:10" ht="24.95" customHeight="1">
      <c r="A99" s="453"/>
      <c r="B99" s="430"/>
      <c r="C99" s="430">
        <f t="shared" si="6"/>
        <v>45492.541666666672</v>
      </c>
      <c r="D99" s="524">
        <v>120</v>
      </c>
      <c r="E99" s="525"/>
      <c r="F99" s="431">
        <f>LongTest!F97</f>
        <v>6.0101049385696026</v>
      </c>
      <c r="G99" s="431">
        <f>LongTest!G97</f>
        <v>2.7801049385696022</v>
      </c>
      <c r="H99" s="524"/>
      <c r="I99" s="529"/>
      <c r="J99" s="530"/>
    </row>
    <row r="100" spans="1:10" ht="24.95" customHeight="1">
      <c r="A100" s="453"/>
      <c r="B100" s="430"/>
      <c r="C100" s="430">
        <f t="shared" si="6"/>
        <v>45492.583333333336</v>
      </c>
      <c r="D100" s="524">
        <v>180</v>
      </c>
      <c r="E100" s="525"/>
      <c r="F100" s="431">
        <f>LongTest!F98</f>
        <v>5.9381642757882123</v>
      </c>
      <c r="G100" s="431">
        <f>LongTest!G98</f>
        <v>2.7081642757882127</v>
      </c>
      <c r="H100" s="524"/>
      <c r="I100" s="529"/>
      <c r="J100" s="530"/>
    </row>
    <row r="101" spans="1:10" ht="24.95" customHeight="1">
      <c r="A101" s="453"/>
      <c r="B101" s="430"/>
      <c r="C101" s="430">
        <f t="shared" si="6"/>
        <v>45492.625</v>
      </c>
      <c r="D101" s="524">
        <v>240</v>
      </c>
      <c r="E101" s="525"/>
      <c r="F101" s="431">
        <f>LongTest!F99</f>
        <v>5.5439709308588219</v>
      </c>
      <c r="G101" s="431">
        <f>LongTest!G99</f>
        <v>2.3139709308588219</v>
      </c>
      <c r="H101" s="524"/>
      <c r="I101" s="529"/>
      <c r="J101" s="530"/>
    </row>
    <row r="102" spans="1:10" ht="24.95" customHeight="1">
      <c r="A102" s="453"/>
      <c r="B102" s="430"/>
      <c r="C102" s="430">
        <f t="shared" si="6"/>
        <v>45492.666666666672</v>
      </c>
      <c r="D102" s="524">
        <v>300</v>
      </c>
      <c r="E102" s="525"/>
      <c r="F102" s="431">
        <f>LongTest!F100</f>
        <v>5.2071553434664608</v>
      </c>
      <c r="G102" s="431">
        <f>LongTest!G100</f>
        <v>1.9771553434664608</v>
      </c>
      <c r="H102" s="524"/>
      <c r="I102" s="529"/>
      <c r="J102" s="530"/>
    </row>
    <row r="103" spans="1:10" ht="24.95" customHeight="1" thickBot="1">
      <c r="A103" s="457"/>
      <c r="B103" s="458"/>
      <c r="C103" s="430">
        <f t="shared" si="6"/>
        <v>45492.708333333336</v>
      </c>
      <c r="D103" s="531">
        <v>360</v>
      </c>
      <c r="E103" s="532"/>
      <c r="F103" s="459">
        <f>LongTest!F101</f>
        <v>4.91936575652967</v>
      </c>
      <c r="G103" s="459">
        <f>LongTest!G101</f>
        <v>1.6893657565296705</v>
      </c>
      <c r="H103" s="531" t="s">
        <v>326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C77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4"/>
      <c r="E56" s="525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4"/>
      <c r="E57" s="525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45491.459027777782</v>
      </c>
      <c r="D58" s="524">
        <v>1</v>
      </c>
      <c r="E58" s="525"/>
      <c r="F58" s="431">
        <f>LongTest!F78</f>
        <v>12.762610608192302</v>
      </c>
      <c r="G58" s="431">
        <f>LongTest!G78</f>
        <v>9.5326106081923019</v>
      </c>
      <c r="H58" s="526" t="s">
        <v>191</v>
      </c>
      <c r="I58" s="527"/>
      <c r="J58" s="528"/>
    </row>
    <row r="59" spans="1:10" ht="24.95" customHeight="1">
      <c r="A59" s="453"/>
      <c r="B59" s="430"/>
      <c r="C59" s="430">
        <f t="shared" ref="C59:C77" si="1">$C$4+(D59+1440)/1440</f>
        <v>45491.459722222222</v>
      </c>
      <c r="D59" s="524">
        <v>2</v>
      </c>
      <c r="E59" s="525"/>
      <c r="F59" s="431">
        <f>LongTest!F79</f>
        <v>12.04157009097686</v>
      </c>
      <c r="G59" s="431">
        <f>LongTest!G79</f>
        <v>8.8115700909768595</v>
      </c>
      <c r="H59" s="524"/>
      <c r="I59" s="529"/>
      <c r="J59" s="530"/>
    </row>
    <row r="60" spans="1:10" ht="24.95" customHeight="1">
      <c r="A60" s="453"/>
      <c r="B60" s="430"/>
      <c r="C60" s="430">
        <f t="shared" si="1"/>
        <v>45491.460416666669</v>
      </c>
      <c r="D60" s="524">
        <v>3</v>
      </c>
      <c r="E60" s="525"/>
      <c r="F60" s="431">
        <f>LongTest!F80</f>
        <v>11.375068613362968</v>
      </c>
      <c r="G60" s="431">
        <f>LongTest!G80</f>
        <v>8.1450686133629677</v>
      </c>
      <c r="H60" s="524"/>
      <c r="I60" s="529"/>
      <c r="J60" s="530"/>
    </row>
    <row r="61" spans="1:10" ht="24.95" customHeight="1">
      <c r="A61" s="453"/>
      <c r="B61" s="430"/>
      <c r="C61" s="430">
        <f t="shared" si="1"/>
        <v>45491.461111111115</v>
      </c>
      <c r="D61" s="524">
        <v>4</v>
      </c>
      <c r="E61" s="525"/>
      <c r="F61" s="431">
        <f>LongTest!F81</f>
        <v>10.758980877576581</v>
      </c>
      <c r="G61" s="431">
        <f>LongTest!G81</f>
        <v>7.528980877576581</v>
      </c>
      <c r="H61" s="524"/>
      <c r="I61" s="529"/>
      <c r="J61" s="530"/>
    </row>
    <row r="62" spans="1:10" ht="24.95" customHeight="1">
      <c r="A62" s="453"/>
      <c r="B62" s="430"/>
      <c r="C62" s="430">
        <f t="shared" si="1"/>
        <v>45491.461805555555</v>
      </c>
      <c r="D62" s="524">
        <v>5</v>
      </c>
      <c r="E62" s="525"/>
      <c r="F62" s="431">
        <f>LongTest!F82</f>
        <v>10.189493620706195</v>
      </c>
      <c r="G62" s="431">
        <f>LongTest!G82</f>
        <v>6.9594936207061942</v>
      </c>
      <c r="H62" s="524"/>
      <c r="I62" s="529"/>
      <c r="J62" s="530"/>
    </row>
    <row r="63" spans="1:10" ht="24.95" customHeight="1">
      <c r="A63" s="453"/>
      <c r="B63" s="430"/>
      <c r="C63" s="430">
        <f t="shared" si="1"/>
        <v>45491.465277777781</v>
      </c>
      <c r="D63" s="524">
        <v>10</v>
      </c>
      <c r="E63" s="525"/>
      <c r="F63" s="431">
        <f>LongTest!F83</f>
        <v>8.7266993346903874</v>
      </c>
      <c r="G63" s="431">
        <f>LongTest!G83</f>
        <v>5.496699334690387</v>
      </c>
      <c r="H63" s="524"/>
      <c r="I63" s="529"/>
      <c r="J63" s="530"/>
    </row>
    <row r="64" spans="1:10" ht="24.95" customHeight="1">
      <c r="A64" s="453"/>
      <c r="B64" s="430"/>
      <c r="C64" s="430">
        <f t="shared" si="1"/>
        <v>45491.46875</v>
      </c>
      <c r="D64" s="524">
        <v>15</v>
      </c>
      <c r="E64" s="525"/>
      <c r="F64" s="431">
        <f>LongTest!F84</f>
        <v>8.4459042865162424</v>
      </c>
      <c r="G64" s="431">
        <f>LongTest!G84</f>
        <v>5.2159042865162419</v>
      </c>
      <c r="H64" s="524"/>
      <c r="I64" s="529"/>
      <c r="J64" s="530"/>
    </row>
    <row r="65" spans="1:10" ht="24.95" customHeight="1">
      <c r="A65" s="453"/>
      <c r="B65" s="430"/>
      <c r="C65" s="430">
        <f t="shared" si="1"/>
        <v>45491.472222222226</v>
      </c>
      <c r="D65" s="524">
        <v>20</v>
      </c>
      <c r="E65" s="525"/>
      <c r="F65" s="431">
        <f>LongTest!F85</f>
        <v>7.686690831145274</v>
      </c>
      <c r="G65" s="431">
        <f>LongTest!G85</f>
        <v>4.4566908311452735</v>
      </c>
      <c r="H65" s="524"/>
      <c r="I65" s="529"/>
      <c r="J65" s="530"/>
    </row>
    <row r="66" spans="1:10" ht="24.95" customHeight="1">
      <c r="A66" s="453"/>
      <c r="B66" s="430"/>
      <c r="C66" s="430">
        <f t="shared" si="1"/>
        <v>45491.475694444445</v>
      </c>
      <c r="D66" s="524">
        <v>25</v>
      </c>
      <c r="E66" s="525"/>
      <c r="F66" s="431">
        <f>LongTest!F86</f>
        <v>7.3495896115489696</v>
      </c>
      <c r="G66" s="431">
        <f>LongTest!G86</f>
        <v>4.1195896115489692</v>
      </c>
      <c r="H66" s="524"/>
      <c r="I66" s="529"/>
      <c r="J66" s="530"/>
    </row>
    <row r="67" spans="1:10" ht="24.95" customHeight="1">
      <c r="A67" s="453"/>
      <c r="B67" s="430"/>
      <c r="C67" s="430">
        <f t="shared" si="1"/>
        <v>45491.479166666672</v>
      </c>
      <c r="D67" s="524">
        <v>30</v>
      </c>
      <c r="E67" s="525"/>
      <c r="F67" s="431">
        <f>LongTest!F87</f>
        <v>7.0379865107495014</v>
      </c>
      <c r="G67" s="431">
        <f>LongTest!G87</f>
        <v>3.807986510749501</v>
      </c>
      <c r="H67" s="524"/>
      <c r="I67" s="529"/>
      <c r="J67" s="530"/>
    </row>
    <row r="68" spans="1:10" ht="24.95" customHeight="1">
      <c r="A68" s="453"/>
      <c r="B68" s="430"/>
      <c r="C68" s="430">
        <f t="shared" si="1"/>
        <v>45491.482638888891</v>
      </c>
      <c r="D68" s="524">
        <v>35</v>
      </c>
      <c r="E68" s="525"/>
      <c r="F68" s="431">
        <f>LongTest!F88</f>
        <v>6.9394473981982809</v>
      </c>
      <c r="G68" s="431">
        <f>LongTest!G88</f>
        <v>3.7094473981982814</v>
      </c>
      <c r="H68" s="524"/>
      <c r="I68" s="529"/>
      <c r="J68" s="530"/>
    </row>
    <row r="69" spans="1:10" ht="24.95" customHeight="1">
      <c r="A69" s="453"/>
      <c r="B69" s="430"/>
      <c r="C69" s="430">
        <f t="shared" si="1"/>
        <v>45491.486111111117</v>
      </c>
      <c r="D69" s="524">
        <v>40</v>
      </c>
      <c r="E69" s="525"/>
      <c r="F69" s="431">
        <f>LongTest!F89</f>
        <v>6.8434581782674719</v>
      </c>
      <c r="G69" s="431">
        <f>LongTest!G89</f>
        <v>3.613458178267472</v>
      </c>
      <c r="H69" s="524"/>
      <c r="I69" s="529"/>
      <c r="J69" s="530"/>
    </row>
    <row r="70" spans="1:10" ht="24.95" customHeight="1">
      <c r="A70" s="453"/>
      <c r="B70" s="430"/>
      <c r="C70" s="430">
        <f t="shared" si="1"/>
        <v>45491.489583333336</v>
      </c>
      <c r="D70" s="524">
        <v>45</v>
      </c>
      <c r="E70" s="525"/>
      <c r="F70" s="431">
        <f>LongTest!F90</f>
        <v>6.7499528674891147</v>
      </c>
      <c r="G70" s="431">
        <f>LongTest!G90</f>
        <v>3.5199528674891147</v>
      </c>
      <c r="H70" s="524"/>
      <c r="I70" s="529"/>
      <c r="J70" s="530"/>
    </row>
    <row r="71" spans="1:10" ht="24.95" customHeight="1">
      <c r="A71" s="453"/>
      <c r="B71" s="430"/>
      <c r="C71" s="430">
        <f t="shared" si="1"/>
        <v>45491.493055555555</v>
      </c>
      <c r="D71" s="524">
        <v>50</v>
      </c>
      <c r="E71" s="525"/>
      <c r="F71" s="431">
        <f>LongTest!F91</f>
        <v>6.6588671898467773</v>
      </c>
      <c r="G71" s="431">
        <f>LongTest!G91</f>
        <v>3.4288671898467773</v>
      </c>
      <c r="H71" s="524"/>
      <c r="I71" s="529"/>
      <c r="J71" s="530"/>
    </row>
    <row r="72" spans="1:10" ht="24.95" customHeight="1">
      <c r="A72" s="453"/>
      <c r="B72" s="430"/>
      <c r="C72" s="430">
        <f t="shared" si="1"/>
        <v>45491.496527777781</v>
      </c>
      <c r="D72" s="524">
        <v>55</v>
      </c>
      <c r="E72" s="525"/>
      <c r="F72" s="431">
        <f>LongTest!F92</f>
        <v>6.5701385325918977</v>
      </c>
      <c r="G72" s="431">
        <f>LongTest!G92</f>
        <v>3.3401385325918982</v>
      </c>
      <c r="H72" s="524"/>
      <c r="I72" s="529"/>
      <c r="J72" s="530"/>
    </row>
    <row r="73" spans="1:10" ht="24.95" customHeight="1">
      <c r="A73" s="453"/>
      <c r="B73" s="430"/>
      <c r="C73" s="430">
        <f t="shared" si="1"/>
        <v>45491.5</v>
      </c>
      <c r="D73" s="524">
        <v>60</v>
      </c>
      <c r="E73" s="525"/>
      <c r="F73" s="431">
        <f>LongTest!F93</f>
        <v>6.4837059032034716</v>
      </c>
      <c r="G73" s="431">
        <f>LongTest!G93</f>
        <v>3.2537059032034716</v>
      </c>
      <c r="H73" s="524"/>
      <c r="I73" s="529"/>
      <c r="J73" s="530"/>
    </row>
    <row r="74" spans="1:10" ht="24.95" customHeight="1">
      <c r="A74" s="453"/>
      <c r="B74" s="430"/>
      <c r="C74" s="430">
        <f t="shared" si="1"/>
        <v>45491.510416666672</v>
      </c>
      <c r="D74" s="524">
        <v>75</v>
      </c>
      <c r="E74" s="525"/>
      <c r="F74" s="431">
        <f>LongTest!F94</f>
        <v>6.3995098874614857</v>
      </c>
      <c r="G74" s="431">
        <f>LongTest!G94</f>
        <v>3.1695098874614858</v>
      </c>
      <c r="H74" s="524"/>
      <c r="I74" s="529"/>
      <c r="J74" s="530"/>
    </row>
    <row r="75" spans="1:10" ht="24.95" customHeight="1">
      <c r="A75" s="453"/>
      <c r="B75" s="430"/>
      <c r="C75" s="430">
        <f t="shared" si="1"/>
        <v>45491.520833333336</v>
      </c>
      <c r="D75" s="524">
        <v>90</v>
      </c>
      <c r="E75" s="525"/>
      <c r="F75" s="431">
        <f>LongTest!F95</f>
        <v>6.3174926086052903</v>
      </c>
      <c r="G75" s="431">
        <f>LongTest!G95</f>
        <v>3.0874926086052907</v>
      </c>
      <c r="H75" s="524"/>
      <c r="I75" s="529"/>
      <c r="J75" s="530"/>
    </row>
    <row r="76" spans="1:10" ht="24.95" customHeight="1">
      <c r="A76" s="453"/>
      <c r="B76" s="430"/>
      <c r="C76" s="430">
        <f t="shared" si="1"/>
        <v>45491.53125</v>
      </c>
      <c r="D76" s="524">
        <v>105</v>
      </c>
      <c r="E76" s="525"/>
      <c r="F76" s="431">
        <f>LongTest!F96</f>
        <v>6.2375976875488242</v>
      </c>
      <c r="G76" s="431">
        <f>LongTest!G96</f>
        <v>3.0075976875488246</v>
      </c>
      <c r="H76" s="524"/>
      <c r="I76" s="529"/>
      <c r="J76" s="530"/>
    </row>
    <row r="77" spans="1:10" ht="24.95" customHeight="1">
      <c r="A77" s="453"/>
      <c r="B77" s="430"/>
      <c r="C77" s="430">
        <f t="shared" si="1"/>
        <v>45491.541666666672</v>
      </c>
      <c r="D77" s="524">
        <v>120</v>
      </c>
      <c r="E77" s="525"/>
      <c r="F77" s="431">
        <f>LongTest!F97</f>
        <v>6.0101049385696026</v>
      </c>
      <c r="G77" s="431">
        <f>LongTest!G97</f>
        <v>2.7801049385696022</v>
      </c>
      <c r="H77" s="524" t="s">
        <v>332</v>
      </c>
      <c r="I77" s="529"/>
      <c r="J77" s="530"/>
    </row>
    <row r="78" spans="1:10" ht="24.95" customHeight="1">
      <c r="A78" s="453"/>
      <c r="B78" s="430"/>
      <c r="C78" s="430"/>
      <c r="D78" s="524"/>
      <c r="E78" s="525"/>
      <c r="F78" s="431"/>
      <c r="G78" s="431"/>
      <c r="H78" s="524"/>
      <c r="I78" s="529"/>
      <c r="J78" s="530"/>
    </row>
    <row r="79" spans="1:10" ht="24.95" customHeight="1">
      <c r="A79" s="453"/>
      <c r="B79" s="430"/>
      <c r="C79" s="430"/>
      <c r="D79" s="524"/>
      <c r="E79" s="525"/>
      <c r="F79" s="431"/>
      <c r="G79" s="431"/>
      <c r="H79" s="524"/>
      <c r="I79" s="529"/>
      <c r="J79" s="530"/>
    </row>
    <row r="80" spans="1:10" ht="24.95" customHeight="1">
      <c r="A80" s="453"/>
      <c r="B80" s="430"/>
      <c r="C80" s="430"/>
      <c r="D80" s="524"/>
      <c r="E80" s="525"/>
      <c r="F80" s="431"/>
      <c r="G80" s="431"/>
      <c r="H80" s="524"/>
      <c r="I80" s="529"/>
      <c r="J80" s="530"/>
    </row>
    <row r="81" spans="1:10" ht="24.95" customHeight="1" thickBot="1">
      <c r="A81" s="457"/>
      <c r="B81" s="458"/>
      <c r="C81" s="458"/>
      <c r="D81" s="531"/>
      <c r="E81" s="532"/>
      <c r="F81" s="459"/>
      <c r="G81" s="459"/>
      <c r="H81" s="531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6" t="s">
        <v>323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1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1" ht="24.95" customHeight="1">
      <c r="A4" s="542" t="s">
        <v>300</v>
      </c>
      <c r="B4" s="543"/>
      <c r="C4" s="544">
        <f>StepTest!C12</f>
        <v>45489.458333333336</v>
      </c>
      <c r="D4" s="545"/>
      <c r="E4" s="545"/>
      <c r="F4" s="545"/>
      <c r="G4" s="545"/>
      <c r="H4" s="545"/>
      <c r="I4" s="545"/>
      <c r="J4" s="546"/>
    </row>
    <row r="5" spans="1:11" ht="24.95" customHeight="1">
      <c r="A5" s="542" t="s">
        <v>301</v>
      </c>
      <c r="B5" s="543"/>
      <c r="C5" s="544">
        <f>StepTest!C51</f>
        <v>45489.875</v>
      </c>
      <c r="D5" s="545"/>
      <c r="E5" s="545"/>
      <c r="F5" s="545"/>
      <c r="G5" s="545"/>
      <c r="H5" s="545"/>
      <c r="I5" s="545"/>
      <c r="J5" s="546"/>
    </row>
    <row r="6" spans="1:11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524"/>
      <c r="H7" s="529"/>
      <c r="I7" s="529"/>
      <c r="J7" s="530"/>
    </row>
    <row r="8" spans="1:11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331</v>
      </c>
      <c r="H8" s="526">
        <f>LongTest!G7</f>
        <v>100</v>
      </c>
      <c r="I8" s="543"/>
      <c r="J8" s="427" t="s">
        <v>304</v>
      </c>
    </row>
    <row r="9" spans="1:11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324</v>
      </c>
      <c r="H9" s="526">
        <f>Input!M51</f>
        <v>147</v>
      </c>
      <c r="I9" s="543"/>
      <c r="J9" s="427" t="s">
        <v>312</v>
      </c>
    </row>
    <row r="10" spans="1:11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1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  <c r="K11" s="460"/>
    </row>
    <row r="12" spans="1:11" ht="24.95" customHeight="1">
      <c r="A12" s="428">
        <v>1</v>
      </c>
      <c r="B12" s="429">
        <f>Input!D20</f>
        <v>92</v>
      </c>
      <c r="C12" s="430">
        <f t="shared" ref="C12:C51" si="0">$C$4+D12/1440</f>
        <v>45489.459027777782</v>
      </c>
      <c r="D12" s="533">
        <v>1</v>
      </c>
      <c r="E12" s="533"/>
      <c r="F12" s="431">
        <f>StepTest!F12</f>
        <v>4.2300000000000004</v>
      </c>
      <c r="G12" s="431">
        <f>StepTest!G12</f>
        <v>1</v>
      </c>
      <c r="H12" s="557"/>
      <c r="I12" s="558"/>
      <c r="J12" s="559"/>
    </row>
    <row r="13" spans="1:11" ht="24.95" customHeight="1">
      <c r="A13" s="428"/>
      <c r="B13" s="426"/>
      <c r="C13" s="430">
        <f t="shared" si="0"/>
        <v>45489.459722222222</v>
      </c>
      <c r="D13" s="533">
        <v>2</v>
      </c>
      <c r="E13" s="533"/>
      <c r="F13" s="431">
        <f>StepTest!F13</f>
        <v>4.92</v>
      </c>
      <c r="G13" s="431">
        <f>StepTest!G13</f>
        <v>1.69</v>
      </c>
      <c r="H13" s="557"/>
      <c r="I13" s="558"/>
      <c r="J13" s="559"/>
    </row>
    <row r="14" spans="1:11" ht="24.95" customHeight="1">
      <c r="A14" s="428"/>
      <c r="B14" s="426"/>
      <c r="C14" s="430">
        <f t="shared" si="0"/>
        <v>45489.460416666669</v>
      </c>
      <c r="D14" s="533">
        <v>3</v>
      </c>
      <c r="E14" s="533"/>
      <c r="F14" s="431">
        <f>StepTest!F14</f>
        <v>5.32</v>
      </c>
      <c r="G14" s="431">
        <f>StepTest!G14</f>
        <v>2.09</v>
      </c>
      <c r="H14" s="557"/>
      <c r="I14" s="558"/>
      <c r="J14" s="559"/>
    </row>
    <row r="15" spans="1:11" ht="24.95" customHeight="1">
      <c r="A15" s="428"/>
      <c r="B15" s="426"/>
      <c r="C15" s="430">
        <f t="shared" si="0"/>
        <v>45489.461111111115</v>
      </c>
      <c r="D15" s="533">
        <v>4</v>
      </c>
      <c r="E15" s="533"/>
      <c r="F15" s="431">
        <f>StepTest!F15</f>
        <v>5.6</v>
      </c>
      <c r="G15" s="431">
        <f>StepTest!G15</f>
        <v>2.37</v>
      </c>
      <c r="H15" s="557"/>
      <c r="I15" s="558"/>
      <c r="J15" s="559"/>
    </row>
    <row r="16" spans="1:11" ht="24.95" customHeight="1">
      <c r="A16" s="428"/>
      <c r="B16" s="426"/>
      <c r="C16" s="430">
        <f t="shared" si="0"/>
        <v>45489.461805555555</v>
      </c>
      <c r="D16" s="533">
        <v>5</v>
      </c>
      <c r="E16" s="533"/>
      <c r="F16" s="431">
        <f>StepTest!F16</f>
        <v>5.83</v>
      </c>
      <c r="G16" s="431">
        <f>StepTest!G16</f>
        <v>2.6</v>
      </c>
      <c r="H16" s="524"/>
      <c r="I16" s="529"/>
      <c r="J16" s="530"/>
    </row>
    <row r="17" spans="1:10" ht="24.95" customHeight="1">
      <c r="A17" s="428"/>
      <c r="B17" s="426"/>
      <c r="C17" s="430">
        <f t="shared" si="0"/>
        <v>45489.465277777781</v>
      </c>
      <c r="D17" s="533">
        <v>10</v>
      </c>
      <c r="E17" s="533"/>
      <c r="F17" s="431">
        <f>StepTest!F17</f>
        <v>6.51</v>
      </c>
      <c r="G17" s="431">
        <f>StepTest!G17</f>
        <v>3.28</v>
      </c>
      <c r="H17" s="524"/>
      <c r="I17" s="529"/>
      <c r="J17" s="530"/>
    </row>
    <row r="18" spans="1:10" ht="24.95" customHeight="1">
      <c r="A18" s="428"/>
      <c r="B18" s="426"/>
      <c r="C18" s="430">
        <f t="shared" si="0"/>
        <v>45489.46875</v>
      </c>
      <c r="D18" s="533">
        <v>15</v>
      </c>
      <c r="E18" s="533"/>
      <c r="F18" s="431">
        <f>StepTest!F18</f>
        <v>6.91</v>
      </c>
      <c r="G18" s="431">
        <f>StepTest!G18</f>
        <v>3.68</v>
      </c>
      <c r="H18" s="524"/>
      <c r="I18" s="529"/>
      <c r="J18" s="530"/>
    </row>
    <row r="19" spans="1:10" ht="24.95" customHeight="1">
      <c r="A19" s="428"/>
      <c r="B19" s="426"/>
      <c r="C19" s="430">
        <f t="shared" si="0"/>
        <v>45489.472222222226</v>
      </c>
      <c r="D19" s="533">
        <v>20</v>
      </c>
      <c r="E19" s="533"/>
      <c r="F19" s="431">
        <f>StepTest!F19</f>
        <v>7.2</v>
      </c>
      <c r="G19" s="431">
        <f>StepTest!G19</f>
        <v>3.97</v>
      </c>
      <c r="H19" s="524"/>
      <c r="I19" s="529"/>
      <c r="J19" s="530"/>
    </row>
    <row r="20" spans="1:10" ht="24.95" customHeight="1">
      <c r="A20" s="428"/>
      <c r="B20" s="426"/>
      <c r="C20" s="430">
        <f t="shared" si="0"/>
        <v>45489.475694444445</v>
      </c>
      <c r="D20" s="533">
        <v>25</v>
      </c>
      <c r="E20" s="533"/>
      <c r="F20" s="431">
        <f>StepTest!F20</f>
        <v>7.42</v>
      </c>
      <c r="G20" s="431">
        <f>StepTest!G20</f>
        <v>4.1900000000000004</v>
      </c>
      <c r="H20" s="524"/>
      <c r="I20" s="529"/>
      <c r="J20" s="530"/>
    </row>
    <row r="21" spans="1:10" ht="24.95" customHeight="1">
      <c r="A21" s="428"/>
      <c r="B21" s="426"/>
      <c r="C21" s="430">
        <f t="shared" si="0"/>
        <v>45489.479166666672</v>
      </c>
      <c r="D21" s="533">
        <v>30</v>
      </c>
      <c r="E21" s="533"/>
      <c r="F21" s="431">
        <f>StepTest!F21</f>
        <v>7.6</v>
      </c>
      <c r="G21" s="431">
        <f>StepTest!G21</f>
        <v>4.37</v>
      </c>
      <c r="H21" s="524"/>
      <c r="I21" s="529"/>
      <c r="J21" s="530"/>
    </row>
    <row r="22" spans="1:10" ht="24.95" customHeight="1">
      <c r="A22" s="428"/>
      <c r="B22" s="426"/>
      <c r="C22" s="430">
        <f t="shared" si="0"/>
        <v>45489.482638888891</v>
      </c>
      <c r="D22" s="533">
        <v>35</v>
      </c>
      <c r="E22" s="533"/>
      <c r="F22" s="431">
        <f>StepTest!F22</f>
        <v>7.75</v>
      </c>
      <c r="G22" s="431">
        <f>StepTest!G22</f>
        <v>4.5199999999999996</v>
      </c>
      <c r="H22" s="524"/>
      <c r="I22" s="529"/>
      <c r="J22" s="530"/>
    </row>
    <row r="23" spans="1:10" ht="24.95" customHeight="1">
      <c r="A23" s="428"/>
      <c r="B23" s="426"/>
      <c r="C23" s="430">
        <f t="shared" si="0"/>
        <v>45489.486111111117</v>
      </c>
      <c r="D23" s="533">
        <v>40</v>
      </c>
      <c r="E23" s="533"/>
      <c r="F23" s="431">
        <f>StepTest!F23</f>
        <v>7.8900000000000006</v>
      </c>
      <c r="G23" s="431">
        <f>StepTest!G23</f>
        <v>4.66</v>
      </c>
      <c r="H23" s="524"/>
      <c r="I23" s="529"/>
      <c r="J23" s="530"/>
    </row>
    <row r="24" spans="1:10" ht="24.95" customHeight="1">
      <c r="A24" s="428"/>
      <c r="B24" s="426"/>
      <c r="C24" s="430">
        <f t="shared" si="0"/>
        <v>45489.489583333336</v>
      </c>
      <c r="D24" s="533">
        <v>45</v>
      </c>
      <c r="E24" s="533"/>
      <c r="F24" s="431">
        <f>StepTest!F24</f>
        <v>8</v>
      </c>
      <c r="G24" s="431">
        <f>StepTest!G24</f>
        <v>4.7699999999999996</v>
      </c>
      <c r="H24" s="524"/>
      <c r="I24" s="529"/>
      <c r="J24" s="530"/>
    </row>
    <row r="25" spans="1:10" ht="24.95" customHeight="1">
      <c r="A25" s="428"/>
      <c r="B25" s="426"/>
      <c r="C25" s="430">
        <f t="shared" si="0"/>
        <v>45489.493055555555</v>
      </c>
      <c r="D25" s="533">
        <v>50</v>
      </c>
      <c r="E25" s="533"/>
      <c r="F25" s="431">
        <f>StepTest!F25</f>
        <v>8.11</v>
      </c>
      <c r="G25" s="431">
        <f>StepTest!G25</f>
        <v>4.88</v>
      </c>
      <c r="H25" s="524"/>
      <c r="I25" s="529"/>
      <c r="J25" s="530"/>
    </row>
    <row r="26" spans="1:10" ht="24.95" customHeight="1">
      <c r="A26" s="428"/>
      <c r="B26" s="426"/>
      <c r="C26" s="430">
        <f t="shared" si="0"/>
        <v>45489.496527777781</v>
      </c>
      <c r="D26" s="533">
        <v>55</v>
      </c>
      <c r="E26" s="533"/>
      <c r="F26" s="431">
        <f>StepTest!F26</f>
        <v>8.1999999999999993</v>
      </c>
      <c r="G26" s="431">
        <f>StepTest!G26</f>
        <v>4.97</v>
      </c>
      <c r="H26" s="524"/>
      <c r="I26" s="529"/>
      <c r="J26" s="530"/>
    </row>
    <row r="27" spans="1:10" ht="24.95" customHeight="1">
      <c r="A27" s="428"/>
      <c r="B27" s="426"/>
      <c r="C27" s="430">
        <f t="shared" si="0"/>
        <v>45489.5</v>
      </c>
      <c r="D27" s="533">
        <v>60</v>
      </c>
      <c r="E27" s="533"/>
      <c r="F27" s="431">
        <f>StepTest!F27</f>
        <v>8.2899999999999991</v>
      </c>
      <c r="G27" s="431">
        <f>StepTest!G27</f>
        <v>5.0599999999999996</v>
      </c>
      <c r="H27" s="524"/>
      <c r="I27" s="529"/>
      <c r="J27" s="530"/>
    </row>
    <row r="28" spans="1:10" ht="24.95" customHeight="1">
      <c r="A28" s="428"/>
      <c r="B28" s="426"/>
      <c r="C28" s="430">
        <f t="shared" si="0"/>
        <v>45489.510416666672</v>
      </c>
      <c r="D28" s="533">
        <v>75</v>
      </c>
      <c r="E28" s="533"/>
      <c r="F28" s="431">
        <f>StepTest!F28</f>
        <v>8.51</v>
      </c>
      <c r="G28" s="431">
        <f>StepTest!G28</f>
        <v>5.28</v>
      </c>
      <c r="H28" s="524"/>
      <c r="I28" s="529"/>
      <c r="J28" s="530"/>
    </row>
    <row r="29" spans="1:10" ht="24.95" customHeight="1">
      <c r="A29" s="428"/>
      <c r="B29" s="426"/>
      <c r="C29" s="430">
        <f t="shared" si="0"/>
        <v>45489.520833333336</v>
      </c>
      <c r="D29" s="533">
        <v>90</v>
      </c>
      <c r="E29" s="533"/>
      <c r="F29" s="431">
        <f>StepTest!F29</f>
        <v>8.69</v>
      </c>
      <c r="G29" s="431">
        <f>StepTest!G29</f>
        <v>5.46</v>
      </c>
      <c r="H29" s="524"/>
      <c r="I29" s="529"/>
      <c r="J29" s="530"/>
    </row>
    <row r="30" spans="1:10" ht="24.95" customHeight="1">
      <c r="A30" s="428"/>
      <c r="B30" s="426"/>
      <c r="C30" s="430">
        <f t="shared" si="0"/>
        <v>45489.53125</v>
      </c>
      <c r="D30" s="533">
        <v>105</v>
      </c>
      <c r="E30" s="533"/>
      <c r="F30" s="431">
        <f>StepTest!F30</f>
        <v>8.84</v>
      </c>
      <c r="G30" s="431">
        <f>StepTest!G30</f>
        <v>5.61</v>
      </c>
      <c r="H30" s="524"/>
      <c r="I30" s="529"/>
      <c r="J30" s="530"/>
    </row>
    <row r="31" spans="1:10" ht="24.95" customHeight="1">
      <c r="A31" s="428"/>
      <c r="B31" s="426"/>
      <c r="C31" s="430">
        <f t="shared" si="0"/>
        <v>45489.541666666672</v>
      </c>
      <c r="D31" s="533">
        <v>120</v>
      </c>
      <c r="E31" s="533"/>
      <c r="F31" s="431">
        <f>StepTest!F31</f>
        <v>8.98</v>
      </c>
      <c r="G31" s="431">
        <f>StepTest!G31</f>
        <v>5.75</v>
      </c>
      <c r="H31" s="524"/>
      <c r="I31" s="529"/>
      <c r="J31" s="530"/>
    </row>
    <row r="32" spans="1:10" ht="24.95" customHeight="1">
      <c r="A32" s="432">
        <v>2</v>
      </c>
      <c r="B32" s="429">
        <f>Input!D21</f>
        <v>117</v>
      </c>
      <c r="C32" s="430">
        <f t="shared" si="0"/>
        <v>45489.548611111117</v>
      </c>
      <c r="D32" s="533">
        <v>130</v>
      </c>
      <c r="E32" s="533"/>
      <c r="F32" s="431">
        <f>StepTest!F32</f>
        <v>10.130000000000001</v>
      </c>
      <c r="G32" s="431">
        <f>StepTest!G32</f>
        <v>6.9</v>
      </c>
      <c r="H32" s="524"/>
      <c r="I32" s="529"/>
      <c r="J32" s="530"/>
    </row>
    <row r="33" spans="1:10" ht="24.95" customHeight="1">
      <c r="A33" s="432"/>
      <c r="B33" s="429"/>
      <c r="C33" s="430">
        <f t="shared" si="0"/>
        <v>45489.555555555555</v>
      </c>
      <c r="D33" s="533">
        <v>140</v>
      </c>
      <c r="E33" s="533"/>
      <c r="F33" s="431">
        <f>StepTest!F33</f>
        <v>10.32</v>
      </c>
      <c r="G33" s="431">
        <f>StepTest!G33</f>
        <v>7.09</v>
      </c>
      <c r="H33" s="524"/>
      <c r="I33" s="529"/>
      <c r="J33" s="530"/>
    </row>
    <row r="34" spans="1:10" ht="24.95" customHeight="1">
      <c r="A34" s="432"/>
      <c r="B34" s="429"/>
      <c r="C34" s="430">
        <f t="shared" si="0"/>
        <v>45489.5625</v>
      </c>
      <c r="D34" s="533">
        <v>150</v>
      </c>
      <c r="E34" s="533"/>
      <c r="F34" s="431">
        <f>StepTest!F34</f>
        <v>10.51</v>
      </c>
      <c r="G34" s="431">
        <f>StepTest!G34</f>
        <v>7.28</v>
      </c>
      <c r="H34" s="524"/>
      <c r="I34" s="529"/>
      <c r="J34" s="530"/>
    </row>
    <row r="35" spans="1:10" ht="24.95" customHeight="1">
      <c r="A35" s="432"/>
      <c r="B35" s="429"/>
      <c r="C35" s="430">
        <f t="shared" si="0"/>
        <v>45489.583333333336</v>
      </c>
      <c r="D35" s="533">
        <v>180</v>
      </c>
      <c r="E35" s="533"/>
      <c r="F35" s="431">
        <f>StepTest!F35</f>
        <v>10.7</v>
      </c>
      <c r="G35" s="431">
        <f>StepTest!G35</f>
        <v>7.47</v>
      </c>
      <c r="H35" s="524"/>
      <c r="I35" s="529"/>
      <c r="J35" s="530"/>
    </row>
    <row r="36" spans="1:10" ht="24.95" customHeight="1">
      <c r="A36" s="432"/>
      <c r="B36" s="429"/>
      <c r="C36" s="430">
        <f t="shared" si="0"/>
        <v>45489.625</v>
      </c>
      <c r="D36" s="533">
        <v>240</v>
      </c>
      <c r="E36" s="533"/>
      <c r="F36" s="431">
        <f>StepTest!F36</f>
        <v>10.9</v>
      </c>
      <c r="G36" s="431">
        <f>StepTest!G36</f>
        <v>7.67</v>
      </c>
      <c r="H36" s="524"/>
      <c r="I36" s="529"/>
      <c r="J36" s="530"/>
    </row>
    <row r="37" spans="1:10" ht="24.95" customHeight="1">
      <c r="A37" s="432">
        <v>3</v>
      </c>
      <c r="B37" s="429">
        <f>Input!D22</f>
        <v>142.79999999999998</v>
      </c>
      <c r="C37" s="430">
        <f t="shared" si="0"/>
        <v>45489.631944444445</v>
      </c>
      <c r="D37" s="533">
        <v>250</v>
      </c>
      <c r="E37" s="533"/>
      <c r="F37" s="431">
        <f>StepTest!F37</f>
        <v>12.190000000000001</v>
      </c>
      <c r="G37" s="431">
        <f>StepTest!G37</f>
        <v>8.9600000000000009</v>
      </c>
      <c r="H37" s="524"/>
      <c r="I37" s="529"/>
      <c r="J37" s="530"/>
    </row>
    <row r="38" spans="1:10" ht="24.95" customHeight="1">
      <c r="A38" s="432"/>
      <c r="B38" s="429"/>
      <c r="C38" s="430">
        <f t="shared" si="0"/>
        <v>45489.638888888891</v>
      </c>
      <c r="D38" s="533">
        <v>260</v>
      </c>
      <c r="E38" s="533"/>
      <c r="F38" s="431">
        <f>StepTest!F38</f>
        <v>12.41</v>
      </c>
      <c r="G38" s="431">
        <f>StepTest!G38</f>
        <v>9.18</v>
      </c>
      <c r="H38" s="524"/>
      <c r="I38" s="529"/>
      <c r="J38" s="530"/>
    </row>
    <row r="39" spans="1:10" ht="24.95" customHeight="1">
      <c r="A39" s="432"/>
      <c r="B39" s="429"/>
      <c r="C39" s="430">
        <f t="shared" si="0"/>
        <v>45489.645833333336</v>
      </c>
      <c r="D39" s="533">
        <v>270</v>
      </c>
      <c r="E39" s="533"/>
      <c r="F39" s="431">
        <f>StepTest!F39</f>
        <v>12.620000000000001</v>
      </c>
      <c r="G39" s="431">
        <f>StepTest!G39</f>
        <v>9.39</v>
      </c>
      <c r="H39" s="524"/>
      <c r="I39" s="529"/>
      <c r="J39" s="530"/>
    </row>
    <row r="40" spans="1:10" ht="24.95" customHeight="1">
      <c r="A40" s="432"/>
      <c r="B40" s="429"/>
      <c r="C40" s="430">
        <f t="shared" si="0"/>
        <v>45489.666666666672</v>
      </c>
      <c r="D40" s="533">
        <v>300</v>
      </c>
      <c r="E40" s="533"/>
      <c r="F40" s="431">
        <f>StepTest!F40</f>
        <v>12.84</v>
      </c>
      <c r="G40" s="431">
        <f>StepTest!G40</f>
        <v>9.61</v>
      </c>
      <c r="H40" s="524"/>
      <c r="I40" s="529"/>
      <c r="J40" s="530"/>
    </row>
    <row r="41" spans="1:10" ht="24.95" customHeight="1">
      <c r="A41" s="432"/>
      <c r="B41" s="429"/>
      <c r="C41" s="430">
        <f t="shared" si="0"/>
        <v>45489.708333333336</v>
      </c>
      <c r="D41" s="533">
        <v>360</v>
      </c>
      <c r="E41" s="533"/>
      <c r="F41" s="431">
        <f>StepTest!F41</f>
        <v>13.06</v>
      </c>
      <c r="G41" s="431">
        <f>StepTest!G41</f>
        <v>9.83</v>
      </c>
      <c r="H41" s="524"/>
      <c r="I41" s="529"/>
      <c r="J41" s="530"/>
    </row>
    <row r="42" spans="1:10" ht="24.95" customHeight="1">
      <c r="A42" s="432">
        <v>4</v>
      </c>
      <c r="B42" s="429">
        <f>Input!D23</f>
        <v>168</v>
      </c>
      <c r="C42" s="430">
        <f t="shared" si="0"/>
        <v>45489.715277777781</v>
      </c>
      <c r="D42" s="526">
        <v>370</v>
      </c>
      <c r="E42" s="543"/>
      <c r="F42" s="431">
        <f>StepTest!F42</f>
        <v>14.5</v>
      </c>
      <c r="G42" s="431">
        <f>StepTest!G42</f>
        <v>11.27</v>
      </c>
      <c r="H42" s="524"/>
      <c r="I42" s="529"/>
      <c r="J42" s="530"/>
    </row>
    <row r="43" spans="1:10" ht="24.95" customHeight="1">
      <c r="A43" s="432"/>
      <c r="B43" s="429"/>
      <c r="C43" s="430">
        <f t="shared" si="0"/>
        <v>45489.722222222226</v>
      </c>
      <c r="D43" s="526">
        <v>380</v>
      </c>
      <c r="E43" s="543"/>
      <c r="F43" s="431">
        <f>StepTest!F43</f>
        <v>14.74</v>
      </c>
      <c r="G43" s="431">
        <f>StepTest!G43</f>
        <v>11.51</v>
      </c>
      <c r="H43" s="524"/>
      <c r="I43" s="529"/>
      <c r="J43" s="530"/>
    </row>
    <row r="44" spans="1:10" ht="24.95" customHeight="1">
      <c r="A44" s="432"/>
      <c r="B44" s="429"/>
      <c r="C44" s="430">
        <f t="shared" si="0"/>
        <v>45489.729166666672</v>
      </c>
      <c r="D44" s="526">
        <v>390</v>
      </c>
      <c r="E44" s="543"/>
      <c r="F44" s="431">
        <f>StepTest!F44</f>
        <v>14.98</v>
      </c>
      <c r="G44" s="431">
        <f>StepTest!G44</f>
        <v>11.75</v>
      </c>
      <c r="H44" s="524"/>
      <c r="I44" s="529"/>
      <c r="J44" s="530"/>
    </row>
    <row r="45" spans="1:10" ht="24.95" customHeight="1">
      <c r="A45" s="432"/>
      <c r="B45" s="429"/>
      <c r="C45" s="430">
        <f t="shared" si="0"/>
        <v>45489.75</v>
      </c>
      <c r="D45" s="526">
        <v>420</v>
      </c>
      <c r="E45" s="543"/>
      <c r="F45" s="431">
        <f>StepTest!F45</f>
        <v>15.22</v>
      </c>
      <c r="G45" s="431">
        <f>StepTest!G45</f>
        <v>11.99</v>
      </c>
      <c r="H45" s="524"/>
      <c r="I45" s="529"/>
      <c r="J45" s="530"/>
    </row>
    <row r="46" spans="1:10" ht="24.95" customHeight="1">
      <c r="A46" s="432"/>
      <c r="B46" s="429"/>
      <c r="C46" s="430">
        <f t="shared" si="0"/>
        <v>45489.791666666672</v>
      </c>
      <c r="D46" s="526">
        <v>480</v>
      </c>
      <c r="E46" s="543"/>
      <c r="F46" s="431">
        <f>StepTest!F46</f>
        <v>15.47</v>
      </c>
      <c r="G46" s="431">
        <f>StepTest!G46</f>
        <v>12.24</v>
      </c>
      <c r="H46" s="524"/>
      <c r="I46" s="529"/>
      <c r="J46" s="530"/>
    </row>
    <row r="47" spans="1:10" ht="24.95" customHeight="1">
      <c r="A47" s="432">
        <v>5</v>
      </c>
      <c r="B47" s="429">
        <f>Input!D24</f>
        <v>193.2</v>
      </c>
      <c r="C47" s="430">
        <f t="shared" si="0"/>
        <v>45489.798611111117</v>
      </c>
      <c r="D47" s="526">
        <v>490</v>
      </c>
      <c r="E47" s="543"/>
      <c r="F47" s="431">
        <f>StepTest!F47</f>
        <v>16.93</v>
      </c>
      <c r="G47" s="431">
        <f>StepTest!G47</f>
        <v>13.7</v>
      </c>
      <c r="H47" s="524"/>
      <c r="I47" s="529"/>
      <c r="J47" s="530"/>
    </row>
    <row r="48" spans="1:10" ht="24.95" customHeight="1">
      <c r="A48" s="432"/>
      <c r="B48" s="429"/>
      <c r="C48" s="430">
        <f t="shared" si="0"/>
        <v>45489.805555555555</v>
      </c>
      <c r="D48" s="526">
        <v>500</v>
      </c>
      <c r="E48" s="543"/>
      <c r="F48" s="431">
        <f>StepTest!F48</f>
        <v>17.48</v>
      </c>
      <c r="G48" s="431">
        <f>StepTest!G48</f>
        <v>14.25</v>
      </c>
      <c r="H48" s="524"/>
      <c r="I48" s="529"/>
      <c r="J48" s="530"/>
    </row>
    <row r="49" spans="1:10" ht="24.95" customHeight="1">
      <c r="A49" s="432"/>
      <c r="B49" s="429"/>
      <c r="C49" s="430">
        <f t="shared" si="0"/>
        <v>45489.8125</v>
      </c>
      <c r="D49" s="526">
        <v>510</v>
      </c>
      <c r="E49" s="543"/>
      <c r="F49" s="431">
        <f>StepTest!F49</f>
        <v>18.03</v>
      </c>
      <c r="G49" s="431">
        <f>StepTest!G49</f>
        <v>14.8</v>
      </c>
      <c r="H49" s="524"/>
      <c r="I49" s="529"/>
      <c r="J49" s="530"/>
    </row>
    <row r="50" spans="1:10" ht="24.95" customHeight="1">
      <c r="A50" s="432"/>
      <c r="B50" s="429"/>
      <c r="C50" s="430">
        <f t="shared" si="0"/>
        <v>45489.833333333336</v>
      </c>
      <c r="D50" s="526">
        <v>540</v>
      </c>
      <c r="E50" s="543"/>
      <c r="F50" s="431">
        <f>StepTest!F50</f>
        <v>18.579999999999998</v>
      </c>
      <c r="G50" s="431">
        <f>StepTest!G50</f>
        <v>15.35</v>
      </c>
      <c r="H50" s="524"/>
      <c r="I50" s="529"/>
      <c r="J50" s="530"/>
    </row>
    <row r="51" spans="1:10" ht="24.95" customHeight="1">
      <c r="A51" s="433"/>
      <c r="B51" s="434"/>
      <c r="C51" s="435">
        <f t="shared" si="0"/>
        <v>45489.875</v>
      </c>
      <c r="D51" s="555">
        <v>600</v>
      </c>
      <c r="E51" s="556"/>
      <c r="F51" s="436">
        <f>StepTest!F51</f>
        <v>19.14</v>
      </c>
      <c r="G51" s="436">
        <f>StepTest!G51</f>
        <v>15.91</v>
      </c>
      <c r="H51" s="560"/>
      <c r="I51" s="561"/>
      <c r="J51" s="562"/>
    </row>
    <row r="52" spans="1:10" ht="24.95" customHeight="1">
      <c r="A52" s="453"/>
      <c r="B52" s="461"/>
      <c r="C52" s="461"/>
      <c r="D52" s="563"/>
      <c r="E52" s="569"/>
      <c r="F52" s="461"/>
      <c r="G52" s="461"/>
      <c r="H52" s="563"/>
      <c r="I52" s="564"/>
      <c r="J52" s="565"/>
    </row>
    <row r="53" spans="1:10" ht="24.95" customHeight="1">
      <c r="A53" s="453"/>
      <c r="B53" s="461"/>
      <c r="C53" s="461"/>
      <c r="D53" s="563"/>
      <c r="E53" s="569"/>
      <c r="F53" s="461"/>
      <c r="G53" s="461"/>
      <c r="H53" s="563"/>
      <c r="I53" s="564"/>
      <c r="J53" s="565"/>
    </row>
    <row r="54" spans="1:10" ht="24.95" customHeight="1">
      <c r="A54" s="453"/>
      <c r="B54" s="461"/>
      <c r="C54" s="461"/>
      <c r="D54" s="563"/>
      <c r="E54" s="569"/>
      <c r="F54" s="461"/>
      <c r="G54" s="461"/>
      <c r="H54" s="563"/>
      <c r="I54" s="564"/>
      <c r="J54" s="565"/>
    </row>
    <row r="55" spans="1:10" ht="24.95" customHeight="1">
      <c r="A55" s="453"/>
      <c r="B55" s="461"/>
      <c r="C55" s="461"/>
      <c r="D55" s="563"/>
      <c r="E55" s="569"/>
      <c r="F55" s="461"/>
      <c r="G55" s="461"/>
      <c r="H55" s="563"/>
      <c r="I55" s="564"/>
      <c r="J55" s="565"/>
    </row>
    <row r="56" spans="1:10" ht="24.95" customHeight="1">
      <c r="A56" s="453"/>
      <c r="B56" s="461"/>
      <c r="C56" s="461"/>
      <c r="D56" s="563"/>
      <c r="E56" s="569"/>
      <c r="F56" s="461"/>
      <c r="G56" s="461"/>
      <c r="H56" s="563"/>
      <c r="I56" s="564"/>
      <c r="J56" s="565"/>
    </row>
    <row r="57" spans="1:10" ht="24.95" customHeight="1" thickBot="1">
      <c r="A57" s="457"/>
      <c r="B57" s="462"/>
      <c r="C57" s="462"/>
      <c r="D57" s="566"/>
      <c r="E57" s="570"/>
      <c r="F57" s="462"/>
      <c r="G57" s="462"/>
      <c r="H57" s="566"/>
      <c r="I57" s="567"/>
      <c r="J57" s="5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6" t="s">
        <v>322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LongTest!C77</f>
        <v>45492.458333333336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45492.458333333336</v>
      </c>
      <c r="D79" s="560">
        <v>2880</v>
      </c>
      <c r="E79" s="571"/>
      <c r="F79" s="455">
        <f>LongTest!F77</f>
        <v>16.989999999999998</v>
      </c>
      <c r="G79" s="455">
        <f>LongTest!G77</f>
        <v>13.759999999999998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2" t="s">
        <v>327</v>
      </c>
      <c r="B80" s="573"/>
      <c r="C80" s="573"/>
      <c r="D80" s="573"/>
      <c r="E80" s="573"/>
      <c r="F80" s="573"/>
      <c r="G80" s="573"/>
      <c r="H80" s="573"/>
      <c r="I80" s="573"/>
      <c r="J80" s="5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장기28!C5</f>
        <v>45492.458333333336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LongTest!C101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45492.459027777782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45492.459722222222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45492.460416666669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45492.461111111115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45492.461805555555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45492.465277777781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45492.46875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45492.472222222226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45492.475694444445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45492.479166666672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45492.482638888891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45492.486111111117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45492.489583333336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45492.493055555555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45492.496527777781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45492.5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45492.510416666672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45492.520833333336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45492.53125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45492.541666666672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/>
      <c r="I31" s="529"/>
      <c r="J31" s="530"/>
    </row>
    <row r="32" spans="1:10" ht="24.95" customHeight="1">
      <c r="A32" s="453"/>
      <c r="B32" s="430"/>
      <c r="C32" s="430">
        <f t="shared" si="0"/>
        <v>45492.583333333336</v>
      </c>
      <c r="D32" s="524">
        <v>180</v>
      </c>
      <c r="E32" s="525"/>
      <c r="F32" s="431">
        <f>LongTest!F98</f>
        <v>5.9381642757882123</v>
      </c>
      <c r="G32" s="431">
        <f>LongTest!G98</f>
        <v>2.7081642757882127</v>
      </c>
      <c r="H32" s="524"/>
      <c r="I32" s="529"/>
      <c r="J32" s="530"/>
    </row>
    <row r="33" spans="1:10" ht="24.95" customHeight="1">
      <c r="A33" s="453"/>
      <c r="B33" s="430"/>
      <c r="C33" s="430">
        <f t="shared" si="0"/>
        <v>45492.625</v>
      </c>
      <c r="D33" s="524">
        <v>240</v>
      </c>
      <c r="E33" s="525"/>
      <c r="F33" s="431">
        <f>LongTest!F99</f>
        <v>5.5439709308588219</v>
      </c>
      <c r="G33" s="431">
        <f>LongTest!G99</f>
        <v>2.3139709308588219</v>
      </c>
      <c r="H33" s="524"/>
      <c r="I33" s="529"/>
      <c r="J33" s="530"/>
    </row>
    <row r="34" spans="1:10" ht="24.95" customHeight="1">
      <c r="A34" s="453"/>
      <c r="B34" s="430"/>
      <c r="C34" s="430">
        <f t="shared" si="0"/>
        <v>45492.666666666672</v>
      </c>
      <c r="D34" s="524">
        <v>300</v>
      </c>
      <c r="E34" s="525"/>
      <c r="F34" s="431">
        <f>LongTest!F100</f>
        <v>5.2071553434664608</v>
      </c>
      <c r="G34" s="431">
        <f>LongTest!G100</f>
        <v>1.9771553434664608</v>
      </c>
      <c r="H34" s="524"/>
      <c r="I34" s="529"/>
      <c r="J34" s="530"/>
    </row>
    <row r="35" spans="1:10" ht="24.95" customHeight="1" thickBot="1">
      <c r="A35" s="457"/>
      <c r="B35" s="458"/>
      <c r="C35" s="458">
        <f t="shared" si="0"/>
        <v>45492.708333333336</v>
      </c>
      <c r="D35" s="531">
        <v>360</v>
      </c>
      <c r="E35" s="532"/>
      <c r="F35" s="431">
        <f>LongTest!F101</f>
        <v>4.91936575652967</v>
      </c>
      <c r="G35" s="431">
        <f>LongTest!G101</f>
        <v>1.6893657565296705</v>
      </c>
      <c r="H35" s="531" t="s">
        <v>326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0" t="s">
        <v>322</v>
      </c>
      <c r="B1" s="580"/>
      <c r="C1" s="580"/>
      <c r="D1" s="580"/>
      <c r="E1" s="580"/>
      <c r="F1" s="580"/>
      <c r="G1" s="580"/>
      <c r="H1" s="580"/>
      <c r="I1" s="580"/>
      <c r="J1" s="580"/>
    </row>
    <row r="2" spans="1:10" ht="24.95" customHeight="1">
      <c r="A2" s="581" t="s">
        <v>298</v>
      </c>
      <c r="B2" s="582"/>
      <c r="C2" s="583" t="str">
        <f>LongTest!C2</f>
        <v>부여군 농업기술센터 지하수사후관리 및 영향조사 용역</v>
      </c>
      <c r="D2" s="584"/>
      <c r="E2" s="584"/>
      <c r="F2" s="584"/>
      <c r="G2" s="584"/>
      <c r="H2" s="584"/>
      <c r="I2" s="584"/>
      <c r="J2" s="585"/>
    </row>
    <row r="3" spans="1:10" ht="24.95" customHeight="1">
      <c r="A3" s="575" t="s">
        <v>299</v>
      </c>
      <c r="B3" s="576"/>
      <c r="C3" s="586" t="str">
        <f>LongTest!C4</f>
        <v>충청남도 부여군 규암면 노화리 284-1번지</v>
      </c>
      <c r="D3" s="587"/>
      <c r="E3" s="587"/>
      <c r="F3" s="587"/>
      <c r="G3" s="587"/>
      <c r="H3" s="588"/>
      <c r="I3" s="438" t="str">
        <f>Input!I54</f>
        <v>W-1</v>
      </c>
      <c r="J3" s="439" t="s">
        <v>325</v>
      </c>
    </row>
    <row r="4" spans="1:10" ht="24.95" customHeight="1">
      <c r="A4" s="575" t="s">
        <v>300</v>
      </c>
      <c r="B4" s="576"/>
      <c r="C4" s="577">
        <f>LongTest!C10</f>
        <v>45490.458333333336</v>
      </c>
      <c r="D4" s="578"/>
      <c r="E4" s="578"/>
      <c r="F4" s="578"/>
      <c r="G4" s="578"/>
      <c r="H4" s="578"/>
      <c r="I4" s="578"/>
      <c r="J4" s="579"/>
    </row>
    <row r="5" spans="1:10" ht="24.95" customHeight="1">
      <c r="A5" s="575" t="s">
        <v>301</v>
      </c>
      <c r="B5" s="576"/>
      <c r="C5" s="577">
        <f>C55</f>
        <v>45491.458333333336</v>
      </c>
      <c r="D5" s="578"/>
      <c r="E5" s="578"/>
      <c r="F5" s="578"/>
      <c r="G5" s="578"/>
      <c r="H5" s="578"/>
      <c r="I5" s="578"/>
      <c r="J5" s="579"/>
    </row>
    <row r="6" spans="1:10" ht="24.95" customHeight="1">
      <c r="A6" s="575" t="s">
        <v>297</v>
      </c>
      <c r="B6" s="576"/>
      <c r="C6" s="589" t="str">
        <f>LongTest!C5</f>
        <v>(합)청대개발</v>
      </c>
      <c r="D6" s="590"/>
      <c r="E6" s="590"/>
      <c r="F6" s="590"/>
      <c r="G6" s="590"/>
      <c r="H6" s="590"/>
      <c r="I6" s="590"/>
      <c r="J6" s="591"/>
    </row>
    <row r="7" spans="1:10" ht="24.95" customHeight="1">
      <c r="A7" s="575" t="s">
        <v>302</v>
      </c>
      <c r="B7" s="576"/>
      <c r="C7" s="592" t="s">
        <v>329</v>
      </c>
      <c r="D7" s="576"/>
      <c r="E7" s="440">
        <f>LongTest!C6</f>
        <v>1</v>
      </c>
      <c r="F7" s="440" t="s">
        <v>303</v>
      </c>
      <c r="G7" s="440" t="s">
        <v>331</v>
      </c>
      <c r="H7" s="592">
        <f>Input!I50</f>
        <v>50</v>
      </c>
      <c r="I7" s="576"/>
      <c r="J7" s="441" t="s">
        <v>304</v>
      </c>
    </row>
    <row r="8" spans="1:10" ht="24.95" customHeight="1">
      <c r="A8" s="575" t="s">
        <v>305</v>
      </c>
      <c r="B8" s="576"/>
      <c r="C8" s="592" t="s">
        <v>330</v>
      </c>
      <c r="D8" s="576"/>
      <c r="E8" s="440">
        <f>LongTest!D7</f>
        <v>150</v>
      </c>
      <c r="F8" s="440" t="s">
        <v>306</v>
      </c>
      <c r="G8" s="440" t="s">
        <v>307</v>
      </c>
      <c r="H8" s="592">
        <f>LongTest!G7</f>
        <v>100</v>
      </c>
      <c r="I8" s="576"/>
      <c r="J8" s="441" t="s">
        <v>304</v>
      </c>
    </row>
    <row r="9" spans="1:10" ht="24.95" customHeight="1">
      <c r="A9" s="575" t="s">
        <v>308</v>
      </c>
      <c r="B9" s="576"/>
      <c r="C9" s="592" t="s">
        <v>328</v>
      </c>
      <c r="D9" s="576"/>
      <c r="E9" s="440">
        <f>LongTest!D8</f>
        <v>3.23</v>
      </c>
      <c r="F9" s="440" t="s">
        <v>304</v>
      </c>
      <c r="G9" s="440" t="s">
        <v>309</v>
      </c>
      <c r="H9" s="592">
        <f>LongTest!G8</f>
        <v>16.989999999999998</v>
      </c>
      <c r="I9" s="576"/>
      <c r="J9" s="441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45490.459027777782</v>
      </c>
      <c r="D12" s="535">
        <v>1</v>
      </c>
      <c r="E12" s="535"/>
      <c r="F12" s="444">
        <f>LongTest!F10</f>
        <v>9.0083948990088434</v>
      </c>
      <c r="G12" s="444">
        <f>LongTest!G10</f>
        <v>5.778394899008843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45490.459722222222</v>
      </c>
      <c r="D13" s="535">
        <v>2</v>
      </c>
      <c r="E13" s="535"/>
      <c r="F13" s="444">
        <f>LongTest!F11</f>
        <v>9.8391777325675278</v>
      </c>
      <c r="G13" s="444">
        <f>LongTest!G11</f>
        <v>6.6091777325675274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45490.460416666669</v>
      </c>
      <c r="D14" s="535">
        <v>3</v>
      </c>
      <c r="E14" s="535"/>
      <c r="F14" s="444">
        <f>LongTest!F12</f>
        <v>10.325154536442225</v>
      </c>
      <c r="G14" s="444">
        <f>LongTest!G12</f>
        <v>7.0951545364422248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45490.461111111115</v>
      </c>
      <c r="D15" s="535">
        <v>4</v>
      </c>
      <c r="E15" s="535"/>
      <c r="F15" s="444">
        <f>LongTest!F13</f>
        <v>10.669960566126214</v>
      </c>
      <c r="G15" s="444">
        <f>LongTest!G13</f>
        <v>7.4399605661262136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45490.461805555555</v>
      </c>
      <c r="D16" s="535">
        <v>5</v>
      </c>
      <c r="E16" s="535"/>
      <c r="F16" s="444">
        <f>LongTest!F14</f>
        <v>10.937412900998886</v>
      </c>
      <c r="G16" s="444">
        <f>LongTest!G14</f>
        <v>7.7074129009988859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45490.465277777781</v>
      </c>
      <c r="D17" s="535">
        <v>10</v>
      </c>
      <c r="E17" s="535"/>
      <c r="F17" s="444">
        <f>LongTest!F15</f>
        <v>11.768195734557571</v>
      </c>
      <c r="G17" s="444">
        <f>LongTest!G15</f>
        <v>8.5381957345575703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45490.46875</v>
      </c>
      <c r="D18" s="535">
        <v>15</v>
      </c>
      <c r="E18" s="535"/>
      <c r="F18" s="444">
        <f>LongTest!F16</f>
        <v>12.254172538432268</v>
      </c>
      <c r="G18" s="444">
        <f>LongTest!G16</f>
        <v>9.0241725384322677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45490.472222222226</v>
      </c>
      <c r="D19" s="535">
        <v>20</v>
      </c>
      <c r="E19" s="535"/>
      <c r="F19" s="444">
        <f>LongTest!F17</f>
        <v>12.598978568116257</v>
      </c>
      <c r="G19" s="444">
        <f>LongTest!G17</f>
        <v>9.3689785681162565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45490.475694444445</v>
      </c>
      <c r="D20" s="535">
        <v>25</v>
      </c>
      <c r="E20" s="535"/>
      <c r="F20" s="444">
        <f>LongTest!F18</f>
        <v>12.866430902988929</v>
      </c>
      <c r="G20" s="444">
        <f>LongTest!G18</f>
        <v>9.6364309029889288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45490.479166666672</v>
      </c>
      <c r="D21" s="535">
        <v>30</v>
      </c>
      <c r="E21" s="535"/>
      <c r="F21" s="444">
        <f>LongTest!F19</f>
        <v>13.084955371990954</v>
      </c>
      <c r="G21" s="444">
        <f>LongTest!G19</f>
        <v>9.8549553719909539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45490.482638888891</v>
      </c>
      <c r="D22" s="535">
        <v>35</v>
      </c>
      <c r="E22" s="535"/>
      <c r="F22" s="444">
        <f>LongTest!F20</f>
        <v>13.269715177950825</v>
      </c>
      <c r="G22" s="444">
        <f>LongTest!G20</f>
        <v>10.039715177950825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45490.486111111117</v>
      </c>
      <c r="D23" s="535">
        <v>40</v>
      </c>
      <c r="E23" s="535"/>
      <c r="F23" s="444">
        <f>LongTest!F21</f>
        <v>13.429761401674943</v>
      </c>
      <c r="G23" s="444">
        <f>LongTest!G21</f>
        <v>10.199761401674943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45490.489583333336</v>
      </c>
      <c r="D24" s="535">
        <v>45</v>
      </c>
      <c r="E24" s="535"/>
      <c r="F24" s="444">
        <f>LongTest!F22</f>
        <v>13.570932175865652</v>
      </c>
      <c r="G24" s="444">
        <f>LongTest!G22</f>
        <v>10.340932175865651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45490.493055555555</v>
      </c>
      <c r="D25" s="535">
        <v>50</v>
      </c>
      <c r="E25" s="535"/>
      <c r="F25" s="444">
        <f>LongTest!F23</f>
        <v>13.697213736547615</v>
      </c>
      <c r="G25" s="444">
        <f>LongTest!G23</f>
        <v>10.467213736547615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45490.496527777781</v>
      </c>
      <c r="D26" s="535">
        <v>55</v>
      </c>
      <c r="E26" s="535"/>
      <c r="F26" s="444">
        <f>LongTest!F24</f>
        <v>13.811449303632891</v>
      </c>
      <c r="G26" s="444">
        <f>LongTest!G24</f>
        <v>10.58144930363289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45490.5</v>
      </c>
      <c r="D27" s="535">
        <v>60</v>
      </c>
      <c r="E27" s="535"/>
      <c r="F27" s="444">
        <f>LongTest!F25</f>
        <v>13.915738205549641</v>
      </c>
      <c r="G27" s="444">
        <f>LongTest!G25</f>
        <v>10.68573820554964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45490.510416666672</v>
      </c>
      <c r="D28" s="535">
        <v>75</v>
      </c>
      <c r="E28" s="535"/>
      <c r="F28" s="444">
        <f>LongTest!F26</f>
        <v>14.183190540422311</v>
      </c>
      <c r="G28" s="444">
        <f>LongTest!G26</f>
        <v>10.953190540422311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45490.520833333336</v>
      </c>
      <c r="D29" s="535">
        <v>90</v>
      </c>
      <c r="E29" s="535"/>
      <c r="F29" s="444">
        <f>LongTest!F27</f>
        <v>14.401715009424336</v>
      </c>
      <c r="G29" s="444">
        <f>LongTest!G27</f>
        <v>11.171715009424336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45490.53125</v>
      </c>
      <c r="D30" s="535">
        <v>105</v>
      </c>
      <c r="E30" s="535"/>
      <c r="F30" s="444">
        <f>LongTest!F28</f>
        <v>14.586474815384207</v>
      </c>
      <c r="G30" s="444">
        <f>LongTest!G28</f>
        <v>11.356474815384207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45490.541666666672</v>
      </c>
      <c r="D31" s="535">
        <v>120</v>
      </c>
      <c r="E31" s="535"/>
      <c r="F31" s="444">
        <f>LongTest!F29</f>
        <v>14.746521039108325</v>
      </c>
      <c r="G31" s="444">
        <f>LongTest!G29</f>
        <v>11.516521039108325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45490.555555555555</v>
      </c>
      <c r="D32" s="535">
        <v>140</v>
      </c>
      <c r="E32" s="535"/>
      <c r="F32" s="444">
        <f>LongTest!F30</f>
        <v>14.931280845068196</v>
      </c>
      <c r="G32" s="444">
        <f>LongTest!G30</f>
        <v>11.701280845068196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45490.569444444445</v>
      </c>
      <c r="D33" s="535">
        <v>160</v>
      </c>
      <c r="E33" s="535"/>
      <c r="F33" s="444">
        <f>LongTest!F31</f>
        <v>15.091327068792314</v>
      </c>
      <c r="G33" s="444">
        <f>LongTest!G31</f>
        <v>11.861327068792313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45490.583333333336</v>
      </c>
      <c r="D34" s="535">
        <v>180</v>
      </c>
      <c r="E34" s="535"/>
      <c r="F34" s="444">
        <f>LongTest!F32</f>
        <v>15.232497842983019</v>
      </c>
      <c r="G34" s="444">
        <f>LongTest!G32</f>
        <v>12.002497842983018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45490.625</v>
      </c>
      <c r="D35" s="535">
        <v>240</v>
      </c>
      <c r="E35" s="535"/>
      <c r="F35" s="444">
        <f>LongTest!F33</f>
        <v>15.577303872667009</v>
      </c>
      <c r="G35" s="444">
        <f>LongTest!G33</f>
        <v>12.347303872667009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45490.666666666672</v>
      </c>
      <c r="D36" s="535">
        <v>300</v>
      </c>
      <c r="E36" s="535"/>
      <c r="F36" s="444">
        <f>LongTest!F34</f>
        <v>15.844756207539682</v>
      </c>
      <c r="G36" s="444">
        <f>LongTest!G34</f>
        <v>12.614756207539681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45490.708333333336</v>
      </c>
      <c r="D37" s="535">
        <v>360</v>
      </c>
      <c r="E37" s="535"/>
      <c r="F37" s="444">
        <f>LongTest!F35</f>
        <v>16.063280676541705</v>
      </c>
      <c r="G37" s="444">
        <f>LongTest!G35</f>
        <v>12.833280676541705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45490.75</v>
      </c>
      <c r="D38" s="535">
        <v>420</v>
      </c>
      <c r="E38" s="535"/>
      <c r="F38" s="444">
        <f>LongTest!F36</f>
        <v>16.24804048250158</v>
      </c>
      <c r="G38" s="444">
        <f>LongTest!G36</f>
        <v>13.018040482501579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45490.791666666672</v>
      </c>
      <c r="D39" s="535">
        <v>480</v>
      </c>
      <c r="E39" s="535"/>
      <c r="F39" s="444">
        <f>LongTest!F37</f>
        <v>16.408086706225696</v>
      </c>
      <c r="G39" s="444">
        <f>LongTest!G37</f>
        <v>13.178086706225695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45490.833333333336</v>
      </c>
      <c r="D40" s="535">
        <v>540</v>
      </c>
      <c r="E40" s="535"/>
      <c r="F40" s="444">
        <f>LongTest!F38</f>
        <v>16.549257480416404</v>
      </c>
      <c r="G40" s="444">
        <f>LongTest!G38</f>
        <v>13.319257480416404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45490.875</v>
      </c>
      <c r="D41" s="535">
        <v>600</v>
      </c>
      <c r="E41" s="535"/>
      <c r="F41" s="444">
        <f>LongTest!F39</f>
        <v>16.675539041098368</v>
      </c>
      <c r="G41" s="444">
        <f>LongTest!G39</f>
        <v>13.445539041098368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45490.916666666672</v>
      </c>
      <c r="D42" s="535">
        <v>660</v>
      </c>
      <c r="E42" s="535"/>
      <c r="F42" s="444">
        <f>LongTest!F40</f>
        <v>16.789774608183642</v>
      </c>
      <c r="G42" s="444">
        <f>LongTest!G40</f>
        <v>13.559774608183641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45490.958333333336</v>
      </c>
      <c r="D43" s="535">
        <v>720</v>
      </c>
      <c r="E43" s="535"/>
      <c r="F43" s="444">
        <f>LongTest!F41</f>
        <v>16.894063510100391</v>
      </c>
      <c r="G43" s="444">
        <f>LongTest!G41</f>
        <v>13.664063510100391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45491</v>
      </c>
      <c r="D44" s="535">
        <v>780</v>
      </c>
      <c r="E44" s="535"/>
      <c r="F44" s="440">
        <f>LongTest!F42</f>
        <v>16.989999999999998</v>
      </c>
      <c r="G44" s="440">
        <f>LongTest!G42</f>
        <v>13.759999999999998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45491.041666666672</v>
      </c>
      <c r="D45" s="535">
        <v>840</v>
      </c>
      <c r="E45" s="535"/>
      <c r="F45" s="440">
        <f>LongTest!F43</f>
        <v>16.989999999999998</v>
      </c>
      <c r="G45" s="440">
        <f>LongTest!G43</f>
        <v>13.759999999999998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45491.083333333336</v>
      </c>
      <c r="D46" s="535">
        <v>900</v>
      </c>
      <c r="E46" s="535"/>
      <c r="F46" s="440">
        <f>LongTest!F44</f>
        <v>16.989999999999998</v>
      </c>
      <c r="G46" s="440">
        <f>LongTest!G44</f>
        <v>13.759999999999998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45491.125</v>
      </c>
      <c r="D47" s="535">
        <v>960</v>
      </c>
      <c r="E47" s="535"/>
      <c r="F47" s="440">
        <f>LongTest!F45</f>
        <v>16.989999999999998</v>
      </c>
      <c r="G47" s="440">
        <f>LongTest!G45</f>
        <v>13.759999999999998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45491.166666666672</v>
      </c>
      <c r="D48" s="535">
        <v>1020</v>
      </c>
      <c r="E48" s="535"/>
      <c r="F48" s="440">
        <f>LongTest!F46</f>
        <v>16.989999999999998</v>
      </c>
      <c r="G48" s="440">
        <f>LongTest!G46</f>
        <v>13.759999999999998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45491.208333333336</v>
      </c>
      <c r="D49" s="535">
        <v>1080</v>
      </c>
      <c r="E49" s="535"/>
      <c r="F49" s="440">
        <f>LongTest!F47</f>
        <v>16.989999999999998</v>
      </c>
      <c r="G49" s="440">
        <f>LongTest!G47</f>
        <v>13.759999999999998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45491.25</v>
      </c>
      <c r="D50" s="535">
        <v>1140</v>
      </c>
      <c r="E50" s="535"/>
      <c r="F50" s="440">
        <f>LongTest!F48</f>
        <v>16.989999999999998</v>
      </c>
      <c r="G50" s="440">
        <f>LongTest!G48</f>
        <v>13.759999999999998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45491.291666666672</v>
      </c>
      <c r="D51" s="535">
        <v>1200</v>
      </c>
      <c r="E51" s="535"/>
      <c r="F51" s="440">
        <f>LongTest!F49</f>
        <v>16.989999999999998</v>
      </c>
      <c r="G51" s="440">
        <f>LongTest!G49</f>
        <v>13.759999999999998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45491.333333333336</v>
      </c>
      <c r="D52" s="535">
        <v>1260</v>
      </c>
      <c r="E52" s="535"/>
      <c r="F52" s="440">
        <f>LongTest!F50</f>
        <v>16.989999999999998</v>
      </c>
      <c r="G52" s="440">
        <f>LongTest!G50</f>
        <v>13.759999999999998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45491.375</v>
      </c>
      <c r="D53" s="535">
        <v>1320</v>
      </c>
      <c r="E53" s="535"/>
      <c r="F53" s="440">
        <f>LongTest!F51</f>
        <v>16.989999999999998</v>
      </c>
      <c r="G53" s="440">
        <f>LongTest!G51</f>
        <v>13.759999999999998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45491.416666666672</v>
      </c>
      <c r="D54" s="535">
        <v>1380</v>
      </c>
      <c r="E54" s="535"/>
      <c r="F54" s="440">
        <f>LongTest!F52</f>
        <v>16.989999999999998</v>
      </c>
      <c r="G54" s="440">
        <f>LongTest!G52</f>
        <v>13.759999999999998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45491.458333333336</v>
      </c>
      <c r="D55" s="535">
        <v>1440</v>
      </c>
      <c r="E55" s="535"/>
      <c r="F55" s="440">
        <f>LongTest!F53</f>
        <v>16.989999999999998</v>
      </c>
      <c r="G55" s="440">
        <f>LongTest!G53</f>
        <v>13.759999999999998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96"/>
      <c r="E56" s="597"/>
      <c r="F56" s="440"/>
      <c r="G56" s="440"/>
      <c r="H56" s="440"/>
      <c r="I56" s="440"/>
      <c r="J56" s="441"/>
    </row>
    <row r="57" spans="1:10" ht="24.95" customHeight="1" thickBot="1">
      <c r="A57" s="593" t="s">
        <v>327</v>
      </c>
      <c r="B57" s="594"/>
      <c r="C57" s="594"/>
      <c r="D57" s="594"/>
      <c r="E57" s="594"/>
      <c r="F57" s="594"/>
      <c r="G57" s="594"/>
      <c r="H57" s="594"/>
      <c r="I57" s="594"/>
      <c r="J57" s="59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장기14!C55</f>
        <v>45491.458333333336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C31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45491.459027777782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45491.459722222222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45491.460416666669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45491.461111111115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45491.461805555555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45491.465277777781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45491.46875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45491.472222222226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45491.475694444445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45491.479166666672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45491.482638888891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45491.486111111117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45491.489583333336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45491.493055555555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45491.496527777781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45491.5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45491.510416666672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45491.520833333336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45491.53125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45491.541666666672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 t="s">
        <v>332</v>
      </c>
      <c r="I31" s="529"/>
      <c r="J31" s="530"/>
    </row>
    <row r="32" spans="1:10" ht="24.95" customHeight="1">
      <c r="A32" s="453"/>
      <c r="B32" s="430"/>
      <c r="C32" s="430"/>
      <c r="D32" s="524"/>
      <c r="E32" s="525"/>
      <c r="F32" s="431"/>
      <c r="G32" s="431"/>
      <c r="H32" s="524"/>
      <c r="I32" s="529"/>
      <c r="J32" s="530"/>
    </row>
    <row r="33" spans="1:10" ht="24.95" customHeight="1">
      <c r="A33" s="453"/>
      <c r="B33" s="430"/>
      <c r="C33" s="430"/>
      <c r="D33" s="524"/>
      <c r="E33" s="525"/>
      <c r="F33" s="431"/>
      <c r="G33" s="431"/>
      <c r="H33" s="524"/>
      <c r="I33" s="529"/>
      <c r="J33" s="530"/>
    </row>
    <row r="34" spans="1:10" ht="24.95" customHeight="1">
      <c r="A34" s="453"/>
      <c r="B34" s="430"/>
      <c r="C34" s="430"/>
      <c r="D34" s="524"/>
      <c r="E34" s="525"/>
      <c r="F34" s="431"/>
      <c r="G34" s="431"/>
      <c r="H34" s="524"/>
      <c r="I34" s="529"/>
      <c r="J34" s="530"/>
    </row>
    <row r="35" spans="1:10" ht="24.95" customHeight="1" thickBot="1">
      <c r="A35" s="457"/>
      <c r="B35" s="458"/>
      <c r="C35" s="458"/>
      <c r="D35" s="531"/>
      <c r="E35" s="532"/>
      <c r="F35" s="459"/>
      <c r="G35" s="459"/>
      <c r="H35" s="531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W-1</v>
      </c>
      <c r="E12" s="602"/>
      <c r="F12" s="601"/>
      <c r="H12" s="600" t="str">
        <f>C4</f>
        <v>W-1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2024-08-06T01:33:06Z</dcterms:modified>
</cp:coreProperties>
</file>