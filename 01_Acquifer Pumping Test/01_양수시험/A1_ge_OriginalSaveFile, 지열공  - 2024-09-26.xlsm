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D21DA620-C645-4FF8-82E3-14CD1C007646}" xr6:coauthVersionLast="47" xr6:coauthVersionMax="47" xr10:uidLastSave="{00000000-0000-0000-0000-000000000000}"/>
  <bookViews>
    <workbookView xWindow="-120" yWindow="-120" windowWidth="29040" windowHeight="17520" tabRatio="775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r:id="rId12"/>
    <sheet name="장회14" sheetId="20" r:id="rId13"/>
    <sheet name="단계" sheetId="17" r:id="rId14"/>
    <sheet name="장기28" sheetId="16" r:id="rId15"/>
    <sheet name="회복" sheetId="13" r:id="rId16"/>
    <sheet name="장기14" sheetId="18" r:id="rId17"/>
    <sheet name="회복12" sheetId="19" r:id="rId18"/>
    <sheet name="w1" sheetId="11" r:id="rId19"/>
  </sheets>
  <functionGroups builtInGroupCount="19"/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20" l="1"/>
  <c r="C4" i="20"/>
  <c r="C40" i="20" s="1"/>
  <c r="I3" i="20"/>
  <c r="H7" i="19"/>
  <c r="I3" i="19"/>
  <c r="H7" i="18"/>
  <c r="C4" i="18"/>
  <c r="C35" i="18" s="1"/>
  <c r="I3" i="18"/>
  <c r="I3" i="13"/>
  <c r="I3" i="15"/>
  <c r="I3" i="17"/>
  <c r="I3" i="16"/>
  <c r="C31" i="18" l="1"/>
  <c r="C14" i="18"/>
  <c r="C16" i="18"/>
  <c r="C33" i="18"/>
  <c r="C43" i="18"/>
  <c r="C28" i="18"/>
  <c r="C12" i="18"/>
  <c r="C40" i="18"/>
  <c r="C41" i="18"/>
  <c r="C13" i="20"/>
  <c r="C45" i="18"/>
  <c r="C37" i="18"/>
  <c r="C21" i="18"/>
  <c r="C27" i="20"/>
  <c r="C38" i="18"/>
  <c r="C13" i="18"/>
  <c r="C18" i="20"/>
  <c r="C18" i="18"/>
  <c r="C47" i="18"/>
  <c r="C49" i="18"/>
  <c r="C66" i="20"/>
  <c r="C59" i="20"/>
  <c r="C60" i="20"/>
  <c r="C76" i="20"/>
  <c r="C61" i="20"/>
  <c r="C62" i="20"/>
  <c r="C58" i="20"/>
  <c r="C67" i="20"/>
  <c r="C69" i="20"/>
  <c r="C70" i="20"/>
  <c r="C72" i="20"/>
  <c r="C77" i="20"/>
  <c r="C5" i="20" s="1"/>
  <c r="C68" i="20"/>
  <c r="C75" i="20"/>
  <c r="C63" i="20"/>
  <c r="C64" i="20"/>
  <c r="C74" i="20"/>
  <c r="C71" i="20"/>
  <c r="C73" i="20"/>
  <c r="C65" i="20"/>
  <c r="C42" i="18"/>
  <c r="C22" i="20"/>
  <c r="C48" i="18"/>
  <c r="C22" i="18"/>
  <c r="C24" i="18"/>
  <c r="C52" i="18"/>
  <c r="C45" i="20"/>
  <c r="C17" i="18"/>
  <c r="C26" i="18"/>
  <c r="C53" i="18"/>
  <c r="C50" i="20"/>
  <c r="C14" i="20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8" i="16"/>
  <c r="C76" i="16"/>
  <c r="C73" i="16"/>
  <c r="C72" i="16"/>
  <c r="C71" i="16"/>
  <c r="C53" i="16"/>
  <c r="C52" i="16"/>
  <c r="C50" i="16"/>
  <c r="C33" i="16"/>
  <c r="C31" i="16"/>
  <c r="C30" i="16"/>
  <c r="H7" i="16"/>
  <c r="C4" i="16"/>
  <c r="C70" i="16" s="1"/>
  <c r="H7" i="15"/>
  <c r="C4" i="15"/>
  <c r="C77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32" i="15" l="1"/>
  <c r="C33" i="15"/>
  <c r="C34" i="15"/>
  <c r="C55" i="15"/>
  <c r="C24" i="15"/>
  <c r="C35" i="15"/>
  <c r="C36" i="15"/>
  <c r="C54" i="15"/>
  <c r="C56" i="15"/>
  <c r="C64" i="15"/>
  <c r="C65" i="15"/>
  <c r="C66" i="15"/>
  <c r="C71" i="15"/>
  <c r="C37" i="15"/>
  <c r="C72" i="15"/>
  <c r="C38" i="15"/>
  <c r="C16" i="15"/>
  <c r="C39" i="15"/>
  <c r="C69" i="15"/>
  <c r="C40" i="15"/>
  <c r="C19" i="15"/>
  <c r="C49" i="15"/>
  <c r="C20" i="15"/>
  <c r="C50" i="15"/>
  <c r="C73" i="15"/>
  <c r="C70" i="15"/>
  <c r="C18" i="15"/>
  <c r="C48" i="15"/>
  <c r="C21" i="15"/>
  <c r="C51" i="15"/>
  <c r="C22" i="15"/>
  <c r="C52" i="15"/>
  <c r="C67" i="15"/>
  <c r="C68" i="15"/>
  <c r="C17" i="15"/>
  <c r="C23" i="15"/>
  <c r="C53" i="15"/>
  <c r="C12" i="16"/>
  <c r="C29" i="16"/>
  <c r="C49" i="16"/>
  <c r="C69" i="16"/>
  <c r="C13" i="16"/>
  <c r="C34" i="16"/>
  <c r="C54" i="16"/>
  <c r="C74" i="16"/>
  <c r="C77" i="16"/>
  <c r="C55" i="16"/>
  <c r="C38" i="16"/>
  <c r="C79" i="16"/>
  <c r="C16" i="16"/>
  <c r="C17" i="16"/>
  <c r="C61" i="16"/>
  <c r="C74" i="15"/>
  <c r="C21" i="16"/>
  <c r="C42" i="16"/>
  <c r="C62" i="16"/>
  <c r="C37" i="16"/>
  <c r="C58" i="16"/>
  <c r="C39" i="16"/>
  <c r="C57" i="15"/>
  <c r="C27" i="15"/>
  <c r="C75" i="15"/>
  <c r="C22" i="16"/>
  <c r="C43" i="16"/>
  <c r="C63" i="16"/>
  <c r="C40" i="16"/>
  <c r="C76" i="15"/>
  <c r="C24" i="16"/>
  <c r="C44" i="16"/>
  <c r="C65" i="16"/>
  <c r="C20" i="16"/>
  <c r="C26" i="15"/>
  <c r="C60" i="15"/>
  <c r="C13" i="15"/>
  <c r="C29" i="15"/>
  <c r="C45" i="15"/>
  <c r="C61" i="15"/>
  <c r="C25" i="16"/>
  <c r="C45" i="16"/>
  <c r="C66" i="16"/>
  <c r="C18" i="16"/>
  <c r="C81" i="15"/>
  <c r="C97" i="15"/>
  <c r="C88" i="15"/>
  <c r="C90" i="15"/>
  <c r="C94" i="15"/>
  <c r="C82" i="15"/>
  <c r="C98" i="15"/>
  <c r="C101" i="15"/>
  <c r="C102" i="15"/>
  <c r="C87" i="15"/>
  <c r="C103" i="15"/>
  <c r="C5" i="15" s="1"/>
  <c r="C89" i="15"/>
  <c r="C92" i="15"/>
  <c r="C95" i="15"/>
  <c r="C83" i="15"/>
  <c r="C99" i="15"/>
  <c r="C100" i="15"/>
  <c r="C84" i="15"/>
  <c r="C91" i="15"/>
  <c r="C96" i="15"/>
  <c r="C85" i="15"/>
  <c r="C80" i="15"/>
  <c r="C86" i="15"/>
  <c r="C93" i="15"/>
  <c r="C58" i="15"/>
  <c r="C43" i="15"/>
  <c r="C12" i="15"/>
  <c r="C28" i="15"/>
  <c r="C14" i="15"/>
  <c r="C30" i="15"/>
  <c r="C46" i="15"/>
  <c r="C62" i="15"/>
  <c r="C78" i="15"/>
  <c r="C26" i="16"/>
  <c r="C47" i="16"/>
  <c r="C67" i="16"/>
  <c r="C26" i="19"/>
  <c r="C20" i="19"/>
  <c r="C27" i="19"/>
  <c r="C24" i="19"/>
  <c r="C21" i="19"/>
  <c r="C16" i="19"/>
  <c r="C23" i="19"/>
  <c r="C18" i="19"/>
  <c r="C22" i="19"/>
  <c r="C17" i="19"/>
  <c r="C31" i="19"/>
  <c r="C5" i="19" s="1"/>
  <c r="C29" i="19"/>
  <c r="C25" i="19"/>
  <c r="C13" i="19"/>
  <c r="C19" i="19"/>
  <c r="C15" i="19"/>
  <c r="C12" i="19"/>
  <c r="C28" i="19"/>
  <c r="C30" i="19"/>
  <c r="C14" i="19"/>
  <c r="C14" i="16"/>
  <c r="C35" i="16"/>
  <c r="C57" i="16"/>
  <c r="C59" i="16"/>
  <c r="C25" i="15"/>
  <c r="C41" i="15"/>
  <c r="C42" i="15"/>
  <c r="C59" i="15"/>
  <c r="C44" i="15"/>
  <c r="C15" i="15"/>
  <c r="C31" i="15"/>
  <c r="C47" i="15"/>
  <c r="C63" i="15"/>
  <c r="C79" i="15"/>
  <c r="C27" i="16"/>
  <c r="C48" i="16"/>
  <c r="C68" i="16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7"/>
  <c r="C2" i="13"/>
  <c r="C2" i="15"/>
  <c r="C2" i="16"/>
  <c r="E9" i="20"/>
  <c r="E9" i="19"/>
  <c r="E9" i="18"/>
  <c r="E9" i="13"/>
  <c r="E9" i="15"/>
  <c r="E9" i="17"/>
  <c r="E9" i="16"/>
  <c r="H8" i="19"/>
  <c r="H8" i="18"/>
  <c r="H8" i="20"/>
  <c r="H8" i="13"/>
  <c r="H8" i="16"/>
  <c r="H8" i="17"/>
  <c r="H8" i="15"/>
  <c r="E7" i="19"/>
  <c r="E7" i="18"/>
  <c r="E7" i="20"/>
  <c r="E7" i="17"/>
  <c r="E7" i="15"/>
  <c r="E7" i="13"/>
  <c r="E7" i="16"/>
  <c r="C3" i="20"/>
  <c r="C3" i="18"/>
  <c r="C3" i="13"/>
  <c r="C3" i="19"/>
  <c r="C3" i="15"/>
  <c r="C3" i="17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7"/>
  <c r="E8" i="15"/>
  <c r="E8" i="16"/>
  <c r="E8" i="13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25" i="6" l="1"/>
  <c r="S24" i="6"/>
  <c r="R4" i="6"/>
  <c r="S4" i="6" s="1"/>
  <c r="Y4" i="6" s="1"/>
  <c r="S27" i="6"/>
  <c r="S39" i="6"/>
  <c r="S28" i="6"/>
  <c r="B2" i="5"/>
  <c r="S43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D26" i="1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15" i="6"/>
  <c r="Y15" i="6" s="1"/>
  <c r="S21" i="6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S9" i="6"/>
  <c r="Y9" i="6" s="1"/>
  <c r="S23" i="6"/>
  <c r="S8" i="6"/>
  <c r="Y8" i="6" s="1"/>
  <c r="S11" i="6"/>
  <c r="Y11" i="6" s="1"/>
  <c r="S10" i="6"/>
  <c r="Y10" i="6" s="1"/>
  <c r="S22" i="6"/>
  <c r="S13" i="6"/>
  <c r="Y13" i="6" s="1"/>
  <c r="S17" i="6"/>
  <c r="Y17" i="6" s="1"/>
  <c r="S7" i="6"/>
  <c r="Y7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B70" i="8"/>
  <c r="C30" i="12"/>
  <c r="D30" i="12" s="1"/>
  <c r="B74" i="8"/>
  <c r="B37" i="12"/>
  <c r="B38" i="12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71" i="8" l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57" i="12"/>
  <c r="B91" i="8" s="1"/>
  <c r="B90" i="8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52" i="12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85" i="8" l="1"/>
  <c r="B58" i="12"/>
  <c r="B92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9" i="12" l="1"/>
  <c r="B93" i="8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111" i="8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8" i="12" l="1"/>
  <c r="B79" i="12" s="1"/>
  <c r="B113" i="8" s="1"/>
  <c r="B72" i="12"/>
  <c r="B106" i="8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F35" i="7"/>
  <c r="K35" i="7"/>
  <c r="R1" i="7"/>
  <c r="M1" i="7" s="1"/>
  <c r="V30" i="7"/>
  <c r="AC30" i="7" s="1"/>
  <c r="AC31" i="7" s="1"/>
  <c r="AC32" i="7" s="1"/>
  <c r="AC33" i="7" s="1"/>
  <c r="AC34" i="7" s="1"/>
  <c r="AC35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12" i="8" l="1"/>
  <c r="B73" i="12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B131" i="8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98" i="12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AC36" i="7" s="1"/>
  <c r="AC37" i="7" s="1"/>
  <c r="AC38" i="7" s="1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34" i="13" l="1"/>
  <c r="C23" i="13"/>
  <c r="C20" i="13"/>
  <c r="C30" i="13"/>
  <c r="C12" i="13"/>
  <c r="C15" i="13"/>
  <c r="C31" i="13"/>
  <c r="C29" i="13"/>
  <c r="C24" i="13"/>
  <c r="C33" i="13"/>
  <c r="C16" i="13"/>
  <c r="C22" i="13"/>
  <c r="C17" i="13"/>
  <c r="C26" i="13"/>
  <c r="C21" i="13"/>
  <c r="C18" i="13"/>
  <c r="C35" i="13"/>
  <c r="C28" i="13"/>
  <c r="C19" i="13"/>
  <c r="C14" i="13"/>
  <c r="C27" i="13"/>
  <c r="C25" i="13"/>
  <c r="C13" i="13"/>
  <c r="C32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3" l="1"/>
  <c r="G14" i="19"/>
  <c r="F13" i="13"/>
  <c r="F13" i="19"/>
  <c r="G60" i="20"/>
  <c r="G82" i="15"/>
  <c r="F59" i="20"/>
  <c r="F81" i="15"/>
  <c r="F80" i="7"/>
  <c r="B35" i="10"/>
  <c r="G81" i="7"/>
  <c r="D119" i="7"/>
  <c r="H118" i="7"/>
  <c r="G15" i="19" l="1"/>
  <c r="G15" i="13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9" l="1"/>
  <c r="G16" i="13"/>
  <c r="F15" i="13"/>
  <c r="F15" i="19"/>
  <c r="F61" i="20"/>
  <c r="F83" i="15"/>
  <c r="G62" i="20"/>
  <c r="G84" i="15"/>
  <c r="F82" i="7"/>
  <c r="B37" i="10"/>
  <c r="D121" i="7"/>
  <c r="H120" i="7"/>
  <c r="F16" i="13" l="1"/>
  <c r="F16" i="19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9" l="1"/>
  <c r="G18" i="13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G21" i="13" l="1"/>
  <c r="G21" i="19"/>
  <c r="F20" i="13"/>
  <c r="F20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3" l="1"/>
  <c r="G23" i="19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3" l="1"/>
  <c r="G24" i="19"/>
  <c r="F23" i="19"/>
  <c r="F23" i="13"/>
  <c r="G70" i="20"/>
  <c r="G92" i="15"/>
  <c r="F69" i="20"/>
  <c r="F91" i="15"/>
  <c r="F90" i="7"/>
  <c r="B45" i="10"/>
  <c r="G91" i="7"/>
  <c r="D134" i="7"/>
  <c r="H133" i="7"/>
  <c r="F24" i="19" l="1"/>
  <c r="F24" i="13"/>
  <c r="G25" i="19"/>
  <c r="G25" i="13"/>
  <c r="F70" i="20"/>
  <c r="F92" i="15"/>
  <c r="G71" i="20"/>
  <c r="G93" i="15"/>
  <c r="F91" i="7"/>
  <c r="B46" i="10"/>
  <c r="D135" i="7"/>
  <c r="H134" i="7"/>
  <c r="J134" i="7" s="1"/>
  <c r="G92" i="7"/>
  <c r="J133" i="7"/>
  <c r="G26" i="19" l="1"/>
  <c r="G26" i="13"/>
  <c r="F25" i="19"/>
  <c r="F25" i="13"/>
  <c r="G72" i="20"/>
  <c r="G94" i="15"/>
  <c r="F71" i="20"/>
  <c r="F93" i="15"/>
  <c r="F92" i="7"/>
  <c r="B47" i="10"/>
  <c r="G93" i="7"/>
  <c r="D136" i="7"/>
  <c r="H135" i="7"/>
  <c r="G27" i="13" l="1"/>
  <c r="G27" i="19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F27" i="13" l="1"/>
  <c r="F27" i="19"/>
  <c r="G28" i="13"/>
  <c r="G28" i="19"/>
  <c r="G74" i="20"/>
  <c r="G96" i="15"/>
  <c r="F73" i="20"/>
  <c r="F95" i="15"/>
  <c r="F94" i="7"/>
  <c r="B49" i="10"/>
  <c r="G95" i="7"/>
  <c r="D138" i="7"/>
  <c r="H137" i="7"/>
  <c r="F28" i="19" l="1"/>
  <c r="F28" i="13"/>
  <c r="G29" i="19"/>
  <c r="G29" i="13"/>
  <c r="G75" i="20"/>
  <c r="G97" i="15"/>
  <c r="F74" i="20"/>
  <c r="F96" i="15"/>
  <c r="F95" i="7"/>
  <c r="B50" i="10"/>
  <c r="D139" i="7"/>
  <c r="H138" i="7"/>
  <c r="J138" i="7" s="1"/>
  <c r="G96" i="7"/>
  <c r="J137" i="7"/>
  <c r="G30" i="13" l="1"/>
  <c r="G30" i="19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57BF0DB4-F4AA-411B-B52C-AE9B344D8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>(B)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7C49A18D-557B-48F7-8313-61F24AC883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<sst xmlns="http://schemas.openxmlformats.org/spreadsheetml/2006/main" count="1416" uniqueCount="348">
  <si>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</si>
  <si>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</si>
  <si>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</si>
  <si>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</si>
  <si>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</si>
  <si>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</si>
  <si>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</si>
  <si>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</si>
  <si>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</si>
  <si>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</si>
  <si>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</si>
  <si>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</si>
  <si>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</si>
  <si>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</si>
  <si>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</si>
  <si>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</si>
  <si>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</si>
  <si>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</si>
  <si>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</si>
  <si>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</si>
  <si>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</si>
  <si>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</si>
  <si>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</si>
  <si>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</si>
  <si>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</si>
  <si>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</si>
  <si>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</si>
  <si>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</si>
  <si>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</si>
  <si>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</si>
  <si>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</si>
  <si>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</si>
  <si>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</si>
  <si>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</si>
  <si>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</si>
  <si>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</si>
  <si>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</si>
  <si>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</si>
  <si>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</si>
  <si>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</si>
  <si>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</si>
  <si>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</si>
  <si>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</si>
  <si>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</si>
  <si>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</si>
  <si>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</si>
  <si>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</si>
  <si>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</si>
  <si>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</si>
  <si>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</si>
  <si>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</si>
  <si>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</si>
  <si>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</si>
  <si>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</si>
  <si>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</si>
  <si>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</si>
  <si>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</si>
  <si>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</si>
  <si>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</si>
  <si>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</si>
  <si>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</si>
  <si>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</si>
  <si>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</si>
  <si>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</si>
  <si>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</si>
  <si>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</si>
  <si>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</si>
  <si>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</si>
  <si>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</si>
  <si>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</si>
  <si>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</si>
  <si>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</si>
  <si>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</si>
  <si>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</si>
  <si>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</si>
  <si>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</si>
  <si>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</si>
  <si>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</si>
  <si>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</si>
  <si>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</si>
  <si>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</si>
  <si>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</si>
  <si>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</si>
  <si>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</si>
  <si>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</si>
  <si>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</si>
  <si>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</si>
  <si>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</si>
  <si>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</si>
  <si>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</si>
  <si>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</si>
  <si>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</si>
  <si>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</si>
  <si>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</si>
  <si>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</si>
  <si>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</si>
  <si>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</si>
  <si>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</si>
  <si>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</si>
  <si>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</si>
  <si>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</si>
  <si>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</si>
  <si>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</si>
  <si>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</si>
  <si>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</si>
  <si>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</si>
  <si>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</si>
  <si>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</si>
  <si>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</si>
  <si>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</si>
  <si>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</si>
  <si>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</si>
  <si>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</si>
  <si>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</si>
  <si>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</si>
  <si>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</si>
  <si>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</si>
  <si>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</si>
  <si>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</si>
  <si>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</si>
  <si>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</si>
  <si>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</si>
  <si>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</si>
  <si>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</si>
  <si>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</si>
  <si>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</si>
  <si>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</si>
  <si>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</si>
  <si>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</si>
  <si>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</si>
  <si>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</si>
  <si>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</si>
  <si>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</si>
  <si>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</si>
  <si>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</si>
  <si>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</si>
  <si>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</si>
  <si>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</si>
  <si>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</si>
  <si>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</si>
  <si>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</si>
  <si>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</si>
  <si>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</si>
  <si>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</si>
  <si>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</si>
  <si>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</si>
  <si>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</si>
  <si>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</si>
  <si>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</si>
  <si>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</si>
  <si>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</si>
  <si>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</si>
  <si>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</si>
  <si>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</si>
  <si>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</si>
  <si>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</si>
  <si>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</si>
  <si>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</si>
  <si>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</si>
  <si>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</si>
  <si>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</si>
  <si>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</si>
  <si>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</si>
  <si>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</si>
  <si>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</si>
  <si>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</si>
  <si>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</si>
  <si>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</si>
  <si>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</si>
  <si>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</si>
  <si>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</si>
  <si>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</si>
  <si>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</si>
  <si>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</si>
  <si>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</si>
  <si>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</si>
  <si>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</si>
  <si>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</si>
  <si>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</si>
  <si>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</si>
  <si>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</si>
  <si>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</si>
  <si>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</si>
  <si>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</si>
  <si>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</si>
  <si>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</si>
  <si>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</si>
  <si>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</si>
  <si>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</si>
  <si>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</si>
  <si>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</si>
  <si>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</si>
  <si>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</si>
  <si>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</si>
  <si>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</si>
  <si>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</si>
  <si>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</si>
  <si>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</si>
  <si>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</si>
  <si>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</si>
  <si>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</si>
  <si>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</si>
  <si>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</si>
  <si>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</si>
  <si>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</si>
  <si>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</si>
  <si>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</si>
  <si>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</si>
  <si>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</si>
  <si>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</si>
  <si>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</si>
  <si>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</si>
  <si>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</si>
  <si>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</si>
  <si>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</si>
  <si>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</si>
  <si>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</si>
  <si>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</si>
  <si>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</si>
  <si>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</si>
  <si>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</si>
  <si>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</si>
  <si>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</si>
  <si>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</si>
  <si>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</si>
  <si>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</si>
  <si>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</si>
  <si>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</si>
  <si>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</si>
  <si>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</si>
  <si>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</si>
  <si>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</si>
  <si>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</si>
  <si>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</si>
  <si>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</si>
  <si>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</si>
  <si>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</si>
  <si>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</si>
  <si>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</si>
  <si>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</si>
  <si>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</si>
  <si>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</si>
  <si>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</si>
  <si>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</si>
  <si>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</si>
  <si>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</si>
  <si>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</si>
  <si>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</si>
  <si>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</si>
  <si>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</si>
  <si>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</si>
  <si>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</si>
  <si>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</si>
  <si>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</si>
  <si>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</si>
  <si>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</si>
  <si>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</si>
  <si>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</si>
  <si>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</si>
  <si>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</si>
  <si>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</si>
  <si>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</si>
  <si>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</si>
  <si>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</si>
  <si>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</si>
  <si>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</si>
  <si>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</si>
  <si>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</si>
  <si>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</si>
  <si>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</si>
  <si>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</si>
  <si>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</si>
  <si>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</si>
  <si>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</si>
  <si>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</si>
  <si>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</si>
  <si>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</si>
  <si>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</si>
  <si>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</si>
  <si>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</si>
  <si>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</si>
  <si>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</si>
  <si>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</si>
  <si>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</si>
  <si>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</si>
  <si>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</si>
  <si>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</si>
  <si>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</si>
  <si>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</si>
  <si>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</si>
  <si>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</si>
  <si>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</si>
  <si>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</si>
  <si>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</si>
  <si>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</si>
  <si>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</si>
  <si>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</si>
  <si>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</si>
  <si>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</si>
  <si>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</si>
  <si>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</si>
  <si>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</si>
  <si>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</si>
  <si>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</si>
  <si>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</si>
  <si>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</si>
  <si>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</si>
  <si>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</si>
  <si>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</si>
  <si>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</si>
  <si>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</si>
  <si>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</si>
  <si>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</si>
  <si>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</si>
  <si>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</si>
  <si>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</si>
  <si>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</si>
  <si>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</si>
  <si>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</si>
  <si>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</si>
  <si>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</si>
  <si>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</si>
  <si>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</si>
  <si>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</si>
  <si>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</si>
  <si>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</si>
  <si>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</si>
  <si>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</si>
  <si>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</si>
  <si>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</si>
  <si>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</si>
  <si>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</si>
  <si>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</si>
  <si>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</si>
  <si>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주식회사 한일지하수</t>
    <phoneticPr fontId="7" type="noConversion"/>
  </si>
  <si>
    <t>공  번 : W - 1</t>
    <phoneticPr fontId="7" type="noConversion"/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</si>
  <si>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</si>
  <si>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</si>
  <si>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</si>
  <si>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94
120
146
172
198</t>
  </si>
  <si>
    <t>STABLETIME</t>
  </si>
  <si>
    <t>MY_TIME</t>
  </si>
  <si>
    <t>DAY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</si>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</sst>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193" fontId="14" fillId="14" borderId="29" xfId="5" applyNumberFormat="1" applyFont="1" applyFill="1" applyBorder="1" applyAlignment="1">
      <alignment horizontal="center" vertical="center"/>
    </xf>
    <xf numFmtId="193" fontId="58" fillId="14" borderId="29" xfId="5" applyNumberFormat="1" applyFont="1" applyFill="1" applyBorder="1" applyAlignment="1">
      <alignment horizontal="center" vertical="center"/>
    </xf>
    <xf numFmtId="214" fontId="0" fillId="32" borderId="73" xfId="0" applyNumberFormat="1" applyFill="1" applyBorder="1">
      <alignment vertical="center"/>
    </xf>
    <xf numFmtId="0" fontId="0" fillId="32" borderId="73" xfId="0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0" fontId="95" fillId="31" borderId="0" xfId="0" applyFont="1" applyFill="1">
      <alignment vertical="center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center" vertical="center" wrapText="1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  <xf numFmtId="0" fontId="29" fillId="0" borderId="0" xfId="2" applyFont="1" applyFill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87.19235289864217</c:v>
                </c:pt>
                <c:pt idx="2">
                  <c:v>84.209207461601338</c:v>
                </c:pt>
                <c:pt idx="3">
                  <c:v>81.402721352808527</c:v>
                </c:pt>
                <c:pt idx="4">
                  <c:v>78.816078003667954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4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762911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767217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762000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771525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407524-DB39-4516-83EF-E70C473FCE36}" name="표1" displayName="표1" ref="A1:C31" totalsRowShown="0" headerRowDxfId="4" tableBorderDxfId="3">
  <autoFilter ref="A1:C31" xr:uid="{E6407524-DB39-4516-83EF-E70C473FCE36}"/>
  <tableColumns count="3">
    <tableColumn id="1" xr3:uid="{AF72BF78-F073-4109-AA4E-7B1F56CD3738}" name="STABLETIME" dataDxfId="2"/>
    <tableColumn id="2" xr3:uid="{48E572AD-B718-41EF-B4D8-AC2FFD404EDE}" name="MY_TIME" dataDxfId="1"/>
    <tableColumn id="3" xr3:uid="{CAA346E5-7929-4F97-814D-BD91D7B0709B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J26" sqref="J26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  <c r="J20" s="610" t="s">
        <v>347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A7" zoomScaleNormal="100" workbookViewId="0">
      <selection activeCell="W20" sqref="W20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2" t="s">
        <v>0</v>
      </c>
      <c r="B2" s="232" t="s">
        <v>238</v>
      </c>
      <c r="C2" s="4"/>
      <c r="D2" s="171">
        <f>D19</f>
        <v>84</v>
      </c>
      <c r="E2" s="3">
        <f>M51/3</f>
        <v>50</v>
      </c>
      <c r="F2" s="233" t="s">
        <v>2</v>
      </c>
      <c r="G2" s="3" t="s">
        <v>3</v>
      </c>
    </row>
    <row r="3" spans="1:17" s="167" customFormat="1">
      <c r="A3" s="172">
        <f>B3+$M$48</f>
        <v>16.09</v>
      </c>
      <c r="B3" s="253">
        <f>B20</f>
        <v>6.64</v>
      </c>
      <c r="C3" s="173"/>
      <c r="D3" s="254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3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473" t="s">
        <v>5</v>
      </c>
      <c r="F8" s="473"/>
      <c r="G8" s="473"/>
    </row>
    <row r="9" spans="1:17" s="167" customFormat="1">
      <c r="A9" s="4" t="s">
        <v>6</v>
      </c>
      <c r="B9" s="4" t="s">
        <v>2</v>
      </c>
      <c r="C9" s="4"/>
      <c r="D9" s="4"/>
      <c r="E9" s="231">
        <v>0.98</v>
      </c>
      <c r="F9" s="472" t="s">
        <v>7</v>
      </c>
      <c r="G9" s="472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1">
        <v>0.98</v>
      </c>
      <c r="F10" s="472" t="s">
        <v>8</v>
      </c>
      <c r="G10" s="472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1">
        <v>0.98</v>
      </c>
      <c r="F11" s="472" t="s">
        <v>9</v>
      </c>
      <c r="G11" s="472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1">
        <v>1</v>
      </c>
      <c r="F12" s="472" t="s">
        <v>10</v>
      </c>
      <c r="G12" s="472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473" t="s">
        <v>11</v>
      </c>
      <c r="F13" s="473"/>
      <c r="G13" s="473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1">
        <v>1</v>
      </c>
      <c r="F14" s="472" t="s">
        <v>7</v>
      </c>
      <c r="G14" s="472"/>
    </row>
    <row r="15" spans="1:17" s="167" customFormat="1">
      <c r="A15" s="4"/>
      <c r="B15" s="4"/>
      <c r="C15" s="4"/>
      <c r="D15" s="4"/>
      <c r="E15" s="231">
        <v>1</v>
      </c>
      <c r="F15" s="472" t="s">
        <v>8</v>
      </c>
      <c r="G15" s="472"/>
    </row>
    <row r="16" spans="1:17" s="167" customFormat="1">
      <c r="A16" s="4"/>
      <c r="B16" s="166" t="s">
        <v>12</v>
      </c>
      <c r="C16" s="4"/>
      <c r="D16" s="166" t="s">
        <v>13</v>
      </c>
      <c r="E16" s="231">
        <v>1</v>
      </c>
      <c r="F16" s="472" t="s">
        <v>9</v>
      </c>
      <c r="G16" s="472"/>
      <c r="Q16" s="221">
        <v>45024</v>
      </c>
    </row>
    <row r="17" spans="1:21" s="167" customFormat="1">
      <c r="A17" s="4"/>
      <c r="B17" s="175">
        <f>M52</f>
        <v>14.13</v>
      </c>
      <c r="C17" s="4"/>
      <c r="D17" s="238">
        <f>M47</f>
        <v>172</v>
      </c>
      <c r="E17" s="231">
        <v>1</v>
      </c>
      <c r="F17" s="472" t="s">
        <v>10</v>
      </c>
      <c r="G17" s="472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2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39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39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39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7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7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75" t="s">
        <v>14</v>
      </c>
      <c r="B26" s="475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75" t="s">
        <v>15</v>
      </c>
      <c r="B27" s="475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70</v>
      </c>
      <c r="G30" s="4"/>
      <c r="O30" s="182"/>
      <c r="Q30" s="182"/>
      <c r="S30" s="182"/>
      <c r="U30" s="182"/>
    </row>
    <row r="31" spans="1:21" s="167" customFormat="1" ht="13.5" customHeight="1">
      <c r="A31" s="231">
        <v>9.6100000000000005E-5</v>
      </c>
      <c r="B31" s="231">
        <v>6.1497900000000001E-2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9.6100000000000005E-5</v>
      </c>
      <c r="B32" s="4">
        <f t="shared" si="6"/>
        <v>6.1497900000000001E-2</v>
      </c>
      <c r="C32" s="4"/>
      <c r="D32" s="171">
        <f t="shared" si="5"/>
        <v>94</v>
      </c>
      <c r="E32" s="4"/>
      <c r="F32" s="187">
        <f>B32*D32/(B32*D32+A32*D32*D32)*100</f>
        <v>87.19235289864217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9.6100000000000005E-5</v>
      </c>
      <c r="B33" s="4">
        <f t="shared" si="6"/>
        <v>6.1497900000000001E-2</v>
      </c>
      <c r="C33" s="4"/>
      <c r="D33" s="171">
        <f t="shared" si="5"/>
        <v>120</v>
      </c>
      <c r="E33" s="4"/>
      <c r="F33" s="187">
        <f>B33*D33/(B33*D33+A33*D33*D33)*100</f>
        <v>84.209207461601338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9.6100000000000005E-5</v>
      </c>
      <c r="B34" s="4">
        <f t="shared" si="6"/>
        <v>6.1497900000000001E-2</v>
      </c>
      <c r="C34" s="4"/>
      <c r="D34" s="171">
        <f t="shared" si="5"/>
        <v>146.19999999999999</v>
      </c>
      <c r="E34" s="4"/>
      <c r="F34" s="187">
        <f>B34*D34/(B34*D34+A34*D34*D34)*100</f>
        <v>81.402721352808527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9.6100000000000005E-5</v>
      </c>
      <c r="B35" s="4">
        <f>B34</f>
        <v>6.1497900000000001E-2</v>
      </c>
      <c r="C35" s="4"/>
      <c r="D35" s="171">
        <f t="shared" si="5"/>
        <v>172</v>
      </c>
      <c r="E35" s="4"/>
      <c r="F35" s="187">
        <f>B35*D35/(B35*D35+A35*D35*D35)*100</f>
        <v>78.816078003667954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82.905089929179994</v>
      </c>
      <c r="G37" s="4"/>
      <c r="P37" s="218">
        <v>9.6100000000000005E-5</v>
      </c>
      <c r="Q37" s="218">
        <v>0.107</v>
      </c>
    </row>
    <row r="38" spans="1:21" s="167" customFormat="1" ht="13.5" customHeight="1">
      <c r="A38" s="240">
        <v>81.14</v>
      </c>
      <c r="B38" s="231">
        <v>0.107</v>
      </c>
      <c r="C38" s="231">
        <v>97.19</v>
      </c>
      <c r="D38" s="4"/>
      <c r="E38" s="4" t="s">
        <v>21</v>
      </c>
      <c r="F38" s="4"/>
      <c r="G38" s="4"/>
      <c r="P38" s="218">
        <v>6.1497900000000001E-2</v>
      </c>
      <c r="Q38" s="218">
        <v>97.19</v>
      </c>
    </row>
    <row r="39" spans="1:21" s="167" customFormat="1" ht="13.5" customHeight="1">
      <c r="A39" s="168"/>
      <c r="B39" s="4" t="s">
        <v>22</v>
      </c>
      <c r="C39" s="173">
        <f>(C38-A38)/B38</f>
        <v>149.99999999999997</v>
      </c>
      <c r="D39" s="4">
        <f>C38-B38*M51</f>
        <v>81.14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4" t="s">
        <v>24</v>
      </c>
      <c r="B42" s="235"/>
      <c r="C42" s="4"/>
      <c r="D42" s="4"/>
      <c r="E42" s="4"/>
      <c r="F42" s="4"/>
      <c r="G42" s="4"/>
    </row>
    <row r="43" spans="1:21" s="167" customFormat="1" ht="21" customHeight="1">
      <c r="A43" s="234" t="s">
        <v>25</v>
      </c>
      <c r="B43" s="236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5" t="s">
        <v>27</v>
      </c>
      <c r="R43" s="246" t="s">
        <v>0</v>
      </c>
      <c r="S43" s="246" t="s">
        <v>1</v>
      </c>
      <c r="T43" s="246" t="s">
        <v>3</v>
      </c>
      <c r="U43" s="247" t="s">
        <v>2</v>
      </c>
    </row>
    <row r="44" spans="1:21" s="167" customFormat="1" ht="16.5">
      <c r="A44" s="191">
        <f>B58</f>
        <v>40.21</v>
      </c>
      <c r="B44" s="362" t="s">
        <v>28</v>
      </c>
      <c r="C44" s="363"/>
      <c r="D44" s="363"/>
      <c r="E44" s="4"/>
      <c r="F44" s="4"/>
      <c r="G44" s="4"/>
      <c r="H44" s="222" t="s">
        <v>29</v>
      </c>
      <c r="I44" s="476" t="s">
        <v>337</v>
      </c>
      <c r="J44" s="477"/>
      <c r="K44" s="478"/>
      <c r="L44" s="222" t="s">
        <v>30</v>
      </c>
      <c r="M44" s="226">
        <v>200</v>
      </c>
      <c r="N44" s="222" t="s">
        <v>31</v>
      </c>
      <c r="Q44" s="367">
        <v>94</v>
      </c>
      <c r="R44" s="200">
        <v>16.09</v>
      </c>
      <c r="S44" s="200">
        <v>6.64</v>
      </c>
      <c r="T44" s="201">
        <v>14.157</v>
      </c>
      <c r="U44" s="248">
        <v>7.0638297872340425E-2</v>
      </c>
    </row>
    <row r="45" spans="1:21" s="167" customFormat="1" ht="16.5">
      <c r="A45" s="231">
        <v>5.0000000000000001E-4</v>
      </c>
      <c r="B45" s="362" t="s">
        <v>32</v>
      </c>
      <c r="C45" s="363"/>
      <c r="D45" s="363"/>
      <c r="E45" s="4"/>
      <c r="F45" s="4"/>
      <c r="G45" s="4"/>
      <c r="H45" s="222" t="s">
        <v>33</v>
      </c>
      <c r="I45" s="485" t="s">
        <v>338</v>
      </c>
      <c r="J45" s="486"/>
      <c r="K45" s="487"/>
      <c r="L45" s="222" t="s">
        <v>34</v>
      </c>
      <c r="M45" s="195">
        <v>100</v>
      </c>
      <c r="N45" s="227">
        <f>M44</f>
        <v>200</v>
      </c>
      <c r="Q45" s="367">
        <v>120</v>
      </c>
      <c r="R45" s="200">
        <v>18.309999999999999</v>
      </c>
      <c r="S45" s="200">
        <v>8.86</v>
      </c>
      <c r="T45" s="201">
        <v>13.544</v>
      </c>
      <c r="U45" s="248">
        <v>7.3833333333333334E-2</v>
      </c>
    </row>
    <row r="46" spans="1:21" s="167" customFormat="1" ht="16.5">
      <c r="A46" s="4">
        <f>B34</f>
        <v>6.1497900000000001E-2</v>
      </c>
      <c r="B46" s="362" t="s">
        <v>35</v>
      </c>
      <c r="C46" s="479" t="s">
        <v>36</v>
      </c>
      <c r="D46" s="479"/>
      <c r="E46" s="4"/>
      <c r="F46" s="4"/>
      <c r="G46" s="4"/>
      <c r="H46" s="222" t="s">
        <v>37</v>
      </c>
      <c r="I46" s="476" t="s">
        <v>336</v>
      </c>
      <c r="J46" s="477"/>
      <c r="K46" s="478"/>
      <c r="L46" s="222" t="s">
        <v>38</v>
      </c>
      <c r="M46" s="192">
        <f>IF(I52&gt;M48, M45-I52,M45-M48)</f>
        <v>83</v>
      </c>
      <c r="N46" s="11"/>
      <c r="Q46" s="367">
        <v>146</v>
      </c>
      <c r="R46" s="200">
        <v>20.799999999999997</v>
      </c>
      <c r="S46" s="200">
        <v>11.35</v>
      </c>
      <c r="T46" s="201">
        <v>12.881</v>
      </c>
      <c r="U46" s="248">
        <v>7.7633378932968539E-2</v>
      </c>
    </row>
    <row r="47" spans="1:21" s="167" customFormat="1" ht="16.5">
      <c r="A47" s="4">
        <f>120/1440</f>
        <v>8.3333333333333329E-2</v>
      </c>
      <c r="B47" s="362" t="s">
        <v>39</v>
      </c>
      <c r="C47" s="479" t="s">
        <v>40</v>
      </c>
      <c r="D47" s="479"/>
      <c r="E47" s="4"/>
      <c r="F47" s="4"/>
      <c r="G47" s="4"/>
      <c r="H47" s="222" t="s">
        <v>41</v>
      </c>
      <c r="I47" s="488" t="s">
        <v>334</v>
      </c>
      <c r="J47" s="489"/>
      <c r="K47" s="490"/>
      <c r="L47" s="222" t="s">
        <v>42</v>
      </c>
      <c r="M47" s="193">
        <f>INT((M51*100)/M53)</f>
        <v>172</v>
      </c>
      <c r="N47" s="11"/>
      <c r="Q47" s="367">
        <v>172</v>
      </c>
      <c r="R47" s="200">
        <v>23.58</v>
      </c>
      <c r="S47" s="200">
        <v>14.13</v>
      </c>
      <c r="T47" s="201">
        <v>12.173</v>
      </c>
      <c r="U47" s="248">
        <v>8.2151162790697674E-2</v>
      </c>
    </row>
    <row r="48" spans="1:21" s="167" customFormat="1" ht="17.25" thickBot="1">
      <c r="A48" s="4"/>
      <c r="B48" s="363"/>
      <c r="C48" s="363"/>
      <c r="D48" s="363"/>
      <c r="E48" s="4"/>
      <c r="F48" s="4"/>
      <c r="G48" s="4"/>
      <c r="H48" s="222" t="s">
        <v>43</v>
      </c>
      <c r="I48" s="244">
        <v>5</v>
      </c>
      <c r="J48" s="480" t="s">
        <v>335</v>
      </c>
      <c r="K48" s="480"/>
      <c r="L48" s="222" t="s">
        <v>44</v>
      </c>
      <c r="M48" s="195">
        <v>9.4499999999999993</v>
      </c>
      <c r="N48" s="11"/>
      <c r="Q48" s="368">
        <v>198</v>
      </c>
      <c r="R48" s="249">
        <v>27.81</v>
      </c>
      <c r="S48" s="249">
        <v>18.36</v>
      </c>
      <c r="T48" s="250">
        <v>10.773</v>
      </c>
      <c r="U48" s="251">
        <v>9.282103134479272E-2</v>
      </c>
    </row>
    <row r="49" spans="1:24" s="167" customFormat="1" ht="16.5">
      <c r="A49" s="4" t="s">
        <v>45</v>
      </c>
      <c r="B49" s="364">
        <f>INT(SQRT(B54)*1000)/1000</f>
        <v>0</v>
      </c>
      <c r="C49" s="362" t="s">
        <v>46</v>
      </c>
      <c r="D49" s="365" t="s">
        <v>21</v>
      </c>
      <c r="E49" s="4"/>
      <c r="F49" s="4"/>
      <c r="G49" s="4"/>
      <c r="H49" s="222" t="s">
        <v>47</v>
      </c>
      <c r="I49" s="481" t="str">
        <f>I45</f>
        <v>순성중명아파트</v>
      </c>
      <c r="J49" s="481"/>
      <c r="K49" s="481"/>
      <c r="L49" s="222" t="s">
        <v>48</v>
      </c>
      <c r="M49" s="195">
        <v>25.33</v>
      </c>
      <c r="N49" s="11"/>
    </row>
    <row r="50" spans="1:24" s="167" customFormat="1" ht="16.5">
      <c r="A50" s="4" t="s">
        <v>49</v>
      </c>
      <c r="B50" s="362">
        <f>INT(2.25*A44*A47*1000)/1000</f>
        <v>7.5389999999999997</v>
      </c>
      <c r="C50" s="362">
        <f>B50</f>
        <v>7.5389999999999997</v>
      </c>
      <c r="D50" s="363"/>
      <c r="E50" s="4"/>
      <c r="F50" s="4"/>
      <c r="G50" s="4"/>
      <c r="H50" s="222" t="s">
        <v>316</v>
      </c>
      <c r="I50" s="244">
        <v>50</v>
      </c>
      <c r="J50" s="491"/>
      <c r="K50" s="492"/>
      <c r="L50" s="222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2">
        <f>A45</f>
        <v>5.0000000000000001E-4</v>
      </c>
      <c r="C51" s="362" t="s">
        <v>35</v>
      </c>
      <c r="D51" s="366" t="s">
        <v>21</v>
      </c>
      <c r="E51" s="4"/>
      <c r="F51" s="4"/>
      <c r="G51" s="4"/>
      <c r="H51" s="222"/>
      <c r="I51" s="482"/>
      <c r="J51" s="483"/>
      <c r="K51" s="484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2">
        <f>INT(10^((INT(5.46*A44*A46*1000))/1000)*1000)/1000</f>
        <v>31695674630435.012</v>
      </c>
      <c r="C52" s="362">
        <f>INT(B52*B51*1000)/1000</f>
        <v>15847837315.216999</v>
      </c>
      <c r="D52" s="363"/>
      <c r="E52" s="4"/>
      <c r="F52" s="4"/>
      <c r="G52" s="4"/>
      <c r="H52" s="223" t="s">
        <v>54</v>
      </c>
      <c r="I52" s="244">
        <v>17</v>
      </c>
      <c r="J52" s="220" t="s">
        <v>55</v>
      </c>
      <c r="K52" s="170">
        <v>0</v>
      </c>
      <c r="L52" s="219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74" t="s">
        <v>243</v>
      </c>
      <c r="J53" s="474"/>
      <c r="K53" s="474"/>
      <c r="L53" s="474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4" t="s">
        <v>58</v>
      </c>
      <c r="I54" s="225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2"/>
    </row>
    <row r="56" spans="1:24" ht="14.25" thickBot="1">
      <c r="A56" s="7"/>
    </row>
    <row r="57" spans="1:24" s="167" customFormat="1" ht="18" customHeight="1">
      <c r="A57" s="230"/>
      <c r="B57" s="347" t="s">
        <v>60</v>
      </c>
      <c r="C57" s="347" t="s">
        <v>61</v>
      </c>
      <c r="D57" s="493" t="s">
        <v>62</v>
      </c>
      <c r="E57" s="509"/>
      <c r="F57" s="493" t="s">
        <v>61</v>
      </c>
      <c r="G57" s="509"/>
      <c r="H57" s="347" t="s">
        <v>63</v>
      </c>
      <c r="I57" s="348">
        <f>M50</f>
        <v>15.879999999999999</v>
      </c>
      <c r="J57" s="347" t="s">
        <v>64</v>
      </c>
      <c r="K57" s="347" t="s">
        <v>65</v>
      </c>
      <c r="L57" s="493" t="s">
        <v>66</v>
      </c>
      <c r="M57" s="494"/>
      <c r="P57" s="167">
        <f xml:space="preserve"> ((147 * M53) / 1.15) / 100</f>
        <v>111.20869565217392</v>
      </c>
    </row>
    <row r="58" spans="1:24" s="167" customFormat="1" ht="18" customHeight="1">
      <c r="A58" s="228" t="s">
        <v>67</v>
      </c>
      <c r="B58" s="349">
        <v>40.21</v>
      </c>
      <c r="C58" s="220"/>
      <c r="D58" s="495">
        <v>0.22439999999999999</v>
      </c>
      <c r="E58" s="496"/>
      <c r="F58" s="495"/>
      <c r="G58" s="496"/>
      <c r="H58" s="220" t="s">
        <v>68</v>
      </c>
      <c r="I58" s="350">
        <f>C62/M46</f>
        <v>0.54722891566265064</v>
      </c>
      <c r="J58" s="220" t="s">
        <v>69</v>
      </c>
      <c r="K58" s="351">
        <f>INT((6*I57*I58*I60/I59)^0.5)</f>
        <v>13</v>
      </c>
      <c r="L58" s="220" t="s">
        <v>70</v>
      </c>
      <c r="M58" s="352" t="s">
        <v>71</v>
      </c>
    </row>
    <row r="59" spans="1:24" s="167" customFormat="1" ht="18" customHeight="1">
      <c r="A59" s="228" t="s">
        <v>72</v>
      </c>
      <c r="B59" s="349">
        <v>59.61</v>
      </c>
      <c r="C59" s="497">
        <f>B59</f>
        <v>59.61</v>
      </c>
      <c r="D59" s="499">
        <v>0.15190000000000001</v>
      </c>
      <c r="E59" s="500"/>
      <c r="F59" s="501">
        <f>INT((D59+D60)/1*10000000)/10000000</f>
        <v>0.15190000000000001</v>
      </c>
      <c r="G59" s="502"/>
      <c r="H59" s="220" t="s">
        <v>32</v>
      </c>
      <c r="I59" s="220">
        <f>F62</f>
        <v>0.15190000000000001</v>
      </c>
      <c r="J59" s="220" t="s">
        <v>73</v>
      </c>
      <c r="K59" s="351">
        <f>INT(3*(I57*I58*I60/I59)^0.5)</f>
        <v>16</v>
      </c>
      <c r="L59" s="351"/>
      <c r="M59" s="353"/>
    </row>
    <row r="60" spans="1:24" s="167" customFormat="1" ht="18" customHeight="1">
      <c r="A60" s="228" t="s">
        <v>74</v>
      </c>
      <c r="B60" s="349"/>
      <c r="C60" s="498"/>
      <c r="D60" s="499"/>
      <c r="E60" s="500"/>
      <c r="F60" s="503"/>
      <c r="G60" s="504"/>
      <c r="H60" s="354">
        <f>LongTest!AE33</f>
        <v>720</v>
      </c>
      <c r="I60" s="350">
        <f>INT(H60/1440*10000)/10000</f>
        <v>0.5</v>
      </c>
      <c r="J60" s="220" t="s">
        <v>75</v>
      </c>
      <c r="K60" s="351">
        <f>(2.25*I61*I60/I59)^0.5</f>
        <v>18.340912511588275</v>
      </c>
      <c r="L60" s="351"/>
      <c r="M60" s="353"/>
    </row>
    <row r="61" spans="1:24" s="167" customFormat="1" ht="18" customHeight="1">
      <c r="A61" s="228" t="s">
        <v>76</v>
      </c>
      <c r="B61" s="349">
        <v>31.23</v>
      </c>
      <c r="C61" s="220">
        <f>B61</f>
        <v>31.23</v>
      </c>
      <c r="D61" s="495"/>
      <c r="E61" s="496"/>
      <c r="F61" s="495"/>
      <c r="G61" s="496"/>
      <c r="H61" s="220" t="s">
        <v>28</v>
      </c>
      <c r="I61" s="220">
        <f>C62</f>
        <v>45.42</v>
      </c>
      <c r="J61" s="220" t="s">
        <v>77</v>
      </c>
      <c r="K61" s="351">
        <f>((K58+K59+K60)/3)</f>
        <v>15.780304170529424</v>
      </c>
      <c r="L61" s="351"/>
      <c r="M61" s="353"/>
    </row>
    <row r="62" spans="1:24" s="167" customFormat="1" ht="18" customHeight="1" thickBot="1">
      <c r="A62" s="229" t="s">
        <v>61</v>
      </c>
      <c r="B62" s="355"/>
      <c r="C62" s="356">
        <f>INT((C58+C59+C61)*1000/2)/1000</f>
        <v>45.42</v>
      </c>
      <c r="D62" s="505"/>
      <c r="E62" s="506"/>
      <c r="F62" s="507">
        <f>F59</f>
        <v>0.15190000000000001</v>
      </c>
      <c r="G62" s="508"/>
      <c r="H62" s="357" t="s">
        <v>78</v>
      </c>
      <c r="I62" s="358">
        <v>70.33</v>
      </c>
      <c r="J62" s="357" t="s">
        <v>79</v>
      </c>
      <c r="K62" s="359">
        <f>MAX(K58:K60)</f>
        <v>18.340912511588275</v>
      </c>
      <c r="L62" s="360"/>
      <c r="M62" s="361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1" t="s">
        <v>339</v>
      </c>
      <c r="R64" s="242" t="s">
        <v>343</v>
      </c>
      <c r="S64" s="242" t="s">
        <v>344</v>
      </c>
      <c r="T64" s="242" t="s">
        <v>345</v>
      </c>
      <c r="U64" s="242" t="s">
        <v>346</v>
      </c>
      <c r="V64" s="242" t="s">
        <v>219</v>
      </c>
      <c r="W64" s="242" t="s">
        <v>220</v>
      </c>
      <c r="X64" s="243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20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C16" sqref="C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79" t="s">
        <v>116</v>
      </c>
      <c r="C3" s="280" t="s">
        <v>13</v>
      </c>
      <c r="D3" s="280" t="s">
        <v>28</v>
      </c>
      <c r="E3" s="280" t="s">
        <v>117</v>
      </c>
      <c r="F3" s="280" t="s">
        <v>32</v>
      </c>
      <c r="G3" s="280" t="s">
        <v>118</v>
      </c>
      <c r="H3" s="281" t="s">
        <v>35</v>
      </c>
      <c r="I3" s="268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2">
        <f>LongTest!G10</f>
        <v>3.3156559522114577</v>
      </c>
      <c r="C4" s="274">
        <f>LongTest!B10</f>
        <v>150</v>
      </c>
      <c r="D4" s="275">
        <v>1.855</v>
      </c>
      <c r="E4" s="276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6.1497900000000001E-2</v>
      </c>
      <c r="I4" s="269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0"/>
      <c r="C5" s="21"/>
      <c r="D5" s="271">
        <v>4.1534000000000004</v>
      </c>
      <c r="E5" s="272" t="s">
        <v>237</v>
      </c>
      <c r="F5" s="21"/>
      <c r="G5" s="21"/>
      <c r="H5" s="273"/>
      <c r="I5" s="277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2">
        <f>C6-E6</f>
        <v>-3.0033932675544457</v>
      </c>
      <c r="H6" s="35"/>
      <c r="I6" s="269">
        <f>Input!M49</f>
        <v>25.33</v>
      </c>
      <c r="J6" s="262">
        <f>MAX(C13,C18,C23)</f>
        <v>119.1</v>
      </c>
      <c r="K6" s="260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2.0981628101347299E-3</v>
      </c>
      <c r="G7" s="205" t="s">
        <v>124</v>
      </c>
      <c r="H7" s="35">
        <f>F4*EXP(4*G4*D4*H4)</f>
        <v>2.0967884041596155E-3</v>
      </c>
      <c r="I7" s="277" t="s">
        <v>125</v>
      </c>
      <c r="J7" s="263">
        <f>ROUND((C13+C18+C23)/3,1)</f>
        <v>102.8</v>
      </c>
      <c r="K7" s="261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1">
        <f>ROUND(E4*EXP(-1*G6),3)</f>
        <v>2.0150000000000001</v>
      </c>
      <c r="D8" s="209"/>
      <c r="E8" s="209"/>
      <c r="F8" s="210"/>
      <c r="G8" s="209"/>
      <c r="H8" s="211"/>
      <c r="I8" s="278">
        <f>Input!M45</f>
        <v>100</v>
      </c>
      <c r="J8" s="258" t="s">
        <v>240</v>
      </c>
      <c r="K8" s="264">
        <f>ROUND(SQRT(C7/F7),4)</f>
        <v>12.8752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7" t="s">
        <v>127</v>
      </c>
      <c r="J9" s="258" t="s">
        <v>241</v>
      </c>
      <c r="K9" s="265">
        <f>ROUND(SQRT(C7/H7),4)</f>
        <v>12.8794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5">
        <v>4.6960000000000002E-2</v>
      </c>
      <c r="H10" s="212" t="s">
        <v>214</v>
      </c>
      <c r="I10" s="216">
        <f>Input!I52</f>
        <v>17</v>
      </c>
      <c r="J10" s="259" t="s">
        <v>242</v>
      </c>
      <c r="K10" s="266">
        <f>ROUND(E4*SQRT(E10/F4),4)</f>
        <v>0.96909999999999996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4" t="s">
        <v>130</v>
      </c>
      <c r="C13" s="286">
        <f>ROUND(SQRT(6*B16*E16*H16/I16),1)</f>
        <v>85.1</v>
      </c>
      <c r="D13" s="25"/>
      <c r="E13" s="384" t="s">
        <v>251</v>
      </c>
      <c r="F13" s="285">
        <f>D5</f>
        <v>4.1534000000000004</v>
      </c>
      <c r="G13" s="384" t="s">
        <v>250</v>
      </c>
      <c r="H13" s="256">
        <v>4.3979999999999997</v>
      </c>
      <c r="I13" s="283">
        <v>39.700000000000003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3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4">
        <f>I6-I4</f>
        <v>15.879999999999999</v>
      </c>
      <c r="C16" s="465">
        <f>I8-IF(I4&gt;I10,I4,I10)</f>
        <v>83</v>
      </c>
      <c r="D16" s="213">
        <f>(F13+H13)/2</f>
        <v>4.2757000000000005</v>
      </c>
      <c r="E16" s="30">
        <f>INT(D16/C16*100000)/100000</f>
        <v>5.151E-2</v>
      </c>
      <c r="F16" s="31">
        <v>1440</v>
      </c>
      <c r="G16" s="215">
        <v>540</v>
      </c>
      <c r="H16" s="213">
        <f>INT(G16/F16*10000)/10000</f>
        <v>0.375</v>
      </c>
      <c r="I16" s="257">
        <v>2.543E-4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4" t="s">
        <v>137</v>
      </c>
      <c r="C18" s="286">
        <f>ROUND(3*SQRT(B21*E21*H21/I21),1)</f>
        <v>104.2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7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466">
        <f t="shared" si="0"/>
        <v>83</v>
      </c>
      <c r="D21" s="31">
        <f t="shared" si="0"/>
        <v>4.2757000000000005</v>
      </c>
      <c r="E21" s="213">
        <f t="shared" si="0"/>
        <v>5.151E-2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2.543E-4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4" t="s">
        <v>141</v>
      </c>
      <c r="C23" s="286">
        <f>ROUND(SQRT((2.25*D26*H26)/I26),1)</f>
        <v>119.1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4.2757000000000005</v>
      </c>
      <c r="E26" s="30">
        <f t="shared" si="1"/>
        <v>5.151E-2</v>
      </c>
      <c r="F26" s="31">
        <f t="shared" si="1"/>
        <v>1440</v>
      </c>
      <c r="G26" s="31">
        <f t="shared" si="1"/>
        <v>540</v>
      </c>
      <c r="H26" s="213">
        <f>INT(G16/F16*10000)/10000</f>
        <v>0.375</v>
      </c>
      <c r="I26" s="37">
        <f t="shared" si="1"/>
        <v>2.543E-4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7">
        <f>D16</f>
        <v>4.2757000000000005</v>
      </c>
      <c r="D28" s="380">
        <f>(C28/C16)*(100/86400)</f>
        <v>5.9623215082552437E-5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78">
        <f>I16</f>
        <v>2.543E-4</v>
      </c>
      <c r="D29" s="15">
        <f>(C28*100)/(C16*86400)</f>
        <v>5.9623215082552437E-5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79">
        <f>(C13+C18+C23)/3</f>
        <v>102.8</v>
      </c>
      <c r="D30" s="14"/>
      <c r="E30" s="374">
        <f>(C13+C18)/2</f>
        <v>94.65</v>
      </c>
      <c r="F30" s="375">
        <f>MAX(C13,C18)</f>
        <v>104.2</v>
      </c>
      <c r="G30" s="376">
        <f>ROUND(C4/(G4*F30^2*I16),3)</f>
        <v>17.292999999999999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4" t="s">
        <v>154</v>
      </c>
      <c r="T2" s="295" t="s">
        <v>155</v>
      </c>
      <c r="U2" s="296"/>
      <c r="V2" s="295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7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2" t="s">
        <v>160</v>
      </c>
      <c r="B4" s="512"/>
      <c r="C4" s="300" t="str">
        <f>Input!I44</f>
        <v>순성중명아파트 이용허가 유효기간의 연장을 위한 지하수영향조사보고서</v>
      </c>
      <c r="D4" s="301"/>
      <c r="E4" s="301"/>
      <c r="F4" s="301"/>
      <c r="G4" s="301"/>
      <c r="H4" s="302"/>
      <c r="I4" s="303"/>
      <c r="P4" s="51">
        <v>1</v>
      </c>
      <c r="Q4" s="370"/>
      <c r="R4" s="55">
        <f>B12</f>
        <v>94</v>
      </c>
      <c r="S4" s="51">
        <f>$R$4</f>
        <v>94</v>
      </c>
      <c r="T4" s="298">
        <v>6.3520341974657759</v>
      </c>
      <c r="U4" s="297">
        <f>Input!M44/2/1000</f>
        <v>0.1</v>
      </c>
      <c r="V4" s="287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2" t="s">
        <v>161</v>
      </c>
      <c r="B5" s="512"/>
      <c r="C5" s="304" t="str">
        <f>Input!I45</f>
        <v>순성중명아파트</v>
      </c>
      <c r="D5" s="301"/>
      <c r="E5" s="301"/>
      <c r="F5" s="305"/>
      <c r="G5" s="301"/>
      <c r="H5" s="306" t="str">
        <f>Input!J48</f>
        <v>공  번 : W - 1</v>
      </c>
      <c r="I5" s="307"/>
      <c r="P5" s="51">
        <v>2</v>
      </c>
      <c r="Q5" s="370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2" t="s">
        <v>162</v>
      </c>
      <c r="B6" s="512"/>
      <c r="C6" s="308" t="str">
        <f>Input!I46</f>
        <v>충청남도 당진시 순성면 순성로 453-30번지</v>
      </c>
      <c r="D6" s="301"/>
      <c r="E6" s="301"/>
      <c r="F6" s="301"/>
      <c r="G6" s="301"/>
      <c r="H6" s="302"/>
      <c r="I6" s="303"/>
      <c r="P6" s="51">
        <v>3</v>
      </c>
      <c r="Q6" s="370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2" t="s">
        <v>163</v>
      </c>
      <c r="B7" s="512"/>
      <c r="C7" s="309" t="str">
        <f>Input!I47</f>
        <v>주식회사 한일지하수</v>
      </c>
      <c r="D7" s="310"/>
      <c r="E7" s="301"/>
      <c r="F7" s="311"/>
      <c r="G7" s="312" t="str">
        <f>Input!I49</f>
        <v>순성중명아파트</v>
      </c>
      <c r="H7" s="313"/>
      <c r="I7" s="314"/>
      <c r="P7" s="51">
        <v>4</v>
      </c>
      <c r="Q7" s="370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5" t="s">
        <v>164</v>
      </c>
      <c r="B8" s="315"/>
      <c r="C8" s="513">
        <f>Input!I48</f>
        <v>5</v>
      </c>
      <c r="D8" s="514"/>
      <c r="E8" s="515"/>
      <c r="F8" s="316" t="s">
        <v>165</v>
      </c>
      <c r="G8" s="312" t="str">
        <f>G7</f>
        <v>순성중명아파트</v>
      </c>
      <c r="H8" s="313"/>
      <c r="I8" s="317"/>
      <c r="K8" s="62"/>
      <c r="P8" s="51">
        <v>5</v>
      </c>
      <c r="Q8" s="370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5" t="s">
        <v>166</v>
      </c>
      <c r="B9" s="315"/>
      <c r="C9" s="318" t="s">
        <v>167</v>
      </c>
      <c r="D9" s="516">
        <f>Input!M44</f>
        <v>200</v>
      </c>
      <c r="E9" s="516"/>
      <c r="F9" s="299" t="s">
        <v>168</v>
      </c>
      <c r="G9" s="517">
        <f>Input!M45</f>
        <v>100</v>
      </c>
      <c r="H9" s="517"/>
      <c r="I9" s="299"/>
      <c r="P9" s="51">
        <v>10</v>
      </c>
      <c r="Q9" s="370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5" t="s">
        <v>169</v>
      </c>
      <c r="B10" s="315"/>
      <c r="C10" s="318" t="s">
        <v>217</v>
      </c>
      <c r="D10" s="518">
        <f>Input!M48</f>
        <v>9.4499999999999993</v>
      </c>
      <c r="E10" s="519"/>
      <c r="F10" s="319" t="s">
        <v>4</v>
      </c>
      <c r="G10" s="520" t="s">
        <v>4</v>
      </c>
      <c r="H10" s="520"/>
      <c r="I10" s="307"/>
      <c r="P10" s="51">
        <v>15</v>
      </c>
      <c r="Q10" s="370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299" t="s">
        <v>170</v>
      </c>
      <c r="B11" s="320" t="s">
        <v>171</v>
      </c>
      <c r="C11" s="318" t="s">
        <v>172</v>
      </c>
      <c r="D11" s="521" t="s">
        <v>173</v>
      </c>
      <c r="E11" s="521"/>
      <c r="F11" s="320" t="s">
        <v>174</v>
      </c>
      <c r="G11" s="522" t="s">
        <v>175</v>
      </c>
      <c r="H11" s="522"/>
      <c r="I11" s="299" t="s">
        <v>176</v>
      </c>
      <c r="J11" s="63">
        <f>G12-J13</f>
        <v>0.17999999999999994</v>
      </c>
      <c r="P11" s="51">
        <v>20</v>
      </c>
      <c r="Q11" s="370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1">
        <v>1</v>
      </c>
      <c r="B12" s="322">
        <f>Input!D20</f>
        <v>94</v>
      </c>
      <c r="C12" s="323">
        <v>45511.479166666664</v>
      </c>
      <c r="D12" s="510">
        <v>1</v>
      </c>
      <c r="E12" s="510"/>
      <c r="F12" s="324">
        <f>G12+$D$10</f>
        <v>10.45</v>
      </c>
      <c r="G12" s="511">
        <f>AD4</f>
        <v>1</v>
      </c>
      <c r="H12" s="511"/>
      <c r="I12" s="299" t="s">
        <v>177</v>
      </c>
      <c r="J12" s="64"/>
      <c r="P12" s="51">
        <v>25</v>
      </c>
      <c r="Q12" s="370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1"/>
      <c r="B13" s="321"/>
      <c r="C13" s="323"/>
      <c r="D13" s="510">
        <v>2</v>
      </c>
      <c r="E13" s="510"/>
      <c r="F13" s="324">
        <f t="shared" ref="F13:F51" si="13">G13+$D$10</f>
        <v>11.27</v>
      </c>
      <c r="G13" s="511">
        <f t="shared" ref="G13:G51" si="14">AD5</f>
        <v>1.82</v>
      </c>
      <c r="H13" s="511"/>
      <c r="I13" s="325"/>
      <c r="J13" s="326">
        <f>G13-G12</f>
        <v>0.82000000000000006</v>
      </c>
      <c r="P13" s="51">
        <v>30</v>
      </c>
      <c r="Q13" s="370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1"/>
      <c r="B14" s="321"/>
      <c r="C14" s="323"/>
      <c r="D14" s="510">
        <v>3</v>
      </c>
      <c r="E14" s="510"/>
      <c r="F14" s="324">
        <f t="shared" si="13"/>
        <v>11.75</v>
      </c>
      <c r="G14" s="511">
        <f t="shared" si="14"/>
        <v>2.2999999999999998</v>
      </c>
      <c r="H14" s="511"/>
      <c r="I14" s="325"/>
      <c r="J14" s="326">
        <f t="shared" ref="J14:J51" si="15">G14-G13</f>
        <v>0.47999999999999976</v>
      </c>
      <c r="Q14" s="370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1"/>
      <c r="B15" s="321"/>
      <c r="C15" s="323"/>
      <c r="D15" s="510">
        <v>4</v>
      </c>
      <c r="E15" s="510"/>
      <c r="F15" s="324">
        <f t="shared" si="13"/>
        <v>12.079999999999998</v>
      </c>
      <c r="G15" s="511">
        <f t="shared" si="14"/>
        <v>2.63</v>
      </c>
      <c r="H15" s="511"/>
      <c r="I15" s="325"/>
      <c r="J15" s="326">
        <f t="shared" si="15"/>
        <v>0.33000000000000007</v>
      </c>
      <c r="Q15" s="370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1"/>
      <c r="B16" s="321"/>
      <c r="C16" s="323"/>
      <c r="D16" s="510">
        <v>5</v>
      </c>
      <c r="E16" s="510"/>
      <c r="F16" s="324">
        <f t="shared" si="13"/>
        <v>12.35</v>
      </c>
      <c r="G16" s="511">
        <f t="shared" si="14"/>
        <v>2.9</v>
      </c>
      <c r="H16" s="511"/>
      <c r="I16" s="325"/>
      <c r="J16" s="326">
        <f t="shared" si="15"/>
        <v>0.27</v>
      </c>
      <c r="K16" s="385" t="s">
        <v>247</v>
      </c>
      <c r="L16" s="386" t="s">
        <v>178</v>
      </c>
      <c r="M16" s="386" t="s">
        <v>179</v>
      </c>
      <c r="N16" s="386" t="s">
        <v>245</v>
      </c>
      <c r="O16" s="386" t="s">
        <v>246</v>
      </c>
      <c r="P16" s="386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1"/>
      <c r="B17" s="321"/>
      <c r="C17" s="323"/>
      <c r="D17" s="510">
        <v>10</v>
      </c>
      <c r="E17" s="510"/>
      <c r="F17" s="324">
        <f t="shared" si="13"/>
        <v>13.16</v>
      </c>
      <c r="G17" s="511">
        <f t="shared" si="14"/>
        <v>3.71</v>
      </c>
      <c r="H17" s="511"/>
      <c r="I17" s="325"/>
      <c r="J17" s="326">
        <f t="shared" si="15"/>
        <v>0.81</v>
      </c>
      <c r="K17" s="371">
        <f>D12</f>
        <v>1</v>
      </c>
      <c r="L17" s="372">
        <f>INT(B12/1440*10000)/10000</f>
        <v>6.5199999999999994E-2</v>
      </c>
      <c r="M17" s="372">
        <f>K17*L17</f>
        <v>6.5199999999999994E-2</v>
      </c>
      <c r="N17" s="372">
        <f>INT((D9/2000)^2*3.14159*100000)/100000</f>
        <v>3.141E-2</v>
      </c>
      <c r="O17" s="372">
        <f>INT(M17/N17*100)/100</f>
        <v>2.0699999999999998</v>
      </c>
      <c r="P17" s="373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1"/>
      <c r="B18" s="321"/>
      <c r="C18" s="323"/>
      <c r="D18" s="510">
        <v>15</v>
      </c>
      <c r="E18" s="510"/>
      <c r="F18" s="324">
        <f t="shared" si="13"/>
        <v>13.64</v>
      </c>
      <c r="G18" s="511">
        <f t="shared" si="14"/>
        <v>4.1900000000000004</v>
      </c>
      <c r="H18" s="511"/>
      <c r="I18" s="325"/>
      <c r="J18" s="326">
        <f t="shared" si="15"/>
        <v>0.48000000000000043</v>
      </c>
      <c r="K18" s="371">
        <f>D13</f>
        <v>2</v>
      </c>
      <c r="L18" s="372">
        <f>L17</f>
        <v>6.5199999999999994E-2</v>
      </c>
      <c r="M18" s="372">
        <f t="shared" ref="M18:M32" si="17">K18*L18</f>
        <v>0.13039999999999999</v>
      </c>
      <c r="N18" s="372">
        <f>N17</f>
        <v>3.141E-2</v>
      </c>
      <c r="O18" s="372">
        <f>INT(M18/N18*100)/100</f>
        <v>4.1500000000000004</v>
      </c>
      <c r="P18" s="373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1"/>
      <c r="B19" s="321"/>
      <c r="C19" s="323"/>
      <c r="D19" s="510">
        <v>20</v>
      </c>
      <c r="E19" s="510"/>
      <c r="F19" s="324">
        <f t="shared" si="13"/>
        <v>13.98</v>
      </c>
      <c r="G19" s="511">
        <f t="shared" si="14"/>
        <v>4.53</v>
      </c>
      <c r="H19" s="511"/>
      <c r="I19" s="325"/>
      <c r="J19" s="326">
        <f t="shared" si="15"/>
        <v>0.33999999999999986</v>
      </c>
      <c r="K19" s="371">
        <f t="shared" ref="K19:K32" si="18">D14</f>
        <v>3</v>
      </c>
      <c r="L19" s="372">
        <f>L18</f>
        <v>6.5199999999999994E-2</v>
      </c>
      <c r="M19" s="372">
        <f t="shared" si="17"/>
        <v>0.1956</v>
      </c>
      <c r="N19" s="372">
        <f t="shared" ref="N19:N32" si="19">N18</f>
        <v>3.141E-2</v>
      </c>
      <c r="O19" s="372">
        <f>INT(M19/N19*100)/100</f>
        <v>6.22</v>
      </c>
      <c r="P19" s="373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1"/>
      <c r="B20" s="321"/>
      <c r="C20" s="323"/>
      <c r="D20" s="510">
        <v>25</v>
      </c>
      <c r="E20" s="510"/>
      <c r="F20" s="324">
        <f t="shared" si="13"/>
        <v>14.239999999999998</v>
      </c>
      <c r="G20" s="511">
        <f t="shared" si="14"/>
        <v>4.79</v>
      </c>
      <c r="H20" s="511"/>
      <c r="I20" s="325"/>
      <c r="J20" s="326">
        <f t="shared" si="15"/>
        <v>0.25999999999999979</v>
      </c>
      <c r="K20" s="371">
        <f t="shared" si="18"/>
        <v>4</v>
      </c>
      <c r="L20" s="372">
        <f>L19</f>
        <v>6.5199999999999994E-2</v>
      </c>
      <c r="M20" s="372">
        <f t="shared" si="17"/>
        <v>0.26079999999999998</v>
      </c>
      <c r="N20" s="372">
        <f t="shared" si="19"/>
        <v>3.141E-2</v>
      </c>
      <c r="O20" s="372">
        <f>INT(M20/N20*100)/100</f>
        <v>8.3000000000000007</v>
      </c>
      <c r="P20" s="373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1"/>
      <c r="B21" s="321"/>
      <c r="C21" s="323"/>
      <c r="D21" s="510">
        <v>30</v>
      </c>
      <c r="E21" s="510"/>
      <c r="F21" s="324">
        <f t="shared" si="13"/>
        <v>14.45</v>
      </c>
      <c r="G21" s="511">
        <f t="shared" si="14"/>
        <v>5</v>
      </c>
      <c r="H21" s="511"/>
      <c r="I21" s="325"/>
      <c r="J21" s="326">
        <f t="shared" si="15"/>
        <v>0.20999999999999996</v>
      </c>
      <c r="K21" s="371">
        <f t="shared" si="18"/>
        <v>5</v>
      </c>
      <c r="L21" s="371">
        <f>L20</f>
        <v>6.5199999999999994E-2</v>
      </c>
      <c r="M21" s="372">
        <f t="shared" si="17"/>
        <v>0.32599999999999996</v>
      </c>
      <c r="N21" s="372">
        <f t="shared" si="19"/>
        <v>3.141E-2</v>
      </c>
      <c r="O21" s="371">
        <f>INT(M21/N21*100)/100</f>
        <v>10.37</v>
      </c>
      <c r="P21" s="373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1"/>
      <c r="B22" s="321"/>
      <c r="C22" s="323"/>
      <c r="D22" s="510">
        <v>35</v>
      </c>
      <c r="E22" s="510"/>
      <c r="F22" s="324">
        <f t="shared" si="13"/>
        <v>14.64</v>
      </c>
      <c r="G22" s="511">
        <f t="shared" si="14"/>
        <v>5.19</v>
      </c>
      <c r="H22" s="511"/>
      <c r="I22" s="299"/>
      <c r="J22" s="326">
        <f t="shared" si="15"/>
        <v>0.19000000000000039</v>
      </c>
      <c r="K22" s="371">
        <f t="shared" si="18"/>
        <v>10</v>
      </c>
      <c r="L22" s="371">
        <f t="shared" ref="L22:L32" si="20">L21</f>
        <v>6.5199999999999994E-2</v>
      </c>
      <c r="M22" s="372">
        <f t="shared" si="17"/>
        <v>0.65199999999999991</v>
      </c>
      <c r="N22" s="372">
        <f t="shared" si="19"/>
        <v>3.141E-2</v>
      </c>
      <c r="O22" s="371">
        <f t="shared" ref="O22:O30" si="21">INT(M22/N22*100)/100</f>
        <v>20.75</v>
      </c>
      <c r="P22" s="373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1"/>
      <c r="B23" s="321"/>
      <c r="C23" s="323"/>
      <c r="D23" s="510">
        <v>40</v>
      </c>
      <c r="E23" s="510"/>
      <c r="F23" s="324">
        <f t="shared" si="13"/>
        <v>14.79</v>
      </c>
      <c r="G23" s="511">
        <f t="shared" si="14"/>
        <v>5.34</v>
      </c>
      <c r="H23" s="511"/>
      <c r="I23" s="299"/>
      <c r="J23" s="326">
        <f t="shared" si="15"/>
        <v>0.14999999999999947</v>
      </c>
      <c r="K23" s="371">
        <f t="shared" si="18"/>
        <v>15</v>
      </c>
      <c r="L23" s="371">
        <f t="shared" si="20"/>
        <v>6.5199999999999994E-2</v>
      </c>
      <c r="M23" s="372">
        <f t="shared" si="17"/>
        <v>0.97799999999999987</v>
      </c>
      <c r="N23" s="372">
        <f t="shared" si="19"/>
        <v>3.141E-2</v>
      </c>
      <c r="O23" s="371">
        <f t="shared" si="21"/>
        <v>31.13</v>
      </c>
      <c r="P23" s="373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1"/>
      <c r="B24" s="321"/>
      <c r="C24" s="323"/>
      <c r="D24" s="510">
        <v>45</v>
      </c>
      <c r="E24" s="510"/>
      <c r="F24" s="324">
        <f t="shared" si="13"/>
        <v>14.93</v>
      </c>
      <c r="G24" s="511">
        <f t="shared" si="14"/>
        <v>5.48</v>
      </c>
      <c r="H24" s="511"/>
      <c r="I24" s="299"/>
      <c r="J24" s="326">
        <f t="shared" si="15"/>
        <v>0.14000000000000057</v>
      </c>
      <c r="K24" s="371">
        <f t="shared" si="18"/>
        <v>20</v>
      </c>
      <c r="L24" s="371">
        <f t="shared" si="20"/>
        <v>6.5199999999999994E-2</v>
      </c>
      <c r="M24" s="372">
        <f t="shared" si="17"/>
        <v>1.3039999999999998</v>
      </c>
      <c r="N24" s="372">
        <f t="shared" si="19"/>
        <v>3.141E-2</v>
      </c>
      <c r="O24" s="371">
        <f t="shared" si="21"/>
        <v>41.51</v>
      </c>
      <c r="P24" s="373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1"/>
      <c r="B25" s="321"/>
      <c r="C25" s="323"/>
      <c r="D25" s="510">
        <v>50</v>
      </c>
      <c r="E25" s="510"/>
      <c r="F25" s="324">
        <f t="shared" si="13"/>
        <v>15.059999999999999</v>
      </c>
      <c r="G25" s="511">
        <f t="shared" si="14"/>
        <v>5.61</v>
      </c>
      <c r="H25" s="511"/>
      <c r="I25" s="299"/>
      <c r="J25" s="326">
        <f t="shared" si="15"/>
        <v>0.12999999999999989</v>
      </c>
      <c r="K25" s="371">
        <f t="shared" si="18"/>
        <v>25</v>
      </c>
      <c r="L25" s="371">
        <f t="shared" si="20"/>
        <v>6.5199999999999994E-2</v>
      </c>
      <c r="M25" s="372">
        <f t="shared" si="17"/>
        <v>1.63</v>
      </c>
      <c r="N25" s="372">
        <f t="shared" si="19"/>
        <v>3.141E-2</v>
      </c>
      <c r="O25" s="371">
        <f t="shared" si="21"/>
        <v>51.89</v>
      </c>
      <c r="P25" s="373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1"/>
      <c r="B26" s="321"/>
      <c r="C26" s="323"/>
      <c r="D26" s="510">
        <v>55</v>
      </c>
      <c r="E26" s="510"/>
      <c r="F26" s="324">
        <f t="shared" si="13"/>
        <v>15.169999999999998</v>
      </c>
      <c r="G26" s="511">
        <f t="shared" si="14"/>
        <v>5.72</v>
      </c>
      <c r="H26" s="511"/>
      <c r="I26" s="299"/>
      <c r="J26" s="326">
        <f t="shared" si="15"/>
        <v>0.10999999999999943</v>
      </c>
      <c r="K26" s="371">
        <f t="shared" si="18"/>
        <v>30</v>
      </c>
      <c r="L26" s="371">
        <f t="shared" si="20"/>
        <v>6.5199999999999994E-2</v>
      </c>
      <c r="M26" s="372">
        <f t="shared" si="17"/>
        <v>1.9559999999999997</v>
      </c>
      <c r="N26" s="372">
        <f t="shared" si="19"/>
        <v>3.141E-2</v>
      </c>
      <c r="O26" s="372">
        <f t="shared" si="21"/>
        <v>62.27</v>
      </c>
      <c r="P26" s="373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1"/>
      <c r="B27" s="321"/>
      <c r="C27" s="323">
        <f>$C$12+D27/1440</f>
        <v>45511.520833333328</v>
      </c>
      <c r="D27" s="510">
        <v>60</v>
      </c>
      <c r="E27" s="510"/>
      <c r="F27" s="324">
        <f t="shared" si="13"/>
        <v>15.27</v>
      </c>
      <c r="G27" s="511">
        <f t="shared" si="14"/>
        <v>5.82</v>
      </c>
      <c r="H27" s="511"/>
      <c r="I27" s="299"/>
      <c r="J27" s="326">
        <f t="shared" si="15"/>
        <v>0.10000000000000053</v>
      </c>
      <c r="K27" s="371">
        <f t="shared" si="18"/>
        <v>35</v>
      </c>
      <c r="L27" s="371">
        <f t="shared" si="20"/>
        <v>6.5199999999999994E-2</v>
      </c>
      <c r="M27" s="372">
        <f t="shared" si="17"/>
        <v>2.2819999999999996</v>
      </c>
      <c r="N27" s="372">
        <f t="shared" si="19"/>
        <v>3.141E-2</v>
      </c>
      <c r="O27" s="372">
        <f t="shared" si="21"/>
        <v>72.650000000000006</v>
      </c>
      <c r="P27" s="373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1"/>
      <c r="B28" s="321"/>
      <c r="C28" s="323"/>
      <c r="D28" s="510">
        <v>75</v>
      </c>
      <c r="E28" s="510"/>
      <c r="F28" s="324">
        <f t="shared" si="13"/>
        <v>15.53</v>
      </c>
      <c r="G28" s="511">
        <f t="shared" si="14"/>
        <v>6.08</v>
      </c>
      <c r="H28" s="511"/>
      <c r="I28" s="299"/>
      <c r="J28" s="326">
        <f t="shared" si="15"/>
        <v>0.25999999999999979</v>
      </c>
      <c r="K28" s="371">
        <f t="shared" si="18"/>
        <v>40</v>
      </c>
      <c r="L28" s="371">
        <f t="shared" si="20"/>
        <v>6.5199999999999994E-2</v>
      </c>
      <c r="M28" s="372">
        <f t="shared" si="17"/>
        <v>2.6079999999999997</v>
      </c>
      <c r="N28" s="372">
        <f t="shared" si="19"/>
        <v>3.141E-2</v>
      </c>
      <c r="O28" s="372">
        <f t="shared" si="21"/>
        <v>83.03</v>
      </c>
      <c r="P28" s="373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1"/>
      <c r="B29" s="321"/>
      <c r="C29" s="323"/>
      <c r="D29" s="510">
        <v>90</v>
      </c>
      <c r="E29" s="510"/>
      <c r="F29" s="324">
        <f t="shared" si="13"/>
        <v>15.75</v>
      </c>
      <c r="G29" s="511">
        <f t="shared" si="14"/>
        <v>6.3</v>
      </c>
      <c r="H29" s="511"/>
      <c r="I29" s="299"/>
      <c r="J29" s="326">
        <f t="shared" si="15"/>
        <v>0.21999999999999975</v>
      </c>
      <c r="K29" s="371">
        <f t="shared" si="18"/>
        <v>45</v>
      </c>
      <c r="L29" s="371">
        <f t="shared" si="20"/>
        <v>6.5199999999999994E-2</v>
      </c>
      <c r="M29" s="372">
        <f t="shared" si="17"/>
        <v>2.9339999999999997</v>
      </c>
      <c r="N29" s="372">
        <f t="shared" si="19"/>
        <v>3.141E-2</v>
      </c>
      <c r="O29" s="372">
        <f t="shared" si="21"/>
        <v>93.4</v>
      </c>
      <c r="P29" s="373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1"/>
      <c r="B30" s="321"/>
      <c r="C30" s="323"/>
      <c r="D30" s="510">
        <v>105</v>
      </c>
      <c r="E30" s="510"/>
      <c r="F30" s="324">
        <f t="shared" si="13"/>
        <v>15.93</v>
      </c>
      <c r="G30" s="511">
        <f t="shared" si="14"/>
        <v>6.48</v>
      </c>
      <c r="H30" s="511"/>
      <c r="I30" s="299"/>
      <c r="J30" s="326">
        <f t="shared" si="15"/>
        <v>0.1800000000000006</v>
      </c>
      <c r="K30" s="371">
        <f t="shared" si="18"/>
        <v>50</v>
      </c>
      <c r="L30" s="371">
        <f t="shared" si="20"/>
        <v>6.5199999999999994E-2</v>
      </c>
      <c r="M30" s="372">
        <f t="shared" si="17"/>
        <v>3.26</v>
      </c>
      <c r="N30" s="372">
        <f t="shared" si="19"/>
        <v>3.141E-2</v>
      </c>
      <c r="O30" s="372">
        <f t="shared" si="21"/>
        <v>103.78</v>
      </c>
      <c r="P30" s="373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1"/>
      <c r="B31" s="321"/>
      <c r="C31" s="323"/>
      <c r="D31" s="510">
        <v>120</v>
      </c>
      <c r="E31" s="510"/>
      <c r="F31" s="324">
        <f t="shared" si="13"/>
        <v>16.09</v>
      </c>
      <c r="G31" s="511">
        <f t="shared" si="14"/>
        <v>6.64</v>
      </c>
      <c r="H31" s="511"/>
      <c r="I31" s="299"/>
      <c r="J31" s="326">
        <f t="shared" si="15"/>
        <v>0.15999999999999925</v>
      </c>
      <c r="K31" s="371">
        <f t="shared" si="18"/>
        <v>55</v>
      </c>
      <c r="L31" s="371">
        <f t="shared" si="20"/>
        <v>6.5199999999999994E-2</v>
      </c>
      <c r="M31" s="372">
        <f t="shared" si="17"/>
        <v>3.5859999999999999</v>
      </c>
      <c r="N31" s="372">
        <f t="shared" si="19"/>
        <v>3.141E-2</v>
      </c>
      <c r="O31" s="372">
        <f>INT(M31/N31*100)/100</f>
        <v>114.16</v>
      </c>
      <c r="P31" s="373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1">
        <v>2</v>
      </c>
      <c r="B32" s="322">
        <f>Input!D21</f>
        <v>120</v>
      </c>
      <c r="C32" s="323">
        <f>$C$12+D32/1440</f>
        <v>45511.569444444445</v>
      </c>
      <c r="D32" s="510">
        <v>130</v>
      </c>
      <c r="E32" s="510"/>
      <c r="F32" s="324">
        <f t="shared" si="13"/>
        <v>17.419999999999998</v>
      </c>
      <c r="G32" s="511">
        <f t="shared" si="14"/>
        <v>7.97</v>
      </c>
      <c r="H32" s="511"/>
      <c r="I32" s="299"/>
      <c r="J32" s="326">
        <f t="shared" si="15"/>
        <v>1.33</v>
      </c>
      <c r="K32" s="371">
        <f t="shared" si="18"/>
        <v>60</v>
      </c>
      <c r="L32" s="371">
        <f t="shared" si="20"/>
        <v>6.5199999999999994E-2</v>
      </c>
      <c r="M32" s="372">
        <f t="shared" si="17"/>
        <v>3.9119999999999995</v>
      </c>
      <c r="N32" s="372">
        <f t="shared" si="19"/>
        <v>3.141E-2</v>
      </c>
      <c r="O32" s="372">
        <f>INT(M32/N32*100)/100</f>
        <v>124.54</v>
      </c>
      <c r="P32" s="373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1"/>
      <c r="B33" s="321"/>
      <c r="C33" s="323"/>
      <c r="D33" s="510">
        <v>140</v>
      </c>
      <c r="E33" s="510"/>
      <c r="F33" s="324">
        <f t="shared" si="13"/>
        <v>17.64</v>
      </c>
      <c r="G33" s="511">
        <f t="shared" si="14"/>
        <v>8.19</v>
      </c>
      <c r="H33" s="511"/>
      <c r="I33" s="299"/>
      <c r="J33" s="326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1"/>
      <c r="B34" s="321"/>
      <c r="C34" s="323"/>
      <c r="D34" s="510">
        <v>150</v>
      </c>
      <c r="E34" s="510"/>
      <c r="F34" s="324">
        <f t="shared" si="13"/>
        <v>17.86</v>
      </c>
      <c r="G34" s="511">
        <f t="shared" si="14"/>
        <v>8.41</v>
      </c>
      <c r="H34" s="511"/>
      <c r="I34" s="299"/>
      <c r="J34" s="326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1"/>
      <c r="B35" s="321"/>
      <c r="C35" s="323"/>
      <c r="D35" s="510">
        <v>180</v>
      </c>
      <c r="E35" s="510"/>
      <c r="F35" s="324">
        <f t="shared" si="13"/>
        <v>18.079999999999998</v>
      </c>
      <c r="G35" s="511">
        <f t="shared" si="14"/>
        <v>8.6300000000000008</v>
      </c>
      <c r="H35" s="511"/>
      <c r="I35" s="299"/>
      <c r="J35" s="326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1"/>
      <c r="B36" s="321"/>
      <c r="C36" s="323"/>
      <c r="D36" s="510">
        <v>240</v>
      </c>
      <c r="E36" s="510"/>
      <c r="F36" s="324">
        <f t="shared" si="13"/>
        <v>18.309999999999999</v>
      </c>
      <c r="G36" s="511">
        <f t="shared" si="14"/>
        <v>8.86</v>
      </c>
      <c r="H36" s="511"/>
      <c r="I36" s="299"/>
      <c r="J36" s="326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1">
        <v>3</v>
      </c>
      <c r="B37" s="322">
        <f>Input!D22</f>
        <v>146.19999999999999</v>
      </c>
      <c r="C37" s="323">
        <f>$C$12+D37/1440</f>
        <v>45511.652777777774</v>
      </c>
      <c r="D37" s="510">
        <v>250</v>
      </c>
      <c r="E37" s="510"/>
      <c r="F37" s="324">
        <f t="shared" si="13"/>
        <v>19.799999999999997</v>
      </c>
      <c r="G37" s="511">
        <f t="shared" si="14"/>
        <v>10.35</v>
      </c>
      <c r="H37" s="511"/>
      <c r="I37" s="299"/>
      <c r="J37" s="326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1"/>
      <c r="B38" s="321"/>
      <c r="C38" s="323"/>
      <c r="D38" s="510">
        <v>260</v>
      </c>
      <c r="E38" s="510"/>
      <c r="F38" s="324">
        <f t="shared" si="13"/>
        <v>20.049999999999997</v>
      </c>
      <c r="G38" s="511">
        <f t="shared" si="14"/>
        <v>10.6</v>
      </c>
      <c r="H38" s="511"/>
      <c r="I38" s="299"/>
      <c r="J38" s="326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1"/>
      <c r="B39" s="321"/>
      <c r="C39" s="323"/>
      <c r="D39" s="510">
        <v>270</v>
      </c>
      <c r="E39" s="510"/>
      <c r="F39" s="324">
        <f t="shared" si="13"/>
        <v>20.299999999999997</v>
      </c>
      <c r="G39" s="511">
        <f t="shared" si="14"/>
        <v>10.85</v>
      </c>
      <c r="H39" s="511"/>
      <c r="I39" s="299"/>
      <c r="J39" s="326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1"/>
      <c r="B40" s="321"/>
      <c r="C40" s="323"/>
      <c r="D40" s="510">
        <v>300</v>
      </c>
      <c r="E40" s="510"/>
      <c r="F40" s="324">
        <f t="shared" si="13"/>
        <v>20.549999999999997</v>
      </c>
      <c r="G40" s="511">
        <f t="shared" si="14"/>
        <v>11.1</v>
      </c>
      <c r="H40" s="511"/>
      <c r="I40" s="299"/>
      <c r="J40" s="326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1"/>
      <c r="B41" s="321"/>
      <c r="C41" s="323"/>
      <c r="D41" s="510">
        <v>360</v>
      </c>
      <c r="E41" s="510"/>
      <c r="F41" s="324">
        <f t="shared" si="13"/>
        <v>20.799999999999997</v>
      </c>
      <c r="G41" s="511">
        <f t="shared" si="14"/>
        <v>11.35</v>
      </c>
      <c r="H41" s="511"/>
      <c r="I41" s="299"/>
      <c r="J41" s="326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1">
        <v>4</v>
      </c>
      <c r="B42" s="322">
        <f>Input!D23</f>
        <v>172</v>
      </c>
      <c r="C42" s="323">
        <f>$C$12+D42/1440</f>
        <v>45511.736111111109</v>
      </c>
      <c r="D42" s="510">
        <v>370</v>
      </c>
      <c r="E42" s="510"/>
      <c r="F42" s="324">
        <f t="shared" si="13"/>
        <v>22.46</v>
      </c>
      <c r="G42" s="511">
        <f t="shared" si="14"/>
        <v>13.01</v>
      </c>
      <c r="H42" s="511"/>
      <c r="I42" s="299"/>
      <c r="J42" s="326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1"/>
      <c r="B43" s="321"/>
      <c r="C43" s="323"/>
      <c r="D43" s="510">
        <v>380</v>
      </c>
      <c r="E43" s="510"/>
      <c r="F43" s="324">
        <f t="shared" si="13"/>
        <v>22.74</v>
      </c>
      <c r="G43" s="511">
        <f t="shared" si="14"/>
        <v>13.29</v>
      </c>
      <c r="H43" s="511"/>
      <c r="I43" s="299"/>
      <c r="J43" s="326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1"/>
      <c r="B44" s="321"/>
      <c r="C44" s="323"/>
      <c r="D44" s="510">
        <v>390</v>
      </c>
      <c r="E44" s="510"/>
      <c r="F44" s="324">
        <f t="shared" si="13"/>
        <v>23.02</v>
      </c>
      <c r="G44" s="511">
        <f t="shared" si="14"/>
        <v>13.57</v>
      </c>
      <c r="H44" s="511"/>
      <c r="I44" s="299"/>
      <c r="J44" s="326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1"/>
      <c r="B45" s="321"/>
      <c r="C45" s="323"/>
      <c r="D45" s="510">
        <v>420</v>
      </c>
      <c r="E45" s="510"/>
      <c r="F45" s="324">
        <f t="shared" si="13"/>
        <v>23.299999999999997</v>
      </c>
      <c r="G45" s="511">
        <f t="shared" si="14"/>
        <v>13.85</v>
      </c>
      <c r="H45" s="511"/>
      <c r="I45" s="299"/>
      <c r="J45" s="326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1"/>
      <c r="B46" s="321"/>
      <c r="C46" s="323"/>
      <c r="D46" s="510">
        <v>480</v>
      </c>
      <c r="E46" s="510"/>
      <c r="F46" s="324">
        <f t="shared" si="13"/>
        <v>23.58</v>
      </c>
      <c r="G46" s="511">
        <f t="shared" si="14"/>
        <v>14.13</v>
      </c>
      <c r="H46" s="511"/>
      <c r="I46" s="299"/>
      <c r="J46" s="326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1">
        <v>5</v>
      </c>
      <c r="B47" s="322">
        <f>Input!D24</f>
        <v>197.79999999999998</v>
      </c>
      <c r="C47" s="323">
        <f>$C$12+D47/1440</f>
        <v>45511.819444444445</v>
      </c>
      <c r="D47" s="510">
        <v>490</v>
      </c>
      <c r="E47" s="510"/>
      <c r="F47" s="324">
        <f t="shared" si="13"/>
        <v>25.27</v>
      </c>
      <c r="G47" s="511">
        <f t="shared" si="14"/>
        <v>15.82</v>
      </c>
      <c r="H47" s="511"/>
      <c r="I47" s="299"/>
      <c r="J47" s="326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1"/>
      <c r="B48" s="321"/>
      <c r="C48" s="323"/>
      <c r="D48" s="510">
        <v>500</v>
      </c>
      <c r="E48" s="510"/>
      <c r="F48" s="324">
        <f t="shared" si="13"/>
        <v>25.9</v>
      </c>
      <c r="G48" s="511">
        <f t="shared" si="14"/>
        <v>16.45</v>
      </c>
      <c r="H48" s="511"/>
      <c r="I48" s="299"/>
      <c r="J48" s="326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1"/>
      <c r="B49" s="321"/>
      <c r="C49" s="323"/>
      <c r="D49" s="510">
        <v>510</v>
      </c>
      <c r="E49" s="510"/>
      <c r="F49" s="324">
        <f t="shared" si="13"/>
        <v>26.54</v>
      </c>
      <c r="G49" s="511">
        <f t="shared" si="14"/>
        <v>17.09</v>
      </c>
      <c r="H49" s="511"/>
      <c r="I49" s="299"/>
      <c r="J49" s="326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1"/>
      <c r="B50" s="321"/>
      <c r="C50" s="323"/>
      <c r="D50" s="510">
        <v>540</v>
      </c>
      <c r="E50" s="510"/>
      <c r="F50" s="324">
        <f t="shared" si="13"/>
        <v>27.169999999999998</v>
      </c>
      <c r="G50" s="511">
        <f t="shared" si="14"/>
        <v>17.72</v>
      </c>
      <c r="H50" s="511"/>
      <c r="I50" s="299"/>
      <c r="J50" s="326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1"/>
      <c r="B51" s="321"/>
      <c r="C51" s="323">
        <f>$C$12+D51/1440</f>
        <v>45511.895833333328</v>
      </c>
      <c r="D51" s="510">
        <v>600</v>
      </c>
      <c r="E51" s="510"/>
      <c r="F51" s="324">
        <f t="shared" si="13"/>
        <v>27.81</v>
      </c>
      <c r="G51" s="511">
        <f t="shared" si="14"/>
        <v>18.36</v>
      </c>
      <c r="H51" s="511"/>
      <c r="I51" s="299" t="s">
        <v>180</v>
      </c>
      <c r="J51" s="326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EF079-9479-4743-8EAB-D4092F4CAB8E}">
  <sheetPr codeName="Sheet9">
    <tabColor rgb="FF00B050"/>
  </sheetPr>
  <dimension ref="A1:C31"/>
  <sheetViews>
    <sheetView workbookViewId="0">
      <selection activeCell="E27" sqref="E27"/>
    </sheetView>
  </sheetViews>
  <sheetFormatPr defaultRowHeight="16.5"/>
  <cols>
    <col min="1" max="1" width="14" customWidth="1"/>
    <col min="2" max="2" width="10.875" customWidth="1"/>
  </cols>
  <sheetData>
    <row r="1" spans="1:3">
      <c r="A1" s="471" t="s">
        <v>340</v>
      </c>
      <c r="B1" s="471" t="s">
        <v>341</v>
      </c>
      <c r="C1" s="471" t="s">
        <v>342</v>
      </c>
    </row>
    <row r="2" spans="1:3">
      <c r="A2" s="468">
        <v>60</v>
      </c>
      <c r="B2" s="468">
        <v>17</v>
      </c>
      <c r="C2" s="467">
        <v>4.1666666666666664E-2</v>
      </c>
    </row>
    <row r="3" spans="1:3">
      <c r="A3" s="469">
        <v>75</v>
      </c>
      <c r="B3" s="469">
        <v>18</v>
      </c>
      <c r="C3" s="470">
        <v>5.2083333333333336E-2</v>
      </c>
    </row>
    <row r="4" spans="1:3">
      <c r="A4" s="468">
        <v>90</v>
      </c>
      <c r="B4" s="468">
        <v>19</v>
      </c>
      <c r="C4" s="467">
        <v>6.25E-2</v>
      </c>
    </row>
    <row r="5" spans="1:3">
      <c r="A5" s="469">
        <v>105</v>
      </c>
      <c r="B5" s="469">
        <v>20</v>
      </c>
      <c r="C5" s="470">
        <v>7.2916666666666671E-2</v>
      </c>
    </row>
    <row r="6" spans="1:3">
      <c r="A6" s="468">
        <v>120</v>
      </c>
      <c r="B6" s="468">
        <v>21</v>
      </c>
      <c r="C6" s="467">
        <v>8.3333333333333329E-2</v>
      </c>
    </row>
    <row r="7" spans="1:3">
      <c r="A7" s="469">
        <v>140</v>
      </c>
      <c r="B7" s="469">
        <v>22</v>
      </c>
      <c r="C7" s="470">
        <v>9.7222222222222224E-2</v>
      </c>
    </row>
    <row r="8" spans="1:3">
      <c r="A8" s="468">
        <v>160</v>
      </c>
      <c r="B8" s="468">
        <v>23</v>
      </c>
      <c r="C8" s="467">
        <v>0.1111111111111111</v>
      </c>
    </row>
    <row r="9" spans="1:3">
      <c r="A9" s="469">
        <v>180</v>
      </c>
      <c r="B9" s="469">
        <v>24</v>
      </c>
      <c r="C9" s="470">
        <v>0.125</v>
      </c>
    </row>
    <row r="10" spans="1:3">
      <c r="A10" s="468">
        <v>240</v>
      </c>
      <c r="B10" s="468">
        <v>25</v>
      </c>
      <c r="C10" s="467">
        <v>0.16666666666666666</v>
      </c>
    </row>
    <row r="11" spans="1:3">
      <c r="A11" s="469">
        <v>300</v>
      </c>
      <c r="B11" s="469">
        <v>26</v>
      </c>
      <c r="C11" s="470">
        <v>0.20833333333333334</v>
      </c>
    </row>
    <row r="12" spans="1:3">
      <c r="A12" s="468">
        <v>360</v>
      </c>
      <c r="B12" s="468">
        <v>27</v>
      </c>
      <c r="C12" s="467">
        <v>0.25</v>
      </c>
    </row>
    <row r="13" spans="1:3">
      <c r="A13" s="469">
        <v>420</v>
      </c>
      <c r="B13" s="469">
        <v>28</v>
      </c>
      <c r="C13" s="470">
        <v>0.29166666666666669</v>
      </c>
    </row>
    <row r="14" spans="1:3">
      <c r="A14" s="468">
        <v>480</v>
      </c>
      <c r="B14" s="468">
        <v>29</v>
      </c>
      <c r="C14" s="467">
        <v>0.33333333333333331</v>
      </c>
    </row>
    <row r="15" spans="1:3">
      <c r="A15" s="469">
        <v>540</v>
      </c>
      <c r="B15" s="469">
        <v>30</v>
      </c>
      <c r="C15" s="470">
        <v>0.375</v>
      </c>
    </row>
    <row r="16" spans="1:3">
      <c r="A16" s="468">
        <v>600</v>
      </c>
      <c r="B16" s="468">
        <v>31</v>
      </c>
      <c r="C16" s="467">
        <v>0.41666666666666669</v>
      </c>
    </row>
    <row r="17" spans="1:3">
      <c r="A17" s="469">
        <v>660</v>
      </c>
      <c r="B17" s="469">
        <v>32</v>
      </c>
      <c r="C17" s="470">
        <v>0.45833333333333331</v>
      </c>
    </row>
    <row r="18" spans="1:3">
      <c r="A18" s="468">
        <v>720</v>
      </c>
      <c r="B18" s="468">
        <v>33</v>
      </c>
      <c r="C18" s="467">
        <v>0.5</v>
      </c>
    </row>
    <row r="19" spans="1:3">
      <c r="A19" s="469">
        <v>780</v>
      </c>
      <c r="B19" s="469">
        <v>34</v>
      </c>
      <c r="C19" s="470">
        <v>0.54166666666666663</v>
      </c>
    </row>
    <row r="20" spans="1:3">
      <c r="A20" s="468">
        <v>840</v>
      </c>
      <c r="B20" s="468">
        <v>35</v>
      </c>
      <c r="C20" s="467">
        <v>0.58333333333333337</v>
      </c>
    </row>
    <row r="21" spans="1:3">
      <c r="A21" s="469">
        <v>900</v>
      </c>
      <c r="B21" s="469">
        <v>36</v>
      </c>
      <c r="C21" s="470">
        <v>0.625</v>
      </c>
    </row>
    <row r="22" spans="1:3">
      <c r="A22" s="468">
        <v>960</v>
      </c>
      <c r="B22" s="468">
        <v>37</v>
      </c>
      <c r="C22" s="467">
        <v>0.66666666666666663</v>
      </c>
    </row>
    <row r="23" spans="1:3">
      <c r="A23" s="469">
        <v>1020</v>
      </c>
      <c r="B23" s="469">
        <v>38</v>
      </c>
      <c r="C23" s="470">
        <v>0.70833333333333337</v>
      </c>
    </row>
    <row r="24" spans="1:3">
      <c r="A24" s="468">
        <v>1080</v>
      </c>
      <c r="B24" s="468">
        <v>39</v>
      </c>
      <c r="C24" s="467">
        <v>0.75</v>
      </c>
    </row>
    <row r="25" spans="1:3">
      <c r="A25" s="469">
        <v>1140</v>
      </c>
      <c r="B25" s="469">
        <v>40</v>
      </c>
      <c r="C25" s="470">
        <v>0.79166666666666663</v>
      </c>
    </row>
    <row r="26" spans="1:3">
      <c r="A26" s="468">
        <v>1200</v>
      </c>
      <c r="B26" s="468">
        <v>41</v>
      </c>
      <c r="C26" s="467">
        <v>0.83333333333333337</v>
      </c>
    </row>
    <row r="27" spans="1:3">
      <c r="A27" s="469">
        <v>1260</v>
      </c>
      <c r="B27" s="469">
        <v>42</v>
      </c>
      <c r="C27" s="470">
        <v>0.875</v>
      </c>
    </row>
    <row r="28" spans="1:3">
      <c r="A28" s="468">
        <v>1320</v>
      </c>
      <c r="B28" s="468">
        <v>43</v>
      </c>
      <c r="C28" s="467">
        <v>0.91666666666666663</v>
      </c>
    </row>
    <row r="29" spans="1:3">
      <c r="A29" s="469">
        <v>1380</v>
      </c>
      <c r="B29" s="469">
        <v>44</v>
      </c>
      <c r="C29" s="470">
        <v>0.95833333333333337</v>
      </c>
    </row>
    <row r="30" spans="1:3">
      <c r="A30" s="468">
        <v>1440</v>
      </c>
      <c r="B30" s="468">
        <v>45</v>
      </c>
      <c r="C30" s="467">
        <v>1</v>
      </c>
    </row>
    <row r="31" spans="1:3">
      <c r="A31" s="469">
        <v>1500</v>
      </c>
      <c r="B31" s="469">
        <v>46</v>
      </c>
      <c r="C31" s="470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3" zoomScale="115" zoomScaleNormal="115" zoomScaleSheetLayoutView="85" workbookViewId="0">
      <selection activeCell="H14" sqref="H14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4" t="s">
        <v>183</v>
      </c>
      <c r="O1" s="524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2" t="s">
        <v>13</v>
      </c>
      <c r="W1" s="292" t="s">
        <v>28</v>
      </c>
      <c r="X1" s="292" t="s">
        <v>158</v>
      </c>
      <c r="Y1" s="292" t="s">
        <v>32</v>
      </c>
      <c r="Z1" s="292" t="s">
        <v>159</v>
      </c>
      <c r="AA1" s="292" t="s">
        <v>39</v>
      </c>
      <c r="AB1" s="293" t="s">
        <v>12</v>
      </c>
      <c r="AC1" s="292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88"/>
      <c r="P3" s="290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89"/>
      <c r="P4" s="289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7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89"/>
      <c r="P5" s="289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5">
        <f>StepTest!C8</f>
        <v>5</v>
      </c>
      <c r="D6" s="525"/>
      <c r="E6" s="52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1">
        <v>0.2</v>
      </c>
      <c r="M6" s="58">
        <f t="shared" si="2"/>
        <v>-7.17</v>
      </c>
      <c r="N6" s="78"/>
      <c r="O6" s="289"/>
      <c r="P6" s="289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89"/>
      <c r="P7" s="289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28">
        <f>Input!M50</f>
        <v>15.879999999999999</v>
      </c>
      <c r="L8" s="369">
        <f>G10-K11</f>
        <v>1.9314321665182863</v>
      </c>
      <c r="M8" s="58">
        <f t="shared" si="2"/>
        <v>-25.23</v>
      </c>
      <c r="N8" s="78"/>
      <c r="O8" s="289"/>
      <c r="P8" s="289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7" t="s">
        <v>173</v>
      </c>
      <c r="E9" s="527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89"/>
      <c r="P9" s="289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89"/>
      <c r="P10" s="289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89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89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1">
        <v>0</v>
      </c>
      <c r="N13" s="78"/>
      <c r="O13" s="289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89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7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5" t="s">
        <v>247</v>
      </c>
      <c r="M16" s="386" t="s">
        <v>178</v>
      </c>
      <c r="N16" s="386" t="s">
        <v>179</v>
      </c>
      <c r="O16" s="386" t="s">
        <v>245</v>
      </c>
      <c r="P16" s="386" t="s">
        <v>246</v>
      </c>
      <c r="Q16" s="386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1">
        <f>D10</f>
        <v>1</v>
      </c>
      <c r="M17" s="372">
        <f>INT(B10/1440*10000)/10000</f>
        <v>0.1041</v>
      </c>
      <c r="N17" s="372">
        <f>L17*M17</f>
        <v>0.1041</v>
      </c>
      <c r="O17" s="372">
        <f>INT((D7/2/1000)^2*PI()*100000)/100000</f>
        <v>3.141E-2</v>
      </c>
      <c r="P17" s="372">
        <f>INT(N17/O17*100)/100</f>
        <v>3.31</v>
      </c>
      <c r="Q17" s="373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1">
        <f t="shared" ref="L18:L31" si="16">D11</f>
        <v>2</v>
      </c>
      <c r="M18" s="372">
        <f>M17</f>
        <v>0.1041</v>
      </c>
      <c r="N18" s="372">
        <f>L18*M18</f>
        <v>0.2082</v>
      </c>
      <c r="O18" s="372">
        <f>O17</f>
        <v>3.141E-2</v>
      </c>
      <c r="P18" s="372">
        <f>INT(N18/O18*100)/100</f>
        <v>6.62</v>
      </c>
      <c r="Q18" s="373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1">
        <f t="shared" si="16"/>
        <v>3</v>
      </c>
      <c r="M19" s="372">
        <f>M18</f>
        <v>0.1041</v>
      </c>
      <c r="N19" s="372">
        <f t="shared" ref="N19:N27" si="18">L19*M19</f>
        <v>0.31230000000000002</v>
      </c>
      <c r="O19" s="372">
        <f t="shared" ref="O19:O31" si="19">O18</f>
        <v>3.141E-2</v>
      </c>
      <c r="P19" s="372">
        <f>INT(N19/O19*100)/100</f>
        <v>9.94</v>
      </c>
      <c r="Q19" s="373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1">
        <f t="shared" si="16"/>
        <v>4</v>
      </c>
      <c r="M20" s="372">
        <f>M19</f>
        <v>0.1041</v>
      </c>
      <c r="N20" s="372">
        <f>L20*M20</f>
        <v>0.41639999999999999</v>
      </c>
      <c r="O20" s="372">
        <f>O19</f>
        <v>3.141E-2</v>
      </c>
      <c r="P20" s="372">
        <f>INT(N20/O20*100)/100</f>
        <v>13.25</v>
      </c>
      <c r="Q20" s="373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1">
        <f t="shared" si="16"/>
        <v>5</v>
      </c>
      <c r="M21" s="372">
        <f>M20</f>
        <v>0.1041</v>
      </c>
      <c r="N21" s="372">
        <f t="shared" si="18"/>
        <v>0.52049999999999996</v>
      </c>
      <c r="O21" s="372">
        <f t="shared" si="19"/>
        <v>3.141E-2</v>
      </c>
      <c r="P21" s="372">
        <f>INT(N21/O21*100)/100</f>
        <v>16.57</v>
      </c>
      <c r="Q21" s="373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1">
        <f t="shared" si="16"/>
        <v>10</v>
      </c>
      <c r="M22" s="372">
        <f t="shared" ref="M22:M31" si="21">M21</f>
        <v>0.1041</v>
      </c>
      <c r="N22" s="372">
        <f>L22*M22</f>
        <v>1.0409999999999999</v>
      </c>
      <c r="O22" s="372">
        <f>O21</f>
        <v>3.141E-2</v>
      </c>
      <c r="P22" s="372">
        <f t="shared" ref="P22:P27" si="22">INT(N22/O22*100)/100</f>
        <v>33.14</v>
      </c>
      <c r="Q22" s="373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1">
        <f t="shared" si="16"/>
        <v>15</v>
      </c>
      <c r="M23" s="372">
        <f t="shared" si="21"/>
        <v>0.1041</v>
      </c>
      <c r="N23" s="372">
        <f t="shared" si="18"/>
        <v>1.5614999999999999</v>
      </c>
      <c r="O23" s="372">
        <f t="shared" si="19"/>
        <v>3.141E-2</v>
      </c>
      <c r="P23" s="372">
        <f t="shared" si="22"/>
        <v>49.71</v>
      </c>
      <c r="Q23" s="373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1">
        <f t="shared" si="16"/>
        <v>20</v>
      </c>
      <c r="M24" s="372">
        <f t="shared" si="21"/>
        <v>0.1041</v>
      </c>
      <c r="N24" s="372">
        <f t="shared" si="18"/>
        <v>2.0819999999999999</v>
      </c>
      <c r="O24" s="372">
        <f t="shared" si="19"/>
        <v>3.141E-2</v>
      </c>
      <c r="P24" s="372">
        <f t="shared" si="22"/>
        <v>66.28</v>
      </c>
      <c r="Q24" s="373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1">
        <f t="shared" si="16"/>
        <v>25</v>
      </c>
      <c r="M25" s="372">
        <f t="shared" si="21"/>
        <v>0.1041</v>
      </c>
      <c r="N25" s="372">
        <f t="shared" si="18"/>
        <v>2.6025</v>
      </c>
      <c r="O25" s="372">
        <f t="shared" si="19"/>
        <v>3.141E-2</v>
      </c>
      <c r="P25" s="372">
        <f t="shared" si="22"/>
        <v>82.85</v>
      </c>
      <c r="Q25" s="373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1">
        <f t="shared" si="16"/>
        <v>30</v>
      </c>
      <c r="M26" s="372">
        <f t="shared" si="21"/>
        <v>0.1041</v>
      </c>
      <c r="N26" s="372">
        <f t="shared" si="18"/>
        <v>3.1229999999999998</v>
      </c>
      <c r="O26" s="372">
        <f t="shared" si="19"/>
        <v>3.141E-2</v>
      </c>
      <c r="P26" s="372">
        <f t="shared" si="22"/>
        <v>99.42</v>
      </c>
      <c r="Q26" s="373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1">
        <f t="shared" si="16"/>
        <v>35</v>
      </c>
      <c r="M27" s="372">
        <f t="shared" si="21"/>
        <v>0.1041</v>
      </c>
      <c r="N27" s="372">
        <f t="shared" si="18"/>
        <v>3.6435</v>
      </c>
      <c r="O27" s="372">
        <f t="shared" si="19"/>
        <v>3.141E-2</v>
      </c>
      <c r="P27" s="372">
        <f t="shared" si="22"/>
        <v>115.99</v>
      </c>
      <c r="Q27" s="373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1">
        <f t="shared" si="16"/>
        <v>40</v>
      </c>
      <c r="M28" s="372">
        <f t="shared" si="21"/>
        <v>0.1041</v>
      </c>
      <c r="N28" s="372">
        <f>L28*M28</f>
        <v>4.1639999999999997</v>
      </c>
      <c r="O28" s="372">
        <f t="shared" si="19"/>
        <v>3.141E-2</v>
      </c>
      <c r="P28" s="372">
        <f>INT(N28/O28*100)/100</f>
        <v>132.56</v>
      </c>
      <c r="Q28" s="373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1">
        <f t="shared" si="16"/>
        <v>45</v>
      </c>
      <c r="M29" s="372">
        <f t="shared" si="21"/>
        <v>0.1041</v>
      </c>
      <c r="N29" s="372">
        <f>L29*M29</f>
        <v>4.6844999999999999</v>
      </c>
      <c r="O29" s="372">
        <f t="shared" si="19"/>
        <v>3.141E-2</v>
      </c>
      <c r="P29" s="372">
        <f>INT(N29/O29*100)/100</f>
        <v>149.13999999999999</v>
      </c>
      <c r="Q29" s="373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1">
        <f t="shared" si="16"/>
        <v>50</v>
      </c>
      <c r="M30" s="372">
        <f t="shared" si="21"/>
        <v>0.1041</v>
      </c>
      <c r="N30" s="372">
        <f>L30*M30</f>
        <v>5.2050000000000001</v>
      </c>
      <c r="O30" s="372">
        <f t="shared" si="19"/>
        <v>3.141E-2</v>
      </c>
      <c r="P30" s="372">
        <f>INT(N30/O30*100)/100</f>
        <v>165.71</v>
      </c>
      <c r="Q30" s="373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1">
        <f t="shared" si="16"/>
        <v>55</v>
      </c>
      <c r="M31" s="372">
        <f t="shared" si="21"/>
        <v>0.1041</v>
      </c>
      <c r="N31" s="372">
        <f>L31*M31</f>
        <v>5.7255000000000003</v>
      </c>
      <c r="O31" s="372">
        <f t="shared" si="19"/>
        <v>3.141E-2</v>
      </c>
      <c r="P31" s="372">
        <f>INT(N31/O31*100)/100</f>
        <v>182.28</v>
      </c>
      <c r="Q31" s="373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5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si="23"/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ref="AC36:AC38" si="25">AC35</f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3" t="s">
        <v>191</v>
      </c>
      <c r="I78" s="523"/>
      <c r="J78" s="523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3"/>
      <c r="I79" s="523"/>
      <c r="J79" s="523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3"/>
      <c r="I80" s="523"/>
      <c r="J80" s="523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3"/>
      <c r="I81" s="523"/>
      <c r="J81" s="523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3"/>
      <c r="I82" s="523"/>
      <c r="J82" s="523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3"/>
      <c r="I83" s="523"/>
      <c r="J83" s="523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3"/>
      <c r="I84" s="523"/>
      <c r="J84" s="52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3"/>
      <c r="I85" s="523"/>
      <c r="J85" s="52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3"/>
      <c r="I86" s="523"/>
      <c r="J86" s="52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3"/>
      <c r="I87" s="523"/>
      <c r="J87" s="52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3"/>
      <c r="I88" s="523"/>
      <c r="J88" s="52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3"/>
      <c r="I89" s="523"/>
      <c r="J89" s="52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3"/>
      <c r="I90" s="523"/>
      <c r="J90" s="52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3"/>
      <c r="I91" s="523"/>
      <c r="J91" s="52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3"/>
      <c r="I92" s="523"/>
      <c r="J92" s="52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3"/>
      <c r="I93" s="523"/>
      <c r="J93" s="52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3"/>
      <c r="I94" s="523"/>
      <c r="J94" s="52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3"/>
      <c r="I95" s="523"/>
      <c r="J95" s="52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3"/>
      <c r="I96" s="523"/>
      <c r="J96" s="52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3"/>
      <c r="I97" s="523"/>
      <c r="J97" s="52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3"/>
      <c r="I98" s="523"/>
      <c r="J98" s="523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3"/>
      <c r="I99" s="523"/>
      <c r="J99" s="523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3"/>
      <c r="I100" s="523"/>
      <c r="J100" s="523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3"/>
      <c r="I101" s="523"/>
      <c r="J101" s="523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29"/>
      <c r="B109" s="329"/>
      <c r="C109" s="329"/>
      <c r="D109" s="329"/>
      <c r="E109" s="329"/>
      <c r="F109" s="329"/>
      <c r="G109" s="329"/>
      <c r="H109" s="329"/>
      <c r="I109" s="329"/>
      <c r="J109" s="329"/>
      <c r="AA109" s="56"/>
      <c r="AB109" s="94"/>
    </row>
    <row r="110" spans="1:28" s="51" customFormat="1" ht="17.25" customHeight="1">
      <c r="A110" s="329"/>
      <c r="B110" s="329"/>
      <c r="C110" s="330">
        <v>3</v>
      </c>
      <c r="D110" s="331">
        <f>G77</f>
        <v>15.880000000000003</v>
      </c>
      <c r="E110" s="329"/>
      <c r="F110" s="332" t="s">
        <v>192</v>
      </c>
      <c r="G110" s="329"/>
      <c r="H110" s="333" t="s">
        <v>193</v>
      </c>
      <c r="I110" s="334"/>
      <c r="J110" s="329"/>
      <c r="AA110" s="56"/>
      <c r="AB110" s="94"/>
    </row>
    <row r="111" spans="1:28" s="51" customFormat="1" ht="17.25" hidden="1" customHeight="1">
      <c r="A111" s="329"/>
      <c r="B111" s="329">
        <v>1</v>
      </c>
      <c r="C111" s="329">
        <v>95</v>
      </c>
      <c r="D111" s="335">
        <f>D110</f>
        <v>15.880000000000003</v>
      </c>
      <c r="E111" s="336">
        <f>C111/100</f>
        <v>0.95</v>
      </c>
      <c r="F111" s="337" t="s">
        <v>21</v>
      </c>
      <c r="G111" s="329">
        <v>1</v>
      </c>
      <c r="H111" s="338">
        <f t="shared" ref="H111:H146" si="39">D111^E111</f>
        <v>13.829547591469272</v>
      </c>
      <c r="I111" s="339"/>
      <c r="J111" s="329"/>
      <c r="AA111" s="56"/>
      <c r="AB111" s="94"/>
    </row>
    <row r="112" spans="1:28" s="51" customFormat="1" ht="17.25" hidden="1" customHeight="1">
      <c r="A112" s="329"/>
      <c r="B112" s="329">
        <v>2</v>
      </c>
      <c r="C112" s="329">
        <f t="shared" ref="C112:C119" si="40">C111-C$110</f>
        <v>92</v>
      </c>
      <c r="D112" s="334">
        <f>D111</f>
        <v>15.880000000000003</v>
      </c>
      <c r="E112" s="336">
        <f t="shared" ref="E112:E141" si="41">C112/100</f>
        <v>0.92</v>
      </c>
      <c r="F112" s="340"/>
      <c r="G112" s="329">
        <v>2</v>
      </c>
      <c r="H112" s="338">
        <f t="shared" si="39"/>
        <v>12.728653323598166</v>
      </c>
      <c r="I112" s="339"/>
      <c r="J112" s="341">
        <f>H111-H112</f>
        <v>1.1008942678711051</v>
      </c>
      <c r="AA112" s="56"/>
      <c r="AB112" s="94"/>
    </row>
    <row r="113" spans="1:28" s="51" customFormat="1" ht="17.25" hidden="1" customHeight="1">
      <c r="A113" s="329"/>
      <c r="B113" s="329">
        <v>3</v>
      </c>
      <c r="C113" s="329">
        <f t="shared" si="40"/>
        <v>89</v>
      </c>
      <c r="D113" s="334">
        <f t="shared" ref="D113:D146" si="42">D112</f>
        <v>15.880000000000003</v>
      </c>
      <c r="E113" s="336">
        <f t="shared" si="41"/>
        <v>0.89</v>
      </c>
      <c r="F113" s="337" t="s">
        <v>21</v>
      </c>
      <c r="G113" s="329">
        <v>3</v>
      </c>
      <c r="H113" s="338">
        <f t="shared" si="39"/>
        <v>11.715395197185446</v>
      </c>
      <c r="I113" s="339"/>
      <c r="J113" s="341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29"/>
      <c r="B114" s="329">
        <v>4</v>
      </c>
      <c r="C114" s="329">
        <f t="shared" si="40"/>
        <v>86</v>
      </c>
      <c r="D114" s="334">
        <f t="shared" si="42"/>
        <v>15.880000000000003</v>
      </c>
      <c r="E114" s="336">
        <f t="shared" si="41"/>
        <v>0.86</v>
      </c>
      <c r="F114" s="340">
        <v>1</v>
      </c>
      <c r="G114" s="342">
        <v>4</v>
      </c>
      <c r="H114" s="343">
        <f t="shared" si="39"/>
        <v>10.782796980712918</v>
      </c>
      <c r="I114" s="344"/>
      <c r="J114" s="341">
        <f t="shared" si="43"/>
        <v>0.9325982164725275</v>
      </c>
      <c r="AA114" s="56"/>
      <c r="AB114" s="94"/>
    </row>
    <row r="115" spans="1:28" s="51" customFormat="1" ht="17.25" customHeight="1">
      <c r="A115" s="329"/>
      <c r="B115" s="329">
        <v>5</v>
      </c>
      <c r="C115" s="329">
        <f t="shared" si="40"/>
        <v>83</v>
      </c>
      <c r="D115" s="334">
        <f t="shared" si="42"/>
        <v>15.880000000000003</v>
      </c>
      <c r="E115" s="336">
        <f t="shared" si="41"/>
        <v>0.83</v>
      </c>
      <c r="F115" s="340">
        <v>2</v>
      </c>
      <c r="G115" s="342">
        <v>5</v>
      </c>
      <c r="H115" s="343">
        <f t="shared" si="39"/>
        <v>9.9244377821078142</v>
      </c>
      <c r="I115" s="344"/>
      <c r="J115" s="341">
        <f t="shared" si="43"/>
        <v>0.85835919860510401</v>
      </c>
      <c r="AA115" s="56"/>
      <c r="AB115" s="94"/>
    </row>
    <row r="116" spans="1:28" s="51" customFormat="1" ht="17.25" customHeight="1">
      <c r="A116" s="329"/>
      <c r="B116" s="329">
        <v>6</v>
      </c>
      <c r="C116" s="329">
        <f t="shared" si="40"/>
        <v>80</v>
      </c>
      <c r="D116" s="334">
        <f t="shared" si="42"/>
        <v>15.880000000000003</v>
      </c>
      <c r="E116" s="336">
        <f t="shared" si="41"/>
        <v>0.8</v>
      </c>
      <c r="F116" s="340">
        <v>3</v>
      </c>
      <c r="G116" s="342">
        <v>6</v>
      </c>
      <c r="H116" s="343">
        <f t="shared" si="39"/>
        <v>9.1344078412220089</v>
      </c>
      <c r="I116" s="344"/>
      <c r="J116" s="341">
        <f t="shared" si="43"/>
        <v>0.79002994088580536</v>
      </c>
      <c r="AA116" s="56"/>
      <c r="AB116" s="94"/>
    </row>
    <row r="117" spans="1:28" s="51" customFormat="1" ht="17.25" customHeight="1">
      <c r="A117" s="329"/>
      <c r="B117" s="329">
        <v>7</v>
      </c>
      <c r="C117" s="329">
        <f t="shared" si="40"/>
        <v>77</v>
      </c>
      <c r="D117" s="334">
        <f t="shared" si="42"/>
        <v>15.880000000000003</v>
      </c>
      <c r="E117" s="336">
        <f t="shared" si="41"/>
        <v>0.77</v>
      </c>
      <c r="F117" s="340">
        <v>4</v>
      </c>
      <c r="G117" s="342">
        <v>7</v>
      </c>
      <c r="H117" s="343">
        <f t="shared" si="39"/>
        <v>8.4072678414290092</v>
      </c>
      <c r="I117" s="344"/>
      <c r="J117" s="341">
        <f t="shared" si="43"/>
        <v>0.7271399997929997</v>
      </c>
      <c r="AA117" s="56"/>
      <c r="AB117" s="94"/>
    </row>
    <row r="118" spans="1:28" s="51" customFormat="1" ht="17.25" customHeight="1">
      <c r="A118" s="329"/>
      <c r="B118" s="329">
        <v>8</v>
      </c>
      <c r="C118" s="329">
        <f t="shared" si="40"/>
        <v>74</v>
      </c>
      <c r="D118" s="334">
        <f t="shared" si="42"/>
        <v>15.880000000000003</v>
      </c>
      <c r="E118" s="336">
        <f t="shared" si="41"/>
        <v>0.74</v>
      </c>
      <c r="F118" s="340">
        <v>5</v>
      </c>
      <c r="G118" s="342">
        <v>8</v>
      </c>
      <c r="H118" s="343">
        <f t="shared" si="39"/>
        <v>7.7380114602010686</v>
      </c>
      <c r="I118" s="344"/>
      <c r="J118" s="341">
        <f t="shared" si="43"/>
        <v>0.66925638122794062</v>
      </c>
      <c r="AA118" s="56"/>
      <c r="AB118" s="94"/>
    </row>
    <row r="119" spans="1:28" s="51" customFormat="1" ht="17.25" hidden="1" customHeight="1">
      <c r="A119" s="329"/>
      <c r="B119" s="329">
        <v>9</v>
      </c>
      <c r="C119" s="329">
        <f t="shared" si="40"/>
        <v>71</v>
      </c>
      <c r="D119" s="334">
        <f t="shared" si="42"/>
        <v>15.880000000000003</v>
      </c>
      <c r="E119" s="336">
        <f t="shared" si="41"/>
        <v>0.71</v>
      </c>
      <c r="F119" s="337"/>
      <c r="G119" s="329">
        <v>9</v>
      </c>
      <c r="H119" s="345">
        <f t="shared" si="39"/>
        <v>7.1220309008289719</v>
      </c>
      <c r="I119" s="346"/>
      <c r="J119" s="341">
        <f t="shared" si="43"/>
        <v>0.61598055937209661</v>
      </c>
      <c r="AA119" s="56"/>
      <c r="AB119" s="94"/>
    </row>
    <row r="120" spans="1:28" s="51" customFormat="1" ht="17.25" hidden="1" customHeight="1">
      <c r="A120" s="329">
        <f>C110</f>
        <v>3</v>
      </c>
      <c r="B120" s="329">
        <v>10</v>
      </c>
      <c r="C120" s="329">
        <f>C119-A$120</f>
        <v>68</v>
      </c>
      <c r="D120" s="334">
        <f t="shared" si="42"/>
        <v>15.880000000000003</v>
      </c>
      <c r="E120" s="336">
        <f t="shared" si="41"/>
        <v>0.68</v>
      </c>
      <c r="F120" s="337" t="s">
        <v>21</v>
      </c>
      <c r="G120" s="329">
        <v>10</v>
      </c>
      <c r="H120" s="338">
        <f t="shared" si="39"/>
        <v>6.5550851679721758</v>
      </c>
      <c r="I120" s="339"/>
      <c r="J120" s="341">
        <f t="shared" si="43"/>
        <v>0.56694573285679617</v>
      </c>
      <c r="AA120" s="56"/>
      <c r="AB120" s="94"/>
    </row>
    <row r="121" spans="1:28" s="51" customFormat="1" ht="17.25" customHeight="1">
      <c r="A121" s="329"/>
      <c r="B121" s="329">
        <v>11</v>
      </c>
      <c r="C121" s="329">
        <f t="shared" ref="C121:C128" si="44">C120-A$120</f>
        <v>65</v>
      </c>
      <c r="D121" s="334">
        <f t="shared" si="42"/>
        <v>15.880000000000003</v>
      </c>
      <c r="E121" s="336">
        <f t="shared" si="41"/>
        <v>0.65</v>
      </c>
      <c r="F121" s="340">
        <v>10</v>
      </c>
      <c r="G121" s="342">
        <v>12</v>
      </c>
      <c r="H121" s="343">
        <f t="shared" si="39"/>
        <v>6.0332708686180201</v>
      </c>
      <c r="I121" s="344"/>
      <c r="J121" s="341">
        <f t="shared" si="43"/>
        <v>0.52181429935415569</v>
      </c>
      <c r="AA121" s="56"/>
      <c r="AB121" s="94"/>
    </row>
    <row r="122" spans="1:28" s="51" customFormat="1" ht="17.25" hidden="1" customHeight="1">
      <c r="A122" s="329"/>
      <c r="B122" s="329">
        <v>12</v>
      </c>
      <c r="C122" s="329">
        <f t="shared" si="44"/>
        <v>62</v>
      </c>
      <c r="D122" s="334">
        <f t="shared" si="42"/>
        <v>15.880000000000003</v>
      </c>
      <c r="E122" s="336">
        <f t="shared" si="41"/>
        <v>0.62</v>
      </c>
      <c r="F122" s="337"/>
      <c r="G122" s="329">
        <v>14</v>
      </c>
      <c r="H122" s="338">
        <f t="shared" si="39"/>
        <v>5.5529953374160863</v>
      </c>
      <c r="I122" s="339"/>
      <c r="J122" s="341">
        <f t="shared" si="43"/>
        <v>0.48027553120193378</v>
      </c>
      <c r="AA122" s="56"/>
      <c r="AB122" s="94"/>
    </row>
    <row r="123" spans="1:28" s="51" customFormat="1" ht="17.25" hidden="1" customHeight="1">
      <c r="A123" s="329"/>
      <c r="B123" s="329"/>
      <c r="C123" s="329">
        <v>37</v>
      </c>
      <c r="D123" s="334">
        <f t="shared" si="42"/>
        <v>15.880000000000003</v>
      </c>
      <c r="E123" s="336">
        <f t="shared" si="41"/>
        <v>0.37</v>
      </c>
      <c r="F123" s="337"/>
      <c r="G123" s="329">
        <v>15</v>
      </c>
      <c r="H123" s="338">
        <f t="shared" si="39"/>
        <v>2.7817281427560583</v>
      </c>
      <c r="I123" s="339"/>
      <c r="J123" s="341">
        <f t="shared" si="43"/>
        <v>2.771267194660028</v>
      </c>
      <c r="AA123" s="56"/>
      <c r="AB123" s="94"/>
    </row>
    <row r="124" spans="1:28" s="51" customFormat="1" ht="17.25" customHeight="1">
      <c r="A124" s="329"/>
      <c r="B124" s="329">
        <v>13</v>
      </c>
      <c r="C124" s="329">
        <v>63</v>
      </c>
      <c r="D124" s="334">
        <f t="shared" si="42"/>
        <v>15.880000000000003</v>
      </c>
      <c r="E124" s="336">
        <f t="shared" si="41"/>
        <v>0.63</v>
      </c>
      <c r="F124" s="340">
        <v>15</v>
      </c>
      <c r="G124" s="342">
        <v>16</v>
      </c>
      <c r="H124" s="343">
        <f t="shared" si="39"/>
        <v>5.7086815048240274</v>
      </c>
      <c r="I124" s="344"/>
      <c r="J124" s="341">
        <f t="shared" si="43"/>
        <v>-2.9269533620679691</v>
      </c>
      <c r="AA124" s="56"/>
      <c r="AB124" s="94"/>
    </row>
    <row r="125" spans="1:28" s="51" customFormat="1" ht="17.25" hidden="1" customHeight="1">
      <c r="A125" s="329"/>
      <c r="B125" s="329">
        <v>14</v>
      </c>
      <c r="C125" s="329">
        <f t="shared" si="44"/>
        <v>60</v>
      </c>
      <c r="D125" s="334">
        <f t="shared" si="42"/>
        <v>15.880000000000003</v>
      </c>
      <c r="E125" s="336">
        <f t="shared" si="41"/>
        <v>0.6</v>
      </c>
      <c r="F125" s="337"/>
      <c r="G125" s="329">
        <v>18</v>
      </c>
      <c r="H125" s="338">
        <f t="shared" si="39"/>
        <v>5.2542447487265775</v>
      </c>
      <c r="I125" s="339"/>
      <c r="J125" s="341">
        <f t="shared" si="43"/>
        <v>0.45443675609744982</v>
      </c>
      <c r="AA125" s="56"/>
      <c r="AB125" s="94"/>
    </row>
    <row r="126" spans="1:28" s="51" customFormat="1" ht="17.25" customHeight="1">
      <c r="A126" s="329"/>
      <c r="B126" s="329">
        <v>15</v>
      </c>
      <c r="C126" s="329">
        <f t="shared" si="44"/>
        <v>57</v>
      </c>
      <c r="D126" s="334">
        <f t="shared" si="42"/>
        <v>15.880000000000003</v>
      </c>
      <c r="E126" s="336">
        <f t="shared" si="41"/>
        <v>0.56999999999999995</v>
      </c>
      <c r="F126" s="340">
        <v>20</v>
      </c>
      <c r="G126" s="342">
        <v>20</v>
      </c>
      <c r="H126" s="343">
        <f t="shared" si="39"/>
        <v>4.8359832049120115</v>
      </c>
      <c r="I126" s="344"/>
      <c r="J126" s="341">
        <f t="shared" si="43"/>
        <v>0.41826154381456604</v>
      </c>
      <c r="AA126" s="56"/>
      <c r="AB126" s="94"/>
    </row>
    <row r="127" spans="1:28" s="51" customFormat="1" ht="17.25" customHeight="1">
      <c r="A127" s="329"/>
      <c r="B127" s="329">
        <v>16</v>
      </c>
      <c r="C127" s="329">
        <f t="shared" si="44"/>
        <v>54</v>
      </c>
      <c r="D127" s="334">
        <f t="shared" si="42"/>
        <v>15.880000000000003</v>
      </c>
      <c r="E127" s="336">
        <f t="shared" si="41"/>
        <v>0.54</v>
      </c>
      <c r="F127" s="340">
        <v>25</v>
      </c>
      <c r="G127" s="342">
        <v>25</v>
      </c>
      <c r="H127" s="343">
        <f t="shared" si="39"/>
        <v>4.4510171635721916</v>
      </c>
      <c r="I127" s="344"/>
      <c r="J127" s="341">
        <f t="shared" si="43"/>
        <v>0.38496604133981993</v>
      </c>
      <c r="AA127" s="56"/>
      <c r="AB127" s="94"/>
    </row>
    <row r="128" spans="1:28" s="51" customFormat="1" ht="17.25" customHeight="1">
      <c r="A128" s="329"/>
      <c r="B128" s="329">
        <v>17</v>
      </c>
      <c r="C128" s="329">
        <f t="shared" si="44"/>
        <v>51</v>
      </c>
      <c r="D128" s="334">
        <f t="shared" si="42"/>
        <v>15.880000000000003</v>
      </c>
      <c r="E128" s="336">
        <f t="shared" si="41"/>
        <v>0.51</v>
      </c>
      <c r="F128" s="340">
        <v>30</v>
      </c>
      <c r="G128" s="342">
        <v>30</v>
      </c>
      <c r="H128" s="343">
        <f>D128^E128</f>
        <v>4.0966961527681098</v>
      </c>
      <c r="I128" s="344"/>
      <c r="J128" s="341">
        <f t="shared" si="43"/>
        <v>0.35432101080408174</v>
      </c>
      <c r="AA128" s="56"/>
      <c r="AB128" s="94"/>
    </row>
    <row r="129" spans="1:28" s="51" customFormat="1" ht="17.25" customHeight="1">
      <c r="A129" s="329"/>
      <c r="B129" s="329"/>
      <c r="C129" s="329">
        <v>50</v>
      </c>
      <c r="D129" s="334">
        <f t="shared" si="42"/>
        <v>15.880000000000003</v>
      </c>
      <c r="E129" s="336">
        <f t="shared" si="41"/>
        <v>0.5</v>
      </c>
      <c r="F129" s="340">
        <v>35</v>
      </c>
      <c r="G129" s="342">
        <v>35</v>
      </c>
      <c r="H129" s="343">
        <f t="shared" si="39"/>
        <v>3.9849717690342552</v>
      </c>
      <c r="I129" s="344"/>
      <c r="J129" s="341">
        <f t="shared" si="43"/>
        <v>0.11172438373385463</v>
      </c>
      <c r="AA129" s="56"/>
      <c r="AB129" s="94"/>
    </row>
    <row r="130" spans="1:28" s="51" customFormat="1" ht="17.25" customHeight="1">
      <c r="A130" s="329"/>
      <c r="B130" s="329"/>
      <c r="C130" s="329">
        <v>49</v>
      </c>
      <c r="D130" s="334">
        <f t="shared" si="42"/>
        <v>15.880000000000003</v>
      </c>
      <c r="E130" s="336">
        <f t="shared" si="41"/>
        <v>0.49</v>
      </c>
      <c r="F130" s="340">
        <v>40</v>
      </c>
      <c r="G130" s="342">
        <v>40</v>
      </c>
      <c r="H130" s="343">
        <f t="shared" si="39"/>
        <v>3.8762943132284762</v>
      </c>
      <c r="I130" s="344"/>
      <c r="J130" s="341">
        <f t="shared" si="43"/>
        <v>0.10867745580577903</v>
      </c>
      <c r="AA130" s="56"/>
      <c r="AB130" s="94"/>
    </row>
    <row r="131" spans="1:28" s="51" customFormat="1" ht="17.25" customHeight="1">
      <c r="A131" s="329">
        <f>A120</f>
        <v>3</v>
      </c>
      <c r="B131" s="329">
        <v>18</v>
      </c>
      <c r="C131" s="329">
        <f>C128-A$131</f>
        <v>48</v>
      </c>
      <c r="D131" s="334">
        <f t="shared" si="42"/>
        <v>15.880000000000003</v>
      </c>
      <c r="E131" s="336">
        <f t="shared" si="41"/>
        <v>0.48</v>
      </c>
      <c r="F131" s="340">
        <v>45</v>
      </c>
      <c r="G131" s="342">
        <v>45</v>
      </c>
      <c r="H131" s="343">
        <f t="shared" si="39"/>
        <v>3.7705806900631673</v>
      </c>
      <c r="I131" s="344"/>
      <c r="J131" s="341">
        <f t="shared" si="43"/>
        <v>0.10571362316530886</v>
      </c>
      <c r="AA131" s="56"/>
      <c r="AB131" s="94"/>
    </row>
    <row r="132" spans="1:28" s="51" customFormat="1" ht="17.25" customHeight="1">
      <c r="A132" s="329"/>
      <c r="B132" s="329"/>
      <c r="C132" s="329">
        <v>47</v>
      </c>
      <c r="D132" s="334">
        <f t="shared" si="42"/>
        <v>15.880000000000003</v>
      </c>
      <c r="E132" s="336">
        <f t="shared" si="41"/>
        <v>0.47</v>
      </c>
      <c r="F132" s="340">
        <v>50</v>
      </c>
      <c r="G132" s="342">
        <v>50</v>
      </c>
      <c r="H132" s="343">
        <f t="shared" si="39"/>
        <v>3.6677500704109298</v>
      </c>
      <c r="I132" s="344"/>
      <c r="J132" s="341">
        <f t="shared" si="43"/>
        <v>0.1028306196522375</v>
      </c>
      <c r="AA132" s="56"/>
      <c r="AB132" s="94"/>
    </row>
    <row r="133" spans="1:28" s="51" customFormat="1" ht="17.25" customHeight="1">
      <c r="A133" s="329"/>
      <c r="B133" s="329"/>
      <c r="C133" s="329">
        <v>46</v>
      </c>
      <c r="D133" s="334">
        <f t="shared" si="42"/>
        <v>15.880000000000003</v>
      </c>
      <c r="E133" s="336">
        <f t="shared" si="41"/>
        <v>0.46</v>
      </c>
      <c r="F133" s="340">
        <v>55</v>
      </c>
      <c r="G133" s="342">
        <v>55</v>
      </c>
      <c r="H133" s="343">
        <f t="shared" si="39"/>
        <v>3.5677238295022455</v>
      </c>
      <c r="I133" s="344"/>
      <c r="J133" s="341">
        <f t="shared" si="43"/>
        <v>0.10002624090868428</v>
      </c>
      <c r="AA133" s="56"/>
      <c r="AB133" s="94"/>
    </row>
    <row r="134" spans="1:28" s="51" customFormat="1" ht="17.25" customHeight="1">
      <c r="A134" s="329"/>
      <c r="B134" s="329">
        <v>19</v>
      </c>
      <c r="C134" s="329">
        <f>C131-A$131</f>
        <v>45</v>
      </c>
      <c r="D134" s="334">
        <f t="shared" si="42"/>
        <v>15.880000000000003</v>
      </c>
      <c r="E134" s="336">
        <f t="shared" si="41"/>
        <v>0.45</v>
      </c>
      <c r="F134" s="340">
        <v>60</v>
      </c>
      <c r="G134" s="342">
        <v>60</v>
      </c>
      <c r="H134" s="343">
        <f t="shared" si="39"/>
        <v>3.4704254868086104</v>
      </c>
      <c r="I134" s="344"/>
      <c r="J134" s="341">
        <f t="shared" si="43"/>
        <v>9.7298342693635131E-2</v>
      </c>
      <c r="AA134" s="56"/>
      <c r="AB134" s="94"/>
    </row>
    <row r="135" spans="1:28" s="51" customFormat="1" ht="17.25" customHeight="1">
      <c r="A135" s="329"/>
      <c r="B135" s="329"/>
      <c r="C135" s="329">
        <v>44</v>
      </c>
      <c r="D135" s="334">
        <f t="shared" si="42"/>
        <v>15.880000000000003</v>
      </c>
      <c r="E135" s="336">
        <f t="shared" si="41"/>
        <v>0.44</v>
      </c>
      <c r="F135" s="340">
        <v>75</v>
      </c>
      <c r="G135" s="342">
        <v>75</v>
      </c>
      <c r="H135" s="343">
        <f t="shared" si="39"/>
        <v>3.3757806475651706</v>
      </c>
      <c r="I135" s="344"/>
      <c r="J135" s="341">
        <f t="shared" si="43"/>
        <v>9.4644839243439804E-2</v>
      </c>
      <c r="AA135" s="56"/>
      <c r="AB135" s="94"/>
    </row>
    <row r="136" spans="1:28" s="51" customFormat="1" ht="17.25" customHeight="1">
      <c r="A136" s="329"/>
      <c r="B136" s="329"/>
      <c r="C136" s="329">
        <v>43</v>
      </c>
      <c r="D136" s="334">
        <f t="shared" si="42"/>
        <v>15.880000000000003</v>
      </c>
      <c r="E136" s="336">
        <f t="shared" si="41"/>
        <v>0.43</v>
      </c>
      <c r="F136" s="340">
        <v>90</v>
      </c>
      <c r="G136" s="342">
        <v>90</v>
      </c>
      <c r="H136" s="343">
        <f t="shared" si="39"/>
        <v>3.2837169458881377</v>
      </c>
      <c r="I136" s="344"/>
      <c r="J136" s="341">
        <f t="shared" si="43"/>
        <v>9.2063701677032928E-2</v>
      </c>
      <c r="AA136" s="56"/>
      <c r="AB136" s="94"/>
    </row>
    <row r="137" spans="1:28" s="51" customFormat="1" ht="17.25" customHeight="1">
      <c r="A137" s="329"/>
      <c r="B137" s="329">
        <v>20</v>
      </c>
      <c r="C137" s="329">
        <f>C134-A$131</f>
        <v>42</v>
      </c>
      <c r="D137" s="334">
        <f t="shared" si="42"/>
        <v>15.880000000000003</v>
      </c>
      <c r="E137" s="336">
        <f t="shared" si="41"/>
        <v>0.42</v>
      </c>
      <c r="F137" s="340">
        <v>105</v>
      </c>
      <c r="G137" s="342">
        <v>105</v>
      </c>
      <c r="H137" s="343">
        <f t="shared" si="39"/>
        <v>3.194163989443497</v>
      </c>
      <c r="I137" s="344"/>
      <c r="J137" s="341">
        <f t="shared" si="43"/>
        <v>8.9552956444640675E-2</v>
      </c>
      <c r="AA137" s="56"/>
      <c r="AB137" s="94"/>
    </row>
    <row r="138" spans="1:28" s="51" customFormat="1" ht="17.25" customHeight="1">
      <c r="A138" s="329">
        <f>A131</f>
        <v>3</v>
      </c>
      <c r="B138" s="329"/>
      <c r="C138" s="329">
        <f>C137-A$138</f>
        <v>39</v>
      </c>
      <c r="D138" s="334">
        <f t="shared" si="42"/>
        <v>15.880000000000003</v>
      </c>
      <c r="E138" s="336">
        <f t="shared" si="41"/>
        <v>0.39</v>
      </c>
      <c r="F138" s="340">
        <v>120</v>
      </c>
      <c r="G138" s="342">
        <v>120</v>
      </c>
      <c r="H138" s="343">
        <f t="shared" si="39"/>
        <v>2.9398941513767949</v>
      </c>
      <c r="I138" s="344"/>
      <c r="J138" s="341">
        <f t="shared" si="43"/>
        <v>0.25426983806670211</v>
      </c>
      <c r="AA138" s="56"/>
      <c r="AB138" s="94"/>
    </row>
    <row r="139" spans="1:28" s="51" customFormat="1" ht="17.25" hidden="1" customHeight="1">
      <c r="A139" s="329"/>
      <c r="B139" s="329"/>
      <c r="C139" s="329">
        <f t="shared" ref="C139:C146" si="45">C138-A$138</f>
        <v>36</v>
      </c>
      <c r="D139" s="334">
        <f t="shared" si="42"/>
        <v>15.880000000000003</v>
      </c>
      <c r="E139" s="336">
        <f t="shared" si="41"/>
        <v>0.36</v>
      </c>
      <c r="F139" s="337"/>
      <c r="G139" s="329">
        <v>150</v>
      </c>
      <c r="H139" s="338">
        <f t="shared" si="39"/>
        <v>2.705865337491737</v>
      </c>
      <c r="I139" s="339"/>
      <c r="J139" s="341">
        <f t="shared" si="43"/>
        <v>0.23402881388505792</v>
      </c>
      <c r="AA139" s="56"/>
      <c r="AB139" s="94"/>
    </row>
    <row r="140" spans="1:28" s="51" customFormat="1" ht="17.25" customHeight="1">
      <c r="A140" s="329"/>
      <c r="B140" s="329"/>
      <c r="C140" s="329">
        <v>38</v>
      </c>
      <c r="D140" s="334">
        <f t="shared" si="42"/>
        <v>15.880000000000003</v>
      </c>
      <c r="E140" s="336">
        <f t="shared" si="41"/>
        <v>0.38</v>
      </c>
      <c r="F140" s="340">
        <v>180</v>
      </c>
      <c r="G140" s="342">
        <v>180</v>
      </c>
      <c r="H140" s="343">
        <f t="shared" si="39"/>
        <v>2.859717870281747</v>
      </c>
      <c r="I140" s="344"/>
      <c r="J140" s="341">
        <f t="shared" si="43"/>
        <v>-0.15385253279000999</v>
      </c>
      <c r="AA140" s="56"/>
      <c r="AB140" s="94"/>
    </row>
    <row r="141" spans="1:28" s="51" customFormat="1" ht="17.25" hidden="1" customHeight="1">
      <c r="A141" s="329"/>
      <c r="B141" s="329"/>
      <c r="C141" s="329">
        <f t="shared" si="45"/>
        <v>35</v>
      </c>
      <c r="D141" s="334">
        <f t="shared" si="42"/>
        <v>15.880000000000003</v>
      </c>
      <c r="E141" s="336">
        <f t="shared" si="41"/>
        <v>0.35</v>
      </c>
      <c r="F141" s="337"/>
      <c r="G141" s="329">
        <v>210</v>
      </c>
      <c r="H141" s="338">
        <f t="shared" si="39"/>
        <v>2.6320714494354323</v>
      </c>
      <c r="I141" s="339"/>
      <c r="J141" s="341">
        <f t="shared" si="43"/>
        <v>0.2276464208463147</v>
      </c>
      <c r="AA141" s="56"/>
      <c r="AB141" s="94"/>
    </row>
    <row r="142" spans="1:28" s="51" customFormat="1" ht="17.25" customHeight="1">
      <c r="A142" s="329"/>
      <c r="B142" s="329"/>
      <c r="C142" s="329">
        <f t="shared" si="45"/>
        <v>32</v>
      </c>
      <c r="D142" s="334">
        <f t="shared" si="42"/>
        <v>15.880000000000003</v>
      </c>
      <c r="E142" s="336">
        <f>C142/100</f>
        <v>0.32</v>
      </c>
      <c r="F142" s="340">
        <v>240</v>
      </c>
      <c r="G142" s="342">
        <v>240</v>
      </c>
      <c r="H142" s="343">
        <f t="shared" si="39"/>
        <v>2.4225467088648833</v>
      </c>
      <c r="I142" s="344"/>
      <c r="J142" s="341">
        <f t="shared" si="43"/>
        <v>0.20952474057054893</v>
      </c>
      <c r="AA142" s="56"/>
      <c r="AB142" s="94"/>
    </row>
    <row r="143" spans="1:28" s="51" customFormat="1" ht="17.25" hidden="1" customHeight="1">
      <c r="A143" s="329"/>
      <c r="B143" s="329"/>
      <c r="C143" s="329">
        <f t="shared" si="45"/>
        <v>29</v>
      </c>
      <c r="D143" s="334">
        <f t="shared" si="42"/>
        <v>15.880000000000003</v>
      </c>
      <c r="E143" s="336">
        <f>C143/100</f>
        <v>0.28999999999999998</v>
      </c>
      <c r="F143" s="337"/>
      <c r="G143" s="329">
        <v>270</v>
      </c>
      <c r="H143" s="338">
        <f t="shared" si="39"/>
        <v>2.2297010812114899</v>
      </c>
      <c r="I143" s="339"/>
      <c r="J143" s="341">
        <f t="shared" si="43"/>
        <v>0.19284562765339341</v>
      </c>
      <c r="AA143" s="56"/>
      <c r="AB143" s="94"/>
    </row>
    <row r="144" spans="1:28" s="51" customFormat="1" ht="17.25" customHeight="1">
      <c r="A144" s="329"/>
      <c r="B144" s="329"/>
      <c r="C144" s="329">
        <f t="shared" si="45"/>
        <v>26</v>
      </c>
      <c r="D144" s="334">
        <f t="shared" si="42"/>
        <v>15.880000000000003</v>
      </c>
      <c r="E144" s="336">
        <f>C144/100</f>
        <v>0.26</v>
      </c>
      <c r="F144" s="340">
        <v>300</v>
      </c>
      <c r="G144" s="342">
        <v>300</v>
      </c>
      <c r="H144" s="343">
        <f t="shared" si="39"/>
        <v>2.0522068339748056</v>
      </c>
      <c r="I144" s="344"/>
      <c r="J144" s="341">
        <f t="shared" si="43"/>
        <v>0.17749424723668428</v>
      </c>
      <c r="AA144" s="56"/>
      <c r="AB144" s="94"/>
    </row>
    <row r="145" spans="1:28" s="51" customFormat="1" ht="17.25" hidden="1" customHeight="1">
      <c r="A145" s="329"/>
      <c r="B145" s="329"/>
      <c r="C145" s="329">
        <f t="shared" si="45"/>
        <v>23</v>
      </c>
      <c r="D145" s="334">
        <f t="shared" si="42"/>
        <v>15.880000000000003</v>
      </c>
      <c r="E145" s="336">
        <f>C145/100</f>
        <v>0.23</v>
      </c>
      <c r="F145" s="337"/>
      <c r="G145" s="329">
        <v>330</v>
      </c>
      <c r="H145" s="338">
        <f t="shared" si="39"/>
        <v>1.8888419281406916</v>
      </c>
      <c r="I145" s="339"/>
      <c r="J145" s="341">
        <f t="shared" si="43"/>
        <v>0.163364905834114</v>
      </c>
      <c r="AA145" s="56"/>
      <c r="AB145" s="94"/>
    </row>
    <row r="146" spans="1:28" s="51" customFormat="1" ht="17.25" customHeight="1">
      <c r="A146" s="329"/>
      <c r="B146" s="329"/>
      <c r="C146" s="329">
        <f t="shared" si="45"/>
        <v>20</v>
      </c>
      <c r="D146" s="334">
        <f t="shared" si="42"/>
        <v>15.880000000000003</v>
      </c>
      <c r="E146" s="336">
        <f>C146/100</f>
        <v>0.2</v>
      </c>
      <c r="F146" s="340">
        <v>360</v>
      </c>
      <c r="G146" s="342">
        <v>360</v>
      </c>
      <c r="H146" s="343">
        <f t="shared" si="39"/>
        <v>1.7384816045038303</v>
      </c>
      <c r="I146" s="344"/>
      <c r="J146" s="341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30" sqref="K3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M25" sqref="M25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8"/>
      <c r="M6" s="528"/>
      <c r="N6" s="528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O22" sqref="O22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41" t="s">
        <v>315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C103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43" si="0">$C$4+D12/1440</f>
        <v>45454.472916666666</v>
      </c>
      <c r="D12" s="538">
        <v>1</v>
      </c>
      <c r="E12" s="538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38">
        <v>2</v>
      </c>
      <c r="E13" s="538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38">
        <v>3</v>
      </c>
      <c r="E14" s="538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38">
        <v>4</v>
      </c>
      <c r="E15" s="538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38">
        <v>5</v>
      </c>
      <c r="E16" s="538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38">
        <v>10</v>
      </c>
      <c r="E17" s="538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38">
        <v>15</v>
      </c>
      <c r="E18" s="538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38">
        <v>20</v>
      </c>
      <c r="E19" s="538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38">
        <v>25</v>
      </c>
      <c r="E20" s="538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38">
        <v>30</v>
      </c>
      <c r="E21" s="538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38">
        <v>35</v>
      </c>
      <c r="E22" s="538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38">
        <v>40</v>
      </c>
      <c r="E23" s="538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38">
        <v>45</v>
      </c>
      <c r="E24" s="538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38">
        <v>50</v>
      </c>
      <c r="E25" s="538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38">
        <v>55</v>
      </c>
      <c r="E26" s="538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38">
        <v>60</v>
      </c>
      <c r="E27" s="538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38">
        <v>75</v>
      </c>
      <c r="E28" s="538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38">
        <v>90</v>
      </c>
      <c r="E29" s="538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38">
        <v>105</v>
      </c>
      <c r="E30" s="538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38">
        <v>120</v>
      </c>
      <c r="E31" s="538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38">
        <v>140</v>
      </c>
      <c r="E32" s="538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38">
        <v>160</v>
      </c>
      <c r="E33" s="538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38">
        <v>180</v>
      </c>
      <c r="E34" s="538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38">
        <v>240</v>
      </c>
      <c r="E35" s="538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38">
        <v>300</v>
      </c>
      <c r="E36" s="538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38">
        <v>360</v>
      </c>
      <c r="E37" s="538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38">
        <v>420</v>
      </c>
      <c r="E38" s="538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38">
        <v>480</v>
      </c>
      <c r="E39" s="538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38">
        <v>540</v>
      </c>
      <c r="E40" s="538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38">
        <v>600</v>
      </c>
      <c r="E41" s="538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38">
        <v>660</v>
      </c>
      <c r="E42" s="538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38">
        <v>720</v>
      </c>
      <c r="E43" s="538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38">
        <v>780</v>
      </c>
      <c r="E44" s="538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38">
        <v>840</v>
      </c>
      <c r="E45" s="538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38">
        <v>900</v>
      </c>
      <c r="E46" s="538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38">
        <v>960</v>
      </c>
      <c r="E47" s="538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38">
        <v>1020</v>
      </c>
      <c r="E48" s="538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38">
        <v>1080</v>
      </c>
      <c r="E49" s="538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38">
        <v>1140</v>
      </c>
      <c r="E50" s="538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38">
        <v>1200</v>
      </c>
      <c r="E51" s="538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38">
        <v>1260</v>
      </c>
      <c r="E52" s="538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38">
        <v>1320</v>
      </c>
      <c r="E53" s="538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38">
        <v>1380</v>
      </c>
      <c r="E54" s="538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38">
        <v>1440</v>
      </c>
      <c r="E55" s="538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45455.513888888883</v>
      </c>
      <c r="D56" s="529">
        <v>1500</v>
      </c>
      <c r="E56" s="530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29">
        <v>1560</v>
      </c>
      <c r="E57" s="530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29">
        <v>1620</v>
      </c>
      <c r="E58" s="530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29">
        <v>1680</v>
      </c>
      <c r="E59" s="530"/>
      <c r="F59" s="424">
        <f>LongTest!F57</f>
        <v>25.330000000000002</v>
      </c>
      <c r="G59" s="424">
        <f>LongTest!G57</f>
        <v>15.880000000000003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45455.680555555555</v>
      </c>
      <c r="D60" s="529">
        <v>1740</v>
      </c>
      <c r="E60" s="530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29">
        <v>1800</v>
      </c>
      <c r="E61" s="530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29">
        <v>1860</v>
      </c>
      <c r="E62" s="530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29">
        <v>1920</v>
      </c>
      <c r="E63" s="530"/>
      <c r="F63" s="424">
        <f>LongTest!F61</f>
        <v>25.330000000000002</v>
      </c>
      <c r="G63" s="424">
        <f>LongTest!G61</f>
        <v>15.880000000000003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45455.847222222219</v>
      </c>
      <c r="D64" s="529">
        <v>1980</v>
      </c>
      <c r="E64" s="530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29">
        <v>2040</v>
      </c>
      <c r="E65" s="530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29">
        <v>2100</v>
      </c>
      <c r="E66" s="530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29">
        <v>2160</v>
      </c>
      <c r="E67" s="530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29">
        <v>2220</v>
      </c>
      <c r="E68" s="530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29">
        <v>2280</v>
      </c>
      <c r="E69" s="530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29">
        <v>2340</v>
      </c>
      <c r="E70" s="530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29">
        <v>2400</v>
      </c>
      <c r="E71" s="530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29">
        <v>2460</v>
      </c>
      <c r="E72" s="530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29">
        <v>2520</v>
      </c>
      <c r="E73" s="530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29">
        <v>2580</v>
      </c>
      <c r="E74" s="530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29">
        <v>2640</v>
      </c>
      <c r="E75" s="530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29">
        <v>2700</v>
      </c>
      <c r="E76" s="530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29">
        <v>2760</v>
      </c>
      <c r="E77" s="530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29">
        <v>2820</v>
      </c>
      <c r="E78" s="530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1"/>
      <c r="B79" s="428"/>
      <c r="C79" s="428">
        <f t="shared" si="4"/>
        <v>45456.472222222219</v>
      </c>
      <c r="D79" s="529">
        <v>2880</v>
      </c>
      <c r="E79" s="530"/>
      <c r="F79" s="424">
        <f>LongTest!F77</f>
        <v>25.330000000000002</v>
      </c>
      <c r="G79" s="424">
        <f>LongTest!G77</f>
        <v>15.880000000000003</v>
      </c>
      <c r="H79" s="424">
        <f>H63</f>
        <v>15.4</v>
      </c>
      <c r="I79" s="424">
        <f t="shared" ref="I79:J79" si="5">I63</f>
        <v>209</v>
      </c>
      <c r="J79" s="425">
        <f t="shared" si="5"/>
        <v>8.4700000000000006</v>
      </c>
    </row>
    <row r="80" spans="1:10" ht="24.95" customHeight="1">
      <c r="A80" s="451"/>
      <c r="B80" s="424">
        <v>0</v>
      </c>
      <c r="C80" s="428">
        <f>$C$4+(D80+2880)/1440</f>
        <v>45456.472916666666</v>
      </c>
      <c r="D80" s="529">
        <v>1</v>
      </c>
      <c r="E80" s="530"/>
      <c r="F80" s="429">
        <f>LongTest!F78</f>
        <v>20.232796980712919</v>
      </c>
      <c r="G80" s="429">
        <f>LongTest!G78</f>
        <v>10.782796980712918</v>
      </c>
      <c r="H80" s="531" t="s">
        <v>191</v>
      </c>
      <c r="I80" s="532"/>
      <c r="J80" s="533"/>
    </row>
    <row r="81" spans="1:10" ht="24.95" customHeight="1">
      <c r="A81" s="451"/>
      <c r="B81" s="428"/>
      <c r="C81" s="428">
        <f t="shared" ref="C81:C103" si="6">$C$4+(D81+2880)/1440</f>
        <v>45456.473611111105</v>
      </c>
      <c r="D81" s="529">
        <v>2</v>
      </c>
      <c r="E81" s="530"/>
      <c r="F81" s="429">
        <f>LongTest!F79</f>
        <v>19.374437782107812</v>
      </c>
      <c r="G81" s="429">
        <f>LongTest!G79</f>
        <v>9.9244377821078142</v>
      </c>
      <c r="H81" s="529"/>
      <c r="I81" s="534"/>
      <c r="J81" s="535"/>
    </row>
    <row r="82" spans="1:10" ht="24.95" customHeight="1">
      <c r="A82" s="451"/>
      <c r="B82" s="428"/>
      <c r="C82" s="428">
        <f t="shared" si="6"/>
        <v>45456.474305555552</v>
      </c>
      <c r="D82" s="529">
        <v>3</v>
      </c>
      <c r="E82" s="530"/>
      <c r="F82" s="429">
        <f>LongTest!F80</f>
        <v>18.58440784122201</v>
      </c>
      <c r="G82" s="429">
        <f>LongTest!G80</f>
        <v>9.1344078412220089</v>
      </c>
      <c r="H82" s="529"/>
      <c r="I82" s="534"/>
      <c r="J82" s="535"/>
    </row>
    <row r="83" spans="1:10" ht="24.95" customHeight="1">
      <c r="A83" s="451"/>
      <c r="B83" s="428"/>
      <c r="C83" s="428">
        <f t="shared" si="6"/>
        <v>45456.474999999999</v>
      </c>
      <c r="D83" s="529">
        <v>4</v>
      </c>
      <c r="E83" s="530"/>
      <c r="F83" s="429">
        <f>LongTest!F81</f>
        <v>17.857267841429007</v>
      </c>
      <c r="G83" s="429">
        <f>LongTest!G81</f>
        <v>8.4072678414290092</v>
      </c>
      <c r="H83" s="529"/>
      <c r="I83" s="534"/>
      <c r="J83" s="535"/>
    </row>
    <row r="84" spans="1:10" ht="24.95" customHeight="1">
      <c r="A84" s="451"/>
      <c r="B84" s="428"/>
      <c r="C84" s="428">
        <f t="shared" si="6"/>
        <v>45456.475694444438</v>
      </c>
      <c r="D84" s="529">
        <v>5</v>
      </c>
      <c r="E84" s="530"/>
      <c r="F84" s="429">
        <f>LongTest!F82</f>
        <v>17.188011460201068</v>
      </c>
      <c r="G84" s="429">
        <f>LongTest!G82</f>
        <v>7.7380114602010686</v>
      </c>
      <c r="H84" s="529"/>
      <c r="I84" s="534"/>
      <c r="J84" s="535"/>
    </row>
    <row r="85" spans="1:10" ht="24.95" customHeight="1">
      <c r="A85" s="451"/>
      <c r="B85" s="428"/>
      <c r="C85" s="428">
        <f t="shared" si="6"/>
        <v>45456.479166666664</v>
      </c>
      <c r="D85" s="529">
        <v>10</v>
      </c>
      <c r="E85" s="530"/>
      <c r="F85" s="429">
        <f>LongTest!F83</f>
        <v>15.483270868618019</v>
      </c>
      <c r="G85" s="429">
        <f>LongTest!G83</f>
        <v>6.0332708686180201</v>
      </c>
      <c r="H85" s="529"/>
      <c r="I85" s="534"/>
      <c r="J85" s="535"/>
    </row>
    <row r="86" spans="1:10" ht="24.95" customHeight="1">
      <c r="A86" s="451"/>
      <c r="B86" s="428"/>
      <c r="C86" s="428">
        <f t="shared" si="6"/>
        <v>45456.482638888883</v>
      </c>
      <c r="D86" s="529">
        <v>15</v>
      </c>
      <c r="E86" s="530"/>
      <c r="F86" s="429">
        <f>LongTest!F84</f>
        <v>15.158681504824028</v>
      </c>
      <c r="G86" s="429">
        <f>LongTest!G84</f>
        <v>5.7086815048240274</v>
      </c>
      <c r="H86" s="529"/>
      <c r="I86" s="534"/>
      <c r="J86" s="535"/>
    </row>
    <row r="87" spans="1:10" ht="24.95" customHeight="1">
      <c r="A87" s="451"/>
      <c r="B87" s="428"/>
      <c r="C87" s="428">
        <f t="shared" si="6"/>
        <v>45456.486111111109</v>
      </c>
      <c r="D87" s="529">
        <v>20</v>
      </c>
      <c r="E87" s="530"/>
      <c r="F87" s="429">
        <f>LongTest!F85</f>
        <v>14.285983204912011</v>
      </c>
      <c r="G87" s="429">
        <f>LongTest!G85</f>
        <v>4.8359832049120115</v>
      </c>
      <c r="H87" s="529"/>
      <c r="I87" s="534"/>
      <c r="J87" s="535"/>
    </row>
    <row r="88" spans="1:10" ht="24.95" customHeight="1">
      <c r="A88" s="451"/>
      <c r="B88" s="428"/>
      <c r="C88" s="428">
        <f t="shared" si="6"/>
        <v>45456.489583333328</v>
      </c>
      <c r="D88" s="529">
        <v>25</v>
      </c>
      <c r="E88" s="530"/>
      <c r="F88" s="429">
        <f>LongTest!F86</f>
        <v>13.901017163572192</v>
      </c>
      <c r="G88" s="429">
        <f>LongTest!G86</f>
        <v>4.4510171635721916</v>
      </c>
      <c r="H88" s="529"/>
      <c r="I88" s="534"/>
      <c r="J88" s="535"/>
    </row>
    <row r="89" spans="1:10" ht="24.95" customHeight="1">
      <c r="A89" s="451"/>
      <c r="B89" s="428"/>
      <c r="C89" s="428">
        <f t="shared" si="6"/>
        <v>45456.493055555555</v>
      </c>
      <c r="D89" s="529">
        <v>30</v>
      </c>
      <c r="E89" s="530"/>
      <c r="F89" s="429">
        <f>LongTest!F87</f>
        <v>13.54669615276811</v>
      </c>
      <c r="G89" s="429">
        <f>LongTest!G87</f>
        <v>4.0966961527681098</v>
      </c>
      <c r="H89" s="529"/>
      <c r="I89" s="534"/>
      <c r="J89" s="535"/>
    </row>
    <row r="90" spans="1:10" ht="24.95" customHeight="1">
      <c r="A90" s="451"/>
      <c r="B90" s="428"/>
      <c r="C90" s="428">
        <f t="shared" si="6"/>
        <v>45456.496527777774</v>
      </c>
      <c r="D90" s="529">
        <v>35</v>
      </c>
      <c r="E90" s="530"/>
      <c r="F90" s="429">
        <f>LongTest!F88</f>
        <v>13.434971769034254</v>
      </c>
      <c r="G90" s="429">
        <f>LongTest!G88</f>
        <v>3.9849717690342552</v>
      </c>
      <c r="H90" s="529"/>
      <c r="I90" s="534"/>
      <c r="J90" s="535"/>
    </row>
    <row r="91" spans="1:10" ht="24.95" customHeight="1">
      <c r="A91" s="451"/>
      <c r="B91" s="428"/>
      <c r="C91" s="428">
        <f t="shared" si="6"/>
        <v>45456.5</v>
      </c>
      <c r="D91" s="529">
        <v>40</v>
      </c>
      <c r="E91" s="530"/>
      <c r="F91" s="429">
        <f>LongTest!F89</f>
        <v>13.326294313228475</v>
      </c>
      <c r="G91" s="429">
        <f>LongTest!G89</f>
        <v>3.8762943132284762</v>
      </c>
      <c r="H91" s="529"/>
      <c r="I91" s="534"/>
      <c r="J91" s="535"/>
    </row>
    <row r="92" spans="1:10" ht="24.95" customHeight="1">
      <c r="A92" s="451"/>
      <c r="B92" s="428"/>
      <c r="C92" s="428">
        <f t="shared" si="6"/>
        <v>45456.503472222219</v>
      </c>
      <c r="D92" s="529">
        <v>45</v>
      </c>
      <c r="E92" s="530"/>
      <c r="F92" s="429">
        <f>LongTest!F90</f>
        <v>13.220580690063166</v>
      </c>
      <c r="G92" s="429">
        <f>LongTest!G90</f>
        <v>3.7705806900631673</v>
      </c>
      <c r="H92" s="529"/>
      <c r="I92" s="534"/>
      <c r="J92" s="535"/>
    </row>
    <row r="93" spans="1:10" ht="24.95" customHeight="1">
      <c r="A93" s="451"/>
      <c r="B93" s="428"/>
      <c r="C93" s="428">
        <f t="shared" si="6"/>
        <v>45456.506944444438</v>
      </c>
      <c r="D93" s="529">
        <v>50</v>
      </c>
      <c r="E93" s="530"/>
      <c r="F93" s="429">
        <f>LongTest!F91</f>
        <v>13.11775007041093</v>
      </c>
      <c r="G93" s="429">
        <f>LongTest!G91</f>
        <v>3.6677500704109298</v>
      </c>
      <c r="H93" s="529"/>
      <c r="I93" s="534"/>
      <c r="J93" s="535"/>
    </row>
    <row r="94" spans="1:10" ht="24.95" customHeight="1">
      <c r="A94" s="451"/>
      <c r="B94" s="428"/>
      <c r="C94" s="428">
        <f t="shared" si="6"/>
        <v>45456.510416666664</v>
      </c>
      <c r="D94" s="529">
        <v>55</v>
      </c>
      <c r="E94" s="530"/>
      <c r="F94" s="429">
        <f>LongTest!F92</f>
        <v>13.017723829502245</v>
      </c>
      <c r="G94" s="429">
        <f>LongTest!G92</f>
        <v>3.5677238295022455</v>
      </c>
      <c r="H94" s="529"/>
      <c r="I94" s="534"/>
      <c r="J94" s="535"/>
    </row>
    <row r="95" spans="1:10" ht="24.95" customHeight="1">
      <c r="A95" s="451"/>
      <c r="B95" s="428"/>
      <c r="C95" s="428">
        <f t="shared" si="6"/>
        <v>45456.513888888883</v>
      </c>
      <c r="D95" s="529">
        <v>60</v>
      </c>
      <c r="E95" s="530"/>
      <c r="F95" s="429">
        <f>LongTest!F93</f>
        <v>12.920425486808609</v>
      </c>
      <c r="G95" s="429">
        <f>LongTest!G93</f>
        <v>3.4704254868086104</v>
      </c>
      <c r="H95" s="529"/>
      <c r="I95" s="534"/>
      <c r="J95" s="535"/>
    </row>
    <row r="96" spans="1:10" ht="24.95" customHeight="1">
      <c r="A96" s="451"/>
      <c r="B96" s="428"/>
      <c r="C96" s="428">
        <f t="shared" si="6"/>
        <v>45456.524305555555</v>
      </c>
      <c r="D96" s="529">
        <v>75</v>
      </c>
      <c r="E96" s="530"/>
      <c r="F96" s="429">
        <f>LongTest!F94</f>
        <v>12.825780647565169</v>
      </c>
      <c r="G96" s="429">
        <f>LongTest!G94</f>
        <v>3.3757806475651706</v>
      </c>
      <c r="H96" s="529"/>
      <c r="I96" s="534"/>
      <c r="J96" s="535"/>
    </row>
    <row r="97" spans="1:10" ht="24.95" customHeight="1">
      <c r="A97" s="451"/>
      <c r="B97" s="428"/>
      <c r="C97" s="428">
        <f t="shared" si="6"/>
        <v>45456.534722222219</v>
      </c>
      <c r="D97" s="529">
        <v>90</v>
      </c>
      <c r="E97" s="530"/>
      <c r="F97" s="429">
        <f>LongTest!F95</f>
        <v>12.733716945888137</v>
      </c>
      <c r="G97" s="429">
        <f>LongTest!G95</f>
        <v>3.2837169458881377</v>
      </c>
      <c r="H97" s="529"/>
      <c r="I97" s="534"/>
      <c r="J97" s="535"/>
    </row>
    <row r="98" spans="1:10" ht="24.95" customHeight="1">
      <c r="A98" s="451"/>
      <c r="B98" s="428"/>
      <c r="C98" s="428">
        <f t="shared" si="6"/>
        <v>45456.545138888883</v>
      </c>
      <c r="D98" s="529">
        <v>105</v>
      </c>
      <c r="E98" s="530"/>
      <c r="F98" s="429">
        <f>LongTest!F96</f>
        <v>12.644163989443497</v>
      </c>
      <c r="G98" s="429">
        <f>LongTest!G96</f>
        <v>3.194163989443497</v>
      </c>
      <c r="H98" s="529"/>
      <c r="I98" s="534"/>
      <c r="J98" s="535"/>
    </row>
    <row r="99" spans="1:10" ht="24.95" customHeight="1">
      <c r="A99" s="451"/>
      <c r="B99" s="428"/>
      <c r="C99" s="428">
        <f t="shared" si="6"/>
        <v>45456.555555555555</v>
      </c>
      <c r="D99" s="529">
        <v>120</v>
      </c>
      <c r="E99" s="530"/>
      <c r="F99" s="429">
        <f>LongTest!F97</f>
        <v>12.389894151376794</v>
      </c>
      <c r="G99" s="429">
        <f>LongTest!G97</f>
        <v>2.9398941513767949</v>
      </c>
      <c r="H99" s="529"/>
      <c r="I99" s="534"/>
      <c r="J99" s="535"/>
    </row>
    <row r="100" spans="1:10" ht="24.95" customHeight="1">
      <c r="A100" s="451"/>
      <c r="B100" s="428"/>
      <c r="C100" s="428">
        <f t="shared" si="6"/>
        <v>45456.597222222219</v>
      </c>
      <c r="D100" s="529">
        <v>180</v>
      </c>
      <c r="E100" s="530"/>
      <c r="F100" s="429">
        <f>LongTest!F98</f>
        <v>12.309717870281746</v>
      </c>
      <c r="G100" s="429">
        <f>LongTest!G98</f>
        <v>2.859717870281747</v>
      </c>
      <c r="H100" s="529"/>
      <c r="I100" s="534"/>
      <c r="J100" s="535"/>
    </row>
    <row r="101" spans="1:10" ht="24.95" customHeight="1">
      <c r="A101" s="451"/>
      <c r="B101" s="428"/>
      <c r="C101" s="428">
        <f t="shared" si="6"/>
        <v>45456.638888888883</v>
      </c>
      <c r="D101" s="529">
        <v>240</v>
      </c>
      <c r="E101" s="530"/>
      <c r="F101" s="429">
        <f>LongTest!F99</f>
        <v>11.872546708864883</v>
      </c>
      <c r="G101" s="429">
        <f>LongTest!G99</f>
        <v>2.4225467088648833</v>
      </c>
      <c r="H101" s="529"/>
      <c r="I101" s="534"/>
      <c r="J101" s="535"/>
    </row>
    <row r="102" spans="1:10" ht="24.95" customHeight="1">
      <c r="A102" s="451"/>
      <c r="B102" s="428"/>
      <c r="C102" s="428">
        <f t="shared" si="6"/>
        <v>45456.680555555555</v>
      </c>
      <c r="D102" s="529">
        <v>300</v>
      </c>
      <c r="E102" s="530"/>
      <c r="F102" s="429">
        <f>LongTest!F100</f>
        <v>11.502206833974805</v>
      </c>
      <c r="G102" s="429">
        <f>LongTest!G100</f>
        <v>2.0522068339748056</v>
      </c>
      <c r="H102" s="529"/>
      <c r="I102" s="534"/>
      <c r="J102" s="535"/>
    </row>
    <row r="103" spans="1:10" ht="24.95" customHeight="1" thickBot="1">
      <c r="A103" s="455"/>
      <c r="B103" s="456"/>
      <c r="C103" s="428">
        <f t="shared" si="6"/>
        <v>45456.722222222219</v>
      </c>
      <c r="D103" s="536">
        <v>360</v>
      </c>
      <c r="E103" s="537"/>
      <c r="F103" s="457">
        <f>LongTest!F101</f>
        <v>11.18848160450383</v>
      </c>
      <c r="G103" s="457">
        <f>LongTest!G101</f>
        <v>1.7384816045038303</v>
      </c>
      <c r="H103" s="536" t="s">
        <v>322</v>
      </c>
      <c r="I103" s="558"/>
      <c r="J103" s="55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41" t="s">
        <v>315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C77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55" si="0">$C$4+D12/1440</f>
        <v>45454.472916666666</v>
      </c>
      <c r="D12" s="538">
        <v>1</v>
      </c>
      <c r="E12" s="538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38">
        <v>2</v>
      </c>
      <c r="E13" s="538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38">
        <v>3</v>
      </c>
      <c r="E14" s="538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38">
        <v>4</v>
      </c>
      <c r="E15" s="538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38">
        <v>5</v>
      </c>
      <c r="E16" s="538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38">
        <v>10</v>
      </c>
      <c r="E17" s="538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38">
        <v>15</v>
      </c>
      <c r="E18" s="538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38">
        <v>20</v>
      </c>
      <c r="E19" s="538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38">
        <v>25</v>
      </c>
      <c r="E20" s="538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38">
        <v>30</v>
      </c>
      <c r="E21" s="538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38">
        <v>35</v>
      </c>
      <c r="E22" s="538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38">
        <v>40</v>
      </c>
      <c r="E23" s="538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38">
        <v>45</v>
      </c>
      <c r="E24" s="538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38">
        <v>50</v>
      </c>
      <c r="E25" s="538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38">
        <v>55</v>
      </c>
      <c r="E26" s="538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38">
        <v>60</v>
      </c>
      <c r="E27" s="538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38">
        <v>75</v>
      </c>
      <c r="E28" s="538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38">
        <v>90</v>
      </c>
      <c r="E29" s="538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38">
        <v>105</v>
      </c>
      <c r="E30" s="538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38">
        <v>120</v>
      </c>
      <c r="E31" s="538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38">
        <v>140</v>
      </c>
      <c r="E32" s="538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38">
        <v>160</v>
      </c>
      <c r="E33" s="538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38">
        <v>180</v>
      </c>
      <c r="E34" s="538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38">
        <v>240</v>
      </c>
      <c r="E35" s="538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38">
        <v>300</v>
      </c>
      <c r="E36" s="538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38">
        <v>360</v>
      </c>
      <c r="E37" s="538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38">
        <v>420</v>
      </c>
      <c r="E38" s="538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38">
        <v>480</v>
      </c>
      <c r="E39" s="538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38">
        <v>540</v>
      </c>
      <c r="E40" s="538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38">
        <v>600</v>
      </c>
      <c r="E41" s="538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38">
        <v>660</v>
      </c>
      <c r="E42" s="538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38">
        <v>720</v>
      </c>
      <c r="E43" s="538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si="0"/>
        <v>45455.013888888883</v>
      </c>
      <c r="D44" s="538">
        <v>780</v>
      </c>
      <c r="E44" s="538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0"/>
        <v>45455.055555555555</v>
      </c>
      <c r="D45" s="538">
        <v>840</v>
      </c>
      <c r="E45" s="538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0"/>
        <v>45455.097222222219</v>
      </c>
      <c r="D46" s="538">
        <v>900</v>
      </c>
      <c r="E46" s="538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0"/>
        <v>45455.138888888883</v>
      </c>
      <c r="D47" s="538">
        <v>960</v>
      </c>
      <c r="E47" s="538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0"/>
        <v>45455.180555555555</v>
      </c>
      <c r="D48" s="538">
        <v>1020</v>
      </c>
      <c r="E48" s="538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0"/>
        <v>45455.222222222219</v>
      </c>
      <c r="D49" s="538">
        <v>1080</v>
      </c>
      <c r="E49" s="538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0"/>
        <v>45455.263888888883</v>
      </c>
      <c r="D50" s="538">
        <v>1140</v>
      </c>
      <c r="E50" s="538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0"/>
        <v>45455.305555555555</v>
      </c>
      <c r="D51" s="538">
        <v>1200</v>
      </c>
      <c r="E51" s="538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0"/>
        <v>45455.347222222219</v>
      </c>
      <c r="D52" s="538">
        <v>1260</v>
      </c>
      <c r="E52" s="538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0"/>
        <v>45455.388888888883</v>
      </c>
      <c r="D53" s="538">
        <v>1320</v>
      </c>
      <c r="E53" s="538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0"/>
        <v>45455.430555555555</v>
      </c>
      <c r="D54" s="538">
        <v>1380</v>
      </c>
      <c r="E54" s="538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0"/>
        <v>45455.472222222219</v>
      </c>
      <c r="D55" s="538">
        <v>1440</v>
      </c>
      <c r="E55" s="538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/>
      <c r="D56" s="529"/>
      <c r="E56" s="530"/>
      <c r="F56" s="424"/>
      <c r="G56" s="424"/>
      <c r="H56" s="424"/>
      <c r="I56" s="424"/>
      <c r="J56" s="425"/>
    </row>
    <row r="57" spans="1:10" ht="24.95" customHeight="1">
      <c r="A57" s="451"/>
      <c r="B57" s="428"/>
      <c r="C57" s="428"/>
      <c r="D57" s="529"/>
      <c r="E57" s="530"/>
      <c r="F57" s="424"/>
      <c r="G57" s="424"/>
      <c r="H57" s="424"/>
      <c r="I57" s="424"/>
      <c r="J57" s="425"/>
    </row>
    <row r="58" spans="1:10" ht="24.95" customHeight="1">
      <c r="A58" s="451"/>
      <c r="B58" s="424">
        <v>0</v>
      </c>
      <c r="C58" s="428">
        <f>$C$4+(D58+1440)/1440</f>
        <v>45455.472916666666</v>
      </c>
      <c r="D58" s="529">
        <v>1</v>
      </c>
      <c r="E58" s="530"/>
      <c r="F58" s="429">
        <f>LongTest!F78</f>
        <v>20.232796980712919</v>
      </c>
      <c r="G58" s="429">
        <f>LongTest!G78</f>
        <v>10.782796980712918</v>
      </c>
      <c r="H58" s="531" t="s">
        <v>191</v>
      </c>
      <c r="I58" s="532"/>
      <c r="J58" s="533"/>
    </row>
    <row r="59" spans="1:10" ht="24.95" customHeight="1">
      <c r="A59" s="451"/>
      <c r="B59" s="428"/>
      <c r="C59" s="428">
        <f t="shared" ref="C59:C77" si="1">$C$4+(D59+1440)/1440</f>
        <v>45455.473611111105</v>
      </c>
      <c r="D59" s="529">
        <v>2</v>
      </c>
      <c r="E59" s="530"/>
      <c r="F59" s="429">
        <f>LongTest!F79</f>
        <v>19.374437782107812</v>
      </c>
      <c r="G59" s="429">
        <f>LongTest!G79</f>
        <v>9.9244377821078142</v>
      </c>
      <c r="H59" s="529"/>
      <c r="I59" s="534"/>
      <c r="J59" s="535"/>
    </row>
    <row r="60" spans="1:10" ht="24.95" customHeight="1">
      <c r="A60" s="451"/>
      <c r="B60" s="428"/>
      <c r="C60" s="428">
        <f t="shared" si="1"/>
        <v>45455.474305555552</v>
      </c>
      <c r="D60" s="529">
        <v>3</v>
      </c>
      <c r="E60" s="530"/>
      <c r="F60" s="429">
        <f>LongTest!F80</f>
        <v>18.58440784122201</v>
      </c>
      <c r="G60" s="429">
        <f>LongTest!G80</f>
        <v>9.1344078412220089</v>
      </c>
      <c r="H60" s="529"/>
      <c r="I60" s="534"/>
      <c r="J60" s="535"/>
    </row>
    <row r="61" spans="1:10" ht="24.95" customHeight="1">
      <c r="A61" s="451"/>
      <c r="B61" s="428"/>
      <c r="C61" s="428">
        <f t="shared" si="1"/>
        <v>45455.474999999999</v>
      </c>
      <c r="D61" s="529">
        <v>4</v>
      </c>
      <c r="E61" s="530"/>
      <c r="F61" s="429">
        <f>LongTest!F81</f>
        <v>17.857267841429007</v>
      </c>
      <c r="G61" s="429">
        <f>LongTest!G81</f>
        <v>8.4072678414290092</v>
      </c>
      <c r="H61" s="529"/>
      <c r="I61" s="534"/>
      <c r="J61" s="535"/>
    </row>
    <row r="62" spans="1:10" ht="24.95" customHeight="1">
      <c r="A62" s="451"/>
      <c r="B62" s="428"/>
      <c r="C62" s="428">
        <f t="shared" si="1"/>
        <v>45455.475694444438</v>
      </c>
      <c r="D62" s="529">
        <v>5</v>
      </c>
      <c r="E62" s="530"/>
      <c r="F62" s="429">
        <f>LongTest!F82</f>
        <v>17.188011460201068</v>
      </c>
      <c r="G62" s="429">
        <f>LongTest!G82</f>
        <v>7.7380114602010686</v>
      </c>
      <c r="H62" s="529"/>
      <c r="I62" s="534"/>
      <c r="J62" s="535"/>
    </row>
    <row r="63" spans="1:10" ht="24.95" customHeight="1">
      <c r="A63" s="451"/>
      <c r="B63" s="428"/>
      <c r="C63" s="428">
        <f t="shared" si="1"/>
        <v>45455.479166666664</v>
      </c>
      <c r="D63" s="529">
        <v>10</v>
      </c>
      <c r="E63" s="530"/>
      <c r="F63" s="429">
        <f>LongTest!F83</f>
        <v>15.483270868618019</v>
      </c>
      <c r="G63" s="429">
        <f>LongTest!G83</f>
        <v>6.0332708686180201</v>
      </c>
      <c r="H63" s="529"/>
      <c r="I63" s="534"/>
      <c r="J63" s="535"/>
    </row>
    <row r="64" spans="1:10" ht="24.95" customHeight="1">
      <c r="A64" s="451"/>
      <c r="B64" s="428"/>
      <c r="C64" s="428">
        <f t="shared" si="1"/>
        <v>45455.482638888883</v>
      </c>
      <c r="D64" s="529">
        <v>15</v>
      </c>
      <c r="E64" s="530"/>
      <c r="F64" s="429">
        <f>LongTest!F84</f>
        <v>15.158681504824028</v>
      </c>
      <c r="G64" s="429">
        <f>LongTest!G84</f>
        <v>5.7086815048240274</v>
      </c>
      <c r="H64" s="529"/>
      <c r="I64" s="534"/>
      <c r="J64" s="535"/>
    </row>
    <row r="65" spans="1:10" ht="24.95" customHeight="1">
      <c r="A65" s="451"/>
      <c r="B65" s="428"/>
      <c r="C65" s="428">
        <f t="shared" si="1"/>
        <v>45455.486111111109</v>
      </c>
      <c r="D65" s="529">
        <v>20</v>
      </c>
      <c r="E65" s="530"/>
      <c r="F65" s="429">
        <f>LongTest!F85</f>
        <v>14.285983204912011</v>
      </c>
      <c r="G65" s="429">
        <f>LongTest!G85</f>
        <v>4.8359832049120115</v>
      </c>
      <c r="H65" s="529"/>
      <c r="I65" s="534"/>
      <c r="J65" s="535"/>
    </row>
    <row r="66" spans="1:10" ht="24.95" customHeight="1">
      <c r="A66" s="451"/>
      <c r="B66" s="428"/>
      <c r="C66" s="428">
        <f t="shared" si="1"/>
        <v>45455.489583333328</v>
      </c>
      <c r="D66" s="529">
        <v>25</v>
      </c>
      <c r="E66" s="530"/>
      <c r="F66" s="429">
        <f>LongTest!F86</f>
        <v>13.901017163572192</v>
      </c>
      <c r="G66" s="429">
        <f>LongTest!G86</f>
        <v>4.4510171635721916</v>
      </c>
      <c r="H66" s="529"/>
      <c r="I66" s="534"/>
      <c r="J66" s="535"/>
    </row>
    <row r="67" spans="1:10" ht="24.95" customHeight="1">
      <c r="A67" s="451"/>
      <c r="B67" s="428"/>
      <c r="C67" s="428">
        <f t="shared" si="1"/>
        <v>45455.493055555555</v>
      </c>
      <c r="D67" s="529">
        <v>30</v>
      </c>
      <c r="E67" s="530"/>
      <c r="F67" s="429">
        <f>LongTest!F87</f>
        <v>13.54669615276811</v>
      </c>
      <c r="G67" s="429">
        <f>LongTest!G87</f>
        <v>4.0966961527681098</v>
      </c>
      <c r="H67" s="529"/>
      <c r="I67" s="534"/>
      <c r="J67" s="535"/>
    </row>
    <row r="68" spans="1:10" ht="24.95" customHeight="1">
      <c r="A68" s="451"/>
      <c r="B68" s="428"/>
      <c r="C68" s="428">
        <f t="shared" si="1"/>
        <v>45455.496527777774</v>
      </c>
      <c r="D68" s="529">
        <v>35</v>
      </c>
      <c r="E68" s="530"/>
      <c r="F68" s="429">
        <f>LongTest!F88</f>
        <v>13.434971769034254</v>
      </c>
      <c r="G68" s="429">
        <f>LongTest!G88</f>
        <v>3.9849717690342552</v>
      </c>
      <c r="H68" s="529"/>
      <c r="I68" s="534"/>
      <c r="J68" s="535"/>
    </row>
    <row r="69" spans="1:10" ht="24.95" customHeight="1">
      <c r="A69" s="451"/>
      <c r="B69" s="428"/>
      <c r="C69" s="428">
        <f t="shared" si="1"/>
        <v>45455.5</v>
      </c>
      <c r="D69" s="529">
        <v>40</v>
      </c>
      <c r="E69" s="530"/>
      <c r="F69" s="429">
        <f>LongTest!F89</f>
        <v>13.326294313228475</v>
      </c>
      <c r="G69" s="429">
        <f>LongTest!G89</f>
        <v>3.8762943132284762</v>
      </c>
      <c r="H69" s="529"/>
      <c r="I69" s="534"/>
      <c r="J69" s="535"/>
    </row>
    <row r="70" spans="1:10" ht="24.95" customHeight="1">
      <c r="A70" s="451"/>
      <c r="B70" s="428"/>
      <c r="C70" s="428">
        <f t="shared" si="1"/>
        <v>45455.503472222219</v>
      </c>
      <c r="D70" s="529">
        <v>45</v>
      </c>
      <c r="E70" s="530"/>
      <c r="F70" s="429">
        <f>LongTest!F90</f>
        <v>13.220580690063166</v>
      </c>
      <c r="G70" s="429">
        <f>LongTest!G90</f>
        <v>3.7705806900631673</v>
      </c>
      <c r="H70" s="529"/>
      <c r="I70" s="534"/>
      <c r="J70" s="535"/>
    </row>
    <row r="71" spans="1:10" ht="24.95" customHeight="1">
      <c r="A71" s="451"/>
      <c r="B71" s="428"/>
      <c r="C71" s="428">
        <f t="shared" si="1"/>
        <v>45455.506944444438</v>
      </c>
      <c r="D71" s="529">
        <v>50</v>
      </c>
      <c r="E71" s="530"/>
      <c r="F71" s="429">
        <f>LongTest!F91</f>
        <v>13.11775007041093</v>
      </c>
      <c r="G71" s="429">
        <f>LongTest!G91</f>
        <v>3.6677500704109298</v>
      </c>
      <c r="H71" s="529"/>
      <c r="I71" s="534"/>
      <c r="J71" s="535"/>
    </row>
    <row r="72" spans="1:10" ht="24.95" customHeight="1">
      <c r="A72" s="451"/>
      <c r="B72" s="428"/>
      <c r="C72" s="428">
        <f t="shared" si="1"/>
        <v>45455.510416666664</v>
      </c>
      <c r="D72" s="529">
        <v>55</v>
      </c>
      <c r="E72" s="530"/>
      <c r="F72" s="429">
        <f>LongTest!F92</f>
        <v>13.017723829502245</v>
      </c>
      <c r="G72" s="429">
        <f>LongTest!G92</f>
        <v>3.5677238295022455</v>
      </c>
      <c r="H72" s="529"/>
      <c r="I72" s="534"/>
      <c r="J72" s="535"/>
    </row>
    <row r="73" spans="1:10" ht="24.95" customHeight="1">
      <c r="A73" s="451"/>
      <c r="B73" s="428"/>
      <c r="C73" s="428">
        <f t="shared" si="1"/>
        <v>45455.513888888883</v>
      </c>
      <c r="D73" s="529">
        <v>60</v>
      </c>
      <c r="E73" s="530"/>
      <c r="F73" s="429">
        <f>LongTest!F93</f>
        <v>12.920425486808609</v>
      </c>
      <c r="G73" s="429">
        <f>LongTest!G93</f>
        <v>3.4704254868086104</v>
      </c>
      <c r="H73" s="529"/>
      <c r="I73" s="534"/>
      <c r="J73" s="535"/>
    </row>
    <row r="74" spans="1:10" ht="24.95" customHeight="1">
      <c r="A74" s="451"/>
      <c r="B74" s="428"/>
      <c r="C74" s="428">
        <f t="shared" si="1"/>
        <v>45455.524305555555</v>
      </c>
      <c r="D74" s="529">
        <v>75</v>
      </c>
      <c r="E74" s="530"/>
      <c r="F74" s="429">
        <f>LongTest!F94</f>
        <v>12.825780647565169</v>
      </c>
      <c r="G74" s="429">
        <f>LongTest!G94</f>
        <v>3.3757806475651706</v>
      </c>
      <c r="H74" s="529"/>
      <c r="I74" s="534"/>
      <c r="J74" s="535"/>
    </row>
    <row r="75" spans="1:10" ht="24.95" customHeight="1">
      <c r="A75" s="451"/>
      <c r="B75" s="428"/>
      <c r="C75" s="428">
        <f t="shared" si="1"/>
        <v>45455.534722222219</v>
      </c>
      <c r="D75" s="529">
        <v>90</v>
      </c>
      <c r="E75" s="530"/>
      <c r="F75" s="429">
        <f>LongTest!F95</f>
        <v>12.733716945888137</v>
      </c>
      <c r="G75" s="429">
        <f>LongTest!G95</f>
        <v>3.2837169458881377</v>
      </c>
      <c r="H75" s="529"/>
      <c r="I75" s="534"/>
      <c r="J75" s="535"/>
    </row>
    <row r="76" spans="1:10" ht="24.95" customHeight="1">
      <c r="A76" s="451"/>
      <c r="B76" s="428"/>
      <c r="C76" s="428">
        <f t="shared" si="1"/>
        <v>45455.545138888883</v>
      </c>
      <c r="D76" s="529">
        <v>105</v>
      </c>
      <c r="E76" s="530"/>
      <c r="F76" s="429">
        <f>LongTest!F96</f>
        <v>12.644163989443497</v>
      </c>
      <c r="G76" s="429">
        <f>LongTest!G96</f>
        <v>3.194163989443497</v>
      </c>
      <c r="H76" s="529"/>
      <c r="I76" s="534"/>
      <c r="J76" s="535"/>
    </row>
    <row r="77" spans="1:10" ht="24.95" customHeight="1">
      <c r="A77" s="451"/>
      <c r="B77" s="428"/>
      <c r="C77" s="428">
        <f t="shared" si="1"/>
        <v>45455.555555555555</v>
      </c>
      <c r="D77" s="529">
        <v>120</v>
      </c>
      <c r="E77" s="530"/>
      <c r="F77" s="429">
        <f>LongTest!F97</f>
        <v>12.389894151376794</v>
      </c>
      <c r="G77" s="429">
        <f>LongTest!G97</f>
        <v>2.9398941513767949</v>
      </c>
      <c r="H77" s="529" t="s">
        <v>328</v>
      </c>
      <c r="I77" s="534"/>
      <c r="J77" s="535"/>
    </row>
    <row r="78" spans="1:10" ht="24.95" customHeight="1">
      <c r="A78" s="451"/>
      <c r="B78" s="428"/>
      <c r="C78" s="428"/>
      <c r="D78" s="529"/>
      <c r="E78" s="530"/>
      <c r="F78" s="429"/>
      <c r="G78" s="429"/>
      <c r="H78" s="529"/>
      <c r="I78" s="534"/>
      <c r="J78" s="535"/>
    </row>
    <row r="79" spans="1:10" ht="24.95" customHeight="1">
      <c r="A79" s="451"/>
      <c r="B79" s="428"/>
      <c r="C79" s="428"/>
      <c r="D79" s="529"/>
      <c r="E79" s="530"/>
      <c r="F79" s="429"/>
      <c r="G79" s="429"/>
      <c r="H79" s="529"/>
      <c r="I79" s="534"/>
      <c r="J79" s="535"/>
    </row>
    <row r="80" spans="1:10" ht="24.95" customHeight="1">
      <c r="A80" s="451"/>
      <c r="B80" s="428"/>
      <c r="C80" s="428"/>
      <c r="D80" s="529"/>
      <c r="E80" s="530"/>
      <c r="F80" s="429"/>
      <c r="G80" s="429"/>
      <c r="H80" s="529"/>
      <c r="I80" s="534"/>
      <c r="J80" s="535"/>
    </row>
    <row r="81" spans="1:10" ht="24.95" customHeight="1" thickBot="1">
      <c r="A81" s="455"/>
      <c r="B81" s="456"/>
      <c r="C81" s="456"/>
      <c r="D81" s="536"/>
      <c r="E81" s="537"/>
      <c r="F81" s="457"/>
      <c r="G81" s="457"/>
      <c r="H81" s="536"/>
      <c r="I81" s="558"/>
      <c r="J81" s="55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1" ht="45" customHeight="1" thickBot="1">
      <c r="A1" s="541" t="s">
        <v>319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1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1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1" ht="24.95" customHeight="1">
      <c r="A4" s="547" t="s">
        <v>296</v>
      </c>
      <c r="B4" s="548"/>
      <c r="C4" s="549">
        <f>StepTest!C12</f>
        <v>45511.479166666664</v>
      </c>
      <c r="D4" s="550"/>
      <c r="E4" s="550"/>
      <c r="F4" s="550"/>
      <c r="G4" s="550"/>
      <c r="H4" s="550"/>
      <c r="I4" s="550"/>
      <c r="J4" s="551"/>
    </row>
    <row r="5" spans="1:11" ht="24.95" customHeight="1">
      <c r="A5" s="547" t="s">
        <v>297</v>
      </c>
      <c r="B5" s="548"/>
      <c r="C5" s="549">
        <f>StepTest!C51</f>
        <v>45511.895833333328</v>
      </c>
      <c r="D5" s="550"/>
      <c r="E5" s="550"/>
      <c r="F5" s="550"/>
      <c r="G5" s="550"/>
      <c r="H5" s="550"/>
      <c r="I5" s="550"/>
      <c r="J5" s="551"/>
    </row>
    <row r="6" spans="1:11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1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529"/>
      <c r="H7" s="534"/>
      <c r="I7" s="534"/>
      <c r="J7" s="535"/>
    </row>
    <row r="8" spans="1:11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327</v>
      </c>
      <c r="H8" s="531">
        <f>LongTest!G7</f>
        <v>100</v>
      </c>
      <c r="I8" s="548"/>
      <c r="J8" s="425" t="s">
        <v>300</v>
      </c>
    </row>
    <row r="9" spans="1:11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320</v>
      </c>
      <c r="H9" s="531">
        <f>Input!M51</f>
        <v>150</v>
      </c>
      <c r="I9" s="548"/>
      <c r="J9" s="425" t="s">
        <v>308</v>
      </c>
    </row>
    <row r="10" spans="1:11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1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  <c r="K11" s="458"/>
    </row>
    <row r="12" spans="1:11" ht="24.95" customHeight="1">
      <c r="A12" s="426">
        <v>1</v>
      </c>
      <c r="B12" s="427">
        <f>Input!D20</f>
        <v>94</v>
      </c>
      <c r="C12" s="428">
        <f t="shared" ref="C12:C51" si="0">$C$4+D12/1440</f>
        <v>45511.479861111111</v>
      </c>
      <c r="D12" s="538">
        <v>1</v>
      </c>
      <c r="E12" s="538"/>
      <c r="F12" s="429">
        <f>StepTest!F12</f>
        <v>10.45</v>
      </c>
      <c r="G12" s="429">
        <f>StepTest!G12</f>
        <v>1</v>
      </c>
      <c r="H12" s="562"/>
      <c r="I12" s="563"/>
      <c r="J12" s="564"/>
    </row>
    <row r="13" spans="1:11" ht="24.95" customHeight="1">
      <c r="A13" s="426"/>
      <c r="B13" s="424"/>
      <c r="C13" s="428">
        <f t="shared" si="0"/>
        <v>45511.48055555555</v>
      </c>
      <c r="D13" s="538">
        <v>2</v>
      </c>
      <c r="E13" s="538"/>
      <c r="F13" s="429">
        <f>StepTest!F13</f>
        <v>11.27</v>
      </c>
      <c r="G13" s="429">
        <f>StepTest!G13</f>
        <v>1.82</v>
      </c>
      <c r="H13" s="562"/>
      <c r="I13" s="563"/>
      <c r="J13" s="564"/>
    </row>
    <row r="14" spans="1:11" ht="24.95" customHeight="1">
      <c r="A14" s="426"/>
      <c r="B14" s="424"/>
      <c r="C14" s="428">
        <f t="shared" si="0"/>
        <v>45511.481249999997</v>
      </c>
      <c r="D14" s="538">
        <v>3</v>
      </c>
      <c r="E14" s="538"/>
      <c r="F14" s="429">
        <f>StepTest!F14</f>
        <v>11.75</v>
      </c>
      <c r="G14" s="429">
        <f>StepTest!G14</f>
        <v>2.2999999999999998</v>
      </c>
      <c r="H14" s="562"/>
      <c r="I14" s="563"/>
      <c r="J14" s="564"/>
    </row>
    <row r="15" spans="1:11" ht="24.95" customHeight="1">
      <c r="A15" s="426"/>
      <c r="B15" s="424"/>
      <c r="C15" s="428">
        <f t="shared" si="0"/>
        <v>45511.481944444444</v>
      </c>
      <c r="D15" s="538">
        <v>4</v>
      </c>
      <c r="E15" s="538"/>
      <c r="F15" s="429">
        <f>StepTest!F15</f>
        <v>12.079999999999998</v>
      </c>
      <c r="G15" s="429">
        <f>StepTest!G15</f>
        <v>2.63</v>
      </c>
      <c r="H15" s="562"/>
      <c r="I15" s="563"/>
      <c r="J15" s="564"/>
    </row>
    <row r="16" spans="1:11" ht="24.95" customHeight="1">
      <c r="A16" s="426"/>
      <c r="B16" s="424"/>
      <c r="C16" s="428">
        <f t="shared" si="0"/>
        <v>45511.482638888883</v>
      </c>
      <c r="D16" s="538">
        <v>5</v>
      </c>
      <c r="E16" s="538"/>
      <c r="F16" s="429">
        <f>StepTest!F16</f>
        <v>12.35</v>
      </c>
      <c r="G16" s="429">
        <f>StepTest!G16</f>
        <v>2.9</v>
      </c>
      <c r="H16" s="529"/>
      <c r="I16" s="534"/>
      <c r="J16" s="535"/>
    </row>
    <row r="17" spans="1:10" ht="24.95" customHeight="1">
      <c r="A17" s="426"/>
      <c r="B17" s="424"/>
      <c r="C17" s="428">
        <f t="shared" si="0"/>
        <v>45511.486111111109</v>
      </c>
      <c r="D17" s="538">
        <v>10</v>
      </c>
      <c r="E17" s="538"/>
      <c r="F17" s="429">
        <f>StepTest!F17</f>
        <v>13.16</v>
      </c>
      <c r="G17" s="429">
        <f>StepTest!G17</f>
        <v>3.71</v>
      </c>
      <c r="H17" s="529"/>
      <c r="I17" s="534"/>
      <c r="J17" s="535"/>
    </row>
    <row r="18" spans="1:10" ht="24.95" customHeight="1">
      <c r="A18" s="426"/>
      <c r="B18" s="424"/>
      <c r="C18" s="428">
        <f t="shared" si="0"/>
        <v>45511.489583333328</v>
      </c>
      <c r="D18" s="538">
        <v>15</v>
      </c>
      <c r="E18" s="538"/>
      <c r="F18" s="429">
        <f>StepTest!F18</f>
        <v>13.64</v>
      </c>
      <c r="G18" s="429">
        <f>StepTest!G18</f>
        <v>4.1900000000000004</v>
      </c>
      <c r="H18" s="529"/>
      <c r="I18" s="534"/>
      <c r="J18" s="535"/>
    </row>
    <row r="19" spans="1:10" ht="24.95" customHeight="1">
      <c r="A19" s="426"/>
      <c r="B19" s="424"/>
      <c r="C19" s="428">
        <f t="shared" si="0"/>
        <v>45511.493055555555</v>
      </c>
      <c r="D19" s="538">
        <v>20</v>
      </c>
      <c r="E19" s="538"/>
      <c r="F19" s="429">
        <f>StepTest!F19</f>
        <v>13.98</v>
      </c>
      <c r="G19" s="429">
        <f>StepTest!G19</f>
        <v>4.53</v>
      </c>
      <c r="H19" s="529"/>
      <c r="I19" s="534"/>
      <c r="J19" s="535"/>
    </row>
    <row r="20" spans="1:10" ht="24.95" customHeight="1">
      <c r="A20" s="426"/>
      <c r="B20" s="424"/>
      <c r="C20" s="428">
        <f t="shared" si="0"/>
        <v>45511.496527777774</v>
      </c>
      <c r="D20" s="538">
        <v>25</v>
      </c>
      <c r="E20" s="538"/>
      <c r="F20" s="429">
        <f>StepTest!F20</f>
        <v>14.239999999999998</v>
      </c>
      <c r="G20" s="429">
        <f>StepTest!G20</f>
        <v>4.79</v>
      </c>
      <c r="H20" s="529"/>
      <c r="I20" s="534"/>
      <c r="J20" s="535"/>
    </row>
    <row r="21" spans="1:10" ht="24.95" customHeight="1">
      <c r="A21" s="426"/>
      <c r="B21" s="424"/>
      <c r="C21" s="428">
        <f t="shared" si="0"/>
        <v>45511.5</v>
      </c>
      <c r="D21" s="538">
        <v>30</v>
      </c>
      <c r="E21" s="538"/>
      <c r="F21" s="429">
        <f>StepTest!F21</f>
        <v>14.45</v>
      </c>
      <c r="G21" s="429">
        <f>StepTest!G21</f>
        <v>5</v>
      </c>
      <c r="H21" s="529"/>
      <c r="I21" s="534"/>
      <c r="J21" s="535"/>
    </row>
    <row r="22" spans="1:10" ht="24.95" customHeight="1">
      <c r="A22" s="426"/>
      <c r="B22" s="424"/>
      <c r="C22" s="428">
        <f t="shared" si="0"/>
        <v>45511.503472222219</v>
      </c>
      <c r="D22" s="538">
        <v>35</v>
      </c>
      <c r="E22" s="538"/>
      <c r="F22" s="429">
        <f>StepTest!F22</f>
        <v>14.64</v>
      </c>
      <c r="G22" s="429">
        <f>StepTest!G22</f>
        <v>5.19</v>
      </c>
      <c r="H22" s="529"/>
      <c r="I22" s="534"/>
      <c r="J22" s="535"/>
    </row>
    <row r="23" spans="1:10" ht="24.95" customHeight="1">
      <c r="A23" s="426"/>
      <c r="B23" s="424"/>
      <c r="C23" s="428">
        <f t="shared" si="0"/>
        <v>45511.506944444445</v>
      </c>
      <c r="D23" s="538">
        <v>40</v>
      </c>
      <c r="E23" s="538"/>
      <c r="F23" s="429">
        <f>StepTest!F23</f>
        <v>14.79</v>
      </c>
      <c r="G23" s="429">
        <f>StepTest!G23</f>
        <v>5.34</v>
      </c>
      <c r="H23" s="529"/>
      <c r="I23" s="534"/>
      <c r="J23" s="535"/>
    </row>
    <row r="24" spans="1:10" ht="24.95" customHeight="1">
      <c r="A24" s="426"/>
      <c r="B24" s="424"/>
      <c r="C24" s="428">
        <f t="shared" si="0"/>
        <v>45511.510416666664</v>
      </c>
      <c r="D24" s="538">
        <v>45</v>
      </c>
      <c r="E24" s="538"/>
      <c r="F24" s="429">
        <f>StepTest!F24</f>
        <v>14.93</v>
      </c>
      <c r="G24" s="429">
        <f>StepTest!G24</f>
        <v>5.48</v>
      </c>
      <c r="H24" s="529"/>
      <c r="I24" s="534"/>
      <c r="J24" s="535"/>
    </row>
    <row r="25" spans="1:10" ht="24.95" customHeight="1">
      <c r="A25" s="426"/>
      <c r="B25" s="424"/>
      <c r="C25" s="428">
        <f t="shared" si="0"/>
        <v>45511.513888888883</v>
      </c>
      <c r="D25" s="538">
        <v>50</v>
      </c>
      <c r="E25" s="538"/>
      <c r="F25" s="429">
        <f>StepTest!F25</f>
        <v>15.059999999999999</v>
      </c>
      <c r="G25" s="429">
        <f>StepTest!G25</f>
        <v>5.61</v>
      </c>
      <c r="H25" s="529"/>
      <c r="I25" s="534"/>
      <c r="J25" s="535"/>
    </row>
    <row r="26" spans="1:10" ht="24.95" customHeight="1">
      <c r="A26" s="426"/>
      <c r="B26" s="424"/>
      <c r="C26" s="428">
        <f t="shared" si="0"/>
        <v>45511.517361111109</v>
      </c>
      <c r="D26" s="538">
        <v>55</v>
      </c>
      <c r="E26" s="538"/>
      <c r="F26" s="429">
        <f>StepTest!F26</f>
        <v>15.169999999999998</v>
      </c>
      <c r="G26" s="429">
        <f>StepTest!G26</f>
        <v>5.72</v>
      </c>
      <c r="H26" s="529"/>
      <c r="I26" s="534"/>
      <c r="J26" s="535"/>
    </row>
    <row r="27" spans="1:10" ht="24.95" customHeight="1">
      <c r="A27" s="426"/>
      <c r="B27" s="424"/>
      <c r="C27" s="428">
        <f t="shared" si="0"/>
        <v>45511.520833333328</v>
      </c>
      <c r="D27" s="538">
        <v>60</v>
      </c>
      <c r="E27" s="538"/>
      <c r="F27" s="429">
        <f>StepTest!F27</f>
        <v>15.27</v>
      </c>
      <c r="G27" s="429">
        <f>StepTest!G27</f>
        <v>5.82</v>
      </c>
      <c r="H27" s="529"/>
      <c r="I27" s="534"/>
      <c r="J27" s="535"/>
    </row>
    <row r="28" spans="1:10" ht="24.95" customHeight="1">
      <c r="A28" s="426"/>
      <c r="B28" s="424"/>
      <c r="C28" s="428">
        <f t="shared" si="0"/>
        <v>45511.53125</v>
      </c>
      <c r="D28" s="538">
        <v>75</v>
      </c>
      <c r="E28" s="538"/>
      <c r="F28" s="429">
        <f>StepTest!F28</f>
        <v>15.53</v>
      </c>
      <c r="G28" s="429">
        <f>StepTest!G28</f>
        <v>6.08</v>
      </c>
      <c r="H28" s="529"/>
      <c r="I28" s="534"/>
      <c r="J28" s="535"/>
    </row>
    <row r="29" spans="1:10" ht="24.95" customHeight="1">
      <c r="A29" s="426"/>
      <c r="B29" s="424"/>
      <c r="C29" s="428">
        <f t="shared" si="0"/>
        <v>45511.541666666664</v>
      </c>
      <c r="D29" s="538">
        <v>90</v>
      </c>
      <c r="E29" s="538"/>
      <c r="F29" s="429">
        <f>StepTest!F29</f>
        <v>15.75</v>
      </c>
      <c r="G29" s="429">
        <f>StepTest!G29</f>
        <v>6.3</v>
      </c>
      <c r="H29" s="529"/>
      <c r="I29" s="534"/>
      <c r="J29" s="535"/>
    </row>
    <row r="30" spans="1:10" ht="24.95" customHeight="1">
      <c r="A30" s="426"/>
      <c r="B30" s="424"/>
      <c r="C30" s="428">
        <f t="shared" si="0"/>
        <v>45511.552083333328</v>
      </c>
      <c r="D30" s="538">
        <v>105</v>
      </c>
      <c r="E30" s="538"/>
      <c r="F30" s="429">
        <f>StepTest!F30</f>
        <v>15.93</v>
      </c>
      <c r="G30" s="429">
        <f>StepTest!G30</f>
        <v>6.48</v>
      </c>
      <c r="H30" s="529"/>
      <c r="I30" s="534"/>
      <c r="J30" s="535"/>
    </row>
    <row r="31" spans="1:10" ht="24.95" customHeight="1">
      <c r="A31" s="426"/>
      <c r="B31" s="424"/>
      <c r="C31" s="428">
        <f t="shared" si="0"/>
        <v>45511.5625</v>
      </c>
      <c r="D31" s="538">
        <v>120</v>
      </c>
      <c r="E31" s="538"/>
      <c r="F31" s="429">
        <f>StepTest!F31</f>
        <v>16.09</v>
      </c>
      <c r="G31" s="429">
        <f>StepTest!G31</f>
        <v>6.64</v>
      </c>
      <c r="H31" s="529"/>
      <c r="I31" s="534"/>
      <c r="J31" s="535"/>
    </row>
    <row r="32" spans="1:10" ht="24.95" customHeight="1">
      <c r="A32" s="430">
        <v>2</v>
      </c>
      <c r="B32" s="427">
        <f>Input!D21</f>
        <v>120</v>
      </c>
      <c r="C32" s="428">
        <f t="shared" si="0"/>
        <v>45511.569444444445</v>
      </c>
      <c r="D32" s="538">
        <v>130</v>
      </c>
      <c r="E32" s="538"/>
      <c r="F32" s="429">
        <f>StepTest!F32</f>
        <v>17.419999999999998</v>
      </c>
      <c r="G32" s="429">
        <f>StepTest!G32</f>
        <v>7.97</v>
      </c>
      <c r="H32" s="529"/>
      <c r="I32" s="534"/>
      <c r="J32" s="535"/>
    </row>
    <row r="33" spans="1:10" ht="24.95" customHeight="1">
      <c r="A33" s="430"/>
      <c r="B33" s="427"/>
      <c r="C33" s="428">
        <f t="shared" si="0"/>
        <v>45511.576388888883</v>
      </c>
      <c r="D33" s="538">
        <v>140</v>
      </c>
      <c r="E33" s="538"/>
      <c r="F33" s="429">
        <f>StepTest!F33</f>
        <v>17.64</v>
      </c>
      <c r="G33" s="429">
        <f>StepTest!G33</f>
        <v>8.19</v>
      </c>
      <c r="H33" s="529"/>
      <c r="I33" s="534"/>
      <c r="J33" s="535"/>
    </row>
    <row r="34" spans="1:10" ht="24.95" customHeight="1">
      <c r="A34" s="430"/>
      <c r="B34" s="427"/>
      <c r="C34" s="428">
        <f t="shared" si="0"/>
        <v>45511.583333333328</v>
      </c>
      <c r="D34" s="538">
        <v>150</v>
      </c>
      <c r="E34" s="538"/>
      <c r="F34" s="429">
        <f>StepTest!F34</f>
        <v>17.86</v>
      </c>
      <c r="G34" s="429">
        <f>StepTest!G34</f>
        <v>8.41</v>
      </c>
      <c r="H34" s="529"/>
      <c r="I34" s="534"/>
      <c r="J34" s="535"/>
    </row>
    <row r="35" spans="1:10" ht="24.95" customHeight="1">
      <c r="A35" s="430"/>
      <c r="B35" s="427"/>
      <c r="C35" s="428">
        <f t="shared" si="0"/>
        <v>45511.604166666664</v>
      </c>
      <c r="D35" s="538">
        <v>180</v>
      </c>
      <c r="E35" s="538"/>
      <c r="F35" s="429">
        <f>StepTest!F35</f>
        <v>18.079999999999998</v>
      </c>
      <c r="G35" s="429">
        <f>StepTest!G35</f>
        <v>8.6300000000000008</v>
      </c>
      <c r="H35" s="529"/>
      <c r="I35" s="534"/>
      <c r="J35" s="535"/>
    </row>
    <row r="36" spans="1:10" ht="24.95" customHeight="1">
      <c r="A36" s="430"/>
      <c r="B36" s="427"/>
      <c r="C36" s="428">
        <f t="shared" si="0"/>
        <v>45511.645833333328</v>
      </c>
      <c r="D36" s="538">
        <v>240</v>
      </c>
      <c r="E36" s="538"/>
      <c r="F36" s="429">
        <f>StepTest!F36</f>
        <v>18.309999999999999</v>
      </c>
      <c r="G36" s="429">
        <f>StepTest!G36</f>
        <v>8.86</v>
      </c>
      <c r="H36" s="529"/>
      <c r="I36" s="534"/>
      <c r="J36" s="535"/>
    </row>
    <row r="37" spans="1:10" ht="24.95" customHeight="1">
      <c r="A37" s="430">
        <v>3</v>
      </c>
      <c r="B37" s="427">
        <f>Input!D22</f>
        <v>146.19999999999999</v>
      </c>
      <c r="C37" s="428">
        <f t="shared" si="0"/>
        <v>45511.652777777774</v>
      </c>
      <c r="D37" s="538">
        <v>250</v>
      </c>
      <c r="E37" s="538"/>
      <c r="F37" s="429">
        <f>StepTest!F37</f>
        <v>19.799999999999997</v>
      </c>
      <c r="G37" s="429">
        <f>StepTest!G37</f>
        <v>10.35</v>
      </c>
      <c r="H37" s="529"/>
      <c r="I37" s="534"/>
      <c r="J37" s="535"/>
    </row>
    <row r="38" spans="1:10" ht="24.95" customHeight="1">
      <c r="A38" s="430"/>
      <c r="B38" s="427"/>
      <c r="C38" s="428">
        <f t="shared" si="0"/>
        <v>45511.659722222219</v>
      </c>
      <c r="D38" s="538">
        <v>260</v>
      </c>
      <c r="E38" s="538"/>
      <c r="F38" s="429">
        <f>StepTest!F38</f>
        <v>20.049999999999997</v>
      </c>
      <c r="G38" s="429">
        <f>StepTest!G38</f>
        <v>10.6</v>
      </c>
      <c r="H38" s="529"/>
      <c r="I38" s="534"/>
      <c r="J38" s="535"/>
    </row>
    <row r="39" spans="1:10" ht="24.95" customHeight="1">
      <c r="A39" s="430"/>
      <c r="B39" s="427"/>
      <c r="C39" s="428">
        <f t="shared" si="0"/>
        <v>45511.666666666664</v>
      </c>
      <c r="D39" s="538">
        <v>270</v>
      </c>
      <c r="E39" s="538"/>
      <c r="F39" s="429">
        <f>StepTest!F39</f>
        <v>20.299999999999997</v>
      </c>
      <c r="G39" s="429">
        <f>StepTest!G39</f>
        <v>10.85</v>
      </c>
      <c r="H39" s="529"/>
      <c r="I39" s="534"/>
      <c r="J39" s="535"/>
    </row>
    <row r="40" spans="1:10" ht="24.95" customHeight="1">
      <c r="A40" s="430"/>
      <c r="B40" s="427"/>
      <c r="C40" s="428">
        <f t="shared" si="0"/>
        <v>45511.6875</v>
      </c>
      <c r="D40" s="538">
        <v>300</v>
      </c>
      <c r="E40" s="538"/>
      <c r="F40" s="429">
        <f>StepTest!F40</f>
        <v>20.549999999999997</v>
      </c>
      <c r="G40" s="429">
        <f>StepTest!G40</f>
        <v>11.1</v>
      </c>
      <c r="H40" s="529"/>
      <c r="I40" s="534"/>
      <c r="J40" s="535"/>
    </row>
    <row r="41" spans="1:10" ht="24.95" customHeight="1">
      <c r="A41" s="430"/>
      <c r="B41" s="427"/>
      <c r="C41" s="428">
        <f t="shared" si="0"/>
        <v>45511.729166666664</v>
      </c>
      <c r="D41" s="538">
        <v>360</v>
      </c>
      <c r="E41" s="538"/>
      <c r="F41" s="429">
        <f>StepTest!F41</f>
        <v>20.799999999999997</v>
      </c>
      <c r="G41" s="429">
        <f>StepTest!G41</f>
        <v>11.35</v>
      </c>
      <c r="H41" s="529"/>
      <c r="I41" s="534"/>
      <c r="J41" s="535"/>
    </row>
    <row r="42" spans="1:10" ht="24.95" customHeight="1">
      <c r="A42" s="430">
        <v>4</v>
      </c>
      <c r="B42" s="427">
        <f>Input!D23</f>
        <v>172</v>
      </c>
      <c r="C42" s="428">
        <f t="shared" si="0"/>
        <v>45511.736111111109</v>
      </c>
      <c r="D42" s="531">
        <v>370</v>
      </c>
      <c r="E42" s="548"/>
      <c r="F42" s="429">
        <f>StepTest!F42</f>
        <v>22.46</v>
      </c>
      <c r="G42" s="429">
        <f>StepTest!G42</f>
        <v>13.01</v>
      </c>
      <c r="H42" s="529"/>
      <c r="I42" s="534"/>
      <c r="J42" s="535"/>
    </row>
    <row r="43" spans="1:10" ht="24.95" customHeight="1">
      <c r="A43" s="430"/>
      <c r="B43" s="427"/>
      <c r="C43" s="428">
        <f t="shared" si="0"/>
        <v>45511.743055555555</v>
      </c>
      <c r="D43" s="531">
        <v>380</v>
      </c>
      <c r="E43" s="548"/>
      <c r="F43" s="429">
        <f>StepTest!F43</f>
        <v>22.74</v>
      </c>
      <c r="G43" s="429">
        <f>StepTest!G43</f>
        <v>13.29</v>
      </c>
      <c r="H43" s="529"/>
      <c r="I43" s="534"/>
      <c r="J43" s="535"/>
    </row>
    <row r="44" spans="1:10" ht="24.95" customHeight="1">
      <c r="A44" s="430"/>
      <c r="B44" s="427"/>
      <c r="C44" s="428">
        <f t="shared" si="0"/>
        <v>45511.75</v>
      </c>
      <c r="D44" s="531">
        <v>390</v>
      </c>
      <c r="E44" s="548"/>
      <c r="F44" s="429">
        <f>StepTest!F44</f>
        <v>23.02</v>
      </c>
      <c r="G44" s="429">
        <f>StepTest!G44</f>
        <v>13.57</v>
      </c>
      <c r="H44" s="529"/>
      <c r="I44" s="534"/>
      <c r="J44" s="535"/>
    </row>
    <row r="45" spans="1:10" ht="24.95" customHeight="1">
      <c r="A45" s="430"/>
      <c r="B45" s="427"/>
      <c r="C45" s="428">
        <f t="shared" si="0"/>
        <v>45511.770833333328</v>
      </c>
      <c r="D45" s="531">
        <v>420</v>
      </c>
      <c r="E45" s="548"/>
      <c r="F45" s="429">
        <f>StepTest!F45</f>
        <v>23.299999999999997</v>
      </c>
      <c r="G45" s="429">
        <f>StepTest!G45</f>
        <v>13.85</v>
      </c>
      <c r="H45" s="529"/>
      <c r="I45" s="534"/>
      <c r="J45" s="535"/>
    </row>
    <row r="46" spans="1:10" ht="24.95" customHeight="1">
      <c r="A46" s="430"/>
      <c r="B46" s="427"/>
      <c r="C46" s="428">
        <f t="shared" si="0"/>
        <v>45511.8125</v>
      </c>
      <c r="D46" s="531">
        <v>480</v>
      </c>
      <c r="E46" s="548"/>
      <c r="F46" s="429">
        <f>StepTest!F46</f>
        <v>23.58</v>
      </c>
      <c r="G46" s="429">
        <f>StepTest!G46</f>
        <v>14.13</v>
      </c>
      <c r="H46" s="529"/>
      <c r="I46" s="534"/>
      <c r="J46" s="535"/>
    </row>
    <row r="47" spans="1:10" ht="24.95" customHeight="1">
      <c r="A47" s="430">
        <v>5</v>
      </c>
      <c r="B47" s="427">
        <f>Input!D24</f>
        <v>197.79999999999998</v>
      </c>
      <c r="C47" s="428">
        <f t="shared" si="0"/>
        <v>45511.819444444445</v>
      </c>
      <c r="D47" s="531">
        <v>490</v>
      </c>
      <c r="E47" s="548"/>
      <c r="F47" s="429">
        <f>StepTest!F47</f>
        <v>25.27</v>
      </c>
      <c r="G47" s="429">
        <f>StepTest!G47</f>
        <v>15.82</v>
      </c>
      <c r="H47" s="529"/>
      <c r="I47" s="534"/>
      <c r="J47" s="535"/>
    </row>
    <row r="48" spans="1:10" ht="24.95" customHeight="1">
      <c r="A48" s="430"/>
      <c r="B48" s="427"/>
      <c r="C48" s="428">
        <f t="shared" si="0"/>
        <v>45511.826388888883</v>
      </c>
      <c r="D48" s="531">
        <v>500</v>
      </c>
      <c r="E48" s="548"/>
      <c r="F48" s="429">
        <f>StepTest!F48</f>
        <v>25.9</v>
      </c>
      <c r="G48" s="429">
        <f>StepTest!G48</f>
        <v>16.45</v>
      </c>
      <c r="H48" s="529"/>
      <c r="I48" s="534"/>
      <c r="J48" s="535"/>
    </row>
    <row r="49" spans="1:10" ht="24.95" customHeight="1">
      <c r="A49" s="430"/>
      <c r="B49" s="427"/>
      <c r="C49" s="428">
        <f t="shared" si="0"/>
        <v>45511.833333333328</v>
      </c>
      <c r="D49" s="531">
        <v>510</v>
      </c>
      <c r="E49" s="548"/>
      <c r="F49" s="429">
        <f>StepTest!F49</f>
        <v>26.54</v>
      </c>
      <c r="G49" s="429">
        <f>StepTest!G49</f>
        <v>17.09</v>
      </c>
      <c r="H49" s="529"/>
      <c r="I49" s="534"/>
      <c r="J49" s="535"/>
    </row>
    <row r="50" spans="1:10" ht="24.95" customHeight="1">
      <c r="A50" s="430"/>
      <c r="B50" s="427"/>
      <c r="C50" s="428">
        <f t="shared" si="0"/>
        <v>45511.854166666664</v>
      </c>
      <c r="D50" s="531">
        <v>540</v>
      </c>
      <c r="E50" s="548"/>
      <c r="F50" s="429">
        <f>StepTest!F50</f>
        <v>27.169999999999998</v>
      </c>
      <c r="G50" s="429">
        <f>StepTest!G50</f>
        <v>17.72</v>
      </c>
      <c r="H50" s="529"/>
      <c r="I50" s="534"/>
      <c r="J50" s="535"/>
    </row>
    <row r="51" spans="1:10" ht="24.95" customHeight="1">
      <c r="A51" s="431"/>
      <c r="B51" s="432"/>
      <c r="C51" s="433">
        <f t="shared" si="0"/>
        <v>45511.895833333328</v>
      </c>
      <c r="D51" s="560">
        <v>600</v>
      </c>
      <c r="E51" s="561"/>
      <c r="F51" s="434">
        <f>StepTest!F51</f>
        <v>27.81</v>
      </c>
      <c r="G51" s="434">
        <f>StepTest!G51</f>
        <v>18.36</v>
      </c>
      <c r="H51" s="565"/>
      <c r="I51" s="566"/>
      <c r="J51" s="567"/>
    </row>
    <row r="52" spans="1:10" ht="24.95" customHeight="1">
      <c r="A52" s="451"/>
      <c r="B52" s="459"/>
      <c r="C52" s="459"/>
      <c r="D52" s="568"/>
      <c r="E52" s="574"/>
      <c r="F52" s="459"/>
      <c r="G52" s="459"/>
      <c r="H52" s="568"/>
      <c r="I52" s="569"/>
      <c r="J52" s="570"/>
    </row>
    <row r="53" spans="1:10" ht="24.95" customHeight="1">
      <c r="A53" s="451"/>
      <c r="B53" s="459"/>
      <c r="C53" s="459"/>
      <c r="D53" s="568"/>
      <c r="E53" s="574"/>
      <c r="F53" s="459"/>
      <c r="G53" s="459"/>
      <c r="H53" s="568"/>
      <c r="I53" s="569"/>
      <c r="J53" s="570"/>
    </row>
    <row r="54" spans="1:10" ht="24.95" customHeight="1">
      <c r="A54" s="451"/>
      <c r="B54" s="459"/>
      <c r="C54" s="459"/>
      <c r="D54" s="568"/>
      <c r="E54" s="574"/>
      <c r="F54" s="459"/>
      <c r="G54" s="459"/>
      <c r="H54" s="568"/>
      <c r="I54" s="569"/>
      <c r="J54" s="570"/>
    </row>
    <row r="55" spans="1:10" ht="24.95" customHeight="1">
      <c r="A55" s="451"/>
      <c r="B55" s="459"/>
      <c r="C55" s="459"/>
      <c r="D55" s="568"/>
      <c r="E55" s="574"/>
      <c r="F55" s="459"/>
      <c r="G55" s="459"/>
      <c r="H55" s="568"/>
      <c r="I55" s="569"/>
      <c r="J55" s="570"/>
    </row>
    <row r="56" spans="1:10" ht="24.95" customHeight="1">
      <c r="A56" s="451"/>
      <c r="B56" s="459"/>
      <c r="C56" s="459"/>
      <c r="D56" s="568"/>
      <c r="E56" s="574"/>
      <c r="F56" s="459"/>
      <c r="G56" s="459"/>
      <c r="H56" s="568"/>
      <c r="I56" s="569"/>
      <c r="J56" s="570"/>
    </row>
    <row r="57" spans="1:10" ht="24.95" customHeight="1" thickBot="1">
      <c r="A57" s="455"/>
      <c r="B57" s="460"/>
      <c r="C57" s="460"/>
      <c r="D57" s="571"/>
      <c r="E57" s="575"/>
      <c r="F57" s="460"/>
      <c r="G57" s="460"/>
      <c r="H57" s="571"/>
      <c r="I57" s="572"/>
      <c r="J57" s="57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.75" customHeight="1" thickBot="1">
      <c r="A1" s="541" t="s">
        <v>318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LongTest!C77</f>
        <v>45456.472222222219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43" si="0">$C$4+D12/1440</f>
        <v>45454.472916666666</v>
      </c>
      <c r="D12" s="538">
        <v>1</v>
      </c>
      <c r="E12" s="538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38">
        <v>2</v>
      </c>
      <c r="E13" s="538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38">
        <v>3</v>
      </c>
      <c r="E14" s="538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38">
        <v>4</v>
      </c>
      <c r="E15" s="538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38">
        <v>5</v>
      </c>
      <c r="E16" s="538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38">
        <v>10</v>
      </c>
      <c r="E17" s="538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38">
        <v>15</v>
      </c>
      <c r="E18" s="538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38">
        <v>20</v>
      </c>
      <c r="E19" s="538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38">
        <v>25</v>
      </c>
      <c r="E20" s="538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38">
        <v>30</v>
      </c>
      <c r="E21" s="538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38">
        <v>35</v>
      </c>
      <c r="E22" s="538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38">
        <v>40</v>
      </c>
      <c r="E23" s="538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38">
        <v>45</v>
      </c>
      <c r="E24" s="538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38">
        <v>50</v>
      </c>
      <c r="E25" s="538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38">
        <v>55</v>
      </c>
      <c r="E26" s="538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38">
        <v>60</v>
      </c>
      <c r="E27" s="538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38">
        <v>75</v>
      </c>
      <c r="E28" s="538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38">
        <v>90</v>
      </c>
      <c r="E29" s="538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38">
        <v>105</v>
      </c>
      <c r="E30" s="538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38">
        <v>120</v>
      </c>
      <c r="E31" s="538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38">
        <v>140</v>
      </c>
      <c r="E32" s="538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38">
        <v>160</v>
      </c>
      <c r="E33" s="538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38">
        <v>180</v>
      </c>
      <c r="E34" s="538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38">
        <v>240</v>
      </c>
      <c r="E35" s="538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38">
        <v>300</v>
      </c>
      <c r="E36" s="538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38">
        <v>360</v>
      </c>
      <c r="E37" s="538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38">
        <v>420</v>
      </c>
      <c r="E38" s="538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38">
        <v>480</v>
      </c>
      <c r="E39" s="538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38">
        <v>540</v>
      </c>
      <c r="E40" s="538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38">
        <v>600</v>
      </c>
      <c r="E41" s="538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38">
        <v>660</v>
      </c>
      <c r="E42" s="538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38">
        <v>720</v>
      </c>
      <c r="E43" s="538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38">
        <v>780</v>
      </c>
      <c r="E44" s="538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38">
        <v>840</v>
      </c>
      <c r="E45" s="538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38">
        <v>900</v>
      </c>
      <c r="E46" s="538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38">
        <v>960</v>
      </c>
      <c r="E47" s="538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38">
        <v>1020</v>
      </c>
      <c r="E48" s="538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38">
        <v>1080</v>
      </c>
      <c r="E49" s="538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38">
        <v>1140</v>
      </c>
      <c r="E50" s="538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38">
        <v>1200</v>
      </c>
      <c r="E51" s="538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38">
        <v>1260</v>
      </c>
      <c r="E52" s="538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38">
        <v>1320</v>
      </c>
      <c r="E53" s="538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38">
        <v>1380</v>
      </c>
      <c r="E54" s="538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38">
        <v>1440</v>
      </c>
      <c r="E55" s="538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45455.513888888883</v>
      </c>
      <c r="D56" s="529">
        <v>1500</v>
      </c>
      <c r="E56" s="530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29">
        <v>1560</v>
      </c>
      <c r="E57" s="530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29">
        <v>1620</v>
      </c>
      <c r="E58" s="530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29">
        <v>1680</v>
      </c>
      <c r="E59" s="530"/>
      <c r="F59" s="424">
        <f>LongTest!F57</f>
        <v>25.330000000000002</v>
      </c>
      <c r="G59" s="424">
        <f>LongTest!G57</f>
        <v>15.880000000000003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45455.680555555555</v>
      </c>
      <c r="D60" s="529">
        <v>1740</v>
      </c>
      <c r="E60" s="530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29">
        <v>1800</v>
      </c>
      <c r="E61" s="530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29">
        <v>1860</v>
      </c>
      <c r="E62" s="530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29">
        <v>1920</v>
      </c>
      <c r="E63" s="530"/>
      <c r="F63" s="424">
        <f>LongTest!F61</f>
        <v>25.330000000000002</v>
      </c>
      <c r="G63" s="424">
        <f>LongTest!G61</f>
        <v>15.880000000000003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45455.847222222219</v>
      </c>
      <c r="D64" s="529">
        <v>1980</v>
      </c>
      <c r="E64" s="530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29">
        <v>2040</v>
      </c>
      <c r="E65" s="530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29">
        <v>2100</v>
      </c>
      <c r="E66" s="530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29">
        <v>2160</v>
      </c>
      <c r="E67" s="530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29">
        <v>2220</v>
      </c>
      <c r="E68" s="530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29">
        <v>2280</v>
      </c>
      <c r="E69" s="530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29">
        <v>2340</v>
      </c>
      <c r="E70" s="530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29">
        <v>2400</v>
      </c>
      <c r="E71" s="530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29">
        <v>2460</v>
      </c>
      <c r="E72" s="530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29">
        <v>2520</v>
      </c>
      <c r="E73" s="530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29">
        <v>2580</v>
      </c>
      <c r="E74" s="530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29">
        <v>2640</v>
      </c>
      <c r="E75" s="530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29">
        <v>2700</v>
      </c>
      <c r="E76" s="530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29">
        <v>2760</v>
      </c>
      <c r="E77" s="530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29">
        <v>2820</v>
      </c>
      <c r="E78" s="530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2"/>
      <c r="B79" s="433"/>
      <c r="C79" s="433">
        <f t="shared" si="4"/>
        <v>45456.472222222219</v>
      </c>
      <c r="D79" s="565">
        <v>2880</v>
      </c>
      <c r="E79" s="576"/>
      <c r="F79" s="453">
        <f>LongTest!F77</f>
        <v>25.330000000000002</v>
      </c>
      <c r="G79" s="453">
        <f>LongTest!G77</f>
        <v>15.880000000000003</v>
      </c>
      <c r="H79" s="453">
        <f>H63</f>
        <v>15.4</v>
      </c>
      <c r="I79" s="453">
        <f t="shared" ref="I79:J79" si="5">I63</f>
        <v>209</v>
      </c>
      <c r="J79" s="454">
        <f t="shared" si="5"/>
        <v>8.4700000000000006</v>
      </c>
    </row>
    <row r="80" spans="1:10" ht="24.95" customHeight="1" thickBot="1">
      <c r="A80" s="577" t="s">
        <v>323</v>
      </c>
      <c r="B80" s="578"/>
      <c r="C80" s="578"/>
      <c r="D80" s="578"/>
      <c r="E80" s="578"/>
      <c r="F80" s="578"/>
      <c r="G80" s="578"/>
      <c r="H80" s="578"/>
      <c r="I80" s="578"/>
      <c r="J80" s="57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41" t="s">
        <v>329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장기28!C5</f>
        <v>45456.472222222219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LongTest!C101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5" si="0">$C$4+D12/1440</f>
        <v>45456.472916666666</v>
      </c>
      <c r="D12" s="529">
        <v>1</v>
      </c>
      <c r="E12" s="530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45456.473611111105</v>
      </c>
      <c r="D13" s="529">
        <v>2</v>
      </c>
      <c r="E13" s="530"/>
      <c r="F13" s="429">
        <f>LongTest!F79</f>
        <v>19.374437782107812</v>
      </c>
      <c r="G13" s="429">
        <f>LongTest!G79</f>
        <v>9.9244377821078142</v>
      </c>
      <c r="H13" s="529"/>
      <c r="I13" s="534"/>
      <c r="J13" s="535"/>
    </row>
    <row r="14" spans="1:10" ht="24.95" customHeight="1">
      <c r="A14" s="451"/>
      <c r="B14" s="428"/>
      <c r="C14" s="428">
        <f t="shared" si="0"/>
        <v>45456.474305555552</v>
      </c>
      <c r="D14" s="529">
        <v>3</v>
      </c>
      <c r="E14" s="530"/>
      <c r="F14" s="429">
        <f>LongTest!F80</f>
        <v>18.58440784122201</v>
      </c>
      <c r="G14" s="429">
        <f>LongTest!G80</f>
        <v>9.1344078412220089</v>
      </c>
      <c r="H14" s="529"/>
      <c r="I14" s="534"/>
      <c r="J14" s="535"/>
    </row>
    <row r="15" spans="1:10" ht="24.95" customHeight="1">
      <c r="A15" s="451"/>
      <c r="B15" s="428"/>
      <c r="C15" s="428">
        <f t="shared" si="0"/>
        <v>45456.474999999999</v>
      </c>
      <c r="D15" s="529">
        <v>4</v>
      </c>
      <c r="E15" s="530"/>
      <c r="F15" s="429">
        <f>LongTest!F81</f>
        <v>17.857267841429007</v>
      </c>
      <c r="G15" s="429">
        <f>LongTest!G81</f>
        <v>8.4072678414290092</v>
      </c>
      <c r="H15" s="529"/>
      <c r="I15" s="534"/>
      <c r="J15" s="535"/>
    </row>
    <row r="16" spans="1:10" ht="24.95" customHeight="1">
      <c r="A16" s="451"/>
      <c r="B16" s="428"/>
      <c r="C16" s="428">
        <f t="shared" si="0"/>
        <v>45456.475694444438</v>
      </c>
      <c r="D16" s="529">
        <v>5</v>
      </c>
      <c r="E16" s="530"/>
      <c r="F16" s="429">
        <f>LongTest!F82</f>
        <v>17.188011460201068</v>
      </c>
      <c r="G16" s="429">
        <f>LongTest!G82</f>
        <v>7.7380114602010686</v>
      </c>
      <c r="H16" s="529"/>
      <c r="I16" s="534"/>
      <c r="J16" s="535"/>
    </row>
    <row r="17" spans="1:10" ht="24.95" customHeight="1">
      <c r="A17" s="451"/>
      <c r="B17" s="428"/>
      <c r="C17" s="428">
        <f t="shared" si="0"/>
        <v>45456.479166666664</v>
      </c>
      <c r="D17" s="529">
        <v>10</v>
      </c>
      <c r="E17" s="530"/>
      <c r="F17" s="429">
        <f>LongTest!F83</f>
        <v>15.483270868618019</v>
      </c>
      <c r="G17" s="429">
        <f>LongTest!G83</f>
        <v>6.0332708686180201</v>
      </c>
      <c r="H17" s="529"/>
      <c r="I17" s="534"/>
      <c r="J17" s="535"/>
    </row>
    <row r="18" spans="1:10" ht="24.95" customHeight="1">
      <c r="A18" s="451"/>
      <c r="B18" s="428"/>
      <c r="C18" s="428">
        <f t="shared" si="0"/>
        <v>45456.482638888883</v>
      </c>
      <c r="D18" s="529">
        <v>15</v>
      </c>
      <c r="E18" s="530"/>
      <c r="F18" s="429">
        <f>LongTest!F84</f>
        <v>15.158681504824028</v>
      </c>
      <c r="G18" s="429">
        <f>LongTest!G84</f>
        <v>5.7086815048240274</v>
      </c>
      <c r="H18" s="529"/>
      <c r="I18" s="534"/>
      <c r="J18" s="535"/>
    </row>
    <row r="19" spans="1:10" ht="24.95" customHeight="1">
      <c r="A19" s="451"/>
      <c r="B19" s="428"/>
      <c r="C19" s="428">
        <f t="shared" si="0"/>
        <v>45456.486111111109</v>
      </c>
      <c r="D19" s="529">
        <v>20</v>
      </c>
      <c r="E19" s="530"/>
      <c r="F19" s="429">
        <f>LongTest!F85</f>
        <v>14.285983204912011</v>
      </c>
      <c r="G19" s="429">
        <f>LongTest!G85</f>
        <v>4.8359832049120115</v>
      </c>
      <c r="H19" s="529"/>
      <c r="I19" s="534"/>
      <c r="J19" s="535"/>
    </row>
    <row r="20" spans="1:10" ht="24.95" customHeight="1">
      <c r="A20" s="451"/>
      <c r="B20" s="428"/>
      <c r="C20" s="428">
        <f t="shared" si="0"/>
        <v>45456.489583333328</v>
      </c>
      <c r="D20" s="529">
        <v>25</v>
      </c>
      <c r="E20" s="530"/>
      <c r="F20" s="429">
        <f>LongTest!F86</f>
        <v>13.901017163572192</v>
      </c>
      <c r="G20" s="429">
        <f>LongTest!G86</f>
        <v>4.4510171635721916</v>
      </c>
      <c r="H20" s="529"/>
      <c r="I20" s="534"/>
      <c r="J20" s="535"/>
    </row>
    <row r="21" spans="1:10" ht="24.95" customHeight="1">
      <c r="A21" s="451"/>
      <c r="B21" s="428"/>
      <c r="C21" s="428">
        <f t="shared" si="0"/>
        <v>45456.493055555555</v>
      </c>
      <c r="D21" s="529">
        <v>30</v>
      </c>
      <c r="E21" s="530"/>
      <c r="F21" s="429">
        <f>LongTest!F87</f>
        <v>13.54669615276811</v>
      </c>
      <c r="G21" s="429">
        <f>LongTest!G87</f>
        <v>4.0966961527681098</v>
      </c>
      <c r="H21" s="529"/>
      <c r="I21" s="534"/>
      <c r="J21" s="535"/>
    </row>
    <row r="22" spans="1:10" ht="24.95" customHeight="1">
      <c r="A22" s="451"/>
      <c r="B22" s="428"/>
      <c r="C22" s="428">
        <f t="shared" si="0"/>
        <v>45456.496527777774</v>
      </c>
      <c r="D22" s="529">
        <v>35</v>
      </c>
      <c r="E22" s="530"/>
      <c r="F22" s="429">
        <f>LongTest!F88</f>
        <v>13.434971769034254</v>
      </c>
      <c r="G22" s="429">
        <f>LongTest!G88</f>
        <v>3.9849717690342552</v>
      </c>
      <c r="H22" s="529"/>
      <c r="I22" s="534"/>
      <c r="J22" s="535"/>
    </row>
    <row r="23" spans="1:10" ht="24.95" customHeight="1">
      <c r="A23" s="451"/>
      <c r="B23" s="428"/>
      <c r="C23" s="428">
        <f t="shared" si="0"/>
        <v>45456.5</v>
      </c>
      <c r="D23" s="529">
        <v>40</v>
      </c>
      <c r="E23" s="530"/>
      <c r="F23" s="429">
        <f>LongTest!F89</f>
        <v>13.326294313228475</v>
      </c>
      <c r="G23" s="429">
        <f>LongTest!G89</f>
        <v>3.8762943132284762</v>
      </c>
      <c r="H23" s="529"/>
      <c r="I23" s="534"/>
      <c r="J23" s="535"/>
    </row>
    <row r="24" spans="1:10" ht="24.95" customHeight="1">
      <c r="A24" s="451"/>
      <c r="B24" s="428"/>
      <c r="C24" s="428">
        <f t="shared" si="0"/>
        <v>45456.503472222219</v>
      </c>
      <c r="D24" s="529">
        <v>45</v>
      </c>
      <c r="E24" s="530"/>
      <c r="F24" s="429">
        <f>LongTest!F90</f>
        <v>13.220580690063166</v>
      </c>
      <c r="G24" s="429">
        <f>LongTest!G90</f>
        <v>3.7705806900631673</v>
      </c>
      <c r="H24" s="529"/>
      <c r="I24" s="534"/>
      <c r="J24" s="535"/>
    </row>
    <row r="25" spans="1:10" ht="24.95" customHeight="1">
      <c r="A25" s="451"/>
      <c r="B25" s="428"/>
      <c r="C25" s="428">
        <f t="shared" si="0"/>
        <v>45456.506944444438</v>
      </c>
      <c r="D25" s="529">
        <v>50</v>
      </c>
      <c r="E25" s="530"/>
      <c r="F25" s="429">
        <f>LongTest!F91</f>
        <v>13.11775007041093</v>
      </c>
      <c r="G25" s="429">
        <f>LongTest!G91</f>
        <v>3.6677500704109298</v>
      </c>
      <c r="H25" s="529"/>
      <c r="I25" s="534"/>
      <c r="J25" s="535"/>
    </row>
    <row r="26" spans="1:10" ht="24.95" customHeight="1">
      <c r="A26" s="451"/>
      <c r="B26" s="428"/>
      <c r="C26" s="428">
        <f t="shared" si="0"/>
        <v>45456.510416666664</v>
      </c>
      <c r="D26" s="529">
        <v>55</v>
      </c>
      <c r="E26" s="530"/>
      <c r="F26" s="429">
        <f>LongTest!F92</f>
        <v>13.017723829502245</v>
      </c>
      <c r="G26" s="429">
        <f>LongTest!G92</f>
        <v>3.5677238295022455</v>
      </c>
      <c r="H26" s="529"/>
      <c r="I26" s="534"/>
      <c r="J26" s="535"/>
    </row>
    <row r="27" spans="1:10" ht="24.95" customHeight="1">
      <c r="A27" s="451"/>
      <c r="B27" s="428"/>
      <c r="C27" s="428">
        <f t="shared" si="0"/>
        <v>45456.513888888883</v>
      </c>
      <c r="D27" s="529">
        <v>60</v>
      </c>
      <c r="E27" s="530"/>
      <c r="F27" s="429">
        <f>LongTest!F93</f>
        <v>12.920425486808609</v>
      </c>
      <c r="G27" s="429">
        <f>LongTest!G93</f>
        <v>3.4704254868086104</v>
      </c>
      <c r="H27" s="529"/>
      <c r="I27" s="534"/>
      <c r="J27" s="535"/>
    </row>
    <row r="28" spans="1:10" ht="24.95" customHeight="1">
      <c r="A28" s="451"/>
      <c r="B28" s="428"/>
      <c r="C28" s="428">
        <f t="shared" si="0"/>
        <v>45456.524305555555</v>
      </c>
      <c r="D28" s="529">
        <v>75</v>
      </c>
      <c r="E28" s="530"/>
      <c r="F28" s="429">
        <f>LongTest!F94</f>
        <v>12.825780647565169</v>
      </c>
      <c r="G28" s="429">
        <f>LongTest!G94</f>
        <v>3.3757806475651706</v>
      </c>
      <c r="H28" s="529"/>
      <c r="I28" s="534"/>
      <c r="J28" s="535"/>
    </row>
    <row r="29" spans="1:10" ht="24.95" customHeight="1">
      <c r="A29" s="451"/>
      <c r="B29" s="428"/>
      <c r="C29" s="428">
        <f t="shared" si="0"/>
        <v>45456.534722222219</v>
      </c>
      <c r="D29" s="529">
        <v>90</v>
      </c>
      <c r="E29" s="530"/>
      <c r="F29" s="429">
        <f>LongTest!F95</f>
        <v>12.733716945888137</v>
      </c>
      <c r="G29" s="429">
        <f>LongTest!G95</f>
        <v>3.2837169458881377</v>
      </c>
      <c r="H29" s="529"/>
      <c r="I29" s="534"/>
      <c r="J29" s="535"/>
    </row>
    <row r="30" spans="1:10" ht="24.95" customHeight="1">
      <c r="A30" s="451"/>
      <c r="B30" s="428"/>
      <c r="C30" s="428">
        <f t="shared" si="0"/>
        <v>45456.545138888883</v>
      </c>
      <c r="D30" s="529">
        <v>105</v>
      </c>
      <c r="E30" s="530"/>
      <c r="F30" s="429">
        <f>LongTest!F96</f>
        <v>12.644163989443497</v>
      </c>
      <c r="G30" s="429">
        <f>LongTest!G96</f>
        <v>3.194163989443497</v>
      </c>
      <c r="H30" s="529"/>
      <c r="I30" s="534"/>
      <c r="J30" s="535"/>
    </row>
    <row r="31" spans="1:10" ht="24.95" customHeight="1">
      <c r="A31" s="451"/>
      <c r="B31" s="428"/>
      <c r="C31" s="428">
        <f t="shared" si="0"/>
        <v>45456.555555555555</v>
      </c>
      <c r="D31" s="529">
        <v>120</v>
      </c>
      <c r="E31" s="530"/>
      <c r="F31" s="429">
        <f>LongTest!F97</f>
        <v>12.389894151376794</v>
      </c>
      <c r="G31" s="429">
        <f>LongTest!G97</f>
        <v>2.9398941513767949</v>
      </c>
      <c r="H31" s="529"/>
      <c r="I31" s="534"/>
      <c r="J31" s="535"/>
    </row>
    <row r="32" spans="1:10" ht="24.95" customHeight="1">
      <c r="A32" s="451"/>
      <c r="B32" s="428"/>
      <c r="C32" s="428">
        <f t="shared" si="0"/>
        <v>45456.597222222219</v>
      </c>
      <c r="D32" s="529">
        <v>180</v>
      </c>
      <c r="E32" s="530"/>
      <c r="F32" s="429">
        <f>LongTest!F98</f>
        <v>12.309717870281746</v>
      </c>
      <c r="G32" s="429">
        <f>LongTest!G98</f>
        <v>2.859717870281747</v>
      </c>
      <c r="H32" s="529"/>
      <c r="I32" s="534"/>
      <c r="J32" s="535"/>
    </row>
    <row r="33" spans="1:10" ht="24.95" customHeight="1">
      <c r="A33" s="451"/>
      <c r="B33" s="428"/>
      <c r="C33" s="428">
        <f t="shared" si="0"/>
        <v>45456.638888888883</v>
      </c>
      <c r="D33" s="529">
        <v>240</v>
      </c>
      <c r="E33" s="530"/>
      <c r="F33" s="429">
        <f>LongTest!F99</f>
        <v>11.872546708864883</v>
      </c>
      <c r="G33" s="429">
        <f>LongTest!G99</f>
        <v>2.4225467088648833</v>
      </c>
      <c r="H33" s="529"/>
      <c r="I33" s="534"/>
      <c r="J33" s="535"/>
    </row>
    <row r="34" spans="1:10" ht="24.95" customHeight="1">
      <c r="A34" s="451"/>
      <c r="B34" s="428"/>
      <c r="C34" s="428">
        <f t="shared" si="0"/>
        <v>45456.680555555555</v>
      </c>
      <c r="D34" s="529">
        <v>300</v>
      </c>
      <c r="E34" s="530"/>
      <c r="F34" s="429">
        <f>LongTest!F100</f>
        <v>11.502206833974805</v>
      </c>
      <c r="G34" s="429">
        <f>LongTest!G100</f>
        <v>2.0522068339748056</v>
      </c>
      <c r="H34" s="529"/>
      <c r="I34" s="534"/>
      <c r="J34" s="535"/>
    </row>
    <row r="35" spans="1:10" ht="24.95" customHeight="1" thickBot="1">
      <c r="A35" s="455"/>
      <c r="B35" s="456"/>
      <c r="C35" s="456">
        <f t="shared" si="0"/>
        <v>45456.722222222219</v>
      </c>
      <c r="D35" s="536">
        <v>360</v>
      </c>
      <c r="E35" s="537"/>
      <c r="F35" s="429">
        <f>LongTest!F101</f>
        <v>11.18848160450383</v>
      </c>
      <c r="G35" s="429">
        <f>LongTest!G101</f>
        <v>1.7384816045038303</v>
      </c>
      <c r="H35" s="536" t="s">
        <v>322</v>
      </c>
      <c r="I35" s="558"/>
      <c r="J35" s="55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5"/>
    <col min="3" max="3" width="11.375" style="435" customWidth="1"/>
    <col min="4" max="4" width="6.75" style="435" customWidth="1"/>
    <col min="5" max="5" width="7.25" style="435" customWidth="1"/>
    <col min="6" max="6" width="13.875" style="435" bestFit="1" customWidth="1"/>
    <col min="7" max="7" width="12.125" style="435" customWidth="1"/>
    <col min="8" max="16384" width="9" style="435"/>
  </cols>
  <sheetData>
    <row r="1" spans="1:10" ht="45.75" customHeight="1" thickBot="1">
      <c r="A1" s="585" t="s">
        <v>318</v>
      </c>
      <c r="B1" s="585"/>
      <c r="C1" s="585"/>
      <c r="D1" s="585"/>
      <c r="E1" s="585"/>
      <c r="F1" s="585"/>
      <c r="G1" s="585"/>
      <c r="H1" s="585"/>
      <c r="I1" s="585"/>
      <c r="J1" s="585"/>
    </row>
    <row r="2" spans="1:10" ht="24.95" customHeight="1">
      <c r="A2" s="586" t="s">
        <v>294</v>
      </c>
      <c r="B2" s="587"/>
      <c r="C2" s="588" t="str">
        <f>LongTest!C2</f>
        <v>순성중명아파트 이용허가 유효기간의 연장을 위한 지하수영향조사보고서</v>
      </c>
      <c r="D2" s="589"/>
      <c r="E2" s="589"/>
      <c r="F2" s="589"/>
      <c r="G2" s="589"/>
      <c r="H2" s="589"/>
      <c r="I2" s="589"/>
      <c r="J2" s="590"/>
    </row>
    <row r="3" spans="1:10" ht="24.95" customHeight="1">
      <c r="A3" s="580" t="s">
        <v>295</v>
      </c>
      <c r="B3" s="581"/>
      <c r="C3" s="591" t="str">
        <f>LongTest!C4</f>
        <v>충청남도 당진시 순성면 순성로 453-30번지</v>
      </c>
      <c r="D3" s="592"/>
      <c r="E3" s="592"/>
      <c r="F3" s="592"/>
      <c r="G3" s="592"/>
      <c r="H3" s="593"/>
      <c r="I3" s="436" t="str">
        <f>Input!I54</f>
        <v>W-1</v>
      </c>
      <c r="J3" s="437" t="s">
        <v>321</v>
      </c>
    </row>
    <row r="4" spans="1:10" ht="24.95" customHeight="1">
      <c r="A4" s="580" t="s">
        <v>296</v>
      </c>
      <c r="B4" s="581"/>
      <c r="C4" s="582">
        <f>LongTest!C10</f>
        <v>45454.472222222219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297</v>
      </c>
      <c r="B5" s="581"/>
      <c r="C5" s="582">
        <f>C55</f>
        <v>45455.472222222219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293</v>
      </c>
      <c r="B6" s="581"/>
      <c r="C6" s="594" t="str">
        <f>LongTest!C5</f>
        <v>주식회사 한일지하수</v>
      </c>
      <c r="D6" s="595"/>
      <c r="E6" s="595"/>
      <c r="F6" s="595"/>
      <c r="G6" s="595"/>
      <c r="H6" s="595"/>
      <c r="I6" s="595"/>
      <c r="J6" s="596"/>
    </row>
    <row r="7" spans="1:10" ht="24.95" customHeight="1">
      <c r="A7" s="580" t="s">
        <v>298</v>
      </c>
      <c r="B7" s="581"/>
      <c r="C7" s="597" t="s">
        <v>325</v>
      </c>
      <c r="D7" s="581"/>
      <c r="E7" s="438">
        <f>LongTest!C6</f>
        <v>5</v>
      </c>
      <c r="F7" s="438" t="s">
        <v>299</v>
      </c>
      <c r="G7" s="438" t="s">
        <v>327</v>
      </c>
      <c r="H7" s="597">
        <f>Input!I50</f>
        <v>50</v>
      </c>
      <c r="I7" s="581"/>
      <c r="J7" s="439" t="s">
        <v>300</v>
      </c>
    </row>
    <row r="8" spans="1:10" ht="24.95" customHeight="1">
      <c r="A8" s="580" t="s">
        <v>301</v>
      </c>
      <c r="B8" s="581"/>
      <c r="C8" s="597" t="s">
        <v>326</v>
      </c>
      <c r="D8" s="581"/>
      <c r="E8" s="438">
        <f>LongTest!D7</f>
        <v>200</v>
      </c>
      <c r="F8" s="438" t="s">
        <v>302</v>
      </c>
      <c r="G8" s="438" t="s">
        <v>303</v>
      </c>
      <c r="H8" s="597">
        <f>LongTest!G7</f>
        <v>100</v>
      </c>
      <c r="I8" s="581"/>
      <c r="J8" s="439" t="s">
        <v>300</v>
      </c>
    </row>
    <row r="9" spans="1:10" ht="24.95" customHeight="1">
      <c r="A9" s="580" t="s">
        <v>304</v>
      </c>
      <c r="B9" s="581"/>
      <c r="C9" s="597" t="s">
        <v>324</v>
      </c>
      <c r="D9" s="581"/>
      <c r="E9" s="438">
        <f>LongTest!D8</f>
        <v>9.4499999999999993</v>
      </c>
      <c r="F9" s="438" t="s">
        <v>300</v>
      </c>
      <c r="G9" s="438" t="s">
        <v>305</v>
      </c>
      <c r="H9" s="597">
        <f>LongTest!G8</f>
        <v>25.330000000000002</v>
      </c>
      <c r="I9" s="581"/>
      <c r="J9" s="439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0">
        <v>1</v>
      </c>
      <c r="B12" s="438">
        <v>173</v>
      </c>
      <c r="C12" s="441">
        <f t="shared" ref="C12:C55" si="0">$C$4+D12/1440</f>
        <v>45454.472916666666</v>
      </c>
      <c r="D12" s="540">
        <v>1</v>
      </c>
      <c r="E12" s="540"/>
      <c r="F12" s="442">
        <f>LongTest!F10</f>
        <v>12.765655952211457</v>
      </c>
      <c r="G12" s="442">
        <f>LongTest!G10</f>
        <v>3.3156559522114577</v>
      </c>
      <c r="H12" s="443"/>
      <c r="I12" s="443"/>
      <c r="J12" s="444"/>
    </row>
    <row r="13" spans="1:10" ht="24.95" customHeight="1">
      <c r="A13" s="420"/>
      <c r="B13" s="438"/>
      <c r="C13" s="441">
        <f t="shared" si="0"/>
        <v>45454.473611111105</v>
      </c>
      <c r="D13" s="540">
        <v>2</v>
      </c>
      <c r="E13" s="540"/>
      <c r="F13" s="442">
        <f>LongTest!F11</f>
        <v>14.149879737904628</v>
      </c>
      <c r="G13" s="442">
        <f>LongTest!G11</f>
        <v>4.6998797379046291</v>
      </c>
      <c r="H13" s="443"/>
      <c r="I13" s="443"/>
      <c r="J13" s="444"/>
    </row>
    <row r="14" spans="1:10" ht="24.95" customHeight="1">
      <c r="A14" s="420"/>
      <c r="B14" s="438"/>
      <c r="C14" s="441">
        <f t="shared" si="0"/>
        <v>45454.474305555552</v>
      </c>
      <c r="D14" s="540">
        <v>3</v>
      </c>
      <c r="E14" s="540"/>
      <c r="F14" s="442">
        <f>LongTest!F12</f>
        <v>14.959598745141413</v>
      </c>
      <c r="G14" s="442">
        <f>LongTest!G12</f>
        <v>5.5095987451414139</v>
      </c>
      <c r="H14" s="443"/>
      <c r="I14" s="443"/>
      <c r="J14" s="444"/>
    </row>
    <row r="15" spans="1:10" ht="24.95" customHeight="1">
      <c r="A15" s="420"/>
      <c r="B15" s="438"/>
      <c r="C15" s="441">
        <f t="shared" si="0"/>
        <v>45454.474999999999</v>
      </c>
      <c r="D15" s="540">
        <v>4</v>
      </c>
      <c r="E15" s="540"/>
      <c r="F15" s="442">
        <f>LongTest!F13</f>
        <v>15.534103523597803</v>
      </c>
      <c r="G15" s="442">
        <f>LongTest!G13</f>
        <v>6.084103523597804</v>
      </c>
      <c r="H15" s="443"/>
      <c r="I15" s="443"/>
      <c r="J15" s="444"/>
    </row>
    <row r="16" spans="1:10" ht="24.95" customHeight="1">
      <c r="A16" s="420"/>
      <c r="B16" s="438"/>
      <c r="C16" s="441">
        <f t="shared" si="0"/>
        <v>45454.475694444438</v>
      </c>
      <c r="D16" s="540">
        <v>5</v>
      </c>
      <c r="E16" s="540"/>
      <c r="F16" s="442">
        <f>LongTest!F14</f>
        <v>15.97972404982378</v>
      </c>
      <c r="G16" s="442">
        <f>LongTest!G14</f>
        <v>6.5297240498237805</v>
      </c>
      <c r="H16" s="438">
        <f>'w1'!D14</f>
        <v>15</v>
      </c>
      <c r="I16" s="438">
        <f>'w1'!E14</f>
        <v>208</v>
      </c>
      <c r="J16" s="439">
        <f>'w1'!F14</f>
        <v>8.5300000000000011</v>
      </c>
    </row>
    <row r="17" spans="1:10" ht="24.95" customHeight="1">
      <c r="A17" s="420"/>
      <c r="B17" s="438"/>
      <c r="C17" s="441">
        <f t="shared" si="0"/>
        <v>45454.479166666664</v>
      </c>
      <c r="D17" s="540">
        <v>10</v>
      </c>
      <c r="E17" s="540"/>
      <c r="F17" s="442">
        <f>LongTest!F15</f>
        <v>17.363947835516949</v>
      </c>
      <c r="G17" s="442">
        <f>LongTest!G15</f>
        <v>7.9139478355169501</v>
      </c>
      <c r="H17" s="438"/>
      <c r="I17" s="438"/>
      <c r="J17" s="439"/>
    </row>
    <row r="18" spans="1:10" ht="24.95" customHeight="1">
      <c r="A18" s="420"/>
      <c r="B18" s="438"/>
      <c r="C18" s="441">
        <f t="shared" si="0"/>
        <v>45454.482638888883</v>
      </c>
      <c r="D18" s="540">
        <v>15</v>
      </c>
      <c r="E18" s="540"/>
      <c r="F18" s="442">
        <f>LongTest!F16</f>
        <v>18.173666842753736</v>
      </c>
      <c r="G18" s="442">
        <f>LongTest!G16</f>
        <v>8.7236668427537367</v>
      </c>
      <c r="H18" s="438"/>
      <c r="I18" s="438"/>
      <c r="J18" s="439"/>
    </row>
    <row r="19" spans="1:10" ht="24.95" customHeight="1">
      <c r="A19" s="420"/>
      <c r="B19" s="438"/>
      <c r="C19" s="441">
        <f t="shared" si="0"/>
        <v>45454.486111111109</v>
      </c>
      <c r="D19" s="540">
        <v>20</v>
      </c>
      <c r="E19" s="540"/>
      <c r="F19" s="442">
        <f>LongTest!F17</f>
        <v>18.748171621210126</v>
      </c>
      <c r="G19" s="442">
        <f>LongTest!G17</f>
        <v>9.2981716212101269</v>
      </c>
      <c r="H19" s="438"/>
      <c r="I19" s="438"/>
      <c r="J19" s="439"/>
    </row>
    <row r="20" spans="1:10" ht="24.95" customHeight="1">
      <c r="A20" s="420"/>
      <c r="B20" s="438"/>
      <c r="C20" s="441">
        <f t="shared" si="0"/>
        <v>45454.489583333328</v>
      </c>
      <c r="D20" s="540">
        <v>25</v>
      </c>
      <c r="E20" s="540"/>
      <c r="F20" s="442">
        <f>LongTest!F18</f>
        <v>19.193792147436099</v>
      </c>
      <c r="G20" s="442">
        <f>LongTest!G18</f>
        <v>9.7437921474360998</v>
      </c>
      <c r="H20" s="438"/>
      <c r="I20" s="438"/>
      <c r="J20" s="439"/>
    </row>
    <row r="21" spans="1:10" ht="24.95" customHeight="1">
      <c r="A21" s="420"/>
      <c r="B21" s="438"/>
      <c r="C21" s="441">
        <f t="shared" si="0"/>
        <v>45454.493055555555</v>
      </c>
      <c r="D21" s="540">
        <v>30</v>
      </c>
      <c r="E21" s="540"/>
      <c r="F21" s="442">
        <f>LongTest!F19</f>
        <v>19.557890628446909</v>
      </c>
      <c r="G21" s="442">
        <f>LongTest!G19</f>
        <v>10.10789062844691</v>
      </c>
      <c r="H21" s="438">
        <f>'w1'!D15</f>
        <v>15.200000000000001</v>
      </c>
      <c r="I21" s="438">
        <f>'w1'!E15</f>
        <v>208</v>
      </c>
      <c r="J21" s="439">
        <f>'w1'!F15</f>
        <v>8.48</v>
      </c>
    </row>
    <row r="22" spans="1:10" ht="24.95" customHeight="1">
      <c r="A22" s="420"/>
      <c r="B22" s="438"/>
      <c r="C22" s="441">
        <f t="shared" si="0"/>
        <v>45454.496527777774</v>
      </c>
      <c r="D22" s="540">
        <v>35</v>
      </c>
      <c r="E22" s="540"/>
      <c r="F22" s="442">
        <f>LongTest!F20</f>
        <v>19.865731507818719</v>
      </c>
      <c r="G22" s="442">
        <f>LongTest!G20</f>
        <v>10.41573150781872</v>
      </c>
      <c r="H22" s="438"/>
      <c r="I22" s="438"/>
      <c r="J22" s="439"/>
    </row>
    <row r="23" spans="1:10" ht="24.95" customHeight="1">
      <c r="A23" s="420"/>
      <c r="B23" s="438"/>
      <c r="C23" s="441">
        <f t="shared" si="0"/>
        <v>45454.5</v>
      </c>
      <c r="D23" s="540">
        <v>40</v>
      </c>
      <c r="E23" s="540"/>
      <c r="F23" s="442">
        <f>LongTest!F21</f>
        <v>20.132395406903299</v>
      </c>
      <c r="G23" s="442">
        <f>LongTest!G21</f>
        <v>10.6823954069033</v>
      </c>
      <c r="H23" s="438"/>
      <c r="I23" s="438"/>
      <c r="J23" s="439"/>
    </row>
    <row r="24" spans="1:10" ht="24.95" customHeight="1">
      <c r="A24" s="420"/>
      <c r="B24" s="438"/>
      <c r="C24" s="441">
        <f t="shared" si="0"/>
        <v>45454.503472222219</v>
      </c>
      <c r="D24" s="540">
        <v>45</v>
      </c>
      <c r="E24" s="540"/>
      <c r="F24" s="442">
        <f>LongTest!F22</f>
        <v>20.367609635683696</v>
      </c>
      <c r="G24" s="442">
        <f>LongTest!G22</f>
        <v>10.917609635683696</v>
      </c>
      <c r="H24" s="438"/>
      <c r="I24" s="438"/>
      <c r="J24" s="439"/>
    </row>
    <row r="25" spans="1:10" ht="24.95" customHeight="1">
      <c r="A25" s="420"/>
      <c r="B25" s="438"/>
      <c r="C25" s="441">
        <f t="shared" si="0"/>
        <v>45454.506944444438</v>
      </c>
      <c r="D25" s="540">
        <v>50</v>
      </c>
      <c r="E25" s="540"/>
      <c r="F25" s="442">
        <f>LongTest!F23</f>
        <v>20.578015933129272</v>
      </c>
      <c r="G25" s="442">
        <f>LongTest!G23</f>
        <v>11.128015933129273</v>
      </c>
      <c r="H25" s="438"/>
      <c r="I25" s="438"/>
      <c r="J25" s="439"/>
    </row>
    <row r="26" spans="1:10" ht="24.95" customHeight="1">
      <c r="A26" s="420"/>
      <c r="B26" s="438"/>
      <c r="C26" s="441">
        <f t="shared" si="0"/>
        <v>45454.510416666664</v>
      </c>
      <c r="D26" s="540">
        <v>55</v>
      </c>
      <c r="E26" s="540"/>
      <c r="F26" s="442">
        <f>LongTest!F24</f>
        <v>20.768351581320562</v>
      </c>
      <c r="G26" s="442">
        <f>LongTest!G24</f>
        <v>11.318351581320563</v>
      </c>
      <c r="H26" s="438"/>
      <c r="I26" s="438"/>
      <c r="J26" s="439"/>
    </row>
    <row r="27" spans="1:10" ht="24.95" customHeight="1">
      <c r="A27" s="420"/>
      <c r="B27" s="438"/>
      <c r="C27" s="441">
        <f t="shared" si="0"/>
        <v>45454.513888888883</v>
      </c>
      <c r="D27" s="540">
        <v>60</v>
      </c>
      <c r="E27" s="540"/>
      <c r="F27" s="442">
        <f>LongTest!F25</f>
        <v>20.942114414140082</v>
      </c>
      <c r="G27" s="442">
        <f>LongTest!G25</f>
        <v>11.492114414140083</v>
      </c>
      <c r="H27" s="438">
        <f>'w1'!D16</f>
        <v>15</v>
      </c>
      <c r="I27" s="438">
        <f>'w1'!E16</f>
        <v>208</v>
      </c>
      <c r="J27" s="439">
        <f>'w1'!F16</f>
        <v>8.3000000000000007</v>
      </c>
    </row>
    <row r="28" spans="1:10" ht="24.95" customHeight="1">
      <c r="A28" s="420"/>
      <c r="B28" s="438"/>
      <c r="C28" s="441">
        <f t="shared" si="0"/>
        <v>45454.524305555555</v>
      </c>
      <c r="D28" s="540">
        <v>75</v>
      </c>
      <c r="E28" s="540"/>
      <c r="F28" s="442">
        <f>LongTest!F26</f>
        <v>21.387734940366059</v>
      </c>
      <c r="G28" s="442">
        <f>LongTest!G26</f>
        <v>11.93773494036606</v>
      </c>
      <c r="H28" s="438"/>
      <c r="I28" s="438"/>
      <c r="J28" s="439"/>
    </row>
    <row r="29" spans="1:10" ht="24.95" customHeight="1">
      <c r="A29" s="420"/>
      <c r="B29" s="438"/>
      <c r="C29" s="441">
        <f t="shared" si="0"/>
        <v>45454.534722222219</v>
      </c>
      <c r="D29" s="540">
        <v>90</v>
      </c>
      <c r="E29" s="540"/>
      <c r="F29" s="442">
        <f>LongTest!F27</f>
        <v>21.751833421376869</v>
      </c>
      <c r="G29" s="442">
        <f>LongTest!G27</f>
        <v>12.30183342137687</v>
      </c>
      <c r="H29" s="438"/>
      <c r="I29" s="438"/>
      <c r="J29" s="439"/>
    </row>
    <row r="30" spans="1:10" ht="24.95" customHeight="1">
      <c r="A30" s="420"/>
      <c r="B30" s="438"/>
      <c r="C30" s="441">
        <f t="shared" si="0"/>
        <v>45454.545138888883</v>
      </c>
      <c r="D30" s="540">
        <v>105</v>
      </c>
      <c r="E30" s="540"/>
      <c r="F30" s="442">
        <f>LongTest!F28</f>
        <v>22.059674300748675</v>
      </c>
      <c r="G30" s="442">
        <f>LongTest!G28</f>
        <v>12.609674300748676</v>
      </c>
      <c r="H30" s="438"/>
      <c r="I30" s="438"/>
      <c r="J30" s="439"/>
    </row>
    <row r="31" spans="1:10" ht="24.95" customHeight="1">
      <c r="A31" s="420"/>
      <c r="B31" s="438"/>
      <c r="C31" s="441">
        <f t="shared" si="0"/>
        <v>45454.555555555555</v>
      </c>
      <c r="D31" s="540">
        <v>120</v>
      </c>
      <c r="E31" s="540"/>
      <c r="F31" s="442">
        <f>LongTest!F29</f>
        <v>22.326338199833256</v>
      </c>
      <c r="G31" s="442">
        <f>LongTest!G29</f>
        <v>12.876338199833256</v>
      </c>
      <c r="H31" s="438">
        <f>'w1'!D17</f>
        <v>15.600000000000001</v>
      </c>
      <c r="I31" s="438">
        <f>'w1'!E17</f>
        <v>207</v>
      </c>
      <c r="J31" s="439">
        <f>'w1'!F17</f>
        <v>8.51</v>
      </c>
    </row>
    <row r="32" spans="1:10" ht="24.95" customHeight="1">
      <c r="A32" s="420"/>
      <c r="B32" s="418"/>
      <c r="C32" s="441">
        <f t="shared" si="0"/>
        <v>45454.569444444438</v>
      </c>
      <c r="D32" s="540">
        <v>140</v>
      </c>
      <c r="E32" s="540"/>
      <c r="F32" s="442">
        <f>LongTest!F30</f>
        <v>22.634179079205065</v>
      </c>
      <c r="G32" s="442">
        <f>LongTest!G30</f>
        <v>13.184179079205066</v>
      </c>
      <c r="H32" s="438"/>
      <c r="I32" s="438"/>
      <c r="J32" s="439"/>
    </row>
    <row r="33" spans="1:10" ht="24.95" customHeight="1">
      <c r="A33" s="420"/>
      <c r="B33" s="438"/>
      <c r="C33" s="441">
        <f t="shared" si="0"/>
        <v>45454.583333333328</v>
      </c>
      <c r="D33" s="540">
        <v>160</v>
      </c>
      <c r="E33" s="540"/>
      <c r="F33" s="442">
        <f>LongTest!F31</f>
        <v>22.900842978289646</v>
      </c>
      <c r="G33" s="442">
        <f>LongTest!G31</f>
        <v>13.450842978289646</v>
      </c>
      <c r="H33" s="438"/>
      <c r="I33" s="438"/>
      <c r="J33" s="439"/>
    </row>
    <row r="34" spans="1:10" ht="24.95" customHeight="1">
      <c r="A34" s="420"/>
      <c r="B34" s="438"/>
      <c r="C34" s="441">
        <f t="shared" si="0"/>
        <v>45454.597222222219</v>
      </c>
      <c r="D34" s="540">
        <v>180</v>
      </c>
      <c r="E34" s="540"/>
      <c r="F34" s="442">
        <f>LongTest!F32</f>
        <v>23.136057207070042</v>
      </c>
      <c r="G34" s="442">
        <f>LongTest!G32</f>
        <v>13.686057207070043</v>
      </c>
      <c r="H34" s="438"/>
      <c r="I34" s="438"/>
      <c r="J34" s="439"/>
    </row>
    <row r="35" spans="1:10" ht="24.95" customHeight="1">
      <c r="A35" s="420"/>
      <c r="B35" s="438"/>
      <c r="C35" s="441">
        <f t="shared" si="0"/>
        <v>45454.638888888883</v>
      </c>
      <c r="D35" s="540">
        <v>240</v>
      </c>
      <c r="E35" s="540"/>
      <c r="F35" s="442">
        <f>LongTest!F33</f>
        <v>23.710561985526432</v>
      </c>
      <c r="G35" s="442">
        <f>LongTest!G33</f>
        <v>14.260561985526433</v>
      </c>
      <c r="H35" s="438">
        <f>'w1'!D18</f>
        <v>15.4</v>
      </c>
      <c r="I35" s="438">
        <f>'w1'!E18</f>
        <v>203</v>
      </c>
      <c r="J35" s="439">
        <f>'w1'!F18</f>
        <v>8.2900000000000009</v>
      </c>
    </row>
    <row r="36" spans="1:10" ht="24.95" customHeight="1">
      <c r="A36" s="420"/>
      <c r="B36" s="438"/>
      <c r="C36" s="441">
        <f t="shared" si="0"/>
        <v>45454.680555555555</v>
      </c>
      <c r="D36" s="540">
        <v>300</v>
      </c>
      <c r="E36" s="540"/>
      <c r="F36" s="442">
        <f>LongTest!F34</f>
        <v>24.156182511752405</v>
      </c>
      <c r="G36" s="442">
        <f>LongTest!G34</f>
        <v>14.706182511752406</v>
      </c>
      <c r="H36" s="438"/>
      <c r="I36" s="438"/>
      <c r="J36" s="439"/>
    </row>
    <row r="37" spans="1:10" ht="24.95" customHeight="1">
      <c r="A37" s="421"/>
      <c r="B37" s="419"/>
      <c r="C37" s="441">
        <f t="shared" si="0"/>
        <v>45454.722222222219</v>
      </c>
      <c r="D37" s="540">
        <v>360</v>
      </c>
      <c r="E37" s="540"/>
      <c r="F37" s="442">
        <f>LongTest!F35</f>
        <v>24.520280992763215</v>
      </c>
      <c r="G37" s="442">
        <f>LongTest!G35</f>
        <v>15.070280992763216</v>
      </c>
      <c r="H37" s="438"/>
      <c r="I37" s="438"/>
      <c r="J37" s="439"/>
    </row>
    <row r="38" spans="1:10" ht="24.95" customHeight="1">
      <c r="A38" s="420"/>
      <c r="B38" s="438"/>
      <c r="C38" s="441">
        <f t="shared" si="0"/>
        <v>45454.763888888883</v>
      </c>
      <c r="D38" s="540">
        <v>420</v>
      </c>
      <c r="E38" s="540"/>
      <c r="F38" s="442">
        <f>LongTest!F36</f>
        <v>24.828121872135025</v>
      </c>
      <c r="G38" s="442">
        <f>LongTest!G36</f>
        <v>15.378121872135026</v>
      </c>
      <c r="H38" s="438"/>
      <c r="I38" s="438"/>
      <c r="J38" s="439"/>
    </row>
    <row r="39" spans="1:10" ht="24.95" customHeight="1">
      <c r="A39" s="420"/>
      <c r="B39" s="438"/>
      <c r="C39" s="441">
        <f t="shared" si="0"/>
        <v>45454.805555555555</v>
      </c>
      <c r="D39" s="540">
        <v>480</v>
      </c>
      <c r="E39" s="540"/>
      <c r="F39" s="442">
        <f>LongTest!F37</f>
        <v>25.094785771219605</v>
      </c>
      <c r="G39" s="442">
        <f>LongTest!G37</f>
        <v>15.644785771219606</v>
      </c>
      <c r="H39" s="438">
        <f>'w1'!D19</f>
        <v>15.5</v>
      </c>
      <c r="I39" s="438">
        <f>'w1'!E19</f>
        <v>207</v>
      </c>
      <c r="J39" s="439">
        <f>'w1'!F19</f>
        <v>8.4700000000000006</v>
      </c>
    </row>
    <row r="40" spans="1:10" ht="24.95" customHeight="1">
      <c r="A40" s="420"/>
      <c r="B40" s="438"/>
      <c r="C40" s="441">
        <f t="shared" si="0"/>
        <v>45454.847222222219</v>
      </c>
      <c r="D40" s="540">
        <v>540</v>
      </c>
      <c r="E40" s="540"/>
      <c r="F40" s="442">
        <f>LongTest!F38</f>
        <v>25.330000000000002</v>
      </c>
      <c r="G40" s="442">
        <f>LongTest!G38</f>
        <v>15.880000000000003</v>
      </c>
      <c r="H40" s="438"/>
      <c r="I40" s="438"/>
      <c r="J40" s="439"/>
    </row>
    <row r="41" spans="1:10" ht="24.95" customHeight="1">
      <c r="A41" s="420"/>
      <c r="B41" s="438"/>
      <c r="C41" s="441">
        <f t="shared" si="0"/>
        <v>45454.888888888883</v>
      </c>
      <c r="D41" s="540">
        <v>600</v>
      </c>
      <c r="E41" s="540"/>
      <c r="F41" s="442">
        <f>LongTest!F39</f>
        <v>25.330000000000002</v>
      </c>
      <c r="G41" s="442">
        <f>LongTest!G39</f>
        <v>15.880000000000003</v>
      </c>
      <c r="H41" s="438"/>
      <c r="I41" s="438"/>
      <c r="J41" s="439"/>
    </row>
    <row r="42" spans="1:10" ht="24.95" customHeight="1">
      <c r="A42" s="421"/>
      <c r="B42" s="419"/>
      <c r="C42" s="441">
        <f t="shared" si="0"/>
        <v>45454.930555555555</v>
      </c>
      <c r="D42" s="540">
        <v>660</v>
      </c>
      <c r="E42" s="540"/>
      <c r="F42" s="442">
        <f>LongTest!F40</f>
        <v>25.330000000000002</v>
      </c>
      <c r="G42" s="442">
        <f>LongTest!G40</f>
        <v>15.880000000000003</v>
      </c>
      <c r="H42" s="438"/>
      <c r="I42" s="438"/>
      <c r="J42" s="439"/>
    </row>
    <row r="43" spans="1:10" ht="24.95" customHeight="1">
      <c r="A43" s="420"/>
      <c r="B43" s="438"/>
      <c r="C43" s="441">
        <f t="shared" si="0"/>
        <v>45454.972222222219</v>
      </c>
      <c r="D43" s="540">
        <v>720</v>
      </c>
      <c r="E43" s="540"/>
      <c r="F43" s="442">
        <f>LongTest!F41</f>
        <v>25.330000000000002</v>
      </c>
      <c r="G43" s="442">
        <f>LongTest!G41</f>
        <v>15.880000000000003</v>
      </c>
      <c r="H43" s="438"/>
      <c r="I43" s="438"/>
      <c r="J43" s="439"/>
    </row>
    <row r="44" spans="1:10" ht="24.95" customHeight="1">
      <c r="A44" s="420"/>
      <c r="B44" s="438"/>
      <c r="C44" s="441">
        <f t="shared" si="0"/>
        <v>45455.013888888883</v>
      </c>
      <c r="D44" s="540">
        <v>780</v>
      </c>
      <c r="E44" s="540"/>
      <c r="F44" s="438">
        <f>LongTest!F42</f>
        <v>25.330000000000002</v>
      </c>
      <c r="G44" s="438">
        <f>LongTest!G42</f>
        <v>15.880000000000003</v>
      </c>
      <c r="H44" s="438"/>
      <c r="I44" s="438"/>
      <c r="J44" s="439"/>
    </row>
    <row r="45" spans="1:10" ht="24.95" customHeight="1">
      <c r="A45" s="420"/>
      <c r="B45" s="438"/>
      <c r="C45" s="441">
        <f t="shared" si="0"/>
        <v>45455.055555555555</v>
      </c>
      <c r="D45" s="540">
        <v>840</v>
      </c>
      <c r="E45" s="540"/>
      <c r="F45" s="438">
        <f>LongTest!F43</f>
        <v>25.330000000000002</v>
      </c>
      <c r="G45" s="438">
        <f>LongTest!G43</f>
        <v>15.880000000000003</v>
      </c>
      <c r="H45" s="438"/>
      <c r="I45" s="438"/>
      <c r="J45" s="439"/>
    </row>
    <row r="46" spans="1:10" ht="24.95" customHeight="1">
      <c r="A46" s="420"/>
      <c r="B46" s="438"/>
      <c r="C46" s="441">
        <f t="shared" si="0"/>
        <v>45455.097222222219</v>
      </c>
      <c r="D46" s="540">
        <v>900</v>
      </c>
      <c r="E46" s="540"/>
      <c r="F46" s="438">
        <f>LongTest!F44</f>
        <v>25.330000000000002</v>
      </c>
      <c r="G46" s="438">
        <f>LongTest!G44</f>
        <v>15.880000000000003</v>
      </c>
      <c r="H46" s="438"/>
      <c r="I46" s="438"/>
      <c r="J46" s="439"/>
    </row>
    <row r="47" spans="1:10" ht="24.95" customHeight="1">
      <c r="A47" s="421"/>
      <c r="B47" s="419"/>
      <c r="C47" s="441">
        <f t="shared" si="0"/>
        <v>45455.138888888883</v>
      </c>
      <c r="D47" s="540">
        <v>960</v>
      </c>
      <c r="E47" s="540"/>
      <c r="F47" s="438">
        <f>LongTest!F45</f>
        <v>25.330000000000002</v>
      </c>
      <c r="G47" s="438">
        <f>LongTest!G45</f>
        <v>15.880000000000003</v>
      </c>
      <c r="H47" s="438"/>
      <c r="I47" s="438"/>
      <c r="J47" s="439"/>
    </row>
    <row r="48" spans="1:10" ht="24.95" customHeight="1">
      <c r="A48" s="420"/>
      <c r="B48" s="438"/>
      <c r="C48" s="441">
        <f t="shared" si="0"/>
        <v>45455.180555555555</v>
      </c>
      <c r="D48" s="540">
        <v>1020</v>
      </c>
      <c r="E48" s="540"/>
      <c r="F48" s="438">
        <f>LongTest!F46</f>
        <v>25.330000000000002</v>
      </c>
      <c r="G48" s="438">
        <f>LongTest!G46</f>
        <v>15.880000000000003</v>
      </c>
      <c r="H48" s="438"/>
      <c r="I48" s="438"/>
      <c r="J48" s="439"/>
    </row>
    <row r="49" spans="1:10" ht="24.95" customHeight="1">
      <c r="A49" s="420"/>
      <c r="B49" s="438"/>
      <c r="C49" s="441">
        <f t="shared" si="0"/>
        <v>45455.222222222219</v>
      </c>
      <c r="D49" s="540">
        <v>1080</v>
      </c>
      <c r="E49" s="540"/>
      <c r="F49" s="438">
        <f>LongTest!F47</f>
        <v>25.330000000000002</v>
      </c>
      <c r="G49" s="438">
        <f>LongTest!G47</f>
        <v>15.880000000000003</v>
      </c>
      <c r="H49" s="438"/>
      <c r="I49" s="438"/>
      <c r="J49" s="439"/>
    </row>
    <row r="50" spans="1:10" ht="24.95" customHeight="1">
      <c r="A50" s="420"/>
      <c r="B50" s="438"/>
      <c r="C50" s="441">
        <f t="shared" si="0"/>
        <v>45455.263888888883</v>
      </c>
      <c r="D50" s="540">
        <v>1140</v>
      </c>
      <c r="E50" s="540"/>
      <c r="F50" s="438">
        <f>LongTest!F48</f>
        <v>25.330000000000002</v>
      </c>
      <c r="G50" s="438">
        <f>LongTest!G48</f>
        <v>15.880000000000003</v>
      </c>
      <c r="H50" s="438"/>
      <c r="I50" s="438"/>
      <c r="J50" s="439"/>
    </row>
    <row r="51" spans="1:10" ht="24.95" customHeight="1">
      <c r="A51" s="420"/>
      <c r="B51" s="438"/>
      <c r="C51" s="441">
        <f t="shared" si="0"/>
        <v>45455.305555555555</v>
      </c>
      <c r="D51" s="540">
        <v>1200</v>
      </c>
      <c r="E51" s="540"/>
      <c r="F51" s="438">
        <f>LongTest!F49</f>
        <v>25.330000000000002</v>
      </c>
      <c r="G51" s="438">
        <f>LongTest!G49</f>
        <v>15.880000000000003</v>
      </c>
      <c r="H51" s="438"/>
      <c r="I51" s="438"/>
      <c r="J51" s="439"/>
    </row>
    <row r="52" spans="1:10" ht="24.95" customHeight="1">
      <c r="A52" s="420"/>
      <c r="B52" s="438"/>
      <c r="C52" s="441">
        <f t="shared" si="0"/>
        <v>45455.347222222219</v>
      </c>
      <c r="D52" s="540">
        <v>1260</v>
      </c>
      <c r="E52" s="540"/>
      <c r="F52" s="438">
        <f>LongTest!F50</f>
        <v>25.330000000000002</v>
      </c>
      <c r="G52" s="438">
        <f>LongTest!G50</f>
        <v>15.880000000000003</v>
      </c>
      <c r="H52" s="438"/>
      <c r="I52" s="438"/>
      <c r="J52" s="439"/>
    </row>
    <row r="53" spans="1:10" ht="24.95" customHeight="1">
      <c r="A53" s="420"/>
      <c r="B53" s="438"/>
      <c r="C53" s="441">
        <f t="shared" si="0"/>
        <v>45455.388888888883</v>
      </c>
      <c r="D53" s="540">
        <v>1320</v>
      </c>
      <c r="E53" s="540"/>
      <c r="F53" s="438">
        <f>LongTest!F51</f>
        <v>25.330000000000002</v>
      </c>
      <c r="G53" s="438">
        <f>LongTest!G51</f>
        <v>15.880000000000003</v>
      </c>
      <c r="H53" s="438"/>
      <c r="I53" s="438"/>
      <c r="J53" s="439"/>
    </row>
    <row r="54" spans="1:10" ht="24.95" customHeight="1">
      <c r="A54" s="420"/>
      <c r="B54" s="438"/>
      <c r="C54" s="441">
        <f t="shared" si="0"/>
        <v>45455.430555555555</v>
      </c>
      <c r="D54" s="540">
        <v>1380</v>
      </c>
      <c r="E54" s="540"/>
      <c r="F54" s="438">
        <f>LongTest!F52</f>
        <v>25.330000000000002</v>
      </c>
      <c r="G54" s="438">
        <f>LongTest!G52</f>
        <v>15.880000000000003</v>
      </c>
      <c r="H54" s="438"/>
      <c r="I54" s="438"/>
      <c r="J54" s="439"/>
    </row>
    <row r="55" spans="1:10" ht="24.95" customHeight="1">
      <c r="A55" s="420"/>
      <c r="B55" s="438"/>
      <c r="C55" s="441">
        <f t="shared" si="0"/>
        <v>45455.472222222219</v>
      </c>
      <c r="D55" s="540">
        <v>1440</v>
      </c>
      <c r="E55" s="540"/>
      <c r="F55" s="438">
        <f>LongTest!F53</f>
        <v>25.330000000000002</v>
      </c>
      <c r="G55" s="438">
        <f>LongTest!G53</f>
        <v>15.880000000000003</v>
      </c>
      <c r="H55" s="438">
        <f>'w1'!D20</f>
        <v>15.4</v>
      </c>
      <c r="I55" s="438">
        <f>'w1'!E20</f>
        <v>209</v>
      </c>
      <c r="J55" s="439">
        <f>'w1'!F20</f>
        <v>8.4700000000000006</v>
      </c>
    </row>
    <row r="56" spans="1:10" ht="24.95" customHeight="1">
      <c r="A56" s="445"/>
      <c r="B56" s="441"/>
      <c r="C56" s="441"/>
      <c r="D56" s="601"/>
      <c r="E56" s="602"/>
      <c r="F56" s="438"/>
      <c r="G56" s="438"/>
      <c r="H56" s="438"/>
      <c r="I56" s="438"/>
      <c r="J56" s="439"/>
    </row>
    <row r="57" spans="1:10" ht="24.95" customHeight="1" thickBot="1">
      <c r="A57" s="598" t="s">
        <v>323</v>
      </c>
      <c r="B57" s="599"/>
      <c r="C57" s="599"/>
      <c r="D57" s="599"/>
      <c r="E57" s="599"/>
      <c r="F57" s="599"/>
      <c r="G57" s="599"/>
      <c r="H57" s="599"/>
      <c r="I57" s="599"/>
      <c r="J57" s="600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41" t="s">
        <v>329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장기14!C55</f>
        <v>45455.472222222219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C31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1" si="0">$C$4+D12/1440</f>
        <v>45455.472916666666</v>
      </c>
      <c r="D12" s="529">
        <v>1</v>
      </c>
      <c r="E12" s="530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45455.473611111105</v>
      </c>
      <c r="D13" s="529">
        <v>2</v>
      </c>
      <c r="E13" s="530"/>
      <c r="F13" s="429">
        <f>LongTest!F79</f>
        <v>19.374437782107812</v>
      </c>
      <c r="G13" s="429">
        <f>LongTest!G79</f>
        <v>9.9244377821078142</v>
      </c>
      <c r="H13" s="529"/>
      <c r="I13" s="534"/>
      <c r="J13" s="535"/>
    </row>
    <row r="14" spans="1:10" ht="24.95" customHeight="1">
      <c r="A14" s="451"/>
      <c r="B14" s="428"/>
      <c r="C14" s="428">
        <f t="shared" si="0"/>
        <v>45455.474305555552</v>
      </c>
      <c r="D14" s="529">
        <v>3</v>
      </c>
      <c r="E14" s="530"/>
      <c r="F14" s="429">
        <f>LongTest!F80</f>
        <v>18.58440784122201</v>
      </c>
      <c r="G14" s="429">
        <f>LongTest!G80</f>
        <v>9.1344078412220089</v>
      </c>
      <c r="H14" s="529"/>
      <c r="I14" s="534"/>
      <c r="J14" s="535"/>
    </row>
    <row r="15" spans="1:10" ht="24.95" customHeight="1">
      <c r="A15" s="451"/>
      <c r="B15" s="428"/>
      <c r="C15" s="428">
        <f t="shared" si="0"/>
        <v>45455.474999999999</v>
      </c>
      <c r="D15" s="529">
        <v>4</v>
      </c>
      <c r="E15" s="530"/>
      <c r="F15" s="429">
        <f>LongTest!F81</f>
        <v>17.857267841429007</v>
      </c>
      <c r="G15" s="429">
        <f>LongTest!G81</f>
        <v>8.4072678414290092</v>
      </c>
      <c r="H15" s="529"/>
      <c r="I15" s="534"/>
      <c r="J15" s="535"/>
    </row>
    <row r="16" spans="1:10" ht="24.95" customHeight="1">
      <c r="A16" s="451"/>
      <c r="B16" s="428"/>
      <c r="C16" s="428">
        <f t="shared" si="0"/>
        <v>45455.475694444438</v>
      </c>
      <c r="D16" s="529">
        <v>5</v>
      </c>
      <c r="E16" s="530"/>
      <c r="F16" s="429">
        <f>LongTest!F82</f>
        <v>17.188011460201068</v>
      </c>
      <c r="G16" s="429">
        <f>LongTest!G82</f>
        <v>7.7380114602010686</v>
      </c>
      <c r="H16" s="529"/>
      <c r="I16" s="534"/>
      <c r="J16" s="535"/>
    </row>
    <row r="17" spans="1:10" ht="24.95" customHeight="1">
      <c r="A17" s="451"/>
      <c r="B17" s="428"/>
      <c r="C17" s="428">
        <f t="shared" si="0"/>
        <v>45455.479166666664</v>
      </c>
      <c r="D17" s="529">
        <v>10</v>
      </c>
      <c r="E17" s="530"/>
      <c r="F17" s="429">
        <f>LongTest!F83</f>
        <v>15.483270868618019</v>
      </c>
      <c r="G17" s="429">
        <f>LongTest!G83</f>
        <v>6.0332708686180201</v>
      </c>
      <c r="H17" s="529"/>
      <c r="I17" s="534"/>
      <c r="J17" s="535"/>
    </row>
    <row r="18" spans="1:10" ht="24.95" customHeight="1">
      <c r="A18" s="451"/>
      <c r="B18" s="428"/>
      <c r="C18" s="428">
        <f t="shared" si="0"/>
        <v>45455.482638888883</v>
      </c>
      <c r="D18" s="529">
        <v>15</v>
      </c>
      <c r="E18" s="530"/>
      <c r="F18" s="429">
        <f>LongTest!F84</f>
        <v>15.158681504824028</v>
      </c>
      <c r="G18" s="429">
        <f>LongTest!G84</f>
        <v>5.7086815048240274</v>
      </c>
      <c r="H18" s="529"/>
      <c r="I18" s="534"/>
      <c r="J18" s="535"/>
    </row>
    <row r="19" spans="1:10" ht="24.95" customHeight="1">
      <c r="A19" s="451"/>
      <c r="B19" s="428"/>
      <c r="C19" s="428">
        <f t="shared" si="0"/>
        <v>45455.486111111109</v>
      </c>
      <c r="D19" s="529">
        <v>20</v>
      </c>
      <c r="E19" s="530"/>
      <c r="F19" s="429">
        <f>LongTest!F85</f>
        <v>14.285983204912011</v>
      </c>
      <c r="G19" s="429">
        <f>LongTest!G85</f>
        <v>4.8359832049120115</v>
      </c>
      <c r="H19" s="529"/>
      <c r="I19" s="534"/>
      <c r="J19" s="535"/>
    </row>
    <row r="20" spans="1:10" ht="24.95" customHeight="1">
      <c r="A20" s="451"/>
      <c r="B20" s="428"/>
      <c r="C20" s="428">
        <f t="shared" si="0"/>
        <v>45455.489583333328</v>
      </c>
      <c r="D20" s="529">
        <v>25</v>
      </c>
      <c r="E20" s="530"/>
      <c r="F20" s="429">
        <f>LongTest!F86</f>
        <v>13.901017163572192</v>
      </c>
      <c r="G20" s="429">
        <f>LongTest!G86</f>
        <v>4.4510171635721916</v>
      </c>
      <c r="H20" s="529"/>
      <c r="I20" s="534"/>
      <c r="J20" s="535"/>
    </row>
    <row r="21" spans="1:10" ht="24.95" customHeight="1">
      <c r="A21" s="451"/>
      <c r="B21" s="428"/>
      <c r="C21" s="428">
        <f t="shared" si="0"/>
        <v>45455.493055555555</v>
      </c>
      <c r="D21" s="529">
        <v>30</v>
      </c>
      <c r="E21" s="530"/>
      <c r="F21" s="429">
        <f>LongTest!F87</f>
        <v>13.54669615276811</v>
      </c>
      <c r="G21" s="429">
        <f>LongTest!G87</f>
        <v>4.0966961527681098</v>
      </c>
      <c r="H21" s="529"/>
      <c r="I21" s="534"/>
      <c r="J21" s="535"/>
    </row>
    <row r="22" spans="1:10" ht="24.95" customHeight="1">
      <c r="A22" s="451"/>
      <c r="B22" s="428"/>
      <c r="C22" s="428">
        <f t="shared" si="0"/>
        <v>45455.496527777774</v>
      </c>
      <c r="D22" s="529">
        <v>35</v>
      </c>
      <c r="E22" s="530"/>
      <c r="F22" s="429">
        <f>LongTest!F88</f>
        <v>13.434971769034254</v>
      </c>
      <c r="G22" s="429">
        <f>LongTest!G88</f>
        <v>3.9849717690342552</v>
      </c>
      <c r="H22" s="529"/>
      <c r="I22" s="534"/>
      <c r="J22" s="535"/>
    </row>
    <row r="23" spans="1:10" ht="24.95" customHeight="1">
      <c r="A23" s="451"/>
      <c r="B23" s="428"/>
      <c r="C23" s="428">
        <f t="shared" si="0"/>
        <v>45455.5</v>
      </c>
      <c r="D23" s="529">
        <v>40</v>
      </c>
      <c r="E23" s="530"/>
      <c r="F23" s="429">
        <f>LongTest!F89</f>
        <v>13.326294313228475</v>
      </c>
      <c r="G23" s="429">
        <f>LongTest!G89</f>
        <v>3.8762943132284762</v>
      </c>
      <c r="H23" s="529"/>
      <c r="I23" s="534"/>
      <c r="J23" s="535"/>
    </row>
    <row r="24" spans="1:10" ht="24.95" customHeight="1">
      <c r="A24" s="451"/>
      <c r="B24" s="428"/>
      <c r="C24" s="428">
        <f t="shared" si="0"/>
        <v>45455.503472222219</v>
      </c>
      <c r="D24" s="529">
        <v>45</v>
      </c>
      <c r="E24" s="530"/>
      <c r="F24" s="429">
        <f>LongTest!F90</f>
        <v>13.220580690063166</v>
      </c>
      <c r="G24" s="429">
        <f>LongTest!G90</f>
        <v>3.7705806900631673</v>
      </c>
      <c r="H24" s="529"/>
      <c r="I24" s="534"/>
      <c r="J24" s="535"/>
    </row>
    <row r="25" spans="1:10" ht="24.95" customHeight="1">
      <c r="A25" s="451"/>
      <c r="B25" s="428"/>
      <c r="C25" s="428">
        <f t="shared" si="0"/>
        <v>45455.506944444438</v>
      </c>
      <c r="D25" s="529">
        <v>50</v>
      </c>
      <c r="E25" s="530"/>
      <c r="F25" s="429">
        <f>LongTest!F91</f>
        <v>13.11775007041093</v>
      </c>
      <c r="G25" s="429">
        <f>LongTest!G91</f>
        <v>3.6677500704109298</v>
      </c>
      <c r="H25" s="529"/>
      <c r="I25" s="534"/>
      <c r="J25" s="535"/>
    </row>
    <row r="26" spans="1:10" ht="24.95" customHeight="1">
      <c r="A26" s="451"/>
      <c r="B26" s="428"/>
      <c r="C26" s="428">
        <f t="shared" si="0"/>
        <v>45455.510416666664</v>
      </c>
      <c r="D26" s="529">
        <v>55</v>
      </c>
      <c r="E26" s="530"/>
      <c r="F26" s="429">
        <f>LongTest!F92</f>
        <v>13.017723829502245</v>
      </c>
      <c r="G26" s="429">
        <f>LongTest!G92</f>
        <v>3.5677238295022455</v>
      </c>
      <c r="H26" s="529"/>
      <c r="I26" s="534"/>
      <c r="J26" s="535"/>
    </row>
    <row r="27" spans="1:10" ht="24.95" customHeight="1">
      <c r="A27" s="451"/>
      <c r="B27" s="428"/>
      <c r="C27" s="428">
        <f t="shared" si="0"/>
        <v>45455.513888888883</v>
      </c>
      <c r="D27" s="529">
        <v>60</v>
      </c>
      <c r="E27" s="530"/>
      <c r="F27" s="429">
        <f>LongTest!F93</f>
        <v>12.920425486808609</v>
      </c>
      <c r="G27" s="429">
        <f>LongTest!G93</f>
        <v>3.4704254868086104</v>
      </c>
      <c r="H27" s="529"/>
      <c r="I27" s="534"/>
      <c r="J27" s="535"/>
    </row>
    <row r="28" spans="1:10" ht="24.95" customHeight="1">
      <c r="A28" s="451"/>
      <c r="B28" s="428"/>
      <c r="C28" s="428">
        <f t="shared" si="0"/>
        <v>45455.524305555555</v>
      </c>
      <c r="D28" s="529">
        <v>75</v>
      </c>
      <c r="E28" s="530"/>
      <c r="F28" s="429">
        <f>LongTest!F94</f>
        <v>12.825780647565169</v>
      </c>
      <c r="G28" s="429">
        <f>LongTest!G94</f>
        <v>3.3757806475651706</v>
      </c>
      <c r="H28" s="529"/>
      <c r="I28" s="534"/>
      <c r="J28" s="535"/>
    </row>
    <row r="29" spans="1:10" ht="24.95" customHeight="1">
      <c r="A29" s="451"/>
      <c r="B29" s="428"/>
      <c r="C29" s="428">
        <f t="shared" si="0"/>
        <v>45455.534722222219</v>
      </c>
      <c r="D29" s="529">
        <v>90</v>
      </c>
      <c r="E29" s="530"/>
      <c r="F29" s="429">
        <f>LongTest!F95</f>
        <v>12.733716945888137</v>
      </c>
      <c r="G29" s="429">
        <f>LongTest!G95</f>
        <v>3.2837169458881377</v>
      </c>
      <c r="H29" s="529"/>
      <c r="I29" s="534"/>
      <c r="J29" s="535"/>
    </row>
    <row r="30" spans="1:10" ht="24.95" customHeight="1">
      <c r="A30" s="451"/>
      <c r="B30" s="428"/>
      <c r="C30" s="428">
        <f t="shared" si="0"/>
        <v>45455.545138888883</v>
      </c>
      <c r="D30" s="529">
        <v>105</v>
      </c>
      <c r="E30" s="530"/>
      <c r="F30" s="429">
        <f>LongTest!F96</f>
        <v>12.644163989443497</v>
      </c>
      <c r="G30" s="429">
        <f>LongTest!G96</f>
        <v>3.194163989443497</v>
      </c>
      <c r="H30" s="529"/>
      <c r="I30" s="534"/>
      <c r="J30" s="535"/>
    </row>
    <row r="31" spans="1:10" ht="24.95" customHeight="1">
      <c r="A31" s="451"/>
      <c r="B31" s="428"/>
      <c r="C31" s="428">
        <f t="shared" si="0"/>
        <v>45455.555555555555</v>
      </c>
      <c r="D31" s="529">
        <v>120</v>
      </c>
      <c r="E31" s="530"/>
      <c r="F31" s="429">
        <f>LongTest!F97</f>
        <v>12.389894151376794</v>
      </c>
      <c r="G31" s="429">
        <f>LongTest!G97</f>
        <v>2.9398941513767949</v>
      </c>
      <c r="H31" s="529" t="s">
        <v>328</v>
      </c>
      <c r="I31" s="534"/>
      <c r="J31" s="535"/>
    </row>
    <row r="32" spans="1:10" ht="24.95" customHeight="1">
      <c r="A32" s="451"/>
      <c r="B32" s="428"/>
      <c r="C32" s="428"/>
      <c r="D32" s="529"/>
      <c r="E32" s="530"/>
      <c r="F32" s="429"/>
      <c r="G32" s="429"/>
      <c r="H32" s="529"/>
      <c r="I32" s="534"/>
      <c r="J32" s="535"/>
    </row>
    <row r="33" spans="1:10" ht="24.95" customHeight="1">
      <c r="A33" s="451"/>
      <c r="B33" s="428"/>
      <c r="C33" s="428"/>
      <c r="D33" s="529"/>
      <c r="E33" s="530"/>
      <c r="F33" s="429"/>
      <c r="G33" s="429"/>
      <c r="H33" s="529"/>
      <c r="I33" s="534"/>
      <c r="J33" s="535"/>
    </row>
    <row r="34" spans="1:10" ht="24.95" customHeight="1">
      <c r="A34" s="451"/>
      <c r="B34" s="428"/>
      <c r="C34" s="428"/>
      <c r="D34" s="529"/>
      <c r="E34" s="530"/>
      <c r="F34" s="429"/>
      <c r="G34" s="429"/>
      <c r="H34" s="529"/>
      <c r="I34" s="534"/>
      <c r="J34" s="535"/>
    </row>
    <row r="35" spans="1:10" ht="24.95" customHeight="1" thickBot="1">
      <c r="A35" s="455"/>
      <c r="B35" s="456"/>
      <c r="C35" s="456"/>
      <c r="D35" s="536"/>
      <c r="E35" s="537"/>
      <c r="F35" s="457"/>
      <c r="G35" s="457"/>
      <c r="H35" s="536"/>
      <c r="I35" s="558"/>
      <c r="J35" s="55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K8" sqref="K8"/>
    </sheetView>
  </sheetViews>
  <sheetFormatPr defaultColWidth="10" defaultRowHeight="16.5"/>
  <cols>
    <col min="1" max="1" width="10" style="417"/>
    <col min="2" max="2" width="18.75" style="417" customWidth="1"/>
    <col min="3" max="4" width="16.375" style="417" customWidth="1"/>
    <col min="5" max="5" width="13.375" style="416" customWidth="1"/>
    <col min="6" max="6" width="13.875" style="416" customWidth="1"/>
    <col min="7" max="7" width="10" style="417"/>
    <col min="8" max="8" width="11.625" style="417" customWidth="1"/>
    <col min="9" max="9" width="10.625" style="417" customWidth="1"/>
    <col min="10" max="10" width="11.375" style="417" customWidth="1"/>
    <col min="11" max="11" width="10" style="417"/>
    <col min="12" max="12" width="11.25" style="417" customWidth="1"/>
    <col min="13" max="15" width="10" style="417"/>
    <col min="16" max="16" width="11.25" style="417" customWidth="1"/>
    <col min="17" max="16384" width="10" style="417"/>
  </cols>
  <sheetData>
    <row r="1" spans="2:17" s="99" customFormat="1" ht="18" customHeight="1">
      <c r="E1" s="11"/>
      <c r="F1" s="11"/>
    </row>
    <row r="2" spans="2:17" s="99" customFormat="1" ht="18" customHeight="1">
      <c r="B2" s="387" t="s">
        <v>234</v>
      </c>
      <c r="E2" s="11"/>
      <c r="F2" s="11"/>
    </row>
    <row r="3" spans="2:17" s="99" customFormat="1" ht="18" customHeight="1">
      <c r="E3" s="11"/>
      <c r="F3" s="11"/>
    </row>
    <row r="4" spans="2:17" s="390" customFormat="1" ht="26.25" customHeight="1">
      <c r="B4" s="388" t="s">
        <v>233</v>
      </c>
      <c r="C4" s="389" t="str">
        <f>Input!$I$54</f>
        <v>W-1</v>
      </c>
      <c r="E4" s="389"/>
      <c r="F4" s="389"/>
    </row>
    <row r="5" spans="2:17" s="99" customFormat="1" ht="18" customHeight="1" thickBot="1">
      <c r="E5" s="11"/>
      <c r="F5" s="11"/>
    </row>
    <row r="6" spans="2:17" s="99" customFormat="1" ht="26.1" customHeight="1">
      <c r="B6" s="391" t="s">
        <v>203</v>
      </c>
      <c r="C6" s="392">
        <f>LongTest!C10</f>
        <v>45454.472222222219</v>
      </c>
      <c r="D6" s="393"/>
      <c r="E6" s="11"/>
      <c r="F6" s="11"/>
    </row>
    <row r="7" spans="2:17" s="99" customFormat="1" ht="26.1" customHeight="1">
      <c r="B7" s="394" t="s">
        <v>204</v>
      </c>
      <c r="C7" s="395">
        <v>15.3</v>
      </c>
      <c r="D7" s="393"/>
      <c r="E7" s="11"/>
      <c r="F7" s="11"/>
    </row>
    <row r="8" spans="2:17" s="99" customFormat="1" ht="26.1" customHeight="1">
      <c r="B8" s="394" t="s">
        <v>205</v>
      </c>
      <c r="C8" s="395">
        <v>206</v>
      </c>
      <c r="D8" s="393"/>
      <c r="E8" s="11"/>
      <c r="F8" s="11"/>
    </row>
    <row r="9" spans="2:17" s="99" customFormat="1" ht="26.1" customHeight="1" thickBot="1">
      <c r="B9" s="396" t="s">
        <v>206</v>
      </c>
      <c r="C9" s="397">
        <v>8.4</v>
      </c>
      <c r="D9" s="393"/>
      <c r="E9" s="11"/>
      <c r="F9" s="11"/>
    </row>
    <row r="10" spans="2:17" s="99" customFormat="1" ht="26.1" customHeight="1">
      <c r="B10" s="11"/>
      <c r="C10" s="398"/>
      <c r="D10" s="393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5" t="s">
        <v>207</v>
      </c>
      <c r="C12" s="606"/>
      <c r="D12" s="605" t="str">
        <f>C4</f>
        <v>W-1</v>
      </c>
      <c r="E12" s="607"/>
      <c r="F12" s="606"/>
      <c r="H12" s="605" t="str">
        <f>C4</f>
        <v>W-1</v>
      </c>
      <c r="I12" s="607"/>
      <c r="J12" s="606"/>
      <c r="L12"/>
      <c r="M12"/>
      <c r="N12"/>
      <c r="O12"/>
      <c r="P12"/>
      <c r="Q12"/>
    </row>
    <row r="13" spans="2:17" s="11" customFormat="1" ht="26.1" customHeight="1">
      <c r="B13" s="399" t="s">
        <v>203</v>
      </c>
      <c r="C13" s="400" t="s">
        <v>208</v>
      </c>
      <c r="D13" s="401" t="s">
        <v>209</v>
      </c>
      <c r="E13" s="402" t="s">
        <v>210</v>
      </c>
      <c r="F13" s="400" t="s">
        <v>211</v>
      </c>
      <c r="H13" s="399" t="s">
        <v>209</v>
      </c>
      <c r="I13" s="402" t="s">
        <v>210</v>
      </c>
      <c r="J13" s="400" t="s">
        <v>211</v>
      </c>
      <c r="L13"/>
      <c r="M13"/>
      <c r="N13"/>
      <c r="O13"/>
      <c r="P13"/>
      <c r="Q13"/>
    </row>
    <row r="14" spans="2:17" s="11" customFormat="1" ht="26.1" customHeight="1">
      <c r="B14" s="403">
        <f>$C$6+C14/1440</f>
        <v>45454.475694444438</v>
      </c>
      <c r="C14" s="404">
        <v>5</v>
      </c>
      <c r="D14" s="405">
        <f t="shared" ref="D14:D20" si="0">baseTemp+H14</f>
        <v>15</v>
      </c>
      <c r="E14" s="406">
        <f>$C$8+I14</f>
        <v>208</v>
      </c>
      <c r="F14" s="407">
        <f>$C$9+J14</f>
        <v>8.5300000000000011</v>
      </c>
      <c r="H14" s="399">
        <v>-0.3</v>
      </c>
      <c r="I14" s="402">
        <v>2</v>
      </c>
      <c r="J14" s="400">
        <v>0.13</v>
      </c>
      <c r="L14"/>
      <c r="M14"/>
      <c r="N14"/>
      <c r="O14"/>
      <c r="P14"/>
      <c r="Q14"/>
    </row>
    <row r="15" spans="2:17" s="11" customFormat="1" ht="26.1" customHeight="1">
      <c r="B15" s="408">
        <f t="shared" ref="B15:B23" si="1">$C$6+C15/1440</f>
        <v>45454.493055555555</v>
      </c>
      <c r="C15" s="400">
        <v>30</v>
      </c>
      <c r="D15" s="409">
        <f t="shared" si="0"/>
        <v>15.200000000000001</v>
      </c>
      <c r="E15" s="410">
        <f t="shared" ref="E15:E20" si="2">$C$8+I15</f>
        <v>208</v>
      </c>
      <c r="F15" s="411">
        <f t="shared" ref="F15:F20" si="3">$C$9+J15</f>
        <v>8.48</v>
      </c>
      <c r="H15" s="399">
        <v>-0.1</v>
      </c>
      <c r="I15" s="402">
        <v>2</v>
      </c>
      <c r="J15" s="400">
        <v>0.08</v>
      </c>
      <c r="L15"/>
      <c r="M15"/>
      <c r="N15"/>
      <c r="O15"/>
      <c r="P15"/>
      <c r="Q15"/>
    </row>
    <row r="16" spans="2:17" s="11" customFormat="1" ht="26.1" customHeight="1">
      <c r="B16" s="408">
        <f t="shared" si="1"/>
        <v>45454.513888888883</v>
      </c>
      <c r="C16" s="400">
        <v>60</v>
      </c>
      <c r="D16" s="409">
        <f t="shared" si="0"/>
        <v>15</v>
      </c>
      <c r="E16" s="410">
        <f t="shared" si="2"/>
        <v>208</v>
      </c>
      <c r="F16" s="411">
        <f t="shared" si="3"/>
        <v>8.3000000000000007</v>
      </c>
      <c r="H16" s="399">
        <v>-0.3</v>
      </c>
      <c r="I16" s="402">
        <v>2</v>
      </c>
      <c r="J16" s="400">
        <v>-0.1</v>
      </c>
      <c r="L16"/>
      <c r="M16"/>
      <c r="N16"/>
      <c r="O16"/>
      <c r="P16"/>
      <c r="Q16"/>
    </row>
    <row r="17" spans="2:17" s="11" customFormat="1" ht="26.1" customHeight="1">
      <c r="B17" s="408">
        <f t="shared" si="1"/>
        <v>45454.555555555555</v>
      </c>
      <c r="C17" s="400">
        <v>120</v>
      </c>
      <c r="D17" s="409">
        <f t="shared" si="0"/>
        <v>15.600000000000001</v>
      </c>
      <c r="E17" s="410">
        <f t="shared" si="2"/>
        <v>207</v>
      </c>
      <c r="F17" s="411">
        <f t="shared" si="3"/>
        <v>8.51</v>
      </c>
      <c r="H17" s="399">
        <v>0.3</v>
      </c>
      <c r="I17" s="402">
        <v>1</v>
      </c>
      <c r="J17" s="400">
        <v>0.11</v>
      </c>
      <c r="L17"/>
      <c r="M17"/>
      <c r="N17"/>
      <c r="O17"/>
      <c r="P17"/>
      <c r="Q17"/>
    </row>
    <row r="18" spans="2:17" s="11" customFormat="1" ht="26.1" customHeight="1">
      <c r="B18" s="408">
        <f t="shared" si="1"/>
        <v>45454.638888888883</v>
      </c>
      <c r="C18" s="400">
        <v>240</v>
      </c>
      <c r="D18" s="409">
        <f t="shared" si="0"/>
        <v>15.4</v>
      </c>
      <c r="E18" s="410">
        <f t="shared" si="2"/>
        <v>203</v>
      </c>
      <c r="F18" s="411">
        <f t="shared" si="3"/>
        <v>8.2900000000000009</v>
      </c>
      <c r="H18" s="399">
        <v>0.1</v>
      </c>
      <c r="I18" s="402">
        <v>-3</v>
      </c>
      <c r="J18" s="400">
        <v>-0.11</v>
      </c>
      <c r="L18"/>
      <c r="M18"/>
      <c r="N18"/>
      <c r="O18"/>
      <c r="P18"/>
      <c r="Q18"/>
    </row>
    <row r="19" spans="2:17" s="11" customFormat="1" ht="26.1" customHeight="1">
      <c r="B19" s="408">
        <f t="shared" si="1"/>
        <v>45454.805555555555</v>
      </c>
      <c r="C19" s="400">
        <v>480</v>
      </c>
      <c r="D19" s="409">
        <f t="shared" si="0"/>
        <v>15.5</v>
      </c>
      <c r="E19" s="410">
        <f t="shared" si="2"/>
        <v>207</v>
      </c>
      <c r="F19" s="411">
        <f t="shared" si="3"/>
        <v>8.4700000000000006</v>
      </c>
      <c r="H19" s="399">
        <v>0.2</v>
      </c>
      <c r="I19" s="402">
        <v>1</v>
      </c>
      <c r="J19" s="400">
        <v>7.0000000000000007E-2</v>
      </c>
      <c r="L19"/>
      <c r="M19"/>
      <c r="N19"/>
      <c r="O19"/>
      <c r="P19"/>
      <c r="Q19"/>
    </row>
    <row r="20" spans="2:17" s="99" customFormat="1" ht="26.1" customHeight="1">
      <c r="B20" s="408">
        <f t="shared" si="1"/>
        <v>45455.472222222219</v>
      </c>
      <c r="C20" s="400">
        <v>1440</v>
      </c>
      <c r="D20" s="409">
        <f t="shared" si="0"/>
        <v>15.4</v>
      </c>
      <c r="E20" s="410">
        <f t="shared" si="2"/>
        <v>209</v>
      </c>
      <c r="F20" s="411">
        <f t="shared" si="3"/>
        <v>8.4700000000000006</v>
      </c>
      <c r="H20" s="399">
        <v>0.1</v>
      </c>
      <c r="I20" s="402">
        <v>3</v>
      </c>
      <c r="J20" s="400">
        <v>7.0000000000000007E-2</v>
      </c>
      <c r="L20"/>
      <c r="M20"/>
      <c r="N20"/>
      <c r="O20"/>
      <c r="P20"/>
      <c r="Q20"/>
    </row>
    <row r="21" spans="2:17" s="99" customFormat="1" ht="26.1" customHeight="1">
      <c r="B21" s="408">
        <f t="shared" si="1"/>
        <v>45455.638888888883</v>
      </c>
      <c r="C21" s="400">
        <v>1680</v>
      </c>
      <c r="D21" s="409">
        <f>$D$20</f>
        <v>15.4</v>
      </c>
      <c r="E21" s="410">
        <f>$E$20</f>
        <v>209</v>
      </c>
      <c r="F21" s="411">
        <f>$F$20</f>
        <v>8.4700000000000006</v>
      </c>
      <c r="H21" s="399">
        <v>0.3</v>
      </c>
      <c r="I21" s="402">
        <v>1</v>
      </c>
      <c r="J21" s="400">
        <v>0.1</v>
      </c>
      <c r="L21"/>
      <c r="M21"/>
      <c r="N21"/>
      <c r="O21"/>
      <c r="P21"/>
      <c r="Q21"/>
    </row>
    <row r="22" spans="2:17" s="99" customFormat="1" ht="26.1" customHeight="1">
      <c r="B22" s="408">
        <f t="shared" si="1"/>
        <v>45455.805555555555</v>
      </c>
      <c r="C22" s="400">
        <v>1920</v>
      </c>
      <c r="D22" s="409">
        <f t="shared" ref="D22:D23" si="4">$D$20</f>
        <v>15.4</v>
      </c>
      <c r="E22" s="410">
        <f t="shared" ref="E22:E23" si="5">$E$20</f>
        <v>209</v>
      </c>
      <c r="F22" s="411">
        <f t="shared" ref="F22:F23" si="6">$F$20</f>
        <v>8.4700000000000006</v>
      </c>
      <c r="H22" s="399">
        <v>-0.1</v>
      </c>
      <c r="I22" s="402">
        <v>3</v>
      </c>
      <c r="J22" s="400">
        <v>0.11</v>
      </c>
      <c r="L22"/>
      <c r="M22"/>
      <c r="N22"/>
      <c r="O22"/>
      <c r="P22"/>
      <c r="Q22"/>
    </row>
    <row r="23" spans="2:17" s="99" customFormat="1" ht="26.1" customHeight="1" thickBot="1">
      <c r="B23" s="408">
        <f t="shared" si="1"/>
        <v>45456.472222222219</v>
      </c>
      <c r="C23" s="400">
        <v>2880</v>
      </c>
      <c r="D23" s="409">
        <f t="shared" si="4"/>
        <v>15.4</v>
      </c>
      <c r="E23" s="410">
        <f t="shared" si="5"/>
        <v>209</v>
      </c>
      <c r="F23" s="411">
        <f t="shared" si="6"/>
        <v>8.4700000000000006</v>
      </c>
      <c r="H23" s="412">
        <v>-0.2</v>
      </c>
      <c r="I23" s="413">
        <v>-3</v>
      </c>
      <c r="J23" s="414">
        <v>-0.12</v>
      </c>
      <c r="L23"/>
      <c r="M23"/>
      <c r="N23"/>
      <c r="O23"/>
      <c r="P23"/>
      <c r="Q23"/>
    </row>
    <row r="24" spans="2:17" s="99" customFormat="1" ht="26.1" customHeight="1">
      <c r="B24" s="608" t="s">
        <v>79</v>
      </c>
      <c r="C24" s="609"/>
      <c r="D24" s="401">
        <f>MAX(D14:D23)</f>
        <v>15.600000000000001</v>
      </c>
      <c r="E24" s="402">
        <f t="shared" ref="E24:F24" si="7">MAX(E14:E23)</f>
        <v>209</v>
      </c>
      <c r="F24" s="400">
        <f t="shared" si="7"/>
        <v>8.5300000000000011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8" t="s">
        <v>212</v>
      </c>
      <c r="C25" s="609"/>
      <c r="D25" s="401">
        <f>MIN(D14:D23)</f>
        <v>15</v>
      </c>
      <c r="E25" s="402">
        <f t="shared" ref="E25:F25" si="8">MIN(E14:E23)</f>
        <v>203</v>
      </c>
      <c r="F25" s="400">
        <f t="shared" si="8"/>
        <v>8.2900000000000009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3" t="s">
        <v>213</v>
      </c>
      <c r="C26" s="604"/>
      <c r="D26" s="415">
        <f>D24-D25</f>
        <v>0.60000000000000142</v>
      </c>
      <c r="E26" s="413">
        <f t="shared" ref="E26:F26" si="9">E24-E25</f>
        <v>6</v>
      </c>
      <c r="F26" s="414">
        <f t="shared" si="9"/>
        <v>0.24000000000000021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2024-08-21T22:23:02Z</cp:lastPrinted>
  <dcterms:created xsi:type="dcterms:W3CDTF">2022-01-08T04:40:11Z</dcterms:created>
  <dcterms:modified xsi:type="dcterms:W3CDTF">2024-10-16T14:10:47Z</dcterms:modified>
</cp:coreProperties>
</file>